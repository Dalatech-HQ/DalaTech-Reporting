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<sst xmlns="http://schemas.openxmlformats.org/spreadsheetml/2006/main" count="351" uniqueCount="108">
  <si>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</si>
  <si>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</si>
  <si>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</si>
  <si>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</si>
  <si>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</si>
  <si>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</si>
  <si>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</si>
  <si>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</si>
  <si>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</si>
  <si>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</si>
  <si>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</si>
  <si>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</si>
  <si>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</si>
  <si>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</si>
  <si>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</si>
  <si>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350ml Orisirisi Wallnut Drink (12x)</t>
  </si>
  <si>
    <t>Renees Supermarket, LEKKI CENTRAL MOSQUE</t>
  </si>
  <si>
    <t>Sales</t>
  </si>
  <si>
    <t>DT:003433</t>
  </si>
  <si>
    <t>350ml Orisirisi Wallnut with Ginger Drink (12x)</t>
  </si>
  <si>
    <t>Jesops Supermarket</t>
  </si>
  <si>
    <t>DT:003365</t>
  </si>
  <si>
    <t>500ml Orisirisi Tiger Nut Drink (12x)</t>
  </si>
  <si>
    <t>Jendol Supermarket, ODOGUNYA</t>
  </si>
  <si>
    <t>DT:003349</t>
  </si>
  <si>
    <t>500ml Orisirisi Zobo with Date Drink (12x)</t>
  </si>
  <si>
    <t>Jendol Supermarket, OJODU</t>
  </si>
  <si>
    <t>DT:003406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</si>
  <si>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</si>
  <si>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</si>
  <si>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</si>
  <si>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</si>
  <si>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</si>
  <si>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</si>
  <si>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</si>
  <si>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500ml Orisirisi Tiger Nut Drink (12x) Total</t>
  </si>
  <si>
    <t>500ml Orisirisi Zobo with Date Drink (12x) Total</t>
  </si>
  <si>
    <t>350ml Orisirisi Wallnut with Ginger Drink (12x) Total</t>
  </si>
  <si>
    <t>0.5 Total</t>
  </si>
  <si>
    <t>1.00 Total</t>
  </si>
  <si>
    <t>350ml Orisirisi Wallnut Drink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</si>
  <si>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</si>
  <si>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</si>
  <si>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</si>
  <si>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</si>
  <si>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</si>
  <si>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</si>
  <si>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</si>
  <si>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</si>
  <si>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</si>
  <si>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</si>
  <si>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</si>
  <si>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</si>
  <si>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</si>
  <si>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</si>
  <si>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</si>
  <si>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</si>
  <si>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</si>
  <si>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</si>
  <si>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</si>
  <si>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</si>
  <si>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</si>
  <si>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</si>
  <si>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</si>
  <si>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</si>
  <si>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</si>
  <si>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</si>
  <si>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</si>
  <si>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</si>
  <si>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</si>
  <si>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</si>
  <si>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</si>
  <si>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</si>
  <si>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</si>
  <si>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</si>
  <si>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</si>
  <si>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</si>
  <si>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</si>
  <si>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</si>
  <si>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</si>
  <si>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</si>
  <si>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</si>
  <si>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</si>
  <si>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</si>
  <si>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</si>
  <si>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</si>
  <si>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</si>
  <si>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</si>
  <si>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</si>
  <si>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</si>
  <si>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</si>
  <si>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</si>
  <si>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</si>
  <si>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</si>
  <si>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</si>
  <si>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</si>
  <si>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</si>
  <si>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</si>
  <si>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</si>
  <si>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</si>
  <si>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</si>
  <si>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500ml Orisirisi Zobo Drink (12x)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</si>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</sst>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4" numFmtId="0" xfId="0" applyBorder="1" applyFont="1"/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5" fillId="2" fontId="6" numFmtId="0" xfId="0" applyAlignment="1" applyBorder="1" applyFill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10" numFmtId="0" xfId="0" applyAlignment="1" applyBorder="1" applyFont="1">
      <alignment readingOrder="0" shrinkToFit="0" vertical="bottom" wrapText="0"/>
    </xf>
    <xf borderId="5" fillId="3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0" xfId="0" applyBorder="1" applyFont="1"/>
    <xf borderId="5" fillId="3" fontId="10" numFmtId="0" xfId="0" applyAlignment="1" applyBorder="1" applyFont="1">
      <alignment readingOrder="0" shrinkToFit="0" vertical="bottom" wrapText="0"/>
    </xf>
    <xf borderId="5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5" fillId="3" fontId="10" numFmtId="4" xfId="0" applyAlignment="1" applyBorder="1" applyFont="1" applyNumberFormat="1">
      <alignment horizontal="right" readingOrder="0" shrinkToFit="0" vertical="bottom" wrapText="0"/>
    </xf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350ml Orisirisi Wallnut Drink (12x)"/>
        <s v="350ml Orisirisi Wallnut with Ginger Drink (12x)"/>
        <s v="500ml Orisirisi Tiger Nut Drink (12x)"/>
        <s v="500ml Orisirisi Zobo with Date Drink (12x)"/>
        <m/>
      </sharedItems>
    </cacheField>
    <cacheField name="Date" numFmtId="164">
      <sharedItems containsDate="1" containsString="0" containsBlank="1">
        <d v="2025-12-11T00:00:00Z"/>
        <d v="2025-10-11T00:00:00Z"/>
        <d v="2025-07-11T00:00:00Z"/>
        <m/>
      </sharedItems>
    </cacheField>
    <cacheField name="Particulars" numFmtId="0">
      <sharedItems containsBlank="1">
        <s v="Renees Supermarket, LEKKI CENTRAL MOSQUE"/>
        <s v="Jesops Supermarket"/>
        <s v="Jendol Supermarket, ODOGUNYA"/>
        <s v="Jendol Supermarket, OJO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33"/>
        <s v="DT:003365"/>
        <s v="DT:003349"/>
        <s v="DT:003406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21600.0"/>
        <n v="10800.0"/>
        <n v="13800.0"/>
        <n v="12000.0"/>
        <m/>
      </sharedItems>
    </cacheField>
    <cacheField name="Total Value" numFmtId="4">
      <sharedItems containsSemiMixedTypes="0" containsString="0" containsNumber="1" containsInteger="1">
        <n v="21600.0"/>
        <n v="24600.0"/>
        <n v="25800.0"/>
        <n v="108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350ml Orisirisi Wallnut Drink (12x)"/>
        <s v="350ml Orisirisi Wallnut with Ginger Drink (12x)"/>
        <s v="500ml Orisirisi Tiger Nut Drink (12x)"/>
        <s v="500ml Orisirisi Zobo with Date Drink (12x)"/>
        <m/>
      </sharedItems>
    </cacheField>
    <cacheField name="Date" numFmtId="164">
      <sharedItems containsDate="1" containsString="0" containsBlank="1">
        <d v="2025-12-11T00:00:00Z"/>
        <d v="2025-10-11T00:00:00Z"/>
        <d v="2025-07-11T00:00:00Z"/>
        <m/>
      </sharedItems>
    </cacheField>
    <cacheField name="Particulars" numFmtId="0">
      <sharedItems containsBlank="1">
        <s v="Renees Supermarket, LEKKI CENTRAL MOSQUE"/>
        <s v="Jesops Supermarket"/>
        <s v="Jendol Supermarket, ODOGUNYA"/>
        <s v="Jendol Supermarket, OJO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33"/>
        <s v="DT:003365"/>
        <s v="DT:003349"/>
        <s v="DT:003406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21600.0"/>
        <n v="10800.0"/>
        <n v="13800.0"/>
        <n v="1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4"/>
        <item x="2"/>
        <item x="3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2"/>
        <item x="1"/>
        <item x="3"/>
        <item x="0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0"/>
        <item x="1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4"/>
        <item x="2"/>
        <item x="3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2"/>
        <item x="1"/>
        <item x="3"/>
        <item x="0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4"/>
        <item x="1"/>
        <item x="3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3</v>
      </c>
    </row>
    <row r="3">
      <c r="A3" s="13" t="s">
        <v>15</v>
      </c>
      <c r="B3" s="14">
        <v>46002.0</v>
      </c>
      <c r="C3" s="15" t="s">
        <v>16</v>
      </c>
      <c r="D3" s="15" t="s">
        <v>17</v>
      </c>
      <c r="E3" s="2" t="s">
        <v>18</v>
      </c>
      <c r="F3" s="16">
        <v>1.0</v>
      </c>
      <c r="G3" s="17">
        <v>21600.0</v>
      </c>
      <c r="H3" s="18"/>
      <c r="I3" s="19" t="str">
        <f>IFERROR(__xludf.DUMMYFUNCTION("IFERROR(
  FILTER($A$3:$G1844, LEN($A$3:$A1844), LOWER(TRIM($D$3:$D1844))=""sales""),
)"),"350ml Orisirisi Wallnut Drink (12x)")</f>
        <v>350ml Orisirisi Wallnut Drink (12x)</v>
      </c>
      <c r="J3" s="20">
        <f>IFERROR(__xludf.DUMMYFUNCTION("""COMPUTED_VALUE"""),46002.0)</f>
        <v>46002</v>
      </c>
      <c r="K3" s="21" t="str">
        <f>IFERROR(__xludf.DUMMYFUNCTION("""COMPUTED_VALUE"""),"Renees Supermarket, LEKKI CENTRAL MOSQUE")</f>
        <v>Renees Supermarket, LEKKI CENTRAL MOSQUE</v>
      </c>
      <c r="L3" s="21" t="str">
        <f>IFERROR(__xludf.DUMMYFUNCTION("""COMPUTED_VALUE"""),"Sales")</f>
        <v>Sales</v>
      </c>
      <c r="M3" s="22" t="str">
        <f>IFERROR(__xludf.DUMMYFUNCTION("""COMPUTED_VALUE"""),"DT:003433")</f>
        <v>DT:003433</v>
      </c>
      <c r="N3" s="23">
        <f>IFERROR(__xludf.DUMMYFUNCTION("""COMPUTED_VALUE"""),1.0)</f>
        <v>1</v>
      </c>
      <c r="O3" s="24">
        <f>IFERROR(__xludf.DUMMYFUNCTION("""COMPUTED_VALUE"""),21600.0)</f>
        <v>21600</v>
      </c>
      <c r="P3" s="7">
        <f t="shared" ref="P3:P22" si="1">SUMIF(M:M,M3,O:O)</f>
        <v>21600</v>
      </c>
      <c r="Q3" s="19" t="str">
        <f>IFERROR(__xludf.DUMMYFUNCTION("IFERROR(
  FILTER($A$3:$G1844, LEN($A$3:$A1844), REGEXMATCH(LOWER(TRIM($D$3:$D1844)), ""\bjournal\b"")),
)"),"")</f>
        <v/>
      </c>
      <c r="R3" s="22"/>
      <c r="S3" s="21"/>
      <c r="T3" s="21"/>
      <c r="U3" s="22"/>
      <c r="V3" s="23"/>
      <c r="W3" s="24"/>
      <c r="Y3" s="25"/>
      <c r="Z3" s="25"/>
      <c r="AA3" s="25"/>
      <c r="AB3" s="25"/>
      <c r="AC3" s="25"/>
      <c r="AD3" s="25"/>
      <c r="AE3" s="25"/>
      <c r="AF3" s="25"/>
      <c r="AG3" s="19" t="str">
        <f>IFERROR(__xludf.DUMMYFUNCTION("IFERROR(
  FILTER($A$3:$G1844, LEN($A$3:$A1844), LOWER(TRIM($D$3:$D1844))=""Inventory Supplied by Brands
""),
)"),"")</f>
        <v/>
      </c>
      <c r="AH3" s="20"/>
      <c r="AI3" s="21"/>
      <c r="AJ3" s="21"/>
      <c r="AK3" s="22"/>
      <c r="AL3" s="23"/>
      <c r="AM3" s="24"/>
      <c r="AO3" s="19" t="str">
        <f>IFERROR(__xludf.DUMMYFUNCTION("IFERROR(
  FILTER($A$3:$G1844, LEN($A$3:$A1844), LOWER(TRIM($D$3:$D1844))=""Inventory Pickup by Dala
""),
)"),"")</f>
        <v/>
      </c>
      <c r="AP3" s="20"/>
      <c r="AQ3" s="21"/>
      <c r="AR3" s="21"/>
      <c r="AS3" s="22"/>
      <c r="AT3" s="23"/>
      <c r="AU3" s="24"/>
    </row>
    <row r="4">
      <c r="A4" s="26" t="s">
        <v>19</v>
      </c>
      <c r="B4" s="14">
        <v>45941.0</v>
      </c>
      <c r="C4" s="15" t="s">
        <v>20</v>
      </c>
      <c r="D4" s="15" t="s">
        <v>17</v>
      </c>
      <c r="E4" s="2" t="s">
        <v>21</v>
      </c>
      <c r="F4" s="16">
        <v>0.5</v>
      </c>
      <c r="G4" s="17">
        <v>10800.0</v>
      </c>
      <c r="I4" s="19" t="str">
        <f>IFERROR(__xludf.DUMMYFUNCTION("""COMPUTED_VALUE"""),"350ml Orisirisi Wallnut with Ginger Drink (12x)")</f>
        <v>350ml Orisirisi Wallnut with Ginger Drink (12x)</v>
      </c>
      <c r="J4" s="20">
        <f>IFERROR(__xludf.DUMMYFUNCTION("""COMPUTED_VALUE"""),45941.0)</f>
        <v>45941</v>
      </c>
      <c r="K4" s="21" t="str">
        <f>IFERROR(__xludf.DUMMYFUNCTION("""COMPUTED_VALUE"""),"Jesops Supermarket")</f>
        <v>Jesops Supermarket</v>
      </c>
      <c r="L4" s="21" t="str">
        <f>IFERROR(__xludf.DUMMYFUNCTION("""COMPUTED_VALUE"""),"Sales")</f>
        <v>Sales</v>
      </c>
      <c r="M4" s="22" t="str">
        <f>IFERROR(__xludf.DUMMYFUNCTION("""COMPUTED_VALUE"""),"DT:003365")</f>
        <v>DT:003365</v>
      </c>
      <c r="N4" s="23">
        <f>IFERROR(__xludf.DUMMYFUNCTION("""COMPUTED_VALUE"""),0.5)</f>
        <v>0.5</v>
      </c>
      <c r="O4" s="24">
        <f>IFERROR(__xludf.DUMMYFUNCTION("""COMPUTED_VALUE"""),10800.0)</f>
        <v>10800</v>
      </c>
      <c r="P4" s="7">
        <f t="shared" si="1"/>
        <v>24600</v>
      </c>
      <c r="Q4" s="19"/>
      <c r="R4" s="22"/>
      <c r="S4" s="21"/>
      <c r="T4" s="21"/>
      <c r="U4" s="22"/>
      <c r="V4" s="23"/>
      <c r="W4" s="24"/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2"/>
      <c r="AL4" s="23"/>
      <c r="AM4" s="24"/>
      <c r="AO4" s="19"/>
      <c r="AP4" s="20"/>
      <c r="AQ4" s="21"/>
      <c r="AR4" s="21"/>
      <c r="AS4" s="22"/>
      <c r="AT4" s="23"/>
      <c r="AU4" s="24"/>
    </row>
    <row r="5">
      <c r="A5" s="26" t="s">
        <v>22</v>
      </c>
      <c r="B5" s="14">
        <v>45849.0</v>
      </c>
      <c r="C5" s="15" t="s">
        <v>23</v>
      </c>
      <c r="D5" s="15" t="s">
        <v>17</v>
      </c>
      <c r="E5" s="2" t="s">
        <v>24</v>
      </c>
      <c r="F5" s="16">
        <v>0.5</v>
      </c>
      <c r="G5" s="17">
        <v>13800.0</v>
      </c>
      <c r="I5" s="19" t="str">
        <f>IFERROR(__xludf.DUMMYFUNCTION("""COMPUTED_VALUE"""),"500ml Orisirisi Tiger Nut Drink (12x)")</f>
        <v>500ml Orisirisi Tiger Nut Drink (12x)</v>
      </c>
      <c r="J5" s="20">
        <f>IFERROR(__xludf.DUMMYFUNCTION("""COMPUTED_VALUE"""),45849.0)</f>
        <v>45849</v>
      </c>
      <c r="K5" s="21" t="str">
        <f>IFERROR(__xludf.DUMMYFUNCTION("""COMPUTED_VALUE"""),"Jendol Supermarket, ODOGUNYA")</f>
        <v>Jendol Supermarket, ODOGUNYA</v>
      </c>
      <c r="L5" s="21" t="str">
        <f>IFERROR(__xludf.DUMMYFUNCTION("""COMPUTED_VALUE"""),"Sales")</f>
        <v>Sales</v>
      </c>
      <c r="M5" s="22" t="str">
        <f>IFERROR(__xludf.DUMMYFUNCTION("""COMPUTED_VALUE"""),"DT:003349")</f>
        <v>DT:003349</v>
      </c>
      <c r="N5" s="23">
        <f>IFERROR(__xludf.DUMMYFUNCTION("""COMPUTED_VALUE"""),0.5)</f>
        <v>0.5</v>
      </c>
      <c r="O5" s="24">
        <f>IFERROR(__xludf.DUMMYFUNCTION("""COMPUTED_VALUE"""),13800.0)</f>
        <v>13800</v>
      </c>
      <c r="P5" s="7">
        <f t="shared" si="1"/>
        <v>25800</v>
      </c>
      <c r="Q5" s="19"/>
      <c r="R5" s="20"/>
      <c r="S5" s="21"/>
      <c r="T5" s="21"/>
      <c r="U5" s="22"/>
      <c r="V5" s="23"/>
      <c r="W5" s="24"/>
      <c r="Y5" s="25"/>
      <c r="Z5" s="25"/>
      <c r="AA5" s="25"/>
      <c r="AB5" s="25"/>
      <c r="AC5" s="25"/>
      <c r="AD5" s="25"/>
      <c r="AE5" s="25"/>
      <c r="AF5" s="25"/>
      <c r="AG5" s="19"/>
      <c r="AH5" s="20"/>
      <c r="AI5" s="21"/>
      <c r="AJ5" s="21"/>
      <c r="AK5" s="22"/>
      <c r="AL5" s="23"/>
      <c r="AM5" s="24"/>
      <c r="AO5" s="19"/>
      <c r="AP5" s="20"/>
      <c r="AQ5" s="21"/>
      <c r="AR5" s="21"/>
      <c r="AS5" s="22"/>
      <c r="AT5" s="23"/>
      <c r="AU5" s="24"/>
    </row>
    <row r="6">
      <c r="A6" s="26" t="s">
        <v>22</v>
      </c>
      <c r="B6" s="14">
        <v>45941.0</v>
      </c>
      <c r="C6" s="15" t="s">
        <v>20</v>
      </c>
      <c r="D6" s="15" t="s">
        <v>17</v>
      </c>
      <c r="E6" s="2" t="s">
        <v>21</v>
      </c>
      <c r="F6" s="27">
        <v>0.5</v>
      </c>
      <c r="G6" s="17">
        <v>13800.0</v>
      </c>
      <c r="I6" s="19" t="str">
        <f>IFERROR(__xludf.DUMMYFUNCTION("""COMPUTED_VALUE"""),"500ml Orisirisi Tiger Nut Drink (12x)")</f>
        <v>500ml Orisirisi Tiger Nut Drink (12x)</v>
      </c>
      <c r="J6" s="20">
        <f>IFERROR(__xludf.DUMMYFUNCTION("""COMPUTED_VALUE"""),45941.0)</f>
        <v>45941</v>
      </c>
      <c r="K6" s="21" t="str">
        <f>IFERROR(__xludf.DUMMYFUNCTION("""COMPUTED_VALUE"""),"Jesops Supermarket")</f>
        <v>Jesops Supermarket</v>
      </c>
      <c r="L6" s="21" t="str">
        <f>IFERROR(__xludf.DUMMYFUNCTION("""COMPUTED_VALUE"""),"Sales")</f>
        <v>Sales</v>
      </c>
      <c r="M6" s="22" t="str">
        <f>IFERROR(__xludf.DUMMYFUNCTION("""COMPUTED_VALUE"""),"DT:003365")</f>
        <v>DT:003365</v>
      </c>
      <c r="N6" s="23">
        <f>IFERROR(__xludf.DUMMYFUNCTION("""COMPUTED_VALUE"""),0.5)</f>
        <v>0.5</v>
      </c>
      <c r="O6" s="24">
        <f>IFERROR(__xludf.DUMMYFUNCTION("""COMPUTED_VALUE"""),13800.0)</f>
        <v>13800</v>
      </c>
      <c r="P6" s="7">
        <f t="shared" si="1"/>
        <v>24600</v>
      </c>
      <c r="Q6" s="28"/>
      <c r="R6" s="14"/>
      <c r="S6" s="15"/>
      <c r="T6" s="15"/>
      <c r="U6" s="2"/>
      <c r="V6" s="2"/>
      <c r="W6" s="29"/>
      <c r="Y6" s="25"/>
      <c r="Z6" s="25"/>
      <c r="AA6" s="25"/>
      <c r="AB6" s="25"/>
      <c r="AC6" s="25"/>
      <c r="AD6" s="25"/>
      <c r="AE6" s="25"/>
      <c r="AF6" s="25"/>
      <c r="AG6" s="28"/>
      <c r="AH6" s="14"/>
      <c r="AI6" s="15"/>
      <c r="AJ6" s="15"/>
      <c r="AK6" s="2"/>
      <c r="AL6" s="27"/>
      <c r="AM6" s="17"/>
      <c r="AO6" s="19"/>
      <c r="AP6" s="20"/>
      <c r="AQ6" s="21"/>
      <c r="AR6" s="21"/>
      <c r="AS6" s="22"/>
      <c r="AT6" s="22"/>
      <c r="AU6" s="24"/>
    </row>
    <row r="7">
      <c r="A7" s="26" t="s">
        <v>25</v>
      </c>
      <c r="B7" s="14">
        <v>45849.0</v>
      </c>
      <c r="C7" s="15" t="s">
        <v>23</v>
      </c>
      <c r="D7" s="15" t="s">
        <v>17</v>
      </c>
      <c r="E7" s="2" t="s">
        <v>24</v>
      </c>
      <c r="F7" s="16">
        <v>0.5</v>
      </c>
      <c r="G7" s="17">
        <v>12000.0</v>
      </c>
      <c r="I7" s="19" t="str">
        <f>IFERROR(__xludf.DUMMYFUNCTION("""COMPUTED_VALUE"""),"500ml Orisirisi Zobo with Date Drink (12x)")</f>
        <v>500ml Orisirisi Zobo with Date Drink (12x)</v>
      </c>
      <c r="J7" s="20">
        <f>IFERROR(__xludf.DUMMYFUNCTION("""COMPUTED_VALUE"""),45849.0)</f>
        <v>45849</v>
      </c>
      <c r="K7" s="21" t="str">
        <f>IFERROR(__xludf.DUMMYFUNCTION("""COMPUTED_VALUE"""),"Jendol Supermarket, ODOGUNYA")</f>
        <v>Jendol Supermarket, ODOGUNYA</v>
      </c>
      <c r="L7" s="21" t="str">
        <f>IFERROR(__xludf.DUMMYFUNCTION("""COMPUTED_VALUE"""),"Sales")</f>
        <v>Sales</v>
      </c>
      <c r="M7" s="22" t="str">
        <f>IFERROR(__xludf.DUMMYFUNCTION("""COMPUTED_VALUE"""),"DT:003349")</f>
        <v>DT:003349</v>
      </c>
      <c r="N7" s="23">
        <f>IFERROR(__xludf.DUMMYFUNCTION("""COMPUTED_VALUE"""),0.5)</f>
        <v>0.5</v>
      </c>
      <c r="O7" s="24">
        <f>IFERROR(__xludf.DUMMYFUNCTION("""COMPUTED_VALUE"""),12000.0)</f>
        <v>12000</v>
      </c>
      <c r="P7" s="7">
        <f t="shared" si="1"/>
        <v>25800</v>
      </c>
      <c r="Q7" s="28"/>
      <c r="R7" s="14"/>
      <c r="S7" s="30"/>
      <c r="T7" s="15"/>
      <c r="U7" s="2"/>
      <c r="V7" s="27"/>
      <c r="W7" s="29"/>
      <c r="Y7" s="25"/>
      <c r="Z7" s="25"/>
      <c r="AA7" s="25"/>
      <c r="AB7" s="25"/>
      <c r="AC7" s="25"/>
      <c r="AD7" s="25"/>
      <c r="AE7" s="25"/>
      <c r="AF7" s="25"/>
      <c r="AG7" s="28"/>
      <c r="AH7" s="14"/>
      <c r="AI7" s="15"/>
      <c r="AJ7" s="15"/>
      <c r="AK7" s="2"/>
      <c r="AL7" s="2"/>
      <c r="AM7" s="29"/>
      <c r="AO7" s="31"/>
      <c r="AP7" s="14"/>
      <c r="AQ7" s="15"/>
      <c r="AR7" s="15"/>
      <c r="AS7" s="2"/>
      <c r="AT7" s="16"/>
      <c r="AU7" s="17"/>
    </row>
    <row r="8">
      <c r="A8" s="26" t="s">
        <v>25</v>
      </c>
      <c r="B8" s="14">
        <v>46002.0</v>
      </c>
      <c r="C8" s="15" t="s">
        <v>26</v>
      </c>
      <c r="D8" s="15" t="s">
        <v>17</v>
      </c>
      <c r="E8" s="2" t="s">
        <v>27</v>
      </c>
      <c r="F8" s="16">
        <v>0.5</v>
      </c>
      <c r="G8" s="17">
        <v>10800.0</v>
      </c>
      <c r="I8" s="19" t="str">
        <f>IFERROR(__xludf.DUMMYFUNCTION("""COMPUTED_VALUE"""),"500ml Orisirisi Zobo with Date Drink (12x)")</f>
        <v>500ml Orisirisi Zobo with Date Drink (12x)</v>
      </c>
      <c r="J8" s="20">
        <f>IFERROR(__xludf.DUMMYFUNCTION("""COMPUTED_VALUE"""),46002.0)</f>
        <v>46002</v>
      </c>
      <c r="K8" s="21" t="str">
        <f>IFERROR(__xludf.DUMMYFUNCTION("""COMPUTED_VALUE"""),"Jendol Supermarket, OJODU")</f>
        <v>Jendol Supermarket, OJODU</v>
      </c>
      <c r="L8" s="21" t="str">
        <f>IFERROR(__xludf.DUMMYFUNCTION("""COMPUTED_VALUE"""),"Sales")</f>
        <v>Sales</v>
      </c>
      <c r="M8" s="22" t="str">
        <f>IFERROR(__xludf.DUMMYFUNCTION("""COMPUTED_VALUE"""),"DT:003406")</f>
        <v>DT:003406</v>
      </c>
      <c r="N8" s="22">
        <f>IFERROR(__xludf.DUMMYFUNCTION("""COMPUTED_VALUE"""),0.5)</f>
        <v>0.5</v>
      </c>
      <c r="O8" s="24">
        <f>IFERROR(__xludf.DUMMYFUNCTION("""COMPUTED_VALUE"""),10800.0)</f>
        <v>10800</v>
      </c>
      <c r="P8" s="7">
        <f t="shared" si="1"/>
        <v>10800</v>
      </c>
      <c r="Q8" s="28"/>
      <c r="R8" s="14"/>
      <c r="S8" s="15"/>
      <c r="T8" s="15"/>
      <c r="U8" s="2"/>
      <c r="V8" s="27"/>
      <c r="W8" s="29"/>
      <c r="Y8" s="25"/>
      <c r="Z8" s="25"/>
      <c r="AA8" s="25"/>
      <c r="AB8" s="25"/>
      <c r="AC8" s="25"/>
      <c r="AD8" s="25"/>
      <c r="AE8" s="25"/>
      <c r="AF8" s="25"/>
      <c r="AG8" s="28"/>
      <c r="AH8" s="14"/>
      <c r="AI8" s="15"/>
      <c r="AJ8" s="15"/>
      <c r="AK8" s="2"/>
      <c r="AL8" s="27"/>
      <c r="AM8" s="29"/>
      <c r="AP8" s="32"/>
      <c r="AU8" s="12"/>
    </row>
    <row r="9">
      <c r="A9" s="26"/>
      <c r="B9" s="14"/>
      <c r="C9" s="15"/>
      <c r="D9" s="15"/>
      <c r="E9" s="2"/>
      <c r="F9" s="16"/>
      <c r="G9" s="17"/>
      <c r="I9" s="19"/>
      <c r="J9" s="20"/>
      <c r="K9" s="21"/>
      <c r="L9" s="21"/>
      <c r="M9" s="22"/>
      <c r="N9" s="23"/>
      <c r="O9" s="24"/>
      <c r="P9" s="7">
        <f t="shared" si="1"/>
        <v>0</v>
      </c>
      <c r="Q9" s="28"/>
      <c r="R9" s="14"/>
      <c r="S9" s="15"/>
      <c r="T9" s="15"/>
      <c r="U9" s="2"/>
      <c r="V9" s="2"/>
      <c r="W9" s="29"/>
      <c r="AP9" s="32"/>
      <c r="AU9" s="12"/>
    </row>
    <row r="10">
      <c r="A10" s="26"/>
      <c r="B10" s="14"/>
      <c r="C10" s="15"/>
      <c r="D10" s="15"/>
      <c r="E10" s="2"/>
      <c r="F10" s="16"/>
      <c r="G10" s="17"/>
      <c r="I10" s="19"/>
      <c r="J10" s="20"/>
      <c r="K10" s="21"/>
      <c r="L10" s="21"/>
      <c r="M10" s="22"/>
      <c r="N10" s="22"/>
      <c r="O10" s="24"/>
      <c r="P10" s="7">
        <f t="shared" si="1"/>
        <v>0</v>
      </c>
      <c r="Q10" s="28"/>
      <c r="R10" s="14"/>
      <c r="S10" s="15"/>
      <c r="T10" s="15"/>
      <c r="U10" s="2"/>
      <c r="V10" s="27"/>
      <c r="W10" s="29"/>
      <c r="AP10" s="32"/>
      <c r="AU10" s="12"/>
    </row>
    <row r="11">
      <c r="A11" s="26"/>
      <c r="B11" s="14"/>
      <c r="C11" s="15"/>
      <c r="D11" s="15"/>
      <c r="E11" s="2"/>
      <c r="F11" s="16"/>
      <c r="G11" s="17"/>
      <c r="I11" s="19"/>
      <c r="J11" s="20"/>
      <c r="K11" s="21"/>
      <c r="L11" s="21"/>
      <c r="M11" s="22"/>
      <c r="N11" s="23"/>
      <c r="O11" s="24"/>
      <c r="P11" s="7">
        <f t="shared" si="1"/>
        <v>0</v>
      </c>
      <c r="Q11" s="28"/>
      <c r="R11" s="14"/>
      <c r="S11" s="15"/>
      <c r="T11" s="15"/>
      <c r="U11" s="2"/>
      <c r="V11" s="2"/>
      <c r="W11" s="29"/>
      <c r="AP11" s="32"/>
      <c r="AU11" s="12"/>
    </row>
    <row r="12">
      <c r="A12" s="26"/>
      <c r="B12" s="14"/>
      <c r="C12" s="15"/>
      <c r="D12" s="15"/>
      <c r="E12" s="2"/>
      <c r="F12" s="27"/>
      <c r="G12" s="17"/>
      <c r="I12" s="19"/>
      <c r="J12" s="20"/>
      <c r="K12" s="21"/>
      <c r="L12" s="21"/>
      <c r="M12" s="22"/>
      <c r="N12" s="23"/>
      <c r="O12" s="24"/>
      <c r="P12" s="7">
        <f t="shared" si="1"/>
        <v>0</v>
      </c>
      <c r="Q12" s="28"/>
      <c r="R12" s="14"/>
      <c r="S12" s="15"/>
      <c r="T12" s="15"/>
      <c r="U12" s="2"/>
      <c r="V12" s="27"/>
      <c r="W12" s="29"/>
      <c r="AP12" s="32"/>
      <c r="AU12" s="12"/>
    </row>
    <row r="13">
      <c r="A13" s="26"/>
      <c r="B13" s="14"/>
      <c r="C13" s="15"/>
      <c r="D13" s="15"/>
      <c r="E13" s="2"/>
      <c r="F13" s="16"/>
      <c r="G13" s="17"/>
      <c r="I13" s="19"/>
      <c r="J13" s="20"/>
      <c r="K13" s="21"/>
      <c r="L13" s="21"/>
      <c r="M13" s="22"/>
      <c r="N13" s="22"/>
      <c r="O13" s="24"/>
      <c r="P13" s="7">
        <f t="shared" si="1"/>
        <v>0</v>
      </c>
      <c r="Q13" s="28"/>
      <c r="R13" s="14"/>
      <c r="S13" s="30"/>
      <c r="T13" s="15"/>
      <c r="U13" s="2"/>
      <c r="V13" s="2"/>
      <c r="W13" s="29"/>
      <c r="AP13" s="32"/>
      <c r="AU13" s="12"/>
    </row>
    <row r="14">
      <c r="A14" s="19"/>
      <c r="B14" s="20"/>
      <c r="C14" s="21"/>
      <c r="D14" s="21"/>
      <c r="E14" s="22"/>
      <c r="F14" s="23"/>
      <c r="G14" s="24"/>
      <c r="I14" s="19"/>
      <c r="J14" s="20"/>
      <c r="K14" s="21"/>
      <c r="L14" s="21"/>
      <c r="M14" s="22"/>
      <c r="N14" s="23"/>
      <c r="O14" s="24"/>
      <c r="P14" s="7">
        <f t="shared" si="1"/>
        <v>0</v>
      </c>
      <c r="Q14" s="28"/>
      <c r="R14" s="14"/>
      <c r="S14" s="30"/>
      <c r="T14" s="15"/>
      <c r="U14" s="2"/>
      <c r="V14" s="27"/>
      <c r="W14" s="29"/>
      <c r="AP14" s="32"/>
      <c r="AU14" s="12"/>
    </row>
    <row r="15">
      <c r="A15" s="19"/>
      <c r="B15" s="20"/>
      <c r="C15" s="21"/>
      <c r="D15" s="21"/>
      <c r="E15" s="22"/>
      <c r="F15" s="22"/>
      <c r="G15" s="24"/>
      <c r="I15" s="33"/>
      <c r="J15" s="34"/>
      <c r="K15" s="35"/>
      <c r="L15" s="35"/>
      <c r="M15" s="36"/>
      <c r="N15" s="36"/>
      <c r="O15" s="37"/>
      <c r="P15" s="7">
        <f t="shared" si="1"/>
        <v>0</v>
      </c>
      <c r="Q15" s="28"/>
      <c r="R15" s="14"/>
      <c r="S15" s="15"/>
      <c r="T15" s="15"/>
      <c r="U15" s="2"/>
      <c r="V15" s="27"/>
      <c r="W15" s="29"/>
      <c r="AP15" s="32"/>
      <c r="AU15" s="12"/>
    </row>
    <row r="16">
      <c r="A16" s="19"/>
      <c r="B16" s="20"/>
      <c r="C16" s="21"/>
      <c r="D16" s="21"/>
      <c r="E16" s="22"/>
      <c r="F16" s="23"/>
      <c r="G16" s="24"/>
      <c r="I16" s="33"/>
      <c r="J16" s="34"/>
      <c r="K16" s="35"/>
      <c r="L16" s="35"/>
      <c r="M16" s="36"/>
      <c r="N16" s="38"/>
      <c r="O16" s="37"/>
      <c r="P16" s="7">
        <f t="shared" si="1"/>
        <v>0</v>
      </c>
      <c r="Q16" s="28"/>
      <c r="R16" s="14"/>
      <c r="S16" s="15"/>
      <c r="T16" s="15"/>
      <c r="U16" s="2"/>
      <c r="V16" s="27"/>
      <c r="W16" s="29"/>
      <c r="AP16" s="32"/>
      <c r="AU16" s="12"/>
    </row>
    <row r="17">
      <c r="A17" s="33"/>
      <c r="B17" s="34"/>
      <c r="C17" s="35"/>
      <c r="D17" s="35"/>
      <c r="E17" s="36"/>
      <c r="F17" s="36"/>
      <c r="G17" s="37"/>
      <c r="I17" s="33"/>
      <c r="J17" s="34"/>
      <c r="K17" s="35"/>
      <c r="L17" s="35"/>
      <c r="M17" s="36"/>
      <c r="N17" s="36"/>
      <c r="O17" s="37"/>
      <c r="P17" s="7">
        <f t="shared" si="1"/>
        <v>0</v>
      </c>
      <c r="Q17" s="28"/>
      <c r="R17" s="14"/>
      <c r="S17" s="15"/>
      <c r="T17" s="15"/>
      <c r="U17" s="2"/>
      <c r="V17" s="27"/>
      <c r="W17" s="29"/>
      <c r="AP17" s="32"/>
      <c r="AU17" s="12"/>
    </row>
    <row r="18">
      <c r="A18" s="33"/>
      <c r="B18" s="34"/>
      <c r="C18" s="35"/>
      <c r="D18" s="35"/>
      <c r="E18" s="36"/>
      <c r="F18" s="38"/>
      <c r="G18" s="37"/>
      <c r="I18" s="33"/>
      <c r="J18" s="34"/>
      <c r="K18" s="35"/>
      <c r="L18" s="35"/>
      <c r="M18" s="36"/>
      <c r="N18" s="38"/>
      <c r="O18" s="37"/>
      <c r="P18" s="7">
        <f t="shared" si="1"/>
        <v>0</v>
      </c>
      <c r="Q18" s="28"/>
      <c r="R18" s="14"/>
      <c r="S18" s="15"/>
      <c r="T18" s="15"/>
      <c r="U18" s="2"/>
      <c r="V18" s="27"/>
      <c r="W18" s="29"/>
      <c r="AP18" s="32"/>
      <c r="AU18" s="12"/>
    </row>
    <row r="19">
      <c r="A19" s="33"/>
      <c r="B19" s="34"/>
      <c r="C19" s="35"/>
      <c r="D19" s="35"/>
      <c r="E19" s="36"/>
      <c r="F19" s="36"/>
      <c r="G19" s="37"/>
      <c r="I19" s="33"/>
      <c r="J19" s="34"/>
      <c r="K19" s="35"/>
      <c r="L19" s="35"/>
      <c r="M19" s="36"/>
      <c r="N19" s="36"/>
      <c r="O19" s="37"/>
      <c r="P19" s="7">
        <f t="shared" si="1"/>
        <v>0</v>
      </c>
      <c r="Q19" s="28"/>
      <c r="R19" s="14"/>
      <c r="S19" s="15"/>
      <c r="T19" s="15"/>
      <c r="U19" s="2"/>
      <c r="V19" s="27"/>
      <c r="W19" s="29"/>
      <c r="AP19" s="32"/>
      <c r="AU19" s="12"/>
    </row>
    <row r="20">
      <c r="A20" s="33"/>
      <c r="B20" s="34"/>
      <c r="C20" s="35"/>
      <c r="D20" s="35"/>
      <c r="E20" s="36"/>
      <c r="F20" s="36"/>
      <c r="G20" s="37"/>
      <c r="I20" s="33"/>
      <c r="J20" s="34"/>
      <c r="K20" s="35"/>
      <c r="L20" s="35"/>
      <c r="M20" s="36"/>
      <c r="N20" s="36"/>
      <c r="O20" s="37"/>
      <c r="P20" s="7">
        <f t="shared" si="1"/>
        <v>0</v>
      </c>
      <c r="Q20" s="28"/>
      <c r="R20" s="14"/>
      <c r="S20" s="15"/>
      <c r="T20" s="15"/>
      <c r="U20" s="2"/>
      <c r="V20" s="27"/>
      <c r="W20" s="29"/>
      <c r="AP20" s="32"/>
      <c r="AU20" s="12"/>
    </row>
    <row r="21">
      <c r="A21" s="33"/>
      <c r="B21" s="34"/>
      <c r="C21" s="35"/>
      <c r="D21" s="35"/>
      <c r="E21" s="36"/>
      <c r="F21" s="36"/>
      <c r="G21" s="37"/>
      <c r="I21" s="33"/>
      <c r="J21" s="34"/>
      <c r="K21" s="35"/>
      <c r="L21" s="35"/>
      <c r="M21" s="36"/>
      <c r="N21" s="36"/>
      <c r="O21" s="37"/>
      <c r="P21" s="7">
        <f t="shared" si="1"/>
        <v>0</v>
      </c>
      <c r="Q21" s="28"/>
      <c r="R21" s="14"/>
      <c r="S21" s="15"/>
      <c r="T21" s="15"/>
      <c r="U21" s="2"/>
      <c r="V21" s="27"/>
      <c r="W21" s="29"/>
      <c r="AP21" s="32"/>
      <c r="AU21" s="12"/>
    </row>
    <row r="22">
      <c r="A22" s="33"/>
      <c r="B22" s="34"/>
      <c r="C22" s="35"/>
      <c r="D22" s="35"/>
      <c r="E22" s="36"/>
      <c r="F22" s="36"/>
      <c r="G22" s="37"/>
      <c r="I22" s="33"/>
      <c r="J22" s="34"/>
      <c r="K22" s="35"/>
      <c r="L22" s="35"/>
      <c r="M22" s="36"/>
      <c r="N22" s="36"/>
      <c r="O22" s="37"/>
      <c r="P22" s="7">
        <f t="shared" si="1"/>
        <v>0</v>
      </c>
      <c r="Q22" s="28"/>
      <c r="R22" s="14"/>
      <c r="S22" s="30"/>
      <c r="T22" s="15"/>
      <c r="U22" s="2"/>
      <c r="V22" s="27"/>
      <c r="W22" s="29"/>
      <c r="AP22" s="32"/>
      <c r="AU22" s="12"/>
    </row>
    <row r="23">
      <c r="A23" s="31"/>
      <c r="B23" s="14"/>
      <c r="C23" s="15"/>
      <c r="D23" s="15"/>
      <c r="E23" s="2"/>
      <c r="F23" s="39"/>
      <c r="G23" s="40"/>
      <c r="I23" s="28"/>
      <c r="J23" s="14"/>
      <c r="K23" s="15"/>
      <c r="L23" s="15"/>
      <c r="M23" s="2"/>
      <c r="N23" s="39"/>
      <c r="O23" s="40"/>
      <c r="P23" s="7"/>
      <c r="Q23" s="28"/>
      <c r="R23" s="14"/>
      <c r="S23" s="30"/>
      <c r="T23" s="15"/>
      <c r="U23" s="2"/>
      <c r="V23" s="27"/>
      <c r="W23" s="29"/>
      <c r="AP23" s="32"/>
      <c r="AU23" s="12"/>
    </row>
    <row r="24">
      <c r="A24" s="31"/>
      <c r="B24" s="14"/>
      <c r="C24" s="30"/>
      <c r="D24" s="15"/>
      <c r="E24" s="2"/>
      <c r="F24" s="27"/>
      <c r="G24" s="17"/>
      <c r="I24" s="28"/>
      <c r="J24" s="14"/>
      <c r="K24" s="30"/>
      <c r="L24" s="15"/>
      <c r="M24" s="2"/>
      <c r="N24" s="27"/>
      <c r="O24" s="17"/>
      <c r="P24" s="7"/>
      <c r="Q24" s="28"/>
      <c r="R24" s="14"/>
      <c r="S24" s="30"/>
      <c r="T24" s="15"/>
      <c r="U24" s="2"/>
      <c r="V24" s="2"/>
      <c r="W24" s="29"/>
      <c r="AP24" s="32"/>
      <c r="AU24" s="12"/>
    </row>
    <row r="25">
      <c r="A25" s="31"/>
      <c r="B25" s="14"/>
      <c r="C25" s="15"/>
      <c r="D25" s="15"/>
      <c r="E25" s="2"/>
      <c r="F25" s="27"/>
      <c r="G25" s="17"/>
      <c r="I25" s="28"/>
      <c r="J25" s="14"/>
      <c r="K25" s="30"/>
      <c r="L25" s="15"/>
      <c r="M25" s="2"/>
      <c r="N25" s="27"/>
      <c r="O25" s="17"/>
      <c r="P25" s="7"/>
      <c r="Q25" s="28"/>
      <c r="R25" s="14"/>
      <c r="S25" s="15"/>
      <c r="T25" s="15"/>
      <c r="U25" s="2"/>
      <c r="V25" s="27"/>
      <c r="W25" s="29"/>
      <c r="AP25" s="32"/>
      <c r="AU25" s="12"/>
    </row>
    <row r="26">
      <c r="A26" s="31"/>
      <c r="B26" s="14"/>
      <c r="C26" s="15"/>
      <c r="D26" s="15"/>
      <c r="E26" s="2"/>
      <c r="F26" s="27"/>
      <c r="G26" s="17"/>
      <c r="I26" s="28"/>
      <c r="J26" s="14"/>
      <c r="K26" s="30"/>
      <c r="L26" s="15"/>
      <c r="M26" s="2"/>
      <c r="N26" s="27"/>
      <c r="O26" s="17"/>
      <c r="P26" s="7"/>
      <c r="Q26" s="28"/>
      <c r="R26" s="14"/>
      <c r="S26" s="15"/>
      <c r="T26" s="15"/>
      <c r="U26" s="2"/>
      <c r="V26" s="2"/>
      <c r="W26" s="29"/>
      <c r="AP26" s="32"/>
      <c r="AU26" s="12"/>
    </row>
    <row r="27">
      <c r="A27" s="31"/>
      <c r="B27" s="14"/>
      <c r="C27" s="15"/>
      <c r="D27" s="15"/>
      <c r="E27" s="2"/>
      <c r="F27" s="27"/>
      <c r="G27" s="17"/>
      <c r="I27" s="28"/>
      <c r="J27" s="14"/>
      <c r="K27" s="30"/>
      <c r="L27" s="15"/>
      <c r="M27" s="2"/>
      <c r="N27" s="27"/>
      <c r="O27" s="17"/>
      <c r="P27" s="7"/>
      <c r="Q27" s="28"/>
      <c r="R27" s="14"/>
      <c r="S27" s="15"/>
      <c r="T27" s="15"/>
      <c r="U27" s="2"/>
      <c r="V27" s="27"/>
      <c r="W27" s="29"/>
      <c r="AP27" s="32"/>
      <c r="AU27" s="12"/>
    </row>
    <row r="28">
      <c r="A28" s="28"/>
      <c r="B28" s="14"/>
      <c r="C28" s="15"/>
      <c r="D28" s="15"/>
      <c r="E28" s="2"/>
      <c r="F28" s="27"/>
      <c r="G28" s="17"/>
      <c r="I28" s="28"/>
      <c r="J28" s="14"/>
      <c r="K28" s="15"/>
      <c r="L28" s="15"/>
      <c r="M28" s="2"/>
      <c r="N28" s="27"/>
      <c r="O28" s="17"/>
      <c r="P28" s="7"/>
      <c r="Q28" s="28"/>
      <c r="R28" s="14"/>
      <c r="S28" s="15"/>
      <c r="T28" s="15"/>
      <c r="U28" s="2"/>
      <c r="V28" s="2"/>
      <c r="W28" s="29"/>
      <c r="AP28" s="32"/>
      <c r="AU28" s="12"/>
    </row>
    <row r="29">
      <c r="A29" s="28"/>
      <c r="B29" s="14"/>
      <c r="C29" s="30"/>
      <c r="D29" s="15"/>
      <c r="E29" s="2"/>
      <c r="F29" s="27"/>
      <c r="G29" s="17"/>
      <c r="I29" s="28"/>
      <c r="J29" s="14"/>
      <c r="K29" s="15"/>
      <c r="L29" s="15"/>
      <c r="M29" s="2"/>
      <c r="N29" s="27"/>
      <c r="O29" s="17"/>
      <c r="P29" s="7"/>
      <c r="Q29" s="28"/>
      <c r="R29" s="14"/>
      <c r="S29" s="15"/>
      <c r="T29" s="15"/>
      <c r="U29" s="2"/>
      <c r="V29" s="27"/>
      <c r="W29" s="29"/>
      <c r="AP29" s="32"/>
      <c r="AU29" s="12"/>
    </row>
    <row r="30">
      <c r="A30" s="28"/>
      <c r="B30" s="14"/>
      <c r="C30" s="30"/>
      <c r="D30" s="15"/>
      <c r="E30" s="2"/>
      <c r="F30" s="27"/>
      <c r="G30" s="17"/>
      <c r="I30" s="28"/>
      <c r="J30" s="14"/>
      <c r="K30" s="30"/>
      <c r="L30" s="15"/>
      <c r="M30" s="2"/>
      <c r="N30" s="27"/>
      <c r="O30" s="17"/>
      <c r="P30" s="7"/>
      <c r="Q30" s="28"/>
      <c r="R30" s="14"/>
      <c r="S30" s="15"/>
      <c r="T30" s="15"/>
      <c r="U30" s="2"/>
      <c r="V30" s="2"/>
      <c r="W30" s="29"/>
      <c r="AP30" s="32"/>
      <c r="AU30" s="12"/>
    </row>
    <row r="31">
      <c r="A31" s="28"/>
      <c r="B31" s="14"/>
      <c r="C31" s="30"/>
      <c r="D31" s="15"/>
      <c r="E31" s="2"/>
      <c r="F31" s="27"/>
      <c r="G31" s="17"/>
      <c r="I31" s="28"/>
      <c r="J31" s="14"/>
      <c r="K31" s="30"/>
      <c r="L31" s="15"/>
      <c r="M31" s="2"/>
      <c r="N31" s="27"/>
      <c r="O31" s="17"/>
      <c r="P31" s="7"/>
      <c r="Q31" s="28"/>
      <c r="R31" s="14"/>
      <c r="S31" s="15"/>
      <c r="T31" s="15"/>
      <c r="U31" s="2"/>
      <c r="V31" s="27"/>
      <c r="W31" s="29"/>
      <c r="AP31" s="32"/>
      <c r="AU31" s="12"/>
    </row>
    <row r="32">
      <c r="A32" s="28"/>
      <c r="B32" s="14"/>
      <c r="C32" s="15"/>
      <c r="D32" s="15"/>
      <c r="E32" s="2"/>
      <c r="F32" s="27"/>
      <c r="G32" s="17"/>
      <c r="I32" s="28"/>
      <c r="J32" s="14"/>
      <c r="K32" s="30"/>
      <c r="L32" s="15"/>
      <c r="M32" s="2"/>
      <c r="N32" s="27"/>
      <c r="O32" s="17"/>
      <c r="P32" s="7"/>
      <c r="Q32" s="28"/>
      <c r="R32" s="14"/>
      <c r="S32" s="15"/>
      <c r="T32" s="15"/>
      <c r="U32" s="2"/>
      <c r="V32" s="2"/>
      <c r="W32" s="29"/>
      <c r="AP32" s="32"/>
      <c r="AU32" s="12"/>
    </row>
    <row r="33">
      <c r="A33" s="28"/>
      <c r="B33" s="14"/>
      <c r="C33" s="15"/>
      <c r="D33" s="15"/>
      <c r="E33" s="2"/>
      <c r="F33" s="27"/>
      <c r="G33" s="17"/>
      <c r="I33" s="28"/>
      <c r="J33" s="14"/>
      <c r="K33" s="30"/>
      <c r="L33" s="15"/>
      <c r="M33" s="2"/>
      <c r="N33" s="27"/>
      <c r="O33" s="17"/>
      <c r="P33" s="7"/>
      <c r="Q33" s="28"/>
      <c r="R33" s="14"/>
      <c r="S33" s="30"/>
      <c r="T33" s="15"/>
      <c r="U33" s="2"/>
      <c r="V33" s="27"/>
      <c r="W33" s="29"/>
      <c r="AP33" s="32"/>
      <c r="AU33" s="12"/>
    </row>
    <row r="34">
      <c r="A34" s="28"/>
      <c r="B34" s="14"/>
      <c r="C34" s="30"/>
      <c r="D34" s="15"/>
      <c r="E34" s="2"/>
      <c r="F34" s="27"/>
      <c r="G34" s="17"/>
      <c r="I34" s="28"/>
      <c r="J34" s="14"/>
      <c r="K34" s="30"/>
      <c r="L34" s="15"/>
      <c r="M34" s="2"/>
      <c r="N34" s="27"/>
      <c r="O34" s="17"/>
      <c r="P34" s="7"/>
      <c r="Q34" s="28"/>
      <c r="R34" s="14"/>
      <c r="S34" s="30"/>
      <c r="T34" s="15"/>
      <c r="U34" s="2"/>
      <c r="V34" s="2"/>
      <c r="W34" s="29"/>
      <c r="AP34" s="32"/>
      <c r="AU34" s="12"/>
    </row>
    <row r="35">
      <c r="A35" s="28"/>
      <c r="B35" s="14"/>
      <c r="C35" s="30"/>
      <c r="D35" s="15"/>
      <c r="E35" s="2"/>
      <c r="F35" s="27"/>
      <c r="G35" s="17"/>
      <c r="I35" s="28"/>
      <c r="J35" s="14"/>
      <c r="K35" s="30"/>
      <c r="L35" s="15"/>
      <c r="M35" s="2"/>
      <c r="N35" s="27"/>
      <c r="O35" s="17"/>
      <c r="P35" s="7"/>
      <c r="Q35" s="28"/>
      <c r="R35" s="14"/>
      <c r="S35" s="15"/>
      <c r="T35" s="15"/>
      <c r="U35" s="2"/>
      <c r="V35" s="27"/>
      <c r="W35" s="29"/>
      <c r="AP35" s="32"/>
      <c r="AU35" s="12"/>
    </row>
    <row r="36">
      <c r="A36" s="28"/>
      <c r="B36" s="14"/>
      <c r="C36" s="30"/>
      <c r="D36" s="15"/>
      <c r="E36" s="2"/>
      <c r="F36" s="27"/>
      <c r="G36" s="17"/>
      <c r="I36" s="28"/>
      <c r="J36" s="14"/>
      <c r="K36" s="30"/>
      <c r="L36" s="15"/>
      <c r="M36" s="2"/>
      <c r="N36" s="27"/>
      <c r="O36" s="17"/>
      <c r="P36" s="7"/>
      <c r="Q36" s="28"/>
      <c r="R36" s="14"/>
      <c r="S36" s="15"/>
      <c r="T36" s="15"/>
      <c r="U36" s="2"/>
      <c r="V36" s="27"/>
      <c r="W36" s="29"/>
      <c r="AP36" s="32"/>
      <c r="AU36" s="12"/>
    </row>
    <row r="37">
      <c r="A37" s="28"/>
      <c r="B37" s="14"/>
      <c r="C37" s="30"/>
      <c r="D37" s="15"/>
      <c r="E37" s="2"/>
      <c r="F37" s="27"/>
      <c r="G37" s="17"/>
      <c r="I37" s="28"/>
      <c r="J37" s="14"/>
      <c r="K37" s="30"/>
      <c r="L37" s="15"/>
      <c r="M37" s="2"/>
      <c r="N37" s="27"/>
      <c r="O37" s="17"/>
      <c r="P37" s="7"/>
      <c r="Q37" s="28"/>
      <c r="R37" s="14"/>
      <c r="S37" s="30"/>
      <c r="T37" s="15"/>
      <c r="U37" s="2"/>
      <c r="V37" s="27"/>
      <c r="W37" s="29"/>
      <c r="AP37" s="32"/>
      <c r="AU37" s="12"/>
    </row>
    <row r="38">
      <c r="A38" s="28"/>
      <c r="B38" s="14"/>
      <c r="C38" s="30"/>
      <c r="D38" s="15"/>
      <c r="E38" s="2"/>
      <c r="F38" s="27"/>
      <c r="G38" s="17"/>
      <c r="I38" s="28"/>
      <c r="J38" s="14"/>
      <c r="K38" s="30"/>
      <c r="L38" s="15"/>
      <c r="M38" s="2"/>
      <c r="N38" s="27"/>
      <c r="O38" s="17"/>
      <c r="P38" s="7"/>
      <c r="Q38" s="28"/>
      <c r="R38" s="14"/>
      <c r="S38" s="15"/>
      <c r="T38" s="15"/>
      <c r="U38" s="2"/>
      <c r="V38" s="27"/>
      <c r="W38" s="29"/>
      <c r="AP38" s="32"/>
      <c r="AU38" s="12"/>
    </row>
    <row r="39">
      <c r="A39" s="28"/>
      <c r="B39" s="14"/>
      <c r="C39" s="30"/>
      <c r="D39" s="15"/>
      <c r="E39" s="2"/>
      <c r="F39" s="27"/>
      <c r="G39" s="17"/>
      <c r="J39" s="32"/>
      <c r="O39" s="12"/>
      <c r="P39" s="7"/>
      <c r="Q39" s="28"/>
      <c r="R39" s="14"/>
      <c r="S39" s="15"/>
      <c r="T39" s="15"/>
      <c r="U39" s="2"/>
      <c r="V39" s="27"/>
      <c r="W39" s="29"/>
      <c r="AP39" s="32"/>
      <c r="AU39" s="12"/>
    </row>
    <row r="40">
      <c r="A40" s="28"/>
      <c r="B40" s="14"/>
      <c r="C40" s="30"/>
      <c r="D40" s="15"/>
      <c r="E40" s="2"/>
      <c r="F40" s="27"/>
      <c r="G40" s="17"/>
      <c r="J40" s="32"/>
      <c r="O40" s="12"/>
      <c r="P40" s="7"/>
      <c r="Q40" s="28"/>
      <c r="R40" s="14"/>
      <c r="S40" s="15"/>
      <c r="T40" s="15"/>
      <c r="U40" s="2"/>
      <c r="V40" s="27"/>
      <c r="W40" s="29"/>
      <c r="AP40" s="32"/>
      <c r="AU40" s="12"/>
    </row>
    <row r="41">
      <c r="A41" s="28"/>
      <c r="B41" s="14"/>
      <c r="C41" s="30"/>
      <c r="D41" s="15"/>
      <c r="E41" s="2"/>
      <c r="F41" s="27"/>
      <c r="G41" s="17"/>
      <c r="J41" s="32"/>
      <c r="O41" s="12"/>
      <c r="P41" s="7"/>
      <c r="Q41" s="28"/>
      <c r="R41" s="14"/>
      <c r="S41" s="30"/>
      <c r="T41" s="15"/>
      <c r="U41" s="2"/>
      <c r="V41" s="27"/>
      <c r="W41" s="29"/>
      <c r="AP41" s="32"/>
      <c r="AU41" s="12"/>
    </row>
    <row r="42">
      <c r="B42" s="32"/>
      <c r="G42" s="12"/>
      <c r="J42" s="32"/>
      <c r="O42" s="12"/>
      <c r="P42" s="7"/>
      <c r="Q42" s="28"/>
      <c r="R42" s="14"/>
      <c r="S42" s="15"/>
      <c r="T42" s="15"/>
      <c r="U42" s="2"/>
      <c r="V42" s="27"/>
      <c r="W42" s="29"/>
      <c r="AP42" s="32"/>
      <c r="AU42" s="12"/>
    </row>
    <row r="43">
      <c r="B43" s="32"/>
      <c r="G43" s="12"/>
      <c r="J43" s="32"/>
      <c r="O43" s="12"/>
      <c r="P43" s="7"/>
      <c r="Q43" s="25"/>
      <c r="R43" s="41"/>
      <c r="S43" s="42"/>
      <c r="T43" s="42"/>
      <c r="U43" s="43"/>
      <c r="V43" s="44"/>
      <c r="W43" s="45"/>
      <c r="AP43" s="32"/>
      <c r="AU43" s="12"/>
    </row>
    <row r="44">
      <c r="B44" s="32"/>
      <c r="G44" s="12"/>
      <c r="J44" s="32"/>
      <c r="O44" s="12"/>
      <c r="P44" s="7"/>
      <c r="Q44" s="28"/>
      <c r="R44" s="14"/>
      <c r="S44" s="15"/>
      <c r="T44" s="15"/>
      <c r="U44" s="2"/>
      <c r="V44" s="2"/>
      <c r="W44" s="29"/>
      <c r="AP44" s="32"/>
      <c r="AU44" s="12"/>
    </row>
    <row r="45">
      <c r="B45" s="32"/>
      <c r="G45" s="12"/>
      <c r="J45" s="32"/>
      <c r="O45" s="12"/>
      <c r="P45" s="7"/>
      <c r="AP45" s="32"/>
      <c r="AU45" s="12"/>
    </row>
    <row r="46">
      <c r="B46" s="32"/>
      <c r="G46" s="12"/>
      <c r="J46" s="32"/>
      <c r="O46" s="12"/>
      <c r="P46" s="7"/>
      <c r="AP46" s="32"/>
      <c r="AU46" s="12"/>
    </row>
    <row r="47">
      <c r="B47" s="32"/>
      <c r="G47" s="12"/>
      <c r="J47" s="32"/>
      <c r="O47" s="12"/>
      <c r="P47" s="7"/>
      <c r="AP47" s="32"/>
      <c r="AU47" s="12"/>
    </row>
    <row r="48">
      <c r="B48" s="32"/>
      <c r="G48" s="12"/>
      <c r="J48" s="32"/>
      <c r="O48" s="12"/>
      <c r="P48" s="7"/>
      <c r="AP48" s="32"/>
      <c r="AU48" s="12"/>
    </row>
    <row r="49">
      <c r="B49" s="32"/>
      <c r="G49" s="12"/>
      <c r="J49" s="32"/>
      <c r="O49" s="12"/>
      <c r="P49" s="7"/>
      <c r="AP49" s="32"/>
      <c r="AU49" s="12"/>
    </row>
    <row r="50">
      <c r="B50" s="32"/>
      <c r="G50" s="12"/>
      <c r="J50" s="32"/>
      <c r="O50" s="12"/>
      <c r="P50" s="7"/>
      <c r="AP50" s="32"/>
      <c r="AU50" s="12"/>
    </row>
    <row r="51">
      <c r="B51" s="32"/>
      <c r="G51" s="12"/>
      <c r="J51" s="32"/>
      <c r="O51" s="12"/>
      <c r="P51" s="7"/>
      <c r="AP51" s="32"/>
      <c r="AU51" s="12"/>
    </row>
    <row r="52">
      <c r="B52" s="32"/>
      <c r="G52" s="12"/>
      <c r="J52" s="32"/>
      <c r="O52" s="12"/>
      <c r="P52" s="7"/>
      <c r="AP52" s="32"/>
      <c r="AU52" s="12"/>
    </row>
    <row r="53">
      <c r="B53" s="32"/>
      <c r="G53" s="12"/>
      <c r="J53" s="32"/>
      <c r="O53" s="12"/>
      <c r="P53" s="7"/>
      <c r="AP53" s="32"/>
      <c r="AU53" s="12"/>
    </row>
    <row r="54">
      <c r="B54" s="32"/>
      <c r="G54" s="12"/>
      <c r="J54" s="32"/>
      <c r="O54" s="12"/>
      <c r="P54" s="7"/>
      <c r="AP54" s="32"/>
    </row>
    <row r="55">
      <c r="B55" s="32"/>
      <c r="G55" s="12"/>
      <c r="J55" s="32"/>
      <c r="O55" s="12"/>
      <c r="P55" s="7"/>
      <c r="AP55" s="32"/>
    </row>
    <row r="56">
      <c r="B56" s="32"/>
      <c r="G56" s="12"/>
      <c r="J56" s="32"/>
      <c r="O56" s="12"/>
      <c r="P56" s="7"/>
      <c r="AP56" s="32"/>
    </row>
    <row r="57">
      <c r="B57" s="32"/>
      <c r="G57" s="12"/>
      <c r="J57" s="32"/>
      <c r="O57" s="12"/>
      <c r="P57" s="7"/>
      <c r="AP57" s="32"/>
    </row>
    <row r="58">
      <c r="B58" s="32"/>
      <c r="G58" s="12"/>
      <c r="J58" s="32"/>
      <c r="O58" s="12"/>
      <c r="P58" s="7"/>
      <c r="AP58" s="32"/>
    </row>
    <row r="59">
      <c r="B59" s="32"/>
      <c r="G59" s="12"/>
      <c r="J59" s="32"/>
      <c r="O59" s="12"/>
      <c r="P59" s="7"/>
      <c r="AP59" s="32"/>
    </row>
    <row r="60">
      <c r="B60" s="32"/>
      <c r="G60" s="12"/>
      <c r="J60" s="32"/>
      <c r="O60" s="12"/>
      <c r="P60" s="7"/>
      <c r="AP60" s="32"/>
    </row>
    <row r="61">
      <c r="B61" s="32"/>
      <c r="G61" s="12"/>
      <c r="J61" s="32"/>
      <c r="O61" s="12"/>
      <c r="P61" s="7"/>
      <c r="AP61" s="32"/>
    </row>
    <row r="62">
      <c r="B62" s="32"/>
      <c r="G62" s="12"/>
      <c r="J62" s="32"/>
      <c r="O62" s="12"/>
      <c r="P62" s="7"/>
      <c r="AP62" s="32"/>
    </row>
    <row r="63">
      <c r="B63" s="32"/>
      <c r="G63" s="12"/>
      <c r="J63" s="32"/>
      <c r="O63" s="12"/>
      <c r="P63" s="7"/>
      <c r="AP63" s="32"/>
    </row>
    <row r="64">
      <c r="B64" s="32"/>
      <c r="G64" s="12"/>
      <c r="J64" s="32"/>
      <c r="O64" s="12"/>
      <c r="P64" s="7"/>
      <c r="AP64" s="32"/>
    </row>
    <row r="65">
      <c r="B65" s="32"/>
      <c r="G65" s="12"/>
      <c r="J65" s="32"/>
      <c r="O65" s="12"/>
      <c r="P65" s="7"/>
      <c r="AP65" s="32"/>
    </row>
    <row r="66">
      <c r="B66" s="32"/>
      <c r="G66" s="12"/>
      <c r="J66" s="32"/>
      <c r="O66" s="12"/>
      <c r="P66" s="7"/>
      <c r="AP66" s="32"/>
    </row>
    <row r="67">
      <c r="B67" s="32"/>
      <c r="G67" s="12"/>
      <c r="J67" s="32"/>
      <c r="O67" s="12"/>
      <c r="P67" s="7"/>
      <c r="AP67" s="32"/>
    </row>
    <row r="68">
      <c r="B68" s="32"/>
      <c r="G68" s="12"/>
      <c r="J68" s="32"/>
      <c r="O68" s="12"/>
      <c r="P68" s="7"/>
      <c r="AP68" s="32"/>
    </row>
    <row r="69">
      <c r="B69" s="32"/>
      <c r="G69" s="12"/>
      <c r="J69" s="32"/>
      <c r="O69" s="12"/>
      <c r="P69" s="7"/>
      <c r="AP69" s="32"/>
    </row>
    <row r="70">
      <c r="B70" s="32"/>
      <c r="G70" s="12"/>
      <c r="J70" s="32"/>
      <c r="O70" s="12"/>
      <c r="P70" s="7"/>
      <c r="AP70" s="32"/>
    </row>
    <row r="71">
      <c r="B71" s="32"/>
      <c r="G71" s="12"/>
      <c r="J71" s="32"/>
      <c r="O71" s="12"/>
      <c r="P71" s="7"/>
      <c r="AP71" s="32"/>
    </row>
    <row r="72">
      <c r="B72" s="32"/>
      <c r="G72" s="12"/>
      <c r="J72" s="32"/>
      <c r="O72" s="12"/>
      <c r="P72" s="7"/>
      <c r="AP72" s="32"/>
    </row>
    <row r="73">
      <c r="B73" s="32"/>
      <c r="G73" s="12"/>
      <c r="J73" s="32"/>
      <c r="O73" s="12"/>
      <c r="P73" s="7"/>
      <c r="AP73" s="32"/>
    </row>
    <row r="74">
      <c r="B74" s="32"/>
      <c r="G74" s="12"/>
      <c r="J74" s="32"/>
      <c r="O74" s="12"/>
      <c r="P74" s="7"/>
      <c r="AP74" s="32"/>
    </row>
    <row r="75">
      <c r="B75" s="32"/>
      <c r="G75" s="12"/>
      <c r="J75" s="32"/>
      <c r="O75" s="12"/>
      <c r="P75" s="7"/>
      <c r="AP75" s="32"/>
    </row>
    <row r="76">
      <c r="B76" s="32"/>
      <c r="G76" s="12"/>
      <c r="J76" s="32"/>
      <c r="O76" s="12"/>
      <c r="P76" s="7"/>
      <c r="AP76" s="32"/>
    </row>
    <row r="77">
      <c r="B77" s="32"/>
      <c r="G77" s="12"/>
      <c r="J77" s="32"/>
      <c r="O77" s="12"/>
      <c r="P77" s="7"/>
      <c r="AP77" s="32"/>
    </row>
    <row r="78">
      <c r="B78" s="32"/>
      <c r="G78" s="12"/>
      <c r="J78" s="32"/>
      <c r="O78" s="12"/>
      <c r="P78" s="7"/>
      <c r="AP78" s="32"/>
    </row>
    <row r="79">
      <c r="B79" s="32"/>
      <c r="G79" s="12"/>
      <c r="J79" s="32"/>
      <c r="O79" s="12"/>
      <c r="P79" s="7"/>
      <c r="AP79" s="32"/>
    </row>
    <row r="80">
      <c r="B80" s="32"/>
      <c r="G80" s="12"/>
      <c r="J80" s="32"/>
      <c r="O80" s="12"/>
      <c r="P80" s="7"/>
      <c r="AP80" s="32"/>
    </row>
    <row r="81">
      <c r="B81" s="32"/>
      <c r="G81" s="12"/>
      <c r="J81" s="32"/>
      <c r="O81" s="12"/>
      <c r="P81" s="7"/>
      <c r="AP81" s="32"/>
    </row>
    <row r="82">
      <c r="B82" s="32"/>
      <c r="G82" s="12"/>
      <c r="J82" s="32"/>
      <c r="O82" s="12"/>
      <c r="P82" s="7"/>
      <c r="AP82" s="32"/>
    </row>
    <row r="83">
      <c r="B83" s="32"/>
      <c r="G83" s="12"/>
      <c r="J83" s="32"/>
      <c r="O83" s="12"/>
      <c r="P83" s="7"/>
      <c r="AP83" s="32"/>
    </row>
    <row r="84">
      <c r="B84" s="32"/>
      <c r="G84" s="12"/>
      <c r="J84" s="32"/>
      <c r="O84" s="12"/>
      <c r="P84" s="7"/>
      <c r="AP84" s="32"/>
    </row>
    <row r="85">
      <c r="B85" s="32"/>
      <c r="G85" s="12"/>
      <c r="J85" s="32"/>
      <c r="O85" s="12"/>
      <c r="P85" s="7"/>
      <c r="AP85" s="32"/>
    </row>
    <row r="86">
      <c r="B86" s="32"/>
      <c r="G86" s="12"/>
      <c r="J86" s="32"/>
      <c r="O86" s="12"/>
      <c r="P86" s="7"/>
      <c r="AP86" s="32"/>
    </row>
    <row r="87">
      <c r="B87" s="32"/>
      <c r="G87" s="12"/>
      <c r="J87" s="32"/>
      <c r="O87" s="12"/>
      <c r="P87" s="7"/>
      <c r="AP87" s="32"/>
    </row>
    <row r="88">
      <c r="B88" s="32"/>
      <c r="G88" s="12"/>
      <c r="J88" s="32"/>
      <c r="O88" s="12"/>
      <c r="P88" s="7"/>
      <c r="AP88" s="32"/>
    </row>
    <row r="89">
      <c r="B89" s="32"/>
      <c r="G89" s="12"/>
      <c r="J89" s="32"/>
      <c r="O89" s="12"/>
      <c r="P89" s="7"/>
      <c r="AP89" s="32"/>
    </row>
    <row r="90">
      <c r="B90" s="32"/>
      <c r="G90" s="12"/>
      <c r="J90" s="32"/>
      <c r="O90" s="12"/>
      <c r="P90" s="7"/>
      <c r="AP90" s="32"/>
    </row>
    <row r="91">
      <c r="B91" s="32"/>
      <c r="G91" s="12"/>
      <c r="J91" s="32"/>
      <c r="O91" s="12"/>
      <c r="P91" s="7"/>
      <c r="AP91" s="32"/>
    </row>
    <row r="92">
      <c r="B92" s="32"/>
      <c r="G92" s="12"/>
      <c r="J92" s="32"/>
      <c r="O92" s="12"/>
      <c r="P92" s="7"/>
      <c r="AP92" s="32"/>
    </row>
    <row r="93">
      <c r="B93" s="32"/>
      <c r="G93" s="12"/>
      <c r="J93" s="32"/>
      <c r="O93" s="12"/>
      <c r="P93" s="7"/>
      <c r="AP93" s="32"/>
    </row>
    <row r="94">
      <c r="B94" s="32"/>
      <c r="G94" s="12"/>
      <c r="J94" s="32"/>
      <c r="O94" s="12"/>
      <c r="P94" s="7"/>
      <c r="AP94" s="32"/>
    </row>
    <row r="95">
      <c r="B95" s="32"/>
      <c r="G95" s="12"/>
      <c r="J95" s="32"/>
      <c r="O95" s="12"/>
      <c r="P95" s="7"/>
      <c r="AP95" s="32"/>
    </row>
    <row r="96">
      <c r="B96" s="32"/>
      <c r="G96" s="12"/>
      <c r="J96" s="32"/>
      <c r="O96" s="12"/>
      <c r="P96" s="7"/>
      <c r="AP96" s="32"/>
    </row>
    <row r="97">
      <c r="B97" s="32"/>
      <c r="G97" s="12"/>
      <c r="J97" s="32"/>
      <c r="O97" s="12"/>
      <c r="P97" s="7"/>
      <c r="AP97" s="32"/>
    </row>
    <row r="98">
      <c r="B98" s="32"/>
      <c r="G98" s="12"/>
      <c r="J98" s="32"/>
      <c r="O98" s="12"/>
      <c r="P98" s="7"/>
      <c r="AP98" s="32"/>
    </row>
    <row r="99">
      <c r="B99" s="32"/>
      <c r="G99" s="12"/>
      <c r="J99" s="32"/>
      <c r="O99" s="12"/>
      <c r="P99" s="7"/>
      <c r="AP99" s="32"/>
    </row>
    <row r="100">
      <c r="B100" s="32"/>
      <c r="G100" s="12"/>
      <c r="J100" s="32"/>
      <c r="O100" s="12"/>
      <c r="P100" s="7"/>
      <c r="AP100" s="32"/>
    </row>
    <row r="101">
      <c r="B101" s="32"/>
      <c r="G101" s="12"/>
      <c r="J101" s="32"/>
      <c r="O101" s="12"/>
      <c r="P101" s="7"/>
      <c r="AP101" s="32"/>
    </row>
    <row r="102">
      <c r="B102" s="32"/>
      <c r="G102" s="12"/>
      <c r="J102" s="32"/>
      <c r="O102" s="12"/>
      <c r="P102" s="7"/>
      <c r="AP102" s="32"/>
    </row>
    <row r="103">
      <c r="B103" s="32"/>
      <c r="G103" s="12"/>
      <c r="J103" s="32"/>
      <c r="O103" s="12"/>
      <c r="P103" s="7"/>
      <c r="AP103" s="32"/>
    </row>
    <row r="104">
      <c r="B104" s="32"/>
      <c r="G104" s="12"/>
      <c r="J104" s="32"/>
      <c r="O104" s="12"/>
      <c r="P104" s="7"/>
      <c r="AP104" s="32"/>
    </row>
    <row r="105">
      <c r="B105" s="32"/>
      <c r="G105" s="12"/>
      <c r="J105" s="32"/>
      <c r="O105" s="12"/>
      <c r="P105" s="7"/>
      <c r="AP105" s="32"/>
    </row>
    <row r="106">
      <c r="B106" s="32"/>
      <c r="G106" s="12"/>
      <c r="J106" s="32"/>
      <c r="O106" s="12"/>
      <c r="P106" s="7"/>
      <c r="AP106" s="32"/>
    </row>
    <row r="107">
      <c r="B107" s="32"/>
      <c r="G107" s="12"/>
      <c r="J107" s="32"/>
      <c r="O107" s="12"/>
      <c r="P107" s="7"/>
      <c r="AP107" s="32"/>
    </row>
    <row r="108">
      <c r="B108" s="32"/>
      <c r="G108" s="12"/>
      <c r="J108" s="32"/>
      <c r="O108" s="12"/>
      <c r="P108" s="7"/>
      <c r="AP108" s="32"/>
    </row>
    <row r="109">
      <c r="B109" s="32"/>
      <c r="G109" s="12"/>
      <c r="J109" s="32"/>
      <c r="O109" s="12"/>
      <c r="P109" s="7"/>
      <c r="AP109" s="32"/>
    </row>
    <row r="110">
      <c r="B110" s="32"/>
      <c r="G110" s="12"/>
      <c r="J110" s="32"/>
      <c r="O110" s="12"/>
      <c r="P110" s="7"/>
      <c r="AP110" s="32"/>
    </row>
    <row r="111">
      <c r="B111" s="32"/>
      <c r="G111" s="12"/>
      <c r="J111" s="32"/>
      <c r="O111" s="12"/>
      <c r="P111" s="7"/>
      <c r="AP111" s="32"/>
    </row>
    <row r="112">
      <c r="B112" s="32"/>
      <c r="G112" s="12"/>
      <c r="J112" s="32"/>
      <c r="O112" s="12"/>
      <c r="P112" s="7"/>
      <c r="AP112" s="32"/>
    </row>
    <row r="113">
      <c r="B113" s="32"/>
      <c r="G113" s="12"/>
      <c r="J113" s="32"/>
      <c r="O113" s="12"/>
      <c r="P113" s="7"/>
      <c r="AP113" s="32"/>
    </row>
    <row r="114">
      <c r="B114" s="32"/>
      <c r="G114" s="12"/>
      <c r="J114" s="32"/>
      <c r="O114" s="12"/>
      <c r="P114" s="7"/>
      <c r="AP114" s="32"/>
    </row>
    <row r="115">
      <c r="B115" s="32"/>
      <c r="G115" s="12"/>
      <c r="J115" s="32"/>
      <c r="O115" s="12"/>
      <c r="P115" s="7"/>
      <c r="AP115" s="32"/>
    </row>
    <row r="116">
      <c r="B116" s="32"/>
      <c r="G116" s="12"/>
      <c r="J116" s="32"/>
      <c r="O116" s="12"/>
      <c r="P116" s="7"/>
      <c r="AP116" s="32"/>
    </row>
    <row r="117">
      <c r="B117" s="32"/>
      <c r="G117" s="12"/>
      <c r="J117" s="32"/>
      <c r="O117" s="12"/>
      <c r="P117" s="7"/>
      <c r="AP117" s="32"/>
    </row>
    <row r="118">
      <c r="B118" s="32"/>
      <c r="G118" s="12"/>
      <c r="J118" s="32"/>
      <c r="O118" s="12"/>
      <c r="P118" s="7"/>
      <c r="AP118" s="32"/>
    </row>
    <row r="119">
      <c r="B119" s="32"/>
      <c r="G119" s="12"/>
      <c r="J119" s="32"/>
      <c r="O119" s="12"/>
      <c r="P119" s="7"/>
      <c r="AP119" s="32"/>
    </row>
    <row r="120">
      <c r="B120" s="32"/>
      <c r="G120" s="12"/>
      <c r="J120" s="32"/>
      <c r="O120" s="12"/>
      <c r="P120" s="7"/>
      <c r="AP120" s="32"/>
    </row>
    <row r="121">
      <c r="B121" s="32"/>
      <c r="G121" s="12"/>
      <c r="J121" s="32"/>
      <c r="O121" s="12"/>
      <c r="P121" s="7"/>
      <c r="AP121" s="32"/>
    </row>
    <row r="122">
      <c r="B122" s="32"/>
      <c r="G122" s="12"/>
      <c r="J122" s="32"/>
      <c r="O122" s="12"/>
      <c r="P122" s="7"/>
      <c r="AP122" s="32"/>
    </row>
    <row r="123">
      <c r="B123" s="32"/>
      <c r="G123" s="12"/>
      <c r="J123" s="32"/>
      <c r="O123" s="12"/>
      <c r="P123" s="7"/>
      <c r="AP123" s="32"/>
    </row>
    <row r="124">
      <c r="B124" s="32"/>
      <c r="G124" s="12"/>
      <c r="J124" s="32"/>
      <c r="O124" s="12"/>
      <c r="P124" s="7"/>
      <c r="AP124" s="32"/>
    </row>
    <row r="125">
      <c r="B125" s="32"/>
      <c r="G125" s="12"/>
      <c r="J125" s="32"/>
      <c r="O125" s="12"/>
      <c r="P125" s="7"/>
      <c r="AP125" s="32"/>
    </row>
    <row r="126">
      <c r="B126" s="32"/>
      <c r="G126" s="12"/>
      <c r="J126" s="32"/>
      <c r="O126" s="12"/>
      <c r="P126" s="7"/>
      <c r="AP126" s="32"/>
    </row>
    <row r="127">
      <c r="B127" s="32"/>
      <c r="G127" s="12"/>
      <c r="J127" s="32"/>
      <c r="O127" s="12"/>
      <c r="P127" s="7"/>
      <c r="AP127" s="32"/>
    </row>
    <row r="128">
      <c r="B128" s="32"/>
      <c r="G128" s="12"/>
      <c r="J128" s="32"/>
      <c r="O128" s="12"/>
      <c r="P128" s="7"/>
      <c r="AP128" s="32"/>
    </row>
    <row r="129">
      <c r="B129" s="32"/>
      <c r="G129" s="12"/>
      <c r="J129" s="32"/>
      <c r="O129" s="12"/>
      <c r="P129" s="7"/>
      <c r="AP129" s="32"/>
    </row>
    <row r="130">
      <c r="B130" s="32"/>
      <c r="G130" s="12"/>
      <c r="J130" s="32"/>
      <c r="O130" s="12"/>
      <c r="P130" s="7"/>
      <c r="AP130" s="32"/>
    </row>
    <row r="131">
      <c r="B131" s="32"/>
      <c r="G131" s="12"/>
      <c r="J131" s="32"/>
      <c r="O131" s="12"/>
      <c r="P131" s="7"/>
      <c r="AP131" s="32"/>
    </row>
    <row r="132">
      <c r="B132" s="32"/>
      <c r="G132" s="12"/>
      <c r="J132" s="32"/>
      <c r="O132" s="12"/>
      <c r="P132" s="7"/>
      <c r="AP132" s="32"/>
    </row>
    <row r="133">
      <c r="B133" s="32"/>
      <c r="G133" s="12"/>
      <c r="J133" s="32"/>
      <c r="O133" s="12"/>
      <c r="P133" s="7"/>
      <c r="AP133" s="32"/>
    </row>
    <row r="134">
      <c r="B134" s="32"/>
      <c r="G134" s="12"/>
      <c r="J134" s="32"/>
      <c r="O134" s="12"/>
      <c r="P134" s="7"/>
      <c r="AP134" s="32"/>
    </row>
    <row r="135">
      <c r="B135" s="32"/>
      <c r="G135" s="12"/>
      <c r="J135" s="32"/>
      <c r="O135" s="12"/>
      <c r="P135" s="7"/>
      <c r="AP135" s="32"/>
    </row>
    <row r="136">
      <c r="B136" s="32"/>
      <c r="G136" s="12"/>
      <c r="J136" s="32"/>
      <c r="O136" s="12"/>
      <c r="P136" s="7"/>
      <c r="AP136" s="32"/>
    </row>
    <row r="137">
      <c r="B137" s="32"/>
      <c r="G137" s="12"/>
      <c r="J137" s="32"/>
      <c r="O137" s="12"/>
      <c r="P137" s="7"/>
      <c r="AP137" s="32"/>
    </row>
    <row r="138">
      <c r="B138" s="32"/>
      <c r="G138" s="12"/>
      <c r="J138" s="32"/>
      <c r="O138" s="12"/>
      <c r="P138" s="7"/>
      <c r="AP138" s="32"/>
    </row>
    <row r="139">
      <c r="B139" s="32"/>
      <c r="G139" s="12"/>
      <c r="J139" s="32"/>
      <c r="O139" s="12"/>
      <c r="P139" s="7"/>
      <c r="AP139" s="32"/>
    </row>
    <row r="140">
      <c r="B140" s="32"/>
      <c r="G140" s="12"/>
      <c r="J140" s="32"/>
      <c r="O140" s="12"/>
      <c r="P140" s="7"/>
      <c r="AP140" s="32"/>
    </row>
    <row r="141">
      <c r="B141" s="32"/>
      <c r="G141" s="12"/>
      <c r="J141" s="32"/>
      <c r="O141" s="12"/>
      <c r="P141" s="7"/>
      <c r="AP141" s="32"/>
    </row>
    <row r="142">
      <c r="B142" s="32"/>
      <c r="G142" s="12"/>
      <c r="J142" s="32"/>
      <c r="O142" s="12"/>
      <c r="P142" s="7"/>
      <c r="AP142" s="32"/>
    </row>
    <row r="143">
      <c r="B143" s="32"/>
      <c r="G143" s="12"/>
      <c r="J143" s="32"/>
      <c r="O143" s="12"/>
      <c r="P143" s="7"/>
      <c r="AP143" s="32"/>
    </row>
    <row r="144">
      <c r="B144" s="32"/>
      <c r="G144" s="12"/>
      <c r="J144" s="32"/>
      <c r="O144" s="12"/>
      <c r="P144" s="7"/>
      <c r="AP144" s="32"/>
    </row>
    <row r="145">
      <c r="B145" s="32"/>
      <c r="G145" s="12"/>
      <c r="J145" s="32"/>
      <c r="O145" s="12"/>
      <c r="P145" s="7"/>
      <c r="AP145" s="32"/>
    </row>
    <row r="146">
      <c r="B146" s="32"/>
      <c r="G146" s="12"/>
      <c r="J146" s="32"/>
      <c r="O146" s="12"/>
      <c r="P146" s="7"/>
      <c r="AP146" s="32"/>
    </row>
    <row r="147">
      <c r="B147" s="32"/>
      <c r="G147" s="12"/>
      <c r="J147" s="32"/>
      <c r="O147" s="12"/>
      <c r="P147" s="7"/>
      <c r="AP147" s="32"/>
    </row>
    <row r="148">
      <c r="B148" s="32"/>
      <c r="G148" s="12"/>
      <c r="J148" s="32"/>
      <c r="O148" s="12"/>
      <c r="P148" s="7"/>
      <c r="AP148" s="32"/>
    </row>
    <row r="149">
      <c r="B149" s="32"/>
      <c r="G149" s="12"/>
      <c r="J149" s="32"/>
      <c r="O149" s="12"/>
      <c r="P149" s="7"/>
      <c r="AP149" s="32"/>
    </row>
    <row r="150">
      <c r="B150" s="32"/>
      <c r="G150" s="12"/>
      <c r="J150" s="32"/>
      <c r="O150" s="12"/>
      <c r="P150" s="7"/>
      <c r="AP150" s="32"/>
    </row>
    <row r="151">
      <c r="B151" s="32"/>
      <c r="G151" s="12"/>
      <c r="J151" s="32"/>
      <c r="O151" s="12"/>
      <c r="P151" s="7"/>
      <c r="AP151" s="32"/>
    </row>
    <row r="152">
      <c r="B152" s="32"/>
      <c r="G152" s="12"/>
      <c r="J152" s="32"/>
      <c r="O152" s="12"/>
      <c r="P152" s="7"/>
      <c r="AP152" s="32"/>
    </row>
    <row r="153">
      <c r="B153" s="32"/>
      <c r="G153" s="12"/>
      <c r="J153" s="32"/>
      <c r="O153" s="12"/>
      <c r="P153" s="7"/>
      <c r="AP153" s="32"/>
    </row>
    <row r="154">
      <c r="B154" s="32"/>
      <c r="G154" s="12"/>
      <c r="J154" s="32"/>
      <c r="O154" s="12"/>
      <c r="P154" s="7"/>
      <c r="AP154" s="32"/>
    </row>
    <row r="155">
      <c r="B155" s="32"/>
      <c r="G155" s="12"/>
      <c r="J155" s="32"/>
      <c r="O155" s="12"/>
      <c r="P155" s="7"/>
      <c r="AP155" s="32"/>
    </row>
    <row r="156">
      <c r="B156" s="32"/>
      <c r="G156" s="12"/>
      <c r="J156" s="32"/>
      <c r="O156" s="12"/>
      <c r="P156" s="7"/>
      <c r="AP156" s="32"/>
    </row>
    <row r="157">
      <c r="B157" s="32"/>
      <c r="G157" s="12"/>
      <c r="J157" s="32"/>
      <c r="O157" s="12"/>
      <c r="P157" s="7"/>
      <c r="AP157" s="32"/>
    </row>
    <row r="158">
      <c r="B158" s="32"/>
      <c r="G158" s="12"/>
      <c r="J158" s="32"/>
      <c r="O158" s="12"/>
      <c r="P158" s="7"/>
      <c r="AP158" s="32"/>
    </row>
    <row r="159">
      <c r="B159" s="32"/>
      <c r="G159" s="12"/>
      <c r="J159" s="32"/>
      <c r="O159" s="12"/>
      <c r="P159" s="7"/>
      <c r="AP159" s="32"/>
    </row>
    <row r="160">
      <c r="B160" s="32"/>
      <c r="G160" s="12"/>
      <c r="J160" s="32"/>
      <c r="O160" s="12"/>
      <c r="P160" s="7"/>
      <c r="AP160" s="32"/>
    </row>
    <row r="161">
      <c r="B161" s="32"/>
      <c r="G161" s="12"/>
      <c r="J161" s="32"/>
      <c r="O161" s="12"/>
      <c r="P161" s="7"/>
      <c r="AP161" s="32"/>
    </row>
    <row r="162">
      <c r="B162" s="32"/>
      <c r="G162" s="12"/>
      <c r="J162" s="32"/>
      <c r="O162" s="12"/>
      <c r="P162" s="7"/>
      <c r="AP162" s="32"/>
    </row>
    <row r="163">
      <c r="B163" s="32"/>
      <c r="G163" s="12"/>
      <c r="J163" s="32"/>
      <c r="O163" s="12"/>
      <c r="P163" s="7"/>
      <c r="AP163" s="32"/>
    </row>
    <row r="164">
      <c r="B164" s="32"/>
      <c r="G164" s="12"/>
      <c r="J164" s="32"/>
      <c r="O164" s="12"/>
      <c r="P164" s="7"/>
      <c r="AP164" s="32"/>
    </row>
    <row r="165">
      <c r="B165" s="32"/>
      <c r="G165" s="12"/>
      <c r="J165" s="32"/>
      <c r="O165" s="12"/>
      <c r="P165" s="7"/>
      <c r="AP165" s="32"/>
    </row>
    <row r="166">
      <c r="B166" s="32"/>
      <c r="G166" s="12"/>
      <c r="J166" s="32"/>
      <c r="O166" s="12"/>
      <c r="P166" s="7"/>
      <c r="AP166" s="32"/>
    </row>
    <row r="167">
      <c r="B167" s="32"/>
      <c r="G167" s="12"/>
      <c r="J167" s="32"/>
      <c r="O167" s="12"/>
      <c r="P167" s="7"/>
      <c r="AP167" s="32"/>
    </row>
    <row r="168">
      <c r="B168" s="32"/>
      <c r="G168" s="12"/>
      <c r="J168" s="32"/>
      <c r="O168" s="12"/>
      <c r="P168" s="7"/>
      <c r="AP168" s="32"/>
    </row>
    <row r="169">
      <c r="B169" s="32"/>
      <c r="G169" s="12"/>
      <c r="J169" s="32"/>
      <c r="O169" s="12"/>
      <c r="P169" s="7"/>
      <c r="AP169" s="32"/>
    </row>
    <row r="170">
      <c r="B170" s="32"/>
      <c r="G170" s="12"/>
      <c r="J170" s="32"/>
      <c r="O170" s="12"/>
      <c r="P170" s="7"/>
      <c r="AP170" s="32"/>
    </row>
    <row r="171">
      <c r="B171" s="32"/>
      <c r="G171" s="12"/>
      <c r="J171" s="32"/>
      <c r="O171" s="12"/>
      <c r="P171" s="7"/>
      <c r="AP171" s="32"/>
    </row>
    <row r="172">
      <c r="B172" s="32"/>
      <c r="G172" s="12"/>
      <c r="J172" s="32"/>
      <c r="O172" s="12"/>
      <c r="P172" s="7"/>
      <c r="AP172" s="32"/>
    </row>
    <row r="173">
      <c r="B173" s="32"/>
      <c r="G173" s="12"/>
      <c r="J173" s="32"/>
      <c r="O173" s="12"/>
      <c r="P173" s="7"/>
      <c r="AP173" s="32"/>
    </row>
    <row r="174">
      <c r="B174" s="32"/>
      <c r="G174" s="12"/>
      <c r="J174" s="32"/>
      <c r="O174" s="12"/>
      <c r="P174" s="7"/>
      <c r="AP174" s="32"/>
    </row>
    <row r="175">
      <c r="B175" s="32"/>
      <c r="G175" s="12"/>
      <c r="J175" s="32"/>
      <c r="O175" s="12"/>
      <c r="P175" s="7"/>
      <c r="AP175" s="32"/>
    </row>
    <row r="176">
      <c r="B176" s="32"/>
      <c r="G176" s="12"/>
      <c r="J176" s="32"/>
      <c r="O176" s="12"/>
      <c r="P176" s="7"/>
      <c r="AP176" s="32"/>
    </row>
    <row r="177">
      <c r="B177" s="32"/>
      <c r="G177" s="12"/>
      <c r="J177" s="32"/>
      <c r="O177" s="12"/>
      <c r="P177" s="7"/>
      <c r="AP177" s="32"/>
    </row>
    <row r="178">
      <c r="B178" s="32"/>
      <c r="G178" s="12"/>
      <c r="J178" s="32"/>
      <c r="O178" s="12"/>
      <c r="P178" s="7"/>
      <c r="AP178" s="32"/>
    </row>
    <row r="179">
      <c r="B179" s="32"/>
      <c r="G179" s="12"/>
      <c r="J179" s="32"/>
      <c r="O179" s="12"/>
      <c r="P179" s="7"/>
      <c r="AP179" s="32"/>
    </row>
    <row r="180">
      <c r="B180" s="32"/>
      <c r="G180" s="12"/>
      <c r="J180" s="32"/>
      <c r="O180" s="12"/>
      <c r="P180" s="7"/>
      <c r="AP180" s="32"/>
    </row>
    <row r="181">
      <c r="B181" s="32"/>
      <c r="G181" s="12"/>
      <c r="J181" s="32"/>
      <c r="O181" s="12"/>
      <c r="P181" s="7"/>
      <c r="AP181" s="32"/>
    </row>
    <row r="182">
      <c r="B182" s="32"/>
      <c r="G182" s="12"/>
      <c r="J182" s="32"/>
      <c r="O182" s="12"/>
      <c r="P182" s="7"/>
      <c r="AP182" s="32"/>
    </row>
    <row r="183">
      <c r="B183" s="32"/>
      <c r="G183" s="12"/>
      <c r="J183" s="32"/>
      <c r="O183" s="12"/>
      <c r="P183" s="7"/>
      <c r="AP183" s="32"/>
    </row>
    <row r="184">
      <c r="B184" s="32"/>
      <c r="G184" s="12"/>
      <c r="J184" s="32"/>
      <c r="O184" s="12"/>
      <c r="P184" s="7"/>
      <c r="AP184" s="32"/>
    </row>
    <row r="185">
      <c r="B185" s="32"/>
      <c r="G185" s="12"/>
      <c r="J185" s="32"/>
      <c r="O185" s="12"/>
      <c r="P185" s="7"/>
      <c r="AP185" s="32"/>
    </row>
    <row r="186">
      <c r="B186" s="32"/>
      <c r="G186" s="12"/>
      <c r="J186" s="32"/>
      <c r="O186" s="12"/>
      <c r="P186" s="7"/>
      <c r="AP186" s="32"/>
    </row>
    <row r="187">
      <c r="B187" s="32"/>
      <c r="G187" s="12"/>
      <c r="J187" s="32"/>
      <c r="O187" s="12"/>
      <c r="P187" s="7"/>
      <c r="AP187" s="32"/>
    </row>
    <row r="188">
      <c r="B188" s="32"/>
      <c r="G188" s="12"/>
      <c r="J188" s="32"/>
      <c r="O188" s="12"/>
      <c r="P188" s="7"/>
      <c r="AP188" s="32"/>
    </row>
    <row r="189">
      <c r="B189" s="32"/>
      <c r="G189" s="12"/>
      <c r="J189" s="32"/>
      <c r="O189" s="12"/>
      <c r="P189" s="7"/>
      <c r="AP189" s="32"/>
    </row>
    <row r="190">
      <c r="B190" s="32"/>
      <c r="G190" s="12"/>
      <c r="J190" s="32"/>
      <c r="O190" s="12"/>
      <c r="P190" s="7"/>
      <c r="AP190" s="32"/>
    </row>
    <row r="191">
      <c r="B191" s="32"/>
      <c r="G191" s="12"/>
      <c r="J191" s="32"/>
      <c r="O191" s="12"/>
      <c r="P191" s="7"/>
      <c r="AP191" s="32"/>
    </row>
    <row r="192">
      <c r="B192" s="32"/>
      <c r="G192" s="12"/>
      <c r="J192" s="32"/>
      <c r="O192" s="12"/>
      <c r="P192" s="7"/>
      <c r="AP192" s="32"/>
    </row>
    <row r="193">
      <c r="B193" s="32"/>
      <c r="G193" s="12"/>
      <c r="J193" s="32"/>
      <c r="O193" s="12"/>
      <c r="P193" s="7"/>
      <c r="AP193" s="32"/>
    </row>
    <row r="194">
      <c r="B194" s="32"/>
      <c r="G194" s="12"/>
      <c r="J194" s="32"/>
      <c r="O194" s="12"/>
      <c r="P194" s="7"/>
      <c r="AP194" s="32"/>
    </row>
    <row r="195">
      <c r="B195" s="32"/>
      <c r="G195" s="12"/>
      <c r="J195" s="32"/>
      <c r="O195" s="12"/>
      <c r="P195" s="7"/>
      <c r="AP195" s="32"/>
    </row>
    <row r="196">
      <c r="B196" s="32"/>
      <c r="G196" s="12"/>
      <c r="J196" s="32"/>
      <c r="O196" s="12"/>
      <c r="P196" s="7"/>
      <c r="AP196" s="32"/>
    </row>
    <row r="197">
      <c r="B197" s="32"/>
      <c r="G197" s="12"/>
      <c r="J197" s="32"/>
      <c r="O197" s="12"/>
      <c r="P197" s="7"/>
      <c r="AP197" s="32"/>
    </row>
    <row r="198">
      <c r="B198" s="32"/>
      <c r="G198" s="12"/>
      <c r="J198" s="32"/>
      <c r="O198" s="12"/>
      <c r="P198" s="7"/>
      <c r="AP198" s="32"/>
    </row>
    <row r="199">
      <c r="B199" s="32"/>
      <c r="G199" s="12"/>
      <c r="J199" s="32"/>
      <c r="O199" s="12"/>
      <c r="P199" s="7"/>
      <c r="AP199" s="32"/>
    </row>
    <row r="200">
      <c r="B200" s="32"/>
      <c r="G200" s="12"/>
      <c r="J200" s="32"/>
      <c r="O200" s="12"/>
      <c r="P200" s="7"/>
      <c r="AP200" s="32"/>
    </row>
    <row r="201">
      <c r="B201" s="32"/>
      <c r="G201" s="12"/>
      <c r="J201" s="32"/>
      <c r="O201" s="12"/>
      <c r="P201" s="7"/>
      <c r="AP201" s="32"/>
    </row>
    <row r="202">
      <c r="B202" s="32"/>
      <c r="G202" s="12"/>
      <c r="J202" s="32"/>
      <c r="O202" s="12"/>
      <c r="P202" s="7"/>
      <c r="AP202" s="32"/>
    </row>
    <row r="203">
      <c r="B203" s="32"/>
      <c r="G203" s="12"/>
      <c r="J203" s="32"/>
      <c r="O203" s="12"/>
      <c r="P203" s="7"/>
      <c r="AP203" s="32"/>
    </row>
    <row r="204">
      <c r="B204" s="32"/>
      <c r="G204" s="12"/>
      <c r="J204" s="32"/>
      <c r="O204" s="12"/>
      <c r="P204" s="7"/>
      <c r="AP204" s="32"/>
    </row>
    <row r="205">
      <c r="B205" s="32"/>
      <c r="G205" s="12"/>
      <c r="J205" s="32"/>
      <c r="O205" s="12"/>
      <c r="P205" s="7"/>
      <c r="AP205" s="32"/>
    </row>
    <row r="206">
      <c r="B206" s="32"/>
      <c r="G206" s="12"/>
      <c r="J206" s="32"/>
      <c r="O206" s="12"/>
      <c r="P206" s="7"/>
      <c r="AP206" s="32"/>
    </row>
    <row r="207">
      <c r="B207" s="32"/>
      <c r="G207" s="12"/>
      <c r="J207" s="32"/>
      <c r="O207" s="12"/>
      <c r="P207" s="7"/>
      <c r="AP207" s="32"/>
    </row>
    <row r="208">
      <c r="B208" s="32"/>
      <c r="G208" s="12"/>
      <c r="J208" s="32"/>
      <c r="O208" s="12"/>
      <c r="P208" s="7"/>
      <c r="AP208" s="32"/>
    </row>
    <row r="209">
      <c r="B209" s="32"/>
      <c r="G209" s="12"/>
      <c r="J209" s="32"/>
      <c r="O209" s="12"/>
      <c r="P209" s="7"/>
      <c r="AP209" s="32"/>
    </row>
    <row r="210">
      <c r="B210" s="32"/>
      <c r="G210" s="12"/>
      <c r="J210" s="32"/>
      <c r="O210" s="12"/>
      <c r="P210" s="7"/>
      <c r="AP210" s="32"/>
    </row>
    <row r="211">
      <c r="B211" s="32"/>
      <c r="G211" s="12"/>
      <c r="J211" s="32"/>
      <c r="O211" s="12"/>
      <c r="P211" s="7"/>
      <c r="AP211" s="32"/>
    </row>
    <row r="212">
      <c r="B212" s="32"/>
      <c r="G212" s="12"/>
      <c r="J212" s="32"/>
      <c r="O212" s="12"/>
      <c r="P212" s="7"/>
      <c r="AP212" s="32"/>
    </row>
    <row r="213">
      <c r="B213" s="32"/>
      <c r="G213" s="12"/>
      <c r="J213" s="32"/>
      <c r="O213" s="12"/>
      <c r="P213" s="7"/>
      <c r="AP213" s="32"/>
    </row>
    <row r="214">
      <c r="B214" s="32"/>
      <c r="G214" s="12"/>
      <c r="J214" s="32"/>
      <c r="O214" s="12"/>
      <c r="P214" s="7"/>
      <c r="AP214" s="32"/>
    </row>
    <row r="215">
      <c r="B215" s="32"/>
      <c r="G215" s="12"/>
      <c r="J215" s="32"/>
      <c r="O215" s="12"/>
      <c r="P215" s="7"/>
      <c r="AP215" s="32"/>
    </row>
    <row r="216">
      <c r="B216" s="32"/>
      <c r="G216" s="12"/>
      <c r="J216" s="32"/>
      <c r="O216" s="12"/>
      <c r="P216" s="7"/>
      <c r="AP216" s="32"/>
    </row>
    <row r="217">
      <c r="B217" s="32"/>
      <c r="G217" s="12"/>
      <c r="J217" s="32"/>
      <c r="O217" s="12"/>
      <c r="P217" s="7"/>
      <c r="AP217" s="32"/>
    </row>
    <row r="218">
      <c r="B218" s="32"/>
      <c r="G218" s="12"/>
      <c r="J218" s="32"/>
      <c r="O218" s="12"/>
      <c r="P218" s="7"/>
      <c r="AP218" s="32"/>
    </row>
    <row r="219">
      <c r="B219" s="32"/>
      <c r="G219" s="12"/>
      <c r="J219" s="32"/>
      <c r="O219" s="12"/>
      <c r="P219" s="7"/>
      <c r="AP219" s="32"/>
    </row>
    <row r="220">
      <c r="B220" s="32"/>
      <c r="G220" s="12"/>
      <c r="J220" s="32"/>
      <c r="O220" s="12"/>
      <c r="P220" s="7"/>
      <c r="AP220" s="32"/>
    </row>
    <row r="221">
      <c r="B221" s="32"/>
      <c r="G221" s="12"/>
      <c r="J221" s="32"/>
      <c r="O221" s="12"/>
      <c r="P221" s="7"/>
      <c r="AP221" s="32"/>
    </row>
    <row r="222">
      <c r="B222" s="32"/>
      <c r="G222" s="12"/>
      <c r="J222" s="32"/>
      <c r="O222" s="12"/>
      <c r="P222" s="7"/>
      <c r="AP222" s="32"/>
    </row>
    <row r="223">
      <c r="B223" s="32"/>
      <c r="G223" s="12"/>
      <c r="J223" s="32"/>
      <c r="O223" s="12"/>
      <c r="P223" s="7"/>
      <c r="AP223" s="32"/>
    </row>
    <row r="224">
      <c r="B224" s="32"/>
      <c r="G224" s="12"/>
      <c r="J224" s="32"/>
      <c r="O224" s="12"/>
      <c r="P224" s="7"/>
      <c r="AP224" s="32"/>
    </row>
    <row r="225">
      <c r="B225" s="32"/>
      <c r="G225" s="12"/>
      <c r="J225" s="32"/>
      <c r="O225" s="12"/>
      <c r="P225" s="7"/>
      <c r="AP225" s="32"/>
    </row>
    <row r="226">
      <c r="B226" s="32"/>
      <c r="G226" s="12"/>
      <c r="J226" s="32"/>
      <c r="O226" s="12"/>
      <c r="P226" s="7"/>
      <c r="AP226" s="32"/>
    </row>
    <row r="227">
      <c r="B227" s="32"/>
      <c r="G227" s="12"/>
      <c r="J227" s="32"/>
      <c r="O227" s="12"/>
      <c r="P227" s="7"/>
      <c r="AP227" s="32"/>
    </row>
    <row r="228">
      <c r="B228" s="32"/>
      <c r="G228" s="12"/>
      <c r="J228" s="32"/>
      <c r="O228" s="12"/>
      <c r="P228" s="7"/>
      <c r="AP228" s="32"/>
    </row>
    <row r="229">
      <c r="B229" s="32"/>
      <c r="G229" s="12"/>
      <c r="J229" s="32"/>
      <c r="O229" s="12"/>
      <c r="P229" s="7"/>
      <c r="AP229" s="32"/>
    </row>
    <row r="230">
      <c r="B230" s="32"/>
      <c r="G230" s="12"/>
      <c r="J230" s="32"/>
      <c r="O230" s="12"/>
      <c r="P230" s="7"/>
      <c r="AP230" s="32"/>
    </row>
    <row r="231">
      <c r="B231" s="32"/>
      <c r="G231" s="12"/>
      <c r="J231" s="32"/>
      <c r="O231" s="12"/>
      <c r="P231" s="7"/>
      <c r="AP231" s="32"/>
    </row>
    <row r="232">
      <c r="B232" s="32"/>
      <c r="G232" s="12"/>
      <c r="J232" s="32"/>
      <c r="O232" s="12"/>
      <c r="P232" s="7"/>
      <c r="AP232" s="32"/>
    </row>
    <row r="233">
      <c r="B233" s="32"/>
      <c r="G233" s="12"/>
      <c r="J233" s="32"/>
      <c r="O233" s="12"/>
      <c r="P233" s="7"/>
      <c r="AP233" s="32"/>
    </row>
    <row r="234">
      <c r="B234" s="32"/>
      <c r="G234" s="12"/>
      <c r="J234" s="32"/>
      <c r="O234" s="12"/>
      <c r="P234" s="7"/>
      <c r="AP234" s="32"/>
    </row>
    <row r="235">
      <c r="B235" s="32"/>
      <c r="G235" s="12"/>
      <c r="J235" s="32"/>
      <c r="O235" s="12"/>
      <c r="P235" s="7"/>
      <c r="AP235" s="32"/>
    </row>
    <row r="236">
      <c r="B236" s="32"/>
      <c r="G236" s="12"/>
      <c r="J236" s="32"/>
      <c r="O236" s="12"/>
      <c r="P236" s="7"/>
      <c r="AP236" s="32"/>
    </row>
    <row r="237">
      <c r="B237" s="32"/>
      <c r="G237" s="12"/>
      <c r="J237" s="32"/>
      <c r="O237" s="12"/>
      <c r="P237" s="7"/>
      <c r="AP237" s="32"/>
    </row>
    <row r="238">
      <c r="B238" s="32"/>
      <c r="G238" s="12"/>
      <c r="J238" s="32"/>
      <c r="O238" s="12"/>
      <c r="P238" s="7"/>
      <c r="AP238" s="32"/>
    </row>
    <row r="239">
      <c r="B239" s="32"/>
      <c r="G239" s="12"/>
      <c r="J239" s="32"/>
      <c r="O239" s="12"/>
      <c r="P239" s="7"/>
      <c r="AP239" s="32"/>
    </row>
    <row r="240">
      <c r="B240" s="32"/>
      <c r="G240" s="12"/>
      <c r="J240" s="32"/>
      <c r="O240" s="12"/>
      <c r="P240" s="7"/>
      <c r="AP240" s="32"/>
    </row>
    <row r="241">
      <c r="B241" s="32"/>
      <c r="G241" s="12"/>
      <c r="J241" s="32"/>
      <c r="O241" s="12"/>
      <c r="P241" s="7"/>
      <c r="AP241" s="32"/>
    </row>
    <row r="242">
      <c r="B242" s="32"/>
      <c r="G242" s="12"/>
      <c r="J242" s="32"/>
      <c r="O242" s="12"/>
      <c r="P242" s="7"/>
      <c r="AP242" s="32"/>
    </row>
    <row r="243">
      <c r="B243" s="32"/>
      <c r="G243" s="12"/>
      <c r="J243" s="32"/>
      <c r="O243" s="12"/>
      <c r="P243" s="7"/>
      <c r="AP243" s="32"/>
    </row>
    <row r="244">
      <c r="B244" s="32"/>
      <c r="G244" s="12"/>
      <c r="J244" s="32"/>
      <c r="O244" s="12"/>
      <c r="P244" s="7"/>
      <c r="AP244" s="32"/>
    </row>
    <row r="245">
      <c r="B245" s="32"/>
      <c r="G245" s="12"/>
      <c r="J245" s="32"/>
      <c r="O245" s="12"/>
      <c r="P245" s="7"/>
      <c r="AP245" s="32"/>
    </row>
    <row r="246">
      <c r="B246" s="32"/>
      <c r="G246" s="12"/>
      <c r="J246" s="32"/>
      <c r="O246" s="12"/>
      <c r="P246" s="7"/>
      <c r="AP246" s="32"/>
    </row>
    <row r="247">
      <c r="B247" s="32"/>
      <c r="G247" s="12"/>
      <c r="J247" s="32"/>
      <c r="O247" s="12"/>
      <c r="P247" s="7"/>
      <c r="AP247" s="32"/>
    </row>
    <row r="248">
      <c r="B248" s="32"/>
      <c r="G248" s="12"/>
      <c r="J248" s="32"/>
      <c r="O248" s="12"/>
      <c r="P248" s="7"/>
      <c r="AP248" s="32"/>
    </row>
    <row r="249">
      <c r="B249" s="32"/>
      <c r="G249" s="12"/>
      <c r="J249" s="32"/>
      <c r="O249" s="12"/>
      <c r="P249" s="7"/>
      <c r="AP249" s="32"/>
    </row>
    <row r="250">
      <c r="B250" s="32"/>
      <c r="G250" s="12"/>
      <c r="J250" s="32"/>
      <c r="O250" s="12"/>
      <c r="P250" s="7"/>
      <c r="AP250" s="32"/>
    </row>
    <row r="251">
      <c r="B251" s="32"/>
      <c r="G251" s="12"/>
      <c r="J251" s="32"/>
      <c r="O251" s="12"/>
      <c r="P251" s="7"/>
      <c r="AP251" s="32"/>
    </row>
    <row r="252">
      <c r="B252" s="32"/>
      <c r="G252" s="12"/>
      <c r="J252" s="32"/>
      <c r="O252" s="12"/>
      <c r="P252" s="7"/>
      <c r="AP252" s="32"/>
    </row>
    <row r="253">
      <c r="B253" s="32"/>
      <c r="G253" s="12"/>
      <c r="J253" s="32"/>
      <c r="O253" s="12"/>
      <c r="P253" s="7"/>
      <c r="AP253" s="32"/>
    </row>
    <row r="254">
      <c r="B254" s="32"/>
      <c r="G254" s="12"/>
      <c r="J254" s="32"/>
      <c r="O254" s="12"/>
      <c r="P254" s="7"/>
      <c r="AP254" s="32"/>
    </row>
    <row r="255">
      <c r="B255" s="32"/>
      <c r="G255" s="12"/>
      <c r="J255" s="32"/>
      <c r="O255" s="12"/>
      <c r="P255" s="7"/>
      <c r="AP255" s="32"/>
    </row>
    <row r="256">
      <c r="B256" s="32"/>
      <c r="G256" s="12"/>
      <c r="J256" s="32"/>
      <c r="O256" s="12"/>
      <c r="P256" s="7"/>
      <c r="AP256" s="32"/>
    </row>
    <row r="257">
      <c r="B257" s="32"/>
      <c r="G257" s="12"/>
      <c r="J257" s="32"/>
      <c r="O257" s="12"/>
      <c r="P257" s="7"/>
      <c r="AP257" s="32"/>
    </row>
    <row r="258">
      <c r="B258" s="32"/>
      <c r="G258" s="12"/>
      <c r="J258" s="32"/>
      <c r="O258" s="12"/>
      <c r="P258" s="7"/>
      <c r="AP258" s="32"/>
    </row>
    <row r="259">
      <c r="B259" s="32"/>
      <c r="G259" s="12"/>
      <c r="J259" s="32"/>
      <c r="O259" s="12"/>
      <c r="P259" s="7"/>
      <c r="AP259" s="32"/>
    </row>
    <row r="260">
      <c r="B260" s="32"/>
      <c r="G260" s="12"/>
      <c r="J260" s="32"/>
      <c r="O260" s="12"/>
      <c r="P260" s="7"/>
      <c r="AP260" s="32"/>
    </row>
    <row r="261">
      <c r="B261" s="32"/>
      <c r="G261" s="12"/>
      <c r="J261" s="32"/>
      <c r="O261" s="12"/>
      <c r="P261" s="7"/>
      <c r="AP261" s="32"/>
    </row>
    <row r="262">
      <c r="B262" s="32"/>
      <c r="G262" s="12"/>
      <c r="J262" s="32"/>
      <c r="O262" s="12"/>
      <c r="P262" s="7"/>
      <c r="AP262" s="32"/>
    </row>
    <row r="263">
      <c r="B263" s="32"/>
      <c r="G263" s="12"/>
      <c r="J263" s="32"/>
      <c r="O263" s="12"/>
      <c r="P263" s="7"/>
      <c r="AP263" s="32"/>
    </row>
    <row r="264">
      <c r="B264" s="32"/>
      <c r="G264" s="12"/>
      <c r="J264" s="32"/>
      <c r="O264" s="12"/>
      <c r="P264" s="7"/>
      <c r="AP264" s="32"/>
    </row>
    <row r="265">
      <c r="B265" s="32"/>
      <c r="G265" s="12"/>
      <c r="J265" s="32"/>
      <c r="O265" s="12"/>
      <c r="P265" s="7"/>
      <c r="AP265" s="32"/>
    </row>
    <row r="266">
      <c r="B266" s="32"/>
      <c r="G266" s="12"/>
      <c r="J266" s="32"/>
      <c r="O266" s="12"/>
      <c r="P266" s="7"/>
      <c r="AP266" s="32"/>
    </row>
    <row r="267">
      <c r="B267" s="32"/>
      <c r="G267" s="12"/>
      <c r="J267" s="32"/>
      <c r="O267" s="12"/>
      <c r="P267" s="7"/>
      <c r="AP267" s="32"/>
    </row>
    <row r="268">
      <c r="B268" s="32"/>
      <c r="G268" s="12"/>
      <c r="J268" s="32"/>
      <c r="O268" s="12"/>
      <c r="P268" s="7"/>
      <c r="AP268" s="32"/>
    </row>
    <row r="269">
      <c r="B269" s="32"/>
      <c r="G269" s="12"/>
      <c r="J269" s="32"/>
      <c r="O269" s="12"/>
      <c r="P269" s="7"/>
      <c r="AP269" s="32"/>
    </row>
    <row r="270">
      <c r="B270" s="32"/>
      <c r="G270" s="12"/>
      <c r="J270" s="32"/>
      <c r="O270" s="12"/>
      <c r="P270" s="7"/>
      <c r="AP270" s="32"/>
    </row>
    <row r="271">
      <c r="B271" s="32"/>
      <c r="G271" s="12"/>
      <c r="J271" s="32"/>
      <c r="O271" s="12"/>
      <c r="P271" s="7"/>
      <c r="AP271" s="32"/>
    </row>
    <row r="272">
      <c r="B272" s="32"/>
      <c r="G272" s="12"/>
      <c r="J272" s="32"/>
      <c r="O272" s="12"/>
      <c r="P272" s="7"/>
      <c r="AP272" s="32"/>
    </row>
    <row r="273">
      <c r="B273" s="32"/>
      <c r="G273" s="12"/>
      <c r="J273" s="32"/>
      <c r="O273" s="12"/>
      <c r="P273" s="7"/>
      <c r="AP273" s="32"/>
    </row>
    <row r="274">
      <c r="B274" s="32"/>
      <c r="G274" s="12"/>
      <c r="J274" s="32"/>
      <c r="O274" s="12"/>
      <c r="P274" s="7"/>
      <c r="AP274" s="32"/>
    </row>
    <row r="275">
      <c r="B275" s="32"/>
      <c r="G275" s="12"/>
      <c r="J275" s="32"/>
      <c r="O275" s="12"/>
      <c r="P275" s="7"/>
      <c r="AP275" s="32"/>
    </row>
    <row r="276">
      <c r="B276" s="32"/>
      <c r="G276" s="12"/>
      <c r="J276" s="32"/>
      <c r="O276" s="12"/>
      <c r="P276" s="7"/>
      <c r="AP276" s="32"/>
    </row>
    <row r="277">
      <c r="B277" s="32"/>
      <c r="G277" s="12"/>
      <c r="J277" s="32"/>
      <c r="O277" s="12"/>
      <c r="P277" s="7"/>
      <c r="AP277" s="32"/>
    </row>
    <row r="278">
      <c r="B278" s="32"/>
      <c r="G278" s="12"/>
      <c r="J278" s="32"/>
      <c r="O278" s="12"/>
      <c r="P278" s="7"/>
      <c r="AP278" s="32"/>
    </row>
    <row r="279">
      <c r="B279" s="32"/>
      <c r="G279" s="12"/>
      <c r="J279" s="32"/>
      <c r="O279" s="12"/>
      <c r="P279" s="7"/>
      <c r="AP279" s="32"/>
    </row>
    <row r="280">
      <c r="B280" s="32"/>
      <c r="G280" s="12"/>
      <c r="J280" s="32"/>
      <c r="O280" s="12"/>
      <c r="P280" s="7"/>
      <c r="AP280" s="32"/>
    </row>
    <row r="281">
      <c r="B281" s="32"/>
      <c r="G281" s="12"/>
      <c r="J281" s="32"/>
      <c r="O281" s="12"/>
      <c r="P281" s="7"/>
      <c r="AP281" s="32"/>
    </row>
    <row r="282">
      <c r="B282" s="32"/>
      <c r="G282" s="12"/>
      <c r="J282" s="32"/>
      <c r="O282" s="12"/>
      <c r="P282" s="7"/>
      <c r="AP282" s="32"/>
    </row>
    <row r="283">
      <c r="B283" s="32"/>
      <c r="G283" s="12"/>
      <c r="J283" s="32"/>
      <c r="O283" s="12"/>
      <c r="P283" s="7"/>
      <c r="AP283" s="32"/>
    </row>
    <row r="284">
      <c r="B284" s="32"/>
      <c r="G284" s="12"/>
      <c r="J284" s="32"/>
      <c r="O284" s="12"/>
      <c r="P284" s="7"/>
      <c r="AP284" s="32"/>
    </row>
    <row r="285">
      <c r="B285" s="32"/>
      <c r="G285" s="12"/>
      <c r="J285" s="32"/>
      <c r="O285" s="12"/>
      <c r="P285" s="7"/>
      <c r="AP285" s="32"/>
    </row>
    <row r="286">
      <c r="B286" s="32"/>
      <c r="G286" s="12"/>
      <c r="J286" s="32"/>
      <c r="O286" s="12"/>
      <c r="P286" s="7"/>
      <c r="AP286" s="32"/>
    </row>
    <row r="287">
      <c r="B287" s="32"/>
      <c r="G287" s="12"/>
      <c r="J287" s="32"/>
      <c r="O287" s="12"/>
      <c r="P287" s="7"/>
      <c r="AP287" s="32"/>
    </row>
    <row r="288">
      <c r="B288" s="32"/>
      <c r="G288" s="12"/>
      <c r="J288" s="32"/>
      <c r="O288" s="12"/>
      <c r="P288" s="7"/>
      <c r="AP288" s="32"/>
    </row>
    <row r="289">
      <c r="B289" s="32"/>
      <c r="G289" s="12"/>
      <c r="J289" s="32"/>
      <c r="O289" s="12"/>
      <c r="P289" s="7"/>
      <c r="AP289" s="32"/>
    </row>
    <row r="290">
      <c r="B290" s="32"/>
      <c r="G290" s="12"/>
      <c r="J290" s="32"/>
      <c r="O290" s="12"/>
      <c r="P290" s="7"/>
      <c r="AP290" s="32"/>
    </row>
    <row r="291">
      <c r="B291" s="32"/>
      <c r="G291" s="12"/>
      <c r="J291" s="32"/>
      <c r="O291" s="12"/>
      <c r="P291" s="7"/>
      <c r="AP291" s="32"/>
    </row>
    <row r="292">
      <c r="B292" s="32"/>
      <c r="G292" s="12"/>
      <c r="J292" s="32"/>
      <c r="O292" s="12"/>
      <c r="P292" s="7"/>
      <c r="AP292" s="32"/>
    </row>
    <row r="293">
      <c r="B293" s="32"/>
      <c r="G293" s="12"/>
      <c r="J293" s="32"/>
      <c r="O293" s="12"/>
      <c r="P293" s="7"/>
      <c r="AP293" s="32"/>
    </row>
    <row r="294">
      <c r="B294" s="32"/>
      <c r="G294" s="12"/>
      <c r="J294" s="32"/>
      <c r="O294" s="12"/>
      <c r="P294" s="7"/>
      <c r="AP294" s="32"/>
    </row>
    <row r="295">
      <c r="B295" s="32"/>
      <c r="G295" s="12"/>
      <c r="J295" s="32"/>
      <c r="O295" s="12"/>
      <c r="P295" s="7"/>
      <c r="AP295" s="32"/>
    </row>
    <row r="296">
      <c r="B296" s="32"/>
      <c r="G296" s="12"/>
      <c r="J296" s="32"/>
      <c r="O296" s="12"/>
      <c r="P296" s="7"/>
      <c r="AP296" s="32"/>
    </row>
    <row r="297">
      <c r="B297" s="32"/>
      <c r="G297" s="12"/>
      <c r="J297" s="32"/>
      <c r="O297" s="12"/>
      <c r="P297" s="7"/>
      <c r="AP297" s="32"/>
    </row>
    <row r="298">
      <c r="B298" s="32"/>
      <c r="G298" s="12"/>
      <c r="J298" s="32"/>
      <c r="O298" s="12"/>
      <c r="P298" s="7"/>
      <c r="AP298" s="32"/>
    </row>
    <row r="299">
      <c r="B299" s="32"/>
      <c r="G299" s="12"/>
      <c r="J299" s="32"/>
      <c r="O299" s="12"/>
      <c r="P299" s="7"/>
      <c r="AP299" s="32"/>
    </row>
    <row r="300">
      <c r="B300" s="32"/>
      <c r="G300" s="12"/>
      <c r="J300" s="32"/>
      <c r="O300" s="12"/>
      <c r="P300" s="7"/>
      <c r="AP300" s="32"/>
    </row>
    <row r="301">
      <c r="B301" s="32"/>
      <c r="G301" s="12"/>
      <c r="J301" s="32"/>
      <c r="O301" s="12"/>
      <c r="P301" s="7"/>
      <c r="AP301" s="32"/>
    </row>
    <row r="302">
      <c r="B302" s="32"/>
      <c r="G302" s="12"/>
      <c r="J302" s="32"/>
      <c r="O302" s="12"/>
      <c r="P302" s="7"/>
      <c r="AP302" s="32"/>
    </row>
    <row r="303">
      <c r="B303" s="32"/>
      <c r="G303" s="12"/>
      <c r="J303" s="32"/>
      <c r="O303" s="12"/>
      <c r="P303" s="7"/>
      <c r="AP303" s="32"/>
    </row>
    <row r="304">
      <c r="B304" s="32"/>
      <c r="G304" s="12"/>
      <c r="J304" s="32"/>
      <c r="O304" s="12"/>
      <c r="P304" s="7"/>
      <c r="AP304" s="32"/>
    </row>
    <row r="305">
      <c r="B305" s="32"/>
      <c r="G305" s="12"/>
      <c r="J305" s="32"/>
      <c r="O305" s="12"/>
      <c r="P305" s="7"/>
      <c r="AP305" s="32"/>
    </row>
    <row r="306">
      <c r="B306" s="32"/>
      <c r="G306" s="12"/>
      <c r="J306" s="32"/>
      <c r="O306" s="12"/>
      <c r="P306" s="7"/>
      <c r="AP306" s="32"/>
    </row>
    <row r="307">
      <c r="B307" s="32"/>
      <c r="G307" s="12"/>
      <c r="J307" s="32"/>
      <c r="O307" s="12"/>
      <c r="P307" s="7"/>
      <c r="AP307" s="32"/>
    </row>
    <row r="308">
      <c r="B308" s="32"/>
      <c r="G308" s="12"/>
      <c r="J308" s="32"/>
      <c r="O308" s="12"/>
      <c r="P308" s="7"/>
      <c r="AP308" s="32"/>
    </row>
    <row r="309">
      <c r="B309" s="32"/>
      <c r="G309" s="12"/>
      <c r="J309" s="32"/>
      <c r="O309" s="12"/>
      <c r="P309" s="7"/>
      <c r="AP309" s="32"/>
    </row>
    <row r="310">
      <c r="B310" s="32"/>
      <c r="G310" s="12"/>
      <c r="J310" s="32"/>
      <c r="O310" s="12"/>
      <c r="P310" s="7"/>
      <c r="AP310" s="32"/>
    </row>
    <row r="311">
      <c r="B311" s="32"/>
      <c r="G311" s="12"/>
      <c r="J311" s="32"/>
      <c r="O311" s="12"/>
      <c r="P311" s="7"/>
      <c r="AP311" s="32"/>
    </row>
    <row r="312">
      <c r="B312" s="32"/>
      <c r="G312" s="12"/>
      <c r="J312" s="32"/>
      <c r="O312" s="12"/>
      <c r="P312" s="7"/>
      <c r="AP312" s="32"/>
    </row>
    <row r="313">
      <c r="B313" s="32"/>
      <c r="G313" s="12"/>
      <c r="J313" s="32"/>
      <c r="O313" s="12"/>
      <c r="P313" s="7"/>
      <c r="AP313" s="32"/>
    </row>
    <row r="314">
      <c r="B314" s="32"/>
      <c r="G314" s="12"/>
      <c r="J314" s="32"/>
      <c r="O314" s="12"/>
      <c r="P314" s="7"/>
      <c r="AP314" s="32"/>
    </row>
    <row r="315">
      <c r="B315" s="32"/>
      <c r="G315" s="12"/>
      <c r="J315" s="32"/>
      <c r="O315" s="12"/>
      <c r="P315" s="7"/>
      <c r="AP315" s="32"/>
    </row>
    <row r="316">
      <c r="B316" s="32"/>
      <c r="G316" s="12"/>
      <c r="J316" s="32"/>
      <c r="O316" s="12"/>
      <c r="P316" s="7"/>
      <c r="AP316" s="32"/>
    </row>
    <row r="317">
      <c r="B317" s="32"/>
      <c r="G317" s="12"/>
      <c r="J317" s="32"/>
      <c r="O317" s="12"/>
      <c r="P317" s="7"/>
      <c r="AP317" s="32"/>
    </row>
    <row r="318">
      <c r="B318" s="32"/>
      <c r="G318" s="12"/>
      <c r="J318" s="32"/>
      <c r="O318" s="12"/>
      <c r="P318" s="7"/>
      <c r="AP318" s="32"/>
    </row>
    <row r="319">
      <c r="B319" s="32"/>
      <c r="G319" s="12"/>
      <c r="J319" s="32"/>
      <c r="O319" s="12"/>
      <c r="P319" s="7"/>
      <c r="AP319" s="32"/>
    </row>
    <row r="320">
      <c r="B320" s="32"/>
      <c r="G320" s="12"/>
      <c r="J320" s="32"/>
      <c r="O320" s="12"/>
      <c r="P320" s="7"/>
      <c r="AP320" s="32"/>
    </row>
    <row r="321">
      <c r="B321" s="32"/>
      <c r="G321" s="12"/>
      <c r="J321" s="32"/>
      <c r="O321" s="12"/>
      <c r="P321" s="7"/>
      <c r="AP321" s="32"/>
    </row>
    <row r="322">
      <c r="B322" s="32"/>
      <c r="G322" s="12"/>
      <c r="J322" s="32"/>
      <c r="O322" s="12"/>
      <c r="P322" s="7"/>
      <c r="AP322" s="32"/>
    </row>
    <row r="323">
      <c r="B323" s="32"/>
      <c r="G323" s="12"/>
      <c r="J323" s="32"/>
      <c r="O323" s="12"/>
      <c r="P323" s="7"/>
      <c r="AP323" s="32"/>
    </row>
    <row r="324">
      <c r="B324" s="32"/>
      <c r="G324" s="12"/>
      <c r="J324" s="32"/>
      <c r="O324" s="12"/>
      <c r="P324" s="7"/>
      <c r="AP324" s="32"/>
    </row>
    <row r="325">
      <c r="B325" s="32"/>
      <c r="G325" s="12"/>
      <c r="J325" s="32"/>
      <c r="O325" s="12"/>
      <c r="P325" s="7"/>
      <c r="AP325" s="32"/>
    </row>
    <row r="326">
      <c r="B326" s="32"/>
      <c r="G326" s="12"/>
      <c r="J326" s="32"/>
      <c r="O326" s="12"/>
      <c r="P326" s="7"/>
      <c r="AP326" s="32"/>
    </row>
    <row r="327">
      <c r="B327" s="32"/>
      <c r="G327" s="12"/>
      <c r="J327" s="32"/>
      <c r="O327" s="12"/>
      <c r="P327" s="7"/>
      <c r="AP327" s="32"/>
    </row>
    <row r="328">
      <c r="B328" s="32"/>
      <c r="G328" s="12"/>
      <c r="J328" s="32"/>
      <c r="O328" s="12"/>
      <c r="P328" s="7"/>
      <c r="AP328" s="32"/>
    </row>
    <row r="329">
      <c r="B329" s="32"/>
      <c r="G329" s="12"/>
      <c r="J329" s="32"/>
      <c r="O329" s="12"/>
      <c r="P329" s="7"/>
      <c r="AP329" s="32"/>
    </row>
    <row r="330">
      <c r="B330" s="32"/>
      <c r="G330" s="12"/>
      <c r="J330" s="32"/>
      <c r="O330" s="12"/>
      <c r="P330" s="7"/>
      <c r="AP330" s="32"/>
    </row>
    <row r="331">
      <c r="B331" s="32"/>
      <c r="G331" s="12"/>
      <c r="J331" s="32"/>
      <c r="O331" s="12"/>
      <c r="P331" s="7"/>
      <c r="AP331" s="32"/>
    </row>
    <row r="332">
      <c r="B332" s="32"/>
      <c r="G332" s="12"/>
      <c r="J332" s="32"/>
      <c r="O332" s="12"/>
      <c r="P332" s="7"/>
      <c r="AP332" s="32"/>
    </row>
    <row r="333">
      <c r="B333" s="32"/>
      <c r="G333" s="12"/>
      <c r="J333" s="32"/>
      <c r="O333" s="12"/>
      <c r="P333" s="7"/>
      <c r="AP333" s="32"/>
    </row>
    <row r="334">
      <c r="B334" s="32"/>
      <c r="G334" s="12"/>
      <c r="J334" s="32"/>
      <c r="O334" s="12"/>
      <c r="P334" s="7"/>
      <c r="AP334" s="32"/>
    </row>
    <row r="335">
      <c r="B335" s="32"/>
      <c r="G335" s="12"/>
      <c r="J335" s="32"/>
      <c r="O335" s="12"/>
      <c r="P335" s="7"/>
      <c r="AP335" s="32"/>
    </row>
    <row r="336">
      <c r="B336" s="32"/>
      <c r="G336" s="12"/>
      <c r="J336" s="32"/>
      <c r="O336" s="12"/>
      <c r="P336" s="7"/>
      <c r="AP336" s="32"/>
    </row>
    <row r="337">
      <c r="B337" s="32"/>
      <c r="G337" s="12"/>
      <c r="J337" s="32"/>
      <c r="O337" s="12"/>
      <c r="P337" s="7"/>
      <c r="AP337" s="32"/>
    </row>
    <row r="338">
      <c r="B338" s="32"/>
      <c r="G338" s="12"/>
      <c r="J338" s="32"/>
      <c r="O338" s="12"/>
      <c r="P338" s="7"/>
      <c r="AP338" s="32"/>
    </row>
    <row r="339">
      <c r="B339" s="32"/>
      <c r="G339" s="12"/>
      <c r="J339" s="32"/>
      <c r="O339" s="12"/>
      <c r="P339" s="7"/>
      <c r="AP339" s="32"/>
    </row>
    <row r="340">
      <c r="B340" s="32"/>
      <c r="G340" s="12"/>
      <c r="J340" s="32"/>
      <c r="O340" s="12"/>
      <c r="P340" s="7"/>
      <c r="AP340" s="32"/>
    </row>
    <row r="341">
      <c r="B341" s="32"/>
      <c r="G341" s="12"/>
      <c r="J341" s="32"/>
      <c r="O341" s="12"/>
      <c r="P341" s="7"/>
      <c r="AP341" s="32"/>
    </row>
    <row r="342">
      <c r="B342" s="32"/>
      <c r="G342" s="12"/>
      <c r="J342" s="32"/>
      <c r="O342" s="12"/>
      <c r="P342" s="7"/>
      <c r="AP342" s="32"/>
    </row>
    <row r="343">
      <c r="B343" s="32"/>
      <c r="G343" s="12"/>
      <c r="J343" s="32"/>
      <c r="O343" s="12"/>
      <c r="P343" s="7"/>
      <c r="AP343" s="32"/>
    </row>
    <row r="344">
      <c r="B344" s="32"/>
      <c r="G344" s="12"/>
      <c r="J344" s="32"/>
      <c r="O344" s="12"/>
      <c r="P344" s="7"/>
      <c r="AP344" s="32"/>
    </row>
    <row r="345">
      <c r="B345" s="32"/>
      <c r="G345" s="12"/>
      <c r="J345" s="32"/>
      <c r="O345" s="12"/>
      <c r="P345" s="7"/>
      <c r="AP345" s="32"/>
    </row>
    <row r="346">
      <c r="B346" s="32"/>
      <c r="G346" s="12"/>
      <c r="J346" s="32"/>
      <c r="O346" s="12"/>
      <c r="P346" s="7"/>
      <c r="AP346" s="32"/>
    </row>
    <row r="347">
      <c r="B347" s="32"/>
      <c r="G347" s="12"/>
      <c r="J347" s="32"/>
      <c r="O347" s="12"/>
      <c r="P347" s="7"/>
      <c r="AP347" s="32"/>
    </row>
    <row r="348">
      <c r="B348" s="32"/>
      <c r="G348" s="12"/>
      <c r="J348" s="32"/>
      <c r="O348" s="12"/>
      <c r="P348" s="7"/>
      <c r="AP348" s="32"/>
    </row>
    <row r="349">
      <c r="B349" s="32"/>
      <c r="G349" s="12"/>
      <c r="J349" s="32"/>
      <c r="O349" s="12"/>
      <c r="P349" s="7"/>
      <c r="AP349" s="32"/>
    </row>
    <row r="350">
      <c r="B350" s="32"/>
      <c r="G350" s="12"/>
      <c r="J350" s="32"/>
      <c r="O350" s="12"/>
      <c r="P350" s="7"/>
      <c r="AP350" s="32"/>
    </row>
    <row r="351">
      <c r="B351" s="32"/>
      <c r="G351" s="12"/>
      <c r="J351" s="32"/>
      <c r="O351" s="12"/>
      <c r="P351" s="7"/>
      <c r="AP351" s="32"/>
    </row>
    <row r="352">
      <c r="B352" s="32"/>
      <c r="G352" s="12"/>
      <c r="J352" s="32"/>
      <c r="O352" s="12"/>
      <c r="P352" s="7"/>
      <c r="AP352" s="32"/>
    </row>
    <row r="353">
      <c r="B353" s="32"/>
      <c r="G353" s="12"/>
      <c r="J353" s="32"/>
      <c r="O353" s="12"/>
      <c r="P353" s="7"/>
      <c r="AP353" s="32"/>
    </row>
    <row r="354">
      <c r="B354" s="32"/>
      <c r="G354" s="12"/>
      <c r="J354" s="32"/>
      <c r="O354" s="12"/>
      <c r="P354" s="7"/>
      <c r="AP354" s="32"/>
    </row>
    <row r="355">
      <c r="B355" s="32"/>
      <c r="G355" s="12"/>
      <c r="J355" s="32"/>
      <c r="O355" s="12"/>
      <c r="P355" s="7"/>
      <c r="AP355" s="32"/>
    </row>
    <row r="356">
      <c r="B356" s="32"/>
      <c r="G356" s="12"/>
      <c r="J356" s="32"/>
      <c r="O356" s="12"/>
      <c r="P356" s="7"/>
      <c r="AP356" s="32"/>
    </row>
    <row r="357">
      <c r="B357" s="32"/>
      <c r="G357" s="12"/>
      <c r="J357" s="32"/>
      <c r="O357" s="12"/>
      <c r="P357" s="7"/>
      <c r="AP357" s="32"/>
    </row>
    <row r="358">
      <c r="B358" s="32"/>
      <c r="G358" s="12"/>
      <c r="J358" s="32"/>
      <c r="O358" s="12"/>
      <c r="P358" s="7"/>
      <c r="AP358" s="32"/>
    </row>
    <row r="359">
      <c r="B359" s="32"/>
      <c r="G359" s="12"/>
      <c r="J359" s="32"/>
      <c r="O359" s="12"/>
      <c r="P359" s="7"/>
      <c r="AP359" s="32"/>
    </row>
    <row r="360">
      <c r="B360" s="32"/>
      <c r="G360" s="12"/>
      <c r="J360" s="32"/>
      <c r="O360" s="12"/>
      <c r="P360" s="7"/>
      <c r="AP360" s="32"/>
    </row>
    <row r="361">
      <c r="B361" s="32"/>
      <c r="G361" s="12"/>
      <c r="J361" s="32"/>
      <c r="O361" s="12"/>
      <c r="P361" s="7"/>
      <c r="AP361" s="32"/>
    </row>
    <row r="362">
      <c r="B362" s="32"/>
      <c r="G362" s="12"/>
      <c r="J362" s="32"/>
      <c r="O362" s="12"/>
      <c r="P362" s="7"/>
      <c r="AP362" s="32"/>
    </row>
    <row r="363">
      <c r="B363" s="32"/>
      <c r="G363" s="12"/>
      <c r="J363" s="32"/>
      <c r="O363" s="12"/>
      <c r="P363" s="7"/>
      <c r="AP363" s="32"/>
    </row>
    <row r="364">
      <c r="B364" s="32"/>
      <c r="G364" s="12"/>
      <c r="J364" s="32"/>
      <c r="O364" s="12"/>
      <c r="P364" s="7"/>
      <c r="AP364" s="32"/>
    </row>
    <row r="365">
      <c r="B365" s="32"/>
      <c r="G365" s="12"/>
      <c r="J365" s="32"/>
      <c r="O365" s="12"/>
      <c r="P365" s="7"/>
      <c r="AP365" s="32"/>
    </row>
    <row r="366">
      <c r="B366" s="32"/>
      <c r="G366" s="12"/>
      <c r="J366" s="32"/>
      <c r="O366" s="12"/>
      <c r="P366" s="7"/>
      <c r="AP366" s="32"/>
    </row>
    <row r="367">
      <c r="B367" s="32"/>
      <c r="G367" s="12"/>
      <c r="J367" s="32"/>
      <c r="O367" s="12"/>
      <c r="P367" s="7"/>
      <c r="AP367" s="32"/>
    </row>
    <row r="368">
      <c r="B368" s="32"/>
      <c r="G368" s="12"/>
      <c r="J368" s="32"/>
      <c r="O368" s="12"/>
      <c r="P368" s="7"/>
      <c r="AP368" s="32"/>
    </row>
    <row r="369">
      <c r="B369" s="32"/>
      <c r="G369" s="12"/>
      <c r="J369" s="32"/>
      <c r="O369" s="12"/>
      <c r="P369" s="7"/>
      <c r="AP369" s="32"/>
    </row>
    <row r="370">
      <c r="B370" s="32"/>
      <c r="G370" s="12"/>
      <c r="J370" s="32"/>
      <c r="O370" s="12"/>
      <c r="P370" s="7"/>
      <c r="AP370" s="32"/>
    </row>
    <row r="371">
      <c r="B371" s="32"/>
      <c r="G371" s="12"/>
      <c r="J371" s="32"/>
      <c r="O371" s="12"/>
      <c r="P371" s="7"/>
      <c r="AP371" s="32"/>
    </row>
    <row r="372">
      <c r="B372" s="32"/>
      <c r="G372" s="12"/>
      <c r="J372" s="32"/>
      <c r="O372" s="12"/>
      <c r="P372" s="7"/>
      <c r="AP372" s="32"/>
    </row>
    <row r="373">
      <c r="B373" s="32"/>
      <c r="G373" s="12"/>
      <c r="J373" s="32"/>
      <c r="O373" s="12"/>
      <c r="P373" s="7"/>
      <c r="AP373" s="32"/>
    </row>
    <row r="374">
      <c r="B374" s="32"/>
      <c r="G374" s="12"/>
      <c r="J374" s="32"/>
      <c r="O374" s="12"/>
      <c r="P374" s="7"/>
      <c r="AP374" s="32"/>
    </row>
    <row r="375">
      <c r="B375" s="32"/>
      <c r="G375" s="12"/>
      <c r="J375" s="32"/>
      <c r="O375" s="12"/>
      <c r="P375" s="7"/>
      <c r="AP375" s="32"/>
    </row>
    <row r="376">
      <c r="B376" s="32"/>
      <c r="G376" s="12"/>
      <c r="J376" s="32"/>
      <c r="O376" s="12"/>
      <c r="P376" s="7"/>
      <c r="AP376" s="32"/>
    </row>
    <row r="377">
      <c r="B377" s="32"/>
      <c r="G377" s="12"/>
      <c r="J377" s="32"/>
      <c r="O377" s="12"/>
      <c r="P377" s="7"/>
      <c r="AP377" s="32"/>
    </row>
    <row r="378">
      <c r="B378" s="32"/>
      <c r="G378" s="12"/>
      <c r="J378" s="32"/>
      <c r="O378" s="12"/>
      <c r="P378" s="7"/>
      <c r="AP378" s="32"/>
    </row>
    <row r="379">
      <c r="B379" s="32"/>
      <c r="G379" s="12"/>
      <c r="J379" s="32"/>
      <c r="O379" s="12"/>
      <c r="P379" s="7"/>
      <c r="AP379" s="32"/>
    </row>
    <row r="380">
      <c r="B380" s="32"/>
      <c r="G380" s="12"/>
      <c r="J380" s="32"/>
      <c r="O380" s="12"/>
      <c r="P380" s="7"/>
      <c r="AP380" s="32"/>
    </row>
    <row r="381">
      <c r="B381" s="32"/>
      <c r="G381" s="12"/>
      <c r="J381" s="32"/>
      <c r="O381" s="12"/>
      <c r="P381" s="7"/>
      <c r="AP381" s="32"/>
    </row>
    <row r="382">
      <c r="B382" s="32"/>
      <c r="G382" s="12"/>
      <c r="J382" s="32"/>
      <c r="O382" s="12"/>
      <c r="P382" s="7"/>
      <c r="AP382" s="32"/>
    </row>
    <row r="383">
      <c r="B383" s="32"/>
      <c r="G383" s="12"/>
      <c r="J383" s="32"/>
      <c r="O383" s="12"/>
      <c r="P383" s="7"/>
      <c r="AP383" s="32"/>
    </row>
    <row r="384">
      <c r="B384" s="32"/>
      <c r="G384" s="12"/>
      <c r="J384" s="32"/>
      <c r="O384" s="12"/>
      <c r="P384" s="7"/>
      <c r="AP384" s="32"/>
    </row>
    <row r="385">
      <c r="B385" s="32"/>
      <c r="G385" s="12"/>
      <c r="J385" s="32"/>
      <c r="O385" s="12"/>
      <c r="P385" s="7"/>
      <c r="AP385" s="32"/>
    </row>
    <row r="386">
      <c r="B386" s="32"/>
      <c r="G386" s="12"/>
      <c r="J386" s="32"/>
      <c r="O386" s="12"/>
      <c r="P386" s="7"/>
      <c r="AP386" s="32"/>
    </row>
    <row r="387">
      <c r="B387" s="32"/>
      <c r="G387" s="12"/>
      <c r="J387" s="32"/>
      <c r="O387" s="12"/>
      <c r="P387" s="7"/>
      <c r="AP387" s="32"/>
    </row>
    <row r="388">
      <c r="B388" s="32"/>
      <c r="G388" s="12"/>
      <c r="J388" s="32"/>
      <c r="O388" s="12"/>
      <c r="P388" s="7"/>
      <c r="AP388" s="32"/>
    </row>
    <row r="389">
      <c r="B389" s="32"/>
      <c r="G389" s="12"/>
      <c r="J389" s="32"/>
      <c r="O389" s="12"/>
      <c r="P389" s="7"/>
      <c r="AP389" s="32"/>
    </row>
    <row r="390">
      <c r="B390" s="32"/>
      <c r="G390" s="12"/>
      <c r="J390" s="32"/>
      <c r="O390" s="12"/>
      <c r="P390" s="7"/>
      <c r="AP390" s="32"/>
    </row>
    <row r="391">
      <c r="B391" s="32"/>
      <c r="G391" s="12"/>
      <c r="J391" s="32"/>
      <c r="O391" s="12"/>
      <c r="P391" s="7"/>
      <c r="AP391" s="32"/>
    </row>
    <row r="392">
      <c r="B392" s="32"/>
      <c r="G392" s="12"/>
      <c r="J392" s="32"/>
      <c r="O392" s="12"/>
      <c r="P392" s="7"/>
      <c r="AP392" s="32"/>
    </row>
    <row r="393">
      <c r="B393" s="32"/>
      <c r="G393" s="12"/>
      <c r="J393" s="32"/>
      <c r="O393" s="12"/>
      <c r="P393" s="7"/>
      <c r="AP393" s="32"/>
    </row>
    <row r="394">
      <c r="B394" s="32"/>
      <c r="G394" s="12"/>
      <c r="J394" s="32"/>
      <c r="O394" s="12"/>
      <c r="P394" s="7"/>
      <c r="AP394" s="32"/>
    </row>
    <row r="395">
      <c r="B395" s="32"/>
      <c r="G395" s="12"/>
      <c r="J395" s="32"/>
      <c r="O395" s="12"/>
      <c r="P395" s="7"/>
      <c r="AP395" s="32"/>
    </row>
    <row r="396">
      <c r="B396" s="32"/>
      <c r="G396" s="12"/>
      <c r="J396" s="32"/>
      <c r="O396" s="12"/>
      <c r="P396" s="7"/>
      <c r="AP396" s="32"/>
    </row>
    <row r="397">
      <c r="B397" s="32"/>
      <c r="G397" s="12"/>
      <c r="J397" s="32"/>
      <c r="O397" s="12"/>
      <c r="P397" s="7"/>
      <c r="AP397" s="32"/>
    </row>
    <row r="398">
      <c r="B398" s="32"/>
      <c r="G398" s="12"/>
      <c r="J398" s="32"/>
      <c r="O398" s="12"/>
      <c r="P398" s="7"/>
      <c r="AP398" s="32"/>
    </row>
    <row r="399">
      <c r="B399" s="32"/>
      <c r="G399" s="12"/>
      <c r="J399" s="32"/>
      <c r="O399" s="12"/>
      <c r="P399" s="7"/>
      <c r="AP399" s="32"/>
    </row>
    <row r="400">
      <c r="B400" s="32"/>
      <c r="G400" s="12"/>
      <c r="J400" s="32"/>
      <c r="O400" s="12"/>
      <c r="P400" s="7"/>
      <c r="AP400" s="32"/>
    </row>
    <row r="401">
      <c r="B401" s="32"/>
      <c r="G401" s="12"/>
      <c r="J401" s="32"/>
      <c r="O401" s="12"/>
      <c r="P401" s="7"/>
      <c r="AP401" s="32"/>
    </row>
    <row r="402">
      <c r="B402" s="32"/>
      <c r="G402" s="12"/>
      <c r="J402" s="32"/>
      <c r="O402" s="12"/>
      <c r="P402" s="7"/>
      <c r="AP402" s="32"/>
    </row>
    <row r="403">
      <c r="B403" s="32"/>
      <c r="G403" s="12"/>
      <c r="J403" s="32"/>
      <c r="O403" s="12"/>
      <c r="P403" s="7"/>
      <c r="AP403" s="32"/>
    </row>
    <row r="404">
      <c r="B404" s="32"/>
      <c r="G404" s="12"/>
      <c r="J404" s="32"/>
      <c r="O404" s="12"/>
      <c r="P404" s="7"/>
      <c r="AP404" s="32"/>
    </row>
    <row r="405">
      <c r="B405" s="32"/>
      <c r="G405" s="12"/>
      <c r="J405" s="32"/>
      <c r="O405" s="12"/>
      <c r="P405" s="7"/>
      <c r="AP405" s="32"/>
    </row>
    <row r="406">
      <c r="B406" s="32"/>
      <c r="G406" s="12"/>
      <c r="J406" s="32"/>
      <c r="O406" s="12"/>
      <c r="P406" s="7"/>
      <c r="AP406" s="32"/>
    </row>
    <row r="407">
      <c r="B407" s="32"/>
      <c r="G407" s="12"/>
      <c r="J407" s="32"/>
      <c r="O407" s="12"/>
      <c r="P407" s="7"/>
      <c r="AP407" s="32"/>
    </row>
    <row r="408">
      <c r="B408" s="32"/>
      <c r="G408" s="12"/>
      <c r="J408" s="32"/>
      <c r="O408" s="12"/>
      <c r="P408" s="7"/>
      <c r="AP408" s="32"/>
    </row>
    <row r="409">
      <c r="B409" s="32"/>
      <c r="G409" s="12"/>
      <c r="J409" s="32"/>
      <c r="O409" s="12"/>
      <c r="P409" s="7"/>
      <c r="AP409" s="32"/>
    </row>
    <row r="410">
      <c r="B410" s="32"/>
      <c r="G410" s="12"/>
      <c r="J410" s="32"/>
      <c r="O410" s="12"/>
      <c r="P410" s="7"/>
      <c r="AP410" s="32"/>
    </row>
    <row r="411">
      <c r="B411" s="32"/>
      <c r="G411" s="12"/>
      <c r="J411" s="32"/>
      <c r="O411" s="12"/>
      <c r="P411" s="7"/>
      <c r="AP411" s="32"/>
    </row>
    <row r="412">
      <c r="B412" s="32"/>
      <c r="G412" s="12"/>
      <c r="J412" s="32"/>
      <c r="O412" s="12"/>
      <c r="P412" s="7"/>
      <c r="AP412" s="32"/>
    </row>
    <row r="413">
      <c r="B413" s="32"/>
      <c r="G413" s="12"/>
      <c r="J413" s="32"/>
      <c r="O413" s="12"/>
      <c r="P413" s="7"/>
      <c r="AP413" s="32"/>
    </row>
    <row r="414">
      <c r="B414" s="32"/>
      <c r="G414" s="12"/>
      <c r="J414" s="32"/>
      <c r="O414" s="12"/>
      <c r="P414" s="7"/>
      <c r="AP414" s="32"/>
    </row>
    <row r="415">
      <c r="B415" s="32"/>
      <c r="G415" s="12"/>
      <c r="J415" s="32"/>
      <c r="O415" s="12"/>
      <c r="P415" s="7"/>
      <c r="AP415" s="32"/>
    </row>
    <row r="416">
      <c r="B416" s="32"/>
      <c r="G416" s="12"/>
      <c r="J416" s="32"/>
      <c r="O416" s="12"/>
      <c r="P416" s="7"/>
      <c r="AP416" s="32"/>
    </row>
    <row r="417">
      <c r="B417" s="32"/>
      <c r="G417" s="12"/>
      <c r="J417" s="32"/>
      <c r="O417" s="12"/>
      <c r="P417" s="7"/>
      <c r="AP417" s="32"/>
    </row>
    <row r="418">
      <c r="B418" s="32"/>
      <c r="G418" s="12"/>
      <c r="J418" s="32"/>
      <c r="O418" s="12"/>
      <c r="P418" s="7"/>
      <c r="AP418" s="32"/>
    </row>
    <row r="419">
      <c r="B419" s="32"/>
      <c r="G419" s="12"/>
      <c r="J419" s="32"/>
      <c r="O419" s="12"/>
      <c r="P419" s="7"/>
      <c r="AP419" s="32"/>
    </row>
    <row r="420">
      <c r="B420" s="32"/>
      <c r="G420" s="12"/>
      <c r="J420" s="32"/>
      <c r="O420" s="12"/>
      <c r="P420" s="7"/>
      <c r="AP420" s="32"/>
    </row>
    <row r="421">
      <c r="B421" s="32"/>
      <c r="G421" s="12"/>
      <c r="J421" s="32"/>
      <c r="O421" s="12"/>
      <c r="P421" s="7"/>
      <c r="AP421" s="32"/>
    </row>
    <row r="422">
      <c r="B422" s="32"/>
      <c r="G422" s="12"/>
      <c r="J422" s="32"/>
      <c r="O422" s="12"/>
      <c r="P422" s="7"/>
      <c r="AP422" s="32"/>
    </row>
    <row r="423">
      <c r="B423" s="32"/>
      <c r="G423" s="12"/>
      <c r="J423" s="32"/>
      <c r="O423" s="12"/>
      <c r="P423" s="7"/>
      <c r="AP423" s="32"/>
    </row>
    <row r="424">
      <c r="B424" s="32"/>
      <c r="G424" s="12"/>
      <c r="J424" s="32"/>
      <c r="O424" s="12"/>
      <c r="P424" s="7"/>
      <c r="AP424" s="32"/>
    </row>
    <row r="425">
      <c r="B425" s="32"/>
      <c r="G425" s="12"/>
      <c r="J425" s="32"/>
      <c r="O425" s="12"/>
      <c r="P425" s="7"/>
      <c r="AP425" s="32"/>
    </row>
    <row r="426">
      <c r="B426" s="32"/>
      <c r="G426" s="12"/>
      <c r="J426" s="32"/>
      <c r="O426" s="12"/>
      <c r="P426" s="7"/>
      <c r="AP426" s="32"/>
    </row>
    <row r="427">
      <c r="B427" s="32"/>
      <c r="G427" s="12"/>
      <c r="J427" s="32"/>
      <c r="O427" s="12"/>
      <c r="P427" s="7"/>
      <c r="AP427" s="32"/>
    </row>
    <row r="428">
      <c r="B428" s="32"/>
      <c r="G428" s="12"/>
      <c r="J428" s="32"/>
      <c r="O428" s="12"/>
      <c r="P428" s="7"/>
      <c r="AP428" s="32"/>
    </row>
    <row r="429">
      <c r="B429" s="32"/>
      <c r="G429" s="12"/>
      <c r="J429" s="32"/>
      <c r="O429" s="12"/>
      <c r="P429" s="7"/>
      <c r="AP429" s="32"/>
    </row>
    <row r="430">
      <c r="B430" s="32"/>
      <c r="G430" s="12"/>
      <c r="J430" s="32"/>
      <c r="O430" s="12"/>
      <c r="P430" s="7"/>
      <c r="AP430" s="32"/>
    </row>
    <row r="431">
      <c r="B431" s="32"/>
      <c r="G431" s="12"/>
      <c r="J431" s="32"/>
      <c r="O431" s="12"/>
      <c r="P431" s="7"/>
      <c r="AP431" s="32"/>
    </row>
    <row r="432">
      <c r="B432" s="32"/>
      <c r="G432" s="12"/>
      <c r="J432" s="32"/>
      <c r="O432" s="12"/>
      <c r="P432" s="7"/>
      <c r="AP432" s="32"/>
    </row>
    <row r="433">
      <c r="B433" s="32"/>
      <c r="G433" s="12"/>
      <c r="J433" s="32"/>
      <c r="O433" s="12"/>
      <c r="P433" s="7"/>
      <c r="AP433" s="32"/>
    </row>
    <row r="434">
      <c r="B434" s="32"/>
      <c r="G434" s="12"/>
      <c r="J434" s="32"/>
      <c r="O434" s="12"/>
      <c r="P434" s="7"/>
      <c r="AP434" s="32"/>
    </row>
    <row r="435">
      <c r="B435" s="32"/>
      <c r="G435" s="12"/>
      <c r="J435" s="32"/>
      <c r="O435" s="12"/>
      <c r="P435" s="7"/>
      <c r="AP435" s="32"/>
    </row>
    <row r="436">
      <c r="B436" s="32"/>
      <c r="G436" s="12"/>
      <c r="J436" s="32"/>
      <c r="O436" s="12"/>
      <c r="P436" s="7"/>
      <c r="AP436" s="32"/>
    </row>
    <row r="437">
      <c r="B437" s="32"/>
      <c r="G437" s="12"/>
      <c r="J437" s="32"/>
      <c r="O437" s="12"/>
      <c r="P437" s="7"/>
      <c r="AP437" s="32"/>
    </row>
    <row r="438">
      <c r="B438" s="32"/>
      <c r="G438" s="12"/>
      <c r="J438" s="32"/>
      <c r="O438" s="12"/>
      <c r="P438" s="7"/>
      <c r="AP438" s="32"/>
    </row>
    <row r="439">
      <c r="B439" s="32"/>
      <c r="G439" s="12"/>
      <c r="J439" s="32"/>
      <c r="O439" s="12"/>
      <c r="P439" s="7"/>
      <c r="AP439" s="32"/>
    </row>
    <row r="440">
      <c r="B440" s="32"/>
      <c r="G440" s="12"/>
      <c r="J440" s="32"/>
      <c r="O440" s="12"/>
      <c r="P440" s="7"/>
      <c r="AP440" s="32"/>
    </row>
    <row r="441">
      <c r="B441" s="32"/>
      <c r="G441" s="12"/>
      <c r="J441" s="32"/>
      <c r="O441" s="12"/>
      <c r="P441" s="7"/>
      <c r="AP441" s="32"/>
    </row>
    <row r="442">
      <c r="B442" s="32"/>
      <c r="G442" s="12"/>
      <c r="J442" s="32"/>
      <c r="O442" s="12"/>
      <c r="P442" s="7"/>
      <c r="AP442" s="32"/>
    </row>
    <row r="443">
      <c r="B443" s="32"/>
      <c r="G443" s="12"/>
      <c r="J443" s="32"/>
      <c r="O443" s="12"/>
      <c r="P443" s="7"/>
      <c r="AP443" s="32"/>
    </row>
    <row r="444">
      <c r="B444" s="32"/>
      <c r="G444" s="12"/>
      <c r="J444" s="32"/>
      <c r="O444" s="12"/>
      <c r="P444" s="7"/>
      <c r="AP444" s="32"/>
    </row>
    <row r="445">
      <c r="B445" s="32"/>
      <c r="G445" s="12"/>
      <c r="J445" s="32"/>
      <c r="O445" s="12"/>
      <c r="P445" s="7"/>
      <c r="AP445" s="32"/>
    </row>
    <row r="446">
      <c r="B446" s="32"/>
      <c r="G446" s="12"/>
      <c r="J446" s="32"/>
      <c r="O446" s="12"/>
      <c r="P446" s="7"/>
      <c r="AP446" s="32"/>
    </row>
    <row r="447">
      <c r="B447" s="32"/>
      <c r="G447" s="12"/>
      <c r="J447" s="32"/>
      <c r="O447" s="12"/>
      <c r="P447" s="7"/>
      <c r="AP447" s="32"/>
    </row>
    <row r="448">
      <c r="B448" s="32"/>
      <c r="G448" s="12"/>
      <c r="J448" s="32"/>
      <c r="O448" s="12"/>
      <c r="P448" s="7"/>
      <c r="AP448" s="32"/>
    </row>
    <row r="449">
      <c r="B449" s="32"/>
      <c r="G449" s="12"/>
      <c r="J449" s="32"/>
      <c r="O449" s="12"/>
      <c r="P449" s="7"/>
      <c r="AP449" s="32"/>
    </row>
    <row r="450">
      <c r="B450" s="32"/>
      <c r="G450" s="12"/>
      <c r="J450" s="32"/>
      <c r="O450" s="12"/>
      <c r="P450" s="7"/>
      <c r="AP450" s="32"/>
    </row>
    <row r="451">
      <c r="B451" s="32"/>
      <c r="G451" s="12"/>
      <c r="J451" s="32"/>
      <c r="O451" s="12"/>
      <c r="P451" s="7"/>
      <c r="AP451" s="32"/>
    </row>
    <row r="452">
      <c r="B452" s="32"/>
      <c r="G452" s="12"/>
      <c r="J452" s="32"/>
      <c r="O452" s="12"/>
      <c r="P452" s="7"/>
      <c r="AP452" s="32"/>
    </row>
    <row r="453">
      <c r="B453" s="32"/>
      <c r="G453" s="12"/>
      <c r="J453" s="32"/>
      <c r="O453" s="12"/>
      <c r="P453" s="7"/>
      <c r="AP453" s="32"/>
    </row>
    <row r="454">
      <c r="B454" s="32"/>
      <c r="G454" s="12"/>
      <c r="J454" s="32"/>
      <c r="O454" s="12"/>
      <c r="P454" s="7"/>
      <c r="AP454" s="32"/>
    </row>
    <row r="455">
      <c r="B455" s="32"/>
      <c r="G455" s="12"/>
      <c r="J455" s="32"/>
      <c r="O455" s="12"/>
      <c r="P455" s="7"/>
      <c r="AP455" s="32"/>
    </row>
    <row r="456">
      <c r="B456" s="32"/>
      <c r="G456" s="12"/>
      <c r="J456" s="32"/>
      <c r="O456" s="12"/>
      <c r="P456" s="7"/>
      <c r="AP456" s="32"/>
    </row>
    <row r="457">
      <c r="B457" s="32"/>
      <c r="G457" s="12"/>
      <c r="J457" s="32"/>
      <c r="O457" s="12"/>
      <c r="P457" s="7"/>
      <c r="AP457" s="32"/>
    </row>
    <row r="458">
      <c r="B458" s="32"/>
      <c r="G458" s="12"/>
      <c r="J458" s="32"/>
      <c r="O458" s="12"/>
      <c r="P458" s="7"/>
      <c r="AP458" s="32"/>
    </row>
    <row r="459">
      <c r="B459" s="32"/>
      <c r="G459" s="12"/>
      <c r="J459" s="32"/>
      <c r="O459" s="12"/>
      <c r="P459" s="7"/>
      <c r="AP459" s="32"/>
    </row>
    <row r="460">
      <c r="B460" s="32"/>
      <c r="G460" s="12"/>
      <c r="J460" s="32"/>
      <c r="O460" s="12"/>
      <c r="P460" s="7"/>
      <c r="AP460" s="32"/>
    </row>
    <row r="461">
      <c r="B461" s="32"/>
      <c r="G461" s="12"/>
      <c r="J461" s="32"/>
      <c r="O461" s="12"/>
      <c r="P461" s="7"/>
      <c r="AP461" s="32"/>
    </row>
    <row r="462">
      <c r="B462" s="32"/>
      <c r="G462" s="12"/>
      <c r="J462" s="32"/>
      <c r="O462" s="12"/>
      <c r="P462" s="7"/>
      <c r="AP462" s="32"/>
    </row>
    <row r="463">
      <c r="B463" s="32"/>
      <c r="G463" s="12"/>
      <c r="J463" s="32"/>
      <c r="O463" s="12"/>
      <c r="P463" s="7"/>
      <c r="AP463" s="32"/>
    </row>
    <row r="464">
      <c r="B464" s="32"/>
      <c r="G464" s="12"/>
      <c r="J464" s="32"/>
      <c r="O464" s="12"/>
      <c r="P464" s="7"/>
      <c r="AP464" s="32"/>
    </row>
    <row r="465">
      <c r="B465" s="32"/>
      <c r="G465" s="12"/>
      <c r="J465" s="32"/>
      <c r="O465" s="12"/>
      <c r="P465" s="7"/>
      <c r="AP465" s="32"/>
    </row>
    <row r="466">
      <c r="B466" s="32"/>
      <c r="G466" s="12"/>
      <c r="J466" s="32"/>
      <c r="O466" s="12"/>
      <c r="P466" s="7"/>
      <c r="AP466" s="32"/>
    </row>
    <row r="467">
      <c r="B467" s="32"/>
      <c r="G467" s="12"/>
      <c r="J467" s="32"/>
      <c r="O467" s="12"/>
      <c r="P467" s="7"/>
      <c r="AP467" s="32"/>
    </row>
    <row r="468">
      <c r="B468" s="32"/>
      <c r="G468" s="12"/>
      <c r="J468" s="32"/>
      <c r="O468" s="12"/>
      <c r="P468" s="7"/>
      <c r="AP468" s="32"/>
    </row>
    <row r="469">
      <c r="B469" s="32"/>
      <c r="G469" s="12"/>
      <c r="J469" s="32"/>
      <c r="O469" s="12"/>
      <c r="P469" s="7"/>
      <c r="AP469" s="32"/>
    </row>
    <row r="470">
      <c r="B470" s="32"/>
      <c r="G470" s="12"/>
      <c r="J470" s="32"/>
      <c r="O470" s="12"/>
      <c r="P470" s="7"/>
      <c r="AP470" s="32"/>
    </row>
    <row r="471">
      <c r="B471" s="32"/>
      <c r="G471" s="12"/>
      <c r="J471" s="32"/>
      <c r="O471" s="12"/>
      <c r="P471" s="7"/>
      <c r="AP471" s="32"/>
    </row>
    <row r="472">
      <c r="B472" s="32"/>
      <c r="G472" s="12"/>
      <c r="J472" s="32"/>
      <c r="O472" s="12"/>
      <c r="P472" s="7"/>
      <c r="AP472" s="32"/>
    </row>
    <row r="473">
      <c r="B473" s="32"/>
      <c r="G473" s="12"/>
      <c r="J473" s="32"/>
      <c r="O473" s="12"/>
      <c r="P473" s="7"/>
      <c r="AP473" s="32"/>
    </row>
    <row r="474">
      <c r="B474" s="32"/>
      <c r="G474" s="12"/>
      <c r="J474" s="32"/>
      <c r="O474" s="12"/>
      <c r="P474" s="7"/>
      <c r="AP474" s="32"/>
    </row>
    <row r="475">
      <c r="B475" s="32"/>
      <c r="G475" s="12"/>
      <c r="J475" s="32"/>
      <c r="O475" s="12"/>
      <c r="P475" s="7"/>
      <c r="AP475" s="32"/>
    </row>
    <row r="476">
      <c r="B476" s="32"/>
      <c r="G476" s="12"/>
      <c r="J476" s="32"/>
      <c r="O476" s="12"/>
      <c r="P476" s="7"/>
      <c r="AP476" s="32"/>
    </row>
    <row r="477">
      <c r="B477" s="32"/>
      <c r="G477" s="12"/>
      <c r="J477" s="32"/>
      <c r="O477" s="12"/>
      <c r="P477" s="7"/>
      <c r="AP477" s="32"/>
    </row>
    <row r="478">
      <c r="B478" s="32"/>
      <c r="G478" s="12"/>
      <c r="J478" s="32"/>
      <c r="O478" s="12"/>
      <c r="P478" s="7"/>
      <c r="AP478" s="32"/>
    </row>
    <row r="479">
      <c r="B479" s="32"/>
      <c r="G479" s="12"/>
      <c r="J479" s="32"/>
      <c r="O479" s="12"/>
      <c r="P479" s="7"/>
      <c r="AP479" s="32"/>
    </row>
    <row r="480">
      <c r="B480" s="32"/>
      <c r="G480" s="12"/>
      <c r="J480" s="32"/>
      <c r="O480" s="12"/>
      <c r="P480" s="7"/>
      <c r="AP480" s="32"/>
    </row>
    <row r="481">
      <c r="B481" s="32"/>
      <c r="G481" s="12"/>
      <c r="J481" s="32"/>
      <c r="O481" s="12"/>
      <c r="P481" s="7"/>
      <c r="AP481" s="32"/>
    </row>
    <row r="482">
      <c r="B482" s="32"/>
      <c r="G482" s="12"/>
      <c r="J482" s="32"/>
      <c r="O482" s="12"/>
      <c r="P482" s="7"/>
      <c r="AP482" s="32"/>
    </row>
    <row r="483">
      <c r="B483" s="32"/>
      <c r="G483" s="12"/>
      <c r="J483" s="32"/>
      <c r="O483" s="12"/>
      <c r="P483" s="7"/>
      <c r="AP483" s="32"/>
    </row>
    <row r="484">
      <c r="B484" s="32"/>
      <c r="G484" s="12"/>
      <c r="J484" s="32"/>
      <c r="O484" s="12"/>
      <c r="P484" s="7"/>
      <c r="AP484" s="32"/>
    </row>
    <row r="485">
      <c r="B485" s="32"/>
      <c r="G485" s="12"/>
      <c r="J485" s="32"/>
      <c r="O485" s="12"/>
      <c r="P485" s="7"/>
      <c r="AP485" s="32"/>
    </row>
    <row r="486">
      <c r="B486" s="32"/>
      <c r="G486" s="12"/>
      <c r="J486" s="32"/>
      <c r="O486" s="12"/>
      <c r="P486" s="7"/>
      <c r="AP486" s="32"/>
    </row>
    <row r="487">
      <c r="B487" s="32"/>
      <c r="G487" s="12"/>
      <c r="J487" s="32"/>
      <c r="O487" s="12"/>
      <c r="P487" s="7"/>
      <c r="AP487" s="32"/>
    </row>
    <row r="488">
      <c r="B488" s="32"/>
      <c r="G488" s="12"/>
      <c r="J488" s="32"/>
      <c r="O488" s="12"/>
      <c r="P488" s="7"/>
      <c r="AP488" s="32"/>
    </row>
    <row r="489">
      <c r="B489" s="32"/>
      <c r="G489" s="12"/>
      <c r="J489" s="32"/>
      <c r="O489" s="12"/>
      <c r="P489" s="7"/>
      <c r="AP489" s="32"/>
    </row>
    <row r="490">
      <c r="B490" s="32"/>
      <c r="G490" s="12"/>
      <c r="J490" s="32"/>
      <c r="O490" s="12"/>
      <c r="P490" s="7"/>
      <c r="AP490" s="32"/>
    </row>
    <row r="491">
      <c r="B491" s="32"/>
      <c r="G491" s="12"/>
      <c r="J491" s="32"/>
      <c r="O491" s="12"/>
      <c r="P491" s="7"/>
      <c r="AP491" s="32"/>
    </row>
    <row r="492">
      <c r="B492" s="32"/>
      <c r="G492" s="12"/>
      <c r="J492" s="32"/>
      <c r="O492" s="12"/>
      <c r="P492" s="7"/>
      <c r="AP492" s="32"/>
    </row>
    <row r="493">
      <c r="B493" s="32"/>
      <c r="G493" s="12"/>
      <c r="J493" s="32"/>
      <c r="O493" s="12"/>
      <c r="P493" s="7"/>
      <c r="AP493" s="32"/>
    </row>
    <row r="494">
      <c r="B494" s="32"/>
      <c r="G494" s="12"/>
      <c r="J494" s="32"/>
      <c r="O494" s="12"/>
      <c r="P494" s="7"/>
      <c r="AP494" s="32"/>
    </row>
    <row r="495">
      <c r="B495" s="32"/>
      <c r="G495" s="12"/>
      <c r="J495" s="32"/>
      <c r="O495" s="12"/>
      <c r="P495" s="7"/>
      <c r="AP495" s="32"/>
    </row>
    <row r="496">
      <c r="B496" s="32"/>
      <c r="G496" s="12"/>
      <c r="J496" s="32"/>
      <c r="O496" s="12"/>
      <c r="P496" s="7"/>
      <c r="AP496" s="32"/>
    </row>
    <row r="497">
      <c r="B497" s="32"/>
      <c r="G497" s="12"/>
      <c r="J497" s="32"/>
      <c r="O497" s="12"/>
      <c r="P497" s="7"/>
      <c r="AP497" s="32"/>
    </row>
    <row r="498">
      <c r="B498" s="32"/>
      <c r="G498" s="12"/>
      <c r="J498" s="32"/>
      <c r="O498" s="12"/>
      <c r="P498" s="7"/>
      <c r="AP498" s="32"/>
    </row>
    <row r="499">
      <c r="B499" s="32"/>
      <c r="G499" s="12"/>
      <c r="J499" s="32"/>
      <c r="O499" s="12"/>
      <c r="P499" s="7"/>
      <c r="AP499" s="32"/>
    </row>
    <row r="500">
      <c r="B500" s="32"/>
      <c r="G500" s="12"/>
      <c r="J500" s="32"/>
      <c r="O500" s="12"/>
      <c r="P500" s="7"/>
      <c r="AP500" s="32"/>
    </row>
    <row r="501">
      <c r="B501" s="32"/>
      <c r="G501" s="12"/>
      <c r="J501" s="32"/>
      <c r="O501" s="12"/>
      <c r="P501" s="7"/>
      <c r="AP501" s="32"/>
    </row>
    <row r="502">
      <c r="B502" s="32"/>
      <c r="G502" s="12"/>
      <c r="J502" s="32"/>
      <c r="O502" s="12"/>
      <c r="P502" s="7"/>
      <c r="AP502" s="32"/>
    </row>
    <row r="503">
      <c r="B503" s="32"/>
      <c r="G503" s="12"/>
      <c r="J503" s="32"/>
      <c r="O503" s="12"/>
      <c r="P503" s="7"/>
      <c r="AP503" s="32"/>
    </row>
    <row r="504">
      <c r="B504" s="32"/>
      <c r="G504" s="12"/>
      <c r="J504" s="32"/>
      <c r="O504" s="12"/>
      <c r="P504" s="7"/>
      <c r="AP504" s="32"/>
    </row>
    <row r="505">
      <c r="B505" s="32"/>
      <c r="G505" s="12"/>
      <c r="J505" s="32"/>
      <c r="O505" s="12"/>
      <c r="P505" s="7"/>
      <c r="AP505" s="32"/>
    </row>
    <row r="506">
      <c r="B506" s="32"/>
      <c r="G506" s="12"/>
      <c r="J506" s="32"/>
      <c r="O506" s="12"/>
      <c r="P506" s="7"/>
      <c r="AP506" s="32"/>
    </row>
    <row r="507">
      <c r="B507" s="32"/>
      <c r="G507" s="12"/>
      <c r="J507" s="32"/>
      <c r="O507" s="12"/>
      <c r="P507" s="7"/>
      <c r="AP507" s="32"/>
    </row>
    <row r="508">
      <c r="B508" s="32"/>
      <c r="G508" s="12"/>
      <c r="J508" s="32"/>
      <c r="O508" s="12"/>
      <c r="P508" s="7"/>
      <c r="AP508" s="32"/>
    </row>
    <row r="509">
      <c r="B509" s="32"/>
      <c r="G509" s="12"/>
      <c r="J509" s="32"/>
      <c r="O509" s="12"/>
      <c r="P509" s="7"/>
      <c r="AP509" s="32"/>
    </row>
    <row r="510">
      <c r="B510" s="32"/>
      <c r="G510" s="12"/>
      <c r="J510" s="32"/>
      <c r="O510" s="12"/>
      <c r="P510" s="7"/>
      <c r="AP510" s="32"/>
    </row>
    <row r="511">
      <c r="B511" s="32"/>
      <c r="G511" s="12"/>
      <c r="J511" s="32"/>
      <c r="O511" s="12"/>
      <c r="P511" s="7"/>
      <c r="AP511" s="32"/>
    </row>
    <row r="512">
      <c r="B512" s="32"/>
      <c r="G512" s="12"/>
      <c r="J512" s="32"/>
      <c r="O512" s="12"/>
      <c r="P512" s="7"/>
      <c r="AP512" s="32"/>
    </row>
    <row r="513">
      <c r="B513" s="32"/>
      <c r="G513" s="12"/>
      <c r="J513" s="32"/>
      <c r="O513" s="12"/>
      <c r="P513" s="7"/>
      <c r="AP513" s="32"/>
    </row>
    <row r="514">
      <c r="B514" s="32"/>
      <c r="G514" s="12"/>
      <c r="J514" s="32"/>
      <c r="O514" s="12"/>
      <c r="P514" s="7"/>
      <c r="AP514" s="32"/>
    </row>
    <row r="515">
      <c r="B515" s="32"/>
      <c r="G515" s="12"/>
      <c r="J515" s="32"/>
      <c r="O515" s="12"/>
      <c r="P515" s="7"/>
      <c r="AP515" s="32"/>
    </row>
    <row r="516">
      <c r="B516" s="32"/>
      <c r="G516" s="12"/>
      <c r="J516" s="32"/>
      <c r="O516" s="12"/>
      <c r="P516" s="7"/>
      <c r="AP516" s="32"/>
    </row>
    <row r="517">
      <c r="B517" s="32"/>
      <c r="G517" s="12"/>
      <c r="J517" s="32"/>
      <c r="O517" s="12"/>
      <c r="P517" s="7"/>
      <c r="AP517" s="32"/>
    </row>
    <row r="518">
      <c r="B518" s="32"/>
      <c r="G518" s="12"/>
      <c r="J518" s="32"/>
      <c r="O518" s="12"/>
      <c r="P518" s="7"/>
    </row>
    <row r="519">
      <c r="B519" s="32"/>
      <c r="G519" s="12"/>
      <c r="J519" s="32"/>
      <c r="O519" s="12"/>
      <c r="P519" s="7"/>
    </row>
    <row r="520">
      <c r="B520" s="32"/>
      <c r="G520" s="12"/>
      <c r="J520" s="32"/>
      <c r="O520" s="12"/>
      <c r="P520" s="7"/>
    </row>
    <row r="521">
      <c r="B521" s="32"/>
      <c r="G521" s="12"/>
      <c r="J521" s="32"/>
      <c r="O521" s="12"/>
      <c r="P521" s="7"/>
    </row>
    <row r="522">
      <c r="B522" s="32"/>
      <c r="G522" s="12"/>
      <c r="J522" s="32"/>
      <c r="O522" s="12"/>
      <c r="P522" s="7"/>
    </row>
    <row r="523">
      <c r="B523" s="32"/>
      <c r="G523" s="12"/>
      <c r="J523" s="32"/>
      <c r="O523" s="12"/>
      <c r="P523" s="7"/>
    </row>
    <row r="524">
      <c r="B524" s="32"/>
      <c r="G524" s="12"/>
      <c r="J524" s="32"/>
      <c r="O524" s="12"/>
      <c r="P524" s="7"/>
    </row>
    <row r="525">
      <c r="B525" s="32"/>
      <c r="G525" s="12"/>
      <c r="J525" s="32"/>
      <c r="O525" s="12"/>
      <c r="P525" s="7"/>
    </row>
    <row r="526">
      <c r="B526" s="32"/>
      <c r="G526" s="12"/>
      <c r="J526" s="32"/>
      <c r="O526" s="12"/>
      <c r="P526" s="7"/>
    </row>
    <row r="527">
      <c r="B527" s="32"/>
      <c r="G527" s="12"/>
      <c r="J527" s="32"/>
      <c r="O527" s="12"/>
      <c r="P527" s="7"/>
    </row>
    <row r="528">
      <c r="B528" s="32"/>
      <c r="G528" s="12"/>
      <c r="J528" s="32"/>
      <c r="O528" s="12"/>
      <c r="P528" s="7"/>
    </row>
    <row r="529">
      <c r="B529" s="32"/>
      <c r="G529" s="12"/>
      <c r="J529" s="32"/>
      <c r="O529" s="12"/>
      <c r="P529" s="7"/>
    </row>
    <row r="530">
      <c r="B530" s="32"/>
      <c r="G530" s="12"/>
      <c r="J530" s="32"/>
      <c r="O530" s="12"/>
      <c r="P530" s="7"/>
    </row>
    <row r="531">
      <c r="B531" s="32"/>
      <c r="G531" s="12"/>
      <c r="J531" s="32"/>
      <c r="O531" s="12"/>
      <c r="P531" s="7"/>
    </row>
    <row r="532">
      <c r="B532" s="32"/>
      <c r="G532" s="12"/>
      <c r="J532" s="32"/>
      <c r="O532" s="12"/>
      <c r="P532" s="7"/>
    </row>
    <row r="533">
      <c r="B533" s="32"/>
      <c r="G533" s="12"/>
      <c r="J533" s="32"/>
      <c r="O533" s="12"/>
      <c r="P533" s="7"/>
    </row>
    <row r="534">
      <c r="B534" s="32"/>
      <c r="G534" s="12"/>
      <c r="J534" s="32"/>
      <c r="O534" s="12"/>
      <c r="P534" s="7"/>
    </row>
    <row r="535">
      <c r="B535" s="32"/>
      <c r="G535" s="12"/>
      <c r="J535" s="32"/>
      <c r="O535" s="12"/>
      <c r="P535" s="7"/>
    </row>
    <row r="536">
      <c r="B536" s="32"/>
      <c r="G536" s="12"/>
      <c r="J536" s="32"/>
      <c r="O536" s="12"/>
      <c r="P536" s="7"/>
    </row>
    <row r="537">
      <c r="B537" s="32"/>
      <c r="G537" s="12"/>
      <c r="J537" s="32"/>
      <c r="O537" s="12"/>
      <c r="P537" s="7"/>
    </row>
    <row r="538">
      <c r="B538" s="32"/>
      <c r="G538" s="12"/>
      <c r="J538" s="32"/>
      <c r="O538" s="12"/>
      <c r="P538" s="7"/>
    </row>
    <row r="539">
      <c r="B539" s="32"/>
      <c r="G539" s="12"/>
      <c r="J539" s="32"/>
      <c r="O539" s="12"/>
      <c r="P539" s="7"/>
    </row>
    <row r="540">
      <c r="B540" s="32"/>
      <c r="G540" s="12"/>
      <c r="J540" s="32"/>
      <c r="O540" s="12"/>
      <c r="P540" s="7"/>
    </row>
    <row r="541">
      <c r="B541" s="32"/>
      <c r="G541" s="12"/>
      <c r="J541" s="32"/>
      <c r="O541" s="12"/>
      <c r="P541" s="7"/>
    </row>
    <row r="542">
      <c r="B542" s="32"/>
      <c r="G542" s="12"/>
      <c r="J542" s="32"/>
      <c r="O542" s="12"/>
      <c r="P542" s="7"/>
    </row>
    <row r="543">
      <c r="B543" s="32"/>
      <c r="G543" s="12"/>
      <c r="J543" s="32"/>
      <c r="O543" s="12"/>
      <c r="P543" s="7"/>
    </row>
    <row r="544">
      <c r="B544" s="32"/>
      <c r="G544" s="12"/>
      <c r="J544" s="32"/>
      <c r="O544" s="12"/>
      <c r="P544" s="7"/>
    </row>
    <row r="545">
      <c r="B545" s="32"/>
      <c r="G545" s="12"/>
      <c r="J545" s="32"/>
      <c r="O545" s="12"/>
      <c r="P545" s="7"/>
    </row>
    <row r="546">
      <c r="B546" s="32"/>
      <c r="G546" s="12"/>
      <c r="J546" s="32"/>
      <c r="O546" s="12"/>
      <c r="P546" s="7"/>
    </row>
    <row r="547">
      <c r="B547" s="32"/>
      <c r="G547" s="12"/>
      <c r="J547" s="32"/>
      <c r="O547" s="12"/>
      <c r="P547" s="7"/>
    </row>
    <row r="548">
      <c r="B548" s="32"/>
      <c r="G548" s="12"/>
      <c r="J548" s="32"/>
      <c r="O548" s="12"/>
      <c r="P548" s="7"/>
    </row>
    <row r="549">
      <c r="B549" s="32"/>
      <c r="G549" s="12"/>
      <c r="J549" s="32"/>
      <c r="O549" s="12"/>
      <c r="P549" s="7"/>
    </row>
    <row r="550">
      <c r="B550" s="32"/>
      <c r="G550" s="12"/>
      <c r="J550" s="32"/>
      <c r="O550" s="12"/>
      <c r="P550" s="7"/>
    </row>
    <row r="551">
      <c r="B551" s="32"/>
      <c r="G551" s="12"/>
      <c r="J551" s="32"/>
      <c r="O551" s="12"/>
      <c r="P551" s="7"/>
    </row>
    <row r="552">
      <c r="B552" s="32"/>
      <c r="G552" s="12"/>
      <c r="J552" s="32"/>
      <c r="O552" s="12"/>
      <c r="P552" s="7"/>
    </row>
    <row r="553">
      <c r="B553" s="32"/>
      <c r="G553" s="12"/>
      <c r="J553" s="32"/>
      <c r="O553" s="12"/>
      <c r="P553" s="7"/>
    </row>
    <row r="554">
      <c r="B554" s="32"/>
      <c r="G554" s="12"/>
      <c r="J554" s="32"/>
      <c r="O554" s="12"/>
      <c r="P554" s="7"/>
    </row>
    <row r="555">
      <c r="B555" s="32"/>
      <c r="G555" s="12"/>
      <c r="J555" s="32"/>
      <c r="O555" s="12"/>
      <c r="P555" s="7"/>
    </row>
    <row r="556">
      <c r="B556" s="32"/>
      <c r="G556" s="12"/>
      <c r="J556" s="32"/>
      <c r="O556" s="12"/>
      <c r="P556" s="7"/>
    </row>
    <row r="557">
      <c r="B557" s="32"/>
      <c r="G557" s="12"/>
      <c r="J557" s="32"/>
      <c r="O557" s="12"/>
      <c r="P557" s="7"/>
    </row>
    <row r="558">
      <c r="B558" s="32"/>
      <c r="G558" s="12"/>
      <c r="J558" s="32"/>
      <c r="O558" s="12"/>
      <c r="P558" s="7"/>
    </row>
    <row r="559">
      <c r="B559" s="32"/>
      <c r="G559" s="12"/>
      <c r="J559" s="32"/>
      <c r="O559" s="12"/>
      <c r="P559" s="7"/>
    </row>
    <row r="560">
      <c r="B560" s="32"/>
      <c r="G560" s="12"/>
      <c r="J560" s="32"/>
      <c r="O560" s="12"/>
      <c r="P560" s="7"/>
    </row>
    <row r="561">
      <c r="B561" s="32"/>
      <c r="G561" s="12"/>
      <c r="J561" s="32"/>
      <c r="O561" s="12"/>
      <c r="P561" s="7"/>
    </row>
    <row r="562">
      <c r="B562" s="32"/>
      <c r="G562" s="12"/>
      <c r="J562" s="32"/>
      <c r="O562" s="12"/>
      <c r="P562" s="7"/>
    </row>
    <row r="563">
      <c r="B563" s="32"/>
      <c r="G563" s="12"/>
      <c r="J563" s="32"/>
      <c r="O563" s="12"/>
      <c r="P563" s="7"/>
    </row>
    <row r="564">
      <c r="B564" s="32"/>
      <c r="G564" s="12"/>
      <c r="J564" s="32"/>
      <c r="O564" s="12"/>
      <c r="P564" s="7"/>
    </row>
    <row r="565">
      <c r="B565" s="32"/>
      <c r="G565" s="12"/>
      <c r="J565" s="32"/>
      <c r="O565" s="12"/>
      <c r="P565" s="7"/>
    </row>
    <row r="566">
      <c r="B566" s="32"/>
      <c r="G566" s="12"/>
      <c r="J566" s="32"/>
      <c r="O566" s="12"/>
      <c r="P566" s="7"/>
    </row>
    <row r="567">
      <c r="B567" s="32"/>
      <c r="G567" s="12"/>
      <c r="J567" s="32"/>
      <c r="O567" s="12"/>
      <c r="P567" s="7"/>
    </row>
    <row r="568">
      <c r="B568" s="32"/>
      <c r="G568" s="12"/>
      <c r="J568" s="32"/>
      <c r="O568" s="12"/>
      <c r="P568" s="7"/>
    </row>
    <row r="569">
      <c r="B569" s="32"/>
      <c r="G569" s="12"/>
      <c r="J569" s="32"/>
      <c r="O569" s="12"/>
      <c r="P569" s="7"/>
    </row>
    <row r="570">
      <c r="B570" s="32"/>
      <c r="G570" s="12"/>
      <c r="J570" s="32"/>
      <c r="O570" s="12"/>
      <c r="P570" s="7"/>
    </row>
    <row r="571">
      <c r="B571" s="32"/>
      <c r="G571" s="12"/>
      <c r="J571" s="32"/>
      <c r="O571" s="12"/>
      <c r="P571" s="7"/>
    </row>
    <row r="572">
      <c r="B572" s="32"/>
      <c r="G572" s="12"/>
      <c r="J572" s="32"/>
      <c r="O572" s="12"/>
      <c r="P572" s="7"/>
    </row>
    <row r="573">
      <c r="B573" s="32"/>
      <c r="G573" s="12"/>
      <c r="J573" s="32"/>
      <c r="O573" s="12"/>
      <c r="P573" s="7"/>
    </row>
    <row r="574">
      <c r="B574" s="32"/>
      <c r="G574" s="12"/>
      <c r="J574" s="32"/>
      <c r="O574" s="12"/>
      <c r="P574" s="7"/>
    </row>
    <row r="575">
      <c r="B575" s="32"/>
      <c r="G575" s="12"/>
      <c r="J575" s="32"/>
      <c r="O575" s="12"/>
      <c r="P575" s="7"/>
    </row>
    <row r="576">
      <c r="B576" s="32"/>
      <c r="G576" s="12"/>
      <c r="J576" s="32"/>
      <c r="O576" s="12"/>
      <c r="P576" s="7"/>
    </row>
    <row r="577">
      <c r="B577" s="32"/>
      <c r="G577" s="12"/>
      <c r="J577" s="32"/>
      <c r="O577" s="12"/>
      <c r="P577" s="7"/>
    </row>
    <row r="578">
      <c r="B578" s="32"/>
      <c r="G578" s="12"/>
      <c r="J578" s="32"/>
      <c r="O578" s="12"/>
      <c r="P578" s="7"/>
    </row>
    <row r="579">
      <c r="B579" s="32"/>
      <c r="G579" s="12"/>
      <c r="J579" s="32"/>
      <c r="O579" s="12"/>
      <c r="P579" s="7"/>
    </row>
    <row r="580">
      <c r="B580" s="32"/>
      <c r="G580" s="12"/>
      <c r="J580" s="32"/>
      <c r="O580" s="12"/>
      <c r="P580" s="7"/>
    </row>
    <row r="581">
      <c r="B581" s="32"/>
      <c r="G581" s="12"/>
      <c r="J581" s="32"/>
      <c r="O581" s="12"/>
      <c r="P581" s="7"/>
    </row>
    <row r="582">
      <c r="B582" s="32"/>
      <c r="G582" s="12"/>
      <c r="J582" s="32"/>
      <c r="O582" s="12"/>
      <c r="P582" s="7"/>
    </row>
    <row r="583">
      <c r="B583" s="32"/>
      <c r="G583" s="12"/>
      <c r="J583" s="32"/>
      <c r="O583" s="12"/>
      <c r="P583" s="7"/>
    </row>
    <row r="584">
      <c r="B584" s="32"/>
      <c r="G584" s="12"/>
      <c r="J584" s="32"/>
      <c r="O584" s="12"/>
      <c r="P584" s="7"/>
    </row>
    <row r="585">
      <c r="B585" s="32"/>
      <c r="G585" s="12"/>
      <c r="J585" s="32"/>
      <c r="O585" s="12"/>
      <c r="P585" s="7"/>
    </row>
    <row r="586">
      <c r="B586" s="32"/>
      <c r="G586" s="12"/>
      <c r="J586" s="32"/>
      <c r="O586" s="12"/>
      <c r="P586" s="7"/>
    </row>
    <row r="587">
      <c r="B587" s="32"/>
      <c r="G587" s="12"/>
      <c r="J587" s="32"/>
      <c r="O587" s="12"/>
      <c r="P587" s="7"/>
    </row>
    <row r="588">
      <c r="B588" s="32"/>
      <c r="G588" s="12"/>
      <c r="J588" s="32"/>
      <c r="O588" s="12"/>
      <c r="P588" s="7"/>
    </row>
    <row r="589">
      <c r="B589" s="32"/>
      <c r="G589" s="12"/>
      <c r="J589" s="32"/>
      <c r="O589" s="12"/>
      <c r="P589" s="7"/>
    </row>
    <row r="590">
      <c r="B590" s="32"/>
      <c r="G590" s="12"/>
      <c r="J590" s="32"/>
      <c r="O590" s="12"/>
      <c r="P590" s="7"/>
    </row>
    <row r="591">
      <c r="B591" s="32"/>
      <c r="G591" s="12"/>
      <c r="J591" s="32"/>
      <c r="O591" s="12"/>
      <c r="P591" s="7"/>
    </row>
    <row r="592">
      <c r="B592" s="32"/>
      <c r="G592" s="12"/>
      <c r="J592" s="32"/>
      <c r="O592" s="12"/>
      <c r="P592" s="7"/>
    </row>
    <row r="593">
      <c r="B593" s="32"/>
      <c r="G593" s="12"/>
      <c r="J593" s="32"/>
      <c r="O593" s="12"/>
      <c r="P593" s="7"/>
    </row>
    <row r="594">
      <c r="B594" s="32"/>
      <c r="G594" s="12"/>
      <c r="J594" s="32"/>
      <c r="O594" s="12"/>
      <c r="P594" s="7"/>
    </row>
    <row r="595">
      <c r="B595" s="32"/>
      <c r="G595" s="12"/>
      <c r="J595" s="32"/>
      <c r="O595" s="12"/>
      <c r="P595" s="7"/>
    </row>
    <row r="596">
      <c r="B596" s="32"/>
      <c r="G596" s="12"/>
      <c r="J596" s="32"/>
      <c r="O596" s="12"/>
      <c r="P596" s="7"/>
    </row>
    <row r="597">
      <c r="B597" s="32"/>
      <c r="G597" s="12"/>
      <c r="J597" s="32"/>
      <c r="O597" s="12"/>
      <c r="P597" s="7"/>
    </row>
    <row r="598">
      <c r="B598" s="32"/>
      <c r="G598" s="12"/>
      <c r="J598" s="32"/>
      <c r="O598" s="12"/>
      <c r="P598" s="7"/>
    </row>
    <row r="599">
      <c r="B599" s="32"/>
      <c r="G599" s="12"/>
      <c r="J599" s="32"/>
      <c r="O599" s="12"/>
      <c r="P599" s="7"/>
    </row>
    <row r="600">
      <c r="B600" s="32"/>
      <c r="G600" s="12"/>
      <c r="J600" s="32"/>
      <c r="O600" s="12"/>
      <c r="P600" s="7"/>
    </row>
    <row r="601">
      <c r="B601" s="32"/>
      <c r="G601" s="12"/>
      <c r="J601" s="32"/>
      <c r="O601" s="12"/>
      <c r="P601" s="7"/>
    </row>
    <row r="602">
      <c r="B602" s="32"/>
      <c r="G602" s="12"/>
      <c r="J602" s="32"/>
      <c r="O602" s="12"/>
      <c r="P602" s="7"/>
    </row>
    <row r="603">
      <c r="B603" s="32"/>
      <c r="G603" s="12"/>
      <c r="J603" s="32"/>
      <c r="O603" s="12"/>
      <c r="P603" s="7"/>
    </row>
    <row r="604">
      <c r="B604" s="32"/>
      <c r="G604" s="12"/>
      <c r="J604" s="32"/>
      <c r="O604" s="12"/>
      <c r="P604" s="7"/>
    </row>
    <row r="605">
      <c r="B605" s="32"/>
      <c r="G605" s="12"/>
      <c r="J605" s="32"/>
      <c r="O605" s="12"/>
      <c r="P605" s="7"/>
    </row>
    <row r="606">
      <c r="B606" s="32"/>
      <c r="G606" s="12"/>
      <c r="J606" s="32"/>
      <c r="O606" s="12"/>
      <c r="P606" s="7"/>
    </row>
    <row r="607">
      <c r="B607" s="32"/>
      <c r="G607" s="12"/>
      <c r="J607" s="32"/>
      <c r="O607" s="12"/>
      <c r="P607" s="7"/>
    </row>
    <row r="608">
      <c r="B608" s="32"/>
      <c r="G608" s="12"/>
      <c r="J608" s="32"/>
      <c r="O608" s="12"/>
      <c r="P608" s="7"/>
    </row>
    <row r="609">
      <c r="B609" s="32"/>
      <c r="G609" s="12"/>
      <c r="J609" s="32"/>
      <c r="O609" s="12"/>
      <c r="P609" s="7"/>
    </row>
    <row r="610">
      <c r="B610" s="32"/>
      <c r="G610" s="12"/>
      <c r="J610" s="32"/>
      <c r="O610" s="12"/>
      <c r="P610" s="7"/>
    </row>
    <row r="611">
      <c r="B611" s="32"/>
      <c r="G611" s="12"/>
      <c r="J611" s="32"/>
      <c r="O611" s="12"/>
      <c r="P611" s="7"/>
    </row>
    <row r="612">
      <c r="B612" s="32"/>
      <c r="G612" s="12"/>
      <c r="J612" s="32"/>
      <c r="O612" s="12"/>
      <c r="P612" s="7"/>
    </row>
    <row r="613">
      <c r="B613" s="32"/>
      <c r="G613" s="12"/>
      <c r="J613" s="32"/>
      <c r="O613" s="12"/>
      <c r="P613" s="7"/>
    </row>
    <row r="614">
      <c r="B614" s="32"/>
      <c r="G614" s="12"/>
      <c r="J614" s="32"/>
      <c r="O614" s="12"/>
      <c r="P614" s="7"/>
    </row>
    <row r="615">
      <c r="B615" s="32"/>
      <c r="G615" s="12"/>
      <c r="J615" s="32"/>
      <c r="O615" s="12"/>
      <c r="P615" s="7"/>
    </row>
    <row r="616">
      <c r="B616" s="32"/>
      <c r="G616" s="12"/>
      <c r="J616" s="32"/>
      <c r="O616" s="12"/>
      <c r="P616" s="7"/>
    </row>
    <row r="617">
      <c r="B617" s="32"/>
      <c r="G617" s="12"/>
      <c r="J617" s="32"/>
      <c r="O617" s="12"/>
      <c r="P617" s="7"/>
    </row>
    <row r="618">
      <c r="B618" s="32"/>
      <c r="G618" s="12"/>
      <c r="J618" s="32"/>
      <c r="O618" s="12"/>
      <c r="P618" s="7"/>
    </row>
    <row r="619">
      <c r="B619" s="32"/>
      <c r="G619" s="12"/>
      <c r="J619" s="32"/>
      <c r="O619" s="12"/>
      <c r="P619" s="7"/>
    </row>
    <row r="620">
      <c r="B620" s="32"/>
      <c r="G620" s="12"/>
      <c r="J620" s="32"/>
      <c r="O620" s="12"/>
      <c r="P620" s="7"/>
    </row>
    <row r="621">
      <c r="B621" s="32"/>
      <c r="G621" s="12"/>
      <c r="J621" s="32"/>
      <c r="O621" s="12"/>
      <c r="P621" s="7"/>
    </row>
    <row r="622">
      <c r="B622" s="32"/>
      <c r="G622" s="12"/>
      <c r="J622" s="32"/>
      <c r="O622" s="12"/>
      <c r="P622" s="7"/>
    </row>
    <row r="623">
      <c r="B623" s="32"/>
      <c r="G623" s="12"/>
      <c r="J623" s="32"/>
      <c r="O623" s="12"/>
      <c r="P623" s="7"/>
    </row>
    <row r="624">
      <c r="B624" s="32"/>
      <c r="G624" s="12"/>
      <c r="J624" s="32"/>
      <c r="O624" s="12"/>
      <c r="P624" s="7"/>
    </row>
    <row r="625">
      <c r="B625" s="32"/>
      <c r="G625" s="12"/>
      <c r="J625" s="32"/>
      <c r="O625" s="12"/>
      <c r="P625" s="7"/>
    </row>
    <row r="626">
      <c r="B626" s="32"/>
      <c r="G626" s="12"/>
      <c r="J626" s="32"/>
      <c r="O626" s="12"/>
      <c r="P626" s="7"/>
    </row>
    <row r="627">
      <c r="B627" s="32"/>
      <c r="G627" s="12"/>
      <c r="J627" s="32"/>
      <c r="O627" s="12"/>
      <c r="P627" s="7"/>
    </row>
    <row r="628">
      <c r="B628" s="32"/>
      <c r="G628" s="12"/>
      <c r="J628" s="32"/>
      <c r="O628" s="12"/>
      <c r="P628" s="7"/>
    </row>
    <row r="629">
      <c r="B629" s="32"/>
      <c r="G629" s="12"/>
      <c r="J629" s="32"/>
      <c r="O629" s="12"/>
      <c r="P629" s="7"/>
    </row>
    <row r="630">
      <c r="B630" s="32"/>
      <c r="G630" s="12"/>
      <c r="J630" s="32"/>
      <c r="O630" s="12"/>
      <c r="P630" s="7"/>
    </row>
    <row r="631">
      <c r="B631" s="32"/>
      <c r="G631" s="12"/>
      <c r="J631" s="32"/>
      <c r="O631" s="12"/>
      <c r="P631" s="7"/>
    </row>
    <row r="632">
      <c r="B632" s="32"/>
      <c r="G632" s="12"/>
      <c r="J632" s="32"/>
      <c r="O632" s="12"/>
      <c r="P632" s="7"/>
    </row>
    <row r="633">
      <c r="B633" s="32"/>
      <c r="G633" s="12"/>
      <c r="J633" s="32"/>
      <c r="O633" s="12"/>
      <c r="P633" s="7"/>
    </row>
    <row r="634">
      <c r="B634" s="32"/>
      <c r="G634" s="12"/>
      <c r="J634" s="32"/>
      <c r="O634" s="12"/>
      <c r="P634" s="7"/>
    </row>
    <row r="635">
      <c r="B635" s="32"/>
      <c r="G635" s="12"/>
      <c r="J635" s="32"/>
      <c r="O635" s="12"/>
      <c r="P635" s="7"/>
    </row>
    <row r="636">
      <c r="B636" s="32"/>
      <c r="G636" s="12"/>
      <c r="J636" s="32"/>
      <c r="O636" s="12"/>
      <c r="P636" s="7"/>
    </row>
    <row r="637">
      <c r="B637" s="32"/>
      <c r="G637" s="12"/>
      <c r="J637" s="32"/>
      <c r="O637" s="12"/>
      <c r="P637" s="7"/>
    </row>
    <row r="638">
      <c r="B638" s="32"/>
      <c r="G638" s="12"/>
      <c r="J638" s="32"/>
      <c r="O638" s="12"/>
      <c r="P638" s="7"/>
    </row>
    <row r="639">
      <c r="B639" s="32"/>
      <c r="G639" s="12"/>
      <c r="J639" s="32"/>
      <c r="O639" s="12"/>
      <c r="P639" s="7"/>
    </row>
    <row r="640">
      <c r="B640" s="32"/>
      <c r="G640" s="12"/>
      <c r="J640" s="32"/>
      <c r="O640" s="12"/>
      <c r="P640" s="7"/>
    </row>
    <row r="641">
      <c r="B641" s="32"/>
      <c r="G641" s="12"/>
      <c r="J641" s="32"/>
      <c r="O641" s="12"/>
      <c r="P641" s="7"/>
    </row>
    <row r="642">
      <c r="B642" s="32"/>
      <c r="G642" s="12"/>
      <c r="J642" s="32"/>
      <c r="O642" s="12"/>
      <c r="P642" s="7"/>
    </row>
    <row r="643">
      <c r="B643" s="32"/>
      <c r="G643" s="12"/>
      <c r="J643" s="32"/>
      <c r="O643" s="12"/>
      <c r="P643" s="7"/>
    </row>
    <row r="644">
      <c r="B644" s="32"/>
      <c r="G644" s="12"/>
      <c r="J644" s="32"/>
      <c r="O644" s="12"/>
      <c r="P644" s="7"/>
    </row>
    <row r="645">
      <c r="B645" s="32"/>
      <c r="G645" s="12"/>
      <c r="J645" s="32"/>
      <c r="O645" s="12"/>
      <c r="P645" s="7"/>
    </row>
    <row r="646">
      <c r="B646" s="32"/>
      <c r="G646" s="12"/>
      <c r="J646" s="32"/>
      <c r="O646" s="12"/>
      <c r="P646" s="7"/>
    </row>
    <row r="647">
      <c r="B647" s="32"/>
      <c r="G647" s="12"/>
      <c r="J647" s="32"/>
      <c r="O647" s="12"/>
      <c r="P647" s="7"/>
    </row>
    <row r="648">
      <c r="B648" s="32"/>
      <c r="G648" s="12"/>
      <c r="J648" s="32"/>
      <c r="O648" s="12"/>
      <c r="P648" s="7"/>
    </row>
    <row r="649">
      <c r="B649" s="32"/>
      <c r="G649" s="12"/>
      <c r="J649" s="32"/>
      <c r="O649" s="12"/>
      <c r="P649" s="7"/>
    </row>
    <row r="650">
      <c r="B650" s="32"/>
      <c r="G650" s="12"/>
      <c r="J650" s="32"/>
      <c r="O650" s="12"/>
      <c r="P650" s="7"/>
    </row>
    <row r="651">
      <c r="B651" s="32"/>
      <c r="G651" s="12"/>
      <c r="J651" s="32"/>
      <c r="O651" s="12"/>
      <c r="P651" s="7"/>
    </row>
    <row r="652">
      <c r="B652" s="32"/>
      <c r="G652" s="12"/>
      <c r="J652" s="32"/>
      <c r="O652" s="12"/>
      <c r="P652" s="7"/>
    </row>
    <row r="653">
      <c r="B653" s="32"/>
      <c r="G653" s="12"/>
      <c r="J653" s="32"/>
      <c r="O653" s="12"/>
      <c r="P653" s="7"/>
    </row>
    <row r="654">
      <c r="B654" s="32"/>
      <c r="G654" s="12"/>
      <c r="J654" s="32"/>
      <c r="O654" s="12"/>
      <c r="P654" s="7"/>
    </row>
    <row r="655">
      <c r="B655" s="32"/>
      <c r="G655" s="12"/>
      <c r="J655" s="32"/>
      <c r="O655" s="12"/>
      <c r="P655" s="7"/>
    </row>
    <row r="656">
      <c r="B656" s="32"/>
      <c r="G656" s="12"/>
      <c r="J656" s="32"/>
      <c r="O656" s="12"/>
      <c r="P656" s="7"/>
    </row>
    <row r="657">
      <c r="B657" s="32"/>
      <c r="G657" s="12"/>
      <c r="J657" s="32"/>
      <c r="O657" s="12"/>
      <c r="P657" s="7"/>
    </row>
    <row r="658">
      <c r="B658" s="32"/>
      <c r="G658" s="12"/>
      <c r="J658" s="32"/>
      <c r="O658" s="12"/>
      <c r="P658" s="7"/>
    </row>
    <row r="659">
      <c r="B659" s="32"/>
      <c r="G659" s="12"/>
      <c r="J659" s="32"/>
      <c r="O659" s="12"/>
      <c r="P659" s="7"/>
    </row>
    <row r="660">
      <c r="B660" s="32"/>
      <c r="G660" s="12"/>
      <c r="J660" s="32"/>
      <c r="P660" s="7"/>
    </row>
    <row r="661">
      <c r="B661" s="32"/>
      <c r="G661" s="12"/>
      <c r="P661" s="7"/>
    </row>
    <row r="662">
      <c r="B662" s="32"/>
      <c r="G662" s="12"/>
      <c r="P662" s="7"/>
    </row>
    <row r="663">
      <c r="B663" s="32"/>
      <c r="G663" s="12"/>
      <c r="P663" s="7"/>
    </row>
    <row r="664">
      <c r="B664" s="32"/>
      <c r="G664" s="12"/>
      <c r="P664" s="7"/>
    </row>
    <row r="665">
      <c r="B665" s="32"/>
      <c r="G665" s="12"/>
      <c r="P665" s="7"/>
    </row>
    <row r="666">
      <c r="B666" s="32"/>
      <c r="G666" s="12"/>
      <c r="P666" s="7"/>
    </row>
    <row r="667">
      <c r="B667" s="32"/>
      <c r="G667" s="12"/>
      <c r="P667" s="7"/>
    </row>
    <row r="668">
      <c r="B668" s="32"/>
      <c r="G668" s="12"/>
      <c r="P668" s="7"/>
    </row>
    <row r="669">
      <c r="B669" s="32"/>
      <c r="G669" s="12"/>
      <c r="P669" s="7"/>
    </row>
    <row r="670">
      <c r="B670" s="32"/>
      <c r="G670" s="12"/>
      <c r="P670" s="7"/>
    </row>
    <row r="671">
      <c r="B671" s="32"/>
      <c r="G671" s="12"/>
      <c r="P671" s="7"/>
    </row>
    <row r="672">
      <c r="B672" s="32"/>
      <c r="G672" s="12"/>
      <c r="P672" s="7"/>
    </row>
    <row r="673">
      <c r="B673" s="32"/>
      <c r="G673" s="12"/>
      <c r="P673" s="7"/>
    </row>
    <row r="674">
      <c r="B674" s="32"/>
      <c r="G674" s="12"/>
      <c r="P674" s="7"/>
    </row>
    <row r="675">
      <c r="B675" s="32"/>
      <c r="G675" s="12"/>
      <c r="P675" s="7"/>
    </row>
    <row r="676">
      <c r="B676" s="32"/>
      <c r="G676" s="12"/>
      <c r="P676" s="7"/>
    </row>
    <row r="677">
      <c r="B677" s="32"/>
      <c r="G677" s="12"/>
      <c r="P677" s="7"/>
    </row>
    <row r="678">
      <c r="B678" s="32"/>
      <c r="G678" s="12"/>
      <c r="P678" s="7"/>
    </row>
    <row r="679">
      <c r="B679" s="32"/>
      <c r="G679" s="12"/>
      <c r="P679" s="7"/>
    </row>
    <row r="680">
      <c r="B680" s="32"/>
      <c r="G680" s="12"/>
      <c r="P680" s="7"/>
    </row>
    <row r="681">
      <c r="B681" s="32"/>
      <c r="G681" s="12"/>
      <c r="P681" s="7"/>
    </row>
    <row r="682">
      <c r="B682" s="32"/>
      <c r="G682" s="12"/>
      <c r="P682" s="7"/>
    </row>
    <row r="683">
      <c r="B683" s="32"/>
      <c r="G683" s="12"/>
      <c r="P683" s="7"/>
    </row>
    <row r="684">
      <c r="B684" s="32"/>
      <c r="G684" s="12"/>
      <c r="P684" s="7"/>
    </row>
    <row r="685">
      <c r="B685" s="32"/>
      <c r="G685" s="12"/>
      <c r="P685" s="7"/>
    </row>
    <row r="686">
      <c r="B686" s="32"/>
      <c r="G686" s="12"/>
      <c r="P686" s="7"/>
    </row>
    <row r="687">
      <c r="B687" s="32"/>
      <c r="G687" s="12"/>
      <c r="P687" s="7"/>
    </row>
    <row r="688">
      <c r="B688" s="32"/>
      <c r="G688" s="12"/>
      <c r="P688" s="7"/>
    </row>
    <row r="689">
      <c r="B689" s="32"/>
      <c r="G689" s="12"/>
      <c r="P689" s="7"/>
    </row>
    <row r="690">
      <c r="B690" s="32"/>
      <c r="G690" s="12"/>
      <c r="P690" s="7"/>
    </row>
    <row r="691">
      <c r="B691" s="32"/>
      <c r="G691" s="12"/>
      <c r="P691" s="7"/>
    </row>
    <row r="692">
      <c r="B692" s="32"/>
      <c r="G692" s="12"/>
      <c r="P692" s="7"/>
    </row>
    <row r="693">
      <c r="B693" s="32"/>
      <c r="G693" s="12"/>
      <c r="P693" s="7"/>
    </row>
    <row r="694">
      <c r="B694" s="32"/>
      <c r="G694" s="12"/>
      <c r="P694" s="7"/>
    </row>
    <row r="695">
      <c r="B695" s="32"/>
      <c r="G695" s="12"/>
      <c r="P695" s="7"/>
    </row>
    <row r="696">
      <c r="B696" s="32"/>
      <c r="G696" s="12"/>
      <c r="P696" s="7"/>
    </row>
    <row r="697">
      <c r="B697" s="32"/>
      <c r="G697" s="12"/>
      <c r="P697" s="7"/>
    </row>
    <row r="698">
      <c r="B698" s="32"/>
      <c r="G698" s="12"/>
      <c r="P698" s="7"/>
    </row>
    <row r="699">
      <c r="B699" s="32"/>
      <c r="G699" s="12"/>
      <c r="P699" s="7"/>
    </row>
    <row r="700">
      <c r="B700" s="32"/>
      <c r="G700" s="12"/>
      <c r="P700" s="7"/>
    </row>
    <row r="701">
      <c r="B701" s="32"/>
      <c r="G701" s="12"/>
      <c r="P701" s="7"/>
    </row>
    <row r="702">
      <c r="B702" s="32"/>
      <c r="G702" s="12"/>
      <c r="P702" s="7"/>
    </row>
    <row r="703">
      <c r="B703" s="32"/>
      <c r="G703" s="12"/>
      <c r="P703" s="7"/>
    </row>
    <row r="704">
      <c r="B704" s="32"/>
      <c r="G704" s="12"/>
      <c r="P704" s="7"/>
    </row>
    <row r="705">
      <c r="B705" s="32"/>
      <c r="G705" s="12"/>
      <c r="P705" s="7"/>
    </row>
    <row r="706">
      <c r="B706" s="32"/>
      <c r="G706" s="12"/>
      <c r="P706" s="7"/>
    </row>
    <row r="707">
      <c r="B707" s="32"/>
      <c r="G707" s="12"/>
      <c r="P707" s="7"/>
    </row>
    <row r="708">
      <c r="B708" s="32"/>
      <c r="G708" s="12"/>
      <c r="P708" s="7"/>
    </row>
    <row r="709">
      <c r="B709" s="32"/>
      <c r="G709" s="12"/>
      <c r="P709" s="7"/>
    </row>
    <row r="710">
      <c r="B710" s="32"/>
      <c r="G710" s="12"/>
      <c r="P710" s="7"/>
    </row>
    <row r="711">
      <c r="B711" s="32"/>
      <c r="G711" s="12"/>
      <c r="P711" s="7"/>
    </row>
    <row r="712">
      <c r="B712" s="32"/>
      <c r="G712" s="12"/>
      <c r="P712" s="7"/>
    </row>
    <row r="713">
      <c r="B713" s="32"/>
      <c r="G713" s="12"/>
      <c r="P713" s="7"/>
    </row>
    <row r="714">
      <c r="B714" s="32"/>
      <c r="G714" s="12"/>
      <c r="P714" s="7"/>
    </row>
    <row r="715">
      <c r="B715" s="32"/>
      <c r="P715" s="7"/>
    </row>
    <row r="716">
      <c r="B716" s="32"/>
      <c r="P716" s="7"/>
    </row>
    <row r="717">
      <c r="B717" s="32"/>
      <c r="P717" s="7"/>
    </row>
    <row r="718">
      <c r="B718" s="32"/>
      <c r="P718" s="7"/>
    </row>
    <row r="719">
      <c r="B719" s="32"/>
      <c r="P719" s="7"/>
    </row>
    <row r="720">
      <c r="B720" s="32"/>
      <c r="P720" s="7"/>
    </row>
    <row r="721">
      <c r="B721" s="32"/>
      <c r="P721" s="7"/>
    </row>
    <row r="722">
      <c r="B722" s="32"/>
      <c r="P722" s="7"/>
    </row>
    <row r="723">
      <c r="B723" s="32"/>
      <c r="P723" s="7"/>
    </row>
    <row r="724">
      <c r="B724" s="32"/>
      <c r="P724" s="7"/>
    </row>
    <row r="725">
      <c r="B725" s="32"/>
      <c r="P725" s="7"/>
    </row>
    <row r="726">
      <c r="B726" s="32"/>
      <c r="P726" s="7"/>
    </row>
    <row r="727">
      <c r="B727" s="32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6">
        <f t="array" ref="T975">counta(UNIQUE(S2:S960))-1</f>
        <v>0</v>
      </c>
      <c r="AI975" s="46" t="str">
        <f t="array" ref="AI975:AI976">UNIQUE(AI2:AI590)</f>
        <v>Particulars</v>
      </c>
      <c r="AQ975" s="46" t="str">
        <f t="array" ref="AQ975:AQ976">UNIQUE(AQ2:AQ590)</f>
        <v>Particulars</v>
      </c>
    </row>
    <row r="976">
      <c r="P976" s="7"/>
      <c r="AI976" s="46"/>
      <c r="AQ976" s="46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7.5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E1" s="7"/>
      <c r="H1" s="48" t="s">
        <v>29</v>
      </c>
      <c r="I1" s="49">
        <f>countifs(B:B,"&lt;&gt;",F:F,"&lt;&gt;")-1</f>
        <v>4</v>
      </c>
      <c r="K1" s="6" t="s">
        <v>30</v>
      </c>
      <c r="L1" s="6" t="s">
        <v>31</v>
      </c>
      <c r="M1" s="6" t="s">
        <v>13</v>
      </c>
    </row>
    <row r="2">
      <c r="E2" s="7"/>
      <c r="H2" s="48" t="s">
        <v>32</v>
      </c>
      <c r="I2" s="49">
        <f t="array" ref="I2">(COUNTA(UNIQUE(C:C))-1)</f>
        <v>4</v>
      </c>
      <c r="K2" s="50" t="str">
        <f>'Internal Summary'!B40</f>
        <v>350ml Orisirisi Wallnut with Ginger Drink (12x)</v>
      </c>
      <c r="L2" s="49">
        <f t="shared" ref="L2:L13" si="1">sumif(D:D,K2,E:E)</f>
        <v>0.5</v>
      </c>
      <c r="M2" s="49">
        <f t="shared" ref="M2:M13" si="2">sumif(D:D,K2,F:F)</f>
        <v>10800</v>
      </c>
      <c r="N2" s="51"/>
    </row>
    <row r="3">
      <c r="E3" s="7"/>
      <c r="H3" s="48" t="s">
        <v>33</v>
      </c>
      <c r="I3" s="49">
        <f>sum(F:F)</f>
        <v>82800</v>
      </c>
      <c r="K3" s="50" t="str">
        <f>'Internal Summary'!B41</f>
        <v>500ml Orisirisi Tiger Nut Drink (12x)</v>
      </c>
      <c r="L3" s="49">
        <f t="shared" si="1"/>
        <v>1</v>
      </c>
      <c r="M3" s="49">
        <f t="shared" si="2"/>
        <v>27600</v>
      </c>
      <c r="N3" s="51"/>
    </row>
    <row r="4">
      <c r="E4" s="7"/>
      <c r="H4" s="1"/>
      <c r="K4" s="50" t="str">
        <f>'Internal Summary'!B42</f>
        <v>500ml Orisirisi Zobo with Date Drink (12x)</v>
      </c>
      <c r="L4" s="49">
        <f t="shared" si="1"/>
        <v>1</v>
      </c>
      <c r="M4" s="49">
        <f t="shared" si="2"/>
        <v>22800</v>
      </c>
      <c r="N4" s="51"/>
    </row>
    <row r="5">
      <c r="E5" s="7"/>
      <c r="H5" s="1"/>
      <c r="K5" s="50" t="str">
        <f>'Internal Summary'!B43</f>
        <v>350ml Orisirisi Wallnut Drink (12x)</v>
      </c>
      <c r="L5" s="49">
        <f t="shared" si="1"/>
        <v>1</v>
      </c>
      <c r="M5" s="49">
        <f t="shared" si="2"/>
        <v>21600</v>
      </c>
      <c r="N5" s="51"/>
    </row>
    <row r="6">
      <c r="E6" s="7"/>
      <c r="K6" s="50" t="str">
        <f>'Internal Summary'!B44</f>
        <v>500ml Orisirisi Zobo Drink (12x)</v>
      </c>
      <c r="L6" s="49">
        <f t="shared" si="1"/>
        <v>0</v>
      </c>
      <c r="M6" s="49">
        <f t="shared" si="2"/>
        <v>0</v>
      </c>
    </row>
    <row r="7">
      <c r="E7" s="7"/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E8" s="7"/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E9" s="7"/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E10" s="7"/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E11" s="7"/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A12" s="32">
        <v>45758.0</v>
      </c>
      <c r="E12" s="7"/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E13" s="7"/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E36" s="7"/>
      <c r="I36" s="7"/>
    </row>
    <row r="37" hidden="1"/>
    <row r="38" hidden="1"/>
    <row r="39">
      <c r="E39" s="7"/>
      <c r="I39" s="7"/>
    </row>
    <row r="40" hidden="1"/>
    <row r="41" hidden="1"/>
    <row r="42">
      <c r="E42" s="7"/>
      <c r="I42" s="7"/>
    </row>
    <row r="43" hidden="1"/>
    <row r="44" hidden="1"/>
    <row r="45">
      <c r="E45" s="7"/>
      <c r="I45" s="7"/>
    </row>
    <row r="46" hidden="1"/>
    <row r="47" hidden="1"/>
    <row r="48">
      <c r="E48" s="7"/>
      <c r="I48" s="7"/>
    </row>
    <row r="49" hidden="1"/>
    <row r="50" hidden="1"/>
    <row r="51">
      <c r="E51" s="7"/>
      <c r="I51" s="7"/>
    </row>
    <row r="52" hidden="1"/>
    <row r="53" hidden="1"/>
    <row r="54">
      <c r="E54" s="7"/>
      <c r="I54" s="7"/>
    </row>
    <row r="55" hidden="1"/>
    <row r="56" hidden="1"/>
    <row r="57">
      <c r="E57" s="7"/>
      <c r="I57" s="7"/>
    </row>
    <row r="58" hidden="1"/>
    <row r="59" hidden="1"/>
    <row r="60">
      <c r="E60" s="7"/>
      <c r="I60" s="7"/>
    </row>
    <row r="61" hidden="1"/>
    <row r="62" hidden="1"/>
    <row r="63">
      <c r="E63" s="7"/>
      <c r="I63" s="7"/>
    </row>
    <row r="64" hidden="1"/>
    <row r="65" hidden="1"/>
    <row r="66">
      <c r="E66" s="7"/>
      <c r="I66" s="7"/>
    </row>
    <row r="67" hidden="1"/>
    <row r="68" hidden="1"/>
    <row r="69">
      <c r="E69" s="7"/>
      <c r="I69" s="7"/>
    </row>
    <row r="70" hidden="1"/>
    <row r="71" hidden="1"/>
    <row r="72">
      <c r="E72" s="7"/>
      <c r="I72" s="7"/>
    </row>
    <row r="73" hidden="1"/>
    <row r="74" hidden="1"/>
    <row r="75">
      <c r="E75" s="7"/>
      <c r="I75" s="7"/>
    </row>
    <row r="76" hidden="1"/>
    <row r="77" hidden="1"/>
    <row r="78">
      <c r="E78" s="7"/>
      <c r="I78" s="7"/>
    </row>
    <row r="79" hidden="1"/>
    <row r="80" hidden="1"/>
    <row r="81">
      <c r="E81" s="7"/>
      <c r="I81" s="7"/>
    </row>
    <row r="82" hidden="1"/>
    <row r="83" hidden="1"/>
    <row r="84">
      <c r="E84" s="7"/>
      <c r="I84" s="7"/>
    </row>
    <row r="85" hidden="1"/>
    <row r="86" hidden="1"/>
    <row r="87">
      <c r="E87" s="7"/>
      <c r="I87" s="7"/>
    </row>
    <row r="88" hidden="1"/>
    <row r="89" hidden="1"/>
    <row r="90">
      <c r="E90" s="7"/>
      <c r="I90" s="7"/>
    </row>
    <row r="91" hidden="1"/>
    <row r="92" hidden="1"/>
    <row r="93">
      <c r="E93" s="7"/>
      <c r="I93" s="7"/>
    </row>
    <row r="94" hidden="1"/>
    <row r="95" hidden="1"/>
    <row r="96">
      <c r="E96" s="7"/>
      <c r="I96" s="7"/>
    </row>
    <row r="97" hidden="1"/>
    <row r="98" hidden="1"/>
    <row r="99">
      <c r="E99" s="7"/>
      <c r="I99" s="7"/>
    </row>
    <row r="100" hidden="1"/>
    <row r="101" hidden="1"/>
    <row r="102">
      <c r="E102" s="7"/>
      <c r="I102" s="7"/>
    </row>
    <row r="103" hidden="1"/>
    <row r="104" hidden="1"/>
    <row r="105">
      <c r="E105" s="7"/>
      <c r="I105" s="7"/>
    </row>
    <row r="106" hidden="1"/>
    <row r="107" hidden="1"/>
    <row r="108">
      <c r="E108" s="7"/>
      <c r="I108" s="7"/>
    </row>
    <row r="109" hidden="1"/>
    <row r="110" hidden="1"/>
    <row r="111">
      <c r="E111" s="7"/>
      <c r="I111" s="7"/>
    </row>
    <row r="112" hidden="1"/>
    <row r="113" hidden="1"/>
    <row r="114">
      <c r="E114" s="7"/>
      <c r="I114" s="7"/>
    </row>
    <row r="115" hidden="1"/>
    <row r="116" hidden="1"/>
    <row r="117">
      <c r="E117" s="7"/>
      <c r="I117" s="7"/>
    </row>
    <row r="118" hidden="1"/>
    <row r="119" hidden="1"/>
    <row r="120">
      <c r="E120" s="7"/>
      <c r="I120" s="7"/>
    </row>
    <row r="121" hidden="1"/>
    <row r="122" hidden="1"/>
    <row r="123">
      <c r="E123" s="7"/>
      <c r="I123" s="7"/>
    </row>
    <row r="124" hidden="1"/>
    <row r="125" hidden="1"/>
    <row r="126">
      <c r="E126" s="7"/>
      <c r="I126" s="7"/>
    </row>
    <row r="127" hidden="1"/>
    <row r="128" hidden="1"/>
    <row r="129">
      <c r="E129" s="7"/>
      <c r="I129" s="7"/>
    </row>
    <row r="130" hidden="1"/>
    <row r="131" hidden="1"/>
    <row r="132">
      <c r="E132" s="7"/>
      <c r="I132" s="7"/>
    </row>
    <row r="133" hidden="1"/>
    <row r="134" hidden="1"/>
    <row r="135">
      <c r="E135" s="7"/>
      <c r="I135" s="7"/>
    </row>
    <row r="136" hidden="1"/>
    <row r="137" hidden="1"/>
    <row r="138">
      <c r="E138" s="7"/>
      <c r="I138" s="7"/>
    </row>
    <row r="139" hidden="1"/>
    <row r="140" hidden="1"/>
    <row r="141">
      <c r="E141" s="7"/>
      <c r="I141" s="7"/>
    </row>
    <row r="142" hidden="1"/>
    <row r="143" hidden="1"/>
    <row r="144">
      <c r="E144" s="7"/>
      <c r="I144" s="7"/>
    </row>
    <row r="145" hidden="1"/>
    <row r="146" hidden="1"/>
    <row r="147">
      <c r="E147" s="7"/>
      <c r="I147" s="7"/>
    </row>
    <row r="148" hidden="1"/>
    <row r="149" hidden="1"/>
    <row r="150">
      <c r="E150" s="7"/>
      <c r="I150" s="7"/>
    </row>
    <row r="151" hidden="1"/>
    <row r="152" hidden="1"/>
    <row r="153">
      <c r="E153" s="7"/>
      <c r="I153" s="7"/>
    </row>
    <row r="154" hidden="1"/>
    <row r="155" hidden="1"/>
    <row r="156">
      <c r="E156" s="7"/>
      <c r="I156" s="7"/>
    </row>
    <row r="157" hidden="1"/>
    <row r="158" hidden="1"/>
    <row r="159">
      <c r="E159" s="7"/>
      <c r="I159" s="7"/>
    </row>
    <row r="160" hidden="1"/>
    <row r="161" hidden="1"/>
    <row r="162">
      <c r="E162" s="7"/>
      <c r="I162" s="7"/>
    </row>
    <row r="163" hidden="1"/>
    <row r="164" hidden="1"/>
    <row r="165">
      <c r="E165" s="7"/>
      <c r="I165" s="7"/>
    </row>
    <row r="166" hidden="1"/>
    <row r="167" hidden="1"/>
    <row r="168">
      <c r="E168" s="7"/>
      <c r="I168" s="7"/>
    </row>
    <row r="169" hidden="1"/>
    <row r="170" hidden="1"/>
    <row r="171">
      <c r="E171" s="7"/>
      <c r="I171" s="7"/>
    </row>
    <row r="172" hidden="1"/>
    <row r="173" hidden="1"/>
    <row r="174">
      <c r="E174" s="7"/>
      <c r="I174" s="7"/>
    </row>
    <row r="175" hidden="1"/>
    <row r="176" hidden="1"/>
    <row r="177">
      <c r="E177" s="7"/>
      <c r="I177" s="7"/>
    </row>
    <row r="178" hidden="1"/>
    <row r="179" hidden="1"/>
    <row r="180">
      <c r="E180" s="7"/>
      <c r="I180" s="7"/>
    </row>
    <row r="181" hidden="1"/>
    <row r="182" hidden="1"/>
    <row r="183">
      <c r="E183" s="7"/>
      <c r="I183" s="7"/>
    </row>
    <row r="184" hidden="1"/>
    <row r="185" hidden="1"/>
    <row r="186">
      <c r="E186" s="7"/>
      <c r="I186" s="7"/>
    </row>
    <row r="187" hidden="1"/>
    <row r="188" hidden="1"/>
    <row r="189">
      <c r="E189" s="7"/>
      <c r="I189" s="7"/>
    </row>
    <row r="190" hidden="1"/>
    <row r="191" hidden="1"/>
    <row r="192">
      <c r="E192" s="7"/>
      <c r="I192" s="7"/>
    </row>
    <row r="193" hidden="1"/>
    <row r="194" hidden="1"/>
    <row r="195">
      <c r="E195" s="7"/>
      <c r="I195" s="7"/>
    </row>
    <row r="196" hidden="1"/>
    <row r="197" hidden="1"/>
    <row r="198">
      <c r="E198" s="7"/>
      <c r="I198" s="7"/>
    </row>
    <row r="199" hidden="1"/>
    <row r="200" hidden="1"/>
    <row r="201">
      <c r="E201" s="7"/>
      <c r="I201" s="7"/>
    </row>
    <row r="202" hidden="1"/>
    <row r="203" hidden="1"/>
    <row r="204">
      <c r="E204" s="7"/>
      <c r="I204" s="7"/>
    </row>
    <row r="205" hidden="1"/>
    <row r="206" hidden="1"/>
    <row r="207">
      <c r="E207" s="7"/>
      <c r="I207" s="7"/>
    </row>
    <row r="208" hidden="1"/>
    <row r="209" hidden="1"/>
    <row r="210">
      <c r="E210" s="7"/>
      <c r="I210" s="7"/>
    </row>
    <row r="211" hidden="1"/>
    <row r="212" hidden="1"/>
    <row r="213">
      <c r="E213" s="7"/>
      <c r="I213" s="7"/>
    </row>
    <row r="214" hidden="1"/>
    <row r="215" hidden="1"/>
    <row r="216">
      <c r="E216" s="7"/>
      <c r="I216" s="7"/>
    </row>
    <row r="217" hidden="1"/>
    <row r="218" hidden="1"/>
    <row r="219">
      <c r="E219" s="7"/>
      <c r="I219" s="7"/>
    </row>
    <row r="220" hidden="1"/>
    <row r="221" hidden="1"/>
    <row r="222">
      <c r="E222" s="7"/>
      <c r="I222" s="7"/>
    </row>
    <row r="223" hidden="1"/>
    <row r="224" hidden="1"/>
    <row r="225">
      <c r="E225" s="7"/>
      <c r="I225" s="7"/>
    </row>
    <row r="226" hidden="1"/>
    <row r="227" hidden="1"/>
    <row r="228">
      <c r="E228" s="7"/>
      <c r="I228" s="7"/>
    </row>
    <row r="229" hidden="1"/>
    <row r="230" hidden="1"/>
    <row r="231">
      <c r="E231" s="7"/>
      <c r="I231" s="7"/>
    </row>
    <row r="232" hidden="1"/>
    <row r="233" hidden="1"/>
    <row r="234">
      <c r="E234" s="7"/>
      <c r="I234" s="7"/>
    </row>
    <row r="235" hidden="1"/>
    <row r="236" hidden="1"/>
    <row r="237">
      <c r="E237" s="7"/>
      <c r="I237" s="7"/>
    </row>
    <row r="238" hidden="1"/>
    <row r="239" hidden="1"/>
    <row r="240">
      <c r="E240" s="7"/>
      <c r="I240" s="7"/>
    </row>
    <row r="241" hidden="1"/>
    <row r="242" hidden="1"/>
    <row r="243">
      <c r="E243" s="7"/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>
      <c r="E317" s="7"/>
    </row>
    <row r="318">
      <c r="E318" s="7"/>
      <c r="I318" s="7"/>
    </row>
    <row r="319">
      <c r="E319" s="7"/>
    </row>
    <row r="320">
      <c r="E320" s="7"/>
    </row>
    <row r="321">
      <c r="E321" s="7"/>
      <c r="I321" s="7"/>
    </row>
    <row r="322">
      <c r="E322" s="7"/>
    </row>
    <row r="323">
      <c r="E323" s="7"/>
    </row>
    <row r="324">
      <c r="E324" s="7"/>
      <c r="I324" s="7"/>
    </row>
    <row r="325">
      <c r="E325" s="7"/>
    </row>
    <row r="326">
      <c r="E326" s="7"/>
    </row>
    <row r="327">
      <c r="E327" s="7"/>
      <c r="I327" s="7"/>
    </row>
    <row r="328">
      <c r="E328" s="7"/>
    </row>
    <row r="329">
      <c r="E329" s="7"/>
    </row>
    <row r="330">
      <c r="E330" s="7"/>
      <c r="I330" s="7"/>
    </row>
    <row r="331">
      <c r="E331" s="7"/>
    </row>
    <row r="332">
      <c r="E332" s="7"/>
    </row>
    <row r="333">
      <c r="E333" s="7"/>
      <c r="I333" s="7"/>
    </row>
    <row r="334">
      <c r="E334" s="7"/>
    </row>
    <row r="335">
      <c r="E335" s="7"/>
    </row>
    <row r="336">
      <c r="E336" s="7"/>
      <c r="I336" s="7"/>
    </row>
    <row r="337">
      <c r="E337" s="7"/>
    </row>
    <row r="338">
      <c r="E338" s="7"/>
    </row>
    <row r="339">
      <c r="E339" s="7"/>
      <c r="I339" s="7"/>
    </row>
    <row r="340">
      <c r="E340" s="7"/>
    </row>
    <row r="341">
      <c r="E341" s="7"/>
    </row>
    <row r="342">
      <c r="E342" s="7"/>
      <c r="I342" s="7"/>
    </row>
    <row r="343">
      <c r="E343" s="7"/>
    </row>
    <row r="344">
      <c r="E344" s="7"/>
    </row>
    <row r="345">
      <c r="E345" s="7"/>
      <c r="I345" s="7"/>
    </row>
    <row r="346">
      <c r="E346" s="7"/>
    </row>
    <row r="347">
      <c r="E347" s="7"/>
    </row>
    <row r="348">
      <c r="E348" s="7"/>
      <c r="I348" s="7"/>
    </row>
    <row r="349">
      <c r="E349" s="7"/>
    </row>
    <row r="350">
      <c r="E350" s="7"/>
    </row>
    <row r="351">
      <c r="E351" s="7"/>
      <c r="I351" s="7"/>
    </row>
    <row r="352">
      <c r="E352" s="7"/>
    </row>
    <row r="353">
      <c r="E353" s="7"/>
    </row>
    <row r="354">
      <c r="E354" s="7"/>
      <c r="I354" s="7"/>
    </row>
    <row r="355">
      <c r="E355" s="7"/>
    </row>
    <row r="356">
      <c r="E356" s="7"/>
    </row>
    <row r="357">
      <c r="E357" s="7"/>
      <c r="I357" s="7"/>
    </row>
    <row r="358">
      <c r="E358" s="7"/>
    </row>
    <row r="359">
      <c r="E359" s="7"/>
    </row>
    <row r="360">
      <c r="E360" s="7"/>
      <c r="I360" s="7"/>
    </row>
    <row r="361">
      <c r="E361" s="7"/>
    </row>
    <row r="362">
      <c r="E362" s="7"/>
    </row>
    <row r="363">
      <c r="E363" s="7"/>
      <c r="I363" s="7"/>
    </row>
    <row r="364">
      <c r="E364" s="7"/>
    </row>
    <row r="365">
      <c r="E365" s="7"/>
    </row>
    <row r="366">
      <c r="E366" s="7"/>
      <c r="I366" s="7"/>
    </row>
    <row r="367">
      <c r="E367" s="7"/>
    </row>
    <row r="368">
      <c r="E368" s="7"/>
    </row>
    <row r="369">
      <c r="E369" s="7"/>
      <c r="I369" s="7"/>
    </row>
    <row r="370">
      <c r="E370" s="7"/>
    </row>
    <row r="371">
      <c r="E371" s="7"/>
    </row>
    <row r="372">
      <c r="E372" s="7"/>
      <c r="I372" s="7"/>
    </row>
    <row r="373">
      <c r="E373" s="7"/>
    </row>
    <row r="374">
      <c r="E374" s="7"/>
    </row>
    <row r="375">
      <c r="E375" s="7"/>
      <c r="I375" s="7"/>
    </row>
    <row r="376">
      <c r="E376" s="7"/>
    </row>
    <row r="377">
      <c r="E377" s="7"/>
    </row>
    <row r="378">
      <c r="E378" s="7"/>
      <c r="I378" s="7"/>
    </row>
    <row r="379">
      <c r="E379" s="7"/>
    </row>
    <row r="380">
      <c r="E380" s="7"/>
    </row>
    <row r="381">
      <c r="E381" s="7"/>
      <c r="I381" s="7"/>
    </row>
    <row r="382">
      <c r="E382" s="7"/>
    </row>
    <row r="383">
      <c r="E383" s="7"/>
    </row>
    <row r="384">
      <c r="E384" s="7"/>
      <c r="I384" s="7"/>
    </row>
    <row r="385">
      <c r="E385" s="7"/>
    </row>
    <row r="386">
      <c r="E386" s="7"/>
    </row>
    <row r="387">
      <c r="E387" s="7"/>
      <c r="I387" s="7"/>
    </row>
    <row r="388">
      <c r="E388" s="7"/>
    </row>
    <row r="389">
      <c r="E389" s="7"/>
    </row>
    <row r="390">
      <c r="E390" s="7"/>
      <c r="I390" s="7"/>
    </row>
    <row r="391">
      <c r="E391" s="7"/>
    </row>
    <row r="392">
      <c r="E392" s="7"/>
    </row>
    <row r="393">
      <c r="E393" s="7"/>
      <c r="I393" s="7"/>
    </row>
    <row r="394">
      <c r="E394" s="7"/>
    </row>
    <row r="395">
      <c r="E395" s="7"/>
    </row>
    <row r="396">
      <c r="E396" s="7"/>
      <c r="I396" s="7"/>
    </row>
    <row r="397">
      <c r="E397" s="7"/>
    </row>
    <row r="398">
      <c r="E398" s="7"/>
    </row>
    <row r="399">
      <c r="E399" s="7"/>
      <c r="I399" s="7"/>
    </row>
    <row r="400">
      <c r="E400" s="7"/>
    </row>
    <row r="401">
      <c r="E401" s="7"/>
    </row>
    <row r="402">
      <c r="E402" s="7"/>
      <c r="I402" s="7"/>
    </row>
    <row r="403">
      <c r="E403" s="7"/>
    </row>
    <row r="404">
      <c r="E404" s="7"/>
    </row>
    <row r="405">
      <c r="E405" s="7"/>
      <c r="I405" s="7"/>
    </row>
    <row r="406">
      <c r="E406" s="7"/>
    </row>
    <row r="407">
      <c r="E407" s="7"/>
    </row>
    <row r="408">
      <c r="E408" s="7"/>
      <c r="I408" s="7"/>
    </row>
    <row r="409">
      <c r="E409" s="7"/>
    </row>
    <row r="410">
      <c r="E410" s="7"/>
    </row>
    <row r="411">
      <c r="E411" s="7"/>
      <c r="I411" s="7"/>
    </row>
    <row r="412">
      <c r="E412" s="7"/>
    </row>
    <row r="413">
      <c r="E413" s="7"/>
    </row>
    <row r="414">
      <c r="E414" s="7"/>
      <c r="I414" s="7"/>
    </row>
    <row r="415">
      <c r="E415" s="7"/>
    </row>
    <row r="416">
      <c r="E416" s="7"/>
    </row>
    <row r="417">
      <c r="E417" s="7"/>
      <c r="I417" s="7"/>
    </row>
    <row r="418">
      <c r="E418" s="7"/>
    </row>
    <row r="419">
      <c r="E419" s="7"/>
    </row>
    <row r="420">
      <c r="E420" s="7"/>
      <c r="I420" s="7"/>
    </row>
    <row r="421">
      <c r="E421" s="7"/>
    </row>
    <row r="422">
      <c r="E422" s="7"/>
    </row>
    <row r="423">
      <c r="E423" s="7"/>
      <c r="I423" s="7"/>
    </row>
    <row r="424">
      <c r="E424" s="7"/>
    </row>
    <row r="425">
      <c r="E425" s="7"/>
    </row>
    <row r="426">
      <c r="E426" s="7"/>
      <c r="I426" s="7"/>
    </row>
    <row r="427">
      <c r="E427" s="7"/>
    </row>
    <row r="428">
      <c r="E428" s="7"/>
    </row>
    <row r="429">
      <c r="E429" s="7"/>
      <c r="I429" s="7"/>
    </row>
    <row r="430">
      <c r="E430" s="7"/>
    </row>
    <row r="431">
      <c r="E431" s="7"/>
    </row>
    <row r="432">
      <c r="E432" s="7"/>
      <c r="I432" s="7"/>
    </row>
    <row r="433">
      <c r="E433" s="7"/>
    </row>
    <row r="434">
      <c r="E434" s="7"/>
    </row>
    <row r="435">
      <c r="E435" s="7"/>
      <c r="I435" s="7"/>
    </row>
    <row r="436">
      <c r="E436" s="7"/>
    </row>
    <row r="437">
      <c r="E437" s="7"/>
    </row>
    <row r="438">
      <c r="E438" s="7"/>
      <c r="I438" s="7"/>
    </row>
    <row r="439">
      <c r="E439" s="7"/>
    </row>
    <row r="440">
      <c r="E440" s="7"/>
    </row>
    <row r="441">
      <c r="E441" s="7"/>
      <c r="I441" s="7"/>
    </row>
    <row r="442">
      <c r="E442" s="7"/>
    </row>
    <row r="443">
      <c r="E443" s="7"/>
    </row>
    <row r="444">
      <c r="E444" s="7"/>
      <c r="I444" s="7"/>
    </row>
    <row r="445">
      <c r="E445" s="7"/>
    </row>
    <row r="446">
      <c r="E446" s="7"/>
    </row>
    <row r="447">
      <c r="E447" s="7"/>
      <c r="I447" s="7"/>
    </row>
    <row r="448">
      <c r="E448" s="7"/>
    </row>
    <row r="449">
      <c r="E449" s="7"/>
    </row>
    <row r="450">
      <c r="E450" s="7"/>
      <c r="I450" s="7"/>
    </row>
    <row r="451">
      <c r="E451" s="7"/>
    </row>
    <row r="452">
      <c r="E452" s="7"/>
    </row>
    <row r="453">
      <c r="E453" s="7"/>
      <c r="I453" s="7"/>
    </row>
    <row r="454">
      <c r="E454" s="7"/>
    </row>
    <row r="455">
      <c r="E455" s="7"/>
    </row>
    <row r="456">
      <c r="E456" s="7"/>
      <c r="I456" s="7"/>
    </row>
    <row r="457">
      <c r="E457" s="7"/>
    </row>
    <row r="458">
      <c r="E458" s="7"/>
    </row>
    <row r="459">
      <c r="E459" s="7"/>
      <c r="I459" s="7"/>
    </row>
    <row r="460">
      <c r="E460" s="7"/>
    </row>
    <row r="461">
      <c r="E461" s="7"/>
    </row>
    <row r="462">
      <c r="E462" s="7"/>
      <c r="I462" s="7"/>
    </row>
    <row r="463">
      <c r="E463" s="7"/>
    </row>
    <row r="464">
      <c r="E464" s="7"/>
    </row>
    <row r="465">
      <c r="E465" s="7"/>
      <c r="I465" s="7"/>
    </row>
    <row r="466">
      <c r="E466" s="7"/>
    </row>
    <row r="467">
      <c r="E467" s="7"/>
    </row>
    <row r="468">
      <c r="E468" s="7"/>
      <c r="I468" s="7"/>
    </row>
    <row r="469">
      <c r="E469" s="7"/>
    </row>
    <row r="470">
      <c r="E470" s="7"/>
    </row>
    <row r="471">
      <c r="E471" s="7"/>
      <c r="I471" s="7"/>
    </row>
    <row r="472">
      <c r="E472" s="7"/>
    </row>
    <row r="473">
      <c r="E473" s="7"/>
    </row>
    <row r="474">
      <c r="E474" s="7"/>
      <c r="I474" s="7"/>
    </row>
    <row r="475">
      <c r="E475" s="7"/>
    </row>
    <row r="476">
      <c r="E476" s="7"/>
    </row>
    <row r="477">
      <c r="E477" s="7"/>
      <c r="I477" s="7"/>
    </row>
    <row r="478">
      <c r="E478" s="7"/>
    </row>
    <row r="479">
      <c r="E479" s="7"/>
    </row>
    <row r="480">
      <c r="E480" s="7"/>
      <c r="I480" s="7"/>
    </row>
    <row r="481">
      <c r="E481" s="7"/>
    </row>
    <row r="482">
      <c r="E482" s="7"/>
    </row>
    <row r="483">
      <c r="E483" s="7"/>
      <c r="I483" s="7"/>
    </row>
    <row r="484">
      <c r="E484" s="7"/>
    </row>
    <row r="485">
      <c r="E485" s="7"/>
    </row>
    <row r="486">
      <c r="E486" s="7"/>
      <c r="I486" s="7"/>
    </row>
    <row r="487">
      <c r="E487" s="7"/>
    </row>
    <row r="488">
      <c r="E488" s="7"/>
    </row>
    <row r="489">
      <c r="E489" s="7"/>
      <c r="I489" s="7"/>
    </row>
    <row r="490">
      <c r="E490" s="7"/>
    </row>
    <row r="491">
      <c r="E491" s="7"/>
    </row>
    <row r="492">
      <c r="E492" s="7"/>
      <c r="I492" s="7"/>
    </row>
    <row r="493">
      <c r="E493" s="7"/>
    </row>
    <row r="494">
      <c r="E494" s="7"/>
    </row>
    <row r="495">
      <c r="E495" s="7"/>
      <c r="I495" s="7"/>
    </row>
    <row r="496">
      <c r="E496" s="7"/>
    </row>
    <row r="497">
      <c r="E497" s="7"/>
    </row>
    <row r="498">
      <c r="E498" s="7"/>
      <c r="I498" s="7"/>
    </row>
    <row r="499">
      <c r="E499" s="7"/>
    </row>
    <row r="500">
      <c r="E500" s="7"/>
    </row>
    <row r="501">
      <c r="E501" s="7"/>
      <c r="I501" s="7"/>
    </row>
    <row r="502">
      <c r="E502" s="7"/>
    </row>
    <row r="503">
      <c r="E503" s="7"/>
    </row>
    <row r="504">
      <c r="E504" s="7"/>
      <c r="I504" s="7"/>
    </row>
    <row r="505">
      <c r="E505" s="7"/>
    </row>
    <row r="506">
      <c r="E506" s="7"/>
    </row>
    <row r="507">
      <c r="E507" s="7"/>
      <c r="I507" s="7"/>
    </row>
    <row r="508">
      <c r="E508" s="7"/>
    </row>
    <row r="509">
      <c r="E509" s="7"/>
    </row>
    <row r="510">
      <c r="E510" s="7"/>
      <c r="I510" s="7"/>
    </row>
    <row r="511">
      <c r="E511" s="7"/>
    </row>
    <row r="512">
      <c r="E512" s="7"/>
    </row>
    <row r="513">
      <c r="E513" s="7"/>
      <c r="I513" s="7"/>
    </row>
    <row r="514">
      <c r="E514" s="7"/>
    </row>
    <row r="515">
      <c r="E515" s="7"/>
    </row>
    <row r="516">
      <c r="E516" s="7"/>
      <c r="I516" s="7"/>
    </row>
    <row r="517">
      <c r="E517" s="7"/>
    </row>
    <row r="518">
      <c r="E518" s="7"/>
    </row>
    <row r="519">
      <c r="E519" s="7"/>
      <c r="I519" s="7"/>
    </row>
    <row r="520">
      <c r="E520" s="7"/>
    </row>
    <row r="521">
      <c r="E521" s="7"/>
    </row>
    <row r="522">
      <c r="E522" s="7"/>
      <c r="I522" s="7"/>
    </row>
    <row r="523">
      <c r="E523" s="7"/>
    </row>
    <row r="524">
      <c r="E524" s="7"/>
    </row>
    <row r="525">
      <c r="E525" s="7"/>
      <c r="I525" s="7"/>
    </row>
    <row r="526">
      <c r="E526" s="7"/>
    </row>
    <row r="527">
      <c r="E527" s="7"/>
    </row>
    <row r="528">
      <c r="E528" s="7"/>
      <c r="I528" s="7"/>
    </row>
    <row r="529">
      <c r="E529" s="7"/>
    </row>
    <row r="530">
      <c r="E530" s="7"/>
    </row>
    <row r="531">
      <c r="E531" s="7"/>
      <c r="I531" s="7"/>
    </row>
    <row r="532">
      <c r="E532" s="7"/>
    </row>
    <row r="533">
      <c r="E533" s="7"/>
    </row>
    <row r="534">
      <c r="E534" s="7"/>
      <c r="I534" s="7"/>
    </row>
    <row r="535">
      <c r="E535" s="7"/>
    </row>
    <row r="536">
      <c r="E536" s="7"/>
    </row>
    <row r="537">
      <c r="E537" s="7"/>
      <c r="I537" s="7"/>
    </row>
    <row r="538">
      <c r="E538" s="7"/>
    </row>
    <row r="539">
      <c r="E539" s="7"/>
    </row>
    <row r="540">
      <c r="E540" s="7"/>
      <c r="I540" s="7"/>
    </row>
    <row r="541">
      <c r="E541" s="7"/>
    </row>
    <row r="542">
      <c r="E542" s="7"/>
    </row>
    <row r="543">
      <c r="E543" s="7"/>
      <c r="I543" s="7"/>
    </row>
    <row r="544">
      <c r="E544" s="7"/>
    </row>
    <row r="545">
      <c r="E545" s="7"/>
    </row>
    <row r="546">
      <c r="E546" s="7"/>
      <c r="I546" s="7"/>
    </row>
    <row r="547">
      <c r="E547" s="7"/>
    </row>
    <row r="548">
      <c r="E548" s="7"/>
    </row>
    <row r="549">
      <c r="E549" s="7"/>
      <c r="I549" s="7"/>
    </row>
    <row r="550">
      <c r="E550" s="7"/>
    </row>
    <row r="551">
      <c r="E551" s="7"/>
    </row>
    <row r="552">
      <c r="E552" s="7"/>
      <c r="I552" s="7"/>
    </row>
    <row r="553">
      <c r="E553" s="7"/>
    </row>
    <row r="554">
      <c r="E554" s="7"/>
    </row>
    <row r="555">
      <c r="E555" s="7"/>
      <c r="I555" s="7"/>
    </row>
    <row r="556">
      <c r="E556" s="7"/>
    </row>
    <row r="557">
      <c r="E557" s="7"/>
    </row>
    <row r="558">
      <c r="E558" s="7"/>
      <c r="I558" s="7"/>
    </row>
    <row r="559">
      <c r="E559" s="7"/>
    </row>
    <row r="560">
      <c r="E560" s="7"/>
    </row>
    <row r="561">
      <c r="E561" s="7"/>
      <c r="I561" s="7"/>
    </row>
    <row r="562">
      <c r="E562" s="7"/>
    </row>
    <row r="563">
      <c r="E563" s="7"/>
    </row>
    <row r="564">
      <c r="E564" s="7"/>
      <c r="I564" s="7"/>
    </row>
    <row r="565">
      <c r="E565" s="7"/>
    </row>
    <row r="566">
      <c r="E566" s="7"/>
    </row>
    <row r="567">
      <c r="E567" s="7"/>
      <c r="I567" s="7"/>
    </row>
    <row r="568">
      <c r="E568" s="7"/>
    </row>
    <row r="569">
      <c r="E569" s="7"/>
    </row>
    <row r="570">
      <c r="E570" s="7"/>
      <c r="I570" s="7"/>
    </row>
    <row r="571">
      <c r="E571" s="7"/>
    </row>
    <row r="572">
      <c r="E572" s="7"/>
    </row>
    <row r="573">
      <c r="E573" s="7"/>
      <c r="I573" s="7"/>
    </row>
    <row r="574">
      <c r="E574" s="7"/>
    </row>
    <row r="575">
      <c r="E575" s="7"/>
    </row>
    <row r="576">
      <c r="E576" s="7"/>
      <c r="I576" s="7"/>
    </row>
    <row r="577">
      <c r="E577" s="7"/>
    </row>
    <row r="578">
      <c r="E578" s="7"/>
    </row>
    <row r="579">
      <c r="E579" s="7"/>
      <c r="I579" s="7"/>
    </row>
    <row r="580">
      <c r="E580" s="7"/>
    </row>
    <row r="581">
      <c r="E581" s="7"/>
    </row>
    <row r="582">
      <c r="E582" s="7"/>
      <c r="I582" s="7"/>
    </row>
    <row r="583">
      <c r="E583" s="7"/>
    </row>
    <row r="584">
      <c r="E584" s="7"/>
    </row>
    <row r="585">
      <c r="E585" s="7"/>
      <c r="I585" s="7"/>
    </row>
    <row r="586">
      <c r="E586" s="7"/>
    </row>
    <row r="587">
      <c r="E587" s="7"/>
    </row>
    <row r="588">
      <c r="E588" s="7"/>
      <c r="I588" s="7"/>
    </row>
    <row r="589">
      <c r="E589" s="7"/>
    </row>
    <row r="590">
      <c r="E590" s="7"/>
    </row>
    <row r="591">
      <c r="E591" s="7"/>
      <c r="I591" s="7"/>
    </row>
    <row r="592">
      <c r="E592" s="7"/>
    </row>
    <row r="593">
      <c r="E593" s="7"/>
    </row>
    <row r="594">
      <c r="E594" s="7"/>
      <c r="I594" s="7"/>
    </row>
    <row r="595">
      <c r="E595" s="7"/>
    </row>
    <row r="596">
      <c r="E596" s="7"/>
    </row>
    <row r="597">
      <c r="E597" s="7"/>
      <c r="I597" s="7"/>
    </row>
    <row r="598">
      <c r="E598" s="7"/>
    </row>
    <row r="599">
      <c r="E599" s="7"/>
    </row>
    <row r="600">
      <c r="E600" s="7"/>
      <c r="I600" s="7"/>
    </row>
    <row r="601">
      <c r="E601" s="7"/>
    </row>
    <row r="602">
      <c r="E602" s="7"/>
    </row>
    <row r="603">
      <c r="E603" s="7"/>
      <c r="I603" s="7"/>
    </row>
    <row r="604">
      <c r="E604" s="7"/>
    </row>
    <row r="605">
      <c r="E605" s="7"/>
    </row>
    <row r="606">
      <c r="E606" s="7"/>
      <c r="I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</sheetData>
  <autoFilter ref="$A$14:$F$316">
    <filterColumn colId="5">
      <filters>
        <filter val="12,000.00"/>
        <filter val="13,800.00"/>
        <filter val="10,800.00"/>
        <filter val="21,600.00"/>
      </filters>
    </filterColumn>
    <filterColumn colId="3">
      <filters>
        <filter val="500ml Orisirisi Zobo with Date Drink (12x)"/>
        <filter val="350ml Orisirisi Wallnut with Ginger Drink (12x)"/>
        <filter val="350ml Orisirisi Wallnut Drink (12x)"/>
        <filter val="500ml Orisirisi Tiger Nut Drink (12x)"/>
        <filter val="Total"/>
        <filter val="350ml Orisirisi Wallnut Drink (12x) Total"/>
        <filter val="500ml Orisirisi Tiger Nut Drink (12x) Total"/>
        <filter val="500ml Orisirisi Zobo with Date Drink (12x) Total"/>
        <filter val="350ml Orisirisi Wallnut with Ginger Drink (12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8" t="s">
        <v>29</v>
      </c>
      <c r="I1" s="49">
        <f>countifs(B:B,"&lt;&gt;",F:F,"&lt;&gt;")-1</f>
        <v>0</v>
      </c>
      <c r="K1" s="50" t="s">
        <v>30</v>
      </c>
      <c r="L1" s="50" t="s">
        <v>31</v>
      </c>
      <c r="M1" s="50" t="s">
        <v>13</v>
      </c>
    </row>
    <row r="2">
      <c r="H2" s="48" t="s">
        <v>32</v>
      </c>
      <c r="I2" s="49">
        <f t="array" ref="I2">(COUNTA(UNIQUE(C:C))-1)</f>
        <v>0</v>
      </c>
      <c r="K2" s="50" t="str">
        <f>'Internal Summary'!B40</f>
        <v>350ml Orisirisi Wallnut with Ginger Drink (12x)</v>
      </c>
      <c r="L2" s="49">
        <f t="shared" ref="L2:L13" si="1">sumif(D:D,K2,E:E)</f>
        <v>0</v>
      </c>
      <c r="M2" s="49">
        <f t="shared" ref="M2:M13" si="2">sumif(D:D,K2,F:F)</f>
        <v>0</v>
      </c>
    </row>
    <row r="3">
      <c r="H3" s="48" t="s">
        <v>33</v>
      </c>
      <c r="I3" s="49">
        <f>sum(F:F)</f>
        <v>0</v>
      </c>
      <c r="K3" s="50" t="str">
        <f>'Internal Summary'!B41</f>
        <v>500ml Orisirisi Tiger Nut Drink (12x)</v>
      </c>
      <c r="L3" s="49">
        <f t="shared" si="1"/>
        <v>0</v>
      </c>
      <c r="M3" s="49">
        <f t="shared" si="2"/>
        <v>0</v>
      </c>
    </row>
    <row r="4">
      <c r="H4" s="1"/>
      <c r="K4" s="50" t="str">
        <f>'Internal Summary'!B42</f>
        <v>500ml Orisirisi Zobo with Date Drink (12x)</v>
      </c>
      <c r="L4" s="49">
        <f t="shared" si="1"/>
        <v>0</v>
      </c>
      <c r="M4" s="49">
        <f t="shared" si="2"/>
        <v>0</v>
      </c>
    </row>
    <row r="5">
      <c r="H5" s="1"/>
      <c r="K5" s="50" t="str">
        <f>'Internal Summary'!B43</f>
        <v>350ml Orisirisi Wallnut Drink (12x)</v>
      </c>
      <c r="L5" s="49">
        <f t="shared" si="1"/>
        <v>0</v>
      </c>
      <c r="M5" s="49">
        <f t="shared" si="2"/>
        <v>0</v>
      </c>
    </row>
    <row r="6">
      <c r="K6" s="50" t="str">
        <f>'Internal Summary'!B44</f>
        <v>500ml Orisirisi Zobo Drink (12x)</v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8" t="s">
        <v>29</v>
      </c>
      <c r="I1" s="49">
        <f>countifs(B:B,"&lt;&gt;",F:F,"&lt;&gt;")-1</f>
        <v>0</v>
      </c>
      <c r="K1" s="50" t="s">
        <v>30</v>
      </c>
      <c r="L1" s="50" t="s">
        <v>41</v>
      </c>
      <c r="M1" s="50" t="s">
        <v>13</v>
      </c>
    </row>
    <row r="2">
      <c r="H2" s="48" t="s">
        <v>32</v>
      </c>
      <c r="I2" s="49">
        <f t="array" ref="I2">(COUNTA(UNIQUE(C:C))-1)</f>
        <v>0</v>
      </c>
      <c r="K2" s="50" t="str">
        <f>'Internal Summary'!B40</f>
        <v>350ml Orisirisi Wallnut with Ginger Drink (12x)</v>
      </c>
      <c r="L2" s="49">
        <f t="shared" ref="L2:L13" si="1">sumif(D:D,K2,E:E)</f>
        <v>0</v>
      </c>
      <c r="M2" s="18">
        <f t="shared" ref="M2:M13" si="2">sumif(D:D,K2,F:F)</f>
        <v>0</v>
      </c>
    </row>
    <row r="3">
      <c r="H3" s="48" t="s">
        <v>33</v>
      </c>
      <c r="I3" s="49">
        <f>sum(F:F)</f>
        <v>0</v>
      </c>
      <c r="K3" s="50" t="str">
        <f>'Internal Summary'!B41</f>
        <v>500ml Orisirisi Tiger Nut Drink (12x)</v>
      </c>
      <c r="L3" s="49">
        <f t="shared" si="1"/>
        <v>0</v>
      </c>
      <c r="M3" s="18">
        <f t="shared" si="2"/>
        <v>0</v>
      </c>
    </row>
    <row r="4">
      <c r="H4" s="1"/>
      <c r="K4" s="50" t="str">
        <f>'Internal Summary'!B42</f>
        <v>500ml Orisirisi Zobo with Date Drink (12x)</v>
      </c>
      <c r="L4" s="49">
        <f t="shared" si="1"/>
        <v>0</v>
      </c>
      <c r="M4" s="18">
        <f t="shared" si="2"/>
        <v>0</v>
      </c>
    </row>
    <row r="5">
      <c r="H5" s="1"/>
      <c r="K5" s="50" t="str">
        <f>'Internal Summary'!B43</f>
        <v>350ml Orisirisi Wallnut Drink (12x)</v>
      </c>
      <c r="L5" s="49">
        <f t="shared" si="1"/>
        <v>0</v>
      </c>
      <c r="M5" s="18">
        <f t="shared" si="2"/>
        <v>0</v>
      </c>
    </row>
    <row r="6">
      <c r="K6" s="50" t="str">
        <f>'Internal Summary'!B44</f>
        <v>500ml Orisirisi Zobo Drink (12x)</v>
      </c>
      <c r="L6" s="49">
        <f t="shared" si="1"/>
        <v>0</v>
      </c>
      <c r="M6" s="18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18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18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18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18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18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18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8" t="s">
        <v>29</v>
      </c>
      <c r="I1" s="49">
        <f>countifs(B:B,"&lt;&gt;",F:F,"&lt;&gt;")-1</f>
        <v>0</v>
      </c>
      <c r="K1" s="50" t="s">
        <v>30</v>
      </c>
      <c r="L1" s="50" t="s">
        <v>31</v>
      </c>
    </row>
    <row r="2">
      <c r="H2" s="48" t="s">
        <v>32</v>
      </c>
      <c r="I2" s="49">
        <f t="array" ref="I2">(COUNTA(UNIQUE(C:C,,0))-1)</f>
        <v>0</v>
      </c>
      <c r="K2" s="50" t="str">
        <f>'Internal Summary'!B40</f>
        <v>350ml Orisirisi Wallnut with Ginger Drink (12x)</v>
      </c>
      <c r="L2" s="49">
        <f t="shared" ref="L2:L13" si="1">sumif(D:D,K2,E:E)</f>
        <v>0</v>
      </c>
    </row>
    <row r="3">
      <c r="H3" s="48" t="s">
        <v>33</v>
      </c>
      <c r="I3" s="49">
        <f>sum(F:F)</f>
        <v>0</v>
      </c>
      <c r="K3" s="50" t="str">
        <f>'Internal Summary'!B41</f>
        <v>500ml Orisirisi Tiger Nut Drink (12x)</v>
      </c>
      <c r="L3" s="49">
        <f t="shared" si="1"/>
        <v>0</v>
      </c>
    </row>
    <row r="4">
      <c r="H4" s="1"/>
      <c r="K4" s="50" t="str">
        <f>'Internal Summary'!B42</f>
        <v>500ml Orisirisi Zobo with Date Drink (12x)</v>
      </c>
      <c r="L4" s="49">
        <f t="shared" si="1"/>
        <v>0</v>
      </c>
    </row>
    <row r="5">
      <c r="H5" s="1"/>
      <c r="K5" s="50" t="str">
        <f>'Internal Summary'!B43</f>
        <v>350ml Orisirisi Wallnut Drink (12x)</v>
      </c>
      <c r="L5" s="49">
        <f t="shared" si="1"/>
        <v>0</v>
      </c>
    </row>
    <row r="6">
      <c r="K6" s="50" t="str">
        <f>'Internal Summary'!B44</f>
        <v>500ml Orisirisi Zobo Drink (12x)</v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  <row r="132" ht="14.25" customHeight="1"/>
    <row r="138">
      <c r="A138" s="5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8" t="s">
        <v>29</v>
      </c>
      <c r="I1" s="49">
        <f>countifs(B:B,"&lt;&gt;",F:F,"&lt;&gt;")-1</f>
        <v>0</v>
      </c>
      <c r="K1" s="50" t="s">
        <v>30</v>
      </c>
      <c r="L1" s="50" t="s">
        <v>31</v>
      </c>
    </row>
    <row r="2">
      <c r="H2" s="48" t="s">
        <v>32</v>
      </c>
      <c r="I2" s="49">
        <f t="array" ref="I2">(COUNTA(UNIQUE(C:C,,0))-1)</f>
        <v>0</v>
      </c>
      <c r="K2" s="50" t="str">
        <f>'Internal Summary'!B40</f>
        <v>350ml Orisirisi Wallnut with Ginger Drink (12x)</v>
      </c>
      <c r="L2" s="49">
        <f t="shared" ref="L2:L13" si="1">sumif(D:D,K2,E:E)</f>
        <v>0</v>
      </c>
    </row>
    <row r="3">
      <c r="H3" s="48" t="s">
        <v>33</v>
      </c>
      <c r="I3" s="49">
        <f>sum(F:F)</f>
        <v>0</v>
      </c>
      <c r="K3" s="50" t="str">
        <f>'Internal Summary'!B41</f>
        <v>500ml Orisirisi Tiger Nut Drink (12x)</v>
      </c>
      <c r="L3" s="49">
        <f t="shared" si="1"/>
        <v>0</v>
      </c>
    </row>
    <row r="4">
      <c r="H4" s="1"/>
      <c r="K4" s="50" t="str">
        <f>'Internal Summary'!B42</f>
        <v>500ml Orisirisi Zobo with Date Drink (12x)</v>
      </c>
      <c r="L4" s="49">
        <f t="shared" si="1"/>
        <v>0</v>
      </c>
    </row>
    <row r="5">
      <c r="H5" s="1"/>
      <c r="K5" s="50" t="str">
        <f>'Internal Summary'!B43</f>
        <v>350ml Orisirisi Wallnut Drink (12x)</v>
      </c>
      <c r="L5" s="49">
        <f t="shared" si="1"/>
        <v>0</v>
      </c>
    </row>
    <row r="6">
      <c r="K6" s="50" t="str">
        <f>'Internal Summary'!B44</f>
        <v>500ml Orisirisi Zobo Drink (12x)</v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3"/>
      <c r="B1" s="48" t="s">
        <v>42</v>
      </c>
      <c r="C1" s="48" t="s">
        <v>31</v>
      </c>
      <c r="D1" s="48" t="s">
        <v>43</v>
      </c>
      <c r="E1" s="48" t="s">
        <v>44</v>
      </c>
      <c r="F1" s="54"/>
    </row>
    <row r="2">
      <c r="A2" s="55" t="s">
        <v>45</v>
      </c>
      <c r="B2" s="56" t="s">
        <v>29</v>
      </c>
      <c r="C2" s="57"/>
      <c r="D2" s="57"/>
      <c r="E2" s="58">
        <f>'Dala Sales &amp; Deliveries'!I1+'External Delivery Fulfillment'!I1</f>
        <v>4</v>
      </c>
      <c r="F2" s="54"/>
    </row>
    <row r="3">
      <c r="A3" s="59"/>
      <c r="B3" s="56" t="s">
        <v>46</v>
      </c>
      <c r="C3" s="57"/>
      <c r="D3" s="57"/>
      <c r="E3" s="56">
        <f>'Raw Data'!AW2</f>
        <v>3</v>
      </c>
      <c r="F3" s="54"/>
    </row>
    <row r="4">
      <c r="B4" s="60" t="s">
        <v>47</v>
      </c>
      <c r="C4" s="54"/>
      <c r="D4" s="54"/>
      <c r="E4" s="61">
        <f>'Dala Sales &amp; Deliveries'!I3</f>
        <v>82800</v>
      </c>
      <c r="F4" s="54"/>
    </row>
    <row r="5">
      <c r="B5" s="60" t="s">
        <v>48</v>
      </c>
      <c r="C5" s="54"/>
      <c r="D5" s="54"/>
      <c r="E5" s="61">
        <f>'External Delivery Fulfillment'!I3</f>
        <v>0</v>
      </c>
      <c r="F5" s="54"/>
    </row>
    <row r="6">
      <c r="A6" s="62"/>
      <c r="B6" s="63" t="s">
        <v>49</v>
      </c>
      <c r="C6" s="64"/>
      <c r="D6" s="65"/>
      <c r="E6" s="66">
        <v>0.0</v>
      </c>
      <c r="F6" s="54"/>
    </row>
    <row r="7">
      <c r="A7" s="67"/>
      <c r="B7" s="68" t="s">
        <v>50</v>
      </c>
      <c r="C7" s="69"/>
      <c r="D7" s="70"/>
      <c r="E7" s="71">
        <f>sum(E4:E6)</f>
        <v>82800</v>
      </c>
      <c r="F7" s="54"/>
    </row>
    <row r="8">
      <c r="A8" s="55" t="s">
        <v>51</v>
      </c>
      <c r="B8" s="56" t="s">
        <v>52</v>
      </c>
      <c r="C8" s="57"/>
      <c r="D8" s="72"/>
      <c r="E8" s="73"/>
    </row>
    <row r="9">
      <c r="A9" s="67"/>
      <c r="B9" s="68" t="s">
        <v>53</v>
      </c>
      <c r="C9" s="74">
        <v>0.1</v>
      </c>
      <c r="D9" s="70"/>
      <c r="E9" s="71">
        <f>E8*(C9+100%)-E8</f>
        <v>0</v>
      </c>
      <c r="K9" s="7"/>
      <c r="L9" s="7"/>
      <c r="M9" s="7"/>
    </row>
    <row r="10">
      <c r="A10" s="75" t="s">
        <v>54</v>
      </c>
      <c r="B10" s="68" t="s">
        <v>55</v>
      </c>
      <c r="C10" s="69"/>
      <c r="D10" s="70"/>
      <c r="E10" s="71">
        <f>E7-E8-E9</f>
        <v>82800</v>
      </c>
    </row>
    <row r="11">
      <c r="A11" s="55" t="s">
        <v>56</v>
      </c>
      <c r="B11" s="56" t="s">
        <v>57</v>
      </c>
      <c r="C11" s="76">
        <v>1.0</v>
      </c>
      <c r="D11" s="77">
        <v>0.0</v>
      </c>
      <c r="E11" s="77">
        <f>C11*D11</f>
        <v>0</v>
      </c>
    </row>
    <row r="12">
      <c r="A12" s="59"/>
      <c r="B12" s="56" t="s">
        <v>53</v>
      </c>
      <c r="C12" s="78"/>
      <c r="D12" s="72"/>
      <c r="E12" s="77">
        <f>E10*C9</f>
        <v>8280</v>
      </c>
    </row>
    <row r="13">
      <c r="A13" s="59"/>
      <c r="B13" s="63" t="s">
        <v>58</v>
      </c>
      <c r="C13" s="57"/>
      <c r="D13" s="79" t="s">
        <v>59</v>
      </c>
      <c r="E13" s="77">
        <f>E10*3%</f>
        <v>2484</v>
      </c>
    </row>
    <row r="14">
      <c r="A14" s="59"/>
      <c r="B14" s="56" t="s">
        <v>60</v>
      </c>
      <c r="C14" s="72"/>
      <c r="D14" s="72"/>
      <c r="E14" s="80">
        <v>0.0</v>
      </c>
    </row>
    <row r="15">
      <c r="A15" s="59"/>
      <c r="B15" s="56" t="s">
        <v>61</v>
      </c>
      <c r="C15" s="72"/>
      <c r="D15" s="72"/>
      <c r="E15" s="77">
        <f>C30</f>
        <v>0</v>
      </c>
    </row>
    <row r="16">
      <c r="A16" s="67"/>
      <c r="B16" s="68" t="s">
        <v>62</v>
      </c>
      <c r="C16" s="70"/>
      <c r="D16" s="70"/>
      <c r="E16" s="71">
        <f>sum(E11:E15)</f>
        <v>10764</v>
      </c>
      <c r="H16" s="1"/>
      <c r="I16" s="1"/>
    </row>
    <row r="17">
      <c r="A17" s="75" t="s">
        <v>63</v>
      </c>
      <c r="B17" s="68" t="s">
        <v>64</v>
      </c>
      <c r="C17" s="70"/>
      <c r="D17" s="70"/>
      <c r="E17" s="71">
        <f>E10-E16+C36</f>
        <v>72036</v>
      </c>
      <c r="H17" s="1"/>
      <c r="I17" s="66"/>
      <c r="J17" s="81"/>
      <c r="K17" s="81"/>
      <c r="L17" s="81"/>
      <c r="M17" s="81"/>
      <c r="N17" s="81"/>
    </row>
    <row r="18">
      <c r="A18" s="65"/>
      <c r="B18" s="65"/>
      <c r="C18" s="65"/>
      <c r="D18" s="65"/>
      <c r="E18" s="65"/>
      <c r="H18" s="1"/>
      <c r="I18" s="1"/>
      <c r="J18" s="81"/>
      <c r="K18" s="81"/>
      <c r="L18" s="81"/>
      <c r="M18" s="81"/>
      <c r="N18" s="81"/>
    </row>
    <row r="19">
      <c r="A19" s="1"/>
      <c r="B19" s="65"/>
      <c r="C19" s="65"/>
      <c r="D19" s="65"/>
      <c r="E19" s="65"/>
      <c r="H19" s="1"/>
      <c r="I19" s="1"/>
      <c r="J19" s="81"/>
      <c r="K19" s="81"/>
      <c r="L19" s="81"/>
      <c r="M19" s="81"/>
      <c r="N19" s="81"/>
    </row>
    <row r="20">
      <c r="A20" s="1" t="s">
        <v>65</v>
      </c>
      <c r="B20" s="65"/>
      <c r="C20" s="65"/>
      <c r="D20" s="65"/>
      <c r="E20" s="65"/>
      <c r="H20" s="1"/>
      <c r="I20" s="1"/>
      <c r="J20" s="81"/>
      <c r="K20" s="81"/>
      <c r="L20" s="81"/>
      <c r="M20" s="81"/>
      <c r="N20" s="81"/>
    </row>
    <row r="21">
      <c r="A21" s="65"/>
      <c r="B21" s="48" t="s">
        <v>66</v>
      </c>
      <c r="C21" s="82">
        <f>U69</f>
        <v>0</v>
      </c>
      <c r="H21" s="1"/>
      <c r="I21" s="1"/>
      <c r="J21" s="83"/>
      <c r="K21" s="83"/>
      <c r="L21" s="84"/>
      <c r="M21" s="81"/>
      <c r="N21" s="81"/>
    </row>
    <row r="22">
      <c r="A22" s="65"/>
      <c r="B22" s="48" t="s">
        <v>67</v>
      </c>
      <c r="C22" s="82">
        <f>V69</f>
        <v>0</v>
      </c>
      <c r="H22" s="1"/>
      <c r="I22" s="1"/>
      <c r="J22" s="83"/>
      <c r="K22" s="83"/>
      <c r="L22" s="84"/>
      <c r="M22" s="81"/>
      <c r="N22" s="81"/>
    </row>
    <row r="23">
      <c r="A23" s="65"/>
      <c r="B23" s="48" t="s">
        <v>68</v>
      </c>
      <c r="C23" s="82">
        <f>S69</f>
        <v>0</v>
      </c>
      <c r="H23" s="1"/>
      <c r="I23" s="1"/>
      <c r="J23" s="83"/>
      <c r="K23" s="83"/>
      <c r="L23" s="84"/>
      <c r="M23" s="81"/>
      <c r="N23" s="81"/>
    </row>
    <row r="24">
      <c r="A24" s="65"/>
      <c r="B24" s="48" t="s">
        <v>69</v>
      </c>
      <c r="C24" s="82">
        <f>T69</f>
        <v>0</v>
      </c>
      <c r="H24" s="1"/>
      <c r="I24" s="66"/>
      <c r="J24" s="83"/>
      <c r="K24" s="83"/>
      <c r="L24" s="84"/>
      <c r="M24" s="81"/>
      <c r="N24" s="81"/>
    </row>
    <row r="25">
      <c r="A25" s="65"/>
      <c r="B25" s="48" t="s">
        <v>70</v>
      </c>
      <c r="C25" s="82">
        <f>67</f>
        <v>67</v>
      </c>
      <c r="H25" s="1"/>
      <c r="I25" s="1"/>
    </row>
    <row r="26">
      <c r="A26" s="65"/>
      <c r="B26" s="48" t="s">
        <v>71</v>
      </c>
      <c r="C26" s="85">
        <f>P69</f>
        <v>0</v>
      </c>
      <c r="H26" s="1"/>
      <c r="I26" s="1"/>
    </row>
    <row r="27">
      <c r="A27" s="65"/>
      <c r="B27" s="48" t="s">
        <v>72</v>
      </c>
      <c r="C27" s="49">
        <f>Q69</f>
        <v>0</v>
      </c>
      <c r="H27" s="1"/>
      <c r="I27" s="1"/>
    </row>
    <row r="28">
      <c r="A28" s="65"/>
      <c r="B28" s="48" t="s">
        <v>73</v>
      </c>
      <c r="C28" s="49">
        <f>R69</f>
        <v>0</v>
      </c>
      <c r="H28" s="1"/>
      <c r="I28" s="1"/>
    </row>
    <row r="29">
      <c r="A29" s="65"/>
      <c r="B29" s="48" t="s">
        <v>74</v>
      </c>
      <c r="C29" s="82">
        <f>F69</f>
        <v>0</v>
      </c>
      <c r="D29" s="65"/>
      <c r="H29" s="1"/>
      <c r="I29" s="1"/>
    </row>
    <row r="30">
      <c r="A30" s="65"/>
      <c r="B30" s="48" t="s">
        <v>75</v>
      </c>
      <c r="C30" s="82">
        <f>G69</f>
        <v>0</v>
      </c>
      <c r="D30" s="65"/>
      <c r="H30" s="1"/>
      <c r="I30" s="1"/>
    </row>
    <row r="31">
      <c r="A31" s="65"/>
      <c r="B31" s="48" t="s">
        <v>76</v>
      </c>
      <c r="C31" s="82">
        <f>I69</f>
        <v>0</v>
      </c>
      <c r="D31" s="65"/>
      <c r="H31" s="1"/>
      <c r="I31" s="1"/>
    </row>
    <row r="32">
      <c r="A32" s="65"/>
      <c r="B32" s="48" t="s">
        <v>77</v>
      </c>
      <c r="C32" s="82">
        <f>J69</f>
        <v>0</v>
      </c>
      <c r="D32" s="65"/>
      <c r="H32" s="1"/>
      <c r="I32" s="1"/>
    </row>
    <row r="33">
      <c r="B33" s="48" t="s">
        <v>78</v>
      </c>
      <c r="C33" s="82">
        <v>0.0</v>
      </c>
    </row>
    <row r="34">
      <c r="B34" s="48" t="s">
        <v>79</v>
      </c>
      <c r="C34" s="49">
        <f>K69</f>
        <v>0</v>
      </c>
    </row>
    <row r="35">
      <c r="B35" s="48" t="s">
        <v>80</v>
      </c>
      <c r="C35" s="82">
        <v>0.0</v>
      </c>
    </row>
    <row r="36">
      <c r="B36" s="48" t="s">
        <v>81</v>
      </c>
      <c r="C36" s="8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8" t="s">
        <v>82</v>
      </c>
      <c r="C39" s="48" t="s">
        <v>83</v>
      </c>
      <c r="D39" s="48" t="s">
        <v>84</v>
      </c>
      <c r="E39" s="48" t="s">
        <v>85</v>
      </c>
      <c r="F39" s="50" t="s">
        <v>86</v>
      </c>
      <c r="G39" s="50" t="s">
        <v>87</v>
      </c>
      <c r="H39" s="50" t="s">
        <v>88</v>
      </c>
      <c r="I39" s="50" t="s">
        <v>89</v>
      </c>
      <c r="J39" s="50" t="s">
        <v>90</v>
      </c>
      <c r="K39" s="50" t="s">
        <v>91</v>
      </c>
      <c r="L39" s="50" t="s">
        <v>78</v>
      </c>
      <c r="M39" s="50" t="s">
        <v>80</v>
      </c>
      <c r="N39" s="50" t="s">
        <v>92</v>
      </c>
      <c r="O39" s="50" t="s">
        <v>93</v>
      </c>
      <c r="P39" s="50" t="s">
        <v>94</v>
      </c>
      <c r="Q39" s="50" t="s">
        <v>95</v>
      </c>
      <c r="R39" s="50" t="s">
        <v>96</v>
      </c>
      <c r="S39" s="50" t="s">
        <v>97</v>
      </c>
      <c r="T39" s="50" t="s">
        <v>69</v>
      </c>
      <c r="U39" s="50" t="s">
        <v>98</v>
      </c>
      <c r="V39" s="50" t="s">
        <v>99</v>
      </c>
      <c r="W39" s="50" t="s">
        <v>100</v>
      </c>
    </row>
    <row r="40">
      <c r="B40" s="86" t="s">
        <v>19</v>
      </c>
      <c r="C40" s="87"/>
      <c r="D40" s="88"/>
      <c r="E40" s="87"/>
      <c r="F40" s="88"/>
      <c r="G40" s="18">
        <f t="shared" ref="G40:G68" si="1">F40*C40</f>
        <v>0</v>
      </c>
      <c r="H40" s="88"/>
      <c r="I40" s="88"/>
      <c r="J40" s="88"/>
      <c r="K40" s="88"/>
      <c r="L40" s="85">
        <f t="shared" ref="L40:L68" si="2">H40+U40+W40-O40-Q40-I40-J40</f>
        <v>-0.5</v>
      </c>
      <c r="M40" s="49">
        <f t="shared" ref="M40:M68" si="3">K40-L40</f>
        <v>0.5</v>
      </c>
      <c r="N40" s="18">
        <f t="shared" ref="N40:N68" si="4">M40*C40</f>
        <v>0</v>
      </c>
      <c r="O40" s="49">
        <f>'Dala Sales &amp; Deliveries'!L2</f>
        <v>0.5</v>
      </c>
      <c r="P40" s="18">
        <f t="shared" ref="P40:P68" si="5">O40*E40</f>
        <v>0</v>
      </c>
      <c r="Q40" s="49">
        <f>'External Delivery Fulfillment'!L2</f>
        <v>0</v>
      </c>
      <c r="R40" s="18">
        <f t="shared" ref="R40:R68" si="6">Q40*E40</f>
        <v>0</v>
      </c>
      <c r="S40" s="49">
        <f>'Forwarding From Client'!L2</f>
        <v>0</v>
      </c>
      <c r="T40" s="18">
        <f t="shared" ref="T40:T68" si="7">S40*E40</f>
        <v>0</v>
      </c>
      <c r="U40" s="49">
        <f>'Dala Restocking'!L2</f>
        <v>0</v>
      </c>
      <c r="V40" s="18">
        <f t="shared" ref="V40:V68" si="8">U40*D40</f>
        <v>0</v>
      </c>
      <c r="W40" s="49">
        <f>'Client Restocking'!L2</f>
        <v>0</v>
      </c>
    </row>
    <row r="41">
      <c r="B41" s="86" t="s">
        <v>22</v>
      </c>
      <c r="C41" s="87"/>
      <c r="D41" s="88"/>
      <c r="E41" s="87"/>
      <c r="F41" s="89"/>
      <c r="G41" s="18">
        <f t="shared" si="1"/>
        <v>0</v>
      </c>
      <c r="H41" s="88"/>
      <c r="I41" s="88"/>
      <c r="J41" s="89"/>
      <c r="K41" s="88"/>
      <c r="L41" s="85">
        <f t="shared" si="2"/>
        <v>-1</v>
      </c>
      <c r="M41" s="49">
        <f t="shared" si="3"/>
        <v>1</v>
      </c>
      <c r="N41" s="18">
        <f t="shared" si="4"/>
        <v>0</v>
      </c>
      <c r="O41" s="49">
        <f>'Dala Sales &amp; Deliveries'!L3</f>
        <v>1</v>
      </c>
      <c r="P41" s="18">
        <f t="shared" si="5"/>
        <v>0</v>
      </c>
      <c r="Q41" s="49">
        <f>'External Delivery Fulfillment'!L3</f>
        <v>0</v>
      </c>
      <c r="R41" s="18">
        <f t="shared" si="6"/>
        <v>0</v>
      </c>
      <c r="S41" s="49">
        <f>'Forwarding From Client'!L3</f>
        <v>0</v>
      </c>
      <c r="T41" s="18">
        <f t="shared" si="7"/>
        <v>0</v>
      </c>
      <c r="U41" s="49">
        <f>'Dala Restocking'!L3</f>
        <v>0</v>
      </c>
      <c r="V41" s="18">
        <f t="shared" si="8"/>
        <v>0</v>
      </c>
      <c r="W41" s="49">
        <f>'Client Restocking'!L3</f>
        <v>0</v>
      </c>
    </row>
    <row r="42">
      <c r="B42" s="86" t="s">
        <v>25</v>
      </c>
      <c r="C42" s="87"/>
      <c r="D42" s="88"/>
      <c r="E42" s="87"/>
      <c r="F42" s="89"/>
      <c r="G42" s="18">
        <f t="shared" si="1"/>
        <v>0</v>
      </c>
      <c r="H42" s="88"/>
      <c r="I42" s="88"/>
      <c r="J42" s="89"/>
      <c r="K42" s="88"/>
      <c r="L42" s="85">
        <f t="shared" si="2"/>
        <v>-1</v>
      </c>
      <c r="M42" s="49">
        <f t="shared" si="3"/>
        <v>1</v>
      </c>
      <c r="N42" s="18">
        <f t="shared" si="4"/>
        <v>0</v>
      </c>
      <c r="O42" s="49">
        <f>'Dala Sales &amp; Deliveries'!L4</f>
        <v>1</v>
      </c>
      <c r="P42" s="18">
        <f t="shared" si="5"/>
        <v>0</v>
      </c>
      <c r="Q42" s="49">
        <f>'External Delivery Fulfillment'!L4</f>
        <v>0</v>
      </c>
      <c r="R42" s="18">
        <f t="shared" si="6"/>
        <v>0</v>
      </c>
      <c r="S42" s="49">
        <f>'Forwarding From Client'!L4</f>
        <v>0</v>
      </c>
      <c r="T42" s="18">
        <f t="shared" si="7"/>
        <v>0</v>
      </c>
      <c r="U42" s="49">
        <f>'Dala Restocking'!L4</f>
        <v>0</v>
      </c>
      <c r="V42" s="18">
        <f t="shared" si="8"/>
        <v>0</v>
      </c>
      <c r="W42" s="49">
        <f>'Client Restocking'!L4</f>
        <v>0</v>
      </c>
    </row>
    <row r="43">
      <c r="B43" s="90" t="s">
        <v>15</v>
      </c>
      <c r="C43" s="87"/>
      <c r="D43" s="88"/>
      <c r="E43" s="87"/>
      <c r="F43" s="89"/>
      <c r="G43" s="18">
        <f t="shared" si="1"/>
        <v>0</v>
      </c>
      <c r="H43" s="88"/>
      <c r="I43" s="88"/>
      <c r="J43" s="89"/>
      <c r="K43" s="89"/>
      <c r="L43" s="85">
        <f t="shared" si="2"/>
        <v>-1</v>
      </c>
      <c r="M43" s="49">
        <f t="shared" si="3"/>
        <v>1</v>
      </c>
      <c r="N43" s="18">
        <f t="shared" si="4"/>
        <v>0</v>
      </c>
      <c r="O43" s="49">
        <f>'Dala Sales &amp; Deliveries'!L5</f>
        <v>1</v>
      </c>
      <c r="P43" s="18">
        <f t="shared" si="5"/>
        <v>0</v>
      </c>
      <c r="Q43" s="49">
        <f>'External Delivery Fulfillment'!L5</f>
        <v>0</v>
      </c>
      <c r="R43" s="18">
        <f t="shared" si="6"/>
        <v>0</v>
      </c>
      <c r="S43" s="49">
        <f>'Forwarding From Client'!L5</f>
        <v>0</v>
      </c>
      <c r="T43" s="18">
        <f t="shared" si="7"/>
        <v>0</v>
      </c>
      <c r="U43" s="49">
        <f>'Dala Restocking'!L5</f>
        <v>0</v>
      </c>
      <c r="V43" s="18">
        <f t="shared" si="8"/>
        <v>0</v>
      </c>
      <c r="W43" s="49">
        <f>'Client Restocking'!L5</f>
        <v>0</v>
      </c>
    </row>
    <row r="44">
      <c r="B44" s="90" t="s">
        <v>101</v>
      </c>
      <c r="C44" s="87"/>
      <c r="D44" s="88"/>
      <c r="E44" s="87"/>
      <c r="F44" s="89"/>
      <c r="G44" s="18">
        <f t="shared" si="1"/>
        <v>0</v>
      </c>
      <c r="H44" s="88"/>
      <c r="I44" s="88"/>
      <c r="J44" s="89"/>
      <c r="K44" s="89"/>
      <c r="L44" s="85">
        <f t="shared" si="2"/>
        <v>0</v>
      </c>
      <c r="M44" s="49">
        <f t="shared" si="3"/>
        <v>0</v>
      </c>
      <c r="N44" s="18">
        <f t="shared" si="4"/>
        <v>0</v>
      </c>
      <c r="O44" s="49">
        <f>'Dala Sales &amp; Deliveries'!L6</f>
        <v>0</v>
      </c>
      <c r="P44" s="18">
        <f t="shared" si="5"/>
        <v>0</v>
      </c>
      <c r="Q44" s="49">
        <f>'External Delivery Fulfillment'!L6</f>
        <v>0</v>
      </c>
      <c r="R44" s="18">
        <f t="shared" si="6"/>
        <v>0</v>
      </c>
      <c r="S44" s="49">
        <f>'Forwarding From Client'!L6</f>
        <v>0</v>
      </c>
      <c r="T44" s="18">
        <f t="shared" si="7"/>
        <v>0</v>
      </c>
      <c r="U44" s="49">
        <f>'Dala Restocking'!L6</f>
        <v>0</v>
      </c>
      <c r="V44" s="18">
        <f t="shared" si="8"/>
        <v>0</v>
      </c>
      <c r="W44" s="49">
        <f>'Client Restocking'!L6</f>
        <v>0</v>
      </c>
    </row>
    <row r="45">
      <c r="B45" s="88"/>
      <c r="C45" s="87"/>
      <c r="D45" s="88"/>
      <c r="E45" s="87"/>
      <c r="F45" s="89"/>
      <c r="G45" s="18">
        <f t="shared" si="1"/>
        <v>0</v>
      </c>
      <c r="H45" s="89"/>
      <c r="I45" s="89"/>
      <c r="J45" s="89"/>
      <c r="K45" s="89"/>
      <c r="L45" s="85">
        <f t="shared" si="2"/>
        <v>0</v>
      </c>
      <c r="M45" s="49">
        <f t="shared" si="3"/>
        <v>0</v>
      </c>
      <c r="N45" s="18">
        <f t="shared" si="4"/>
        <v>0</v>
      </c>
      <c r="O45" s="49">
        <f>'Dala Sales &amp; Deliveries'!L7</f>
        <v>0</v>
      </c>
      <c r="P45" s="18">
        <f t="shared" si="5"/>
        <v>0</v>
      </c>
      <c r="Q45" s="49">
        <f>'External Delivery Fulfillment'!L7</f>
        <v>0</v>
      </c>
      <c r="R45" s="18">
        <f t="shared" si="6"/>
        <v>0</v>
      </c>
      <c r="S45" s="49">
        <f>'Forwarding From Client'!L7</f>
        <v>0</v>
      </c>
      <c r="T45" s="18">
        <f t="shared" si="7"/>
        <v>0</v>
      </c>
      <c r="U45" s="49">
        <f>'Dala Restocking'!L7</f>
        <v>0</v>
      </c>
      <c r="V45" s="18">
        <f t="shared" si="8"/>
        <v>0</v>
      </c>
      <c r="W45" s="49">
        <f>'Client Restocking'!L7</f>
        <v>0</v>
      </c>
    </row>
    <row r="46">
      <c r="B46" s="88"/>
      <c r="C46" s="87"/>
      <c r="D46" s="88"/>
      <c r="E46" s="87"/>
      <c r="F46" s="89"/>
      <c r="G46" s="18">
        <f t="shared" si="1"/>
        <v>0</v>
      </c>
      <c r="H46" s="89"/>
      <c r="I46" s="89"/>
      <c r="J46" s="89"/>
      <c r="K46" s="89"/>
      <c r="L46" s="85">
        <f t="shared" si="2"/>
        <v>0</v>
      </c>
      <c r="M46" s="49">
        <f t="shared" si="3"/>
        <v>0</v>
      </c>
      <c r="N46" s="18">
        <f t="shared" si="4"/>
        <v>0</v>
      </c>
      <c r="O46" s="49">
        <f>'Dala Sales &amp; Deliveries'!L8</f>
        <v>0</v>
      </c>
      <c r="P46" s="18">
        <f t="shared" si="5"/>
        <v>0</v>
      </c>
      <c r="Q46" s="49">
        <f>'External Delivery Fulfillment'!L8</f>
        <v>0</v>
      </c>
      <c r="R46" s="18">
        <f t="shared" si="6"/>
        <v>0</v>
      </c>
      <c r="S46" s="49">
        <f>'Forwarding From Client'!L8</f>
        <v>0</v>
      </c>
      <c r="T46" s="18">
        <f t="shared" si="7"/>
        <v>0</v>
      </c>
      <c r="U46" s="49">
        <f>'Dala Restocking'!L8</f>
        <v>0</v>
      </c>
      <c r="V46" s="18">
        <f t="shared" si="8"/>
        <v>0</v>
      </c>
      <c r="W46" s="49">
        <f>'Client Restocking'!L8</f>
        <v>0</v>
      </c>
    </row>
    <row r="47">
      <c r="B47" s="88"/>
      <c r="C47" s="87"/>
      <c r="D47" s="88"/>
      <c r="E47" s="87"/>
      <c r="F47" s="89"/>
      <c r="G47" s="18">
        <f t="shared" si="1"/>
        <v>0</v>
      </c>
      <c r="H47" s="89"/>
      <c r="I47" s="89"/>
      <c r="J47" s="89"/>
      <c r="K47" s="89"/>
      <c r="L47" s="85">
        <f t="shared" si="2"/>
        <v>0</v>
      </c>
      <c r="M47" s="49">
        <f t="shared" si="3"/>
        <v>0</v>
      </c>
      <c r="N47" s="18">
        <f t="shared" si="4"/>
        <v>0</v>
      </c>
      <c r="O47" s="49">
        <f>'Dala Sales &amp; Deliveries'!L9</f>
        <v>0</v>
      </c>
      <c r="P47" s="18">
        <f t="shared" si="5"/>
        <v>0</v>
      </c>
      <c r="Q47" s="49">
        <f>'External Delivery Fulfillment'!L9</f>
        <v>0</v>
      </c>
      <c r="R47" s="18">
        <f t="shared" si="6"/>
        <v>0</v>
      </c>
      <c r="S47" s="49">
        <f>'Forwarding From Client'!L9</f>
        <v>0</v>
      </c>
      <c r="T47" s="18">
        <f t="shared" si="7"/>
        <v>0</v>
      </c>
      <c r="U47" s="49">
        <f>'Dala Restocking'!L9</f>
        <v>0</v>
      </c>
      <c r="V47" s="18">
        <f t="shared" si="8"/>
        <v>0</v>
      </c>
      <c r="W47" s="49">
        <f>'Client Restocking'!L9</f>
        <v>0</v>
      </c>
    </row>
    <row r="48">
      <c r="B48" s="88"/>
      <c r="C48" s="87"/>
      <c r="D48" s="88"/>
      <c r="E48" s="87"/>
      <c r="F48" s="89"/>
      <c r="G48" s="18">
        <f t="shared" si="1"/>
        <v>0</v>
      </c>
      <c r="H48" s="89"/>
      <c r="I48" s="89"/>
      <c r="J48" s="89"/>
      <c r="K48" s="89"/>
      <c r="L48" s="85">
        <f t="shared" si="2"/>
        <v>0</v>
      </c>
      <c r="M48" s="49">
        <f t="shared" si="3"/>
        <v>0</v>
      </c>
      <c r="N48" s="18">
        <f t="shared" si="4"/>
        <v>0</v>
      </c>
      <c r="O48" s="49">
        <f>'Dala Sales &amp; Deliveries'!L10</f>
        <v>0</v>
      </c>
      <c r="P48" s="18">
        <f t="shared" si="5"/>
        <v>0</v>
      </c>
      <c r="Q48" s="49">
        <f>'External Delivery Fulfillment'!L10</f>
        <v>0</v>
      </c>
      <c r="R48" s="18">
        <f t="shared" si="6"/>
        <v>0</v>
      </c>
      <c r="S48" s="49">
        <f>'Forwarding From Client'!L10</f>
        <v>0</v>
      </c>
      <c r="T48" s="18">
        <f t="shared" si="7"/>
        <v>0</v>
      </c>
      <c r="U48" s="49">
        <f>'Dala Restocking'!L10</f>
        <v>0</v>
      </c>
      <c r="V48" s="18">
        <f t="shared" si="8"/>
        <v>0</v>
      </c>
      <c r="W48" s="49">
        <f>'Client Restocking'!L10</f>
        <v>0</v>
      </c>
    </row>
    <row r="49">
      <c r="B49" s="88"/>
      <c r="C49" s="87"/>
      <c r="D49" s="88"/>
      <c r="E49" s="87"/>
      <c r="F49" s="89"/>
      <c r="G49" s="18">
        <f t="shared" si="1"/>
        <v>0</v>
      </c>
      <c r="H49" s="89"/>
      <c r="I49" s="89"/>
      <c r="J49" s="89"/>
      <c r="K49" s="89"/>
      <c r="L49" s="85">
        <f t="shared" si="2"/>
        <v>0</v>
      </c>
      <c r="M49" s="49">
        <f t="shared" si="3"/>
        <v>0</v>
      </c>
      <c r="N49" s="18">
        <f t="shared" si="4"/>
        <v>0</v>
      </c>
      <c r="O49" s="49">
        <f>'Dala Sales &amp; Deliveries'!L11</f>
        <v>0</v>
      </c>
      <c r="P49" s="18">
        <f t="shared" si="5"/>
        <v>0</v>
      </c>
      <c r="Q49" s="49">
        <f>'External Delivery Fulfillment'!L11</f>
        <v>0</v>
      </c>
      <c r="R49" s="18">
        <f t="shared" si="6"/>
        <v>0</v>
      </c>
      <c r="S49" s="49">
        <f>'Forwarding From Client'!L11</f>
        <v>0</v>
      </c>
      <c r="T49" s="18">
        <f t="shared" si="7"/>
        <v>0</v>
      </c>
      <c r="U49" s="49">
        <f>'Dala Restocking'!L11</f>
        <v>0</v>
      </c>
      <c r="V49" s="18">
        <f t="shared" si="8"/>
        <v>0</v>
      </c>
      <c r="W49" s="49">
        <f>'Client Restocking'!L11</f>
        <v>0</v>
      </c>
    </row>
    <row r="50">
      <c r="B50" s="88"/>
      <c r="C50" s="87"/>
      <c r="D50" s="88"/>
      <c r="E50" s="87"/>
      <c r="F50" s="89"/>
      <c r="G50" s="18">
        <f t="shared" si="1"/>
        <v>0</v>
      </c>
      <c r="H50" s="89"/>
      <c r="I50" s="89"/>
      <c r="J50" s="89"/>
      <c r="K50" s="89"/>
      <c r="L50" s="85">
        <f t="shared" si="2"/>
        <v>0</v>
      </c>
      <c r="M50" s="49">
        <f t="shared" si="3"/>
        <v>0</v>
      </c>
      <c r="N50" s="18">
        <f t="shared" si="4"/>
        <v>0</v>
      </c>
      <c r="O50" s="49">
        <f>'Dala Sales &amp; Deliveries'!L12</f>
        <v>0</v>
      </c>
      <c r="P50" s="18">
        <f t="shared" si="5"/>
        <v>0</v>
      </c>
      <c r="Q50" s="49">
        <f>'External Delivery Fulfillment'!L12</f>
        <v>0</v>
      </c>
      <c r="R50" s="18">
        <f t="shared" si="6"/>
        <v>0</v>
      </c>
      <c r="S50" s="49">
        <f>'Forwarding From Client'!L12</f>
        <v>0</v>
      </c>
      <c r="T50" s="18">
        <f t="shared" si="7"/>
        <v>0</v>
      </c>
      <c r="U50" s="49">
        <f>'Dala Restocking'!L12</f>
        <v>0</v>
      </c>
      <c r="V50" s="18">
        <f t="shared" si="8"/>
        <v>0</v>
      </c>
      <c r="W50" s="49">
        <f>'Client Restocking'!L12</f>
        <v>0</v>
      </c>
    </row>
    <row r="51">
      <c r="B51" s="88"/>
      <c r="C51" s="87"/>
      <c r="D51" s="88"/>
      <c r="E51" s="87"/>
      <c r="F51" s="89"/>
      <c r="G51" s="18">
        <f t="shared" si="1"/>
        <v>0</v>
      </c>
      <c r="H51" s="89"/>
      <c r="I51" s="89"/>
      <c r="J51" s="89"/>
      <c r="K51" s="89"/>
      <c r="L51" s="85">
        <f t="shared" si="2"/>
        <v>0</v>
      </c>
      <c r="M51" s="49">
        <f t="shared" si="3"/>
        <v>0</v>
      </c>
      <c r="N51" s="18">
        <f t="shared" si="4"/>
        <v>0</v>
      </c>
      <c r="O51" s="49">
        <f>'Dala Sales &amp; Deliveries'!L13</f>
        <v>0</v>
      </c>
      <c r="P51" s="18">
        <f t="shared" si="5"/>
        <v>0</v>
      </c>
      <c r="Q51" s="49">
        <f>'External Delivery Fulfillment'!L13</f>
        <v>0</v>
      </c>
      <c r="R51" s="18">
        <f t="shared" si="6"/>
        <v>0</v>
      </c>
      <c r="S51" s="49">
        <f>'Forwarding From Client'!L13</f>
        <v>0</v>
      </c>
      <c r="T51" s="18">
        <f t="shared" si="7"/>
        <v>0</v>
      </c>
      <c r="U51" s="49">
        <f>'Dala Restocking'!L13</f>
        <v>0</v>
      </c>
      <c r="V51" s="18">
        <f t="shared" si="8"/>
        <v>0</v>
      </c>
      <c r="W51" s="49">
        <f>'Client Restocking'!L13</f>
        <v>0</v>
      </c>
    </row>
    <row r="52">
      <c r="B52" s="89"/>
      <c r="C52" s="89"/>
      <c r="D52" s="89"/>
      <c r="E52" s="89"/>
      <c r="F52" s="89"/>
      <c r="G52" s="18">
        <f t="shared" si="1"/>
        <v>0</v>
      </c>
      <c r="H52" s="89"/>
      <c r="I52" s="89"/>
      <c r="J52" s="89"/>
      <c r="K52" s="89"/>
      <c r="L52" s="50">
        <f t="shared" si="2"/>
        <v>0</v>
      </c>
      <c r="M52" s="18">
        <f t="shared" si="3"/>
        <v>0</v>
      </c>
      <c r="N52" s="18">
        <f t="shared" si="4"/>
        <v>0</v>
      </c>
      <c r="O52" s="18" t="str">
        <f>'Dala Sales &amp; Deliveries'!L14</f>
        <v/>
      </c>
      <c r="P52" s="18">
        <f t="shared" si="5"/>
        <v>0</v>
      </c>
      <c r="Q52" s="18" t="str">
        <f>'External Delivery Fulfillment'!L14</f>
        <v/>
      </c>
      <c r="R52" s="18">
        <f t="shared" si="6"/>
        <v>0</v>
      </c>
      <c r="S52" s="18" t="str">
        <f>'Forwarding From Client'!L14</f>
        <v/>
      </c>
      <c r="T52" s="18">
        <f t="shared" si="7"/>
        <v>0</v>
      </c>
      <c r="U52" s="18" t="str">
        <f>'Dala Restocking'!L14</f>
        <v/>
      </c>
      <c r="V52" s="18">
        <f t="shared" si="8"/>
        <v>0</v>
      </c>
      <c r="W52" s="18" t="str">
        <f>'Client Restocking'!L14</f>
        <v/>
      </c>
    </row>
    <row r="53">
      <c r="B53" s="89"/>
      <c r="C53" s="89"/>
      <c r="D53" s="89"/>
      <c r="E53" s="89"/>
      <c r="F53" s="89"/>
      <c r="G53" s="18">
        <f t="shared" si="1"/>
        <v>0</v>
      </c>
      <c r="H53" s="89"/>
      <c r="I53" s="89"/>
      <c r="J53" s="89"/>
      <c r="K53" s="89"/>
      <c r="L53" s="50">
        <f t="shared" si="2"/>
        <v>0</v>
      </c>
      <c r="M53" s="18">
        <f t="shared" si="3"/>
        <v>0</v>
      </c>
      <c r="N53" s="18">
        <f t="shared" si="4"/>
        <v>0</v>
      </c>
      <c r="O53" s="18" t="str">
        <f>'Dala Sales &amp; Deliveries'!L15</f>
        <v/>
      </c>
      <c r="P53" s="18">
        <f t="shared" si="5"/>
        <v>0</v>
      </c>
      <c r="Q53" s="18" t="str">
        <f>'External Delivery Fulfillment'!L15</f>
        <v/>
      </c>
      <c r="R53" s="18">
        <f t="shared" si="6"/>
        <v>0</v>
      </c>
      <c r="S53" s="18" t="str">
        <f>'Forwarding From Client'!L15</f>
        <v/>
      </c>
      <c r="T53" s="18">
        <f t="shared" si="7"/>
        <v>0</v>
      </c>
      <c r="U53" s="18" t="str">
        <f>'Dala Restocking'!L15</f>
        <v/>
      </c>
      <c r="V53" s="18">
        <f t="shared" si="8"/>
        <v>0</v>
      </c>
      <c r="W53" s="18" t="str">
        <f>'Client Restocking'!L15</f>
        <v/>
      </c>
    </row>
    <row r="54">
      <c r="B54" s="89"/>
      <c r="C54" s="89"/>
      <c r="D54" s="89"/>
      <c r="E54" s="89"/>
      <c r="F54" s="89"/>
      <c r="G54" s="18">
        <f t="shared" si="1"/>
        <v>0</v>
      </c>
      <c r="H54" s="89"/>
      <c r="I54" s="89"/>
      <c r="J54" s="89"/>
      <c r="K54" s="89"/>
      <c r="L54" s="50">
        <f t="shared" si="2"/>
        <v>0</v>
      </c>
      <c r="M54" s="18">
        <f t="shared" si="3"/>
        <v>0</v>
      </c>
      <c r="N54" s="18">
        <f t="shared" si="4"/>
        <v>0</v>
      </c>
      <c r="O54" s="18" t="str">
        <f>'Dala Sales &amp; Deliveries'!L16</f>
        <v/>
      </c>
      <c r="P54" s="18">
        <f t="shared" si="5"/>
        <v>0</v>
      </c>
      <c r="Q54" s="18" t="str">
        <f>'External Delivery Fulfillment'!L16</f>
        <v/>
      </c>
      <c r="R54" s="18">
        <f t="shared" si="6"/>
        <v>0</v>
      </c>
      <c r="S54" s="18" t="str">
        <f>'Forwarding From Client'!L16</f>
        <v/>
      </c>
      <c r="T54" s="18">
        <f t="shared" si="7"/>
        <v>0</v>
      </c>
      <c r="U54" s="18" t="str">
        <f>'Dala Restocking'!L16</f>
        <v/>
      </c>
      <c r="V54" s="18">
        <f t="shared" si="8"/>
        <v>0</v>
      </c>
      <c r="W54" s="18" t="str">
        <f>'Client Restocking'!L16</f>
        <v/>
      </c>
    </row>
    <row r="55">
      <c r="B55" s="89"/>
      <c r="C55" s="89"/>
      <c r="D55" s="89"/>
      <c r="E55" s="89"/>
      <c r="F55" s="89"/>
      <c r="G55" s="18">
        <f t="shared" si="1"/>
        <v>0</v>
      </c>
      <c r="H55" s="89"/>
      <c r="I55" s="89"/>
      <c r="J55" s="89"/>
      <c r="K55" s="89"/>
      <c r="L55" s="50">
        <f t="shared" si="2"/>
        <v>0</v>
      </c>
      <c r="M55" s="18">
        <f t="shared" si="3"/>
        <v>0</v>
      </c>
      <c r="N55" s="18">
        <f t="shared" si="4"/>
        <v>0</v>
      </c>
      <c r="O55" s="18" t="str">
        <f>'Dala Sales &amp; Deliveries'!L17</f>
        <v/>
      </c>
      <c r="P55" s="18">
        <f t="shared" si="5"/>
        <v>0</v>
      </c>
      <c r="Q55" s="18" t="str">
        <f>'External Delivery Fulfillment'!L17</f>
        <v/>
      </c>
      <c r="R55" s="18">
        <f t="shared" si="6"/>
        <v>0</v>
      </c>
      <c r="S55" s="18" t="str">
        <f>'Forwarding From Client'!L17</f>
        <v/>
      </c>
      <c r="T55" s="18">
        <f t="shared" si="7"/>
        <v>0</v>
      </c>
      <c r="U55" s="18" t="str">
        <f>'Dala Restocking'!L17</f>
        <v/>
      </c>
      <c r="V55" s="18">
        <f t="shared" si="8"/>
        <v>0</v>
      </c>
      <c r="W55" s="18" t="str">
        <f>'Client Restocking'!L17</f>
        <v/>
      </c>
    </row>
    <row r="56">
      <c r="B56" s="89"/>
      <c r="C56" s="89"/>
      <c r="D56" s="89"/>
      <c r="E56" s="89"/>
      <c r="F56" s="89"/>
      <c r="G56" s="18">
        <f t="shared" si="1"/>
        <v>0</v>
      </c>
      <c r="H56" s="89"/>
      <c r="I56" s="89"/>
      <c r="J56" s="89"/>
      <c r="K56" s="89"/>
      <c r="L56" s="50">
        <f t="shared" si="2"/>
        <v>0</v>
      </c>
      <c r="M56" s="18">
        <f t="shared" si="3"/>
        <v>0</v>
      </c>
      <c r="N56" s="18">
        <f t="shared" si="4"/>
        <v>0</v>
      </c>
      <c r="O56" s="18" t="str">
        <f>'Dala Sales &amp; Deliveries'!L18</f>
        <v/>
      </c>
      <c r="P56" s="18">
        <f t="shared" si="5"/>
        <v>0</v>
      </c>
      <c r="Q56" s="18" t="str">
        <f>'External Delivery Fulfillment'!L18</f>
        <v/>
      </c>
      <c r="R56" s="18">
        <f t="shared" si="6"/>
        <v>0</v>
      </c>
      <c r="S56" s="18" t="str">
        <f>'Forwarding From Client'!L18</f>
        <v/>
      </c>
      <c r="T56" s="18">
        <f t="shared" si="7"/>
        <v>0</v>
      </c>
      <c r="U56" s="18" t="str">
        <f>'Dala Restocking'!L18</f>
        <v/>
      </c>
      <c r="V56" s="18">
        <f t="shared" si="8"/>
        <v>0</v>
      </c>
      <c r="W56" s="18" t="str">
        <f>'Client Restocking'!L18</f>
        <v/>
      </c>
    </row>
    <row r="57">
      <c r="B57" s="89"/>
      <c r="C57" s="89"/>
      <c r="D57" s="89"/>
      <c r="E57" s="89"/>
      <c r="F57" s="89"/>
      <c r="G57" s="18">
        <f t="shared" si="1"/>
        <v>0</v>
      </c>
      <c r="H57" s="89"/>
      <c r="I57" s="89"/>
      <c r="J57" s="89"/>
      <c r="K57" s="89"/>
      <c r="L57" s="50">
        <f t="shared" si="2"/>
        <v>0</v>
      </c>
      <c r="M57" s="18">
        <f t="shared" si="3"/>
        <v>0</v>
      </c>
      <c r="N57" s="18">
        <f t="shared" si="4"/>
        <v>0</v>
      </c>
      <c r="O57" s="18" t="str">
        <f>'Dala Sales &amp; Deliveries'!L19</f>
        <v/>
      </c>
      <c r="P57" s="18">
        <f t="shared" si="5"/>
        <v>0</v>
      </c>
      <c r="Q57" s="18" t="str">
        <f>'External Delivery Fulfillment'!L19</f>
        <v/>
      </c>
      <c r="R57" s="18">
        <f t="shared" si="6"/>
        <v>0</v>
      </c>
      <c r="S57" s="18" t="str">
        <f>'Forwarding From Client'!L19</f>
        <v/>
      </c>
      <c r="T57" s="18">
        <f t="shared" si="7"/>
        <v>0</v>
      </c>
      <c r="U57" s="18" t="str">
        <f>'Dala Restocking'!L19</f>
        <v/>
      </c>
      <c r="V57" s="18">
        <f t="shared" si="8"/>
        <v>0</v>
      </c>
      <c r="W57" s="18" t="str">
        <f>'Client Restocking'!L19</f>
        <v/>
      </c>
    </row>
    <row r="58">
      <c r="B58" s="89"/>
      <c r="C58" s="89"/>
      <c r="D58" s="89"/>
      <c r="E58" s="89"/>
      <c r="F58" s="89"/>
      <c r="G58" s="18">
        <f t="shared" si="1"/>
        <v>0</v>
      </c>
      <c r="H58" s="89"/>
      <c r="I58" s="89"/>
      <c r="J58" s="89"/>
      <c r="K58" s="89"/>
      <c r="L58" s="50">
        <f t="shared" si="2"/>
        <v>0</v>
      </c>
      <c r="M58" s="18">
        <f t="shared" si="3"/>
        <v>0</v>
      </c>
      <c r="N58" s="18">
        <f t="shared" si="4"/>
        <v>0</v>
      </c>
      <c r="O58" s="18" t="str">
        <f>'Dala Sales &amp; Deliveries'!L20</f>
        <v/>
      </c>
      <c r="P58" s="18">
        <f t="shared" si="5"/>
        <v>0</v>
      </c>
      <c r="Q58" s="18" t="str">
        <f>'External Delivery Fulfillment'!L20</f>
        <v/>
      </c>
      <c r="R58" s="18">
        <f t="shared" si="6"/>
        <v>0</v>
      </c>
      <c r="S58" s="18" t="str">
        <f>'Forwarding From Client'!L20</f>
        <v/>
      </c>
      <c r="T58" s="18">
        <f t="shared" si="7"/>
        <v>0</v>
      </c>
      <c r="U58" s="18" t="str">
        <f>'Dala Restocking'!L20</f>
        <v/>
      </c>
      <c r="V58" s="18">
        <f t="shared" si="8"/>
        <v>0</v>
      </c>
      <c r="W58" s="18" t="str">
        <f>'Client Restocking'!L20</f>
        <v/>
      </c>
    </row>
    <row r="59">
      <c r="B59" s="89"/>
      <c r="C59" s="89"/>
      <c r="D59" s="89"/>
      <c r="E59" s="89"/>
      <c r="F59" s="89"/>
      <c r="G59" s="18">
        <f t="shared" si="1"/>
        <v>0</v>
      </c>
      <c r="H59" s="89"/>
      <c r="I59" s="89"/>
      <c r="J59" s="89"/>
      <c r="K59" s="89"/>
      <c r="L59" s="50">
        <f t="shared" si="2"/>
        <v>0</v>
      </c>
      <c r="M59" s="18">
        <f t="shared" si="3"/>
        <v>0</v>
      </c>
      <c r="N59" s="18">
        <f t="shared" si="4"/>
        <v>0</v>
      </c>
      <c r="O59" s="18" t="str">
        <f>'Dala Sales &amp; Deliveries'!L21</f>
        <v/>
      </c>
      <c r="P59" s="18">
        <f t="shared" si="5"/>
        <v>0</v>
      </c>
      <c r="Q59" s="18" t="str">
        <f>'External Delivery Fulfillment'!L21</f>
        <v/>
      </c>
      <c r="R59" s="18">
        <f t="shared" si="6"/>
        <v>0</v>
      </c>
      <c r="S59" s="18" t="str">
        <f>'Forwarding From Client'!L21</f>
        <v/>
      </c>
      <c r="T59" s="18">
        <f t="shared" si="7"/>
        <v>0</v>
      </c>
      <c r="U59" s="18" t="str">
        <f>'Dala Restocking'!L21</f>
        <v/>
      </c>
      <c r="V59" s="18">
        <f t="shared" si="8"/>
        <v>0</v>
      </c>
      <c r="W59" s="18" t="str">
        <f>'Client Restocking'!L21</f>
        <v/>
      </c>
    </row>
    <row r="60">
      <c r="B60" s="89"/>
      <c r="C60" s="89"/>
      <c r="D60" s="89"/>
      <c r="E60" s="89"/>
      <c r="F60" s="89"/>
      <c r="G60" s="18">
        <f t="shared" si="1"/>
        <v>0</v>
      </c>
      <c r="H60" s="89"/>
      <c r="I60" s="89"/>
      <c r="J60" s="89"/>
      <c r="K60" s="89"/>
      <c r="L60" s="50">
        <f t="shared" si="2"/>
        <v>0</v>
      </c>
      <c r="M60" s="18">
        <f t="shared" si="3"/>
        <v>0</v>
      </c>
      <c r="N60" s="18">
        <f t="shared" si="4"/>
        <v>0</v>
      </c>
      <c r="O60" s="18" t="str">
        <f>'Dala Sales &amp; Deliveries'!L22</f>
        <v/>
      </c>
      <c r="P60" s="18">
        <f t="shared" si="5"/>
        <v>0</v>
      </c>
      <c r="Q60" s="18" t="str">
        <f>'External Delivery Fulfillment'!L22</f>
        <v/>
      </c>
      <c r="R60" s="18">
        <f t="shared" si="6"/>
        <v>0</v>
      </c>
      <c r="S60" s="18" t="str">
        <f>'Forwarding From Client'!L22</f>
        <v/>
      </c>
      <c r="T60" s="18">
        <f t="shared" si="7"/>
        <v>0</v>
      </c>
      <c r="U60" s="18" t="str">
        <f>'Dala Restocking'!L22</f>
        <v/>
      </c>
      <c r="V60" s="18">
        <f t="shared" si="8"/>
        <v>0</v>
      </c>
      <c r="W60" s="18" t="str">
        <f>'Client Restocking'!L22</f>
        <v/>
      </c>
    </row>
    <row r="61">
      <c r="B61" s="89"/>
      <c r="C61" s="89"/>
      <c r="D61" s="89"/>
      <c r="E61" s="89"/>
      <c r="F61" s="89"/>
      <c r="G61" s="18">
        <f t="shared" si="1"/>
        <v>0</v>
      </c>
      <c r="H61" s="89"/>
      <c r="I61" s="89"/>
      <c r="J61" s="89"/>
      <c r="K61" s="89"/>
      <c r="L61" s="50">
        <f t="shared" si="2"/>
        <v>0</v>
      </c>
      <c r="M61" s="18">
        <f t="shared" si="3"/>
        <v>0</v>
      </c>
      <c r="N61" s="18">
        <f t="shared" si="4"/>
        <v>0</v>
      </c>
      <c r="O61" s="18" t="str">
        <f>'Dala Sales &amp; Deliveries'!L23</f>
        <v/>
      </c>
      <c r="P61" s="18">
        <f t="shared" si="5"/>
        <v>0</v>
      </c>
      <c r="Q61" s="18" t="str">
        <f>'External Delivery Fulfillment'!L23</f>
        <v/>
      </c>
      <c r="R61" s="18">
        <f t="shared" si="6"/>
        <v>0</v>
      </c>
      <c r="S61" s="18" t="str">
        <f>'Forwarding From Client'!L23</f>
        <v/>
      </c>
      <c r="T61" s="18">
        <f t="shared" si="7"/>
        <v>0</v>
      </c>
      <c r="U61" s="18" t="str">
        <f>'Dala Restocking'!L23</f>
        <v/>
      </c>
      <c r="V61" s="18">
        <f t="shared" si="8"/>
        <v>0</v>
      </c>
      <c r="W61" s="18" t="str">
        <f>'Client Restocking'!L23</f>
        <v/>
      </c>
    </row>
    <row r="62">
      <c r="B62" s="89"/>
      <c r="C62" s="89"/>
      <c r="D62" s="89"/>
      <c r="E62" s="89"/>
      <c r="F62" s="89"/>
      <c r="G62" s="18">
        <f t="shared" si="1"/>
        <v>0</v>
      </c>
      <c r="H62" s="89"/>
      <c r="I62" s="89"/>
      <c r="J62" s="89"/>
      <c r="K62" s="89"/>
      <c r="L62" s="50">
        <f t="shared" si="2"/>
        <v>0</v>
      </c>
      <c r="M62" s="18">
        <f t="shared" si="3"/>
        <v>0</v>
      </c>
      <c r="N62" s="18">
        <f t="shared" si="4"/>
        <v>0</v>
      </c>
      <c r="O62" s="18" t="str">
        <f>'Dala Sales &amp; Deliveries'!L24</f>
        <v/>
      </c>
      <c r="P62" s="18">
        <f t="shared" si="5"/>
        <v>0</v>
      </c>
      <c r="Q62" s="18" t="str">
        <f>'External Delivery Fulfillment'!L24</f>
        <v/>
      </c>
      <c r="R62" s="18">
        <f t="shared" si="6"/>
        <v>0</v>
      </c>
      <c r="S62" s="18" t="str">
        <f>'Forwarding From Client'!L24</f>
        <v/>
      </c>
      <c r="T62" s="18">
        <f t="shared" si="7"/>
        <v>0</v>
      </c>
      <c r="U62" s="18" t="str">
        <f>'Dala Restocking'!L24</f>
        <v/>
      </c>
      <c r="V62" s="18">
        <f t="shared" si="8"/>
        <v>0</v>
      </c>
      <c r="W62" s="18" t="str">
        <f>'Client Restocking'!L24</f>
        <v/>
      </c>
    </row>
    <row r="63">
      <c r="B63" s="89"/>
      <c r="C63" s="89"/>
      <c r="D63" s="89"/>
      <c r="E63" s="89"/>
      <c r="F63" s="89"/>
      <c r="G63" s="18">
        <f t="shared" si="1"/>
        <v>0</v>
      </c>
      <c r="H63" s="89"/>
      <c r="I63" s="89"/>
      <c r="J63" s="89"/>
      <c r="K63" s="89"/>
      <c r="L63" s="50">
        <f t="shared" si="2"/>
        <v>0</v>
      </c>
      <c r="M63" s="18">
        <f t="shared" si="3"/>
        <v>0</v>
      </c>
      <c r="N63" s="18">
        <f t="shared" si="4"/>
        <v>0</v>
      </c>
      <c r="O63" s="18" t="str">
        <f>'Dala Sales &amp; Deliveries'!L25</f>
        <v/>
      </c>
      <c r="P63" s="18">
        <f t="shared" si="5"/>
        <v>0</v>
      </c>
      <c r="Q63" s="18" t="str">
        <f>'External Delivery Fulfillment'!L25</f>
        <v/>
      </c>
      <c r="R63" s="18">
        <f t="shared" si="6"/>
        <v>0</v>
      </c>
      <c r="S63" s="18" t="str">
        <f>'Forwarding From Client'!L25</f>
        <v/>
      </c>
      <c r="T63" s="18">
        <f t="shared" si="7"/>
        <v>0</v>
      </c>
      <c r="U63" s="18" t="str">
        <f>'Dala Restocking'!L25</f>
        <v/>
      </c>
      <c r="V63" s="18">
        <f t="shared" si="8"/>
        <v>0</v>
      </c>
      <c r="W63" s="18" t="str">
        <f>'Client Restocking'!L25</f>
        <v/>
      </c>
    </row>
    <row r="64">
      <c r="B64" s="89"/>
      <c r="C64" s="89"/>
      <c r="D64" s="89"/>
      <c r="E64" s="89"/>
      <c r="F64" s="89"/>
      <c r="G64" s="18">
        <f t="shared" si="1"/>
        <v>0</v>
      </c>
      <c r="H64" s="89"/>
      <c r="I64" s="89"/>
      <c r="J64" s="89"/>
      <c r="K64" s="89"/>
      <c r="L64" s="50">
        <f t="shared" si="2"/>
        <v>0</v>
      </c>
      <c r="M64" s="18">
        <f t="shared" si="3"/>
        <v>0</v>
      </c>
      <c r="N64" s="18">
        <f t="shared" si="4"/>
        <v>0</v>
      </c>
      <c r="O64" s="18" t="str">
        <f>'Dala Sales &amp; Deliveries'!L26</f>
        <v/>
      </c>
      <c r="P64" s="18">
        <f t="shared" si="5"/>
        <v>0</v>
      </c>
      <c r="Q64" s="18" t="str">
        <f>'External Delivery Fulfillment'!L26</f>
        <v/>
      </c>
      <c r="R64" s="18">
        <f t="shared" si="6"/>
        <v>0</v>
      </c>
      <c r="S64" s="18" t="str">
        <f>'Forwarding From Client'!L26</f>
        <v/>
      </c>
      <c r="T64" s="18">
        <f t="shared" si="7"/>
        <v>0</v>
      </c>
      <c r="U64" s="18" t="str">
        <f>'Dala Restocking'!L26</f>
        <v/>
      </c>
      <c r="V64" s="18">
        <f t="shared" si="8"/>
        <v>0</v>
      </c>
      <c r="W64" s="18" t="str">
        <f>'Client Restocking'!L26</f>
        <v/>
      </c>
    </row>
    <row r="65">
      <c r="B65" s="89"/>
      <c r="C65" s="89"/>
      <c r="D65" s="89"/>
      <c r="E65" s="89"/>
      <c r="F65" s="89"/>
      <c r="G65" s="18">
        <f t="shared" si="1"/>
        <v>0</v>
      </c>
      <c r="H65" s="89"/>
      <c r="I65" s="89"/>
      <c r="J65" s="89"/>
      <c r="K65" s="89"/>
      <c r="L65" s="50">
        <f t="shared" si="2"/>
        <v>0</v>
      </c>
      <c r="M65" s="18">
        <f t="shared" si="3"/>
        <v>0</v>
      </c>
      <c r="N65" s="18">
        <f t="shared" si="4"/>
        <v>0</v>
      </c>
      <c r="O65" s="18" t="str">
        <f>'Dala Sales &amp; Deliveries'!L27</f>
        <v/>
      </c>
      <c r="P65" s="18">
        <f t="shared" si="5"/>
        <v>0</v>
      </c>
      <c r="Q65" s="18" t="str">
        <f>'External Delivery Fulfillment'!L27</f>
        <v/>
      </c>
      <c r="R65" s="18">
        <f t="shared" si="6"/>
        <v>0</v>
      </c>
      <c r="S65" s="18" t="str">
        <f>'Forwarding From Client'!L27</f>
        <v/>
      </c>
      <c r="T65" s="18">
        <f t="shared" si="7"/>
        <v>0</v>
      </c>
      <c r="U65" s="18" t="str">
        <f>'Dala Restocking'!L27</f>
        <v/>
      </c>
      <c r="V65" s="18">
        <f t="shared" si="8"/>
        <v>0</v>
      </c>
      <c r="W65" s="18" t="str">
        <f>'Client Restocking'!L27</f>
        <v/>
      </c>
    </row>
    <row r="66">
      <c r="B66" s="89"/>
      <c r="C66" s="89"/>
      <c r="D66" s="89"/>
      <c r="E66" s="89"/>
      <c r="F66" s="89"/>
      <c r="G66" s="18">
        <f t="shared" si="1"/>
        <v>0</v>
      </c>
      <c r="H66" s="89"/>
      <c r="I66" s="89"/>
      <c r="J66" s="89"/>
      <c r="K66" s="89"/>
      <c r="L66" s="50">
        <f t="shared" si="2"/>
        <v>0</v>
      </c>
      <c r="M66" s="18">
        <f t="shared" si="3"/>
        <v>0</v>
      </c>
      <c r="N66" s="18">
        <f t="shared" si="4"/>
        <v>0</v>
      </c>
      <c r="O66" s="18" t="str">
        <f>'Dala Sales &amp; Deliveries'!L28</f>
        <v/>
      </c>
      <c r="P66" s="18">
        <f t="shared" si="5"/>
        <v>0</v>
      </c>
      <c r="Q66" s="18" t="str">
        <f>'External Delivery Fulfillment'!L28</f>
        <v/>
      </c>
      <c r="R66" s="18">
        <f t="shared" si="6"/>
        <v>0</v>
      </c>
      <c r="S66" s="18" t="str">
        <f>'Forwarding From Client'!L28</f>
        <v/>
      </c>
      <c r="T66" s="18">
        <f t="shared" si="7"/>
        <v>0</v>
      </c>
      <c r="U66" s="18" t="str">
        <f>'Dala Restocking'!L28</f>
        <v/>
      </c>
      <c r="V66" s="18">
        <f t="shared" si="8"/>
        <v>0</v>
      </c>
      <c r="W66" s="18" t="str">
        <f>'Client Restocking'!L28</f>
        <v/>
      </c>
    </row>
    <row r="67">
      <c r="B67" s="89"/>
      <c r="C67" s="89"/>
      <c r="D67" s="89"/>
      <c r="E67" s="89"/>
      <c r="F67" s="89"/>
      <c r="G67" s="18">
        <f t="shared" si="1"/>
        <v>0</v>
      </c>
      <c r="H67" s="89"/>
      <c r="I67" s="89"/>
      <c r="J67" s="89"/>
      <c r="K67" s="89"/>
      <c r="L67" s="50">
        <f t="shared" si="2"/>
        <v>0</v>
      </c>
      <c r="M67" s="18">
        <f t="shared" si="3"/>
        <v>0</v>
      </c>
      <c r="N67" s="18">
        <f t="shared" si="4"/>
        <v>0</v>
      </c>
      <c r="O67" s="18" t="str">
        <f>'Dala Sales &amp; Deliveries'!L29</f>
        <v/>
      </c>
      <c r="P67" s="18">
        <f t="shared" si="5"/>
        <v>0</v>
      </c>
      <c r="Q67" s="18" t="str">
        <f>'External Delivery Fulfillment'!L29</f>
        <v/>
      </c>
      <c r="R67" s="18">
        <f t="shared" si="6"/>
        <v>0</v>
      </c>
      <c r="S67" s="18" t="str">
        <f>'Forwarding From Client'!L29</f>
        <v/>
      </c>
      <c r="T67" s="18">
        <f t="shared" si="7"/>
        <v>0</v>
      </c>
      <c r="U67" s="18" t="str">
        <f>'Dala Restocking'!L29</f>
        <v/>
      </c>
      <c r="V67" s="18">
        <f t="shared" si="8"/>
        <v>0</v>
      </c>
      <c r="W67" s="18" t="str">
        <f>'Client Restocking'!L29</f>
        <v/>
      </c>
    </row>
    <row r="68">
      <c r="B68" s="89"/>
      <c r="C68" s="89"/>
      <c r="D68" s="89"/>
      <c r="E68" s="89"/>
      <c r="F68" s="89"/>
      <c r="G68" s="18">
        <f t="shared" si="1"/>
        <v>0</v>
      </c>
      <c r="H68" s="89"/>
      <c r="I68" s="89"/>
      <c r="J68" s="89"/>
      <c r="K68" s="89"/>
      <c r="L68" s="50">
        <f t="shared" si="2"/>
        <v>0</v>
      </c>
      <c r="M68" s="18">
        <f t="shared" si="3"/>
        <v>0</v>
      </c>
      <c r="N68" s="18">
        <f t="shared" si="4"/>
        <v>0</v>
      </c>
      <c r="O68" s="18" t="str">
        <f>'Dala Sales &amp; Deliveries'!L30</f>
        <v/>
      </c>
      <c r="P68" s="18">
        <f t="shared" si="5"/>
        <v>0</v>
      </c>
      <c r="Q68" s="18" t="str">
        <f>'External Delivery Fulfillment'!L30</f>
        <v/>
      </c>
      <c r="R68" s="18">
        <f t="shared" si="6"/>
        <v>0</v>
      </c>
      <c r="S68" s="18" t="str">
        <f>'Forwarding From Client'!L30</f>
        <v/>
      </c>
      <c r="T68" s="18">
        <f t="shared" si="7"/>
        <v>0</v>
      </c>
      <c r="U68" s="18" t="str">
        <f>'Dala Restocking'!L30</f>
        <v/>
      </c>
      <c r="V68" s="18">
        <f t="shared" si="8"/>
        <v>0</v>
      </c>
      <c r="W68" s="18" t="str">
        <f>'Client Restocking'!L30</f>
        <v/>
      </c>
    </row>
    <row r="69">
      <c r="B69" s="50" t="s">
        <v>102</v>
      </c>
      <c r="C69" s="50"/>
      <c r="D69" s="50"/>
      <c r="E69" s="18"/>
      <c r="F69" s="91">
        <f t="shared" ref="F69:W69" si="9">sum(F40:F68)</f>
        <v>0</v>
      </c>
      <c r="G69" s="91">
        <f t="shared" si="9"/>
        <v>0</v>
      </c>
      <c r="H69" s="91">
        <f t="shared" si="9"/>
        <v>0</v>
      </c>
      <c r="I69" s="91">
        <f t="shared" si="9"/>
        <v>0</v>
      </c>
      <c r="J69" s="91">
        <f t="shared" si="9"/>
        <v>0</v>
      </c>
      <c r="K69" s="91">
        <f t="shared" si="9"/>
        <v>0</v>
      </c>
      <c r="L69" s="49">
        <f t="shared" si="9"/>
        <v>-3.5</v>
      </c>
      <c r="M69" s="49">
        <f t="shared" si="9"/>
        <v>3.5</v>
      </c>
      <c r="N69" s="18">
        <f t="shared" si="9"/>
        <v>0</v>
      </c>
      <c r="O69" s="49">
        <f t="shared" si="9"/>
        <v>3.5</v>
      </c>
      <c r="P69" s="18">
        <f t="shared" si="9"/>
        <v>0</v>
      </c>
      <c r="Q69" s="49">
        <f t="shared" si="9"/>
        <v>0</v>
      </c>
      <c r="R69" s="18">
        <f t="shared" si="9"/>
        <v>0</v>
      </c>
      <c r="S69" s="49">
        <f t="shared" si="9"/>
        <v>0</v>
      </c>
      <c r="T69" s="18">
        <f t="shared" si="9"/>
        <v>0</v>
      </c>
      <c r="U69" s="49">
        <f t="shared" si="9"/>
        <v>0</v>
      </c>
      <c r="V69" s="18">
        <f t="shared" si="9"/>
        <v>0</v>
      </c>
      <c r="W69" s="49">
        <f t="shared" si="9"/>
        <v>0</v>
      </c>
    </row>
    <row r="70">
      <c r="C70" s="6" t="s">
        <v>103</v>
      </c>
      <c r="D70" s="6" t="s">
        <v>103</v>
      </c>
      <c r="E70" s="6" t="s">
        <v>103</v>
      </c>
      <c r="F70" s="6" t="s">
        <v>103</v>
      </c>
      <c r="G70" s="6" t="s">
        <v>103</v>
      </c>
      <c r="H70" s="6" t="s">
        <v>103</v>
      </c>
      <c r="I70" s="6" t="s">
        <v>103</v>
      </c>
      <c r="J70" s="6" t="s">
        <v>103</v>
      </c>
      <c r="K70" s="6" t="s">
        <v>103</v>
      </c>
      <c r="L70" s="6" t="s">
        <v>103</v>
      </c>
      <c r="M70" s="6" t="s">
        <v>103</v>
      </c>
      <c r="N70" s="6" t="s">
        <v>103</v>
      </c>
      <c r="O70" s="6" t="s">
        <v>103</v>
      </c>
      <c r="P70" s="6" t="s">
        <v>103</v>
      </c>
      <c r="Q70" s="6" t="s">
        <v>103</v>
      </c>
      <c r="R70" s="6" t="s">
        <v>103</v>
      </c>
      <c r="S70" s="6" t="s">
        <v>103</v>
      </c>
      <c r="T70" s="6" t="s">
        <v>103</v>
      </c>
      <c r="U70" s="6" t="s">
        <v>103</v>
      </c>
      <c r="V70" s="6" t="s">
        <v>103</v>
      </c>
      <c r="W70" s="6" t="s">
        <v>103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3"/>
      <c r="B1" s="48" t="s">
        <v>42</v>
      </c>
      <c r="C1" s="48" t="s">
        <v>31</v>
      </c>
      <c r="D1" s="48" t="s">
        <v>43</v>
      </c>
      <c r="E1" s="48" t="s">
        <v>44</v>
      </c>
      <c r="F1" s="54"/>
    </row>
    <row r="2">
      <c r="A2" s="55" t="s">
        <v>45</v>
      </c>
      <c r="B2" s="56" t="s">
        <v>29</v>
      </c>
      <c r="C2" s="57"/>
      <c r="D2" s="57"/>
      <c r="E2" s="58">
        <f>'Dala Sales &amp; Deliveries'!I1+'External Delivery Fulfillment'!I1+'Forwarding From Client'!I1</f>
        <v>4</v>
      </c>
      <c r="F2" s="54"/>
    </row>
    <row r="3">
      <c r="A3" s="59"/>
      <c r="B3" s="56" t="s">
        <v>46</v>
      </c>
      <c r="C3" s="57"/>
      <c r="D3" s="57"/>
      <c r="E3" s="58">
        <f>'Raw Data'!AW2</f>
        <v>3</v>
      </c>
      <c r="F3" s="54"/>
    </row>
    <row r="4">
      <c r="B4" s="60" t="s">
        <v>47</v>
      </c>
      <c r="C4" s="54"/>
      <c r="D4" s="54"/>
      <c r="E4" s="61">
        <f>'Dala Sales &amp; Deliveries'!I3</f>
        <v>82800</v>
      </c>
      <c r="F4" s="54"/>
    </row>
    <row r="5">
      <c r="B5" s="60" t="s">
        <v>104</v>
      </c>
      <c r="C5" s="54"/>
      <c r="D5" s="54"/>
      <c r="E5" s="61">
        <f>E4*1.075-E4</f>
        <v>6210</v>
      </c>
      <c r="F5" s="54"/>
    </row>
    <row r="6">
      <c r="A6" s="67"/>
      <c r="B6" s="68" t="s">
        <v>50</v>
      </c>
      <c r="C6" s="69"/>
      <c r="D6" s="70"/>
      <c r="E6" s="71">
        <f>sum(E4:E5)</f>
        <v>89010</v>
      </c>
      <c r="F6" s="54"/>
    </row>
    <row r="7">
      <c r="A7" s="55" t="s">
        <v>51</v>
      </c>
      <c r="B7" s="56" t="s">
        <v>52</v>
      </c>
      <c r="C7" s="57"/>
      <c r="D7" s="72"/>
      <c r="E7" s="73"/>
    </row>
    <row r="8">
      <c r="A8" s="59"/>
      <c r="B8" s="56" t="s">
        <v>58</v>
      </c>
      <c r="C8" s="92">
        <v>0.06</v>
      </c>
      <c r="D8" s="72"/>
      <c r="E8" s="77">
        <f>E7*(C8+100%)-E7</f>
        <v>0</v>
      </c>
      <c r="K8" s="7"/>
      <c r="L8" s="7"/>
      <c r="M8" s="7"/>
      <c r="N8" s="7"/>
    </row>
    <row r="9">
      <c r="A9" s="67"/>
      <c r="B9" s="68" t="s">
        <v>53</v>
      </c>
      <c r="C9" s="74">
        <v>0.1</v>
      </c>
      <c r="D9" s="70"/>
      <c r="E9" s="71">
        <f>E7*(C9+100%)-E7</f>
        <v>0</v>
      </c>
      <c r="K9" s="7"/>
      <c r="L9" s="7"/>
      <c r="M9" s="7"/>
      <c r="N9" s="7"/>
    </row>
    <row r="10">
      <c r="A10" s="55" t="s">
        <v>56</v>
      </c>
      <c r="B10" s="56" t="s">
        <v>57</v>
      </c>
      <c r="C10" s="76">
        <v>1.0</v>
      </c>
      <c r="D10" s="77">
        <v>150000.0</v>
      </c>
      <c r="E10" s="77">
        <f>C10*D10</f>
        <v>150000</v>
      </c>
    </row>
    <row r="11">
      <c r="A11" s="59"/>
      <c r="B11" s="63" t="s">
        <v>105</v>
      </c>
      <c r="C11" s="57"/>
      <c r="D11" s="79"/>
      <c r="E11" s="77">
        <f>V67</f>
        <v>0</v>
      </c>
    </row>
    <row r="12">
      <c r="A12" s="59"/>
      <c r="B12" s="63" t="s">
        <v>73</v>
      </c>
      <c r="C12" s="57"/>
      <c r="D12" s="79"/>
      <c r="E12" s="77">
        <f>R67</f>
        <v>0</v>
      </c>
    </row>
    <row r="13">
      <c r="A13" s="59"/>
      <c r="B13" s="56" t="s">
        <v>60</v>
      </c>
      <c r="C13" s="72"/>
      <c r="D13" s="72"/>
      <c r="E13" s="93">
        <v>0.0</v>
      </c>
    </row>
    <row r="14">
      <c r="A14" s="59"/>
      <c r="B14" s="56" t="s">
        <v>61</v>
      </c>
      <c r="C14" s="72"/>
      <c r="D14" s="72"/>
      <c r="E14" s="77">
        <f>C28</f>
        <v>0</v>
      </c>
    </row>
    <row r="15">
      <c r="A15" s="67"/>
      <c r="B15" s="68" t="s">
        <v>106</v>
      </c>
      <c r="C15" s="70"/>
      <c r="D15" s="70"/>
      <c r="E15" s="71">
        <f>sum(E10:E14)</f>
        <v>150000</v>
      </c>
    </row>
    <row r="16">
      <c r="A16" s="65"/>
      <c r="B16" s="65"/>
      <c r="C16" s="65"/>
      <c r="D16" s="65"/>
      <c r="E16" s="65"/>
      <c r="H16" s="81"/>
      <c r="I16" s="81"/>
      <c r="J16" s="81"/>
      <c r="K16" s="81"/>
      <c r="L16" s="81"/>
      <c r="M16" s="81"/>
      <c r="N16" s="81"/>
      <c r="O16" s="81"/>
    </row>
    <row r="17">
      <c r="A17" s="1"/>
      <c r="B17" s="65"/>
      <c r="C17" s="65"/>
      <c r="D17" s="65"/>
      <c r="E17" s="65"/>
      <c r="H17" s="81"/>
      <c r="I17" s="81"/>
      <c r="J17" s="81"/>
      <c r="K17" s="81"/>
      <c r="L17" s="81"/>
      <c r="M17" s="81"/>
      <c r="N17" s="81"/>
      <c r="O17" s="81"/>
    </row>
    <row r="18">
      <c r="A18" s="1" t="s">
        <v>65</v>
      </c>
      <c r="B18" s="65"/>
      <c r="C18" s="65"/>
      <c r="D18" s="65"/>
      <c r="E18" s="65"/>
      <c r="H18" s="81"/>
      <c r="I18" s="81"/>
      <c r="J18" s="81"/>
      <c r="K18" s="81"/>
      <c r="L18" s="81"/>
      <c r="M18" s="81"/>
      <c r="N18" s="81"/>
      <c r="O18" s="81"/>
    </row>
    <row r="19">
      <c r="A19" s="65"/>
      <c r="B19" s="48" t="s">
        <v>66</v>
      </c>
      <c r="C19" s="82">
        <f>U67</f>
        <v>0</v>
      </c>
      <c r="D19" s="65"/>
      <c r="H19" s="94"/>
      <c r="I19" s="83"/>
      <c r="J19" s="83"/>
      <c r="K19" s="83"/>
      <c r="L19" s="83"/>
      <c r="M19" s="84"/>
      <c r="N19" s="81"/>
      <c r="O19" s="81"/>
    </row>
    <row r="20">
      <c r="A20" s="65"/>
      <c r="B20" s="48" t="s">
        <v>67</v>
      </c>
      <c r="C20" s="82">
        <f>V67</f>
        <v>0</v>
      </c>
      <c r="D20" s="65"/>
      <c r="H20" s="94"/>
      <c r="I20" s="83"/>
      <c r="J20" s="83"/>
      <c r="K20" s="83"/>
      <c r="L20" s="83"/>
      <c r="M20" s="84"/>
      <c r="N20" s="81"/>
      <c r="O20" s="81"/>
    </row>
    <row r="21">
      <c r="A21" s="65"/>
      <c r="B21" s="48" t="s">
        <v>68</v>
      </c>
      <c r="C21" s="82">
        <f>S67</f>
        <v>0</v>
      </c>
      <c r="D21" s="65"/>
      <c r="H21" s="94"/>
      <c r="I21" s="83"/>
      <c r="J21" s="83"/>
      <c r="K21" s="83"/>
      <c r="L21" s="83"/>
      <c r="M21" s="84"/>
      <c r="N21" s="81"/>
      <c r="O21" s="81"/>
    </row>
    <row r="22">
      <c r="A22" s="65"/>
      <c r="B22" s="48" t="s">
        <v>69</v>
      </c>
      <c r="C22" s="82">
        <f>T67</f>
        <v>0</v>
      </c>
      <c r="D22" s="65"/>
      <c r="H22" s="94"/>
      <c r="I22" s="83"/>
      <c r="J22" s="83"/>
      <c r="K22" s="83"/>
      <c r="L22" s="83"/>
      <c r="M22" s="84"/>
      <c r="N22" s="81"/>
      <c r="O22" s="81"/>
    </row>
    <row r="23">
      <c r="A23" s="65"/>
      <c r="B23" s="48" t="s">
        <v>70</v>
      </c>
      <c r="C23" s="82">
        <f>O67</f>
        <v>3.5</v>
      </c>
      <c r="D23" s="65"/>
      <c r="H23" s="94"/>
      <c r="I23" s="83"/>
      <c r="J23" s="83"/>
      <c r="K23" s="83"/>
      <c r="L23" s="83"/>
      <c r="M23" s="84"/>
      <c r="N23" s="81"/>
      <c r="O23" s="81"/>
    </row>
    <row r="24">
      <c r="A24" s="65"/>
      <c r="B24" s="48" t="s">
        <v>71</v>
      </c>
      <c r="C24" s="82">
        <f>P67</f>
        <v>0</v>
      </c>
      <c r="D24" s="65"/>
      <c r="H24" s="94"/>
      <c r="I24" s="83"/>
      <c r="J24" s="83"/>
      <c r="K24" s="83"/>
      <c r="L24" s="83"/>
      <c r="M24" s="84"/>
      <c r="N24" s="81"/>
      <c r="O24" s="81"/>
    </row>
    <row r="25">
      <c r="A25" s="65"/>
      <c r="B25" s="48" t="s">
        <v>72</v>
      </c>
      <c r="C25" s="82">
        <f>Q67</f>
        <v>0</v>
      </c>
      <c r="D25" s="65"/>
      <c r="H25" s="94"/>
      <c r="I25" s="83"/>
      <c r="J25" s="83"/>
      <c r="K25" s="83"/>
      <c r="L25" s="83"/>
      <c r="M25" s="84"/>
      <c r="N25" s="81"/>
      <c r="O25" s="81"/>
    </row>
    <row r="26">
      <c r="A26" s="65"/>
      <c r="B26" s="48" t="s">
        <v>73</v>
      </c>
      <c r="C26" s="82">
        <f>R67</f>
        <v>0</v>
      </c>
      <c r="D26" s="65"/>
    </row>
    <row r="27">
      <c r="A27" s="65"/>
      <c r="B27" s="48" t="s">
        <v>74</v>
      </c>
      <c r="C27" s="82">
        <f>F67</f>
        <v>0</v>
      </c>
      <c r="D27" s="65"/>
    </row>
    <row r="28">
      <c r="A28" s="65"/>
      <c r="B28" s="48" t="s">
        <v>75</v>
      </c>
      <c r="C28" s="82">
        <f>G67</f>
        <v>0</v>
      </c>
      <c r="D28" s="65"/>
    </row>
    <row r="29">
      <c r="A29" s="65"/>
      <c r="B29" s="48" t="s">
        <v>76</v>
      </c>
      <c r="C29" s="82">
        <f>I67</f>
        <v>0</v>
      </c>
      <c r="D29" s="65"/>
    </row>
    <row r="30">
      <c r="A30" s="65"/>
      <c r="B30" s="48" t="s">
        <v>107</v>
      </c>
      <c r="C30" s="82">
        <f>J67</f>
        <v>0</v>
      </c>
      <c r="D30" s="65"/>
    </row>
    <row r="31">
      <c r="A31" s="65"/>
      <c r="B31" s="48" t="s">
        <v>78</v>
      </c>
      <c r="C31" s="82">
        <f>L67</f>
        <v>-3.5</v>
      </c>
      <c r="D31" s="65"/>
    </row>
    <row r="32">
      <c r="A32" s="65"/>
      <c r="B32" s="48" t="s">
        <v>79</v>
      </c>
      <c r="C32" s="82">
        <f>K67</f>
        <v>0</v>
      </c>
      <c r="D32" s="65"/>
    </row>
    <row r="33">
      <c r="A33" s="65"/>
      <c r="B33" s="48" t="s">
        <v>80</v>
      </c>
      <c r="C33" s="82">
        <v>0.0</v>
      </c>
      <c r="D33" s="65"/>
    </row>
    <row r="34">
      <c r="A34" s="65"/>
      <c r="B34" s="48" t="s">
        <v>81</v>
      </c>
      <c r="C34" s="82">
        <v>0.0</v>
      </c>
      <c r="D34" s="65"/>
    </row>
    <row r="36">
      <c r="A36" s="95"/>
    </row>
    <row r="37">
      <c r="A37" s="79"/>
      <c r="B37" s="96" t="s">
        <v>82</v>
      </c>
      <c r="C37" s="48" t="s">
        <v>83</v>
      </c>
      <c r="D37" s="48" t="s">
        <v>84</v>
      </c>
      <c r="E37" s="48" t="s">
        <v>85</v>
      </c>
      <c r="F37" s="50" t="s">
        <v>86</v>
      </c>
      <c r="G37" s="50" t="s">
        <v>87</v>
      </c>
      <c r="H37" s="50" t="s">
        <v>88</v>
      </c>
      <c r="I37" s="50" t="s">
        <v>89</v>
      </c>
      <c r="J37" s="50" t="s">
        <v>90</v>
      </c>
      <c r="K37" s="50" t="s">
        <v>91</v>
      </c>
      <c r="L37" s="50" t="s">
        <v>78</v>
      </c>
      <c r="M37" s="50" t="s">
        <v>80</v>
      </c>
      <c r="N37" s="50" t="s">
        <v>92</v>
      </c>
      <c r="O37" s="50" t="s">
        <v>70</v>
      </c>
      <c r="P37" s="50" t="s">
        <v>94</v>
      </c>
      <c r="Q37" s="50" t="s">
        <v>95</v>
      </c>
      <c r="R37" s="50" t="s">
        <v>96</v>
      </c>
      <c r="S37" s="50" t="s">
        <v>97</v>
      </c>
      <c r="T37" s="50" t="s">
        <v>69</v>
      </c>
      <c r="U37" s="50" t="s">
        <v>98</v>
      </c>
      <c r="V37" s="50" t="s">
        <v>99</v>
      </c>
      <c r="W37" s="50" t="s">
        <v>100</v>
      </c>
    </row>
    <row r="38">
      <c r="A38" s="97"/>
      <c r="B38" s="98" t="str">
        <f>'Internal Summary'!B40</f>
        <v>350ml Orisirisi Wallnut with Ginger Drink (12x)</v>
      </c>
      <c r="C38" s="49" t="str">
        <f>'Internal Summary'!C40</f>
        <v/>
      </c>
      <c r="D38" s="49" t="str">
        <f>'Internal Summary'!D40</f>
        <v/>
      </c>
      <c r="E38" s="49" t="str">
        <f>'Internal Summary'!E40</f>
        <v/>
      </c>
      <c r="F38" s="87"/>
      <c r="G38" s="49">
        <f t="shared" ref="G38:G66" si="1">F38*C38</f>
        <v>0</v>
      </c>
      <c r="H38" s="87"/>
      <c r="I38" s="87"/>
      <c r="J38" s="87"/>
      <c r="K38" s="99" t="str">
        <f>'Internal Summary'!K40</f>
        <v/>
      </c>
      <c r="L38" s="100">
        <f t="shared" ref="L38:L66" si="2">H38+U38+W38-O38-Q38-I38-J38</f>
        <v>-0.5</v>
      </c>
      <c r="M38" s="49">
        <f t="shared" ref="M38:M66" si="3">K38-L38</f>
        <v>0.5</v>
      </c>
      <c r="N38" s="49">
        <f t="shared" ref="N38:N66" si="4">M38*C38</f>
        <v>0</v>
      </c>
      <c r="O38" s="49">
        <f>'Dala Sales &amp; Deliveries'!L2</f>
        <v>0.5</v>
      </c>
      <c r="P38" s="49">
        <f t="shared" ref="P38:P66" si="5">O38*E38</f>
        <v>0</v>
      </c>
      <c r="Q38" s="49">
        <f>'External Delivery Fulfillment'!L2</f>
        <v>0</v>
      </c>
      <c r="R38" s="49">
        <f t="shared" ref="R38:R66" si="6">Q38*E38</f>
        <v>0</v>
      </c>
      <c r="S38" s="49">
        <f>'Forwarding From Client'!L2</f>
        <v>0</v>
      </c>
      <c r="T38" s="49">
        <f t="shared" ref="T38:T66" si="7">S38*E38</f>
        <v>0</v>
      </c>
      <c r="U38" s="49">
        <f>'Dala Restocking'!L2</f>
        <v>0</v>
      </c>
      <c r="V38" s="49">
        <f t="shared" ref="V38:V66" si="8">U38*D38</f>
        <v>0</v>
      </c>
      <c r="W38" s="49">
        <f>'Client Restocking'!L2</f>
        <v>0</v>
      </c>
    </row>
    <row r="39">
      <c r="A39" s="97"/>
      <c r="B39" s="98" t="str">
        <f>'Internal Summary'!B41</f>
        <v>500ml Orisirisi Tiger Nut Drink (12x)</v>
      </c>
      <c r="C39" s="49" t="str">
        <f>'Internal Summary'!C41</f>
        <v/>
      </c>
      <c r="D39" s="49" t="str">
        <f>'Internal Summary'!D41</f>
        <v/>
      </c>
      <c r="E39" s="49" t="str">
        <f>'Internal Summary'!E41</f>
        <v/>
      </c>
      <c r="F39" s="101"/>
      <c r="G39" s="49">
        <f t="shared" si="1"/>
        <v>0</v>
      </c>
      <c r="H39" s="101"/>
      <c r="I39" s="87"/>
      <c r="J39" s="101"/>
      <c r="K39" s="99" t="str">
        <f>'Internal Summary'!K41</f>
        <v/>
      </c>
      <c r="L39" s="100">
        <f t="shared" si="2"/>
        <v>-1</v>
      </c>
      <c r="M39" s="49">
        <f t="shared" si="3"/>
        <v>1</v>
      </c>
      <c r="N39" s="49">
        <f t="shared" si="4"/>
        <v>0</v>
      </c>
      <c r="O39" s="49">
        <f>'Dala Sales &amp; Deliveries'!L3</f>
        <v>1</v>
      </c>
      <c r="P39" s="49">
        <f t="shared" si="5"/>
        <v>0</v>
      </c>
      <c r="Q39" s="49">
        <f>'External Delivery Fulfillment'!L3</f>
        <v>0</v>
      </c>
      <c r="R39" s="49">
        <f t="shared" si="6"/>
        <v>0</v>
      </c>
      <c r="S39" s="49">
        <f>'Forwarding From Client'!L3</f>
        <v>0</v>
      </c>
      <c r="T39" s="49">
        <f t="shared" si="7"/>
        <v>0</v>
      </c>
      <c r="U39" s="49">
        <f>'Dala Restocking'!L3</f>
        <v>0</v>
      </c>
      <c r="V39" s="49">
        <f t="shared" si="8"/>
        <v>0</v>
      </c>
      <c r="W39" s="49">
        <f>'Client Restocking'!L3</f>
        <v>0</v>
      </c>
    </row>
    <row r="40">
      <c r="A40" s="97"/>
      <c r="B40" s="98" t="str">
        <f>'Internal Summary'!B42</f>
        <v>500ml Orisirisi Zobo with Date Drink (12x)</v>
      </c>
      <c r="C40" s="49" t="str">
        <f>'Internal Summary'!C42</f>
        <v/>
      </c>
      <c r="D40" s="49" t="str">
        <f>'Internal Summary'!D42</f>
        <v/>
      </c>
      <c r="E40" s="49" t="str">
        <f>'Internal Summary'!E42</f>
        <v/>
      </c>
      <c r="F40" s="101"/>
      <c r="G40" s="49">
        <f t="shared" si="1"/>
        <v>0</v>
      </c>
      <c r="H40" s="101"/>
      <c r="I40" s="87"/>
      <c r="J40" s="101"/>
      <c r="K40" s="99" t="str">
        <f>'Internal Summary'!K42</f>
        <v/>
      </c>
      <c r="L40" s="100">
        <f t="shared" si="2"/>
        <v>-1</v>
      </c>
      <c r="M40" s="49">
        <f t="shared" si="3"/>
        <v>1</v>
      </c>
      <c r="N40" s="49">
        <f t="shared" si="4"/>
        <v>0</v>
      </c>
      <c r="O40" s="49">
        <f>'Dala Sales &amp; Deliveries'!L4</f>
        <v>1</v>
      </c>
      <c r="P40" s="49">
        <f t="shared" si="5"/>
        <v>0</v>
      </c>
      <c r="Q40" s="49">
        <f>'External Delivery Fulfillment'!L4</f>
        <v>0</v>
      </c>
      <c r="R40" s="49">
        <f t="shared" si="6"/>
        <v>0</v>
      </c>
      <c r="S40" s="49">
        <f>'Forwarding From Client'!L4</f>
        <v>0</v>
      </c>
      <c r="T40" s="49">
        <f t="shared" si="7"/>
        <v>0</v>
      </c>
      <c r="U40" s="49">
        <f>'Dala Restocking'!L4</f>
        <v>0</v>
      </c>
      <c r="V40" s="49">
        <f t="shared" si="8"/>
        <v>0</v>
      </c>
      <c r="W40" s="49">
        <f>'Client Restocking'!L4</f>
        <v>0</v>
      </c>
    </row>
    <row r="41">
      <c r="A41" s="97"/>
      <c r="B41" s="98" t="str">
        <f>'Internal Summary'!B43</f>
        <v>350ml Orisirisi Wallnut Drink (12x)</v>
      </c>
      <c r="C41" s="49" t="str">
        <f>'Internal Summary'!C43</f>
        <v/>
      </c>
      <c r="D41" s="49" t="str">
        <f>'Internal Summary'!D43</f>
        <v/>
      </c>
      <c r="E41" s="49" t="str">
        <f>'Internal Summary'!E43</f>
        <v/>
      </c>
      <c r="F41" s="101"/>
      <c r="G41" s="49">
        <f t="shared" si="1"/>
        <v>0</v>
      </c>
      <c r="H41" s="101"/>
      <c r="I41" s="87"/>
      <c r="J41" s="101"/>
      <c r="K41" s="99" t="str">
        <f>'Internal Summary'!K43</f>
        <v/>
      </c>
      <c r="L41" s="100">
        <f t="shared" si="2"/>
        <v>-1</v>
      </c>
      <c r="M41" s="49">
        <f t="shared" si="3"/>
        <v>1</v>
      </c>
      <c r="N41" s="49">
        <f t="shared" si="4"/>
        <v>0</v>
      </c>
      <c r="O41" s="49">
        <f>'Dala Sales &amp; Deliveries'!L5</f>
        <v>1</v>
      </c>
      <c r="P41" s="49">
        <f t="shared" si="5"/>
        <v>0</v>
      </c>
      <c r="Q41" s="49">
        <f>'External Delivery Fulfillment'!L5</f>
        <v>0</v>
      </c>
      <c r="R41" s="49">
        <f t="shared" si="6"/>
        <v>0</v>
      </c>
      <c r="S41" s="49">
        <f>'Forwarding From Client'!L5</f>
        <v>0</v>
      </c>
      <c r="T41" s="49">
        <f t="shared" si="7"/>
        <v>0</v>
      </c>
      <c r="U41" s="49">
        <f>'Dala Restocking'!L5</f>
        <v>0</v>
      </c>
      <c r="V41" s="49">
        <f t="shared" si="8"/>
        <v>0</v>
      </c>
      <c r="W41" s="49">
        <f>'Client Restocking'!L5</f>
        <v>0</v>
      </c>
    </row>
    <row r="42">
      <c r="A42" s="97"/>
      <c r="B42" s="98" t="str">
        <f>'Internal Summary'!B44</f>
        <v>500ml Orisirisi Zobo Drink (12x)</v>
      </c>
      <c r="C42" s="49" t="str">
        <f>'Internal Summary'!C44</f>
        <v/>
      </c>
      <c r="D42" s="49" t="str">
        <f>'Internal Summary'!D44</f>
        <v/>
      </c>
      <c r="E42" s="49" t="str">
        <f>'Internal Summary'!E44</f>
        <v/>
      </c>
      <c r="F42" s="101"/>
      <c r="G42" s="49">
        <f t="shared" si="1"/>
        <v>0</v>
      </c>
      <c r="H42" s="101"/>
      <c r="I42" s="101"/>
      <c r="J42" s="101"/>
      <c r="K42" s="87"/>
      <c r="L42" s="100">
        <f t="shared" si="2"/>
        <v>0</v>
      </c>
      <c r="M42" s="49">
        <f t="shared" si="3"/>
        <v>0</v>
      </c>
      <c r="N42" s="49">
        <f t="shared" si="4"/>
        <v>0</v>
      </c>
      <c r="O42" s="49">
        <f>'Dala Sales &amp; Deliveries'!L6</f>
        <v>0</v>
      </c>
      <c r="P42" s="49">
        <f t="shared" si="5"/>
        <v>0</v>
      </c>
      <c r="Q42" s="49">
        <f>'External Delivery Fulfillment'!L6</f>
        <v>0</v>
      </c>
      <c r="R42" s="49">
        <f t="shared" si="6"/>
        <v>0</v>
      </c>
      <c r="S42" s="49">
        <f>'Forwarding From Client'!L6</f>
        <v>0</v>
      </c>
      <c r="T42" s="49">
        <f t="shared" si="7"/>
        <v>0</v>
      </c>
      <c r="U42" s="49">
        <f>'Dala Restocking'!L6</f>
        <v>0</v>
      </c>
      <c r="V42" s="49">
        <f t="shared" si="8"/>
        <v>0</v>
      </c>
      <c r="W42" s="49">
        <f>'Client Restocking'!L6</f>
        <v>0</v>
      </c>
    </row>
    <row r="43">
      <c r="A43" s="97"/>
      <c r="B43" s="98" t="str">
        <f>'Internal Summary'!B45</f>
        <v/>
      </c>
      <c r="C43" s="49" t="str">
        <f>'Internal Summary'!C45</f>
        <v/>
      </c>
      <c r="D43" s="49" t="str">
        <f>'Internal Summary'!D45</f>
        <v/>
      </c>
      <c r="E43" s="49" t="str">
        <f>'Internal Summary'!E45</f>
        <v/>
      </c>
      <c r="F43" s="101"/>
      <c r="G43" s="49">
        <f t="shared" si="1"/>
        <v>0</v>
      </c>
      <c r="H43" s="101"/>
      <c r="I43" s="101"/>
      <c r="J43" s="101"/>
      <c r="K43" s="87"/>
      <c r="L43" s="100">
        <f t="shared" si="2"/>
        <v>0</v>
      </c>
      <c r="M43" s="49">
        <f t="shared" si="3"/>
        <v>0</v>
      </c>
      <c r="N43" s="49">
        <f t="shared" si="4"/>
        <v>0</v>
      </c>
      <c r="O43" s="49">
        <f>'Dala Sales &amp; Deliveries'!L7</f>
        <v>0</v>
      </c>
      <c r="P43" s="49">
        <f t="shared" si="5"/>
        <v>0</v>
      </c>
      <c r="Q43" s="49">
        <f>'External Delivery Fulfillment'!L7</f>
        <v>0</v>
      </c>
      <c r="R43" s="49">
        <f t="shared" si="6"/>
        <v>0</v>
      </c>
      <c r="S43" s="49">
        <f>'Forwarding From Client'!L7</f>
        <v>0</v>
      </c>
      <c r="T43" s="49">
        <f t="shared" si="7"/>
        <v>0</v>
      </c>
      <c r="U43" s="49">
        <f>'Dala Restocking'!L7</f>
        <v>0</v>
      </c>
      <c r="V43" s="49">
        <f t="shared" si="8"/>
        <v>0</v>
      </c>
      <c r="W43" s="49">
        <f>'Client Restocking'!L7</f>
        <v>0</v>
      </c>
    </row>
    <row r="44">
      <c r="A44" s="97"/>
      <c r="B44" s="98" t="str">
        <f>'Internal Summary'!B46</f>
        <v/>
      </c>
      <c r="C44" s="49" t="str">
        <f>'Internal Summary'!C46</f>
        <v/>
      </c>
      <c r="D44" s="49" t="str">
        <f>'Internal Summary'!D46</f>
        <v/>
      </c>
      <c r="E44" s="49" t="str">
        <f>'Internal Summary'!E46</f>
        <v/>
      </c>
      <c r="F44" s="101"/>
      <c r="G44" s="49">
        <f t="shared" si="1"/>
        <v>0</v>
      </c>
      <c r="H44" s="101"/>
      <c r="I44" s="101"/>
      <c r="J44" s="101"/>
      <c r="K44" s="87"/>
      <c r="L44" s="100">
        <f t="shared" si="2"/>
        <v>0</v>
      </c>
      <c r="M44" s="49">
        <f t="shared" si="3"/>
        <v>0</v>
      </c>
      <c r="N44" s="49">
        <f t="shared" si="4"/>
        <v>0</v>
      </c>
      <c r="O44" s="49">
        <f>'Dala Sales &amp; Deliveries'!L8</f>
        <v>0</v>
      </c>
      <c r="P44" s="49">
        <f t="shared" si="5"/>
        <v>0</v>
      </c>
      <c r="Q44" s="49">
        <f>'External Delivery Fulfillment'!L8</f>
        <v>0</v>
      </c>
      <c r="R44" s="49">
        <f t="shared" si="6"/>
        <v>0</v>
      </c>
      <c r="S44" s="49">
        <f>'Forwarding From Client'!L8</f>
        <v>0</v>
      </c>
      <c r="T44" s="49">
        <f t="shared" si="7"/>
        <v>0</v>
      </c>
      <c r="U44" s="49">
        <f>'Dala Restocking'!L8</f>
        <v>0</v>
      </c>
      <c r="V44" s="49">
        <f t="shared" si="8"/>
        <v>0</v>
      </c>
      <c r="W44" s="49">
        <f>'Client Restocking'!L8</f>
        <v>0</v>
      </c>
    </row>
    <row r="45">
      <c r="A45" s="97"/>
      <c r="B45" s="98" t="str">
        <f>'Internal Summary'!B47</f>
        <v/>
      </c>
      <c r="C45" s="49" t="str">
        <f>'Internal Summary'!C47</f>
        <v/>
      </c>
      <c r="D45" s="49" t="str">
        <f>'Internal Summary'!D47</f>
        <v/>
      </c>
      <c r="E45" s="49" t="str">
        <f>'Internal Summary'!E47</f>
        <v/>
      </c>
      <c r="F45" s="101"/>
      <c r="G45" s="49">
        <f t="shared" si="1"/>
        <v>0</v>
      </c>
      <c r="H45" s="101"/>
      <c r="I45" s="101"/>
      <c r="J45" s="101"/>
      <c r="K45" s="87"/>
      <c r="L45" s="100">
        <f t="shared" si="2"/>
        <v>0</v>
      </c>
      <c r="M45" s="49">
        <f t="shared" si="3"/>
        <v>0</v>
      </c>
      <c r="N45" s="49">
        <f t="shared" si="4"/>
        <v>0</v>
      </c>
      <c r="O45" s="49">
        <f>'Dala Sales &amp; Deliveries'!L9</f>
        <v>0</v>
      </c>
      <c r="P45" s="49">
        <f t="shared" si="5"/>
        <v>0</v>
      </c>
      <c r="Q45" s="49">
        <f>'External Delivery Fulfillment'!L9</f>
        <v>0</v>
      </c>
      <c r="R45" s="49">
        <f t="shared" si="6"/>
        <v>0</v>
      </c>
      <c r="S45" s="49">
        <f>'Forwarding From Client'!L9</f>
        <v>0</v>
      </c>
      <c r="T45" s="49">
        <f t="shared" si="7"/>
        <v>0</v>
      </c>
      <c r="U45" s="49">
        <f>'Dala Restocking'!L9</f>
        <v>0</v>
      </c>
      <c r="V45" s="49">
        <f t="shared" si="8"/>
        <v>0</v>
      </c>
      <c r="W45" s="49">
        <f>'Client Restocking'!L9</f>
        <v>0</v>
      </c>
    </row>
    <row r="46">
      <c r="A46" s="97"/>
      <c r="B46" s="98" t="str">
        <f>'Internal Summary'!B48</f>
        <v/>
      </c>
      <c r="C46" s="49" t="str">
        <f>'Internal Summary'!C48</f>
        <v/>
      </c>
      <c r="D46" s="49" t="str">
        <f>'Internal Summary'!D48</f>
        <v/>
      </c>
      <c r="E46" s="49" t="str">
        <f>'Internal Summary'!E48</f>
        <v/>
      </c>
      <c r="F46" s="101"/>
      <c r="G46" s="49">
        <f t="shared" si="1"/>
        <v>0</v>
      </c>
      <c r="H46" s="101"/>
      <c r="I46" s="101"/>
      <c r="J46" s="101"/>
      <c r="K46" s="87"/>
      <c r="L46" s="100">
        <f t="shared" si="2"/>
        <v>0</v>
      </c>
      <c r="M46" s="49">
        <f t="shared" si="3"/>
        <v>0</v>
      </c>
      <c r="N46" s="49">
        <f t="shared" si="4"/>
        <v>0</v>
      </c>
      <c r="O46" s="49">
        <f>'Dala Sales &amp; Deliveries'!L10</f>
        <v>0</v>
      </c>
      <c r="P46" s="49">
        <f t="shared" si="5"/>
        <v>0</v>
      </c>
      <c r="Q46" s="49">
        <f>'External Delivery Fulfillment'!L10</f>
        <v>0</v>
      </c>
      <c r="R46" s="49">
        <f t="shared" si="6"/>
        <v>0</v>
      </c>
      <c r="S46" s="49">
        <f>'Forwarding From Client'!L10</f>
        <v>0</v>
      </c>
      <c r="T46" s="49">
        <f t="shared" si="7"/>
        <v>0</v>
      </c>
      <c r="U46" s="49">
        <f>'Dala Restocking'!L10</f>
        <v>0</v>
      </c>
      <c r="V46" s="49">
        <f t="shared" si="8"/>
        <v>0</v>
      </c>
      <c r="W46" s="49">
        <f>'Client Restocking'!L10</f>
        <v>0</v>
      </c>
    </row>
    <row r="47">
      <c r="A47" s="97"/>
      <c r="B47" s="98" t="str">
        <f>'Internal Summary'!B49</f>
        <v/>
      </c>
      <c r="C47" s="49" t="str">
        <f>'Internal Summary'!C49</f>
        <v/>
      </c>
      <c r="D47" s="49" t="str">
        <f>'Internal Summary'!D49</f>
        <v/>
      </c>
      <c r="E47" s="49" t="str">
        <f>'Internal Summary'!E49</f>
        <v/>
      </c>
      <c r="F47" s="101"/>
      <c r="G47" s="49">
        <f t="shared" si="1"/>
        <v>0</v>
      </c>
      <c r="H47" s="101"/>
      <c r="I47" s="101"/>
      <c r="J47" s="101"/>
      <c r="K47" s="87"/>
      <c r="L47" s="100">
        <f t="shared" si="2"/>
        <v>0</v>
      </c>
      <c r="M47" s="49">
        <f t="shared" si="3"/>
        <v>0</v>
      </c>
      <c r="N47" s="49">
        <f t="shared" si="4"/>
        <v>0</v>
      </c>
      <c r="O47" s="49">
        <f>'Dala Sales &amp; Deliveries'!L11</f>
        <v>0</v>
      </c>
      <c r="P47" s="49">
        <f t="shared" si="5"/>
        <v>0</v>
      </c>
      <c r="Q47" s="49">
        <f>'External Delivery Fulfillment'!L11</f>
        <v>0</v>
      </c>
      <c r="R47" s="49">
        <f t="shared" si="6"/>
        <v>0</v>
      </c>
      <c r="S47" s="49">
        <f>'Forwarding From Client'!L11</f>
        <v>0</v>
      </c>
      <c r="T47" s="49">
        <f t="shared" si="7"/>
        <v>0</v>
      </c>
      <c r="U47" s="49">
        <f>'Dala Restocking'!L11</f>
        <v>0</v>
      </c>
      <c r="V47" s="49">
        <f t="shared" si="8"/>
        <v>0</v>
      </c>
      <c r="W47" s="49">
        <f>'Client Restocking'!L11</f>
        <v>0</v>
      </c>
    </row>
    <row r="48">
      <c r="A48" s="97"/>
      <c r="B48" s="98" t="str">
        <f>'Internal Summary'!B50</f>
        <v/>
      </c>
      <c r="C48" s="49" t="str">
        <f>'Internal Summary'!C50</f>
        <v/>
      </c>
      <c r="D48" s="49" t="str">
        <f>'Internal Summary'!D50</f>
        <v/>
      </c>
      <c r="E48" s="49" t="str">
        <f>'Internal Summary'!E50</f>
        <v/>
      </c>
      <c r="F48" s="101"/>
      <c r="G48" s="49">
        <f t="shared" si="1"/>
        <v>0</v>
      </c>
      <c r="H48" s="101"/>
      <c r="I48" s="101"/>
      <c r="J48" s="101"/>
      <c r="K48" s="87"/>
      <c r="L48" s="100">
        <f t="shared" si="2"/>
        <v>0</v>
      </c>
      <c r="M48" s="49">
        <f t="shared" si="3"/>
        <v>0</v>
      </c>
      <c r="N48" s="49">
        <f t="shared" si="4"/>
        <v>0</v>
      </c>
      <c r="O48" s="49">
        <f>'Dala Sales &amp; Deliveries'!L12</f>
        <v>0</v>
      </c>
      <c r="P48" s="49">
        <f t="shared" si="5"/>
        <v>0</v>
      </c>
      <c r="Q48" s="49">
        <f>'External Delivery Fulfillment'!L12</f>
        <v>0</v>
      </c>
      <c r="R48" s="49">
        <f t="shared" si="6"/>
        <v>0</v>
      </c>
      <c r="S48" s="49">
        <f>'Forwarding From Client'!L12</f>
        <v>0</v>
      </c>
      <c r="T48" s="49">
        <f t="shared" si="7"/>
        <v>0</v>
      </c>
      <c r="U48" s="49">
        <f>'Dala Restocking'!L12</f>
        <v>0</v>
      </c>
      <c r="V48" s="49">
        <f t="shared" si="8"/>
        <v>0</v>
      </c>
      <c r="W48" s="49">
        <f>'Client Restocking'!L12</f>
        <v>0</v>
      </c>
    </row>
    <row r="49">
      <c r="A49" s="97"/>
      <c r="B49" s="98" t="str">
        <f>'Internal Summary'!B51</f>
        <v/>
      </c>
      <c r="C49" s="49" t="str">
        <f>'Internal Summary'!C51</f>
        <v/>
      </c>
      <c r="D49" s="49" t="str">
        <f>'Internal Summary'!D51</f>
        <v/>
      </c>
      <c r="E49" s="49" t="str">
        <f>'Internal Summary'!E51</f>
        <v/>
      </c>
      <c r="F49" s="101"/>
      <c r="G49" s="49">
        <f t="shared" si="1"/>
        <v>0</v>
      </c>
      <c r="H49" s="101"/>
      <c r="I49" s="101"/>
      <c r="J49" s="101"/>
      <c r="K49" s="87"/>
      <c r="L49" s="100">
        <f t="shared" si="2"/>
        <v>0</v>
      </c>
      <c r="M49" s="49">
        <f t="shared" si="3"/>
        <v>0</v>
      </c>
      <c r="N49" s="49">
        <f t="shared" si="4"/>
        <v>0</v>
      </c>
      <c r="O49" s="49">
        <f>'Dala Sales &amp; Deliveries'!L13</f>
        <v>0</v>
      </c>
      <c r="P49" s="49">
        <f t="shared" si="5"/>
        <v>0</v>
      </c>
      <c r="Q49" s="49">
        <f>'External Delivery Fulfillment'!L13</f>
        <v>0</v>
      </c>
      <c r="R49" s="49">
        <f t="shared" si="6"/>
        <v>0</v>
      </c>
      <c r="S49" s="49">
        <f>'Forwarding From Client'!L13</f>
        <v>0</v>
      </c>
      <c r="T49" s="49">
        <f t="shared" si="7"/>
        <v>0</v>
      </c>
      <c r="U49" s="49">
        <f>'Dala Restocking'!L13</f>
        <v>0</v>
      </c>
      <c r="V49" s="49">
        <f t="shared" si="8"/>
        <v>0</v>
      </c>
      <c r="W49" s="49">
        <f>'Client Restocking'!L13</f>
        <v>0</v>
      </c>
    </row>
    <row r="50">
      <c r="B50" s="18" t="str">
        <f>'Internal Summary'!B52</f>
        <v/>
      </c>
      <c r="C50" s="49" t="str">
        <f>'Internal Summary'!C52</f>
        <v/>
      </c>
      <c r="D50" s="49" t="str">
        <f>'Internal Summary'!D52</f>
        <v/>
      </c>
      <c r="E50" s="49" t="str">
        <f>'Internal Summary'!E52</f>
        <v/>
      </c>
      <c r="F50" s="101"/>
      <c r="G50" s="49">
        <f t="shared" si="1"/>
        <v>0</v>
      </c>
      <c r="H50" s="101"/>
      <c r="I50" s="101"/>
      <c r="J50" s="101"/>
      <c r="K50" s="101"/>
      <c r="L50" s="100">
        <f t="shared" si="2"/>
        <v>0</v>
      </c>
      <c r="M50" s="49">
        <f t="shared" si="3"/>
        <v>0</v>
      </c>
      <c r="N50" s="49">
        <f t="shared" si="4"/>
        <v>0</v>
      </c>
      <c r="O50" s="49" t="str">
        <f>'Dala Sales &amp; Deliveries'!L14</f>
        <v/>
      </c>
      <c r="P50" s="49">
        <f t="shared" si="5"/>
        <v>0</v>
      </c>
      <c r="Q50" s="49" t="str">
        <f>'External Delivery Fulfillment'!L14</f>
        <v/>
      </c>
      <c r="R50" s="49">
        <f t="shared" si="6"/>
        <v>0</v>
      </c>
      <c r="S50" s="49" t="str">
        <f>'Forwarding From Client'!L14</f>
        <v/>
      </c>
      <c r="T50" s="49">
        <f t="shared" si="7"/>
        <v>0</v>
      </c>
      <c r="U50" s="49" t="str">
        <f>'Dala Restocking'!L14</f>
        <v/>
      </c>
      <c r="V50" s="49">
        <f t="shared" si="8"/>
        <v>0</v>
      </c>
      <c r="W50" s="49" t="str">
        <f>'Client Restocking'!L14</f>
        <v/>
      </c>
    </row>
    <row r="51">
      <c r="B51" s="18" t="str">
        <f>'Internal Summary'!B53</f>
        <v/>
      </c>
      <c r="C51" s="49" t="str">
        <f>'Internal Summary'!C53</f>
        <v/>
      </c>
      <c r="D51" s="49" t="str">
        <f>'Internal Summary'!D53</f>
        <v/>
      </c>
      <c r="E51" s="49" t="str">
        <f>'Internal Summary'!E53</f>
        <v/>
      </c>
      <c r="F51" s="101"/>
      <c r="G51" s="49">
        <f t="shared" si="1"/>
        <v>0</v>
      </c>
      <c r="H51" s="101"/>
      <c r="I51" s="101"/>
      <c r="J51" s="101"/>
      <c r="K51" s="101"/>
      <c r="L51" s="100">
        <f t="shared" si="2"/>
        <v>0</v>
      </c>
      <c r="M51" s="49">
        <f t="shared" si="3"/>
        <v>0</v>
      </c>
      <c r="N51" s="49">
        <f t="shared" si="4"/>
        <v>0</v>
      </c>
      <c r="O51" s="49" t="str">
        <f>'Dala Sales &amp; Deliveries'!L15</f>
        <v/>
      </c>
      <c r="P51" s="49">
        <f t="shared" si="5"/>
        <v>0</v>
      </c>
      <c r="Q51" s="49" t="str">
        <f>'External Delivery Fulfillment'!L15</f>
        <v/>
      </c>
      <c r="R51" s="49">
        <f t="shared" si="6"/>
        <v>0</v>
      </c>
      <c r="S51" s="49" t="str">
        <f>'Forwarding From Client'!L15</f>
        <v/>
      </c>
      <c r="T51" s="49">
        <f t="shared" si="7"/>
        <v>0</v>
      </c>
      <c r="U51" s="49" t="str">
        <f>'Dala Restocking'!L15</f>
        <v/>
      </c>
      <c r="V51" s="49">
        <f t="shared" si="8"/>
        <v>0</v>
      </c>
      <c r="W51" s="49" t="str">
        <f>'Client Restocking'!L15</f>
        <v/>
      </c>
    </row>
    <row r="52">
      <c r="B52" s="18" t="str">
        <f>'Internal Summary'!B54</f>
        <v/>
      </c>
      <c r="C52" s="49" t="str">
        <f>'Internal Summary'!C54</f>
        <v/>
      </c>
      <c r="D52" s="49" t="str">
        <f>'Internal Summary'!D54</f>
        <v/>
      </c>
      <c r="E52" s="49" t="str">
        <f>'Internal Summary'!E54</f>
        <v/>
      </c>
      <c r="F52" s="101"/>
      <c r="G52" s="49">
        <f t="shared" si="1"/>
        <v>0</v>
      </c>
      <c r="H52" s="101"/>
      <c r="I52" s="101"/>
      <c r="J52" s="101"/>
      <c r="K52" s="101"/>
      <c r="L52" s="100">
        <f t="shared" si="2"/>
        <v>0</v>
      </c>
      <c r="M52" s="49">
        <f t="shared" si="3"/>
        <v>0</v>
      </c>
      <c r="N52" s="49">
        <f t="shared" si="4"/>
        <v>0</v>
      </c>
      <c r="O52" s="49" t="str">
        <f>'Dala Sales &amp; Deliveries'!L16</f>
        <v/>
      </c>
      <c r="P52" s="49">
        <f t="shared" si="5"/>
        <v>0</v>
      </c>
      <c r="Q52" s="49" t="str">
        <f>'External Delivery Fulfillment'!L16</f>
        <v/>
      </c>
      <c r="R52" s="49">
        <f t="shared" si="6"/>
        <v>0</v>
      </c>
      <c r="S52" s="49" t="str">
        <f>'Forwarding From Client'!L16</f>
        <v/>
      </c>
      <c r="T52" s="49">
        <f t="shared" si="7"/>
        <v>0</v>
      </c>
      <c r="U52" s="49" t="str">
        <f>'Dala Restocking'!L16</f>
        <v/>
      </c>
      <c r="V52" s="49">
        <f t="shared" si="8"/>
        <v>0</v>
      </c>
      <c r="W52" s="49" t="str">
        <f>'Client Restocking'!L16</f>
        <v/>
      </c>
    </row>
    <row r="53">
      <c r="B53" s="18" t="str">
        <f>'Internal Summary'!B55</f>
        <v/>
      </c>
      <c r="C53" s="49" t="str">
        <f>'Internal Summary'!C55</f>
        <v/>
      </c>
      <c r="D53" s="49" t="str">
        <f>'Internal Summary'!D55</f>
        <v/>
      </c>
      <c r="E53" s="49" t="str">
        <f>'Internal Summary'!E55</f>
        <v/>
      </c>
      <c r="F53" s="101"/>
      <c r="G53" s="49">
        <f t="shared" si="1"/>
        <v>0</v>
      </c>
      <c r="H53" s="101"/>
      <c r="I53" s="101"/>
      <c r="J53" s="101"/>
      <c r="K53" s="101"/>
      <c r="L53" s="100">
        <f t="shared" si="2"/>
        <v>0</v>
      </c>
      <c r="M53" s="49">
        <f t="shared" si="3"/>
        <v>0</v>
      </c>
      <c r="N53" s="49">
        <f t="shared" si="4"/>
        <v>0</v>
      </c>
      <c r="O53" s="49" t="str">
        <f>'Dala Sales &amp; Deliveries'!L17</f>
        <v/>
      </c>
      <c r="P53" s="49">
        <f t="shared" si="5"/>
        <v>0</v>
      </c>
      <c r="Q53" s="49" t="str">
        <f>'External Delivery Fulfillment'!L17</f>
        <v/>
      </c>
      <c r="R53" s="49">
        <f t="shared" si="6"/>
        <v>0</v>
      </c>
      <c r="S53" s="49" t="str">
        <f>'Forwarding From Client'!L17</f>
        <v/>
      </c>
      <c r="T53" s="49">
        <f t="shared" si="7"/>
        <v>0</v>
      </c>
      <c r="U53" s="49" t="str">
        <f>'Dala Restocking'!L17</f>
        <v/>
      </c>
      <c r="V53" s="49">
        <f t="shared" si="8"/>
        <v>0</v>
      </c>
      <c r="W53" s="49" t="str">
        <f>'Client Restocking'!L17</f>
        <v/>
      </c>
    </row>
    <row r="54">
      <c r="B54" s="18" t="str">
        <f>'Internal Summary'!B56</f>
        <v/>
      </c>
      <c r="C54" s="49" t="str">
        <f>'Internal Summary'!C56</f>
        <v/>
      </c>
      <c r="D54" s="49" t="str">
        <f>'Internal Summary'!D56</f>
        <v/>
      </c>
      <c r="E54" s="49" t="str">
        <f>'Internal Summary'!E56</f>
        <v/>
      </c>
      <c r="F54" s="101"/>
      <c r="G54" s="49">
        <f t="shared" si="1"/>
        <v>0</v>
      </c>
      <c r="H54" s="101"/>
      <c r="I54" s="101"/>
      <c r="J54" s="101"/>
      <c r="K54" s="101"/>
      <c r="L54" s="100">
        <f t="shared" si="2"/>
        <v>0</v>
      </c>
      <c r="M54" s="49">
        <f t="shared" si="3"/>
        <v>0</v>
      </c>
      <c r="N54" s="49">
        <f t="shared" si="4"/>
        <v>0</v>
      </c>
      <c r="O54" s="49" t="str">
        <f>'Dala Sales &amp; Deliveries'!L18</f>
        <v/>
      </c>
      <c r="P54" s="49">
        <f t="shared" si="5"/>
        <v>0</v>
      </c>
      <c r="Q54" s="49" t="str">
        <f>'External Delivery Fulfillment'!L18</f>
        <v/>
      </c>
      <c r="R54" s="49">
        <f t="shared" si="6"/>
        <v>0</v>
      </c>
      <c r="S54" s="49" t="str">
        <f>'Forwarding From Client'!L18</f>
        <v/>
      </c>
      <c r="T54" s="49">
        <f t="shared" si="7"/>
        <v>0</v>
      </c>
      <c r="U54" s="49" t="str">
        <f>'Dala Restocking'!L18</f>
        <v/>
      </c>
      <c r="V54" s="49">
        <f t="shared" si="8"/>
        <v>0</v>
      </c>
      <c r="W54" s="49" t="str">
        <f>'Client Restocking'!L18</f>
        <v/>
      </c>
    </row>
    <row r="55">
      <c r="B55" s="18" t="str">
        <f>'Internal Summary'!B57</f>
        <v/>
      </c>
      <c r="C55" s="49" t="str">
        <f>'Internal Summary'!C57</f>
        <v/>
      </c>
      <c r="D55" s="49" t="str">
        <f>'Internal Summary'!D57</f>
        <v/>
      </c>
      <c r="E55" s="49" t="str">
        <f>'Internal Summary'!E57</f>
        <v/>
      </c>
      <c r="F55" s="101"/>
      <c r="G55" s="49">
        <f t="shared" si="1"/>
        <v>0</v>
      </c>
      <c r="H55" s="101"/>
      <c r="I55" s="101"/>
      <c r="J55" s="101"/>
      <c r="K55" s="101"/>
      <c r="L55" s="100">
        <f t="shared" si="2"/>
        <v>0</v>
      </c>
      <c r="M55" s="49">
        <f t="shared" si="3"/>
        <v>0</v>
      </c>
      <c r="N55" s="49">
        <f t="shared" si="4"/>
        <v>0</v>
      </c>
      <c r="O55" s="49" t="str">
        <f>'Dala Sales &amp; Deliveries'!L19</f>
        <v/>
      </c>
      <c r="P55" s="49">
        <f t="shared" si="5"/>
        <v>0</v>
      </c>
      <c r="Q55" s="49" t="str">
        <f>'External Delivery Fulfillment'!L19</f>
        <v/>
      </c>
      <c r="R55" s="49">
        <f t="shared" si="6"/>
        <v>0</v>
      </c>
      <c r="S55" s="49" t="str">
        <f>'Forwarding From Client'!L19</f>
        <v/>
      </c>
      <c r="T55" s="49">
        <f t="shared" si="7"/>
        <v>0</v>
      </c>
      <c r="U55" s="49" t="str">
        <f>'Dala Restocking'!L19</f>
        <v/>
      </c>
      <c r="V55" s="49">
        <f t="shared" si="8"/>
        <v>0</v>
      </c>
      <c r="W55" s="49" t="str">
        <f>'Client Restocking'!L19</f>
        <v/>
      </c>
    </row>
    <row r="56">
      <c r="B56" s="18" t="str">
        <f>'Internal Summary'!B58</f>
        <v/>
      </c>
      <c r="C56" s="49" t="str">
        <f>'Internal Summary'!C58</f>
        <v/>
      </c>
      <c r="D56" s="49" t="str">
        <f>'Internal Summary'!D58</f>
        <v/>
      </c>
      <c r="E56" s="49" t="str">
        <f>'Internal Summary'!E58</f>
        <v/>
      </c>
      <c r="F56" s="101"/>
      <c r="G56" s="49">
        <f t="shared" si="1"/>
        <v>0</v>
      </c>
      <c r="H56" s="101"/>
      <c r="I56" s="101"/>
      <c r="J56" s="101"/>
      <c r="K56" s="101"/>
      <c r="L56" s="100">
        <f t="shared" si="2"/>
        <v>0</v>
      </c>
      <c r="M56" s="49">
        <f t="shared" si="3"/>
        <v>0</v>
      </c>
      <c r="N56" s="49">
        <f t="shared" si="4"/>
        <v>0</v>
      </c>
      <c r="O56" s="49" t="str">
        <f>'Dala Sales &amp; Deliveries'!L20</f>
        <v/>
      </c>
      <c r="P56" s="49">
        <f t="shared" si="5"/>
        <v>0</v>
      </c>
      <c r="Q56" s="49" t="str">
        <f>'External Delivery Fulfillment'!L20</f>
        <v/>
      </c>
      <c r="R56" s="49">
        <f t="shared" si="6"/>
        <v>0</v>
      </c>
      <c r="S56" s="49" t="str">
        <f>'Forwarding From Client'!L20</f>
        <v/>
      </c>
      <c r="T56" s="49">
        <f t="shared" si="7"/>
        <v>0</v>
      </c>
      <c r="U56" s="49" t="str">
        <f>'Dala Restocking'!L20</f>
        <v/>
      </c>
      <c r="V56" s="49">
        <f t="shared" si="8"/>
        <v>0</v>
      </c>
      <c r="W56" s="49" t="str">
        <f>'Client Restocking'!L20</f>
        <v/>
      </c>
    </row>
    <row r="57">
      <c r="B57" s="18" t="str">
        <f>'Internal Summary'!B59</f>
        <v/>
      </c>
      <c r="C57" s="49" t="str">
        <f>'Internal Summary'!C59</f>
        <v/>
      </c>
      <c r="D57" s="49" t="str">
        <f>'Internal Summary'!D59</f>
        <v/>
      </c>
      <c r="E57" s="49" t="str">
        <f>'Internal Summary'!E59</f>
        <v/>
      </c>
      <c r="F57" s="101"/>
      <c r="G57" s="49">
        <f t="shared" si="1"/>
        <v>0</v>
      </c>
      <c r="H57" s="101"/>
      <c r="I57" s="101"/>
      <c r="J57" s="101"/>
      <c r="K57" s="101"/>
      <c r="L57" s="100">
        <f t="shared" si="2"/>
        <v>0</v>
      </c>
      <c r="M57" s="49">
        <f t="shared" si="3"/>
        <v>0</v>
      </c>
      <c r="N57" s="49">
        <f t="shared" si="4"/>
        <v>0</v>
      </c>
      <c r="O57" s="49" t="str">
        <f>'Dala Sales &amp; Deliveries'!L21</f>
        <v/>
      </c>
      <c r="P57" s="49">
        <f t="shared" si="5"/>
        <v>0</v>
      </c>
      <c r="Q57" s="49" t="str">
        <f>'External Delivery Fulfillment'!L21</f>
        <v/>
      </c>
      <c r="R57" s="49">
        <f t="shared" si="6"/>
        <v>0</v>
      </c>
      <c r="S57" s="49" t="str">
        <f>'Forwarding From Client'!L21</f>
        <v/>
      </c>
      <c r="T57" s="49">
        <f t="shared" si="7"/>
        <v>0</v>
      </c>
      <c r="U57" s="49" t="str">
        <f>'Dala Restocking'!L21</f>
        <v/>
      </c>
      <c r="V57" s="49">
        <f t="shared" si="8"/>
        <v>0</v>
      </c>
      <c r="W57" s="49" t="str">
        <f>'Client Restocking'!L21</f>
        <v/>
      </c>
    </row>
    <row r="58">
      <c r="B58" s="18" t="str">
        <f>'Internal Summary'!B60</f>
        <v/>
      </c>
      <c r="C58" s="49" t="str">
        <f>'Internal Summary'!C60</f>
        <v/>
      </c>
      <c r="D58" s="49" t="str">
        <f>'Internal Summary'!D60</f>
        <v/>
      </c>
      <c r="E58" s="49" t="str">
        <f>'Internal Summary'!E60</f>
        <v/>
      </c>
      <c r="F58" s="101"/>
      <c r="G58" s="49">
        <f t="shared" si="1"/>
        <v>0</v>
      </c>
      <c r="H58" s="101"/>
      <c r="I58" s="101"/>
      <c r="J58" s="101"/>
      <c r="K58" s="101"/>
      <c r="L58" s="100">
        <f t="shared" si="2"/>
        <v>0</v>
      </c>
      <c r="M58" s="49">
        <f t="shared" si="3"/>
        <v>0</v>
      </c>
      <c r="N58" s="49">
        <f t="shared" si="4"/>
        <v>0</v>
      </c>
      <c r="O58" s="49" t="str">
        <f>'Dala Sales &amp; Deliveries'!L22</f>
        <v/>
      </c>
      <c r="P58" s="49">
        <f t="shared" si="5"/>
        <v>0</v>
      </c>
      <c r="Q58" s="49" t="str">
        <f>'External Delivery Fulfillment'!L22</f>
        <v/>
      </c>
      <c r="R58" s="49">
        <f t="shared" si="6"/>
        <v>0</v>
      </c>
      <c r="S58" s="49" t="str">
        <f>'Forwarding From Client'!L22</f>
        <v/>
      </c>
      <c r="T58" s="49">
        <f t="shared" si="7"/>
        <v>0</v>
      </c>
      <c r="U58" s="49" t="str">
        <f>'Dala Restocking'!L22</f>
        <v/>
      </c>
      <c r="V58" s="49">
        <f t="shared" si="8"/>
        <v>0</v>
      </c>
      <c r="W58" s="49" t="str">
        <f>'Client Restocking'!L22</f>
        <v/>
      </c>
    </row>
    <row r="59">
      <c r="B59" s="18" t="str">
        <f>'Internal Summary'!B61</f>
        <v/>
      </c>
      <c r="C59" s="49" t="str">
        <f>'Internal Summary'!C61</f>
        <v/>
      </c>
      <c r="D59" s="49" t="str">
        <f>'Internal Summary'!D61</f>
        <v/>
      </c>
      <c r="E59" s="49" t="str">
        <f>'Internal Summary'!E61</f>
        <v/>
      </c>
      <c r="F59" s="101"/>
      <c r="G59" s="49">
        <f t="shared" si="1"/>
        <v>0</v>
      </c>
      <c r="H59" s="101"/>
      <c r="I59" s="101"/>
      <c r="J59" s="101"/>
      <c r="K59" s="101"/>
      <c r="L59" s="100">
        <f t="shared" si="2"/>
        <v>0</v>
      </c>
      <c r="M59" s="49">
        <f t="shared" si="3"/>
        <v>0</v>
      </c>
      <c r="N59" s="49">
        <f t="shared" si="4"/>
        <v>0</v>
      </c>
      <c r="O59" s="49" t="str">
        <f>'Dala Sales &amp; Deliveries'!L23</f>
        <v/>
      </c>
      <c r="P59" s="49">
        <f t="shared" si="5"/>
        <v>0</v>
      </c>
      <c r="Q59" s="49" t="str">
        <f>'External Delivery Fulfillment'!L23</f>
        <v/>
      </c>
      <c r="R59" s="49">
        <f t="shared" si="6"/>
        <v>0</v>
      </c>
      <c r="S59" s="49" t="str">
        <f>'Forwarding From Client'!L23</f>
        <v/>
      </c>
      <c r="T59" s="49">
        <f t="shared" si="7"/>
        <v>0</v>
      </c>
      <c r="U59" s="49" t="str">
        <f>'Dala Restocking'!L23</f>
        <v/>
      </c>
      <c r="V59" s="49">
        <f t="shared" si="8"/>
        <v>0</v>
      </c>
      <c r="W59" s="49" t="str">
        <f>'Client Restocking'!L23</f>
        <v/>
      </c>
    </row>
    <row r="60">
      <c r="B60" s="18" t="str">
        <f>'Internal Summary'!B62</f>
        <v/>
      </c>
      <c r="C60" s="49" t="str">
        <f>'Internal Summary'!C62</f>
        <v/>
      </c>
      <c r="D60" s="49" t="str">
        <f>'Internal Summary'!D62</f>
        <v/>
      </c>
      <c r="E60" s="49" t="str">
        <f>'Internal Summary'!E62</f>
        <v/>
      </c>
      <c r="F60" s="101"/>
      <c r="G60" s="49">
        <f t="shared" si="1"/>
        <v>0</v>
      </c>
      <c r="H60" s="101"/>
      <c r="I60" s="101"/>
      <c r="J60" s="101"/>
      <c r="K60" s="101"/>
      <c r="L60" s="100">
        <f t="shared" si="2"/>
        <v>0</v>
      </c>
      <c r="M60" s="49">
        <f t="shared" si="3"/>
        <v>0</v>
      </c>
      <c r="N60" s="49">
        <f t="shared" si="4"/>
        <v>0</v>
      </c>
      <c r="O60" s="49" t="str">
        <f>'Dala Sales &amp; Deliveries'!L24</f>
        <v/>
      </c>
      <c r="P60" s="49">
        <f t="shared" si="5"/>
        <v>0</v>
      </c>
      <c r="Q60" s="49" t="str">
        <f>'External Delivery Fulfillment'!L24</f>
        <v/>
      </c>
      <c r="R60" s="49">
        <f t="shared" si="6"/>
        <v>0</v>
      </c>
      <c r="S60" s="49" t="str">
        <f>'Forwarding From Client'!L24</f>
        <v/>
      </c>
      <c r="T60" s="49">
        <f t="shared" si="7"/>
        <v>0</v>
      </c>
      <c r="U60" s="49" t="str">
        <f>'Dala Restocking'!L24</f>
        <v/>
      </c>
      <c r="V60" s="49">
        <f t="shared" si="8"/>
        <v>0</v>
      </c>
      <c r="W60" s="49" t="str">
        <f>'Client Restocking'!L24</f>
        <v/>
      </c>
    </row>
    <row r="61">
      <c r="B61" s="18" t="str">
        <f>'Internal Summary'!B63</f>
        <v/>
      </c>
      <c r="C61" s="49" t="str">
        <f>'Internal Summary'!C63</f>
        <v/>
      </c>
      <c r="D61" s="49" t="str">
        <f>'Internal Summary'!D63</f>
        <v/>
      </c>
      <c r="E61" s="49" t="str">
        <f>'Internal Summary'!E63</f>
        <v/>
      </c>
      <c r="F61" s="101"/>
      <c r="G61" s="49">
        <f t="shared" si="1"/>
        <v>0</v>
      </c>
      <c r="H61" s="101"/>
      <c r="I61" s="101"/>
      <c r="J61" s="101"/>
      <c r="K61" s="101"/>
      <c r="L61" s="100">
        <f t="shared" si="2"/>
        <v>0</v>
      </c>
      <c r="M61" s="49">
        <f t="shared" si="3"/>
        <v>0</v>
      </c>
      <c r="N61" s="49">
        <f t="shared" si="4"/>
        <v>0</v>
      </c>
      <c r="O61" s="49" t="str">
        <f>'Dala Sales &amp; Deliveries'!L25</f>
        <v/>
      </c>
      <c r="P61" s="49">
        <f t="shared" si="5"/>
        <v>0</v>
      </c>
      <c r="Q61" s="49" t="str">
        <f>'External Delivery Fulfillment'!L25</f>
        <v/>
      </c>
      <c r="R61" s="49">
        <f t="shared" si="6"/>
        <v>0</v>
      </c>
      <c r="S61" s="49" t="str">
        <f>'Forwarding From Client'!L25</f>
        <v/>
      </c>
      <c r="T61" s="49">
        <f t="shared" si="7"/>
        <v>0</v>
      </c>
      <c r="U61" s="49" t="str">
        <f>'Dala Restocking'!L25</f>
        <v/>
      </c>
      <c r="V61" s="49">
        <f t="shared" si="8"/>
        <v>0</v>
      </c>
      <c r="W61" s="49" t="str">
        <f>'Client Restocking'!L25</f>
        <v/>
      </c>
    </row>
    <row r="62">
      <c r="B62" s="18" t="str">
        <f>'Internal Summary'!B64</f>
        <v/>
      </c>
      <c r="C62" s="49" t="str">
        <f>'Internal Summary'!C64</f>
        <v/>
      </c>
      <c r="D62" s="49" t="str">
        <f>'Internal Summary'!D64</f>
        <v/>
      </c>
      <c r="E62" s="49" t="str">
        <f>'Internal Summary'!E64</f>
        <v/>
      </c>
      <c r="F62" s="101"/>
      <c r="G62" s="49">
        <f t="shared" si="1"/>
        <v>0</v>
      </c>
      <c r="H62" s="101"/>
      <c r="I62" s="101"/>
      <c r="J62" s="101"/>
      <c r="K62" s="101"/>
      <c r="L62" s="100">
        <f t="shared" si="2"/>
        <v>0</v>
      </c>
      <c r="M62" s="49">
        <f t="shared" si="3"/>
        <v>0</v>
      </c>
      <c r="N62" s="49">
        <f t="shared" si="4"/>
        <v>0</v>
      </c>
      <c r="O62" s="49" t="str">
        <f>'Dala Sales &amp; Deliveries'!L26</f>
        <v/>
      </c>
      <c r="P62" s="49">
        <f t="shared" si="5"/>
        <v>0</v>
      </c>
      <c r="Q62" s="49" t="str">
        <f>'External Delivery Fulfillment'!L26</f>
        <v/>
      </c>
      <c r="R62" s="49">
        <f t="shared" si="6"/>
        <v>0</v>
      </c>
      <c r="S62" s="49" t="str">
        <f>'Forwarding From Client'!L26</f>
        <v/>
      </c>
      <c r="T62" s="49">
        <f t="shared" si="7"/>
        <v>0</v>
      </c>
      <c r="U62" s="49" t="str">
        <f>'Dala Restocking'!L26</f>
        <v/>
      </c>
      <c r="V62" s="49">
        <f t="shared" si="8"/>
        <v>0</v>
      </c>
      <c r="W62" s="49" t="str">
        <f>'Client Restocking'!L26</f>
        <v/>
      </c>
    </row>
    <row r="63">
      <c r="B63" s="18" t="str">
        <f>'Internal Summary'!B65</f>
        <v/>
      </c>
      <c r="C63" s="49" t="str">
        <f>'Internal Summary'!C65</f>
        <v/>
      </c>
      <c r="D63" s="49" t="str">
        <f>'Internal Summary'!D65</f>
        <v/>
      </c>
      <c r="E63" s="49" t="str">
        <f>'Internal Summary'!E65</f>
        <v/>
      </c>
      <c r="F63" s="101"/>
      <c r="G63" s="49">
        <f t="shared" si="1"/>
        <v>0</v>
      </c>
      <c r="H63" s="101"/>
      <c r="I63" s="101"/>
      <c r="J63" s="101"/>
      <c r="K63" s="101"/>
      <c r="L63" s="100">
        <f t="shared" si="2"/>
        <v>0</v>
      </c>
      <c r="M63" s="49">
        <f t="shared" si="3"/>
        <v>0</v>
      </c>
      <c r="N63" s="49">
        <f t="shared" si="4"/>
        <v>0</v>
      </c>
      <c r="O63" s="49" t="str">
        <f>'Dala Sales &amp; Deliveries'!L27</f>
        <v/>
      </c>
      <c r="P63" s="49">
        <f t="shared" si="5"/>
        <v>0</v>
      </c>
      <c r="Q63" s="49" t="str">
        <f>'External Delivery Fulfillment'!L27</f>
        <v/>
      </c>
      <c r="R63" s="49">
        <f t="shared" si="6"/>
        <v>0</v>
      </c>
      <c r="S63" s="49" t="str">
        <f>'Forwarding From Client'!L27</f>
        <v/>
      </c>
      <c r="T63" s="49">
        <f t="shared" si="7"/>
        <v>0</v>
      </c>
      <c r="U63" s="49" t="str">
        <f>'Dala Restocking'!L27</f>
        <v/>
      </c>
      <c r="V63" s="49">
        <f t="shared" si="8"/>
        <v>0</v>
      </c>
      <c r="W63" s="49" t="str">
        <f>'Client Restocking'!L27</f>
        <v/>
      </c>
    </row>
    <row r="64">
      <c r="B64" s="18" t="str">
        <f>'Internal Summary'!B66</f>
        <v/>
      </c>
      <c r="C64" s="49" t="str">
        <f>'Internal Summary'!C66</f>
        <v/>
      </c>
      <c r="D64" s="49" t="str">
        <f>'Internal Summary'!D66</f>
        <v/>
      </c>
      <c r="E64" s="49" t="str">
        <f>'Internal Summary'!E66</f>
        <v/>
      </c>
      <c r="F64" s="101"/>
      <c r="G64" s="49">
        <f t="shared" si="1"/>
        <v>0</v>
      </c>
      <c r="H64" s="101"/>
      <c r="I64" s="101"/>
      <c r="J64" s="101"/>
      <c r="K64" s="101"/>
      <c r="L64" s="100">
        <f t="shared" si="2"/>
        <v>0</v>
      </c>
      <c r="M64" s="49">
        <f t="shared" si="3"/>
        <v>0</v>
      </c>
      <c r="N64" s="49">
        <f t="shared" si="4"/>
        <v>0</v>
      </c>
      <c r="O64" s="49" t="str">
        <f>'Dala Sales &amp; Deliveries'!L28</f>
        <v/>
      </c>
      <c r="P64" s="49">
        <f t="shared" si="5"/>
        <v>0</v>
      </c>
      <c r="Q64" s="49" t="str">
        <f>'External Delivery Fulfillment'!L28</f>
        <v/>
      </c>
      <c r="R64" s="49">
        <f t="shared" si="6"/>
        <v>0</v>
      </c>
      <c r="S64" s="49" t="str">
        <f>'Forwarding From Client'!L28</f>
        <v/>
      </c>
      <c r="T64" s="49">
        <f t="shared" si="7"/>
        <v>0</v>
      </c>
      <c r="U64" s="49" t="str">
        <f>'Dala Restocking'!L28</f>
        <v/>
      </c>
      <c r="V64" s="49">
        <f t="shared" si="8"/>
        <v>0</v>
      </c>
      <c r="W64" s="49" t="str">
        <f>'Client Restocking'!L28</f>
        <v/>
      </c>
    </row>
    <row r="65">
      <c r="B65" s="18" t="str">
        <f>'Internal Summary'!B67</f>
        <v/>
      </c>
      <c r="C65" s="49" t="str">
        <f>'Internal Summary'!C67</f>
        <v/>
      </c>
      <c r="D65" s="49" t="str">
        <f>'Internal Summary'!D67</f>
        <v/>
      </c>
      <c r="E65" s="49" t="str">
        <f>'Internal Summary'!E67</f>
        <v/>
      </c>
      <c r="F65" s="101"/>
      <c r="G65" s="49">
        <f t="shared" si="1"/>
        <v>0</v>
      </c>
      <c r="H65" s="101"/>
      <c r="I65" s="101"/>
      <c r="J65" s="101"/>
      <c r="K65" s="101"/>
      <c r="L65" s="100">
        <f t="shared" si="2"/>
        <v>0</v>
      </c>
      <c r="M65" s="49">
        <f t="shared" si="3"/>
        <v>0</v>
      </c>
      <c r="N65" s="49">
        <f t="shared" si="4"/>
        <v>0</v>
      </c>
      <c r="O65" s="49" t="str">
        <f>'Dala Sales &amp; Deliveries'!L29</f>
        <v/>
      </c>
      <c r="P65" s="49">
        <f t="shared" si="5"/>
        <v>0</v>
      </c>
      <c r="Q65" s="49" t="str">
        <f>'External Delivery Fulfillment'!L29</f>
        <v/>
      </c>
      <c r="R65" s="49">
        <f t="shared" si="6"/>
        <v>0</v>
      </c>
      <c r="S65" s="49" t="str">
        <f>'Forwarding From Client'!L29</f>
        <v/>
      </c>
      <c r="T65" s="49">
        <f t="shared" si="7"/>
        <v>0</v>
      </c>
      <c r="U65" s="49" t="str">
        <f>'Dala Restocking'!L29</f>
        <v/>
      </c>
      <c r="V65" s="49">
        <f t="shared" si="8"/>
        <v>0</v>
      </c>
      <c r="W65" s="49" t="str">
        <f>'Client Restocking'!L29</f>
        <v/>
      </c>
    </row>
    <row r="66">
      <c r="B66" s="18" t="str">
        <f>'Internal Summary'!B68</f>
        <v/>
      </c>
      <c r="C66" s="49" t="str">
        <f>'Internal Summary'!C68</f>
        <v/>
      </c>
      <c r="D66" s="49" t="str">
        <f>'Internal Summary'!D68</f>
        <v/>
      </c>
      <c r="E66" s="49" t="str">
        <f>'Internal Summary'!E68</f>
        <v/>
      </c>
      <c r="F66" s="101"/>
      <c r="G66" s="49">
        <f t="shared" si="1"/>
        <v>0</v>
      </c>
      <c r="H66" s="101"/>
      <c r="I66" s="101"/>
      <c r="J66" s="101"/>
      <c r="K66" s="101"/>
      <c r="L66" s="100">
        <f t="shared" si="2"/>
        <v>0</v>
      </c>
      <c r="M66" s="49">
        <f t="shared" si="3"/>
        <v>0</v>
      </c>
      <c r="N66" s="49">
        <f t="shared" si="4"/>
        <v>0</v>
      </c>
      <c r="O66" s="49" t="str">
        <f>'Dala Sales &amp; Deliveries'!L30</f>
        <v/>
      </c>
      <c r="P66" s="49">
        <f t="shared" si="5"/>
        <v>0</v>
      </c>
      <c r="Q66" s="49" t="str">
        <f>'External Delivery Fulfillment'!L30</f>
        <v/>
      </c>
      <c r="R66" s="49">
        <f t="shared" si="6"/>
        <v>0</v>
      </c>
      <c r="S66" s="49" t="str">
        <f>'Forwarding From Client'!L30</f>
        <v/>
      </c>
      <c r="T66" s="49">
        <f t="shared" si="7"/>
        <v>0</v>
      </c>
      <c r="U66" s="49" t="str">
        <f>'Dala Restocking'!L30</f>
        <v/>
      </c>
      <c r="V66" s="49">
        <f t="shared" si="8"/>
        <v>0</v>
      </c>
      <c r="W66" s="49" t="str">
        <f>'Client Restocking'!L30</f>
        <v/>
      </c>
    </row>
    <row r="67">
      <c r="B67" s="50" t="s">
        <v>102</v>
      </c>
      <c r="C67" s="85"/>
      <c r="D67" s="85"/>
      <c r="E67" s="100"/>
      <c r="F67" s="100">
        <f t="shared" ref="F67:W67" si="9">sum(F38:F66)</f>
        <v>0</v>
      </c>
      <c r="G67" s="100">
        <f t="shared" si="9"/>
        <v>0</v>
      </c>
      <c r="H67" s="100">
        <f t="shared" si="9"/>
        <v>0</v>
      </c>
      <c r="I67" s="100">
        <f t="shared" si="9"/>
        <v>0</v>
      </c>
      <c r="J67" s="100">
        <f t="shared" si="9"/>
        <v>0</v>
      </c>
      <c r="K67" s="100">
        <f t="shared" si="9"/>
        <v>0</v>
      </c>
      <c r="L67" s="100">
        <f t="shared" si="9"/>
        <v>-3.5</v>
      </c>
      <c r="M67" s="49">
        <f t="shared" si="9"/>
        <v>3.5</v>
      </c>
      <c r="N67" s="49">
        <f t="shared" si="9"/>
        <v>0</v>
      </c>
      <c r="O67" s="49">
        <f t="shared" si="9"/>
        <v>3.5</v>
      </c>
      <c r="P67" s="49">
        <f t="shared" si="9"/>
        <v>0</v>
      </c>
      <c r="Q67" s="49">
        <f t="shared" si="9"/>
        <v>0</v>
      </c>
      <c r="R67" s="49">
        <f t="shared" si="9"/>
        <v>0</v>
      </c>
      <c r="S67" s="49">
        <f t="shared" si="9"/>
        <v>0</v>
      </c>
      <c r="T67" s="49">
        <f t="shared" si="9"/>
        <v>0</v>
      </c>
      <c r="U67" s="49">
        <f t="shared" si="9"/>
        <v>0</v>
      </c>
      <c r="V67" s="49">
        <f t="shared" si="9"/>
        <v>0</v>
      </c>
      <c r="W67" s="49">
        <f t="shared" si="9"/>
        <v>0</v>
      </c>
    </row>
    <row r="68">
      <c r="C68" s="6" t="s">
        <v>103</v>
      </c>
      <c r="D68" s="6" t="s">
        <v>103</v>
      </c>
      <c r="E68" s="6" t="s">
        <v>103</v>
      </c>
      <c r="F68" s="6" t="s">
        <v>103</v>
      </c>
      <c r="G68" s="6"/>
      <c r="H68" s="6" t="s">
        <v>103</v>
      </c>
      <c r="I68" s="6" t="s">
        <v>103</v>
      </c>
      <c r="J68" s="6" t="s">
        <v>103</v>
      </c>
      <c r="K68" s="6" t="s">
        <v>103</v>
      </c>
      <c r="L68" s="6" t="s">
        <v>103</v>
      </c>
      <c r="M68" s="6"/>
      <c r="N68" s="6" t="s">
        <v>103</v>
      </c>
      <c r="O68" s="6" t="s">
        <v>103</v>
      </c>
      <c r="P68" s="6" t="s">
        <v>103</v>
      </c>
      <c r="Q68" s="6" t="s">
        <v>103</v>
      </c>
      <c r="R68" s="6" t="s">
        <v>103</v>
      </c>
      <c r="S68" s="6"/>
      <c r="T68" s="6"/>
      <c r="U68" s="6" t="s">
        <v>103</v>
      </c>
      <c r="V68" s="6" t="s">
        <v>103</v>
      </c>
      <c r="W68" s="6" t="s">
        <v>103</v>
      </c>
    </row>
  </sheetData>
  <drawing r:id="rId1"/>
</worksheet>
</file>