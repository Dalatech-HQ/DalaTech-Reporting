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<sst xmlns="http://schemas.openxmlformats.org/spreadsheetml/2006/main" count="284" uniqueCount="109">
  <si>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</si>
  <si>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</si>
  <si>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</si>
  <si>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</si>
  <si>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</si>
  <si>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</si>
  <si>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</si>
  <si>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</si>
  <si>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</si>
  <si>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</si>
  <si>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</si>
  <si>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</si>
  <si>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</si>
  <si>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</si>
  <si>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Segunfunmi Hibiscus Tea pineapple, Cloves, Ginger (24x)</t>
  </si>
  <si>
    <t>Sambethel Supermarket</t>
  </si>
  <si>
    <t>Sales</t>
  </si>
  <si>
    <t>DT:003195</t>
  </si>
  <si>
    <t>0.50 ctn</t>
  </si>
  <si>
    <t>Value Exchange Supermarket, AREPO</t>
  </si>
  <si>
    <t>DT:003203</t>
  </si>
  <si>
    <t>0.25 ctn</t>
  </si>
  <si>
    <t>1kg Segunfunmi Granola Oat, Fruit, Nut (12x)</t>
  </si>
  <si>
    <t>Jendol Supermarket, ISHERI (Rg.11)</t>
  </si>
  <si>
    <t>DT:003208</t>
  </si>
  <si>
    <t>1.00 ctn</t>
  </si>
  <si>
    <t>2kg Segunfunmi Ofada Rice (12x)</t>
  </si>
  <si>
    <t>Renees Supermarket, LEKKI CENTRAL MOSQUE</t>
  </si>
  <si>
    <t>DT:003254</t>
  </si>
  <si>
    <t>500g Segunfunmi Granola Oat, Fruit, Nut (24x)</t>
  </si>
  <si>
    <t>Katta Supermarket</t>
  </si>
  <si>
    <t>DT:003193</t>
  </si>
  <si>
    <t>Jendol Supermarket, OJODU</t>
  </si>
  <si>
    <t>DT:003248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</si>
  <si>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</si>
  <si>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</si>
  <si>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</si>
  <si>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</si>
  <si>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</si>
  <si>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</si>
  <si>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</si>
  <si>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</si>
  <si>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</si>
  <si>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</si>
  <si>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</si>
  <si>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</si>
  <si>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</si>
  <si>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</si>
  <si>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</si>
  <si>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</si>
  <si>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</si>
  <si>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</si>
  <si>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</si>
  <si>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</si>
  <si>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</si>
  <si>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</si>
  <si>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</si>
  <si>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</si>
  <si>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</si>
  <si>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</si>
  <si>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</si>
  <si>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</si>
  <si>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</si>
  <si>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</si>
  <si>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</si>
  <si>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</si>
  <si>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</si>
  <si>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</si>
  <si>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</si>
  <si>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</si>
  <si>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</si>
  <si>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</si>
  <si>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</si>
  <si>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</si>
  <si>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</si>
  <si>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</si>
  <si>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</si>
  <si>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</si>
  <si>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</si>
  <si>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</si>
  <si>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</si>
  <si>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</si>
  <si>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</si>
  <si>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</si>
  <si>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</si>
  <si>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</si>
  <si>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</si>
  <si>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</si>
  <si>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</si>
  <si>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</si>
  <si>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</si>
  <si>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</si>
  <si>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</si>
  <si>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</si>
  <si>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</si>
  <si>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</si>
  <si>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</si>
  <si>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</si>
  <si>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</si>
  <si>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150g Segunfunmi Granola Oat, Fruit, Nut (24x)</t>
  </si>
  <si>
    <t>1kg Segunfunmi Lafun Flour Cassava (12x)</t>
  </si>
  <si>
    <t>1kg Segunfunmi Ofada Rice (24x)</t>
  </si>
  <si>
    <t>1kg Segunfunmi Yam Flour (12x)</t>
  </si>
  <si>
    <t>200g Segunfunmi Chilli Pepper (12x)</t>
  </si>
  <si>
    <t>250g Segunfunmi Granola Oat, Fruit, Nut (24x)</t>
  </si>
  <si>
    <t>500g  Segunfunmi Granola Oat, Fruit, Nut (24x)</t>
  </si>
  <si>
    <t>5kg Segunfunmi Ofada Rice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</si>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</sst>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6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5" fillId="0" fontId="4" numFmtId="0" xfId="0" applyBorder="1" applyFont="1"/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49" xfId="0" applyAlignment="1" applyBorder="1" applyFont="1" applyNumberForma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50g Segunfunmi Hibiscus Tea pineapple, Cloves, Ginger (24x)"/>
        <s v="1kg Segunfunmi Granola Oat, Fruit, Nut (12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01-11T00:00:00Z"/>
        <d v="2025-03-11T00:00:00Z"/>
        <d v="2025-05-11T00:00:00Z"/>
        <d v="2025-04-11T00:00:00Z"/>
        <m/>
      </sharedItems>
    </cacheField>
    <cacheField name="Particulars" numFmtId="0">
      <sharedItems containsBlank="1">
        <s v="Sambethel Supermarket"/>
        <s v="Value Exchange Supermarket, AREPO"/>
        <s v="Jendol Supermarket, ISHERI (Rg.11)"/>
        <s v="Renees Supermarket, LEKKI CENTRAL MOSQUE"/>
        <s v="Katta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s v="DT:003203"/>
        <s v="DT:003208"/>
        <s v="DT:003254"/>
        <s v="DT:003193"/>
        <s v="DT:003248"/>
        <m/>
      </sharedItems>
    </cacheField>
    <cacheField name="Quantity" numFmtId="4">
      <sharedItems containsBlank="1">
        <s v="0.50 ctn"/>
        <s v="0.25 ctn"/>
        <s v="1.00 ctn"/>
        <m/>
      </sharedItems>
    </cacheField>
    <cacheField name="Value" numFmtId="4">
      <sharedItems containsString="0" containsBlank="1" containsNumber="1">
        <n v="21000.0"/>
        <n v="78000.0"/>
        <n v="52800.0"/>
        <n v="19810.72"/>
        <n v="39621.43"/>
        <m/>
      </sharedItems>
    </cacheField>
    <cacheField name="Total Value" numFmtId="4">
      <sharedItems containsString="0" containsBlank="1" containsNumber="1">
        <n v="21000.0"/>
        <n v="78000.0"/>
        <n v="52800.0"/>
        <n v="19810.72"/>
        <n v="39621.4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50g Segunfunmi Hibiscus Tea pineapple, Cloves, Ginger (24x)"/>
        <s v="1kg Segunfunmi Granola Oat, Fruit, Nut (12x)"/>
        <s v="2kg Segunfunmi Ofada Rice (12x)"/>
        <s v="500g Segunfunmi Granola Oat, Fruit, Nut (24x)"/>
        <m/>
      </sharedItems>
    </cacheField>
    <cacheField name="Date" numFmtId="165">
      <sharedItems containsDate="1" containsString="0" containsBlank="1">
        <d v="2025-01-11T00:00:00Z"/>
        <d v="2025-03-11T00:00:00Z"/>
        <d v="2025-05-11T00:00:00Z"/>
        <d v="2025-04-11T00:00:00Z"/>
        <m/>
      </sharedItems>
    </cacheField>
    <cacheField name="Particulars" numFmtId="0">
      <sharedItems containsBlank="1">
        <s v="Sambethel Supermarket"/>
        <s v="Value Exchange Supermarket, AREPO"/>
        <s v="Jendol Supermarket, ISHERI (Rg.11)"/>
        <s v="Renees Supermarket, LEKKI CENTRAL MOSQUE"/>
        <s v="Katta Supermarket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s v="DT:003203"/>
        <s v="DT:003208"/>
        <s v="DT:003254"/>
        <s v="DT:003193"/>
        <s v="DT:003248"/>
        <m/>
      </sharedItems>
    </cacheField>
    <cacheField name="Quantity" numFmtId="4">
      <sharedItems containsBlank="1">
        <s v="0.50 ctn"/>
        <s v="0.25 ctn"/>
        <s v="1.00 ctn"/>
        <m/>
      </sharedItems>
    </cacheField>
    <cacheField name="Value" numFmtId="4">
      <sharedItems containsString="0" containsBlank="1" containsNumber="1">
        <n v="21000.0"/>
        <n v="78000.0"/>
        <n v="52800.0"/>
        <n v="19810.72"/>
        <n v="39621.4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5"/>
        <item x="4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4"/>
        <item x="0"/>
        <item x="1"/>
        <item x="2"/>
        <item x="5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3"/>
        <item x="0"/>
        <item x="4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49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5"/>
        <item x="4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4"/>
        <item x="0"/>
        <item x="1"/>
        <item x="2"/>
        <item x="5"/>
        <item x="3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4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4</v>
      </c>
    </row>
    <row r="3">
      <c r="A3" s="15" t="s">
        <v>14</v>
      </c>
      <c r="B3" s="16">
        <v>45668.0</v>
      </c>
      <c r="C3" s="17" t="s">
        <v>15</v>
      </c>
      <c r="D3" s="17" t="s">
        <v>16</v>
      </c>
      <c r="E3" s="2" t="s">
        <v>17</v>
      </c>
      <c r="F3" s="18" t="s">
        <v>18</v>
      </c>
      <c r="G3" s="19">
        <v>21000.0</v>
      </c>
      <c r="I3" s="20" t="str">
        <f>IFERROR(__xludf.DUMMYFUNCTION("IFERROR(
  FILTER($A$3:$G1000, LEN($A$3:$A1000), LOWER(TRIM($D$3:$D1000))=""sales""),
)"),"150g Segunfunmi Hibiscus Tea pineapple, Cloves, Ginger (24x)")</f>
        <v>150g Segunfunmi Hibiscus Tea pineapple, Cloves, Ginger (24x)</v>
      </c>
      <c r="J3" s="21">
        <f>IFERROR(__xludf.DUMMYFUNCTION("""COMPUTED_VALUE"""),45668.0)</f>
        <v>45668</v>
      </c>
      <c r="K3" s="22" t="str">
        <f>IFERROR(__xludf.DUMMYFUNCTION("""COMPUTED_VALUE"""),"Sambethel Supermarket")</f>
        <v>Sambethel Supermarket</v>
      </c>
      <c r="L3" s="22" t="str">
        <f>IFERROR(__xludf.DUMMYFUNCTION("""COMPUTED_VALUE"""),"Sales")</f>
        <v>Sales</v>
      </c>
      <c r="M3" s="23" t="str">
        <f>IFERROR(__xludf.DUMMYFUNCTION("""COMPUTED_VALUE"""),"DT:003195")</f>
        <v>DT:003195</v>
      </c>
      <c r="N3" s="24" t="str">
        <f>IFERROR(__xludf.DUMMYFUNCTION("""COMPUTED_VALUE"""),"0.50 ctn")</f>
        <v>0.50 ctn</v>
      </c>
      <c r="O3" s="25">
        <f>IFERROR(__xludf.DUMMYFUNCTION("""COMPUTED_VALUE"""),21000.0)</f>
        <v>21000</v>
      </c>
      <c r="P3" s="8">
        <f t="shared" ref="P3:P86" si="1">sumif(M:M,M3,O:O)</f>
        <v>21000</v>
      </c>
      <c r="R3" s="26" t="str">
        <f>IFERROR(__xludf.DUMMYFUNCTION("IFERROR(
  FILTER($A$3:$G1000, LEN($A$3:$A1000), REGEXMATCH(LOWER(TRIM($D$3:$D1000)), ""\bjournal\b"")),
)
"),"")</f>
        <v/>
      </c>
      <c r="S3" s="27"/>
      <c r="T3" s="17"/>
      <c r="U3" s="17"/>
      <c r="V3" s="2"/>
      <c r="W3" s="28"/>
      <c r="X3" s="19"/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LOWER(TRIM($D$3:$D1000))=""Inventory Supplied by Brands""),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LOWER(TRIM($D$3:$D1000))=""Inventory Pickup by Dala""),
)
"),"")</f>
        <v/>
      </c>
      <c r="AQ3" s="35"/>
      <c r="AR3" s="30"/>
      <c r="AS3" s="30"/>
      <c r="AT3" s="36"/>
      <c r="AU3" s="36"/>
      <c r="AV3" s="33"/>
    </row>
    <row r="4" ht="17.25" customHeight="1">
      <c r="A4" s="37" t="s">
        <v>14</v>
      </c>
      <c r="B4" s="38">
        <v>45668.0</v>
      </c>
      <c r="C4" s="17" t="s">
        <v>19</v>
      </c>
      <c r="D4" s="17" t="s">
        <v>16</v>
      </c>
      <c r="E4" s="2" t="s">
        <v>20</v>
      </c>
      <c r="F4" s="18" t="s">
        <v>21</v>
      </c>
      <c r="G4" s="19">
        <v>21000.0</v>
      </c>
      <c r="I4" s="20" t="str">
        <f>IFERROR(__xludf.DUMMYFUNCTION("""COMPUTED_VALUE"""),"150g Segunfunmi Hibiscus Tea pineapple, Cloves, Ginger (24x)")</f>
        <v>150g Segunfunmi Hibiscus Tea pineapple, Cloves, Ginger (24x)</v>
      </c>
      <c r="J4" s="21">
        <f>IFERROR(__xludf.DUMMYFUNCTION("""COMPUTED_VALUE"""),45668.0)</f>
        <v>45668</v>
      </c>
      <c r="K4" s="22" t="str">
        <f>IFERROR(__xludf.DUMMYFUNCTION("""COMPUTED_VALUE"""),"Value Exchange Supermarket, AREPO")</f>
        <v>Value Exchange Supermarket, AREPO</v>
      </c>
      <c r="L4" s="22" t="str">
        <f>IFERROR(__xludf.DUMMYFUNCTION("""COMPUTED_VALUE"""),"Sales")</f>
        <v>Sales</v>
      </c>
      <c r="M4" s="23" t="str">
        <f>IFERROR(__xludf.DUMMYFUNCTION("""COMPUTED_VALUE"""),"DT:003203")</f>
        <v>DT:003203</v>
      </c>
      <c r="N4" s="24" t="str">
        <f>IFERROR(__xludf.DUMMYFUNCTION("""COMPUTED_VALUE"""),"0.25 ctn")</f>
        <v>0.25 ctn</v>
      </c>
      <c r="O4" s="25">
        <f>IFERROR(__xludf.DUMMYFUNCTION("""COMPUTED_VALUE"""),21000.0)</f>
        <v>21000</v>
      </c>
      <c r="P4" s="8">
        <f t="shared" si="1"/>
        <v>21000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37" t="s">
        <v>22</v>
      </c>
      <c r="B5" s="38">
        <v>45727.0</v>
      </c>
      <c r="C5" s="17" t="s">
        <v>23</v>
      </c>
      <c r="D5" s="17" t="s">
        <v>16</v>
      </c>
      <c r="E5" s="2" t="s">
        <v>24</v>
      </c>
      <c r="F5" s="18" t="s">
        <v>25</v>
      </c>
      <c r="G5" s="19">
        <v>78000.0</v>
      </c>
      <c r="I5" s="20" t="str">
        <f>IFERROR(__xludf.DUMMYFUNCTION("""COMPUTED_VALUE"""),"1kg Segunfunmi Granola Oat, Fruit, Nut (12x)")</f>
        <v>1kg Segunfunmi Granola Oat, Fruit, Nut (12x)</v>
      </c>
      <c r="J5" s="21">
        <f>IFERROR(__xludf.DUMMYFUNCTION("""COMPUTED_VALUE"""),45727.0)</f>
        <v>45727</v>
      </c>
      <c r="K5" s="22" t="str">
        <f>IFERROR(__xludf.DUMMYFUNCTION("""COMPUTED_VALUE"""),"Jendol Supermarket, ISHERI (Rg.11)")</f>
        <v>Jendol Supermarket, ISHERI (Rg.11)</v>
      </c>
      <c r="L5" s="22" t="str">
        <f>IFERROR(__xludf.DUMMYFUNCTION("""COMPUTED_VALUE"""),"Sales")</f>
        <v>Sales</v>
      </c>
      <c r="M5" s="23" t="str">
        <f>IFERROR(__xludf.DUMMYFUNCTION("""COMPUTED_VALUE"""),"DT:003208")</f>
        <v>DT:003208</v>
      </c>
      <c r="N5" s="24" t="str">
        <f>IFERROR(__xludf.DUMMYFUNCTION("""COMPUTED_VALUE"""),"1.00 ctn")</f>
        <v>1.00 ctn</v>
      </c>
      <c r="O5" s="25">
        <f>IFERROR(__xludf.DUMMYFUNCTION("""COMPUTED_VALUE"""),78000.0)</f>
        <v>78000</v>
      </c>
      <c r="P5" s="8">
        <f t="shared" si="1"/>
        <v>78000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/>
      <c r="AQ5" s="35"/>
      <c r="AR5" s="30"/>
      <c r="AS5" s="30"/>
      <c r="AT5" s="36"/>
      <c r="AU5" s="36"/>
      <c r="AV5" s="33"/>
    </row>
    <row r="6">
      <c r="A6" s="37" t="s">
        <v>26</v>
      </c>
      <c r="B6" s="38">
        <v>45788.0</v>
      </c>
      <c r="C6" s="17" t="s">
        <v>27</v>
      </c>
      <c r="D6" s="17" t="s">
        <v>16</v>
      </c>
      <c r="E6" s="2" t="s">
        <v>28</v>
      </c>
      <c r="F6" s="18" t="s">
        <v>18</v>
      </c>
      <c r="G6" s="19">
        <v>52800.0</v>
      </c>
      <c r="I6" s="20" t="str">
        <f>IFERROR(__xludf.DUMMYFUNCTION("""COMPUTED_VALUE"""),"2kg Segunfunmi Ofada Rice (12x)")</f>
        <v>2kg Segunfunmi Ofada Rice (12x)</v>
      </c>
      <c r="J6" s="21">
        <f>IFERROR(__xludf.DUMMYFUNCTION("""COMPUTED_VALUE"""),45788.0)</f>
        <v>45788</v>
      </c>
      <c r="K6" s="22" t="str">
        <f>IFERROR(__xludf.DUMMYFUNCTION("""COMPUTED_VALUE"""),"Renees Supermarket, LEKKI CENTRAL MOSQUE")</f>
        <v>Renees Supermarket, LEKKI CENTRAL MOSQUE</v>
      </c>
      <c r="L6" s="22" t="str">
        <f>IFERROR(__xludf.DUMMYFUNCTION("""COMPUTED_VALUE"""),"Sales")</f>
        <v>Sales</v>
      </c>
      <c r="M6" s="23" t="str">
        <f>IFERROR(__xludf.DUMMYFUNCTION("""COMPUTED_VALUE"""),"DT:003254")</f>
        <v>DT:003254</v>
      </c>
      <c r="N6" s="24" t="str">
        <f>IFERROR(__xludf.DUMMYFUNCTION("""COMPUTED_VALUE"""),"0.50 ctn")</f>
        <v>0.50 ctn</v>
      </c>
      <c r="O6" s="25">
        <f>IFERROR(__xludf.DUMMYFUNCTION("""COMPUTED_VALUE"""),52800.0)</f>
        <v>52800</v>
      </c>
      <c r="P6" s="8">
        <f t="shared" si="1"/>
        <v>52800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/>
      <c r="AQ6" s="35"/>
      <c r="AR6" s="30"/>
      <c r="AS6" s="30"/>
      <c r="AT6" s="36"/>
      <c r="AU6" s="36"/>
      <c r="AV6" s="33"/>
    </row>
    <row r="7">
      <c r="A7" s="37" t="s">
        <v>29</v>
      </c>
      <c r="B7" s="38">
        <v>45668.0</v>
      </c>
      <c r="C7" s="17" t="s">
        <v>30</v>
      </c>
      <c r="D7" s="17" t="s">
        <v>16</v>
      </c>
      <c r="E7" s="2" t="s">
        <v>31</v>
      </c>
      <c r="F7" s="18" t="s">
        <v>21</v>
      </c>
      <c r="G7" s="19">
        <v>19810.72</v>
      </c>
      <c r="I7" s="20" t="str">
        <f>IFERROR(__xludf.DUMMYFUNCTION("""COMPUTED_VALUE"""),"500g Segunfunmi Granola Oat, Fruit, Nut (24x)")</f>
        <v>500g Segunfunmi Granola Oat, Fruit, Nut (24x)</v>
      </c>
      <c r="J7" s="21">
        <f>IFERROR(__xludf.DUMMYFUNCTION("""COMPUTED_VALUE"""),45668.0)</f>
        <v>45668</v>
      </c>
      <c r="K7" s="22" t="str">
        <f>IFERROR(__xludf.DUMMYFUNCTION("""COMPUTED_VALUE"""),"Katta Supermarket")</f>
        <v>Katta Supermarket</v>
      </c>
      <c r="L7" s="22" t="str">
        <f>IFERROR(__xludf.DUMMYFUNCTION("""COMPUTED_VALUE"""),"Sales")</f>
        <v>Sales</v>
      </c>
      <c r="M7" s="23" t="str">
        <f>IFERROR(__xludf.DUMMYFUNCTION("""COMPUTED_VALUE"""),"DT:003193")</f>
        <v>DT:003193</v>
      </c>
      <c r="N7" s="24" t="str">
        <f>IFERROR(__xludf.DUMMYFUNCTION("""COMPUTED_VALUE"""),"0.25 ctn")</f>
        <v>0.25 ctn</v>
      </c>
      <c r="O7" s="25">
        <f>IFERROR(__xludf.DUMMYFUNCTION("""COMPUTED_VALUE"""),19810.72)</f>
        <v>19810.72</v>
      </c>
      <c r="P7" s="8">
        <f t="shared" si="1"/>
        <v>19810.72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 t="s">
        <v>29</v>
      </c>
      <c r="B8" s="38">
        <v>45758.0</v>
      </c>
      <c r="C8" s="17" t="s">
        <v>32</v>
      </c>
      <c r="D8" s="17" t="s">
        <v>16</v>
      </c>
      <c r="E8" s="2" t="s">
        <v>33</v>
      </c>
      <c r="F8" s="18" t="s">
        <v>18</v>
      </c>
      <c r="G8" s="19">
        <v>39621.43</v>
      </c>
      <c r="I8" s="20" t="str">
        <f>IFERROR(__xludf.DUMMYFUNCTION("""COMPUTED_VALUE"""),"500g Segunfunmi Granola Oat, Fruit, Nut (24x)")</f>
        <v>500g Segunfunmi Granola Oat, Fruit, Nut (24x)</v>
      </c>
      <c r="J8" s="21">
        <f>IFERROR(__xludf.DUMMYFUNCTION("""COMPUTED_VALUE"""),45758.0)</f>
        <v>45758</v>
      </c>
      <c r="K8" s="22" t="str">
        <f>IFERROR(__xludf.DUMMYFUNCTION("""COMPUTED_VALUE"""),"Jendol Supermarket, OJODU")</f>
        <v>Jendol Supermarket, OJODU</v>
      </c>
      <c r="L8" s="22" t="str">
        <f>IFERROR(__xludf.DUMMYFUNCTION("""COMPUTED_VALUE"""),"Sales")</f>
        <v>Sales</v>
      </c>
      <c r="M8" s="23" t="str">
        <f>IFERROR(__xludf.DUMMYFUNCTION("""COMPUTED_VALUE"""),"DT:003248")</f>
        <v>DT:003248</v>
      </c>
      <c r="N8" s="24" t="str">
        <f>IFERROR(__xludf.DUMMYFUNCTION("""COMPUTED_VALUE"""),"0.50 ctn")</f>
        <v>0.50 ctn</v>
      </c>
      <c r="O8" s="25">
        <f>IFERROR(__xludf.DUMMYFUNCTION("""COMPUTED_VALUE"""),39621.43)</f>
        <v>39621.43</v>
      </c>
      <c r="P8" s="8">
        <f t="shared" si="1"/>
        <v>39621.43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/>
      <c r="B9" s="38"/>
      <c r="C9" s="17"/>
      <c r="D9" s="17"/>
      <c r="E9" s="2"/>
      <c r="F9" s="18"/>
      <c r="G9" s="19"/>
      <c r="I9" s="20"/>
      <c r="J9" s="35"/>
      <c r="K9" s="30"/>
      <c r="L9" s="30"/>
      <c r="M9" s="36"/>
      <c r="N9" s="39"/>
      <c r="O9" s="33"/>
      <c r="P9" s="8">
        <f t="shared" si="1"/>
        <v>0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/>
      <c r="B10" s="38"/>
      <c r="C10" s="17"/>
      <c r="D10" s="17"/>
      <c r="E10" s="2"/>
      <c r="F10" s="18"/>
      <c r="G10" s="19"/>
      <c r="I10" s="20"/>
      <c r="J10" s="35"/>
      <c r="K10" s="30"/>
      <c r="L10" s="30"/>
      <c r="M10" s="36"/>
      <c r="N10" s="39"/>
      <c r="O10" s="33"/>
      <c r="P10" s="8">
        <f t="shared" si="1"/>
        <v>0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/>
      <c r="B11" s="38"/>
      <c r="C11" s="17"/>
      <c r="D11" s="17"/>
      <c r="E11" s="2"/>
      <c r="F11" s="18"/>
      <c r="G11" s="19"/>
      <c r="I11" s="20"/>
      <c r="J11" s="35"/>
      <c r="K11" s="30"/>
      <c r="L11" s="30"/>
      <c r="M11" s="36"/>
      <c r="N11" s="39"/>
      <c r="O11" s="33"/>
      <c r="P11" s="8">
        <f t="shared" si="1"/>
        <v>0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/>
      <c r="B12" s="38"/>
      <c r="C12" s="17"/>
      <c r="D12" s="17"/>
      <c r="E12" s="2"/>
      <c r="F12" s="18"/>
      <c r="G12" s="19"/>
      <c r="I12" s="20"/>
      <c r="J12" s="35"/>
      <c r="K12" s="30"/>
      <c r="L12" s="30"/>
      <c r="M12" s="36"/>
      <c r="N12" s="39"/>
      <c r="O12" s="33"/>
      <c r="P12" s="8">
        <f t="shared" si="1"/>
        <v>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/>
      <c r="B13" s="38"/>
      <c r="C13" s="17"/>
      <c r="D13" s="17"/>
      <c r="E13" s="2"/>
      <c r="F13" s="18"/>
      <c r="G13" s="19"/>
      <c r="I13" s="20"/>
      <c r="J13" s="35"/>
      <c r="K13" s="30"/>
      <c r="L13" s="30"/>
      <c r="M13" s="36"/>
      <c r="N13" s="39"/>
      <c r="O13" s="33"/>
      <c r="P13" s="8">
        <f t="shared" si="1"/>
        <v>0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/>
      <c r="B14" s="38"/>
      <c r="C14" s="17"/>
      <c r="D14" s="17"/>
      <c r="E14" s="2"/>
      <c r="F14" s="18"/>
      <c r="G14" s="19"/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37"/>
      <c r="B15" s="38"/>
      <c r="C15" s="17"/>
      <c r="D15" s="17"/>
      <c r="E15" s="2"/>
      <c r="F15" s="18"/>
      <c r="G15" s="19"/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37"/>
      <c r="B16" s="38"/>
      <c r="C16" s="17"/>
      <c r="D16" s="17"/>
      <c r="E16" s="2"/>
      <c r="F16" s="18"/>
      <c r="G16" s="19"/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37"/>
      <c r="B17" s="38"/>
      <c r="C17" s="17"/>
      <c r="D17" s="17"/>
      <c r="E17" s="2"/>
      <c r="F17" s="18"/>
      <c r="G17" s="19"/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37"/>
      <c r="B18" s="38"/>
      <c r="C18" s="17"/>
      <c r="D18" s="17"/>
      <c r="E18" s="2"/>
      <c r="F18" s="18"/>
      <c r="G18" s="19"/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37"/>
      <c r="B19" s="38"/>
      <c r="C19" s="17"/>
      <c r="D19" s="17"/>
      <c r="E19" s="2"/>
      <c r="F19" s="18"/>
      <c r="G19" s="19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37"/>
      <c r="B20" s="38"/>
      <c r="C20" s="17"/>
      <c r="D20" s="17"/>
      <c r="E20" s="2"/>
      <c r="F20" s="18"/>
      <c r="G20" s="19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37"/>
      <c r="B21" s="38"/>
      <c r="C21" s="17"/>
      <c r="D21" s="17"/>
      <c r="E21" s="2"/>
      <c r="F21" s="18"/>
      <c r="G21" s="19"/>
      <c r="I21" s="34"/>
      <c r="J21" s="35"/>
      <c r="K21" s="41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42"/>
      <c r="B22" s="38"/>
      <c r="C22" s="17"/>
      <c r="D22" s="17"/>
      <c r="E22" s="2"/>
      <c r="F22" s="18"/>
      <c r="G22" s="19"/>
      <c r="I22" s="34"/>
      <c r="J22" s="35"/>
      <c r="K22" s="41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42"/>
      <c r="B23" s="38"/>
      <c r="C23" s="17"/>
      <c r="D23" s="17"/>
      <c r="E23" s="2"/>
      <c r="F23" s="18"/>
      <c r="G23" s="19"/>
      <c r="I23" s="34"/>
      <c r="J23" s="35"/>
      <c r="K23" s="41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42"/>
      <c r="B24" s="38"/>
      <c r="C24" s="17"/>
      <c r="D24" s="17"/>
      <c r="E24" s="2"/>
      <c r="F24" s="18"/>
      <c r="G24" s="19"/>
      <c r="I24" s="34"/>
      <c r="J24" s="35"/>
      <c r="K24" s="41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42"/>
      <c r="B25" s="38"/>
      <c r="C25" s="17"/>
      <c r="D25" s="17"/>
      <c r="E25" s="2"/>
      <c r="F25" s="18"/>
      <c r="G25" s="19"/>
      <c r="I25" s="34"/>
      <c r="J25" s="35"/>
      <c r="K25" s="41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42"/>
      <c r="B26" s="38"/>
      <c r="C26" s="17"/>
      <c r="D26" s="17"/>
      <c r="E26" s="2"/>
      <c r="F26" s="18"/>
      <c r="G26" s="19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42"/>
      <c r="B27" s="38"/>
      <c r="C27" s="17"/>
      <c r="D27" s="17"/>
      <c r="E27" s="2"/>
      <c r="F27" s="18"/>
      <c r="G27" s="19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42"/>
      <c r="B28" s="38"/>
      <c r="C28" s="17"/>
      <c r="D28" s="17"/>
      <c r="E28" s="2"/>
      <c r="F28" s="18"/>
      <c r="G28" s="19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42"/>
      <c r="B29" s="38"/>
      <c r="C29" s="17"/>
      <c r="D29" s="17"/>
      <c r="E29" s="2"/>
      <c r="F29" s="18"/>
      <c r="G29" s="19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42"/>
      <c r="B30" s="27"/>
      <c r="C30" s="17"/>
      <c r="D30" s="17"/>
      <c r="E30" s="2"/>
      <c r="F30" s="18"/>
      <c r="G30" s="19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42"/>
      <c r="B31" s="27"/>
      <c r="C31" s="17"/>
      <c r="D31" s="17"/>
      <c r="E31" s="2"/>
      <c r="F31" s="18"/>
      <c r="G31" s="19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42"/>
      <c r="B32" s="27"/>
      <c r="C32" s="17"/>
      <c r="D32" s="17"/>
      <c r="E32" s="2"/>
      <c r="F32" s="18"/>
      <c r="G32" s="19"/>
      <c r="I32" s="34"/>
      <c r="J32" s="35"/>
      <c r="K32" s="41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43"/>
      <c r="B33" s="44"/>
      <c r="C33" s="45"/>
      <c r="D33" s="45"/>
      <c r="E33" s="46"/>
      <c r="F33" s="47"/>
      <c r="G33" s="48"/>
      <c r="I33" s="34"/>
      <c r="J33" s="35"/>
      <c r="K33" s="41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1"/>
      <c r="D34" s="30"/>
      <c r="E34" s="36"/>
      <c r="F34" s="39"/>
      <c r="G34" s="33"/>
      <c r="I34" s="34"/>
      <c r="J34" s="35"/>
      <c r="K34" s="41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9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1"/>
      <c r="D35" s="30"/>
      <c r="E35" s="36"/>
      <c r="F35" s="39"/>
      <c r="G35" s="33"/>
      <c r="I35" s="34"/>
      <c r="J35" s="35"/>
      <c r="K35" s="41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9"/>
      <c r="AP35" s="50"/>
      <c r="AQ35" s="51"/>
      <c r="AR35" s="52"/>
      <c r="AS35" s="52"/>
      <c r="AT35" s="53"/>
      <c r="AU35" s="53"/>
      <c r="AV35" s="54"/>
    </row>
    <row r="36">
      <c r="A36" s="34"/>
      <c r="B36" s="35"/>
      <c r="C36" s="41"/>
      <c r="D36" s="30"/>
      <c r="E36" s="36"/>
      <c r="F36" s="39"/>
      <c r="G36" s="33"/>
      <c r="I36" s="34"/>
      <c r="J36" s="35"/>
      <c r="K36" s="41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9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9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1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9"/>
      <c r="AP38" s="26"/>
      <c r="AQ38" s="44"/>
      <c r="AR38" s="45"/>
      <c r="AS38" s="45"/>
      <c r="AT38" s="46"/>
      <c r="AU38" s="55"/>
      <c r="AV38" s="48"/>
    </row>
    <row r="39">
      <c r="A39" s="34"/>
      <c r="B39" s="35"/>
      <c r="C39" s="41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9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1"/>
      <c r="D40" s="30"/>
      <c r="E40" s="36"/>
      <c r="F40" s="39"/>
      <c r="G40" s="33"/>
      <c r="I40" s="34"/>
      <c r="J40" s="35"/>
      <c r="K40" s="41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9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1"/>
      <c r="D41" s="30"/>
      <c r="E41" s="36"/>
      <c r="F41" s="39"/>
      <c r="G41" s="33"/>
      <c r="I41" s="34"/>
      <c r="J41" s="35"/>
      <c r="K41" s="41"/>
      <c r="L41" s="30"/>
      <c r="M41" s="36"/>
      <c r="N41" s="39"/>
      <c r="O41" s="33"/>
      <c r="P41" s="8">
        <f t="shared" si="1"/>
        <v>0</v>
      </c>
      <c r="R41" s="29"/>
      <c r="S41" s="44"/>
      <c r="T41" s="45"/>
      <c r="U41" s="45"/>
      <c r="V41" s="46"/>
      <c r="W41" s="55"/>
      <c r="X41" s="56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1"/>
      <c r="D42" s="30"/>
      <c r="E42" s="36"/>
      <c r="F42" s="39"/>
      <c r="G42" s="33"/>
      <c r="I42" s="34"/>
      <c r="J42" s="35"/>
      <c r="K42" s="41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9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1"/>
      <c r="D43" s="30"/>
      <c r="E43" s="36"/>
      <c r="F43" s="39"/>
      <c r="G43" s="33"/>
      <c r="I43" s="34"/>
      <c r="J43" s="35"/>
      <c r="K43" s="41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1"/>
      <c r="D44" s="30"/>
      <c r="E44" s="36"/>
      <c r="F44" s="39"/>
      <c r="G44" s="33"/>
      <c r="I44" s="34"/>
      <c r="J44" s="35"/>
      <c r="K44" s="41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1"/>
      <c r="D45" s="30"/>
      <c r="E45" s="36"/>
      <c r="F45" s="39"/>
      <c r="G45" s="33"/>
      <c r="I45" s="34"/>
      <c r="J45" s="35"/>
      <c r="K45" s="41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1"/>
      <c r="D46" s="30"/>
      <c r="E46" s="36"/>
      <c r="F46" s="39"/>
      <c r="G46" s="33"/>
      <c r="I46" s="34"/>
      <c r="J46" s="35"/>
      <c r="K46" s="41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1"/>
      <c r="D47" s="30"/>
      <c r="E47" s="36"/>
      <c r="F47" s="39"/>
      <c r="G47" s="33"/>
      <c r="I47" s="34"/>
      <c r="J47" s="35"/>
      <c r="K47" s="41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1"/>
      <c r="D48" s="30"/>
      <c r="E48" s="36"/>
      <c r="F48" s="39"/>
      <c r="G48" s="33"/>
      <c r="I48" s="34"/>
      <c r="J48" s="35"/>
      <c r="K48" s="41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1"/>
      <c r="D49" s="30"/>
      <c r="E49" s="36"/>
      <c r="F49" s="39"/>
      <c r="G49" s="33"/>
      <c r="I49" s="34"/>
      <c r="J49" s="35"/>
      <c r="K49" s="41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1"/>
      <c r="D50" s="30"/>
      <c r="E50" s="36"/>
      <c r="F50" s="39"/>
      <c r="G50" s="33"/>
      <c r="I50" s="34"/>
      <c r="J50" s="35"/>
      <c r="K50" s="41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1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1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1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1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1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1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1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1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1"/>
      <c r="D65" s="30"/>
      <c r="E65" s="36"/>
      <c r="F65" s="39"/>
      <c r="G65" s="33"/>
      <c r="I65" s="34"/>
      <c r="J65" s="35"/>
      <c r="K65" s="41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1"/>
      <c r="D66" s="30"/>
      <c r="E66" s="36"/>
      <c r="F66" s="39"/>
      <c r="G66" s="33"/>
      <c r="I66" s="34"/>
      <c r="J66" s="35"/>
      <c r="K66" s="41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1"/>
      <c r="D67" s="30"/>
      <c r="E67" s="36"/>
      <c r="F67" s="39"/>
      <c r="G67" s="33"/>
      <c r="I67" s="34"/>
      <c r="J67" s="35"/>
      <c r="K67" s="41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1"/>
      <c r="D68" s="30"/>
      <c r="E68" s="36"/>
      <c r="F68" s="39"/>
      <c r="G68" s="33"/>
      <c r="I68" s="34"/>
      <c r="J68" s="35"/>
      <c r="K68" s="41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1"/>
      <c r="D69" s="30"/>
      <c r="E69" s="36"/>
      <c r="F69" s="39"/>
      <c r="G69" s="33"/>
      <c r="I69" s="34"/>
      <c r="J69" s="35"/>
      <c r="K69" s="41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1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1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44"/>
      <c r="AR71" s="45"/>
      <c r="AS71" s="45"/>
      <c r="AT71" s="46"/>
      <c r="AU71" s="55"/>
      <c r="AV71" s="48"/>
    </row>
    <row r="72">
      <c r="A72" s="34"/>
      <c r="B72" s="35"/>
      <c r="C72" s="41"/>
      <c r="D72" s="30"/>
      <c r="E72" s="36"/>
      <c r="F72" s="39"/>
      <c r="G72" s="33"/>
      <c r="I72" s="34"/>
      <c r="J72" s="35"/>
      <c r="K72" s="41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1"/>
      <c r="D73" s="30"/>
      <c r="E73" s="36"/>
      <c r="F73" s="39"/>
      <c r="G73" s="33"/>
      <c r="I73" s="34"/>
      <c r="J73" s="35"/>
      <c r="K73" s="41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1"/>
      <c r="D74" s="30"/>
      <c r="E74" s="36"/>
      <c r="F74" s="39"/>
      <c r="G74" s="33"/>
      <c r="I74" s="34"/>
      <c r="J74" s="35"/>
      <c r="K74" s="41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1"/>
      <c r="D75" s="30"/>
      <c r="E75" s="36"/>
      <c r="F75" s="39"/>
      <c r="G75" s="33"/>
      <c r="I75" s="34"/>
      <c r="J75" s="35"/>
      <c r="K75" s="41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1"/>
      <c r="D76" s="30"/>
      <c r="E76" s="36"/>
      <c r="F76" s="39"/>
      <c r="G76" s="33"/>
      <c r="I76" s="34"/>
      <c r="J76" s="35"/>
      <c r="K76" s="41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1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1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1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1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1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1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1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1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1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1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1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1"/>
      <c r="D88" s="30"/>
      <c r="E88" s="36"/>
      <c r="F88" s="39"/>
      <c r="G88" s="33"/>
      <c r="I88" s="34"/>
      <c r="J88" s="35"/>
      <c r="K88" s="41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1"/>
      <c r="D89" s="30"/>
      <c r="E89" s="36"/>
      <c r="F89" s="39"/>
      <c r="G89" s="33"/>
      <c r="I89" s="34"/>
      <c r="J89" s="35"/>
      <c r="K89" s="41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1"/>
      <c r="D90" s="30"/>
      <c r="E90" s="36"/>
      <c r="F90" s="39"/>
      <c r="G90" s="33"/>
      <c r="I90" s="34"/>
      <c r="J90" s="35"/>
      <c r="K90" s="41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1"/>
      <c r="D91" s="30"/>
      <c r="E91" s="36"/>
      <c r="F91" s="39"/>
      <c r="G91" s="33"/>
      <c r="I91" s="34"/>
      <c r="J91" s="35"/>
      <c r="K91" s="41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1"/>
      <c r="D92" s="30"/>
      <c r="E92" s="36"/>
      <c r="F92" s="39"/>
      <c r="G92" s="33"/>
      <c r="I92" s="34"/>
      <c r="J92" s="35"/>
      <c r="K92" s="41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1"/>
      <c r="D93" s="30"/>
      <c r="E93" s="36"/>
      <c r="F93" s="39"/>
      <c r="G93" s="33"/>
      <c r="I93" s="34"/>
      <c r="J93" s="35"/>
      <c r="K93" s="41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1"/>
      <c r="D94" s="30"/>
      <c r="E94" s="36"/>
      <c r="F94" s="39"/>
      <c r="G94" s="33"/>
      <c r="I94" s="34"/>
      <c r="J94" s="35"/>
      <c r="K94" s="41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1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1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1"/>
      <c r="D97" s="30"/>
      <c r="E97" s="36"/>
      <c r="F97" s="39"/>
      <c r="G97" s="33"/>
      <c r="I97" s="34"/>
      <c r="J97" s="35"/>
      <c r="K97" s="41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1"/>
      <c r="D98" s="30"/>
      <c r="E98" s="36"/>
      <c r="F98" s="39"/>
      <c r="G98" s="33"/>
      <c r="I98" s="34"/>
      <c r="J98" s="35"/>
      <c r="K98" s="41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1"/>
      <c r="D99" s="30"/>
      <c r="E99" s="36"/>
      <c r="F99" s="39"/>
      <c r="G99" s="33"/>
      <c r="I99" s="34"/>
      <c r="J99" s="35"/>
      <c r="K99" s="41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1"/>
      <c r="D100" s="30"/>
      <c r="E100" s="36"/>
      <c r="F100" s="39"/>
      <c r="G100" s="33"/>
      <c r="I100" s="34"/>
      <c r="J100" s="35"/>
      <c r="K100" s="41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1"/>
      <c r="D101" s="30"/>
      <c r="E101" s="36"/>
      <c r="F101" s="39"/>
      <c r="G101" s="33"/>
      <c r="I101" s="34"/>
      <c r="J101" s="35"/>
      <c r="K101" s="41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1"/>
      <c r="D102" s="30"/>
      <c r="E102" s="36"/>
      <c r="F102" s="39"/>
      <c r="G102" s="33"/>
      <c r="I102" s="34"/>
      <c r="J102" s="35"/>
      <c r="K102" s="41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1"/>
      <c r="D103" s="30"/>
      <c r="E103" s="36"/>
      <c r="F103" s="39"/>
      <c r="G103" s="33"/>
      <c r="I103" s="34"/>
      <c r="J103" s="35"/>
      <c r="K103" s="41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1"/>
      <c r="D104" s="30"/>
      <c r="E104" s="36"/>
      <c r="F104" s="39"/>
      <c r="G104" s="33"/>
      <c r="I104" s="34"/>
      <c r="J104" s="35"/>
      <c r="K104" s="41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1"/>
      <c r="D105" s="30"/>
      <c r="E105" s="36"/>
      <c r="F105" s="39"/>
      <c r="G105" s="33"/>
      <c r="I105" s="34"/>
      <c r="J105" s="35"/>
      <c r="K105" s="41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1"/>
      <c r="D106" s="30"/>
      <c r="E106" s="36"/>
      <c r="F106" s="39"/>
      <c r="G106" s="33"/>
      <c r="I106" s="34"/>
      <c r="J106" s="35"/>
      <c r="K106" s="41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1"/>
      <c r="D107" s="30"/>
      <c r="E107" s="36"/>
      <c r="F107" s="39"/>
      <c r="G107" s="33"/>
      <c r="I107" s="34"/>
      <c r="J107" s="35"/>
      <c r="K107" s="41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1"/>
      <c r="D108" s="30"/>
      <c r="E108" s="36"/>
      <c r="F108" s="39"/>
      <c r="G108" s="33"/>
      <c r="I108" s="34"/>
      <c r="J108" s="35"/>
      <c r="K108" s="41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1"/>
      <c r="D109" s="30"/>
      <c r="E109" s="36"/>
      <c r="F109" s="39"/>
      <c r="G109" s="33"/>
      <c r="I109" s="34"/>
      <c r="J109" s="35"/>
      <c r="K109" s="41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1"/>
      <c r="D110" s="30"/>
      <c r="E110" s="36"/>
      <c r="F110" s="39"/>
      <c r="G110" s="33"/>
      <c r="I110" s="34"/>
      <c r="J110" s="35"/>
      <c r="K110" s="41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1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1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1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1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1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44"/>
      <c r="AR115" s="45"/>
      <c r="AS115" s="45"/>
      <c r="AT115" s="46"/>
      <c r="AU115" s="55"/>
      <c r="AV115" s="48"/>
    </row>
    <row r="116">
      <c r="A116" s="34"/>
      <c r="B116" s="35"/>
      <c r="C116" s="41"/>
      <c r="D116" s="30"/>
      <c r="E116" s="36"/>
      <c r="F116" s="39"/>
      <c r="G116" s="33"/>
      <c r="I116" s="34"/>
      <c r="J116" s="35"/>
      <c r="K116" s="41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1"/>
      <c r="D117" s="30"/>
      <c r="E117" s="36"/>
      <c r="F117" s="39"/>
      <c r="G117" s="33"/>
      <c r="I117" s="34"/>
      <c r="J117" s="35"/>
      <c r="K117" s="41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1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1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1"/>
      <c r="D120" s="30"/>
      <c r="E120" s="36"/>
      <c r="F120" s="39"/>
      <c r="G120" s="33"/>
      <c r="I120" s="34"/>
      <c r="J120" s="35"/>
      <c r="K120" s="41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1"/>
      <c r="D121" s="30"/>
      <c r="E121" s="36"/>
      <c r="F121" s="39"/>
      <c r="G121" s="33"/>
      <c r="I121" s="34"/>
      <c r="J121" s="35"/>
      <c r="K121" s="41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1"/>
      <c r="D122" s="30"/>
      <c r="E122" s="36"/>
      <c r="F122" s="39"/>
      <c r="G122" s="33"/>
      <c r="I122" s="34"/>
      <c r="J122" s="35"/>
      <c r="K122" s="41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1"/>
      <c r="D123" s="30"/>
      <c r="E123" s="36"/>
      <c r="F123" s="39"/>
      <c r="G123" s="33"/>
      <c r="I123" s="34"/>
      <c r="J123" s="35"/>
      <c r="K123" s="41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1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1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1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1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1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1"/>
      <c r="D129" s="30"/>
      <c r="E129" s="36"/>
      <c r="F129" s="39"/>
      <c r="G129" s="33"/>
      <c r="I129" s="34"/>
      <c r="J129" s="35"/>
      <c r="K129" s="41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1"/>
      <c r="D130" s="30"/>
      <c r="E130" s="36"/>
      <c r="F130" s="39"/>
      <c r="G130" s="33"/>
      <c r="I130" s="34"/>
      <c r="J130" s="35"/>
      <c r="K130" s="41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1"/>
      <c r="D131" s="30"/>
      <c r="E131" s="36"/>
      <c r="F131" s="39"/>
      <c r="G131" s="33"/>
      <c r="I131" s="34"/>
      <c r="J131" s="35"/>
      <c r="K131" s="41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1"/>
      <c r="D132" s="30"/>
      <c r="E132" s="36"/>
      <c r="F132" s="39"/>
      <c r="G132" s="33"/>
      <c r="I132" s="34"/>
      <c r="J132" s="35"/>
      <c r="K132" s="41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1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1"/>
      <c r="D134" s="30"/>
      <c r="E134" s="36"/>
      <c r="F134" s="39"/>
      <c r="G134" s="33"/>
      <c r="I134" s="34"/>
      <c r="J134" s="35"/>
      <c r="K134" s="41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1"/>
      <c r="D135" s="30"/>
      <c r="E135" s="36"/>
      <c r="F135" s="39"/>
      <c r="G135" s="33"/>
      <c r="I135" s="34"/>
      <c r="J135" s="35"/>
      <c r="K135" s="41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1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1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1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1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1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1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1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1"/>
      <c r="D145" s="30"/>
      <c r="E145" s="36"/>
      <c r="F145" s="39"/>
      <c r="G145" s="33"/>
      <c r="I145" s="34"/>
      <c r="J145" s="35"/>
      <c r="K145" s="41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1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1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1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1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1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1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1"/>
      <c r="L153" s="30"/>
      <c r="M153" s="36"/>
      <c r="N153" s="39"/>
      <c r="O153" s="33"/>
      <c r="P153" s="8"/>
      <c r="AP153" s="29"/>
      <c r="AQ153" s="44"/>
      <c r="AR153" s="45"/>
      <c r="AS153" s="45"/>
      <c r="AT153" s="46"/>
      <c r="AU153" s="55"/>
      <c r="AV153" s="48"/>
    </row>
    <row r="154">
      <c r="A154" s="34"/>
      <c r="B154" s="35"/>
      <c r="C154" s="41"/>
      <c r="D154" s="30"/>
      <c r="E154" s="36"/>
      <c r="F154" s="39"/>
      <c r="G154" s="33"/>
      <c r="I154" s="50"/>
      <c r="J154" s="51"/>
      <c r="K154" s="57"/>
      <c r="L154" s="52"/>
      <c r="M154" s="53"/>
      <c r="N154" s="58"/>
      <c r="O154" s="54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1"/>
      <c r="D155" s="30"/>
      <c r="E155" s="36"/>
      <c r="F155" s="39"/>
      <c r="G155" s="33"/>
      <c r="I155" s="50"/>
      <c r="J155" s="51"/>
      <c r="K155" s="57"/>
      <c r="L155" s="52"/>
      <c r="M155" s="53"/>
      <c r="N155" s="58"/>
      <c r="O155" s="54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1"/>
      <c r="D156" s="30"/>
      <c r="E156" s="36"/>
      <c r="F156" s="39"/>
      <c r="G156" s="33"/>
      <c r="I156" s="50"/>
      <c r="J156" s="51"/>
      <c r="K156" s="57"/>
      <c r="L156" s="52"/>
      <c r="M156" s="53"/>
      <c r="N156" s="58"/>
      <c r="O156" s="54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1"/>
      <c r="D157" s="30"/>
      <c r="E157" s="36"/>
      <c r="F157" s="39"/>
      <c r="G157" s="33"/>
      <c r="I157" s="50"/>
      <c r="J157" s="51"/>
      <c r="K157" s="57"/>
      <c r="L157" s="52"/>
      <c r="M157" s="53"/>
      <c r="N157" s="58"/>
      <c r="O157" s="54"/>
      <c r="P157" s="8"/>
    </row>
    <row r="158">
      <c r="A158" s="34"/>
      <c r="B158" s="35"/>
      <c r="C158" s="30"/>
      <c r="D158" s="30"/>
      <c r="E158" s="36"/>
      <c r="F158" s="39"/>
      <c r="G158" s="33"/>
      <c r="I158" s="50"/>
      <c r="J158" s="51"/>
      <c r="K158" s="57"/>
      <c r="L158" s="52"/>
      <c r="M158" s="53"/>
      <c r="N158" s="58"/>
      <c r="O158" s="54"/>
      <c r="P158" s="8"/>
    </row>
    <row r="159">
      <c r="A159" s="34"/>
      <c r="B159" s="35"/>
      <c r="C159" s="41"/>
      <c r="D159" s="30"/>
      <c r="E159" s="36"/>
      <c r="F159" s="39"/>
      <c r="G159" s="33"/>
      <c r="I159" s="50"/>
      <c r="J159" s="51"/>
      <c r="K159" s="52"/>
      <c r="L159" s="52"/>
      <c r="M159" s="53"/>
      <c r="N159" s="58"/>
      <c r="O159" s="54"/>
      <c r="P159" s="8"/>
    </row>
    <row r="160">
      <c r="A160" s="34"/>
      <c r="B160" s="35"/>
      <c r="C160" s="41"/>
      <c r="D160" s="30"/>
      <c r="E160" s="36"/>
      <c r="F160" s="39"/>
      <c r="G160" s="33"/>
      <c r="I160" s="50"/>
      <c r="J160" s="51"/>
      <c r="K160" s="52"/>
      <c r="L160" s="52"/>
      <c r="M160" s="53"/>
      <c r="N160" s="58"/>
      <c r="O160" s="54"/>
      <c r="P160" s="8"/>
    </row>
    <row r="161">
      <c r="A161" s="34"/>
      <c r="B161" s="35"/>
      <c r="C161" s="41"/>
      <c r="D161" s="30"/>
      <c r="E161" s="36"/>
      <c r="F161" s="39"/>
      <c r="G161" s="33"/>
      <c r="I161" s="50"/>
      <c r="J161" s="51"/>
      <c r="K161" s="52"/>
      <c r="L161" s="52"/>
      <c r="M161" s="53"/>
      <c r="N161" s="58"/>
      <c r="O161" s="54"/>
      <c r="P161" s="8"/>
    </row>
    <row r="162">
      <c r="A162" s="34"/>
      <c r="B162" s="35"/>
      <c r="C162" s="41"/>
      <c r="D162" s="30"/>
      <c r="E162" s="36"/>
      <c r="F162" s="39"/>
      <c r="G162" s="33"/>
      <c r="I162" s="50"/>
      <c r="J162" s="51"/>
      <c r="K162" s="52"/>
      <c r="L162" s="52"/>
      <c r="M162" s="53"/>
      <c r="N162" s="58"/>
      <c r="O162" s="54"/>
      <c r="P162" s="8"/>
    </row>
    <row r="163">
      <c r="A163" s="34"/>
      <c r="B163" s="35"/>
      <c r="C163" s="41"/>
      <c r="D163" s="30"/>
      <c r="E163" s="36"/>
      <c r="F163" s="39"/>
      <c r="G163" s="33"/>
      <c r="I163" s="50"/>
      <c r="J163" s="51"/>
      <c r="K163" s="52"/>
      <c r="L163" s="52"/>
      <c r="M163" s="53"/>
      <c r="N163" s="58"/>
      <c r="O163" s="54"/>
      <c r="P163" s="8"/>
    </row>
    <row r="164">
      <c r="A164" s="34"/>
      <c r="B164" s="35"/>
      <c r="C164" s="41"/>
      <c r="D164" s="30"/>
      <c r="E164" s="36"/>
      <c r="F164" s="39"/>
      <c r="G164" s="33"/>
      <c r="I164" s="50"/>
      <c r="J164" s="51"/>
      <c r="K164" s="52"/>
      <c r="L164" s="52"/>
      <c r="M164" s="53"/>
      <c r="N164" s="58"/>
      <c r="O164" s="54"/>
      <c r="P164" s="8"/>
    </row>
    <row r="165">
      <c r="A165" s="34"/>
      <c r="B165" s="35"/>
      <c r="C165" s="30"/>
      <c r="D165" s="30"/>
      <c r="E165" s="36"/>
      <c r="F165" s="39"/>
      <c r="G165" s="33"/>
      <c r="I165" s="50"/>
      <c r="J165" s="51"/>
      <c r="K165" s="52"/>
      <c r="L165" s="52"/>
      <c r="M165" s="53"/>
      <c r="N165" s="58"/>
      <c r="O165" s="54"/>
      <c r="P165" s="8"/>
    </row>
    <row r="166">
      <c r="A166" s="34"/>
      <c r="B166" s="35"/>
      <c r="C166" s="30"/>
      <c r="D166" s="30"/>
      <c r="E166" s="36"/>
      <c r="F166" s="39"/>
      <c r="G166" s="33"/>
      <c r="I166" s="50"/>
      <c r="J166" s="51"/>
      <c r="K166" s="57"/>
      <c r="L166" s="52"/>
      <c r="M166" s="53"/>
      <c r="N166" s="58"/>
      <c r="O166" s="54"/>
      <c r="P166" s="8"/>
    </row>
    <row r="167">
      <c r="A167" s="34"/>
      <c r="B167" s="35"/>
      <c r="C167" s="30"/>
      <c r="D167" s="30"/>
      <c r="E167" s="36"/>
      <c r="F167" s="39"/>
      <c r="G167" s="33"/>
      <c r="I167" s="50"/>
      <c r="J167" s="51"/>
      <c r="K167" s="57"/>
      <c r="L167" s="52"/>
      <c r="M167" s="53"/>
      <c r="N167" s="58"/>
      <c r="O167" s="54"/>
      <c r="P167" s="8"/>
    </row>
    <row r="168">
      <c r="A168" s="34"/>
      <c r="B168" s="35"/>
      <c r="C168" s="30"/>
      <c r="D168" s="30"/>
      <c r="E168" s="36"/>
      <c r="F168" s="39"/>
      <c r="G168" s="33"/>
      <c r="I168" s="50"/>
      <c r="J168" s="51"/>
      <c r="K168" s="57"/>
      <c r="L168" s="52"/>
      <c r="M168" s="53"/>
      <c r="N168" s="58"/>
      <c r="O168" s="54"/>
      <c r="P168" s="8"/>
    </row>
    <row r="169">
      <c r="A169" s="34"/>
      <c r="B169" s="35"/>
      <c r="C169" s="41"/>
      <c r="D169" s="30"/>
      <c r="E169" s="36"/>
      <c r="F169" s="39"/>
      <c r="G169" s="33"/>
      <c r="I169" s="50"/>
      <c r="J169" s="51"/>
      <c r="K169" s="57"/>
      <c r="L169" s="52"/>
      <c r="M169" s="53"/>
      <c r="N169" s="58"/>
      <c r="O169" s="54"/>
      <c r="P169" s="8"/>
    </row>
    <row r="170">
      <c r="A170" s="34"/>
      <c r="B170" s="35"/>
      <c r="C170" s="41"/>
      <c r="D170" s="30"/>
      <c r="E170" s="36"/>
      <c r="F170" s="39"/>
      <c r="G170" s="33"/>
      <c r="I170" s="50"/>
      <c r="J170" s="51"/>
      <c r="K170" s="57"/>
      <c r="L170" s="52"/>
      <c r="M170" s="53"/>
      <c r="N170" s="58"/>
      <c r="O170" s="54"/>
      <c r="P170" s="8"/>
    </row>
    <row r="171">
      <c r="A171" s="34"/>
      <c r="B171" s="35"/>
      <c r="C171" s="30"/>
      <c r="D171" s="30"/>
      <c r="E171" s="36"/>
      <c r="F171" s="39"/>
      <c r="G171" s="33"/>
      <c r="I171" s="50"/>
      <c r="J171" s="51"/>
      <c r="K171" s="57"/>
      <c r="L171" s="52"/>
      <c r="M171" s="53"/>
      <c r="N171" s="58"/>
      <c r="O171" s="54"/>
      <c r="P171" s="8"/>
    </row>
    <row r="172">
      <c r="A172" s="34"/>
      <c r="B172" s="35"/>
      <c r="C172" s="30"/>
      <c r="D172" s="30"/>
      <c r="E172" s="36"/>
      <c r="F172" s="39"/>
      <c r="G172" s="33"/>
      <c r="I172" s="50"/>
      <c r="J172" s="51"/>
      <c r="K172" s="57"/>
      <c r="L172" s="52"/>
      <c r="M172" s="53"/>
      <c r="N172" s="58"/>
      <c r="O172" s="54"/>
      <c r="P172" s="8"/>
    </row>
    <row r="173">
      <c r="A173" s="34"/>
      <c r="B173" s="35"/>
      <c r="C173" s="30"/>
      <c r="D173" s="30"/>
      <c r="E173" s="36"/>
      <c r="F173" s="39"/>
      <c r="G173" s="33"/>
      <c r="I173" s="50"/>
      <c r="J173" s="51"/>
      <c r="K173" s="57"/>
      <c r="L173" s="52"/>
      <c r="M173" s="53"/>
      <c r="N173" s="58"/>
      <c r="O173" s="54"/>
      <c r="P173" s="8"/>
    </row>
    <row r="174">
      <c r="A174" s="34"/>
      <c r="B174" s="35"/>
      <c r="C174" s="30"/>
      <c r="D174" s="30"/>
      <c r="E174" s="36"/>
      <c r="F174" s="39"/>
      <c r="G174" s="33"/>
      <c r="I174" s="50"/>
      <c r="J174" s="51"/>
      <c r="K174" s="57"/>
      <c r="L174" s="52"/>
      <c r="M174" s="53"/>
      <c r="N174" s="58"/>
      <c r="O174" s="54"/>
      <c r="P174" s="8"/>
    </row>
    <row r="175">
      <c r="A175" s="34"/>
      <c r="B175" s="35"/>
      <c r="C175" s="41"/>
      <c r="D175" s="30"/>
      <c r="E175" s="36"/>
      <c r="F175" s="39"/>
      <c r="G175" s="33"/>
      <c r="I175" s="50"/>
      <c r="J175" s="51"/>
      <c r="K175" s="57"/>
      <c r="L175" s="52"/>
      <c r="M175" s="53"/>
      <c r="N175" s="58"/>
      <c r="O175" s="54"/>
      <c r="P175" s="8"/>
    </row>
    <row r="176">
      <c r="A176" s="34"/>
      <c r="B176" s="35"/>
      <c r="C176" s="41"/>
      <c r="D176" s="30"/>
      <c r="E176" s="36"/>
      <c r="F176" s="39"/>
      <c r="G176" s="33"/>
      <c r="I176" s="50"/>
      <c r="J176" s="51"/>
      <c r="K176" s="57"/>
      <c r="L176" s="52"/>
      <c r="M176" s="53"/>
      <c r="N176" s="58"/>
      <c r="O176" s="54"/>
      <c r="P176" s="8"/>
    </row>
    <row r="177">
      <c r="A177" s="34"/>
      <c r="B177" s="35"/>
      <c r="C177" s="41"/>
      <c r="D177" s="30"/>
      <c r="E177" s="36"/>
      <c r="F177" s="39"/>
      <c r="G177" s="33"/>
      <c r="I177" s="50"/>
      <c r="J177" s="51"/>
      <c r="K177" s="57"/>
      <c r="L177" s="52"/>
      <c r="M177" s="53"/>
      <c r="N177" s="58"/>
      <c r="O177" s="54"/>
      <c r="P177" s="8"/>
    </row>
    <row r="178">
      <c r="A178" s="34"/>
      <c r="B178" s="35"/>
      <c r="C178" s="41"/>
      <c r="D178" s="30"/>
      <c r="E178" s="36"/>
      <c r="F178" s="39"/>
      <c r="G178" s="33"/>
      <c r="I178" s="50"/>
      <c r="J178" s="51"/>
      <c r="K178" s="57"/>
      <c r="L178" s="52"/>
      <c r="M178" s="53"/>
      <c r="N178" s="58"/>
      <c r="O178" s="54"/>
      <c r="P178" s="8"/>
    </row>
    <row r="179">
      <c r="A179" s="50"/>
      <c r="B179" s="51"/>
      <c r="C179" s="57"/>
      <c r="D179" s="52"/>
      <c r="E179" s="53"/>
      <c r="F179" s="58"/>
      <c r="G179" s="54"/>
      <c r="I179" s="50"/>
      <c r="J179" s="51"/>
      <c r="K179" s="57"/>
      <c r="L179" s="52"/>
      <c r="M179" s="53"/>
      <c r="N179" s="58"/>
      <c r="O179" s="54"/>
      <c r="P179" s="8"/>
    </row>
    <row r="180">
      <c r="A180" s="50"/>
      <c r="B180" s="51"/>
      <c r="C180" s="57"/>
      <c r="D180" s="52"/>
      <c r="E180" s="53"/>
      <c r="F180" s="58"/>
      <c r="G180" s="54"/>
      <c r="I180" s="50"/>
      <c r="J180" s="51"/>
      <c r="K180" s="57"/>
      <c r="L180" s="52"/>
      <c r="M180" s="53"/>
      <c r="N180" s="58"/>
      <c r="O180" s="54"/>
      <c r="P180" s="8"/>
    </row>
    <row r="181">
      <c r="A181" s="50"/>
      <c r="B181" s="51"/>
      <c r="C181" s="57"/>
      <c r="D181" s="52"/>
      <c r="E181" s="53"/>
      <c r="F181" s="58"/>
      <c r="G181" s="54"/>
      <c r="I181" s="50"/>
      <c r="J181" s="51"/>
      <c r="K181" s="57"/>
      <c r="L181" s="52"/>
      <c r="M181" s="53"/>
      <c r="N181" s="58"/>
      <c r="O181" s="54"/>
      <c r="P181" s="8"/>
    </row>
    <row r="182">
      <c r="A182" s="50"/>
      <c r="B182" s="51"/>
      <c r="C182" s="57"/>
      <c r="D182" s="52"/>
      <c r="E182" s="53"/>
      <c r="F182" s="58"/>
      <c r="G182" s="54"/>
      <c r="I182" s="50"/>
      <c r="J182" s="51"/>
      <c r="K182" s="57"/>
      <c r="L182" s="52"/>
      <c r="M182" s="53"/>
      <c r="N182" s="58"/>
      <c r="O182" s="54"/>
      <c r="P182" s="8"/>
    </row>
    <row r="183">
      <c r="A183" s="50"/>
      <c r="B183" s="51"/>
      <c r="C183" s="57"/>
      <c r="D183" s="52"/>
      <c r="E183" s="53"/>
      <c r="F183" s="58"/>
      <c r="G183" s="54"/>
      <c r="I183" s="50"/>
      <c r="J183" s="51"/>
      <c r="K183" s="57"/>
      <c r="L183" s="52"/>
      <c r="M183" s="53"/>
      <c r="N183" s="58"/>
      <c r="O183" s="54"/>
      <c r="P183" s="8"/>
    </row>
    <row r="184">
      <c r="A184" s="50"/>
      <c r="B184" s="51"/>
      <c r="C184" s="57"/>
      <c r="D184" s="52"/>
      <c r="E184" s="53"/>
      <c r="F184" s="58"/>
      <c r="G184" s="54"/>
      <c r="I184" s="50"/>
      <c r="J184" s="51"/>
      <c r="K184" s="57"/>
      <c r="L184" s="52"/>
      <c r="M184" s="53"/>
      <c r="N184" s="58"/>
      <c r="O184" s="54"/>
      <c r="P184" s="8"/>
    </row>
    <row r="185">
      <c r="A185" s="50"/>
      <c r="B185" s="51"/>
      <c r="C185" s="57"/>
      <c r="D185" s="52"/>
      <c r="E185" s="53"/>
      <c r="F185" s="58"/>
      <c r="G185" s="54"/>
      <c r="I185" s="50"/>
      <c r="J185" s="51"/>
      <c r="K185" s="57"/>
      <c r="L185" s="52"/>
      <c r="M185" s="53"/>
      <c r="N185" s="58"/>
      <c r="O185" s="54"/>
      <c r="P185" s="8"/>
    </row>
    <row r="186">
      <c r="A186" s="50"/>
      <c r="B186" s="51"/>
      <c r="C186" s="57"/>
      <c r="D186" s="52"/>
      <c r="E186" s="53"/>
      <c r="F186" s="58"/>
      <c r="G186" s="54"/>
      <c r="I186" s="50"/>
      <c r="J186" s="51"/>
      <c r="K186" s="57"/>
      <c r="L186" s="52"/>
      <c r="M186" s="53"/>
      <c r="N186" s="58"/>
      <c r="O186" s="54"/>
      <c r="P186" s="8"/>
    </row>
    <row r="187">
      <c r="A187" s="50"/>
      <c r="B187" s="51"/>
      <c r="C187" s="57"/>
      <c r="D187" s="52"/>
      <c r="E187" s="53"/>
      <c r="F187" s="58"/>
      <c r="G187" s="54"/>
      <c r="I187" s="50"/>
      <c r="J187" s="51"/>
      <c r="K187" s="57"/>
      <c r="L187" s="52"/>
      <c r="M187" s="53"/>
      <c r="N187" s="58"/>
      <c r="O187" s="54"/>
      <c r="P187" s="8"/>
    </row>
    <row r="188">
      <c r="A188" s="50"/>
      <c r="B188" s="51"/>
      <c r="C188" s="57"/>
      <c r="D188" s="52"/>
      <c r="E188" s="53"/>
      <c r="F188" s="58"/>
      <c r="G188" s="54"/>
      <c r="I188" s="50"/>
      <c r="J188" s="51"/>
      <c r="K188" s="57"/>
      <c r="L188" s="52"/>
      <c r="M188" s="53"/>
      <c r="N188" s="58"/>
      <c r="O188" s="54"/>
      <c r="P188" s="8"/>
    </row>
    <row r="189">
      <c r="A189" s="50"/>
      <c r="B189" s="51"/>
      <c r="C189" s="57"/>
      <c r="D189" s="52"/>
      <c r="E189" s="53"/>
      <c r="F189" s="58"/>
      <c r="G189" s="54"/>
      <c r="I189" s="50"/>
      <c r="J189" s="51"/>
      <c r="K189" s="57"/>
      <c r="L189" s="52"/>
      <c r="M189" s="53"/>
      <c r="N189" s="58"/>
      <c r="O189" s="54"/>
      <c r="P189" s="8"/>
    </row>
    <row r="190">
      <c r="A190" s="50"/>
      <c r="B190" s="51"/>
      <c r="C190" s="57"/>
      <c r="D190" s="52"/>
      <c r="E190" s="53"/>
      <c r="F190" s="58"/>
      <c r="G190" s="54"/>
      <c r="I190" s="50"/>
      <c r="J190" s="51"/>
      <c r="K190" s="57"/>
      <c r="L190" s="52"/>
      <c r="M190" s="53"/>
      <c r="N190" s="58"/>
      <c r="O190" s="54"/>
      <c r="P190" s="8"/>
    </row>
    <row r="191">
      <c r="A191" s="50"/>
      <c r="B191" s="51"/>
      <c r="C191" s="57"/>
      <c r="D191" s="52"/>
      <c r="E191" s="53"/>
      <c r="F191" s="58"/>
      <c r="G191" s="54"/>
      <c r="I191" s="50"/>
      <c r="J191" s="51"/>
      <c r="K191" s="57"/>
      <c r="L191" s="52"/>
      <c r="M191" s="53"/>
      <c r="N191" s="58"/>
      <c r="O191" s="54"/>
      <c r="P191" s="8"/>
    </row>
    <row r="192">
      <c r="A192" s="50"/>
      <c r="B192" s="51"/>
      <c r="C192" s="57"/>
      <c r="D192" s="52"/>
      <c r="E192" s="53"/>
      <c r="F192" s="58"/>
      <c r="G192" s="54"/>
      <c r="I192" s="50"/>
      <c r="J192" s="51"/>
      <c r="K192" s="57"/>
      <c r="L192" s="52"/>
      <c r="M192" s="53"/>
      <c r="N192" s="58"/>
      <c r="O192" s="54"/>
      <c r="P192" s="8"/>
    </row>
    <row r="193">
      <c r="A193" s="50"/>
      <c r="B193" s="51"/>
      <c r="C193" s="57"/>
      <c r="D193" s="52"/>
      <c r="E193" s="53"/>
      <c r="F193" s="58"/>
      <c r="G193" s="54"/>
      <c r="I193" s="50"/>
      <c r="J193" s="51"/>
      <c r="K193" s="57"/>
      <c r="L193" s="52"/>
      <c r="M193" s="53"/>
      <c r="N193" s="58"/>
      <c r="O193" s="54"/>
      <c r="P193" s="8"/>
    </row>
    <row r="194">
      <c r="A194" s="50"/>
      <c r="B194" s="51"/>
      <c r="C194" s="57"/>
      <c r="D194" s="52"/>
      <c r="E194" s="53"/>
      <c r="F194" s="58"/>
      <c r="G194" s="54"/>
      <c r="I194" s="50"/>
      <c r="J194" s="51"/>
      <c r="K194" s="57"/>
      <c r="L194" s="52"/>
      <c r="M194" s="53"/>
      <c r="N194" s="58"/>
      <c r="O194" s="54"/>
      <c r="P194" s="8"/>
    </row>
    <row r="195">
      <c r="A195" s="50"/>
      <c r="B195" s="51"/>
      <c r="C195" s="57"/>
      <c r="D195" s="52"/>
      <c r="E195" s="53"/>
      <c r="F195" s="58"/>
      <c r="G195" s="54"/>
      <c r="I195" s="50"/>
      <c r="J195" s="51"/>
      <c r="K195" s="57"/>
      <c r="L195" s="52"/>
      <c r="M195" s="53"/>
      <c r="N195" s="58"/>
      <c r="O195" s="54"/>
      <c r="P195" s="8"/>
    </row>
    <row r="196">
      <c r="A196" s="50"/>
      <c r="B196" s="51"/>
      <c r="C196" s="57"/>
      <c r="D196" s="52"/>
      <c r="E196" s="53"/>
      <c r="F196" s="58"/>
      <c r="G196" s="54"/>
      <c r="I196" s="50"/>
      <c r="J196" s="51"/>
      <c r="K196" s="57"/>
      <c r="L196" s="52"/>
      <c r="M196" s="53"/>
      <c r="N196" s="58"/>
      <c r="O196" s="54"/>
      <c r="P196" s="8"/>
    </row>
    <row r="197">
      <c r="A197" s="50"/>
      <c r="B197" s="51"/>
      <c r="C197" s="57"/>
      <c r="D197" s="52"/>
      <c r="E197" s="53"/>
      <c r="F197" s="58"/>
      <c r="G197" s="54"/>
      <c r="I197" s="50"/>
      <c r="J197" s="51"/>
      <c r="K197" s="57"/>
      <c r="L197" s="52"/>
      <c r="M197" s="53"/>
      <c r="N197" s="58"/>
      <c r="O197" s="54"/>
      <c r="P197" s="8"/>
    </row>
    <row r="198">
      <c r="A198" s="50"/>
      <c r="B198" s="51"/>
      <c r="C198" s="57"/>
      <c r="D198" s="52"/>
      <c r="E198" s="53"/>
      <c r="F198" s="58"/>
      <c r="G198" s="54"/>
      <c r="I198" s="50"/>
      <c r="J198" s="51"/>
      <c r="K198" s="57"/>
      <c r="L198" s="52"/>
      <c r="M198" s="53"/>
      <c r="N198" s="58"/>
      <c r="O198" s="54"/>
      <c r="P198" s="8"/>
    </row>
    <row r="199">
      <c r="A199" s="50"/>
      <c r="B199" s="51"/>
      <c r="C199" s="57"/>
      <c r="D199" s="52"/>
      <c r="E199" s="53"/>
      <c r="F199" s="58"/>
      <c r="G199" s="54"/>
      <c r="I199" s="50"/>
      <c r="J199" s="51"/>
      <c r="K199" s="52"/>
      <c r="L199" s="52"/>
      <c r="M199" s="53"/>
      <c r="N199" s="58"/>
      <c r="O199" s="54"/>
      <c r="P199" s="8"/>
    </row>
    <row r="200">
      <c r="A200" s="50"/>
      <c r="B200" s="51"/>
      <c r="C200" s="57"/>
      <c r="D200" s="52"/>
      <c r="E200" s="53"/>
      <c r="F200" s="58"/>
      <c r="G200" s="54"/>
      <c r="I200" s="50"/>
      <c r="J200" s="51"/>
      <c r="K200" s="52"/>
      <c r="L200" s="52"/>
      <c r="M200" s="53"/>
      <c r="N200" s="58"/>
      <c r="O200" s="54"/>
      <c r="P200" s="8"/>
    </row>
    <row r="201">
      <c r="A201" s="50"/>
      <c r="B201" s="51"/>
      <c r="C201" s="57"/>
      <c r="D201" s="52"/>
      <c r="E201" s="53"/>
      <c r="F201" s="58"/>
      <c r="G201" s="54"/>
      <c r="I201" s="50"/>
      <c r="J201" s="51"/>
      <c r="K201" s="52"/>
      <c r="L201" s="52"/>
      <c r="M201" s="53"/>
      <c r="N201" s="58"/>
      <c r="O201" s="54"/>
      <c r="P201" s="8"/>
    </row>
    <row r="202">
      <c r="A202" s="50"/>
      <c r="B202" s="51"/>
      <c r="C202" s="57"/>
      <c r="D202" s="52"/>
      <c r="E202" s="53"/>
      <c r="F202" s="58"/>
      <c r="G202" s="54"/>
      <c r="I202" s="50"/>
      <c r="J202" s="51"/>
      <c r="K202" s="52"/>
      <c r="L202" s="52"/>
      <c r="M202" s="53"/>
      <c r="N202" s="58"/>
      <c r="O202" s="54"/>
      <c r="P202" s="8"/>
    </row>
    <row r="203">
      <c r="A203" s="50"/>
      <c r="B203" s="51"/>
      <c r="C203" s="57"/>
      <c r="D203" s="52"/>
      <c r="E203" s="53"/>
      <c r="F203" s="58"/>
      <c r="G203" s="54"/>
      <c r="I203" s="50"/>
      <c r="J203" s="51"/>
      <c r="K203" s="52"/>
      <c r="L203" s="52"/>
      <c r="M203" s="53"/>
      <c r="N203" s="58"/>
      <c r="O203" s="54"/>
      <c r="P203" s="8"/>
    </row>
    <row r="204">
      <c r="A204" s="50"/>
      <c r="B204" s="51"/>
      <c r="C204" s="57"/>
      <c r="D204" s="52"/>
      <c r="E204" s="53"/>
      <c r="F204" s="58"/>
      <c r="G204" s="54"/>
      <c r="I204" s="50"/>
      <c r="J204" s="51"/>
      <c r="K204" s="52"/>
      <c r="L204" s="52"/>
      <c r="M204" s="53"/>
      <c r="N204" s="58"/>
      <c r="O204" s="54"/>
      <c r="P204" s="8"/>
    </row>
    <row r="205">
      <c r="A205" s="50"/>
      <c r="B205" s="51"/>
      <c r="C205" s="57"/>
      <c r="D205" s="52"/>
      <c r="E205" s="53"/>
      <c r="F205" s="58"/>
      <c r="G205" s="54"/>
      <c r="I205" s="50"/>
      <c r="J205" s="51"/>
      <c r="K205" s="57"/>
      <c r="L205" s="52"/>
      <c r="M205" s="53"/>
      <c r="N205" s="58"/>
      <c r="O205" s="54"/>
      <c r="P205" s="8"/>
    </row>
    <row r="206">
      <c r="A206" s="50"/>
      <c r="B206" s="51"/>
      <c r="C206" s="57"/>
      <c r="D206" s="52"/>
      <c r="E206" s="53"/>
      <c r="F206" s="58"/>
      <c r="G206" s="54"/>
      <c r="I206" s="50"/>
      <c r="J206" s="51"/>
      <c r="K206" s="57"/>
      <c r="L206" s="52"/>
      <c r="M206" s="53"/>
      <c r="N206" s="58"/>
      <c r="O206" s="54"/>
      <c r="P206" s="8"/>
    </row>
    <row r="207">
      <c r="A207" s="50"/>
      <c r="B207" s="51"/>
      <c r="C207" s="57"/>
      <c r="D207" s="52"/>
      <c r="E207" s="53"/>
      <c r="F207" s="58"/>
      <c r="G207" s="54"/>
      <c r="I207" s="50"/>
      <c r="J207" s="51"/>
      <c r="K207" s="57"/>
      <c r="L207" s="52"/>
      <c r="M207" s="53"/>
      <c r="N207" s="58"/>
      <c r="O207" s="54"/>
      <c r="P207" s="8"/>
    </row>
    <row r="208">
      <c r="A208" s="50"/>
      <c r="B208" s="51"/>
      <c r="C208" s="57"/>
      <c r="D208" s="52"/>
      <c r="E208" s="53"/>
      <c r="F208" s="58"/>
      <c r="G208" s="54"/>
      <c r="I208" s="50"/>
      <c r="J208" s="51"/>
      <c r="K208" s="57"/>
      <c r="L208" s="52"/>
      <c r="M208" s="53"/>
      <c r="N208" s="58"/>
      <c r="O208" s="54"/>
      <c r="P208" s="8"/>
    </row>
    <row r="209">
      <c r="A209" s="50"/>
      <c r="B209" s="51"/>
      <c r="C209" s="57"/>
      <c r="D209" s="52"/>
      <c r="E209" s="53"/>
      <c r="F209" s="58"/>
      <c r="G209" s="54"/>
      <c r="I209" s="50"/>
      <c r="J209" s="51"/>
      <c r="K209" s="57"/>
      <c r="L209" s="52"/>
      <c r="M209" s="53"/>
      <c r="N209" s="58"/>
      <c r="O209" s="54"/>
      <c r="P209" s="8"/>
    </row>
    <row r="210">
      <c r="A210" s="50"/>
      <c r="B210" s="51"/>
      <c r="C210" s="57"/>
      <c r="D210" s="52"/>
      <c r="E210" s="53"/>
      <c r="F210" s="58"/>
      <c r="G210" s="54"/>
      <c r="I210" s="50"/>
      <c r="J210" s="51"/>
      <c r="K210" s="57"/>
      <c r="L210" s="52"/>
      <c r="M210" s="53"/>
      <c r="N210" s="58"/>
      <c r="O210" s="54"/>
      <c r="P210" s="8"/>
    </row>
    <row r="211">
      <c r="A211" s="50"/>
      <c r="B211" s="51"/>
      <c r="C211" s="57"/>
      <c r="D211" s="52"/>
      <c r="E211" s="53"/>
      <c r="F211" s="58"/>
      <c r="G211" s="54"/>
      <c r="I211" s="50"/>
      <c r="J211" s="51"/>
      <c r="K211" s="57"/>
      <c r="L211" s="52"/>
      <c r="M211" s="53"/>
      <c r="N211" s="58"/>
      <c r="O211" s="54"/>
      <c r="P211" s="8"/>
    </row>
    <row r="212">
      <c r="A212" s="50"/>
      <c r="B212" s="51"/>
      <c r="C212" s="52"/>
      <c r="D212" s="52"/>
      <c r="E212" s="53"/>
      <c r="F212" s="58"/>
      <c r="G212" s="54"/>
      <c r="I212" s="50"/>
      <c r="J212" s="51"/>
      <c r="K212" s="57"/>
      <c r="L212" s="52"/>
      <c r="M212" s="53"/>
      <c r="N212" s="58"/>
      <c r="O212" s="54"/>
      <c r="P212" s="8"/>
    </row>
    <row r="213">
      <c r="A213" s="50"/>
      <c r="B213" s="51"/>
      <c r="C213" s="52"/>
      <c r="D213" s="52"/>
      <c r="E213" s="53"/>
      <c r="F213" s="58"/>
      <c r="G213" s="54"/>
      <c r="I213" s="50"/>
      <c r="J213" s="51"/>
      <c r="K213" s="57"/>
      <c r="L213" s="52"/>
      <c r="M213" s="53"/>
      <c r="N213" s="58"/>
      <c r="O213" s="54"/>
      <c r="P213" s="8"/>
    </row>
    <row r="214">
      <c r="A214" s="50"/>
      <c r="B214" s="51"/>
      <c r="C214" s="52"/>
      <c r="D214" s="52"/>
      <c r="E214" s="53"/>
      <c r="F214" s="58"/>
      <c r="G214" s="54"/>
      <c r="I214" s="50"/>
      <c r="J214" s="51"/>
      <c r="K214" s="57"/>
      <c r="L214" s="52"/>
      <c r="M214" s="53"/>
      <c r="N214" s="58"/>
      <c r="O214" s="54"/>
      <c r="P214" s="8"/>
    </row>
    <row r="215">
      <c r="A215" s="50"/>
      <c r="B215" s="51"/>
      <c r="C215" s="52"/>
      <c r="D215" s="52"/>
      <c r="E215" s="53"/>
      <c r="F215" s="58"/>
      <c r="G215" s="54"/>
      <c r="I215" s="50"/>
      <c r="J215" s="51"/>
      <c r="K215" s="52"/>
      <c r="L215" s="52"/>
      <c r="M215" s="53"/>
      <c r="N215" s="58"/>
      <c r="O215" s="54"/>
      <c r="P215" s="8"/>
    </row>
    <row r="216">
      <c r="A216" s="50"/>
      <c r="B216" s="51"/>
      <c r="C216" s="52"/>
      <c r="D216" s="52"/>
      <c r="E216" s="53"/>
      <c r="F216" s="58"/>
      <c r="G216" s="54"/>
      <c r="I216" s="50"/>
      <c r="J216" s="51"/>
      <c r="K216" s="52"/>
      <c r="L216" s="52"/>
      <c r="M216" s="53"/>
      <c r="N216" s="58"/>
      <c r="O216" s="54"/>
      <c r="P216" s="8"/>
    </row>
    <row r="217">
      <c r="A217" s="50"/>
      <c r="B217" s="51"/>
      <c r="C217" s="52"/>
      <c r="D217" s="52"/>
      <c r="E217" s="53"/>
      <c r="F217" s="58"/>
      <c r="G217" s="54"/>
      <c r="I217" s="50"/>
      <c r="J217" s="51"/>
      <c r="K217" s="52"/>
      <c r="L217" s="52"/>
      <c r="M217" s="53"/>
      <c r="N217" s="58"/>
      <c r="O217" s="54"/>
      <c r="P217" s="8"/>
    </row>
    <row r="218">
      <c r="A218" s="50"/>
      <c r="B218" s="51"/>
      <c r="C218" s="57"/>
      <c r="D218" s="52"/>
      <c r="E218" s="53"/>
      <c r="F218" s="58"/>
      <c r="G218" s="54"/>
      <c r="I218" s="50"/>
      <c r="J218" s="51"/>
      <c r="K218" s="57"/>
      <c r="L218" s="52"/>
      <c r="M218" s="53"/>
      <c r="N218" s="58"/>
      <c r="O218" s="54"/>
      <c r="P218" s="8"/>
    </row>
    <row r="219">
      <c r="A219" s="50"/>
      <c r="B219" s="51"/>
      <c r="C219" s="57"/>
      <c r="D219" s="52"/>
      <c r="E219" s="53"/>
      <c r="F219" s="58"/>
      <c r="G219" s="54"/>
      <c r="I219" s="50"/>
      <c r="J219" s="51"/>
      <c r="K219" s="57"/>
      <c r="L219" s="52"/>
      <c r="M219" s="53"/>
      <c r="N219" s="58"/>
      <c r="O219" s="54"/>
      <c r="P219" s="8"/>
    </row>
    <row r="220">
      <c r="A220" s="50"/>
      <c r="B220" s="51"/>
      <c r="C220" s="57"/>
      <c r="D220" s="52"/>
      <c r="E220" s="53"/>
      <c r="F220" s="58"/>
      <c r="G220" s="54"/>
      <c r="I220" s="50"/>
      <c r="J220" s="51"/>
      <c r="K220" s="57"/>
      <c r="L220" s="52"/>
      <c r="M220" s="53"/>
      <c r="N220" s="58"/>
      <c r="O220" s="54"/>
      <c r="P220" s="8"/>
    </row>
    <row r="221">
      <c r="A221" s="50"/>
      <c r="B221" s="51"/>
      <c r="C221" s="57"/>
      <c r="D221" s="52"/>
      <c r="E221" s="53"/>
      <c r="F221" s="58"/>
      <c r="G221" s="54"/>
      <c r="I221" s="50"/>
      <c r="J221" s="51"/>
      <c r="K221" s="52"/>
      <c r="L221" s="52"/>
      <c r="M221" s="53"/>
      <c r="N221" s="58"/>
      <c r="O221" s="54"/>
      <c r="P221" s="8"/>
    </row>
    <row r="222">
      <c r="A222" s="50"/>
      <c r="B222" s="51"/>
      <c r="C222" s="57"/>
      <c r="D222" s="52"/>
      <c r="E222" s="53"/>
      <c r="F222" s="58"/>
      <c r="G222" s="54"/>
      <c r="I222" s="50"/>
      <c r="J222" s="51"/>
      <c r="K222" s="52"/>
      <c r="L222" s="52"/>
      <c r="M222" s="53"/>
      <c r="N222" s="58"/>
      <c r="O222" s="54"/>
      <c r="P222" s="8"/>
    </row>
    <row r="223">
      <c r="A223" s="50"/>
      <c r="B223" s="51"/>
      <c r="C223" s="57"/>
      <c r="D223" s="52"/>
      <c r="E223" s="53"/>
      <c r="F223" s="58"/>
      <c r="G223" s="54"/>
      <c r="I223" s="50"/>
      <c r="J223" s="51"/>
      <c r="K223" s="52"/>
      <c r="L223" s="52"/>
      <c r="M223" s="53"/>
      <c r="N223" s="58"/>
      <c r="O223" s="54"/>
      <c r="P223" s="8"/>
    </row>
    <row r="224">
      <c r="A224" s="50"/>
      <c r="B224" s="51"/>
      <c r="C224" s="57"/>
      <c r="D224" s="52"/>
      <c r="E224" s="53"/>
      <c r="F224" s="58"/>
      <c r="G224" s="54"/>
      <c r="I224" s="50"/>
      <c r="J224" s="51"/>
      <c r="K224" s="52"/>
      <c r="L224" s="52"/>
      <c r="M224" s="53"/>
      <c r="N224" s="58"/>
      <c r="O224" s="54"/>
      <c r="P224" s="8"/>
    </row>
    <row r="225">
      <c r="A225" s="50"/>
      <c r="B225" s="51"/>
      <c r="C225" s="57"/>
      <c r="D225" s="52"/>
      <c r="E225" s="53"/>
      <c r="F225" s="58"/>
      <c r="G225" s="54"/>
      <c r="I225" s="50"/>
      <c r="J225" s="51"/>
      <c r="K225" s="57"/>
      <c r="L225" s="52"/>
      <c r="M225" s="53"/>
      <c r="N225" s="58"/>
      <c r="O225" s="54"/>
      <c r="P225" s="8"/>
    </row>
    <row r="226">
      <c r="A226" s="50"/>
      <c r="B226" s="51"/>
      <c r="C226" s="57"/>
      <c r="D226" s="52"/>
      <c r="E226" s="53"/>
      <c r="F226" s="58"/>
      <c r="G226" s="54"/>
      <c r="I226" s="50"/>
      <c r="J226" s="51"/>
      <c r="K226" s="57"/>
      <c r="L226" s="52"/>
      <c r="M226" s="53"/>
      <c r="N226" s="58"/>
      <c r="O226" s="54"/>
      <c r="P226" s="8"/>
    </row>
    <row r="227">
      <c r="A227" s="50"/>
      <c r="B227" s="51"/>
      <c r="C227" s="57"/>
      <c r="D227" s="52"/>
      <c r="E227" s="53"/>
      <c r="F227" s="58"/>
      <c r="G227" s="54"/>
      <c r="I227" s="50"/>
      <c r="J227" s="51"/>
      <c r="K227" s="57"/>
      <c r="L227" s="52"/>
      <c r="M227" s="53"/>
      <c r="N227" s="58"/>
      <c r="O227" s="54"/>
      <c r="P227" s="8"/>
    </row>
    <row r="228">
      <c r="A228" s="50"/>
      <c r="B228" s="51"/>
      <c r="C228" s="52"/>
      <c r="D228" s="52"/>
      <c r="E228" s="53"/>
      <c r="F228" s="58"/>
      <c r="G228" s="54"/>
      <c r="I228" s="50"/>
      <c r="J228" s="51"/>
      <c r="K228" s="57"/>
      <c r="L228" s="52"/>
      <c r="M228" s="53"/>
      <c r="N228" s="58"/>
      <c r="O228" s="54"/>
      <c r="P228" s="8"/>
    </row>
    <row r="229">
      <c r="A229" s="50"/>
      <c r="B229" s="51"/>
      <c r="C229" s="52"/>
      <c r="D229" s="52"/>
      <c r="E229" s="53"/>
      <c r="F229" s="58"/>
      <c r="G229" s="54"/>
      <c r="I229" s="50"/>
      <c r="J229" s="51"/>
      <c r="K229" s="57"/>
      <c r="L229" s="52"/>
      <c r="M229" s="53"/>
      <c r="N229" s="58"/>
      <c r="O229" s="54"/>
      <c r="P229" s="8"/>
    </row>
    <row r="230">
      <c r="A230" s="50"/>
      <c r="B230" s="51"/>
      <c r="C230" s="52"/>
      <c r="D230" s="52"/>
      <c r="E230" s="53"/>
      <c r="F230" s="58"/>
      <c r="G230" s="54"/>
      <c r="I230" s="50"/>
      <c r="J230" s="51"/>
      <c r="K230" s="52"/>
      <c r="L230" s="52"/>
      <c r="M230" s="53"/>
      <c r="N230" s="58"/>
      <c r="O230" s="54"/>
      <c r="P230" s="8"/>
    </row>
    <row r="231">
      <c r="A231" s="50"/>
      <c r="B231" s="51"/>
      <c r="C231" s="57"/>
      <c r="D231" s="52"/>
      <c r="E231" s="53"/>
      <c r="F231" s="58"/>
      <c r="G231" s="54"/>
      <c r="I231" s="50"/>
      <c r="J231" s="51"/>
      <c r="K231" s="52"/>
      <c r="L231" s="52"/>
      <c r="M231" s="53"/>
      <c r="N231" s="58"/>
      <c r="O231" s="54"/>
      <c r="P231" s="8"/>
    </row>
    <row r="232">
      <c r="A232" s="50"/>
      <c r="B232" s="51"/>
      <c r="C232" s="57"/>
      <c r="D232" s="52"/>
      <c r="E232" s="53"/>
      <c r="F232" s="58"/>
      <c r="G232" s="54"/>
      <c r="I232" s="50"/>
      <c r="J232" s="51"/>
      <c r="K232" s="52"/>
      <c r="L232" s="52"/>
      <c r="M232" s="53"/>
      <c r="N232" s="58"/>
      <c r="O232" s="54"/>
      <c r="P232" s="8"/>
    </row>
    <row r="233">
      <c r="A233" s="50"/>
      <c r="B233" s="51"/>
      <c r="C233" s="57"/>
      <c r="D233" s="52"/>
      <c r="E233" s="53"/>
      <c r="F233" s="58"/>
      <c r="G233" s="54"/>
      <c r="I233" s="50"/>
      <c r="J233" s="51"/>
      <c r="K233" s="52"/>
      <c r="L233" s="52"/>
      <c r="M233" s="53"/>
      <c r="N233" s="58"/>
      <c r="O233" s="54"/>
      <c r="P233" s="8"/>
    </row>
    <row r="234">
      <c r="A234" s="50"/>
      <c r="B234" s="51"/>
      <c r="C234" s="52"/>
      <c r="D234" s="52"/>
      <c r="E234" s="53"/>
      <c r="F234" s="58"/>
      <c r="G234" s="54"/>
      <c r="I234" s="50"/>
      <c r="J234" s="51"/>
      <c r="K234" s="52"/>
      <c r="L234" s="52"/>
      <c r="M234" s="53"/>
      <c r="N234" s="58"/>
      <c r="O234" s="54"/>
      <c r="P234" s="8"/>
    </row>
    <row r="235">
      <c r="A235" s="50"/>
      <c r="B235" s="51"/>
      <c r="C235" s="52"/>
      <c r="D235" s="52"/>
      <c r="E235" s="53"/>
      <c r="F235" s="58"/>
      <c r="G235" s="54"/>
      <c r="I235" s="50"/>
      <c r="J235" s="51"/>
      <c r="K235" s="52"/>
      <c r="L235" s="52"/>
      <c r="M235" s="53"/>
      <c r="N235" s="58"/>
      <c r="O235" s="54"/>
      <c r="P235" s="8"/>
    </row>
    <row r="236">
      <c r="A236" s="50"/>
      <c r="B236" s="51"/>
      <c r="C236" s="52"/>
      <c r="D236" s="52"/>
      <c r="E236" s="53"/>
      <c r="F236" s="58"/>
      <c r="G236" s="54"/>
      <c r="I236" s="50"/>
      <c r="J236" s="51"/>
      <c r="K236" s="52"/>
      <c r="L236" s="52"/>
      <c r="M236" s="53"/>
      <c r="N236" s="58"/>
      <c r="O236" s="54"/>
      <c r="P236" s="8"/>
    </row>
    <row r="237">
      <c r="A237" s="50"/>
      <c r="B237" s="51"/>
      <c r="C237" s="52"/>
      <c r="D237" s="52"/>
      <c r="E237" s="53"/>
      <c r="F237" s="58"/>
      <c r="G237" s="54"/>
      <c r="I237" s="50"/>
      <c r="J237" s="51"/>
      <c r="K237" s="57"/>
      <c r="L237" s="52"/>
      <c r="M237" s="53"/>
      <c r="N237" s="58"/>
      <c r="O237" s="54"/>
      <c r="P237" s="8"/>
    </row>
    <row r="238">
      <c r="A238" s="50"/>
      <c r="B238" s="51"/>
      <c r="C238" s="57"/>
      <c r="D238" s="52"/>
      <c r="E238" s="53"/>
      <c r="F238" s="58"/>
      <c r="G238" s="54"/>
      <c r="I238" s="50"/>
      <c r="J238" s="51"/>
      <c r="K238" s="57"/>
      <c r="L238" s="52"/>
      <c r="M238" s="53"/>
      <c r="N238" s="58"/>
      <c r="O238" s="54"/>
      <c r="P238" s="8"/>
    </row>
    <row r="239">
      <c r="A239" s="50"/>
      <c r="B239" s="51"/>
      <c r="C239" s="57"/>
      <c r="D239" s="52"/>
      <c r="E239" s="53"/>
      <c r="F239" s="58"/>
      <c r="G239" s="54"/>
      <c r="I239" s="50"/>
      <c r="J239" s="51"/>
      <c r="K239" s="57"/>
      <c r="L239" s="52"/>
      <c r="M239" s="53"/>
      <c r="N239" s="58"/>
      <c r="O239" s="54"/>
      <c r="P239" s="8"/>
    </row>
    <row r="240">
      <c r="A240" s="50"/>
      <c r="B240" s="51"/>
      <c r="C240" s="57"/>
      <c r="D240" s="52"/>
      <c r="E240" s="53"/>
      <c r="F240" s="58"/>
      <c r="G240" s="54"/>
      <c r="I240" s="50"/>
      <c r="J240" s="51"/>
      <c r="K240" s="57"/>
      <c r="L240" s="52"/>
      <c r="M240" s="53"/>
      <c r="N240" s="58"/>
      <c r="O240" s="54"/>
      <c r="P240" s="8"/>
    </row>
    <row r="241">
      <c r="A241" s="50"/>
      <c r="B241" s="51"/>
      <c r="C241" s="57"/>
      <c r="D241" s="52"/>
      <c r="E241" s="53"/>
      <c r="F241" s="58"/>
      <c r="G241" s="54"/>
      <c r="I241" s="50"/>
      <c r="J241" s="51"/>
      <c r="K241" s="57"/>
      <c r="L241" s="52"/>
      <c r="M241" s="53"/>
      <c r="N241" s="58"/>
      <c r="O241" s="54"/>
      <c r="P241" s="8"/>
    </row>
    <row r="242">
      <c r="A242" s="50"/>
      <c r="B242" s="51"/>
      <c r="C242" s="57"/>
      <c r="D242" s="52"/>
      <c r="E242" s="53"/>
      <c r="F242" s="58"/>
      <c r="G242" s="54"/>
      <c r="I242" s="50"/>
      <c r="J242" s="51"/>
      <c r="K242" s="57"/>
      <c r="L242" s="52"/>
      <c r="M242" s="53"/>
      <c r="N242" s="58"/>
      <c r="O242" s="54"/>
      <c r="P242" s="8"/>
    </row>
    <row r="243">
      <c r="A243" s="50"/>
      <c r="B243" s="51"/>
      <c r="C243" s="52"/>
      <c r="D243" s="52"/>
      <c r="E243" s="53"/>
      <c r="F243" s="58"/>
      <c r="G243" s="54"/>
      <c r="I243" s="50"/>
      <c r="J243" s="51"/>
      <c r="K243" s="57"/>
      <c r="L243" s="52"/>
      <c r="M243" s="53"/>
      <c r="N243" s="58"/>
      <c r="O243" s="54"/>
      <c r="P243" s="8"/>
    </row>
    <row r="244">
      <c r="A244" s="50"/>
      <c r="B244" s="51"/>
      <c r="C244" s="52"/>
      <c r="D244" s="52"/>
      <c r="E244" s="53"/>
      <c r="F244" s="58"/>
      <c r="G244" s="54"/>
      <c r="I244" s="50"/>
      <c r="J244" s="51"/>
      <c r="K244" s="57"/>
      <c r="L244" s="52"/>
      <c r="M244" s="53"/>
      <c r="N244" s="58"/>
      <c r="O244" s="54"/>
      <c r="P244" s="8"/>
    </row>
    <row r="245">
      <c r="A245" s="50"/>
      <c r="B245" s="51"/>
      <c r="C245" s="52"/>
      <c r="D245" s="52"/>
      <c r="E245" s="53"/>
      <c r="F245" s="58"/>
      <c r="G245" s="54"/>
      <c r="I245" s="50"/>
      <c r="J245" s="51"/>
      <c r="K245" s="57"/>
      <c r="L245" s="52"/>
      <c r="M245" s="53"/>
      <c r="N245" s="58"/>
      <c r="O245" s="54"/>
      <c r="P245" s="8"/>
    </row>
    <row r="246">
      <c r="A246" s="50"/>
      <c r="B246" s="51"/>
      <c r="C246" s="52"/>
      <c r="D246" s="52"/>
      <c r="E246" s="53"/>
      <c r="F246" s="58"/>
      <c r="G246" s="54"/>
      <c r="I246" s="50"/>
      <c r="J246" s="51"/>
      <c r="K246" s="52"/>
      <c r="L246" s="52"/>
      <c r="M246" s="53"/>
      <c r="N246" s="58"/>
      <c r="O246" s="54"/>
      <c r="P246" s="8"/>
    </row>
    <row r="247">
      <c r="A247" s="50"/>
      <c r="B247" s="51"/>
      <c r="C247" s="52"/>
      <c r="D247" s="52"/>
      <c r="E247" s="53"/>
      <c r="F247" s="58"/>
      <c r="G247" s="54"/>
      <c r="I247" s="50"/>
      <c r="J247" s="51"/>
      <c r="K247" s="52"/>
      <c r="L247" s="52"/>
      <c r="M247" s="53"/>
      <c r="N247" s="58"/>
      <c r="O247" s="54"/>
      <c r="P247" s="8"/>
    </row>
    <row r="248">
      <c r="A248" s="50"/>
      <c r="B248" s="51"/>
      <c r="C248" s="52"/>
      <c r="D248" s="52"/>
      <c r="E248" s="53"/>
      <c r="F248" s="58"/>
      <c r="G248" s="54"/>
      <c r="I248" s="50"/>
      <c r="J248" s="51"/>
      <c r="K248" s="57"/>
      <c r="L248" s="52"/>
      <c r="M248" s="53"/>
      <c r="N248" s="58"/>
      <c r="O248" s="54"/>
      <c r="P248" s="8"/>
    </row>
    <row r="249">
      <c r="A249" s="50"/>
      <c r="B249" s="51"/>
      <c r="C249" s="52"/>
      <c r="D249" s="52"/>
      <c r="E249" s="53"/>
      <c r="F249" s="58"/>
      <c r="G249" s="54"/>
      <c r="I249" s="50"/>
      <c r="J249" s="51"/>
      <c r="K249" s="57"/>
      <c r="L249" s="52"/>
      <c r="M249" s="53"/>
      <c r="N249" s="58"/>
      <c r="O249" s="54"/>
      <c r="P249" s="8"/>
    </row>
    <row r="250">
      <c r="A250" s="50"/>
      <c r="B250" s="51"/>
      <c r="C250" s="57"/>
      <c r="D250" s="52"/>
      <c r="E250" s="53"/>
      <c r="F250" s="58"/>
      <c r="G250" s="54"/>
      <c r="I250" s="50"/>
      <c r="J250" s="51"/>
      <c r="K250" s="57"/>
      <c r="L250" s="52"/>
      <c r="M250" s="53"/>
      <c r="N250" s="58"/>
      <c r="O250" s="54"/>
      <c r="P250" s="8"/>
    </row>
    <row r="251">
      <c r="A251" s="50"/>
      <c r="B251" s="51"/>
      <c r="C251" s="57"/>
      <c r="D251" s="52"/>
      <c r="E251" s="53"/>
      <c r="F251" s="58"/>
      <c r="G251" s="54"/>
      <c r="I251" s="50"/>
      <c r="J251" s="51"/>
      <c r="K251" s="57"/>
      <c r="L251" s="52"/>
      <c r="M251" s="53"/>
      <c r="N251" s="58"/>
      <c r="O251" s="54"/>
      <c r="P251" s="8"/>
    </row>
    <row r="252">
      <c r="A252" s="50"/>
      <c r="B252" s="51"/>
      <c r="C252" s="57"/>
      <c r="D252" s="52"/>
      <c r="E252" s="53"/>
      <c r="F252" s="58"/>
      <c r="G252" s="54"/>
      <c r="I252" s="50"/>
      <c r="J252" s="51"/>
      <c r="K252" s="57"/>
      <c r="L252" s="52"/>
      <c r="M252" s="53"/>
      <c r="N252" s="58"/>
      <c r="O252" s="54"/>
      <c r="P252" s="8"/>
    </row>
    <row r="253">
      <c r="A253" s="50"/>
      <c r="B253" s="51"/>
      <c r="C253" s="57"/>
      <c r="D253" s="52"/>
      <c r="E253" s="53"/>
      <c r="F253" s="58"/>
      <c r="G253" s="54"/>
      <c r="I253" s="50"/>
      <c r="J253" s="51"/>
      <c r="K253" s="52"/>
      <c r="L253" s="52"/>
      <c r="M253" s="53"/>
      <c r="N253" s="58"/>
      <c r="O253" s="54"/>
      <c r="P253" s="8"/>
    </row>
    <row r="254">
      <c r="A254" s="50"/>
      <c r="B254" s="51"/>
      <c r="C254" s="57"/>
      <c r="D254" s="52"/>
      <c r="E254" s="53"/>
      <c r="F254" s="58"/>
      <c r="G254" s="54"/>
      <c r="I254" s="50"/>
      <c r="J254" s="51"/>
      <c r="K254" s="52"/>
      <c r="L254" s="52"/>
      <c r="M254" s="53"/>
      <c r="N254" s="58"/>
      <c r="O254" s="54"/>
      <c r="P254" s="8"/>
    </row>
    <row r="255">
      <c r="A255" s="50"/>
      <c r="B255" s="51"/>
      <c r="C255" s="57"/>
      <c r="D255" s="52"/>
      <c r="E255" s="53"/>
      <c r="F255" s="58"/>
      <c r="G255" s="54"/>
      <c r="I255" s="50"/>
      <c r="J255" s="51"/>
      <c r="K255" s="57"/>
      <c r="L255" s="52"/>
      <c r="M255" s="53"/>
      <c r="N255" s="58"/>
      <c r="O255" s="54"/>
      <c r="P255" s="8"/>
    </row>
    <row r="256">
      <c r="A256" s="50"/>
      <c r="B256" s="51"/>
      <c r="C256" s="57"/>
      <c r="D256" s="52"/>
      <c r="E256" s="53"/>
      <c r="F256" s="58"/>
      <c r="G256" s="54"/>
      <c r="I256" s="50"/>
      <c r="J256" s="51"/>
      <c r="K256" s="52"/>
      <c r="L256" s="52"/>
      <c r="M256" s="53"/>
      <c r="N256" s="58"/>
      <c r="O256" s="54"/>
      <c r="P256" s="8"/>
    </row>
    <row r="257">
      <c r="A257" s="50"/>
      <c r="B257" s="51"/>
      <c r="C257" s="57"/>
      <c r="D257" s="52"/>
      <c r="E257" s="53"/>
      <c r="F257" s="58"/>
      <c r="G257" s="54"/>
      <c r="I257" s="50"/>
      <c r="J257" s="51"/>
      <c r="K257" s="52"/>
      <c r="L257" s="52"/>
      <c r="M257" s="53"/>
      <c r="N257" s="58"/>
      <c r="O257" s="54"/>
      <c r="P257" s="8"/>
    </row>
    <row r="258">
      <c r="A258" s="50"/>
      <c r="B258" s="51"/>
      <c r="C258" s="57"/>
      <c r="D258" s="52"/>
      <c r="E258" s="53"/>
      <c r="F258" s="58"/>
      <c r="G258" s="54"/>
      <c r="I258" s="50"/>
      <c r="J258" s="51"/>
      <c r="K258" s="52"/>
      <c r="L258" s="52"/>
      <c r="M258" s="53"/>
      <c r="N258" s="58"/>
      <c r="O258" s="54"/>
      <c r="P258" s="8"/>
    </row>
    <row r="259">
      <c r="A259" s="50"/>
      <c r="B259" s="51"/>
      <c r="C259" s="52"/>
      <c r="D259" s="52"/>
      <c r="E259" s="53"/>
      <c r="F259" s="58"/>
      <c r="G259" s="54"/>
      <c r="I259" s="50"/>
      <c r="J259" s="51"/>
      <c r="K259" s="52"/>
      <c r="L259" s="52"/>
      <c r="M259" s="53"/>
      <c r="N259" s="58"/>
      <c r="O259" s="54"/>
      <c r="P259" s="8"/>
    </row>
    <row r="260">
      <c r="A260" s="50"/>
      <c r="B260" s="51"/>
      <c r="C260" s="52"/>
      <c r="D260" s="52"/>
      <c r="E260" s="53"/>
      <c r="F260" s="58"/>
      <c r="G260" s="54"/>
      <c r="I260" s="50"/>
      <c r="J260" s="51"/>
      <c r="K260" s="57"/>
      <c r="L260" s="52"/>
      <c r="M260" s="53"/>
      <c r="N260" s="58"/>
      <c r="O260" s="54"/>
      <c r="P260" s="8"/>
    </row>
    <row r="261">
      <c r="A261" s="50"/>
      <c r="B261" s="51"/>
      <c r="C261" s="57"/>
      <c r="D261" s="52"/>
      <c r="E261" s="53"/>
      <c r="F261" s="58"/>
      <c r="G261" s="54"/>
      <c r="I261" s="50"/>
      <c r="J261" s="51"/>
      <c r="K261" s="57"/>
      <c r="L261" s="52"/>
      <c r="M261" s="53"/>
      <c r="N261" s="58"/>
      <c r="O261" s="54"/>
      <c r="P261" s="8"/>
    </row>
    <row r="262">
      <c r="A262" s="50"/>
      <c r="B262" s="51"/>
      <c r="C262" s="57"/>
      <c r="D262" s="52"/>
      <c r="E262" s="53"/>
      <c r="F262" s="58"/>
      <c r="G262" s="54"/>
      <c r="I262" s="50"/>
      <c r="J262" s="51"/>
      <c r="K262" s="57"/>
      <c r="L262" s="52"/>
      <c r="M262" s="53"/>
      <c r="N262" s="58"/>
      <c r="O262" s="54"/>
      <c r="P262" s="8"/>
    </row>
    <row r="263">
      <c r="A263" s="50"/>
      <c r="B263" s="51"/>
      <c r="C263" s="57"/>
      <c r="D263" s="52"/>
      <c r="E263" s="53"/>
      <c r="F263" s="58"/>
      <c r="G263" s="54"/>
      <c r="I263" s="50"/>
      <c r="J263" s="51"/>
      <c r="K263" s="57"/>
      <c r="L263" s="52"/>
      <c r="M263" s="53"/>
      <c r="N263" s="58"/>
      <c r="O263" s="54"/>
      <c r="P263" s="8"/>
    </row>
    <row r="264">
      <c r="A264" s="50"/>
      <c r="B264" s="51"/>
      <c r="C264" s="57"/>
      <c r="D264" s="52"/>
      <c r="E264" s="53"/>
      <c r="F264" s="58"/>
      <c r="G264" s="54"/>
      <c r="I264" s="50"/>
      <c r="J264" s="51"/>
      <c r="K264" s="57"/>
      <c r="L264" s="52"/>
      <c r="M264" s="53"/>
      <c r="N264" s="58"/>
      <c r="O264" s="54"/>
      <c r="P264" s="8"/>
    </row>
    <row r="265">
      <c r="A265" s="50"/>
      <c r="B265" s="51"/>
      <c r="C265" s="57"/>
      <c r="D265" s="52"/>
      <c r="E265" s="53"/>
      <c r="F265" s="58"/>
      <c r="G265" s="54"/>
      <c r="I265" s="50"/>
      <c r="J265" s="51"/>
      <c r="K265" s="57"/>
      <c r="L265" s="52"/>
      <c r="M265" s="53"/>
      <c r="N265" s="58"/>
      <c r="O265" s="54"/>
      <c r="P265" s="8"/>
    </row>
    <row r="266">
      <c r="A266" s="50"/>
      <c r="B266" s="51"/>
      <c r="C266" s="52"/>
      <c r="D266" s="52"/>
      <c r="E266" s="53"/>
      <c r="F266" s="58"/>
      <c r="G266" s="54"/>
      <c r="I266" s="50"/>
      <c r="J266" s="51"/>
      <c r="K266" s="57"/>
      <c r="L266" s="52"/>
      <c r="M266" s="53"/>
      <c r="N266" s="58"/>
      <c r="O266" s="54"/>
      <c r="P266" s="8"/>
    </row>
    <row r="267">
      <c r="A267" s="50"/>
      <c r="B267" s="51"/>
      <c r="C267" s="52"/>
      <c r="D267" s="52"/>
      <c r="E267" s="53"/>
      <c r="F267" s="58"/>
      <c r="G267" s="54"/>
      <c r="I267" s="50"/>
      <c r="J267" s="51"/>
      <c r="K267" s="57"/>
      <c r="L267" s="52"/>
      <c r="M267" s="53"/>
      <c r="N267" s="58"/>
      <c r="O267" s="54"/>
      <c r="P267" s="8"/>
    </row>
    <row r="268">
      <c r="A268" s="50"/>
      <c r="B268" s="51"/>
      <c r="C268" s="57"/>
      <c r="D268" s="52"/>
      <c r="E268" s="53"/>
      <c r="F268" s="58"/>
      <c r="G268" s="54"/>
      <c r="I268" s="50"/>
      <c r="J268" s="51"/>
      <c r="K268" s="57"/>
      <c r="L268" s="52"/>
      <c r="M268" s="53"/>
      <c r="N268" s="58"/>
      <c r="O268" s="54"/>
      <c r="P268" s="8"/>
    </row>
    <row r="269">
      <c r="A269" s="50"/>
      <c r="B269" s="51"/>
      <c r="C269" s="57"/>
      <c r="D269" s="52"/>
      <c r="E269" s="53"/>
      <c r="F269" s="58"/>
      <c r="G269" s="54"/>
      <c r="I269" s="50"/>
      <c r="J269" s="51"/>
      <c r="K269" s="57"/>
      <c r="L269" s="52"/>
      <c r="M269" s="53"/>
      <c r="N269" s="58"/>
      <c r="O269" s="54"/>
      <c r="P269" s="8"/>
    </row>
    <row r="270">
      <c r="A270" s="50"/>
      <c r="B270" s="51"/>
      <c r="C270" s="57"/>
      <c r="D270" s="52"/>
      <c r="E270" s="53"/>
      <c r="F270" s="58"/>
      <c r="G270" s="54"/>
      <c r="I270" s="50"/>
      <c r="J270" s="51"/>
      <c r="K270" s="57"/>
      <c r="L270" s="52"/>
      <c r="M270" s="53"/>
      <c r="N270" s="58"/>
      <c r="O270" s="54"/>
      <c r="P270" s="8"/>
    </row>
    <row r="271">
      <c r="A271" s="50"/>
      <c r="B271" s="51"/>
      <c r="C271" s="57"/>
      <c r="D271" s="52"/>
      <c r="E271" s="53"/>
      <c r="F271" s="58"/>
      <c r="G271" s="54"/>
      <c r="I271" s="50"/>
      <c r="J271" s="51"/>
      <c r="K271" s="57"/>
      <c r="L271" s="52"/>
      <c r="M271" s="53"/>
      <c r="N271" s="58"/>
      <c r="O271" s="54"/>
      <c r="P271" s="8"/>
    </row>
    <row r="272">
      <c r="A272" s="50"/>
      <c r="B272" s="51"/>
      <c r="C272" s="57"/>
      <c r="D272" s="52"/>
      <c r="E272" s="53"/>
      <c r="F272" s="58"/>
      <c r="G272" s="54"/>
      <c r="I272" s="50"/>
      <c r="J272" s="51"/>
      <c r="K272" s="57"/>
      <c r="L272" s="52"/>
      <c r="M272" s="53"/>
      <c r="N272" s="58"/>
      <c r="O272" s="54"/>
      <c r="P272" s="8"/>
    </row>
    <row r="273">
      <c r="A273" s="50"/>
      <c r="B273" s="51"/>
      <c r="C273" s="57"/>
      <c r="D273" s="52"/>
      <c r="E273" s="53"/>
      <c r="F273" s="58"/>
      <c r="G273" s="54"/>
      <c r="I273" s="50"/>
      <c r="J273" s="51"/>
      <c r="K273" s="57"/>
      <c r="L273" s="52"/>
      <c r="M273" s="53"/>
      <c r="N273" s="58"/>
      <c r="O273" s="54"/>
      <c r="P273" s="8"/>
    </row>
    <row r="274">
      <c r="A274" s="50"/>
      <c r="B274" s="51"/>
      <c r="C274" s="57"/>
      <c r="D274" s="52"/>
      <c r="E274" s="53"/>
      <c r="F274" s="58"/>
      <c r="G274" s="54"/>
      <c r="I274" s="50"/>
      <c r="J274" s="51"/>
      <c r="K274" s="57"/>
      <c r="L274" s="52"/>
      <c r="M274" s="53"/>
      <c r="N274" s="58"/>
      <c r="O274" s="54"/>
      <c r="P274" s="8"/>
    </row>
    <row r="275">
      <c r="A275" s="50"/>
      <c r="B275" s="51"/>
      <c r="C275" s="57"/>
      <c r="D275" s="52"/>
      <c r="E275" s="53"/>
      <c r="F275" s="58"/>
      <c r="G275" s="54"/>
      <c r="I275" s="50"/>
      <c r="J275" s="51"/>
      <c r="K275" s="57"/>
      <c r="L275" s="52"/>
      <c r="M275" s="53"/>
      <c r="N275" s="58"/>
      <c r="O275" s="54"/>
      <c r="P275" s="8"/>
    </row>
    <row r="276">
      <c r="A276" s="50"/>
      <c r="B276" s="51"/>
      <c r="C276" s="57"/>
      <c r="D276" s="52"/>
      <c r="E276" s="53"/>
      <c r="F276" s="58"/>
      <c r="G276" s="54"/>
      <c r="I276" s="50"/>
      <c r="J276" s="51"/>
      <c r="K276" s="57"/>
      <c r="L276" s="52"/>
      <c r="M276" s="53"/>
      <c r="N276" s="58"/>
      <c r="O276" s="54"/>
      <c r="P276" s="8"/>
    </row>
    <row r="277">
      <c r="A277" s="50"/>
      <c r="B277" s="51"/>
      <c r="C277" s="57"/>
      <c r="D277" s="52"/>
      <c r="E277" s="53"/>
      <c r="F277" s="58"/>
      <c r="G277" s="54"/>
      <c r="I277" s="50"/>
      <c r="J277" s="51"/>
      <c r="K277" s="57"/>
      <c r="L277" s="52"/>
      <c r="M277" s="53"/>
      <c r="N277" s="58"/>
      <c r="O277" s="54"/>
      <c r="P277" s="8"/>
    </row>
    <row r="278">
      <c r="A278" s="50"/>
      <c r="B278" s="51"/>
      <c r="C278" s="57"/>
      <c r="D278" s="52"/>
      <c r="E278" s="53"/>
      <c r="F278" s="58"/>
      <c r="G278" s="54"/>
      <c r="I278" s="50"/>
      <c r="J278" s="51"/>
      <c r="K278" s="57"/>
      <c r="L278" s="52"/>
      <c r="M278" s="53"/>
      <c r="N278" s="58"/>
      <c r="O278" s="54"/>
      <c r="P278" s="8"/>
    </row>
    <row r="279">
      <c r="A279" s="50"/>
      <c r="B279" s="51"/>
      <c r="C279" s="57"/>
      <c r="D279" s="52"/>
      <c r="E279" s="53"/>
      <c r="F279" s="58"/>
      <c r="G279" s="54"/>
      <c r="I279" s="50"/>
      <c r="J279" s="51"/>
      <c r="K279" s="57"/>
      <c r="L279" s="52"/>
      <c r="M279" s="53"/>
      <c r="N279" s="58"/>
      <c r="O279" s="54"/>
      <c r="P279" s="8"/>
    </row>
    <row r="280">
      <c r="A280" s="50"/>
      <c r="B280" s="51"/>
      <c r="C280" s="52"/>
      <c r="D280" s="52"/>
      <c r="E280" s="53"/>
      <c r="F280" s="58"/>
      <c r="G280" s="54"/>
      <c r="I280" s="50"/>
      <c r="J280" s="51"/>
      <c r="K280" s="57"/>
      <c r="L280" s="52"/>
      <c r="M280" s="53"/>
      <c r="N280" s="58"/>
      <c r="O280" s="54"/>
      <c r="P280" s="8"/>
    </row>
    <row r="281">
      <c r="A281" s="50"/>
      <c r="B281" s="51"/>
      <c r="C281" s="52"/>
      <c r="D281" s="52"/>
      <c r="E281" s="53"/>
      <c r="F281" s="58"/>
      <c r="G281" s="54"/>
      <c r="I281" s="50"/>
      <c r="J281" s="51"/>
      <c r="K281" s="52"/>
      <c r="L281" s="52"/>
      <c r="M281" s="53"/>
      <c r="N281" s="58"/>
      <c r="O281" s="54"/>
      <c r="P281" s="8"/>
    </row>
    <row r="282">
      <c r="A282" s="50"/>
      <c r="B282" s="51"/>
      <c r="C282" s="57"/>
      <c r="D282" s="52"/>
      <c r="E282" s="53"/>
      <c r="F282" s="58"/>
      <c r="G282" s="54"/>
      <c r="I282" s="50"/>
      <c r="J282" s="51"/>
      <c r="K282" s="52"/>
      <c r="L282" s="52"/>
      <c r="M282" s="53"/>
      <c r="N282" s="58"/>
      <c r="O282" s="54"/>
      <c r="P282" s="8"/>
    </row>
    <row r="283">
      <c r="A283" s="50"/>
      <c r="B283" s="51"/>
      <c r="C283" s="57"/>
      <c r="D283" s="52"/>
      <c r="E283" s="53"/>
      <c r="F283" s="58"/>
      <c r="G283" s="54"/>
      <c r="I283" s="59"/>
      <c r="J283" s="60"/>
      <c r="K283" s="52"/>
      <c r="L283" s="52"/>
      <c r="M283" s="53"/>
      <c r="N283" s="58"/>
      <c r="O283" s="54"/>
      <c r="P283" s="8"/>
    </row>
    <row r="284">
      <c r="A284" s="50"/>
      <c r="B284" s="51"/>
      <c r="C284" s="57"/>
      <c r="D284" s="52"/>
      <c r="E284" s="53"/>
      <c r="F284" s="58"/>
      <c r="G284" s="54"/>
      <c r="I284" s="59"/>
      <c r="J284" s="60"/>
      <c r="K284" s="52"/>
      <c r="L284" s="52"/>
      <c r="M284" s="53"/>
      <c r="N284" s="58"/>
      <c r="O284" s="54"/>
      <c r="P284" s="8"/>
    </row>
    <row r="285">
      <c r="A285" s="50"/>
      <c r="B285" s="51"/>
      <c r="C285" s="57"/>
      <c r="D285" s="52"/>
      <c r="E285" s="53"/>
      <c r="F285" s="58"/>
      <c r="G285" s="54"/>
      <c r="I285" s="59"/>
      <c r="J285" s="60"/>
      <c r="K285" s="52"/>
      <c r="L285" s="52"/>
      <c r="M285" s="53"/>
      <c r="N285" s="58"/>
      <c r="O285" s="54"/>
      <c r="P285" s="8"/>
    </row>
    <row r="286">
      <c r="A286" s="50"/>
      <c r="B286" s="51"/>
      <c r="C286" s="57"/>
      <c r="D286" s="52"/>
      <c r="E286" s="53"/>
      <c r="F286" s="58"/>
      <c r="G286" s="54"/>
      <c r="I286" s="59"/>
      <c r="J286" s="60"/>
      <c r="K286" s="52"/>
      <c r="L286" s="52"/>
      <c r="M286" s="53"/>
      <c r="N286" s="58"/>
      <c r="O286" s="54"/>
      <c r="P286" s="8"/>
    </row>
    <row r="287">
      <c r="A287" s="50"/>
      <c r="B287" s="51"/>
      <c r="C287" s="57"/>
      <c r="D287" s="52"/>
      <c r="E287" s="53"/>
      <c r="F287" s="58"/>
      <c r="G287" s="54"/>
      <c r="I287" s="59"/>
      <c r="J287" s="60"/>
      <c r="K287" s="52"/>
      <c r="L287" s="52"/>
      <c r="M287" s="53"/>
      <c r="N287" s="58"/>
      <c r="O287" s="54"/>
      <c r="P287" s="8"/>
    </row>
    <row r="288">
      <c r="A288" s="50"/>
      <c r="B288" s="51"/>
      <c r="C288" s="57"/>
      <c r="D288" s="52"/>
      <c r="E288" s="53"/>
      <c r="F288" s="58"/>
      <c r="G288" s="54"/>
      <c r="I288" s="59"/>
      <c r="J288" s="60"/>
      <c r="K288" s="52"/>
      <c r="L288" s="52"/>
      <c r="M288" s="53"/>
      <c r="N288" s="58"/>
      <c r="O288" s="54"/>
      <c r="P288" s="8"/>
    </row>
    <row r="289">
      <c r="A289" s="50"/>
      <c r="B289" s="51"/>
      <c r="C289" s="57"/>
      <c r="D289" s="52"/>
      <c r="E289" s="53"/>
      <c r="F289" s="58"/>
      <c r="G289" s="54"/>
      <c r="I289" s="59"/>
      <c r="J289" s="60"/>
      <c r="K289" s="52"/>
      <c r="L289" s="52"/>
      <c r="M289" s="53"/>
      <c r="N289" s="58"/>
      <c r="O289" s="54"/>
      <c r="P289" s="8"/>
    </row>
    <row r="290">
      <c r="A290" s="50"/>
      <c r="B290" s="51"/>
      <c r="C290" s="57"/>
      <c r="D290" s="52"/>
      <c r="E290" s="53"/>
      <c r="F290" s="58"/>
      <c r="G290" s="54"/>
      <c r="I290" s="59"/>
      <c r="J290" s="60"/>
      <c r="K290" s="52"/>
      <c r="L290" s="52"/>
      <c r="M290" s="53"/>
      <c r="N290" s="58"/>
      <c r="O290" s="54"/>
      <c r="P290" s="8"/>
    </row>
    <row r="291">
      <c r="A291" s="50"/>
      <c r="B291" s="51"/>
      <c r="C291" s="52"/>
      <c r="D291" s="52"/>
      <c r="E291" s="53"/>
      <c r="F291" s="58"/>
      <c r="G291" s="54"/>
      <c r="I291" s="59"/>
      <c r="J291" s="60"/>
      <c r="K291" s="57"/>
      <c r="L291" s="52"/>
      <c r="M291" s="53"/>
      <c r="N291" s="58"/>
      <c r="O291" s="54"/>
      <c r="P291" s="8"/>
    </row>
    <row r="292">
      <c r="A292" s="50"/>
      <c r="B292" s="51"/>
      <c r="C292" s="52"/>
      <c r="D292" s="52"/>
      <c r="E292" s="53"/>
      <c r="F292" s="58"/>
      <c r="G292" s="54"/>
      <c r="I292" s="59"/>
      <c r="J292" s="60"/>
      <c r="K292" s="57"/>
      <c r="L292" s="52"/>
      <c r="M292" s="53"/>
      <c r="N292" s="58"/>
      <c r="O292" s="54"/>
      <c r="P292" s="8"/>
    </row>
    <row r="293">
      <c r="A293" s="50"/>
      <c r="B293" s="51"/>
      <c r="C293" s="52"/>
      <c r="D293" s="52"/>
      <c r="E293" s="53"/>
      <c r="F293" s="58"/>
      <c r="G293" s="54"/>
      <c r="I293" s="59"/>
      <c r="J293" s="60"/>
      <c r="K293" s="57"/>
      <c r="L293" s="52"/>
      <c r="M293" s="53"/>
      <c r="N293" s="58"/>
      <c r="O293" s="54"/>
      <c r="P293" s="8"/>
    </row>
    <row r="294">
      <c r="A294" s="50"/>
      <c r="B294" s="51"/>
      <c r="C294" s="52"/>
      <c r="D294" s="52"/>
      <c r="E294" s="53"/>
      <c r="F294" s="58"/>
      <c r="G294" s="54"/>
      <c r="I294" s="59"/>
      <c r="J294" s="60"/>
      <c r="K294" s="57"/>
      <c r="L294" s="52"/>
      <c r="M294" s="53"/>
      <c r="N294" s="58"/>
      <c r="O294" s="54"/>
      <c r="P294" s="8"/>
    </row>
    <row r="295">
      <c r="A295" s="50"/>
      <c r="B295" s="51"/>
      <c r="C295" s="57"/>
      <c r="D295" s="52"/>
      <c r="E295" s="53"/>
      <c r="F295" s="58"/>
      <c r="G295" s="54"/>
      <c r="I295" s="59"/>
      <c r="J295" s="60"/>
      <c r="K295" s="57"/>
      <c r="L295" s="52"/>
      <c r="M295" s="53"/>
      <c r="N295" s="58"/>
      <c r="O295" s="54"/>
      <c r="P295" s="8"/>
    </row>
    <row r="296">
      <c r="A296" s="50"/>
      <c r="B296" s="51"/>
      <c r="C296" s="57"/>
      <c r="D296" s="52"/>
      <c r="E296" s="53"/>
      <c r="F296" s="58"/>
      <c r="G296" s="54"/>
      <c r="I296" s="59"/>
      <c r="J296" s="60"/>
      <c r="K296" s="57"/>
      <c r="L296" s="52"/>
      <c r="M296" s="53"/>
      <c r="N296" s="58"/>
      <c r="O296" s="54"/>
      <c r="P296" s="8"/>
    </row>
    <row r="297">
      <c r="A297" s="50"/>
      <c r="B297" s="51"/>
      <c r="C297" s="57"/>
      <c r="D297" s="52"/>
      <c r="E297" s="53"/>
      <c r="F297" s="58"/>
      <c r="G297" s="54"/>
      <c r="I297" s="59"/>
      <c r="J297" s="60"/>
      <c r="K297" s="52"/>
      <c r="L297" s="52"/>
      <c r="M297" s="53"/>
      <c r="N297" s="58"/>
      <c r="O297" s="54"/>
      <c r="P297" s="8"/>
    </row>
    <row r="298">
      <c r="A298" s="50"/>
      <c r="B298" s="51"/>
      <c r="C298" s="57"/>
      <c r="D298" s="52"/>
      <c r="E298" s="53"/>
      <c r="F298" s="58"/>
      <c r="G298" s="54"/>
      <c r="I298" s="59"/>
      <c r="J298" s="60"/>
      <c r="K298" s="52"/>
      <c r="L298" s="52"/>
      <c r="M298" s="53"/>
      <c r="N298" s="58"/>
      <c r="O298" s="54"/>
      <c r="P298" s="8"/>
    </row>
    <row r="299">
      <c r="A299" s="50"/>
      <c r="B299" s="51"/>
      <c r="C299" s="57"/>
      <c r="D299" s="52"/>
      <c r="E299" s="53"/>
      <c r="F299" s="58"/>
      <c r="G299" s="54"/>
      <c r="I299" s="59"/>
      <c r="J299" s="60"/>
      <c r="K299" s="52"/>
      <c r="L299" s="52"/>
      <c r="M299" s="53"/>
      <c r="N299" s="58"/>
      <c r="O299" s="54"/>
      <c r="P299" s="8"/>
    </row>
    <row r="300">
      <c r="A300" s="50"/>
      <c r="B300" s="51"/>
      <c r="C300" s="57"/>
      <c r="D300" s="52"/>
      <c r="E300" s="53"/>
      <c r="F300" s="58"/>
      <c r="G300" s="54"/>
      <c r="I300" s="59"/>
      <c r="J300" s="60"/>
      <c r="K300" s="52"/>
      <c r="L300" s="52"/>
      <c r="M300" s="53"/>
      <c r="N300" s="58"/>
      <c r="O300" s="54"/>
      <c r="P300" s="8"/>
    </row>
    <row r="301">
      <c r="A301" s="50"/>
      <c r="B301" s="51"/>
      <c r="C301" s="57"/>
      <c r="D301" s="52"/>
      <c r="E301" s="53"/>
      <c r="F301" s="58"/>
      <c r="G301" s="54"/>
      <c r="I301" s="59"/>
      <c r="J301" s="60"/>
      <c r="K301" s="52"/>
      <c r="L301" s="52"/>
      <c r="M301" s="53"/>
      <c r="N301" s="58"/>
      <c r="O301" s="54"/>
      <c r="P301" s="8"/>
    </row>
    <row r="302">
      <c r="A302" s="50"/>
      <c r="B302" s="51"/>
      <c r="C302" s="57"/>
      <c r="D302" s="52"/>
      <c r="E302" s="53"/>
      <c r="F302" s="58"/>
      <c r="G302" s="54"/>
      <c r="I302" s="59"/>
      <c r="J302" s="60"/>
      <c r="K302" s="52"/>
      <c r="L302" s="52"/>
      <c r="M302" s="53"/>
      <c r="N302" s="58"/>
      <c r="O302" s="54"/>
      <c r="P302" s="8"/>
    </row>
    <row r="303">
      <c r="A303" s="50"/>
      <c r="B303" s="51"/>
      <c r="C303" s="57"/>
      <c r="D303" s="52"/>
      <c r="E303" s="53"/>
      <c r="F303" s="58"/>
      <c r="G303" s="54"/>
      <c r="I303" s="59"/>
      <c r="J303" s="60"/>
      <c r="K303" s="52"/>
      <c r="L303" s="52"/>
      <c r="M303" s="53"/>
      <c r="N303" s="58"/>
      <c r="O303" s="54"/>
      <c r="P303" s="8"/>
    </row>
    <row r="304">
      <c r="A304" s="50"/>
      <c r="B304" s="51"/>
      <c r="C304" s="57"/>
      <c r="D304" s="52"/>
      <c r="E304" s="53"/>
      <c r="F304" s="58"/>
      <c r="G304" s="54"/>
      <c r="I304" s="59"/>
      <c r="J304" s="60"/>
      <c r="K304" s="52"/>
      <c r="L304" s="52"/>
      <c r="M304" s="53"/>
      <c r="N304" s="58"/>
      <c r="O304" s="54"/>
      <c r="P304" s="8"/>
    </row>
    <row r="305">
      <c r="A305" s="50"/>
      <c r="B305" s="51"/>
      <c r="C305" s="57"/>
      <c r="D305" s="52"/>
      <c r="E305" s="53"/>
      <c r="F305" s="58"/>
      <c r="G305" s="54"/>
      <c r="I305" s="59"/>
      <c r="J305" s="60"/>
      <c r="K305" s="52"/>
      <c r="L305" s="52"/>
      <c r="M305" s="53"/>
      <c r="N305" s="58"/>
      <c r="O305" s="54"/>
      <c r="P305" s="8"/>
    </row>
    <row r="306">
      <c r="A306" s="50"/>
      <c r="B306" s="51"/>
      <c r="C306" s="57"/>
      <c r="D306" s="52"/>
      <c r="E306" s="53"/>
      <c r="F306" s="58"/>
      <c r="G306" s="54"/>
      <c r="I306" s="59"/>
      <c r="J306" s="60"/>
      <c r="K306" s="52"/>
      <c r="L306" s="52"/>
      <c r="M306" s="53"/>
      <c r="N306" s="58"/>
      <c r="O306" s="54"/>
      <c r="P306" s="8"/>
    </row>
    <row r="307">
      <c r="A307" s="50"/>
      <c r="B307" s="51"/>
      <c r="C307" s="57"/>
      <c r="D307" s="52"/>
      <c r="E307" s="53"/>
      <c r="F307" s="58"/>
      <c r="G307" s="54"/>
      <c r="I307" s="59"/>
      <c r="J307" s="60"/>
      <c r="K307" s="52"/>
      <c r="L307" s="52"/>
      <c r="M307" s="53"/>
      <c r="N307" s="58"/>
      <c r="O307" s="54"/>
      <c r="P307" s="8"/>
    </row>
    <row r="308">
      <c r="A308" s="50"/>
      <c r="B308" s="51"/>
      <c r="C308" s="57"/>
      <c r="D308" s="52"/>
      <c r="E308" s="53"/>
      <c r="F308" s="58"/>
      <c r="G308" s="54"/>
      <c r="I308" s="59"/>
      <c r="J308" s="60"/>
      <c r="K308" s="52"/>
      <c r="L308" s="52"/>
      <c r="M308" s="53"/>
      <c r="N308" s="58"/>
      <c r="O308" s="54"/>
      <c r="P308" s="8"/>
    </row>
    <row r="309">
      <c r="A309" s="50"/>
      <c r="B309" s="51"/>
      <c r="C309" s="57"/>
      <c r="D309" s="52"/>
      <c r="E309" s="53"/>
      <c r="F309" s="58"/>
      <c r="G309" s="54"/>
      <c r="I309" s="59"/>
      <c r="J309" s="60"/>
      <c r="K309" s="52"/>
      <c r="L309" s="52"/>
      <c r="M309" s="53"/>
      <c r="N309" s="58"/>
      <c r="O309" s="54"/>
      <c r="P309" s="8"/>
    </row>
    <row r="310">
      <c r="A310" s="50"/>
      <c r="B310" s="51"/>
      <c r="C310" s="57"/>
      <c r="D310" s="52"/>
      <c r="E310" s="53"/>
      <c r="F310" s="58"/>
      <c r="G310" s="54"/>
      <c r="I310" s="59"/>
      <c r="J310" s="60"/>
      <c r="K310" s="52"/>
      <c r="L310" s="52"/>
      <c r="M310" s="53"/>
      <c r="N310" s="58"/>
      <c r="O310" s="54"/>
      <c r="P310" s="8"/>
    </row>
    <row r="311">
      <c r="A311" s="50"/>
      <c r="B311" s="51"/>
      <c r="C311" s="57"/>
      <c r="D311" s="52"/>
      <c r="E311" s="53"/>
      <c r="F311" s="58"/>
      <c r="G311" s="54"/>
      <c r="I311" s="59"/>
      <c r="J311" s="60"/>
      <c r="K311" s="57"/>
      <c r="L311" s="52"/>
      <c r="M311" s="53"/>
      <c r="N311" s="58"/>
      <c r="O311" s="54"/>
      <c r="P311" s="8"/>
    </row>
    <row r="312">
      <c r="A312" s="50"/>
      <c r="B312" s="51"/>
      <c r="C312" s="57"/>
      <c r="D312" s="52"/>
      <c r="E312" s="53"/>
      <c r="F312" s="58"/>
      <c r="G312" s="54"/>
      <c r="I312" s="59"/>
      <c r="J312" s="60"/>
      <c r="K312" s="57"/>
      <c r="L312" s="52"/>
      <c r="M312" s="53"/>
      <c r="N312" s="58"/>
      <c r="O312" s="54"/>
      <c r="P312" s="8"/>
    </row>
    <row r="313">
      <c r="A313" s="50"/>
      <c r="B313" s="51"/>
      <c r="C313" s="57"/>
      <c r="D313" s="52"/>
      <c r="E313" s="53"/>
      <c r="F313" s="58"/>
      <c r="G313" s="54"/>
      <c r="I313" s="59"/>
      <c r="J313" s="60"/>
      <c r="K313" s="57"/>
      <c r="L313" s="52"/>
      <c r="M313" s="53"/>
      <c r="N313" s="58"/>
      <c r="O313" s="54"/>
      <c r="P313" s="8"/>
    </row>
    <row r="314">
      <c r="A314" s="50"/>
      <c r="B314" s="51"/>
      <c r="C314" s="57"/>
      <c r="D314" s="52"/>
      <c r="E314" s="53"/>
      <c r="F314" s="58"/>
      <c r="G314" s="54"/>
      <c r="I314" s="59"/>
      <c r="J314" s="60"/>
      <c r="K314" s="57"/>
      <c r="L314" s="52"/>
      <c r="M314" s="53"/>
      <c r="N314" s="58"/>
      <c r="O314" s="54"/>
      <c r="P314" s="8"/>
    </row>
    <row r="315">
      <c r="A315" s="50"/>
      <c r="B315" s="51"/>
      <c r="C315" s="57"/>
      <c r="D315" s="52"/>
      <c r="E315" s="53"/>
      <c r="F315" s="58"/>
      <c r="G315" s="54"/>
      <c r="I315" s="59"/>
      <c r="J315" s="60"/>
      <c r="K315" s="52"/>
      <c r="L315" s="52"/>
      <c r="M315" s="53"/>
      <c r="N315" s="58"/>
      <c r="O315" s="54"/>
      <c r="P315" s="8"/>
    </row>
    <row r="316">
      <c r="A316" s="50"/>
      <c r="B316" s="51"/>
      <c r="C316" s="52"/>
      <c r="D316" s="52"/>
      <c r="E316" s="53"/>
      <c r="F316" s="58"/>
      <c r="G316" s="54"/>
      <c r="I316" s="26"/>
      <c r="J316" s="27"/>
      <c r="K316" s="40"/>
      <c r="L316" s="17"/>
      <c r="M316" s="2"/>
      <c r="N316" s="18"/>
      <c r="O316" s="19"/>
      <c r="P316" s="8"/>
    </row>
    <row r="317">
      <c r="A317" s="50"/>
      <c r="B317" s="51"/>
      <c r="C317" s="52"/>
      <c r="D317" s="52"/>
      <c r="E317" s="53"/>
      <c r="F317" s="58"/>
      <c r="G317" s="54"/>
      <c r="I317" s="26"/>
      <c r="J317" s="27"/>
      <c r="K317" s="40"/>
      <c r="L317" s="17"/>
      <c r="M317" s="2"/>
      <c r="N317" s="18"/>
      <c r="O317" s="19"/>
      <c r="P317" s="8"/>
    </row>
    <row r="318">
      <c r="A318" s="59"/>
      <c r="B318" s="60"/>
      <c r="C318" s="52"/>
      <c r="D318" s="52"/>
      <c r="E318" s="53"/>
      <c r="F318" s="58"/>
      <c r="G318" s="54"/>
      <c r="I318" s="26"/>
      <c r="J318" s="27"/>
      <c r="K318" s="40"/>
      <c r="L318" s="17"/>
      <c r="M318" s="2"/>
      <c r="N318" s="18"/>
      <c r="O318" s="19"/>
      <c r="P318" s="8"/>
    </row>
    <row r="319">
      <c r="A319" s="59"/>
      <c r="B319" s="60"/>
      <c r="C319" s="52"/>
      <c r="D319" s="52"/>
      <c r="E319" s="53"/>
      <c r="F319" s="58"/>
      <c r="G319" s="54"/>
      <c r="I319" s="26"/>
      <c r="J319" s="27"/>
      <c r="K319" s="40"/>
      <c r="L319" s="17"/>
      <c r="M319" s="2"/>
      <c r="N319" s="18"/>
      <c r="O319" s="19"/>
      <c r="P319" s="8"/>
    </row>
    <row r="320">
      <c r="A320" s="59"/>
      <c r="B320" s="60"/>
      <c r="C320" s="52"/>
      <c r="D320" s="52"/>
      <c r="E320" s="53"/>
      <c r="F320" s="58"/>
      <c r="G320" s="54"/>
      <c r="I320" s="26"/>
      <c r="J320" s="27"/>
      <c r="K320" s="40"/>
      <c r="L320" s="17"/>
      <c r="M320" s="2"/>
      <c r="N320" s="18"/>
      <c r="O320" s="19"/>
      <c r="P320" s="8"/>
    </row>
    <row r="321">
      <c r="A321" s="59"/>
      <c r="B321" s="60"/>
      <c r="C321" s="52"/>
      <c r="D321" s="52"/>
      <c r="E321" s="53"/>
      <c r="F321" s="58"/>
      <c r="G321" s="54"/>
      <c r="I321" s="26"/>
      <c r="J321" s="27"/>
      <c r="K321" s="17"/>
      <c r="L321" s="17"/>
      <c r="M321" s="2"/>
      <c r="N321" s="18"/>
      <c r="O321" s="19"/>
      <c r="P321" s="8"/>
    </row>
    <row r="322">
      <c r="A322" s="59"/>
      <c r="B322" s="60"/>
      <c r="C322" s="52"/>
      <c r="D322" s="52"/>
      <c r="E322" s="53"/>
      <c r="F322" s="58"/>
      <c r="G322" s="54"/>
      <c r="I322" s="26"/>
      <c r="J322" s="27"/>
      <c r="K322" s="40"/>
      <c r="L322" s="17"/>
      <c r="M322" s="2"/>
      <c r="N322" s="18"/>
      <c r="O322" s="19"/>
      <c r="P322" s="8"/>
    </row>
    <row r="323">
      <c r="A323" s="59"/>
      <c r="B323" s="60"/>
      <c r="C323" s="52"/>
      <c r="D323" s="52"/>
      <c r="E323" s="53"/>
      <c r="F323" s="58"/>
      <c r="G323" s="54"/>
      <c r="I323" s="26"/>
      <c r="J323" s="27"/>
      <c r="K323" s="17"/>
      <c r="L323" s="17"/>
      <c r="M323" s="2"/>
      <c r="N323" s="18"/>
      <c r="O323" s="19"/>
      <c r="P323" s="8"/>
    </row>
    <row r="324">
      <c r="A324" s="59"/>
      <c r="B324" s="60"/>
      <c r="C324" s="52"/>
      <c r="D324" s="52"/>
      <c r="E324" s="53"/>
      <c r="F324" s="58"/>
      <c r="G324" s="54"/>
      <c r="I324" s="26"/>
      <c r="J324" s="27"/>
      <c r="K324" s="40"/>
      <c r="L324" s="17"/>
      <c r="M324" s="2"/>
      <c r="N324" s="18"/>
      <c r="O324" s="19"/>
      <c r="P324" s="8"/>
    </row>
    <row r="325">
      <c r="A325" s="59"/>
      <c r="B325" s="60"/>
      <c r="C325" s="52"/>
      <c r="D325" s="52"/>
      <c r="E325" s="53"/>
      <c r="F325" s="58"/>
      <c r="G325" s="54"/>
      <c r="I325" s="26"/>
      <c r="J325" s="27"/>
      <c r="K325" s="40"/>
      <c r="L325" s="17"/>
      <c r="M325" s="2"/>
      <c r="N325" s="18"/>
      <c r="O325" s="19"/>
      <c r="P325" s="8"/>
    </row>
    <row r="326">
      <c r="A326" s="59"/>
      <c r="B326" s="60"/>
      <c r="C326" s="57"/>
      <c r="D326" s="52"/>
      <c r="E326" s="53"/>
      <c r="F326" s="58"/>
      <c r="G326" s="54"/>
      <c r="I326" s="26"/>
      <c r="J326" s="27"/>
      <c r="K326" s="17"/>
      <c r="L326" s="17"/>
      <c r="M326" s="2"/>
      <c r="N326" s="18"/>
      <c r="O326" s="19"/>
      <c r="P326" s="8"/>
    </row>
    <row r="327">
      <c r="A327" s="59"/>
      <c r="B327" s="60"/>
      <c r="C327" s="57"/>
      <c r="D327" s="52"/>
      <c r="E327" s="53"/>
      <c r="F327" s="58"/>
      <c r="G327" s="54"/>
      <c r="I327" s="26"/>
      <c r="J327" s="27"/>
      <c r="K327" s="40"/>
      <c r="L327" s="17"/>
      <c r="M327" s="2"/>
      <c r="N327" s="18"/>
      <c r="O327" s="19"/>
      <c r="P327" s="8"/>
    </row>
    <row r="328">
      <c r="A328" s="59"/>
      <c r="B328" s="60"/>
      <c r="C328" s="57"/>
      <c r="D328" s="52"/>
      <c r="E328" s="53"/>
      <c r="F328" s="58"/>
      <c r="G328" s="54"/>
      <c r="I328" s="26"/>
      <c r="J328" s="27"/>
      <c r="K328" s="17"/>
      <c r="L328" s="17"/>
      <c r="M328" s="2"/>
      <c r="N328" s="18"/>
      <c r="O328" s="19"/>
      <c r="P328" s="8"/>
    </row>
    <row r="329">
      <c r="A329" s="59"/>
      <c r="B329" s="60"/>
      <c r="C329" s="57"/>
      <c r="D329" s="52"/>
      <c r="E329" s="53"/>
      <c r="F329" s="58"/>
      <c r="G329" s="54"/>
      <c r="I329" s="26"/>
      <c r="J329" s="27"/>
      <c r="K329" s="40"/>
      <c r="L329" s="17"/>
      <c r="M329" s="2"/>
      <c r="N329" s="18"/>
      <c r="O329" s="19"/>
      <c r="P329" s="8"/>
    </row>
    <row r="330">
      <c r="A330" s="59"/>
      <c r="B330" s="60"/>
      <c r="C330" s="57"/>
      <c r="D330" s="52"/>
      <c r="E330" s="53"/>
      <c r="F330" s="58"/>
      <c r="G330" s="54"/>
      <c r="I330" s="26"/>
      <c r="J330" s="27"/>
      <c r="K330" s="40"/>
      <c r="L330" s="17"/>
      <c r="M330" s="2"/>
      <c r="N330" s="18"/>
      <c r="O330" s="19"/>
      <c r="P330" s="8"/>
    </row>
    <row r="331">
      <c r="A331" s="59"/>
      <c r="B331" s="60"/>
      <c r="C331" s="57"/>
      <c r="D331" s="52"/>
      <c r="E331" s="53"/>
      <c r="F331" s="58"/>
      <c r="G331" s="54"/>
      <c r="I331" s="26"/>
      <c r="J331" s="27"/>
      <c r="K331" s="40"/>
      <c r="L331" s="17"/>
      <c r="M331" s="2"/>
      <c r="N331" s="18"/>
      <c r="O331" s="19"/>
      <c r="P331" s="8"/>
    </row>
    <row r="332">
      <c r="A332" s="59"/>
      <c r="B332" s="60"/>
      <c r="C332" s="52"/>
      <c r="D332" s="52"/>
      <c r="E332" s="53"/>
      <c r="F332" s="58"/>
      <c r="G332" s="54"/>
      <c r="I332" s="26"/>
      <c r="J332" s="27"/>
      <c r="K332" s="40"/>
      <c r="L332" s="17"/>
      <c r="M332" s="2"/>
      <c r="N332" s="18"/>
      <c r="O332" s="19"/>
      <c r="P332" s="8"/>
    </row>
    <row r="333">
      <c r="A333" s="59"/>
      <c r="B333" s="60"/>
      <c r="C333" s="52"/>
      <c r="D333" s="52"/>
      <c r="E333" s="53"/>
      <c r="F333" s="58"/>
      <c r="G333" s="54"/>
      <c r="I333" s="26"/>
      <c r="J333" s="27"/>
      <c r="K333" s="17"/>
      <c r="L333" s="17"/>
      <c r="M333" s="2"/>
      <c r="N333" s="18"/>
      <c r="O333" s="19"/>
      <c r="P333" s="8"/>
    </row>
    <row r="334">
      <c r="A334" s="59"/>
      <c r="B334" s="60"/>
      <c r="C334" s="52"/>
      <c r="D334" s="52"/>
      <c r="E334" s="53"/>
      <c r="F334" s="58"/>
      <c r="G334" s="54"/>
      <c r="I334" s="26"/>
      <c r="J334" s="27"/>
      <c r="K334" s="17"/>
      <c r="L334" s="17"/>
      <c r="M334" s="2"/>
      <c r="N334" s="18"/>
      <c r="O334" s="19"/>
      <c r="P334" s="8"/>
    </row>
    <row r="335">
      <c r="A335" s="59"/>
      <c r="B335" s="60"/>
      <c r="C335" s="52"/>
      <c r="D335" s="52"/>
      <c r="E335" s="53"/>
      <c r="F335" s="58"/>
      <c r="G335" s="54"/>
      <c r="I335" s="26"/>
      <c r="J335" s="27"/>
      <c r="K335" s="40"/>
      <c r="L335" s="17"/>
      <c r="M335" s="2"/>
      <c r="N335" s="18"/>
      <c r="O335" s="19"/>
      <c r="P335" s="8"/>
    </row>
    <row r="336">
      <c r="A336" s="59"/>
      <c r="B336" s="60"/>
      <c r="C336" s="52"/>
      <c r="D336" s="52"/>
      <c r="E336" s="53"/>
      <c r="F336" s="58"/>
      <c r="G336" s="54"/>
      <c r="I336" s="26"/>
      <c r="J336" s="27"/>
      <c r="K336" s="40"/>
      <c r="L336" s="17"/>
      <c r="M336" s="2"/>
      <c r="N336" s="18"/>
      <c r="O336" s="19"/>
      <c r="P336" s="8"/>
    </row>
    <row r="337">
      <c r="A337" s="59"/>
      <c r="B337" s="60"/>
      <c r="C337" s="52"/>
      <c r="D337" s="52"/>
      <c r="E337" s="53"/>
      <c r="F337" s="58"/>
      <c r="G337" s="54"/>
      <c r="I337" s="26"/>
      <c r="J337" s="27"/>
      <c r="K337" s="40"/>
      <c r="L337" s="17"/>
      <c r="M337" s="2"/>
      <c r="N337" s="18"/>
      <c r="O337" s="19"/>
      <c r="P337" s="8"/>
    </row>
    <row r="338">
      <c r="A338" s="59"/>
      <c r="B338" s="60"/>
      <c r="C338" s="52"/>
      <c r="D338" s="52"/>
      <c r="E338" s="53"/>
      <c r="F338" s="58"/>
      <c r="G338" s="54"/>
      <c r="I338" s="26"/>
      <c r="J338" s="27"/>
      <c r="K338" s="40"/>
      <c r="L338" s="17"/>
      <c r="M338" s="2"/>
      <c r="N338" s="18"/>
      <c r="O338" s="19"/>
      <c r="P338" s="8"/>
    </row>
    <row r="339">
      <c r="A339" s="59"/>
      <c r="B339" s="60"/>
      <c r="C339" s="52"/>
      <c r="D339" s="52"/>
      <c r="E339" s="53"/>
      <c r="F339" s="58"/>
      <c r="G339" s="54"/>
      <c r="I339" s="26"/>
      <c r="J339" s="27"/>
      <c r="K339" s="40"/>
      <c r="L339" s="17"/>
      <c r="M339" s="2"/>
      <c r="N339" s="18"/>
      <c r="O339" s="19"/>
      <c r="P339" s="8"/>
    </row>
    <row r="340">
      <c r="A340" s="59"/>
      <c r="B340" s="60"/>
      <c r="C340" s="52"/>
      <c r="D340" s="52"/>
      <c r="E340" s="53"/>
      <c r="F340" s="58"/>
      <c r="G340" s="54"/>
      <c r="I340" s="26"/>
      <c r="J340" s="27"/>
      <c r="K340" s="17"/>
      <c r="L340" s="17"/>
      <c r="M340" s="2"/>
      <c r="N340" s="18"/>
      <c r="O340" s="19"/>
      <c r="P340" s="8"/>
    </row>
    <row r="341">
      <c r="A341" s="59"/>
      <c r="B341" s="60"/>
      <c r="C341" s="52"/>
      <c r="D341" s="52"/>
      <c r="E341" s="53"/>
      <c r="F341" s="58"/>
      <c r="G341" s="54"/>
      <c r="I341" s="26"/>
      <c r="J341" s="27"/>
      <c r="K341" s="17"/>
      <c r="L341" s="17"/>
      <c r="M341" s="2"/>
      <c r="N341" s="18"/>
      <c r="O341" s="19"/>
      <c r="P341" s="8"/>
    </row>
    <row r="342">
      <c r="A342" s="59"/>
      <c r="B342" s="60"/>
      <c r="C342" s="52"/>
      <c r="D342" s="52"/>
      <c r="E342" s="53"/>
      <c r="F342" s="58"/>
      <c r="G342" s="54"/>
      <c r="I342" s="26"/>
      <c r="J342" s="27"/>
      <c r="K342" s="40"/>
      <c r="L342" s="17"/>
      <c r="M342" s="2"/>
      <c r="N342" s="18"/>
      <c r="O342" s="19"/>
      <c r="P342" s="8"/>
    </row>
    <row r="343">
      <c r="A343" s="59"/>
      <c r="B343" s="60"/>
      <c r="C343" s="52"/>
      <c r="D343" s="52"/>
      <c r="E343" s="53"/>
      <c r="F343" s="58"/>
      <c r="G343" s="54"/>
      <c r="I343" s="26"/>
      <c r="J343" s="27"/>
      <c r="K343" s="40"/>
      <c r="L343" s="17"/>
      <c r="M343" s="2"/>
      <c r="N343" s="18"/>
      <c r="O343" s="19"/>
      <c r="P343" s="8"/>
    </row>
    <row r="344">
      <c r="A344" s="59"/>
      <c r="B344" s="60"/>
      <c r="C344" s="52"/>
      <c r="D344" s="52"/>
      <c r="E344" s="53"/>
      <c r="F344" s="58"/>
      <c r="G344" s="54"/>
      <c r="I344" s="26"/>
      <c r="J344" s="27"/>
      <c r="K344" s="17"/>
      <c r="L344" s="17"/>
      <c r="M344" s="2"/>
      <c r="N344" s="18"/>
      <c r="O344" s="19"/>
      <c r="P344" s="8"/>
    </row>
    <row r="345">
      <c r="A345" s="59"/>
      <c r="B345" s="60"/>
      <c r="C345" s="52"/>
      <c r="D345" s="52"/>
      <c r="E345" s="53"/>
      <c r="F345" s="58"/>
      <c r="G345" s="54"/>
      <c r="I345" s="26"/>
      <c r="J345" s="27"/>
      <c r="K345" s="40"/>
      <c r="L345" s="17"/>
      <c r="M345" s="2"/>
      <c r="N345" s="18"/>
      <c r="O345" s="19"/>
      <c r="P345" s="8"/>
    </row>
    <row r="346">
      <c r="A346" s="59"/>
      <c r="B346" s="60"/>
      <c r="C346" s="57"/>
      <c r="D346" s="52"/>
      <c r="E346" s="53"/>
      <c r="F346" s="58"/>
      <c r="G346" s="54"/>
      <c r="I346" s="26"/>
      <c r="J346" s="27"/>
      <c r="K346" s="40"/>
      <c r="L346" s="17"/>
      <c r="M346" s="2"/>
      <c r="N346" s="18"/>
      <c r="O346" s="19"/>
      <c r="P346" s="8"/>
    </row>
    <row r="347">
      <c r="A347" s="59"/>
      <c r="B347" s="60"/>
      <c r="C347" s="57"/>
      <c r="D347" s="52"/>
      <c r="E347" s="53"/>
      <c r="F347" s="58"/>
      <c r="G347" s="54"/>
      <c r="I347" s="26"/>
      <c r="J347" s="27"/>
      <c r="K347" s="17"/>
      <c r="L347" s="17"/>
      <c r="M347" s="2"/>
      <c r="N347" s="18"/>
      <c r="O347" s="19"/>
      <c r="P347" s="8"/>
    </row>
    <row r="348">
      <c r="A348" s="59"/>
      <c r="B348" s="60"/>
      <c r="C348" s="57"/>
      <c r="D348" s="52"/>
      <c r="E348" s="53"/>
      <c r="F348" s="58"/>
      <c r="G348" s="54"/>
      <c r="I348" s="26"/>
      <c r="J348" s="27"/>
      <c r="K348" s="40"/>
      <c r="L348" s="17"/>
      <c r="M348" s="2"/>
      <c r="N348" s="18"/>
      <c r="O348" s="19"/>
      <c r="P348" s="8"/>
    </row>
    <row r="349">
      <c r="A349" s="59"/>
      <c r="B349" s="60"/>
      <c r="C349" s="57"/>
      <c r="D349" s="52"/>
      <c r="E349" s="53"/>
      <c r="F349" s="58"/>
      <c r="G349" s="54"/>
      <c r="I349" s="26"/>
      <c r="J349" s="27"/>
      <c r="K349" s="17"/>
      <c r="L349" s="17"/>
      <c r="M349" s="2"/>
      <c r="N349" s="18"/>
      <c r="O349" s="19"/>
      <c r="P349" s="8"/>
    </row>
    <row r="350">
      <c r="A350" s="59"/>
      <c r="B350" s="60"/>
      <c r="C350" s="52"/>
      <c r="D350" s="52"/>
      <c r="E350" s="53"/>
      <c r="F350" s="58"/>
      <c r="G350" s="54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44"/>
      <c r="C393" s="61"/>
      <c r="D393" s="45"/>
      <c r="E393" s="46"/>
      <c r="F393" s="47"/>
      <c r="G393" s="48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2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44"/>
      <c r="K455" s="61"/>
      <c r="L455" s="45"/>
      <c r="M455" s="46"/>
      <c r="N455" s="47"/>
      <c r="O455" s="48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2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44"/>
      <c r="K551" s="45"/>
      <c r="L551" s="45"/>
      <c r="M551" s="46"/>
      <c r="N551" s="47"/>
      <c r="O551" s="48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2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44"/>
      <c r="C615" s="61"/>
      <c r="D615" s="45"/>
      <c r="E615" s="46"/>
      <c r="F615" s="47"/>
      <c r="G615" s="48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44"/>
      <c r="K646" s="45"/>
      <c r="L646" s="45"/>
      <c r="M646" s="46"/>
      <c r="N646" s="47"/>
      <c r="O646" s="48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2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44"/>
      <c r="C711" s="45"/>
      <c r="D711" s="45"/>
      <c r="E711" s="46"/>
      <c r="F711" s="47"/>
      <c r="G711" s="48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44"/>
      <c r="C806" s="45"/>
      <c r="D806" s="45"/>
      <c r="E806" s="46"/>
      <c r="F806" s="47"/>
      <c r="G806" s="48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18"/>
      <c r="G883" s="19"/>
      <c r="N883" s="8"/>
      <c r="P883" s="8"/>
    </row>
    <row r="884">
      <c r="A884" s="26"/>
      <c r="B884" s="27"/>
      <c r="C884" s="70"/>
      <c r="D884" s="71"/>
      <c r="E884" s="69"/>
      <c r="F884" s="18"/>
      <c r="G884" s="72"/>
      <c r="N884" s="8"/>
      <c r="P884" s="8"/>
    </row>
    <row r="885">
      <c r="A885" s="26"/>
      <c r="B885" s="27"/>
      <c r="C885" s="70"/>
      <c r="D885" s="71"/>
      <c r="E885" s="69"/>
      <c r="F885" s="18"/>
      <c r="G885" s="72"/>
      <c r="N885" s="8"/>
      <c r="P885" s="8"/>
    </row>
    <row r="886">
      <c r="A886" s="26"/>
      <c r="B886" s="27"/>
      <c r="C886" s="70"/>
      <c r="D886" s="71"/>
      <c r="E886" s="69"/>
      <c r="F886" s="18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35</v>
      </c>
      <c r="I1" s="81">
        <f>countifs(B:B,"&lt;&gt;",F:F,"&lt;&gt;")-1</f>
        <v>6</v>
      </c>
      <c r="K1" s="7" t="s">
        <v>36</v>
      </c>
      <c r="L1" s="7" t="s">
        <v>37</v>
      </c>
      <c r="M1" s="7" t="s">
        <v>12</v>
      </c>
    </row>
    <row r="2">
      <c r="H2" s="80" t="s">
        <v>38</v>
      </c>
      <c r="I2" s="81">
        <f t="array" ref="I2">(COUNTA(UNIQUE(C:C))-1)</f>
        <v>6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1">
        <f t="shared" ref="M2:M15" si="2">sumif(D:D,K2,F:F)</f>
        <v>0</v>
      </c>
      <c r="N2" s="83"/>
    </row>
    <row r="3">
      <c r="H3" s="80" t="s">
        <v>39</v>
      </c>
      <c r="I3" s="81">
        <f>sum(F:F)</f>
        <v>232232.15</v>
      </c>
      <c r="K3" s="82" t="str">
        <f>'Internal Summary'!B40</f>
        <v>150g Segunfunmi Hibiscus Tea pineapple, Cloves, Ginger (24x)</v>
      </c>
      <c r="L3" s="81">
        <f t="shared" si="1"/>
        <v>0</v>
      </c>
      <c r="M3" s="81">
        <f t="shared" si="2"/>
        <v>42000</v>
      </c>
      <c r="N3" s="83"/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1">
        <f t="shared" si="2"/>
        <v>78000</v>
      </c>
      <c r="N4" s="83"/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1">
        <f t="shared" si="2"/>
        <v>0</v>
      </c>
      <c r="N5" s="83"/>
    </row>
    <row r="6">
      <c r="K6" s="82" t="str">
        <f>'Internal Summary'!B43</f>
        <v>1kg Segunfunmi Ofada Rice (24x)</v>
      </c>
      <c r="L6" s="81">
        <f t="shared" si="1"/>
        <v>0</v>
      </c>
      <c r="M6" s="81">
        <f t="shared" si="2"/>
        <v>0</v>
      </c>
    </row>
    <row r="7">
      <c r="K7" s="82" t="str">
        <f>'Internal Summary'!B44</f>
        <v>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  <c r="M9" s="81">
        <f t="shared" si="2"/>
        <v>0</v>
      </c>
    </row>
    <row r="10">
      <c r="K10" s="82" t="str">
        <f>'Internal Summary'!B47</f>
        <v>2kg Segunfunmi Ofada Rice (12x)</v>
      </c>
      <c r="L10" s="81">
        <f t="shared" si="1"/>
        <v>0</v>
      </c>
      <c r="M10" s="81">
        <f t="shared" si="2"/>
        <v>52800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A12" s="84"/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4">
      <c r="H24" s="86"/>
      <c r="I24" s="86"/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7">
      <c r="H27" s="86"/>
      <c r="I27" s="86"/>
      <c r="K27" s="85" t="str">
        <f>'Internal Summary'!B64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5" t="str">
        <f>'Internal Summary'!B67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5" t="str">
        <f>'Internal Summary'!B70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5" t="str">
        <f>'Internal Summary'!B73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5" t="str">
        <f>'Internal Summary'!B76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5" t="str">
        <f>'Internal Summary'!B79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5" t="str">
        <f>'Internal Summary'!B82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5" t="str">
        <f>'Internal Summary'!B85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5" t="str">
        <f>'Internal Summary'!B88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35</v>
      </c>
      <c r="I1" s="81">
        <f>countifs(B:B,"&lt;&gt;",F:F,"&lt;&gt;")-1</f>
        <v>0</v>
      </c>
      <c r="K1" s="88" t="s">
        <v>36</v>
      </c>
      <c r="L1" s="88" t="s">
        <v>37</v>
      </c>
      <c r="M1" s="88" t="s">
        <v>12</v>
      </c>
    </row>
    <row r="2">
      <c r="H2" s="80" t="s">
        <v>38</v>
      </c>
      <c r="I2" s="81">
        <f t="array" ref="I2">(COUNTA(UNIQUE(C:C))-1)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39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1">
        <f t="shared" si="2"/>
        <v>0</v>
      </c>
    </row>
    <row r="6">
      <c r="K6" s="82" t="str">
        <f>'Internal Summary'!B43</f>
        <v>1kg Segunfunmi Ofada Rice (24x)</v>
      </c>
      <c r="L6" s="81">
        <f t="shared" si="1"/>
        <v>0</v>
      </c>
      <c r="M6" s="81">
        <f t="shared" si="2"/>
        <v>0</v>
      </c>
    </row>
    <row r="7">
      <c r="K7" s="82" t="str">
        <f>'Internal Summary'!B44</f>
        <v>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  <c r="M9" s="81">
        <f t="shared" si="2"/>
        <v>0</v>
      </c>
    </row>
    <row r="10">
      <c r="K10" s="82" t="str">
        <f>'Internal Summary'!B47</f>
        <v>2kg Segunfunmi Ofada Rice (12x)</v>
      </c>
      <c r="L10" s="81">
        <f t="shared" si="1"/>
        <v>0</v>
      </c>
      <c r="M10" s="81">
        <f t="shared" si="2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35</v>
      </c>
      <c r="I1" s="81">
        <f>countifs(B:B,"&lt;&gt;",F:F,"&lt;&gt;")-1</f>
        <v>0</v>
      </c>
      <c r="K1" s="88" t="s">
        <v>36</v>
      </c>
      <c r="L1" s="88" t="s">
        <v>40</v>
      </c>
      <c r="M1" s="88" t="s">
        <v>12</v>
      </c>
    </row>
    <row r="2">
      <c r="H2" s="80" t="s">
        <v>38</v>
      </c>
      <c r="I2" s="81">
        <f t="array" ref="I2">(COUNTA(UNIQUE(C:C))-1)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5"/>
    </row>
    <row r="3">
      <c r="H3" s="80" t="s">
        <v>39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  <c r="M3" s="85"/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5"/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5"/>
    </row>
    <row r="6">
      <c r="K6" s="82" t="str">
        <f>'Internal Summary'!B43</f>
        <v>1kg Segunfunmi Ofada Rice (24x)</v>
      </c>
      <c r="L6" s="81">
        <f t="shared" si="1"/>
        <v>0</v>
      </c>
      <c r="M6" s="85"/>
    </row>
    <row r="7">
      <c r="K7" s="82" t="str">
        <f>'Internal Summary'!B44</f>
        <v>1kg Segunfunmi Yam Flour (12x)</v>
      </c>
      <c r="L7" s="81">
        <f t="shared" si="1"/>
        <v>0</v>
      </c>
      <c r="M7" s="85"/>
    </row>
    <row r="8">
      <c r="K8" s="82" t="str">
        <f>'Internal Summary'!B45</f>
        <v>200g Segunfunmi Chilli Pepper (12x)</v>
      </c>
      <c r="L8" s="81">
        <f t="shared" si="1"/>
        <v>0</v>
      </c>
      <c r="M8" s="85"/>
    </row>
    <row r="9">
      <c r="K9" s="82" t="str">
        <f>'Internal Summary'!B46</f>
        <v>250g Segunfunmi Granola Oat, Fruit, Nut (24x)</v>
      </c>
      <c r="L9" s="81">
        <f t="shared" si="1"/>
        <v>0</v>
      </c>
      <c r="M9" s="85"/>
    </row>
    <row r="10">
      <c r="K10" s="82" t="str">
        <f>'Internal Summary'!B47</f>
        <v>2kg Segunfunmi Ofada Rice (12x)</v>
      </c>
      <c r="L10" s="81">
        <f t="shared" si="1"/>
        <v>0</v>
      </c>
      <c r="M10" s="85"/>
    </row>
    <row r="11">
      <c r="K11" s="82" t="str">
        <f>'Internal Summary'!B48</f>
        <v>500g  Segunfunmi Granola Oat, Fruit, Nut (24x)</v>
      </c>
      <c r="L11" s="81">
        <f t="shared" si="1"/>
        <v>0</v>
      </c>
      <c r="M11" s="85"/>
    </row>
    <row r="12">
      <c r="K12" s="82" t="str">
        <f>'Internal Summary'!B49</f>
        <v>5kg Segunfunmi Ofada Rice (12x)</v>
      </c>
      <c r="L12" s="81">
        <f t="shared" si="1"/>
        <v>0</v>
      </c>
      <c r="M12" s="85"/>
    </row>
    <row r="13">
      <c r="K13" s="85" t="str">
        <f>'Internal Summary'!B50</f>
        <v/>
      </c>
      <c r="L13" s="81">
        <f t="shared" si="1"/>
        <v>0</v>
      </c>
      <c r="M13" s="85"/>
    </row>
    <row r="14">
      <c r="K14" s="85" t="str">
        <f>'Internal Summary'!B51</f>
        <v/>
      </c>
      <c r="L14" s="81">
        <f t="shared" si="1"/>
        <v>0</v>
      </c>
      <c r="M14" s="85"/>
    </row>
    <row r="15">
      <c r="K15" s="85" t="str">
        <f>'Internal Summary'!B52</f>
        <v/>
      </c>
      <c r="L15" s="81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35</v>
      </c>
      <c r="I1" s="81">
        <f>countifs(B:B,"&lt;&gt;",F:F,"&lt;&gt;")-1</f>
        <v>0</v>
      </c>
      <c r="K1" s="88" t="s">
        <v>36</v>
      </c>
      <c r="L1" s="88" t="s">
        <v>37</v>
      </c>
    </row>
    <row r="2">
      <c r="H2" s="80" t="s">
        <v>38</v>
      </c>
      <c r="I2" s="81">
        <f t="array" ref="I2">(COUNTA(UNIQUE(C:C,,0))-1)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</row>
    <row r="3">
      <c r="H3" s="80" t="s">
        <v>39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</row>
    <row r="6">
      <c r="K6" s="82" t="str">
        <f>'Internal Summary'!B43</f>
        <v>1kg Segunfunmi Ofada Rice (24x)</v>
      </c>
      <c r="L6" s="81">
        <f t="shared" si="1"/>
        <v>0</v>
      </c>
    </row>
    <row r="7">
      <c r="K7" s="82" t="str">
        <f>'Internal Summary'!B44</f>
        <v>1kg Segunfunmi Yam Flour (12x)</v>
      </c>
      <c r="L7" s="81">
        <f t="shared" si="1"/>
        <v>0</v>
      </c>
    </row>
    <row r="8">
      <c r="K8" s="82" t="str">
        <f>'Internal Summary'!B45</f>
        <v>200g Segunfunmi Chilli Pepper (12x)</v>
      </c>
      <c r="L8" s="81">
        <f t="shared" si="1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</row>
    <row r="10">
      <c r="K10" s="82" t="str">
        <f>'Internal Summary'!B47</f>
        <v>2kg Segunfunmi Ofada Rice (12x)</v>
      </c>
      <c r="L10" s="81">
        <f t="shared" si="1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  <row r="18">
      <c r="K18" s="85" t="str">
        <f>'Internal Summary'!B55</f>
        <v/>
      </c>
      <c r="L18" s="81">
        <f>sumif(D:D,K18,E:E)</f>
        <v>0</v>
      </c>
    </row>
    <row r="21">
      <c r="K21" s="85" t="str">
        <f>'Internal Summary'!B58</f>
        <v/>
      </c>
      <c r="L21" s="81">
        <f>sumif(D:D,K21,E:E)</f>
        <v>0</v>
      </c>
    </row>
    <row r="24">
      <c r="K24" s="85" t="str">
        <f>'Internal Summary'!B61</f>
        <v/>
      </c>
      <c r="L24" s="81">
        <f>sumif(D:D,K24,E:E)</f>
        <v>0</v>
      </c>
    </row>
    <row r="27">
      <c r="K27" s="85" t="str">
        <f>'Internal Summary'!B64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35</v>
      </c>
      <c r="I1" s="81">
        <f>countifs(B:B,"&lt;&gt;",F:F,"&lt;&gt;")-1</f>
        <v>0</v>
      </c>
      <c r="K1" s="88" t="s">
        <v>36</v>
      </c>
      <c r="L1" s="88" t="s">
        <v>37</v>
      </c>
    </row>
    <row r="2">
      <c r="H2" s="80" t="s">
        <v>38</v>
      </c>
      <c r="I2" s="81">
        <f t="array" ref="I2">(COUNTA(UNIQUE(C:C,,0))-1)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</row>
    <row r="3">
      <c r="H3" s="80" t="s">
        <v>39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</row>
    <row r="6">
      <c r="K6" s="82" t="str">
        <f>'Internal Summary'!B43</f>
        <v>1kg Segunfunmi Ofada Rice (24x)</v>
      </c>
      <c r="L6" s="81">
        <f t="shared" si="1"/>
        <v>0</v>
      </c>
    </row>
    <row r="7">
      <c r="K7" s="82" t="str">
        <f>'Internal Summary'!B44</f>
        <v>1kg Segunfunmi Yam Flour (12x)</v>
      </c>
      <c r="L7" s="81">
        <f t="shared" si="1"/>
        <v>0</v>
      </c>
    </row>
    <row r="8">
      <c r="K8" s="82" t="str">
        <f>'Internal Summary'!B45</f>
        <v>200g Segunfunmi Chilli Pepper (12x)</v>
      </c>
      <c r="L8" s="81">
        <f t="shared" si="1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</row>
    <row r="10">
      <c r="K10" s="82" t="str">
        <f>'Internal Summary'!B47</f>
        <v>2kg Segunfunmi Ofada Rice (12x)</v>
      </c>
      <c r="L10" s="81">
        <f t="shared" si="1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41</v>
      </c>
      <c r="C1" s="80" t="s">
        <v>37</v>
      </c>
      <c r="D1" s="80" t="s">
        <v>42</v>
      </c>
      <c r="E1" s="80" t="s">
        <v>43</v>
      </c>
      <c r="F1" s="90"/>
    </row>
    <row r="2">
      <c r="A2" s="91" t="s">
        <v>44</v>
      </c>
      <c r="B2" s="92" t="s">
        <v>35</v>
      </c>
      <c r="C2" s="93"/>
      <c r="D2" s="93"/>
      <c r="E2" s="94">
        <f>'Dala Sales &amp; Deliveries'!I1+'External Delivery Fulfillment'!I1</f>
        <v>6</v>
      </c>
      <c r="F2" s="90"/>
    </row>
    <row r="3">
      <c r="A3" s="95"/>
      <c r="B3" s="92" t="s">
        <v>45</v>
      </c>
      <c r="C3" s="93"/>
      <c r="D3" s="93"/>
      <c r="E3" s="94">
        <f>'Raw Data'!AX2</f>
        <v>4</v>
      </c>
      <c r="F3" s="90"/>
    </row>
    <row r="4">
      <c r="B4" s="96" t="s">
        <v>46</v>
      </c>
      <c r="C4" s="90"/>
      <c r="D4" s="90"/>
      <c r="E4" s="97">
        <f>'Dala Sales &amp; Deliveries'!I3</f>
        <v>232232.15</v>
      </c>
      <c r="F4" s="90"/>
    </row>
    <row r="5">
      <c r="B5" s="96" t="s">
        <v>47</v>
      </c>
      <c r="C5" s="90"/>
      <c r="D5" s="90"/>
      <c r="E5" s="97"/>
      <c r="F5" s="90"/>
    </row>
    <row r="6">
      <c r="A6" s="98"/>
      <c r="B6" s="99" t="s">
        <v>48</v>
      </c>
      <c r="C6" s="100"/>
      <c r="D6" s="101"/>
      <c r="E6" s="102">
        <f>sum(E4:E5)</f>
        <v>232232.15</v>
      </c>
      <c r="F6" s="90"/>
    </row>
    <row r="7">
      <c r="A7" s="91" t="s">
        <v>49</v>
      </c>
      <c r="B7" s="92" t="s">
        <v>50</v>
      </c>
      <c r="C7" s="93"/>
      <c r="D7" s="103"/>
      <c r="E7" s="104">
        <v>0.0</v>
      </c>
    </row>
    <row r="8">
      <c r="A8" s="98"/>
      <c r="B8" s="99" t="s">
        <v>51</v>
      </c>
      <c r="C8" s="105">
        <v>0.15</v>
      </c>
      <c r="D8" s="101"/>
      <c r="E8" s="102">
        <f>E7*(C8+100%)-E7</f>
        <v>0</v>
      </c>
      <c r="K8" s="8"/>
      <c r="L8" s="8"/>
      <c r="M8" s="8"/>
    </row>
    <row r="9">
      <c r="A9" s="106" t="s">
        <v>52</v>
      </c>
      <c r="B9" s="99" t="s">
        <v>53</v>
      </c>
      <c r="C9" s="100"/>
      <c r="D9" s="101"/>
      <c r="E9" s="102">
        <f>E6-E7-E8</f>
        <v>232232.15</v>
      </c>
    </row>
    <row r="10">
      <c r="A10" s="91" t="s">
        <v>54</v>
      </c>
      <c r="B10" s="92" t="s">
        <v>55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51</v>
      </c>
      <c r="C11" s="110"/>
      <c r="D11" s="103"/>
      <c r="E11" s="109">
        <f>E4*C8</f>
        <v>34834.8225</v>
      </c>
    </row>
    <row r="12">
      <c r="A12" s="95"/>
      <c r="B12" s="111" t="s">
        <v>56</v>
      </c>
      <c r="C12" s="93"/>
      <c r="D12" s="112" t="s">
        <v>57</v>
      </c>
      <c r="E12" s="109">
        <f>C21+C25</f>
        <v>0</v>
      </c>
    </row>
    <row r="13">
      <c r="A13" s="95"/>
      <c r="B13" s="92" t="s">
        <v>58</v>
      </c>
      <c r="C13" s="103"/>
      <c r="D13" s="103"/>
      <c r="E13" s="104">
        <v>0.0</v>
      </c>
    </row>
    <row r="14">
      <c r="A14" s="95"/>
      <c r="B14" s="92" t="s">
        <v>59</v>
      </c>
      <c r="C14" s="103"/>
      <c r="D14" s="103"/>
      <c r="E14" s="109">
        <f>C29</f>
        <v>0</v>
      </c>
    </row>
    <row r="15">
      <c r="A15" s="98"/>
      <c r="B15" s="99" t="s">
        <v>60</v>
      </c>
      <c r="C15" s="101"/>
      <c r="D15" s="101"/>
      <c r="E15" s="102">
        <f>sum(E10:E14)</f>
        <v>34834.8225</v>
      </c>
      <c r="H15" s="1"/>
      <c r="I15" s="1"/>
    </row>
    <row r="16">
      <c r="A16" s="106" t="s">
        <v>61</v>
      </c>
      <c r="B16" s="99" t="s">
        <v>62</v>
      </c>
      <c r="C16" s="101"/>
      <c r="D16" s="101"/>
      <c r="E16" s="102">
        <f>E9-E15+C35</f>
        <v>197397.3275</v>
      </c>
      <c r="H16" s="1"/>
      <c r="I16" s="113"/>
      <c r="J16" s="114"/>
      <c r="K16" s="114"/>
      <c r="L16" s="114"/>
      <c r="M16" s="114"/>
      <c r="N16" s="114"/>
    </row>
    <row r="17">
      <c r="A17" s="115"/>
      <c r="B17" s="115"/>
      <c r="C17" s="115"/>
      <c r="D17" s="115"/>
      <c r="E17" s="115"/>
      <c r="H17" s="1"/>
      <c r="I17" s="1"/>
      <c r="J17" s="114"/>
      <c r="K17" s="114"/>
      <c r="L17" s="114"/>
      <c r="M17" s="114"/>
      <c r="N17" s="114"/>
    </row>
    <row r="18">
      <c r="A18" s="1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 t="s">
        <v>63</v>
      </c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15"/>
      <c r="B20" s="80" t="s">
        <v>64</v>
      </c>
      <c r="C20" s="116">
        <f>U68</f>
        <v>0</v>
      </c>
      <c r="H20" s="1"/>
      <c r="I20" s="1"/>
      <c r="J20" s="117"/>
      <c r="K20" s="117"/>
      <c r="L20" s="118"/>
      <c r="M20" s="114"/>
      <c r="N20" s="114"/>
    </row>
    <row r="21">
      <c r="A21" s="115"/>
      <c r="B21" s="80" t="s">
        <v>65</v>
      </c>
      <c r="C21" s="116">
        <f>V68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66</v>
      </c>
      <c r="C22" s="116">
        <f>S68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67</v>
      </c>
      <c r="C23" s="116">
        <f>T68</f>
        <v>0</v>
      </c>
      <c r="H23" s="1"/>
      <c r="I23" s="113"/>
      <c r="J23" s="117"/>
      <c r="K23" s="117"/>
      <c r="L23" s="118"/>
      <c r="M23" s="114"/>
      <c r="N23" s="114"/>
    </row>
    <row r="24">
      <c r="A24" s="115"/>
      <c r="B24" s="80" t="s">
        <v>68</v>
      </c>
      <c r="C24" s="116">
        <f>67</f>
        <v>67</v>
      </c>
      <c r="H24" s="1"/>
      <c r="I24" s="1"/>
    </row>
    <row r="25">
      <c r="A25" s="115"/>
      <c r="B25" s="80" t="s">
        <v>69</v>
      </c>
      <c r="C25" s="119">
        <f>P68</f>
        <v>0</v>
      </c>
      <c r="H25" s="1"/>
      <c r="I25" s="1"/>
    </row>
    <row r="26">
      <c r="A26" s="115"/>
      <c r="B26" s="80" t="s">
        <v>70</v>
      </c>
      <c r="C26" s="81">
        <f>Q68</f>
        <v>0</v>
      </c>
      <c r="H26" s="1"/>
      <c r="I26" s="1"/>
    </row>
    <row r="27">
      <c r="A27" s="115"/>
      <c r="B27" s="80" t="s">
        <v>71</v>
      </c>
      <c r="C27" s="81">
        <f>R68</f>
        <v>0</v>
      </c>
      <c r="H27" s="1"/>
      <c r="I27" s="1"/>
    </row>
    <row r="28">
      <c r="A28" s="115"/>
      <c r="B28" s="80" t="s">
        <v>72</v>
      </c>
      <c r="C28" s="116">
        <f>F68</f>
        <v>0</v>
      </c>
      <c r="D28" s="1"/>
      <c r="H28" s="1"/>
      <c r="I28" s="1"/>
    </row>
    <row r="29">
      <c r="A29" s="115"/>
      <c r="B29" s="80" t="s">
        <v>73</v>
      </c>
      <c r="C29" s="116">
        <v>0.0</v>
      </c>
      <c r="D29" s="1"/>
      <c r="H29" s="1"/>
      <c r="I29" s="1"/>
    </row>
    <row r="30">
      <c r="A30" s="115"/>
      <c r="B30" s="80" t="s">
        <v>74</v>
      </c>
      <c r="C30" s="116">
        <f>I68</f>
        <v>0</v>
      </c>
      <c r="D30" s="115"/>
      <c r="H30" s="1"/>
      <c r="I30" s="1"/>
    </row>
    <row r="31">
      <c r="A31" s="115"/>
      <c r="B31" s="80" t="s">
        <v>75</v>
      </c>
      <c r="C31" s="116">
        <v>0.0</v>
      </c>
      <c r="D31" s="115"/>
      <c r="H31" s="1"/>
      <c r="I31" s="1"/>
    </row>
    <row r="32">
      <c r="B32" s="80" t="s">
        <v>76</v>
      </c>
      <c r="C32" s="116">
        <f>L68</f>
        <v>0</v>
      </c>
    </row>
    <row r="33">
      <c r="B33" s="80" t="s">
        <v>77</v>
      </c>
      <c r="C33" s="81">
        <f>K68</f>
        <v>0</v>
      </c>
    </row>
    <row r="34">
      <c r="B34" s="80" t="s">
        <v>78</v>
      </c>
      <c r="C34" s="116">
        <v>0.0</v>
      </c>
    </row>
    <row r="35">
      <c r="B35" s="80" t="s">
        <v>79</v>
      </c>
      <c r="C35" s="116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0" t="s">
        <v>80</v>
      </c>
      <c r="C38" s="80" t="s">
        <v>81</v>
      </c>
      <c r="D38" s="80" t="s">
        <v>82</v>
      </c>
      <c r="E38" s="80" t="s">
        <v>83</v>
      </c>
      <c r="F38" s="88" t="s">
        <v>84</v>
      </c>
      <c r="G38" s="88" t="s">
        <v>85</v>
      </c>
      <c r="H38" s="88" t="s">
        <v>86</v>
      </c>
      <c r="I38" s="88" t="s">
        <v>87</v>
      </c>
      <c r="J38" s="88" t="s">
        <v>88</v>
      </c>
      <c r="K38" s="88" t="s">
        <v>89</v>
      </c>
      <c r="L38" s="88" t="s">
        <v>76</v>
      </c>
      <c r="M38" s="88" t="s">
        <v>78</v>
      </c>
      <c r="N38" s="88" t="s">
        <v>90</v>
      </c>
      <c r="O38" s="88" t="s">
        <v>91</v>
      </c>
      <c r="P38" s="88" t="s">
        <v>92</v>
      </c>
      <c r="Q38" s="88" t="s">
        <v>93</v>
      </c>
      <c r="R38" s="88" t="s">
        <v>94</v>
      </c>
      <c r="S38" s="88" t="s">
        <v>95</v>
      </c>
      <c r="T38" s="88" t="s">
        <v>67</v>
      </c>
      <c r="U38" s="88" t="s">
        <v>96</v>
      </c>
      <c r="V38" s="88" t="s">
        <v>97</v>
      </c>
      <c r="W38" s="88" t="s">
        <v>98</v>
      </c>
    </row>
    <row r="39">
      <c r="B39" s="120" t="s">
        <v>99</v>
      </c>
      <c r="C39" s="121"/>
      <c r="D39" s="121"/>
      <c r="E39" s="121"/>
      <c r="F39" s="122"/>
      <c r="G39" s="81">
        <f t="shared" ref="G39:G67" si="1">F39*C39</f>
        <v>0</v>
      </c>
      <c r="H39" s="122"/>
      <c r="I39" s="122"/>
      <c r="J39" s="122"/>
      <c r="K39" s="122"/>
      <c r="L39" s="119"/>
      <c r="M39" s="81">
        <f t="shared" ref="M39:M67" si="2">K39-L39</f>
        <v>0</v>
      </c>
      <c r="N39" s="81">
        <f t="shared" ref="N39:N67" si="3">M39*C39</f>
        <v>0</v>
      </c>
      <c r="O39" s="81">
        <f>'Dala Sales &amp; Deliveries'!L2</f>
        <v>0</v>
      </c>
      <c r="P39" s="81">
        <f t="shared" ref="P39:P67" si="4">O39*E39</f>
        <v>0</v>
      </c>
      <c r="Q39" s="81">
        <f>'External Delivery Fulfillment'!L2</f>
        <v>0</v>
      </c>
      <c r="R39" s="81">
        <f t="shared" ref="R39:R67" si="5">Q39*E39</f>
        <v>0</v>
      </c>
      <c r="S39" s="81">
        <f>'Forwarding From Client'!L2</f>
        <v>0</v>
      </c>
      <c r="T39" s="81">
        <f t="shared" ref="T39:T67" si="6">S39*E39</f>
        <v>0</v>
      </c>
      <c r="U39" s="81">
        <f>'Dala Restocking'!L2</f>
        <v>0</v>
      </c>
      <c r="V39" s="81">
        <f t="shared" ref="V39:V67" si="7">U39*D39</f>
        <v>0</v>
      </c>
      <c r="W39" s="81">
        <f>'Client Restocking'!L2</f>
        <v>0</v>
      </c>
    </row>
    <row r="40">
      <c r="B40" s="123" t="s">
        <v>14</v>
      </c>
      <c r="C40" s="124"/>
      <c r="D40" s="124"/>
      <c r="E40" s="124"/>
      <c r="F40" s="125"/>
      <c r="G40" s="81">
        <f t="shared" si="1"/>
        <v>0</v>
      </c>
      <c r="H40" s="125"/>
      <c r="I40" s="122"/>
      <c r="J40" s="125"/>
      <c r="K40" s="122"/>
      <c r="L40" s="119"/>
      <c r="M40" s="81">
        <f t="shared" si="2"/>
        <v>0</v>
      </c>
      <c r="N40" s="81">
        <f t="shared" si="3"/>
        <v>0</v>
      </c>
      <c r="O40" s="81">
        <f>'Dala Sales &amp; Deliveries'!L3</f>
        <v>0</v>
      </c>
      <c r="P40" s="81">
        <f t="shared" si="4"/>
        <v>0</v>
      </c>
      <c r="Q40" s="81">
        <f>'External Delivery Fulfillment'!L3</f>
        <v>0</v>
      </c>
      <c r="R40" s="81">
        <f t="shared" si="5"/>
        <v>0</v>
      </c>
      <c r="S40" s="81">
        <f>'Forwarding From Client'!L3</f>
        <v>0</v>
      </c>
      <c r="T40" s="81">
        <f t="shared" si="6"/>
        <v>0</v>
      </c>
      <c r="U40" s="81">
        <f>'Dala Restocking'!L3</f>
        <v>0</v>
      </c>
      <c r="V40" s="81">
        <f t="shared" si="7"/>
        <v>0</v>
      </c>
      <c r="W40" s="81">
        <f>'Client Restocking'!L3</f>
        <v>0</v>
      </c>
    </row>
    <row r="41">
      <c r="B41" s="123" t="s">
        <v>22</v>
      </c>
      <c r="C41" s="124"/>
      <c r="D41" s="124"/>
      <c r="E41" s="124"/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Deliveries'!L4</f>
        <v>0</v>
      </c>
      <c r="P41" s="81">
        <f t="shared" si="4"/>
        <v>0</v>
      </c>
      <c r="Q41" s="81">
        <f>'External Delivery Fulfillment'!L4</f>
        <v>0</v>
      </c>
      <c r="R41" s="81">
        <f t="shared" si="5"/>
        <v>0</v>
      </c>
      <c r="S41" s="81">
        <f>'Forwarding From Client'!L4</f>
        <v>0</v>
      </c>
      <c r="T41" s="81">
        <f t="shared" si="6"/>
        <v>0</v>
      </c>
      <c r="U41" s="81">
        <f>'Dala Restocking'!L4</f>
        <v>0</v>
      </c>
      <c r="V41" s="81">
        <f t="shared" si="7"/>
        <v>0</v>
      </c>
      <c r="W41" s="81">
        <f>'Client Restocking'!L4</f>
        <v>0</v>
      </c>
    </row>
    <row r="42">
      <c r="B42" s="123" t="s">
        <v>100</v>
      </c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/>
      <c r="M42" s="81">
        <f t="shared" si="2"/>
        <v>0</v>
      </c>
      <c r="N42" s="81">
        <f t="shared" si="3"/>
        <v>0</v>
      </c>
      <c r="O42" s="81">
        <f>'Dala Sales &amp; Deliveries'!L5</f>
        <v>0</v>
      </c>
      <c r="P42" s="81">
        <f t="shared" si="4"/>
        <v>0</v>
      </c>
      <c r="Q42" s="81">
        <f>'External Delivery Fulfillment'!L5</f>
        <v>0</v>
      </c>
      <c r="R42" s="81">
        <f t="shared" si="5"/>
        <v>0</v>
      </c>
      <c r="S42" s="81">
        <f>'Forwarding From Client'!L5</f>
        <v>0</v>
      </c>
      <c r="T42" s="81">
        <f t="shared" si="6"/>
        <v>0</v>
      </c>
      <c r="U42" s="81">
        <f>'Dala Restocking'!L5</f>
        <v>0</v>
      </c>
      <c r="V42" s="81">
        <f t="shared" si="7"/>
        <v>0</v>
      </c>
      <c r="W42" s="81">
        <f>'Client Restocking'!L5</f>
        <v>0</v>
      </c>
    </row>
    <row r="43">
      <c r="B43" s="123" t="s">
        <v>101</v>
      </c>
      <c r="C43" s="124"/>
      <c r="D43" s="124"/>
      <c r="E43" s="124"/>
      <c r="F43" s="125"/>
      <c r="G43" s="81">
        <f t="shared" si="1"/>
        <v>0</v>
      </c>
      <c r="H43" s="125"/>
      <c r="I43" s="125"/>
      <c r="J43" s="125"/>
      <c r="K43" s="122"/>
      <c r="L43" s="119"/>
      <c r="M43" s="81">
        <f t="shared" si="2"/>
        <v>0</v>
      </c>
      <c r="N43" s="81">
        <f t="shared" si="3"/>
        <v>0</v>
      </c>
      <c r="O43" s="81">
        <f>'Dala Sales &amp; Deliveries'!L6</f>
        <v>0</v>
      </c>
      <c r="P43" s="81">
        <f t="shared" si="4"/>
        <v>0</v>
      </c>
      <c r="Q43" s="81">
        <f>'External Delivery Fulfillment'!L6</f>
        <v>0</v>
      </c>
      <c r="R43" s="81">
        <f t="shared" si="5"/>
        <v>0</v>
      </c>
      <c r="S43" s="81">
        <f>'Forwarding From Client'!L6</f>
        <v>0</v>
      </c>
      <c r="T43" s="81">
        <f t="shared" si="6"/>
        <v>0</v>
      </c>
      <c r="U43" s="81">
        <f>'Dala Restocking'!L6</f>
        <v>0</v>
      </c>
      <c r="V43" s="81">
        <f t="shared" si="7"/>
        <v>0</v>
      </c>
      <c r="W43" s="81">
        <f>'Client Restocking'!L6</f>
        <v>0</v>
      </c>
    </row>
    <row r="44">
      <c r="B44" s="123" t="s">
        <v>102</v>
      </c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/>
      <c r="M44" s="81">
        <f t="shared" si="2"/>
        <v>0</v>
      </c>
      <c r="N44" s="81">
        <f t="shared" si="3"/>
        <v>0</v>
      </c>
      <c r="O44" s="81">
        <f>'Dala Sales &amp; Deliveries'!L7</f>
        <v>0</v>
      </c>
      <c r="P44" s="81">
        <f t="shared" si="4"/>
        <v>0</v>
      </c>
      <c r="Q44" s="81">
        <f>'External Delivery Fulfillment'!L7</f>
        <v>0</v>
      </c>
      <c r="R44" s="81">
        <f t="shared" si="5"/>
        <v>0</v>
      </c>
      <c r="S44" s="81">
        <f>'Forwarding From Client'!L7</f>
        <v>0</v>
      </c>
      <c r="T44" s="81">
        <f t="shared" si="6"/>
        <v>0</v>
      </c>
      <c r="U44" s="81">
        <f>'Dala Restocking'!L7</f>
        <v>0</v>
      </c>
      <c r="V44" s="81">
        <f t="shared" si="7"/>
        <v>0</v>
      </c>
      <c r="W44" s="81">
        <f>'Client Restocking'!L7</f>
        <v>0</v>
      </c>
    </row>
    <row r="45">
      <c r="B45" s="123" t="s">
        <v>103</v>
      </c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/>
      <c r="M45" s="81">
        <f t="shared" si="2"/>
        <v>0</v>
      </c>
      <c r="N45" s="81">
        <f t="shared" si="3"/>
        <v>0</v>
      </c>
      <c r="O45" s="81">
        <f>'Dala Sales &amp; Deliveries'!L8</f>
        <v>0</v>
      </c>
      <c r="P45" s="81">
        <f t="shared" si="4"/>
        <v>0</v>
      </c>
      <c r="Q45" s="81">
        <f>'External Delivery Fulfillment'!L8</f>
        <v>0</v>
      </c>
      <c r="R45" s="81">
        <f t="shared" si="5"/>
        <v>0</v>
      </c>
      <c r="S45" s="81">
        <f>'Forwarding From Client'!L8</f>
        <v>0</v>
      </c>
      <c r="T45" s="81">
        <f t="shared" si="6"/>
        <v>0</v>
      </c>
      <c r="U45" s="81">
        <f>'Dala Restocking'!L8</f>
        <v>0</v>
      </c>
      <c r="V45" s="81">
        <f t="shared" si="7"/>
        <v>0</v>
      </c>
      <c r="W45" s="81">
        <f>'Client Restocking'!L8</f>
        <v>0</v>
      </c>
    </row>
    <row r="46">
      <c r="B46" s="123" t="s">
        <v>104</v>
      </c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/>
      <c r="M46" s="81">
        <f t="shared" si="2"/>
        <v>0</v>
      </c>
      <c r="N46" s="81">
        <f t="shared" si="3"/>
        <v>0</v>
      </c>
      <c r="O46" s="81">
        <f>'Dala Sales &amp; Deliveries'!L9</f>
        <v>0</v>
      </c>
      <c r="P46" s="81">
        <f t="shared" si="4"/>
        <v>0</v>
      </c>
      <c r="Q46" s="81">
        <f>'External Delivery Fulfillment'!L9</f>
        <v>0</v>
      </c>
      <c r="R46" s="81">
        <f t="shared" si="5"/>
        <v>0</v>
      </c>
      <c r="S46" s="81">
        <f>'Forwarding From Client'!L9</f>
        <v>0</v>
      </c>
      <c r="T46" s="81">
        <f t="shared" si="6"/>
        <v>0</v>
      </c>
      <c r="U46" s="81">
        <f>'Dala Restocking'!L9</f>
        <v>0</v>
      </c>
      <c r="V46" s="81">
        <f t="shared" si="7"/>
        <v>0</v>
      </c>
      <c r="W46" s="81">
        <f>'Client Restocking'!L9</f>
        <v>0</v>
      </c>
    </row>
    <row r="47">
      <c r="B47" s="123" t="s">
        <v>26</v>
      </c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/>
      <c r="M47" s="81">
        <f t="shared" si="2"/>
        <v>0</v>
      </c>
      <c r="N47" s="81">
        <f t="shared" si="3"/>
        <v>0</v>
      </c>
      <c r="O47" s="81">
        <f>'Dala Sales &amp; Deliveries'!L10</f>
        <v>0</v>
      </c>
      <c r="P47" s="81">
        <f t="shared" si="4"/>
        <v>0</v>
      </c>
      <c r="Q47" s="81">
        <f>'External Delivery Fulfillment'!L10</f>
        <v>0</v>
      </c>
      <c r="R47" s="81">
        <f t="shared" si="5"/>
        <v>0</v>
      </c>
      <c r="S47" s="81">
        <f>'Forwarding From Client'!L10</f>
        <v>0</v>
      </c>
      <c r="T47" s="81">
        <f t="shared" si="6"/>
        <v>0</v>
      </c>
      <c r="U47" s="81">
        <f>'Dala Restocking'!L10</f>
        <v>0</v>
      </c>
      <c r="V47" s="81">
        <f t="shared" si="7"/>
        <v>0</v>
      </c>
      <c r="W47" s="81">
        <f>'Client Restocking'!L10</f>
        <v>0</v>
      </c>
    </row>
    <row r="48">
      <c r="B48" s="123" t="s">
        <v>105</v>
      </c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/>
      <c r="M48" s="81">
        <f t="shared" si="2"/>
        <v>0</v>
      </c>
      <c r="N48" s="81">
        <f t="shared" si="3"/>
        <v>0</v>
      </c>
      <c r="O48" s="81">
        <f>'Dala Sales &amp; Deliveries'!L11</f>
        <v>0</v>
      </c>
      <c r="P48" s="81">
        <f t="shared" si="4"/>
        <v>0</v>
      </c>
      <c r="Q48" s="81">
        <f>'External Delivery Fulfillment'!L11</f>
        <v>0</v>
      </c>
      <c r="R48" s="81">
        <f t="shared" si="5"/>
        <v>0</v>
      </c>
      <c r="S48" s="81">
        <f>'Forwarding From Client'!L11</f>
        <v>0</v>
      </c>
      <c r="T48" s="81">
        <f t="shared" si="6"/>
        <v>0</v>
      </c>
      <c r="U48" s="81">
        <f>'Dala Restocking'!L11</f>
        <v>0</v>
      </c>
      <c r="V48" s="81">
        <f t="shared" si="7"/>
        <v>0</v>
      </c>
      <c r="W48" s="81">
        <f>'Client Restocking'!L11</f>
        <v>0</v>
      </c>
    </row>
    <row r="49">
      <c r="B49" s="123" t="s">
        <v>106</v>
      </c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/>
      <c r="M49" s="81">
        <f t="shared" si="2"/>
        <v>0</v>
      </c>
      <c r="N49" s="81">
        <f t="shared" si="3"/>
        <v>0</v>
      </c>
      <c r="O49" s="81">
        <f>'Dala Sales &amp; Deliveries'!L12</f>
        <v>0</v>
      </c>
      <c r="P49" s="81">
        <f t="shared" si="4"/>
        <v>0</v>
      </c>
      <c r="Q49" s="81">
        <f>'External Delivery Fulfillment'!L12</f>
        <v>0</v>
      </c>
      <c r="R49" s="81">
        <f t="shared" si="5"/>
        <v>0</v>
      </c>
      <c r="S49" s="81">
        <f>'Forwarding From Client'!L12</f>
        <v>0</v>
      </c>
      <c r="T49" s="81">
        <f t="shared" si="6"/>
        <v>0</v>
      </c>
      <c r="U49" s="81">
        <f>'Dala Restocking'!L12</f>
        <v>0</v>
      </c>
      <c r="V49" s="81">
        <f t="shared" si="7"/>
        <v>0</v>
      </c>
      <c r="W49" s="81">
        <f>'Client Restocking'!L12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ref="L50:L67" si="8">H50+U50+W50-O50-Q50-I50-J50</f>
        <v>0</v>
      </c>
      <c r="M50" s="81">
        <f t="shared" si="2"/>
        <v>0</v>
      </c>
      <c r="N50" s="81">
        <f t="shared" si="3"/>
        <v>0</v>
      </c>
      <c r="O50" s="81">
        <f>'Dala Sales &amp; Deliveries'!L13</f>
        <v>0</v>
      </c>
      <c r="P50" s="81">
        <f t="shared" si="4"/>
        <v>0</v>
      </c>
      <c r="Q50" s="81">
        <f>'External Delivery Fulfillment'!L13</f>
        <v>0</v>
      </c>
      <c r="R50" s="81">
        <f t="shared" si="5"/>
        <v>0</v>
      </c>
      <c r="S50" s="81">
        <f>'Forwarding From Client'!L13</f>
        <v>0</v>
      </c>
      <c r="T50" s="81">
        <f t="shared" si="6"/>
        <v>0</v>
      </c>
      <c r="U50" s="81">
        <f>'Dala Restocking'!L13</f>
        <v>0</v>
      </c>
      <c r="V50" s="81">
        <f t="shared" si="7"/>
        <v>0</v>
      </c>
      <c r="W50" s="81">
        <f>'Client Restocking'!L13</f>
        <v>0</v>
      </c>
    </row>
    <row r="51">
      <c r="B51" s="127"/>
      <c r="C51" s="125"/>
      <c r="D51" s="125"/>
      <c r="E51" s="125"/>
      <c r="F51" s="125"/>
      <c r="G51" s="81">
        <f t="shared" si="1"/>
        <v>0</v>
      </c>
      <c r="H51" s="125"/>
      <c r="I51" s="125"/>
      <c r="J51" s="125"/>
      <c r="K51" s="125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Deliveries'!L14</f>
        <v>0</v>
      </c>
      <c r="P51" s="81">
        <f t="shared" si="4"/>
        <v>0</v>
      </c>
      <c r="Q51" s="81">
        <f>'External Delivery Fulfillment'!L14</f>
        <v>0</v>
      </c>
      <c r="R51" s="81">
        <f t="shared" si="5"/>
        <v>0</v>
      </c>
      <c r="S51" s="81">
        <f>'Forwarding From Client'!L14</f>
        <v>0</v>
      </c>
      <c r="T51" s="81">
        <f t="shared" si="6"/>
        <v>0</v>
      </c>
      <c r="U51" s="81">
        <f>'Dala Restocking'!L14</f>
        <v>0</v>
      </c>
      <c r="V51" s="81">
        <f t="shared" si="7"/>
        <v>0</v>
      </c>
      <c r="W51" s="81">
        <f>'Client Restocking'!L14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Deliveries'!L15</f>
        <v>0</v>
      </c>
      <c r="P52" s="81">
        <f t="shared" si="4"/>
        <v>0</v>
      </c>
      <c r="Q52" s="81">
        <f>'External Delivery Fulfillment'!L15</f>
        <v>0</v>
      </c>
      <c r="R52" s="81">
        <f t="shared" si="5"/>
        <v>0</v>
      </c>
      <c r="S52" s="81">
        <f>'Forwarding From Client'!L15</f>
        <v>0</v>
      </c>
      <c r="T52" s="81">
        <f t="shared" si="6"/>
        <v>0</v>
      </c>
      <c r="U52" s="81">
        <f>'Dala Restocking'!L15</f>
        <v>0</v>
      </c>
      <c r="V52" s="81">
        <f t="shared" si="7"/>
        <v>0</v>
      </c>
      <c r="W52" s="81">
        <f>'Client Restocking'!L15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 t="str">
        <f>'Dala Sales &amp; Deliveries'!L16</f>
        <v/>
      </c>
      <c r="P53" s="81">
        <f t="shared" si="4"/>
        <v>0</v>
      </c>
      <c r="Q53" s="81" t="str">
        <f>'External Delivery Fulfillment'!L16</f>
        <v/>
      </c>
      <c r="R53" s="81">
        <f t="shared" si="5"/>
        <v>0</v>
      </c>
      <c r="S53" s="81" t="str">
        <f>'Forwarding From Client'!L16</f>
        <v/>
      </c>
      <c r="T53" s="81">
        <f t="shared" si="6"/>
        <v>0</v>
      </c>
      <c r="U53" s="81" t="str">
        <f>'Dala Restocking'!L16</f>
        <v/>
      </c>
      <c r="V53" s="81">
        <f t="shared" si="7"/>
        <v>0</v>
      </c>
      <c r="W53" s="81" t="str">
        <f>'Client Restocking'!L16</f>
        <v/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Deliveries'!L17</f>
        <v/>
      </c>
      <c r="P54" s="81">
        <f t="shared" si="4"/>
        <v>0</v>
      </c>
      <c r="Q54" s="81" t="str">
        <f>'External Delivery Fulfillment'!L17</f>
        <v/>
      </c>
      <c r="R54" s="81">
        <f t="shared" si="5"/>
        <v>0</v>
      </c>
      <c r="S54" s="81" t="str">
        <f>'Forwarding From Client'!L17</f>
        <v/>
      </c>
      <c r="T54" s="81">
        <f t="shared" si="6"/>
        <v>0</v>
      </c>
      <c r="U54" s="81" t="str">
        <f>'Dala Restocking'!L17</f>
        <v/>
      </c>
      <c r="V54" s="81">
        <f t="shared" si="7"/>
        <v>0</v>
      </c>
      <c r="W54" s="81" t="str">
        <f>'Client Restocking'!L17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>
        <f>'Dala Sales &amp; Deliveries'!L18</f>
        <v>0</v>
      </c>
      <c r="P55" s="81">
        <f t="shared" si="4"/>
        <v>0</v>
      </c>
      <c r="Q55" s="81">
        <f>'External Delivery Fulfillment'!L18</f>
        <v>0</v>
      </c>
      <c r="R55" s="81">
        <f t="shared" si="5"/>
        <v>0</v>
      </c>
      <c r="S55" s="81" t="str">
        <f>'Forwarding From Client'!L18</f>
        <v/>
      </c>
      <c r="T55" s="81">
        <f t="shared" si="6"/>
        <v>0</v>
      </c>
      <c r="U55" s="81">
        <f>'Dala Restocking'!L18</f>
        <v>0</v>
      </c>
      <c r="V55" s="81">
        <f t="shared" si="7"/>
        <v>0</v>
      </c>
      <c r="W55" s="81" t="str">
        <f>'Client Restocking'!L18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Deliveries'!L19</f>
        <v/>
      </c>
      <c r="P56" s="81">
        <f t="shared" si="4"/>
        <v>0</v>
      </c>
      <c r="Q56" s="81" t="str">
        <f>'External Delivery Fulfillment'!L19</f>
        <v/>
      </c>
      <c r="R56" s="81">
        <f t="shared" si="5"/>
        <v>0</v>
      </c>
      <c r="S56" s="81" t="str">
        <f>'Forwarding From Client'!L19</f>
        <v/>
      </c>
      <c r="T56" s="81">
        <f t="shared" si="6"/>
        <v>0</v>
      </c>
      <c r="U56" s="81" t="str">
        <f>'Dala Restocking'!L19</f>
        <v/>
      </c>
      <c r="V56" s="81">
        <f t="shared" si="7"/>
        <v>0</v>
      </c>
      <c r="W56" s="81" t="str">
        <f>'Client Restocking'!L19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Deliveries'!L20</f>
        <v/>
      </c>
      <c r="P57" s="81">
        <f t="shared" si="4"/>
        <v>0</v>
      </c>
      <c r="Q57" s="81" t="str">
        <f>'External Delivery Fulfillment'!L20</f>
        <v/>
      </c>
      <c r="R57" s="81">
        <f t="shared" si="5"/>
        <v>0</v>
      </c>
      <c r="S57" s="81" t="str">
        <f>'Forwarding From Client'!L20</f>
        <v/>
      </c>
      <c r="T57" s="81">
        <f t="shared" si="6"/>
        <v>0</v>
      </c>
      <c r="U57" s="81" t="str">
        <f>'Dala Restocking'!L20</f>
        <v/>
      </c>
      <c r="V57" s="81">
        <f t="shared" si="7"/>
        <v>0</v>
      </c>
      <c r="W57" s="81" t="str">
        <f>'Client Restocking'!L20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>
        <f>'Dala Sales &amp; Deliveries'!L21</f>
        <v>0</v>
      </c>
      <c r="P58" s="81">
        <f t="shared" si="4"/>
        <v>0</v>
      </c>
      <c r="Q58" s="81">
        <f>'External Delivery Fulfillment'!L21</f>
        <v>0</v>
      </c>
      <c r="R58" s="81">
        <f t="shared" si="5"/>
        <v>0</v>
      </c>
      <c r="S58" s="81" t="str">
        <f>'Forwarding From Client'!L21</f>
        <v/>
      </c>
      <c r="T58" s="81">
        <f t="shared" si="6"/>
        <v>0</v>
      </c>
      <c r="U58" s="81">
        <f>'Dala Restocking'!L21</f>
        <v>0</v>
      </c>
      <c r="V58" s="81">
        <f t="shared" si="7"/>
        <v>0</v>
      </c>
      <c r="W58" s="81" t="str">
        <f>'Client Restocking'!L21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Deliveries'!L22</f>
        <v/>
      </c>
      <c r="P59" s="81">
        <f t="shared" si="4"/>
        <v>0</v>
      </c>
      <c r="Q59" s="81" t="str">
        <f>'External Delivery Fulfillment'!L22</f>
        <v/>
      </c>
      <c r="R59" s="81">
        <f t="shared" si="5"/>
        <v>0</v>
      </c>
      <c r="S59" s="81" t="str">
        <f>'Forwarding From Client'!L22</f>
        <v/>
      </c>
      <c r="T59" s="81">
        <f t="shared" si="6"/>
        <v>0</v>
      </c>
      <c r="U59" s="81" t="str">
        <f>'Dala Restocking'!L22</f>
        <v/>
      </c>
      <c r="V59" s="81">
        <f t="shared" si="7"/>
        <v>0</v>
      </c>
      <c r="W59" s="81" t="str">
        <f>'Client Restocking'!L22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Deliveries'!L23</f>
        <v/>
      </c>
      <c r="P60" s="81">
        <f t="shared" si="4"/>
        <v>0</v>
      </c>
      <c r="Q60" s="81" t="str">
        <f>'External Delivery Fulfillment'!L23</f>
        <v/>
      </c>
      <c r="R60" s="81">
        <f t="shared" si="5"/>
        <v>0</v>
      </c>
      <c r="S60" s="81" t="str">
        <f>'Forwarding From Client'!L23</f>
        <v/>
      </c>
      <c r="T60" s="81">
        <f t="shared" si="6"/>
        <v>0</v>
      </c>
      <c r="U60" s="81" t="str">
        <f>'Dala Restocking'!L23</f>
        <v/>
      </c>
      <c r="V60" s="81">
        <f t="shared" si="7"/>
        <v>0</v>
      </c>
      <c r="W60" s="81" t="str">
        <f>'Client Restocking'!L23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>
        <f>'Dala Sales &amp; Deliveries'!L24</f>
        <v>0</v>
      </c>
      <c r="P61" s="81">
        <f t="shared" si="4"/>
        <v>0</v>
      </c>
      <c r="Q61" s="81">
        <f>'External Delivery Fulfillment'!L24</f>
        <v>0</v>
      </c>
      <c r="R61" s="81">
        <f t="shared" si="5"/>
        <v>0</v>
      </c>
      <c r="S61" s="81" t="str">
        <f>'Forwarding From Client'!L24</f>
        <v/>
      </c>
      <c r="T61" s="81">
        <f t="shared" si="6"/>
        <v>0</v>
      </c>
      <c r="U61" s="81">
        <f>'Dala Restocking'!L24</f>
        <v>0</v>
      </c>
      <c r="V61" s="81">
        <f t="shared" si="7"/>
        <v>0</v>
      </c>
      <c r="W61" s="81" t="str">
        <f>'Client Restocking'!L24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Deliveries'!L25</f>
        <v/>
      </c>
      <c r="P62" s="81">
        <f t="shared" si="4"/>
        <v>0</v>
      </c>
      <c r="Q62" s="81" t="str">
        <f>'External Delivery Fulfillment'!L25</f>
        <v/>
      </c>
      <c r="R62" s="81">
        <f t="shared" si="5"/>
        <v>0</v>
      </c>
      <c r="S62" s="81" t="str">
        <f>'Forwarding From Client'!L25</f>
        <v/>
      </c>
      <c r="T62" s="81">
        <f t="shared" si="6"/>
        <v>0</v>
      </c>
      <c r="U62" s="81" t="str">
        <f>'Dala Restocking'!L25</f>
        <v/>
      </c>
      <c r="V62" s="81">
        <f t="shared" si="7"/>
        <v>0</v>
      </c>
      <c r="W62" s="81" t="str">
        <f>'Client Restocking'!L25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Deliveries'!L26</f>
        <v/>
      </c>
      <c r="P63" s="81">
        <f t="shared" si="4"/>
        <v>0</v>
      </c>
      <c r="Q63" s="81" t="str">
        <f>'External Delivery Fulfillment'!L26</f>
        <v/>
      </c>
      <c r="R63" s="81">
        <f t="shared" si="5"/>
        <v>0</v>
      </c>
      <c r="S63" s="81" t="str">
        <f>'Forwarding From Client'!L26</f>
        <v/>
      </c>
      <c r="T63" s="81">
        <f t="shared" si="6"/>
        <v>0</v>
      </c>
      <c r="U63" s="81" t="str">
        <f>'Dala Restocking'!L26</f>
        <v/>
      </c>
      <c r="V63" s="81">
        <f t="shared" si="7"/>
        <v>0</v>
      </c>
      <c r="W63" s="81" t="str">
        <f>'Client Restocking'!L26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>
        <f>'Dala Sales &amp; Deliveries'!L27</f>
        <v>0</v>
      </c>
      <c r="P64" s="81">
        <f t="shared" si="4"/>
        <v>0</v>
      </c>
      <c r="Q64" s="81" t="str">
        <f>'External Delivery Fulfillment'!L27</f>
        <v/>
      </c>
      <c r="R64" s="81">
        <f t="shared" si="5"/>
        <v>0</v>
      </c>
      <c r="S64" s="81" t="str">
        <f>'Forwarding From Client'!L27</f>
        <v/>
      </c>
      <c r="T64" s="81">
        <f t="shared" si="6"/>
        <v>0</v>
      </c>
      <c r="U64" s="81">
        <f>'Dala Restocking'!L27</f>
        <v>0</v>
      </c>
      <c r="V64" s="81">
        <f t="shared" si="7"/>
        <v>0</v>
      </c>
      <c r="W64" s="81" t="str">
        <f>'Client Restocking'!L27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Deliveries'!L28</f>
        <v/>
      </c>
      <c r="P65" s="81">
        <f t="shared" si="4"/>
        <v>0</v>
      </c>
      <c r="Q65" s="81" t="str">
        <f>'External Delivery Fulfillment'!L28</f>
        <v/>
      </c>
      <c r="R65" s="81">
        <f t="shared" si="5"/>
        <v>0</v>
      </c>
      <c r="S65" s="81" t="str">
        <f>'Forwarding From Client'!L28</f>
        <v/>
      </c>
      <c r="T65" s="81">
        <f t="shared" si="6"/>
        <v>0</v>
      </c>
      <c r="U65" s="81" t="str">
        <f>'Dala Restocking'!L28</f>
        <v/>
      </c>
      <c r="V65" s="81">
        <f t="shared" si="7"/>
        <v>0</v>
      </c>
      <c r="W65" s="81" t="str">
        <f>'Client Restocking'!L28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Deliveries'!L29</f>
        <v/>
      </c>
      <c r="P66" s="81">
        <f t="shared" si="4"/>
        <v>0</v>
      </c>
      <c r="Q66" s="81" t="str">
        <f>'External Delivery Fulfillment'!L29</f>
        <v/>
      </c>
      <c r="R66" s="81">
        <f t="shared" si="5"/>
        <v>0</v>
      </c>
      <c r="S66" s="81" t="str">
        <f>'Forwarding From Client'!L29</f>
        <v/>
      </c>
      <c r="T66" s="81">
        <f t="shared" si="6"/>
        <v>0</v>
      </c>
      <c r="U66" s="81" t="str">
        <f>'Dala Restocking'!L29</f>
        <v/>
      </c>
      <c r="V66" s="81">
        <f t="shared" si="7"/>
        <v>0</v>
      </c>
      <c r="W66" s="81" t="str">
        <f>'Client Restocking'!L29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/>
      <c r="P67" s="81">
        <f t="shared" si="4"/>
        <v>0</v>
      </c>
      <c r="Q67" s="81"/>
      <c r="R67" s="81">
        <f t="shared" si="5"/>
        <v>0</v>
      </c>
      <c r="S67" s="81" t="str">
        <f>'Forwarding From Client'!L30</f>
        <v/>
      </c>
      <c r="T67" s="81">
        <f t="shared" si="6"/>
        <v>0</v>
      </c>
      <c r="U67" s="81"/>
      <c r="V67" s="81">
        <f t="shared" si="7"/>
        <v>0</v>
      </c>
      <c r="W67" s="81"/>
    </row>
    <row r="68">
      <c r="B68" s="88" t="s">
        <v>107</v>
      </c>
      <c r="C68" s="88"/>
      <c r="D68" s="88"/>
      <c r="E68" s="85"/>
      <c r="F68" s="128">
        <f t="shared" ref="F68:W68" si="9">sum(F39:F67)</f>
        <v>0</v>
      </c>
      <c r="G68" s="128">
        <f t="shared" si="9"/>
        <v>0</v>
      </c>
      <c r="H68" s="128">
        <f t="shared" si="9"/>
        <v>0</v>
      </c>
      <c r="I68" s="128">
        <f t="shared" si="9"/>
        <v>0</v>
      </c>
      <c r="J68" s="128">
        <f t="shared" si="9"/>
        <v>0</v>
      </c>
      <c r="K68" s="128">
        <f t="shared" si="9"/>
        <v>0</v>
      </c>
      <c r="L68" s="128">
        <f t="shared" si="9"/>
        <v>0</v>
      </c>
      <c r="M68" s="128">
        <f t="shared" si="9"/>
        <v>0</v>
      </c>
      <c r="N68" s="128">
        <f t="shared" si="9"/>
        <v>0</v>
      </c>
      <c r="O68" s="128">
        <f t="shared" si="9"/>
        <v>0</v>
      </c>
      <c r="P68" s="128">
        <f t="shared" si="9"/>
        <v>0</v>
      </c>
      <c r="Q68" s="128">
        <f t="shared" si="9"/>
        <v>0</v>
      </c>
      <c r="R68" s="81">
        <f t="shared" si="9"/>
        <v>0</v>
      </c>
      <c r="S68" s="81">
        <f t="shared" si="9"/>
        <v>0</v>
      </c>
      <c r="T68" s="81">
        <f t="shared" si="9"/>
        <v>0</v>
      </c>
      <c r="U68" s="81">
        <f t="shared" si="9"/>
        <v>0</v>
      </c>
      <c r="V68" s="81">
        <f t="shared" si="9"/>
        <v>0</v>
      </c>
      <c r="W68" s="81">
        <f t="shared" si="9"/>
        <v>0</v>
      </c>
    </row>
    <row r="69">
      <c r="C69" s="7" t="s">
        <v>108</v>
      </c>
      <c r="D69" s="7" t="s">
        <v>108</v>
      </c>
      <c r="E69" s="7" t="s">
        <v>108</v>
      </c>
      <c r="F69" s="7" t="s">
        <v>108</v>
      </c>
      <c r="G69" s="7" t="s">
        <v>108</v>
      </c>
      <c r="H69" s="7" t="s">
        <v>108</v>
      </c>
      <c r="I69" s="7" t="s">
        <v>108</v>
      </c>
      <c r="J69" s="7" t="s">
        <v>108</v>
      </c>
      <c r="K69" s="7" t="s">
        <v>108</v>
      </c>
      <c r="L69" s="7" t="s">
        <v>108</v>
      </c>
      <c r="M69" s="7" t="s">
        <v>108</v>
      </c>
      <c r="N69" s="7" t="s">
        <v>108</v>
      </c>
      <c r="O69" s="7" t="s">
        <v>108</v>
      </c>
      <c r="P69" s="7" t="s">
        <v>108</v>
      </c>
      <c r="Q69" s="7" t="s">
        <v>108</v>
      </c>
      <c r="R69" s="7" t="s">
        <v>108</v>
      </c>
      <c r="S69" s="7" t="s">
        <v>108</v>
      </c>
      <c r="T69" s="7" t="s">
        <v>108</v>
      </c>
      <c r="U69" s="7" t="s">
        <v>108</v>
      </c>
      <c r="V69" s="7" t="s">
        <v>108</v>
      </c>
      <c r="W69" s="7" t="s">
        <v>108</v>
      </c>
    </row>
  </sheetData>
  <drawing r:id="rId1"/>
</worksheet>
</file>