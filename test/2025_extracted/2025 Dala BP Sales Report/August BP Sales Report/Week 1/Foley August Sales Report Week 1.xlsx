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<sst xmlns="http://schemas.openxmlformats.org/spreadsheetml/2006/main" count="323" uniqueCount="98">
  <si>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</si>
  <si>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</si>
  <si>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</si>
  <si>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</si>
  <si>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</si>
  <si>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</si>
  <si>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</si>
  <si>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</si>
  <si>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</si>
  <si>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</si>
  <si>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</si>
  <si>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</si>
  <si>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</si>
  <si>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</si>
  <si>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</si>
  <si>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</si>
  <si>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Bunnies Cereals</t>
  </si>
  <si>
    <t>Taiwo Supermarket, ISOLO</t>
  </si>
  <si>
    <t>Sales</t>
  </si>
  <si>
    <t>DT:002060</t>
  </si>
  <si>
    <t>350g Pocco Cornflakes Cereal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</si>
  <si>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</si>
  <si>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</si>
  <si>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</si>
  <si>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</si>
  <si>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</si>
  <si>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</si>
  <si>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</si>
  <si>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300g Bunnies Cereals Total</t>
  </si>
  <si>
    <t>350g Pocco Cornflakes Cereal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</si>
  <si>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</si>
  <si>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</si>
  <si>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</si>
  <si>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</si>
  <si>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</si>
  <si>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</si>
  <si>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</si>
  <si>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</si>
  <si>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</si>
  <si>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</si>
  <si>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</si>
  <si>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</si>
  <si>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</si>
  <si>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</si>
  <si>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</si>
  <si>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</si>
  <si>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</si>
  <si>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</si>
  <si>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</si>
  <si>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</si>
  <si>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</si>
  <si>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</si>
  <si>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</si>
  <si>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</si>
  <si>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</si>
  <si>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</si>
  <si>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</si>
  <si>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</si>
  <si>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</si>
  <si>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</si>
  <si>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</si>
  <si>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</si>
  <si>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</si>
  <si>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</si>
  <si>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</si>
  <si>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</si>
  <si>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</si>
  <si>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</si>
  <si>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</si>
  <si>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</si>
  <si>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</si>
  <si>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</si>
  <si>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</si>
  <si>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</si>
  <si>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</si>
  <si>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</si>
  <si>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</si>
  <si>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</si>
  <si>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</si>
  <si>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</si>
  <si>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</si>
  <si>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</si>
  <si>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</si>
  <si>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</si>
  <si>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</si>
  <si>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</si>
  <si>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</si>
  <si>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</si>
  <si>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</si>
  <si>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</si>
  <si>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25g Bunnies Cereal</t>
  </si>
  <si>
    <t>30g Pocco Cornflakes Cereal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</si>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</sst>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4" fontId="4" numFmtId="4" xfId="0" applyBorder="1" applyFont="1" applyNumberFormat="1"/>
    <xf borderId="3" fillId="3" fontId="4" numFmtId="4" xfId="0" applyBorder="1" applyFont="1" applyNumberFormat="1"/>
    <xf borderId="4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Bunnies Cereals"/>
        <s v="350g Pocco Cornflakes Cereal"/>
        <m/>
      </sharedItems>
    </cacheField>
    <cacheField name="Date" numFmtId="164">
      <sharedItems containsDate="1" containsString="0" containsBlank="1">
        <d v="2025-08-06T00:00:00Z"/>
        <m/>
      </sharedItems>
    </cacheField>
    <cacheField name="Particulars" numFmtId="0">
      <sharedItems containsBlank="1">
        <s v="Taiwo Supermarket, IS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60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0465.12"/>
        <m/>
      </sharedItems>
    </cacheField>
    <cacheField name="Total Value" numFmtId="0">
      <sharedItems containsString="0" containsBlank="1" containsNumber="1">
        <n v="40930.2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00g Bunnies Cereals"/>
        <s v="350g Pocco Cornflakes Cereal"/>
        <m/>
      </sharedItems>
    </cacheField>
    <cacheField name="Date" numFmtId="164">
      <sharedItems containsDate="1" containsString="0" containsBlank="1">
        <d v="2025-08-06T00:00:00Z"/>
        <m/>
      </sharedItems>
    </cacheField>
    <cacheField name="Particulars" numFmtId="0">
      <sharedItems containsBlank="1">
        <s v="Taiwo Supermarket, IS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60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0465.1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M1" s="6" t="s">
        <v>2</v>
      </c>
      <c r="P1" s="7"/>
      <c r="R1" s="6" t="s">
        <v>3</v>
      </c>
      <c r="Z1" s="6" t="s">
        <v>4</v>
      </c>
      <c r="AG1" s="6"/>
      <c r="AH1" s="6" t="s">
        <v>5</v>
      </c>
      <c r="AP1" s="6" t="s">
        <v>6</v>
      </c>
      <c r="AX1" s="6" t="s">
        <v>7</v>
      </c>
    </row>
    <row r="2" ht="22.5" customHeight="1">
      <c r="A2" s="1" t="s">
        <v>8</v>
      </c>
      <c r="B2" s="8" t="s">
        <v>9</v>
      </c>
      <c r="C2" s="9" t="s">
        <v>10</v>
      </c>
      <c r="D2" s="10" t="s">
        <v>11</v>
      </c>
      <c r="E2" s="8" t="s">
        <v>12</v>
      </c>
      <c r="F2" s="11" t="s">
        <v>13</v>
      </c>
      <c r="G2" s="11" t="s">
        <v>14</v>
      </c>
      <c r="I2" s="1" t="s">
        <v>8</v>
      </c>
      <c r="J2" s="8" t="s">
        <v>9</v>
      </c>
      <c r="K2" s="9" t="s">
        <v>10</v>
      </c>
      <c r="L2" s="10" t="s">
        <v>11</v>
      </c>
      <c r="M2" s="8" t="s">
        <v>12</v>
      </c>
      <c r="N2" s="11" t="s">
        <v>13</v>
      </c>
      <c r="O2" s="11" t="s">
        <v>14</v>
      </c>
      <c r="P2" s="12" t="s">
        <v>15</v>
      </c>
      <c r="R2" s="1" t="s">
        <v>8</v>
      </c>
      <c r="S2" s="8" t="s">
        <v>9</v>
      </c>
      <c r="T2" s="9" t="s">
        <v>10</v>
      </c>
      <c r="U2" s="10" t="s">
        <v>11</v>
      </c>
      <c r="V2" s="8" t="s">
        <v>12</v>
      </c>
      <c r="W2" s="11" t="s">
        <v>13</v>
      </c>
      <c r="X2" s="11" t="s">
        <v>14</v>
      </c>
      <c r="Z2" s="1" t="s">
        <v>8</v>
      </c>
      <c r="AA2" s="8" t="s">
        <v>9</v>
      </c>
      <c r="AB2" s="9" t="s">
        <v>10</v>
      </c>
      <c r="AC2" s="10" t="s">
        <v>11</v>
      </c>
      <c r="AD2" s="8" t="s">
        <v>12</v>
      </c>
      <c r="AE2" s="11" t="s">
        <v>13</v>
      </c>
      <c r="AF2" s="11" t="s">
        <v>14</v>
      </c>
      <c r="AG2" s="1"/>
      <c r="AH2" s="1" t="s">
        <v>8</v>
      </c>
      <c r="AI2" s="8" t="s">
        <v>9</v>
      </c>
      <c r="AJ2" s="9" t="s">
        <v>10</v>
      </c>
      <c r="AK2" s="10" t="s">
        <v>11</v>
      </c>
      <c r="AL2" s="8" t="s">
        <v>12</v>
      </c>
      <c r="AM2" s="11" t="s">
        <v>13</v>
      </c>
      <c r="AN2" s="11" t="s">
        <v>14</v>
      </c>
      <c r="AO2" s="5"/>
      <c r="AP2" s="1" t="s">
        <v>8</v>
      </c>
      <c r="AQ2" s="8" t="s">
        <v>9</v>
      </c>
      <c r="AR2" s="9" t="s">
        <v>10</v>
      </c>
      <c r="AS2" s="10" t="s">
        <v>11</v>
      </c>
      <c r="AT2" s="8" t="s">
        <v>12</v>
      </c>
      <c r="AU2" s="11" t="s">
        <v>13</v>
      </c>
      <c r="AV2" s="11" t="s">
        <v>14</v>
      </c>
      <c r="AW2" s="5"/>
      <c r="AX2" s="5">
        <f t="array" ref="AX2">counta(unique(C:C))-2</f>
        <v>0</v>
      </c>
    </row>
    <row r="3" ht="22.5" customHeight="1">
      <c r="A3" s="13" t="s">
        <v>16</v>
      </c>
      <c r="B3" s="14">
        <v>45875.0</v>
      </c>
      <c r="C3" s="15" t="s">
        <v>17</v>
      </c>
      <c r="D3" s="15" t="s">
        <v>18</v>
      </c>
      <c r="E3" s="16" t="s">
        <v>19</v>
      </c>
      <c r="F3" s="17">
        <v>1.0</v>
      </c>
      <c r="G3" s="18">
        <v>20465.12</v>
      </c>
      <c r="I3" s="13" t="s">
        <v>16</v>
      </c>
      <c r="J3" s="14">
        <v>45875.0</v>
      </c>
      <c r="K3" s="15" t="s">
        <v>17</v>
      </c>
      <c r="L3" s="15" t="s">
        <v>18</v>
      </c>
      <c r="M3" s="16" t="s">
        <v>19</v>
      </c>
      <c r="N3" s="17">
        <v>1.0</v>
      </c>
      <c r="O3" s="18">
        <v>20465.12</v>
      </c>
      <c r="P3" s="19">
        <f t="shared" ref="P3:P186" si="1">sumif(M:M,M3,O:O)</f>
        <v>40930.24</v>
      </c>
      <c r="R3" s="20"/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13"/>
      <c r="AI3" s="25"/>
      <c r="AJ3" s="26"/>
      <c r="AK3" s="26"/>
      <c r="AL3" s="27"/>
      <c r="AM3" s="28"/>
      <c r="AN3" s="28"/>
      <c r="AP3" s="15"/>
      <c r="AQ3" s="29"/>
      <c r="AR3" s="15"/>
      <c r="AS3" s="15"/>
      <c r="AT3" s="30"/>
      <c r="AU3" s="18"/>
      <c r="AV3" s="18"/>
    </row>
    <row r="4" ht="22.5" customHeight="1">
      <c r="A4" s="13" t="s">
        <v>20</v>
      </c>
      <c r="B4" s="14">
        <v>45875.0</v>
      </c>
      <c r="C4" s="15" t="s">
        <v>17</v>
      </c>
      <c r="D4" s="15" t="s">
        <v>18</v>
      </c>
      <c r="E4" s="16" t="s">
        <v>19</v>
      </c>
      <c r="F4" s="17">
        <v>1.0</v>
      </c>
      <c r="G4" s="18">
        <v>20465.12</v>
      </c>
      <c r="I4" s="13" t="s">
        <v>20</v>
      </c>
      <c r="J4" s="14">
        <v>45875.0</v>
      </c>
      <c r="K4" s="15" t="s">
        <v>17</v>
      </c>
      <c r="L4" s="15" t="s">
        <v>18</v>
      </c>
      <c r="M4" s="16" t="s">
        <v>19</v>
      </c>
      <c r="N4" s="17">
        <v>1.0</v>
      </c>
      <c r="O4" s="18">
        <v>20465.12</v>
      </c>
      <c r="P4" s="19">
        <f t="shared" si="1"/>
        <v>40930.24</v>
      </c>
      <c r="R4" s="20"/>
      <c r="S4" s="21"/>
      <c r="T4" s="31"/>
      <c r="U4" s="22"/>
      <c r="V4" s="2"/>
      <c r="W4" s="32"/>
      <c r="X4" s="23"/>
      <c r="Z4" s="24"/>
      <c r="AA4" s="24"/>
      <c r="AB4" s="24"/>
      <c r="AC4" s="24"/>
      <c r="AD4" s="24"/>
      <c r="AE4" s="24"/>
      <c r="AF4" s="24"/>
      <c r="AG4" s="24"/>
      <c r="AH4" s="33"/>
      <c r="AI4" s="34"/>
      <c r="AJ4" s="35"/>
      <c r="AK4" s="35"/>
      <c r="AL4" s="36"/>
      <c r="AM4" s="37"/>
      <c r="AN4" s="38"/>
      <c r="AP4" s="15"/>
      <c r="AQ4" s="29"/>
      <c r="AR4" s="15"/>
      <c r="AS4" s="15"/>
      <c r="AT4" s="30"/>
      <c r="AU4" s="18"/>
      <c r="AV4" s="18"/>
    </row>
    <row r="5" ht="22.5" customHeight="1">
      <c r="A5" s="15"/>
      <c r="B5" s="29"/>
      <c r="C5" s="15"/>
      <c r="D5" s="15"/>
      <c r="E5" s="30"/>
      <c r="F5" s="18"/>
      <c r="G5" s="18"/>
      <c r="I5" s="15"/>
      <c r="J5" s="29"/>
      <c r="K5" s="39"/>
      <c r="L5" s="15"/>
      <c r="M5" s="30"/>
      <c r="N5" s="18"/>
      <c r="O5" s="18"/>
      <c r="P5" s="19">
        <f t="shared" si="1"/>
        <v>0</v>
      </c>
      <c r="R5" s="20"/>
      <c r="S5" s="21"/>
      <c r="T5" s="22"/>
      <c r="U5" s="22"/>
      <c r="V5" s="2"/>
      <c r="W5" s="32"/>
      <c r="X5" s="23"/>
      <c r="Z5" s="24"/>
      <c r="AA5" s="24"/>
      <c r="AB5" s="24"/>
      <c r="AC5" s="24"/>
      <c r="AD5" s="24"/>
      <c r="AE5" s="24"/>
      <c r="AF5" s="24"/>
      <c r="AG5" s="24"/>
      <c r="AH5" s="33"/>
      <c r="AI5" s="34"/>
      <c r="AJ5" s="35"/>
      <c r="AK5" s="35"/>
      <c r="AL5" s="36"/>
      <c r="AM5" s="38"/>
      <c r="AN5" s="38"/>
      <c r="AP5" s="15"/>
      <c r="AQ5" s="29"/>
      <c r="AR5" s="15"/>
      <c r="AS5" s="15"/>
      <c r="AT5" s="30"/>
      <c r="AU5" s="18"/>
      <c r="AV5" s="18"/>
    </row>
    <row r="6" ht="22.5" customHeight="1">
      <c r="A6" s="15"/>
      <c r="B6" s="29"/>
      <c r="C6" s="15"/>
      <c r="D6" s="15"/>
      <c r="E6" s="30"/>
      <c r="F6" s="18"/>
      <c r="G6" s="18"/>
      <c r="I6" s="15"/>
      <c r="J6" s="29"/>
      <c r="K6" s="39"/>
      <c r="L6" s="15"/>
      <c r="M6" s="30"/>
      <c r="N6" s="18"/>
      <c r="O6" s="18"/>
      <c r="P6" s="19">
        <f t="shared" si="1"/>
        <v>0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32"/>
      <c r="AN6" s="40"/>
      <c r="AP6" s="15"/>
      <c r="AQ6" s="29"/>
      <c r="AR6" s="15"/>
      <c r="AS6" s="15"/>
      <c r="AT6" s="30"/>
      <c r="AU6" s="18"/>
      <c r="AV6" s="18"/>
    </row>
    <row r="7" ht="22.5" customHeight="1">
      <c r="A7" s="15"/>
      <c r="B7" s="29"/>
      <c r="C7" s="15"/>
      <c r="D7" s="15"/>
      <c r="E7" s="30"/>
      <c r="F7" s="18"/>
      <c r="G7" s="18"/>
      <c r="I7" s="15"/>
      <c r="J7" s="29"/>
      <c r="K7" s="15"/>
      <c r="L7" s="15"/>
      <c r="M7" s="30"/>
      <c r="N7" s="18"/>
      <c r="O7" s="18"/>
      <c r="P7" s="19">
        <f t="shared" si="1"/>
        <v>0</v>
      </c>
      <c r="R7" s="20"/>
      <c r="S7" s="21"/>
      <c r="T7" s="31"/>
      <c r="U7" s="22"/>
      <c r="V7" s="2"/>
      <c r="W7" s="32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P7" s="41"/>
      <c r="AQ7" s="21"/>
      <c r="AR7" s="22"/>
      <c r="AS7" s="22"/>
      <c r="AT7" s="2"/>
      <c r="AU7" s="42"/>
      <c r="AV7" s="40"/>
    </row>
    <row r="8" ht="22.5" customHeight="1">
      <c r="A8" s="15"/>
      <c r="B8" s="29"/>
      <c r="C8" s="15"/>
      <c r="D8" s="15"/>
      <c r="E8" s="30"/>
      <c r="F8" s="18"/>
      <c r="G8" s="18"/>
      <c r="I8" s="15"/>
      <c r="J8" s="29"/>
      <c r="K8" s="15"/>
      <c r="L8" s="15"/>
      <c r="M8" s="30"/>
      <c r="N8" s="18"/>
      <c r="O8" s="18"/>
      <c r="P8" s="19">
        <f t="shared" si="1"/>
        <v>0</v>
      </c>
      <c r="R8" s="20"/>
      <c r="S8" s="21"/>
      <c r="T8" s="22"/>
      <c r="U8" s="22"/>
      <c r="V8" s="2"/>
      <c r="W8" s="32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32"/>
      <c r="AN8" s="23"/>
      <c r="AQ8" s="43"/>
      <c r="AV8" s="44"/>
    </row>
    <row r="9" ht="22.5" customHeight="1">
      <c r="A9" s="15"/>
      <c r="B9" s="29"/>
      <c r="C9" s="39"/>
      <c r="D9" s="15"/>
      <c r="E9" s="30"/>
      <c r="F9" s="18"/>
      <c r="G9" s="18"/>
      <c r="I9" s="15"/>
      <c r="J9" s="29"/>
      <c r="K9" s="39"/>
      <c r="L9" s="15"/>
      <c r="M9" s="30"/>
      <c r="N9" s="18"/>
      <c r="O9" s="18"/>
      <c r="P9" s="19">
        <f t="shared" si="1"/>
        <v>0</v>
      </c>
      <c r="R9" s="20"/>
      <c r="S9" s="21"/>
      <c r="T9" s="22"/>
      <c r="U9" s="22"/>
      <c r="V9" s="2"/>
      <c r="W9" s="2"/>
      <c r="X9" s="23"/>
      <c r="AQ9" s="43"/>
      <c r="AV9" s="44"/>
    </row>
    <row r="10" ht="22.5" customHeight="1">
      <c r="A10" s="15"/>
      <c r="B10" s="29"/>
      <c r="C10" s="39"/>
      <c r="D10" s="15"/>
      <c r="E10" s="30"/>
      <c r="F10" s="18"/>
      <c r="G10" s="18"/>
      <c r="I10" s="15"/>
      <c r="J10" s="29"/>
      <c r="K10" s="39"/>
      <c r="L10" s="15"/>
      <c r="M10" s="30"/>
      <c r="N10" s="18"/>
      <c r="O10" s="18"/>
      <c r="P10" s="19">
        <f t="shared" si="1"/>
        <v>0</v>
      </c>
      <c r="R10" s="20"/>
      <c r="S10" s="21"/>
      <c r="T10" s="22"/>
      <c r="U10" s="22"/>
      <c r="V10" s="2"/>
      <c r="W10" s="32"/>
      <c r="X10" s="23"/>
      <c r="AQ10" s="43"/>
      <c r="AV10" s="44"/>
    </row>
    <row r="11" ht="22.5" customHeight="1">
      <c r="A11" s="15"/>
      <c r="B11" s="29"/>
      <c r="C11" s="15"/>
      <c r="D11" s="15"/>
      <c r="E11" s="30"/>
      <c r="F11" s="18"/>
      <c r="G11" s="18"/>
      <c r="I11" s="15"/>
      <c r="J11" s="29"/>
      <c r="K11" s="39"/>
      <c r="L11" s="15"/>
      <c r="M11" s="30"/>
      <c r="N11" s="30"/>
      <c r="O11" s="18"/>
      <c r="P11" s="19">
        <f t="shared" si="1"/>
        <v>0</v>
      </c>
      <c r="R11" s="20"/>
      <c r="S11" s="21"/>
      <c r="T11" s="22"/>
      <c r="U11" s="22"/>
      <c r="V11" s="2"/>
      <c r="W11" s="2"/>
      <c r="X11" s="23"/>
      <c r="AQ11" s="43"/>
      <c r="AV11" s="44"/>
    </row>
    <row r="12" ht="22.5" customHeight="1">
      <c r="A12" s="15"/>
      <c r="B12" s="29"/>
      <c r="C12" s="15"/>
      <c r="D12" s="15"/>
      <c r="E12" s="30"/>
      <c r="F12" s="18"/>
      <c r="G12" s="18"/>
      <c r="I12" s="15"/>
      <c r="J12" s="29"/>
      <c r="K12" s="39"/>
      <c r="L12" s="15"/>
      <c r="M12" s="30"/>
      <c r="N12" s="18"/>
      <c r="O12" s="18"/>
      <c r="P12" s="19">
        <f t="shared" si="1"/>
        <v>0</v>
      </c>
      <c r="R12" s="20"/>
      <c r="S12" s="21"/>
      <c r="T12" s="22"/>
      <c r="U12" s="22"/>
      <c r="V12" s="2"/>
      <c r="W12" s="32"/>
      <c r="X12" s="23"/>
      <c r="AQ12" s="43"/>
      <c r="AV12" s="44"/>
    </row>
    <row r="13" ht="22.5" customHeight="1">
      <c r="A13" s="15"/>
      <c r="B13" s="29"/>
      <c r="C13" s="39"/>
      <c r="D13" s="15"/>
      <c r="E13" s="30"/>
      <c r="F13" s="18"/>
      <c r="G13" s="18"/>
      <c r="I13" s="15"/>
      <c r="J13" s="29"/>
      <c r="K13" s="15"/>
      <c r="L13" s="15"/>
      <c r="M13" s="30"/>
      <c r="N13" s="18"/>
      <c r="O13" s="18"/>
      <c r="P13" s="19">
        <f t="shared" si="1"/>
        <v>0</v>
      </c>
      <c r="R13" s="20"/>
      <c r="S13" s="21"/>
      <c r="T13" s="31"/>
      <c r="U13" s="22"/>
      <c r="V13" s="2"/>
      <c r="W13" s="2"/>
      <c r="X13" s="23"/>
      <c r="AQ13" s="43"/>
      <c r="AV13" s="44"/>
    </row>
    <row r="14" ht="22.5" customHeight="1">
      <c r="A14" s="15"/>
      <c r="B14" s="29"/>
      <c r="C14" s="39"/>
      <c r="D14" s="15"/>
      <c r="E14" s="30"/>
      <c r="F14" s="18"/>
      <c r="G14" s="18"/>
      <c r="I14" s="15"/>
      <c r="J14" s="29"/>
      <c r="K14" s="15"/>
      <c r="L14" s="15"/>
      <c r="M14" s="30"/>
      <c r="N14" s="18"/>
      <c r="O14" s="18"/>
      <c r="P14" s="19">
        <f t="shared" si="1"/>
        <v>0</v>
      </c>
      <c r="R14" s="20"/>
      <c r="S14" s="21"/>
      <c r="T14" s="31"/>
      <c r="U14" s="22"/>
      <c r="V14" s="2"/>
      <c r="W14" s="32"/>
      <c r="X14" s="23"/>
      <c r="AQ14" s="43"/>
      <c r="AV14" s="44"/>
    </row>
    <row r="15" ht="22.5" customHeight="1">
      <c r="A15" s="15"/>
      <c r="B15" s="29"/>
      <c r="C15" s="39"/>
      <c r="D15" s="15"/>
      <c r="E15" s="30"/>
      <c r="F15" s="30"/>
      <c r="G15" s="18"/>
      <c r="I15" s="15"/>
      <c r="J15" s="29"/>
      <c r="K15" s="39"/>
      <c r="L15" s="15"/>
      <c r="M15" s="30"/>
      <c r="N15" s="18"/>
      <c r="O15" s="18"/>
      <c r="P15" s="19">
        <f t="shared" si="1"/>
        <v>0</v>
      </c>
      <c r="R15" s="20"/>
      <c r="S15" s="21"/>
      <c r="T15" s="22"/>
      <c r="U15" s="22"/>
      <c r="V15" s="2"/>
      <c r="W15" s="32"/>
      <c r="X15" s="23"/>
      <c r="AQ15" s="43"/>
      <c r="AV15" s="44"/>
    </row>
    <row r="16" ht="22.5" customHeight="1">
      <c r="A16" s="15"/>
      <c r="B16" s="29"/>
      <c r="C16" s="39"/>
      <c r="D16" s="15"/>
      <c r="E16" s="30"/>
      <c r="F16" s="18"/>
      <c r="G16" s="18"/>
      <c r="I16" s="15"/>
      <c r="J16" s="29"/>
      <c r="K16" s="39"/>
      <c r="L16" s="15"/>
      <c r="M16" s="30"/>
      <c r="N16" s="30"/>
      <c r="O16" s="18"/>
      <c r="P16" s="19">
        <f t="shared" si="1"/>
        <v>0</v>
      </c>
      <c r="R16" s="20"/>
      <c r="S16" s="21"/>
      <c r="T16" s="22"/>
      <c r="U16" s="22"/>
      <c r="V16" s="2"/>
      <c r="W16" s="32"/>
      <c r="X16" s="23"/>
      <c r="AQ16" s="43"/>
      <c r="AV16" s="44"/>
    </row>
    <row r="17" ht="22.5" customHeight="1">
      <c r="A17" s="15"/>
      <c r="B17" s="29"/>
      <c r="C17" s="15"/>
      <c r="D17" s="15"/>
      <c r="E17" s="30"/>
      <c r="F17" s="18"/>
      <c r="G17" s="18"/>
      <c r="I17" s="15"/>
      <c r="J17" s="29"/>
      <c r="K17" s="39"/>
      <c r="L17" s="15"/>
      <c r="M17" s="30"/>
      <c r="N17" s="30"/>
      <c r="O17" s="18"/>
      <c r="P17" s="19">
        <f t="shared" si="1"/>
        <v>0</v>
      </c>
      <c r="R17" s="20"/>
      <c r="S17" s="21"/>
      <c r="T17" s="22"/>
      <c r="U17" s="22"/>
      <c r="V17" s="2"/>
      <c r="W17" s="32"/>
      <c r="X17" s="23"/>
      <c r="AQ17" s="43"/>
      <c r="AV17" s="44"/>
    </row>
    <row r="18" ht="22.5" customHeight="1">
      <c r="A18" s="15"/>
      <c r="B18" s="29"/>
      <c r="C18" s="15"/>
      <c r="D18" s="15"/>
      <c r="E18" s="30"/>
      <c r="F18" s="18"/>
      <c r="G18" s="18"/>
      <c r="I18" s="15"/>
      <c r="J18" s="29"/>
      <c r="K18" s="39"/>
      <c r="L18" s="15"/>
      <c r="M18" s="30"/>
      <c r="N18" s="30"/>
      <c r="O18" s="18"/>
      <c r="P18" s="19">
        <f t="shared" si="1"/>
        <v>0</v>
      </c>
      <c r="R18" s="20"/>
      <c r="S18" s="21"/>
      <c r="T18" s="22"/>
      <c r="U18" s="22"/>
      <c r="V18" s="2"/>
      <c r="W18" s="32"/>
      <c r="X18" s="23"/>
      <c r="AQ18" s="43"/>
      <c r="AV18" s="44"/>
    </row>
    <row r="19" ht="22.5" customHeight="1">
      <c r="A19" s="15"/>
      <c r="B19" s="29"/>
      <c r="C19" s="39"/>
      <c r="D19" s="15"/>
      <c r="E19" s="30"/>
      <c r="F19" s="18"/>
      <c r="G19" s="18"/>
      <c r="I19" s="15"/>
      <c r="J19" s="29"/>
      <c r="K19" s="15"/>
      <c r="L19" s="15"/>
      <c r="M19" s="30"/>
      <c r="N19" s="30"/>
      <c r="O19" s="18"/>
      <c r="P19" s="19">
        <f t="shared" si="1"/>
        <v>0</v>
      </c>
      <c r="R19" s="20"/>
      <c r="S19" s="21"/>
      <c r="T19" s="22"/>
      <c r="U19" s="22"/>
      <c r="V19" s="2"/>
      <c r="W19" s="32"/>
      <c r="X19" s="23"/>
      <c r="AQ19" s="43"/>
      <c r="AV19" s="44"/>
    </row>
    <row r="20" ht="22.5" customHeight="1">
      <c r="A20" s="15"/>
      <c r="B20" s="29"/>
      <c r="C20" s="39"/>
      <c r="D20" s="15"/>
      <c r="E20" s="30"/>
      <c r="F20" s="30"/>
      <c r="G20" s="18"/>
      <c r="I20" s="15"/>
      <c r="J20" s="29"/>
      <c r="K20" s="15"/>
      <c r="L20" s="15"/>
      <c r="M20" s="30"/>
      <c r="N20" s="30"/>
      <c r="O20" s="18"/>
      <c r="P20" s="19">
        <f t="shared" si="1"/>
        <v>0</v>
      </c>
      <c r="R20" s="20"/>
      <c r="S20" s="21"/>
      <c r="T20" s="22"/>
      <c r="U20" s="22"/>
      <c r="V20" s="2"/>
      <c r="W20" s="32"/>
      <c r="X20" s="23"/>
      <c r="AQ20" s="43"/>
      <c r="AV20" s="44"/>
    </row>
    <row r="21" ht="22.5" customHeight="1">
      <c r="A21" s="15"/>
      <c r="B21" s="29"/>
      <c r="C21" s="39"/>
      <c r="D21" s="15"/>
      <c r="E21" s="30"/>
      <c r="F21" s="30"/>
      <c r="G21" s="18"/>
      <c r="I21" s="15"/>
      <c r="J21" s="29"/>
      <c r="K21" s="15"/>
      <c r="L21" s="15"/>
      <c r="M21" s="30"/>
      <c r="N21" s="30"/>
      <c r="O21" s="18"/>
      <c r="P21" s="19">
        <f t="shared" si="1"/>
        <v>0</v>
      </c>
      <c r="R21" s="20"/>
      <c r="S21" s="21"/>
      <c r="T21" s="22"/>
      <c r="U21" s="22"/>
      <c r="V21" s="2"/>
      <c r="W21" s="32"/>
      <c r="X21" s="23"/>
      <c r="AQ21" s="43"/>
      <c r="AV21" s="44"/>
    </row>
    <row r="22" ht="22.5" customHeight="1">
      <c r="A22" s="15"/>
      <c r="B22" s="29"/>
      <c r="C22" s="39"/>
      <c r="D22" s="15"/>
      <c r="E22" s="30"/>
      <c r="F22" s="30"/>
      <c r="G22" s="18"/>
      <c r="I22" s="15"/>
      <c r="J22" s="29"/>
      <c r="K22" s="15"/>
      <c r="L22" s="15"/>
      <c r="M22" s="30"/>
      <c r="N22" s="30"/>
      <c r="O22" s="18"/>
      <c r="P22" s="19">
        <f t="shared" si="1"/>
        <v>0</v>
      </c>
      <c r="R22" s="20"/>
      <c r="S22" s="21"/>
      <c r="T22" s="31"/>
      <c r="U22" s="22"/>
      <c r="V22" s="2"/>
      <c r="W22" s="32"/>
      <c r="X22" s="23"/>
      <c r="AQ22" s="43"/>
      <c r="AV22" s="44"/>
    </row>
    <row r="23" ht="22.5" customHeight="1">
      <c r="A23" s="15"/>
      <c r="B23" s="29"/>
      <c r="C23" s="15"/>
      <c r="D23" s="15"/>
      <c r="E23" s="30"/>
      <c r="F23" s="30"/>
      <c r="G23" s="18"/>
      <c r="I23" s="15"/>
      <c r="J23" s="29"/>
      <c r="K23" s="15"/>
      <c r="L23" s="15"/>
      <c r="M23" s="30"/>
      <c r="N23" s="30"/>
      <c r="O23" s="18"/>
      <c r="P23" s="19">
        <f t="shared" si="1"/>
        <v>0</v>
      </c>
      <c r="R23" s="20"/>
      <c r="S23" s="21"/>
      <c r="T23" s="31"/>
      <c r="U23" s="22"/>
      <c r="V23" s="2"/>
      <c r="W23" s="32"/>
      <c r="X23" s="23"/>
      <c r="AQ23" s="43"/>
      <c r="AV23" s="44"/>
    </row>
    <row r="24" ht="22.5" customHeight="1">
      <c r="A24" s="15"/>
      <c r="B24" s="29"/>
      <c r="C24" s="15"/>
      <c r="D24" s="15"/>
      <c r="E24" s="30"/>
      <c r="F24" s="30"/>
      <c r="G24" s="18"/>
      <c r="I24" s="15"/>
      <c r="J24" s="29"/>
      <c r="K24" s="15"/>
      <c r="L24" s="15"/>
      <c r="M24" s="30"/>
      <c r="N24" s="30"/>
      <c r="O24" s="18"/>
      <c r="P24" s="19">
        <f t="shared" si="1"/>
        <v>0</v>
      </c>
      <c r="R24" s="20"/>
      <c r="S24" s="21"/>
      <c r="T24" s="31"/>
      <c r="U24" s="22"/>
      <c r="V24" s="2"/>
      <c r="W24" s="2"/>
      <c r="X24" s="23"/>
      <c r="AQ24" s="43"/>
      <c r="AV24" s="44"/>
    </row>
    <row r="25" ht="22.5" customHeight="1">
      <c r="A25" s="15"/>
      <c r="B25" s="29"/>
      <c r="C25" s="15"/>
      <c r="D25" s="15"/>
      <c r="E25" s="30"/>
      <c r="F25" s="30"/>
      <c r="G25" s="18"/>
      <c r="I25" s="15"/>
      <c r="J25" s="29"/>
      <c r="K25" s="15"/>
      <c r="L25" s="15"/>
      <c r="M25" s="30"/>
      <c r="N25" s="30"/>
      <c r="O25" s="18"/>
      <c r="P25" s="19">
        <f t="shared" si="1"/>
        <v>0</v>
      </c>
      <c r="R25" s="20"/>
      <c r="S25" s="21"/>
      <c r="T25" s="22"/>
      <c r="U25" s="22"/>
      <c r="V25" s="2"/>
      <c r="W25" s="32"/>
      <c r="X25" s="23"/>
      <c r="AQ25" s="43"/>
      <c r="AV25" s="44"/>
    </row>
    <row r="26" ht="22.5" customHeight="1">
      <c r="A26" s="15"/>
      <c r="B26" s="29"/>
      <c r="C26" s="15"/>
      <c r="D26" s="15"/>
      <c r="E26" s="30"/>
      <c r="F26" s="30"/>
      <c r="G26" s="18"/>
      <c r="I26" s="15"/>
      <c r="J26" s="29"/>
      <c r="K26" s="15"/>
      <c r="L26" s="15"/>
      <c r="M26" s="30"/>
      <c r="N26" s="30"/>
      <c r="O26" s="18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43"/>
      <c r="AV26" s="44"/>
    </row>
    <row r="27" ht="22.5" customHeight="1">
      <c r="A27" s="15"/>
      <c r="B27" s="29"/>
      <c r="C27" s="15"/>
      <c r="D27" s="15"/>
      <c r="E27" s="30"/>
      <c r="F27" s="30"/>
      <c r="G27" s="18"/>
      <c r="I27" s="15"/>
      <c r="J27" s="29"/>
      <c r="K27" s="15"/>
      <c r="L27" s="15"/>
      <c r="M27" s="30"/>
      <c r="N27" s="30"/>
      <c r="O27" s="18"/>
      <c r="P27" s="19">
        <f t="shared" si="1"/>
        <v>0</v>
      </c>
      <c r="R27" s="20"/>
      <c r="S27" s="21"/>
      <c r="T27" s="22"/>
      <c r="U27" s="22"/>
      <c r="V27" s="2"/>
      <c r="W27" s="32"/>
      <c r="X27" s="23"/>
      <c r="AQ27" s="43"/>
      <c r="AV27" s="44"/>
    </row>
    <row r="28" ht="22.5" customHeight="1">
      <c r="A28" s="15"/>
      <c r="B28" s="29"/>
      <c r="C28" s="15"/>
      <c r="D28" s="15"/>
      <c r="E28" s="30"/>
      <c r="F28" s="30"/>
      <c r="G28" s="18"/>
      <c r="I28" s="15"/>
      <c r="J28" s="29"/>
      <c r="K28" s="15"/>
      <c r="L28" s="15"/>
      <c r="M28" s="30"/>
      <c r="N28" s="30"/>
      <c r="O28" s="18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43"/>
      <c r="AV28" s="44"/>
    </row>
    <row r="29" ht="22.5" customHeight="1">
      <c r="A29" s="15"/>
      <c r="B29" s="29"/>
      <c r="C29" s="15"/>
      <c r="D29" s="15"/>
      <c r="E29" s="30"/>
      <c r="F29" s="30"/>
      <c r="G29" s="18"/>
      <c r="I29" s="15"/>
      <c r="J29" s="29"/>
      <c r="K29" s="15"/>
      <c r="L29" s="15"/>
      <c r="M29" s="30"/>
      <c r="N29" s="30"/>
      <c r="O29" s="18"/>
      <c r="P29" s="19">
        <f t="shared" si="1"/>
        <v>0</v>
      </c>
      <c r="R29" s="20"/>
      <c r="S29" s="21"/>
      <c r="T29" s="22"/>
      <c r="U29" s="22"/>
      <c r="V29" s="2"/>
      <c r="W29" s="32"/>
      <c r="X29" s="23"/>
      <c r="AQ29" s="43"/>
      <c r="AV29" s="44"/>
    </row>
    <row r="30" ht="22.5" customHeight="1">
      <c r="A30" s="15"/>
      <c r="B30" s="29"/>
      <c r="C30" s="15"/>
      <c r="D30" s="15"/>
      <c r="E30" s="30"/>
      <c r="F30" s="30"/>
      <c r="G30" s="18"/>
      <c r="I30" s="15"/>
      <c r="J30" s="29"/>
      <c r="K30" s="15"/>
      <c r="L30" s="15"/>
      <c r="M30" s="30"/>
      <c r="N30" s="30"/>
      <c r="O30" s="18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43"/>
      <c r="AV30" s="44"/>
    </row>
    <row r="31" ht="22.5" customHeight="1">
      <c r="A31" s="15"/>
      <c r="B31" s="29"/>
      <c r="C31" s="15"/>
      <c r="D31" s="15"/>
      <c r="E31" s="30"/>
      <c r="F31" s="30"/>
      <c r="G31" s="18"/>
      <c r="I31" s="15"/>
      <c r="J31" s="29"/>
      <c r="K31" s="15"/>
      <c r="L31" s="15"/>
      <c r="M31" s="30"/>
      <c r="N31" s="30"/>
      <c r="O31" s="18"/>
      <c r="P31" s="19">
        <f t="shared" si="1"/>
        <v>0</v>
      </c>
      <c r="R31" s="20"/>
      <c r="S31" s="21"/>
      <c r="T31" s="22"/>
      <c r="U31" s="22"/>
      <c r="V31" s="2"/>
      <c r="W31" s="32"/>
      <c r="X31" s="23"/>
      <c r="AQ31" s="43"/>
      <c r="AV31" s="44"/>
    </row>
    <row r="32" ht="22.5" customHeight="1">
      <c r="A32" s="15"/>
      <c r="B32" s="29"/>
      <c r="C32" s="15"/>
      <c r="D32" s="15"/>
      <c r="E32" s="30"/>
      <c r="F32" s="30"/>
      <c r="G32" s="18"/>
      <c r="I32" s="15"/>
      <c r="J32" s="29"/>
      <c r="K32" s="15"/>
      <c r="L32" s="15"/>
      <c r="M32" s="30"/>
      <c r="N32" s="30"/>
      <c r="O32" s="18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43"/>
      <c r="AV32" s="44"/>
    </row>
    <row r="33" ht="22.5" customHeight="1">
      <c r="A33" s="15"/>
      <c r="B33" s="29"/>
      <c r="C33" s="15"/>
      <c r="D33" s="15"/>
      <c r="E33" s="30"/>
      <c r="F33" s="30"/>
      <c r="G33" s="18"/>
      <c r="I33" s="15"/>
      <c r="J33" s="29"/>
      <c r="K33" s="15"/>
      <c r="L33" s="15"/>
      <c r="M33" s="30"/>
      <c r="N33" s="30"/>
      <c r="O33" s="18"/>
      <c r="P33" s="19">
        <f t="shared" si="1"/>
        <v>0</v>
      </c>
      <c r="R33" s="20"/>
      <c r="S33" s="21"/>
      <c r="T33" s="31"/>
      <c r="U33" s="22"/>
      <c r="V33" s="2"/>
      <c r="W33" s="32"/>
      <c r="X33" s="23"/>
      <c r="AQ33" s="43"/>
      <c r="AV33" s="44"/>
    </row>
    <row r="34" ht="22.5" customHeight="1">
      <c r="A34" s="15"/>
      <c r="B34" s="29"/>
      <c r="C34" s="15"/>
      <c r="D34" s="15"/>
      <c r="E34" s="30"/>
      <c r="F34" s="30"/>
      <c r="G34" s="18"/>
      <c r="I34" s="15"/>
      <c r="J34" s="29"/>
      <c r="K34" s="15"/>
      <c r="L34" s="15"/>
      <c r="M34" s="30"/>
      <c r="N34" s="30"/>
      <c r="O34" s="18"/>
      <c r="P34" s="19">
        <f t="shared" si="1"/>
        <v>0</v>
      </c>
      <c r="R34" s="20"/>
      <c r="S34" s="21"/>
      <c r="T34" s="31"/>
      <c r="U34" s="22"/>
      <c r="V34" s="2"/>
      <c r="W34" s="2"/>
      <c r="X34" s="23"/>
      <c r="AQ34" s="43"/>
      <c r="AV34" s="44"/>
    </row>
    <row r="35" ht="22.5" customHeight="1">
      <c r="A35" s="15"/>
      <c r="B35" s="29"/>
      <c r="C35" s="15"/>
      <c r="D35" s="15"/>
      <c r="E35" s="30"/>
      <c r="F35" s="30"/>
      <c r="G35" s="18"/>
      <c r="I35" s="15"/>
      <c r="J35" s="29"/>
      <c r="K35" s="15"/>
      <c r="L35" s="15"/>
      <c r="M35" s="30"/>
      <c r="N35" s="30"/>
      <c r="O35" s="18"/>
      <c r="P35" s="19">
        <f t="shared" si="1"/>
        <v>0</v>
      </c>
      <c r="R35" s="20"/>
      <c r="S35" s="21"/>
      <c r="T35" s="22"/>
      <c r="U35" s="22"/>
      <c r="V35" s="2"/>
      <c r="W35" s="32"/>
      <c r="X35" s="23"/>
      <c r="AQ35" s="43"/>
      <c r="AV35" s="44"/>
    </row>
    <row r="36" ht="22.5" customHeight="1">
      <c r="A36" s="15"/>
      <c r="B36" s="29"/>
      <c r="C36" s="15"/>
      <c r="D36" s="15"/>
      <c r="E36" s="30"/>
      <c r="F36" s="30"/>
      <c r="G36" s="18"/>
      <c r="I36" s="15"/>
      <c r="J36" s="29"/>
      <c r="K36" s="15"/>
      <c r="L36" s="15"/>
      <c r="M36" s="30"/>
      <c r="N36" s="30"/>
      <c r="O36" s="18"/>
      <c r="P36" s="19">
        <f t="shared" si="1"/>
        <v>0</v>
      </c>
      <c r="R36" s="20"/>
      <c r="S36" s="21"/>
      <c r="T36" s="22"/>
      <c r="U36" s="22"/>
      <c r="V36" s="2"/>
      <c r="W36" s="32"/>
      <c r="X36" s="23"/>
      <c r="AQ36" s="43"/>
      <c r="AV36" s="44"/>
    </row>
    <row r="37" ht="22.5" customHeight="1">
      <c r="A37" s="15"/>
      <c r="B37" s="29"/>
      <c r="C37" s="15"/>
      <c r="D37" s="15"/>
      <c r="E37" s="30"/>
      <c r="F37" s="30"/>
      <c r="G37" s="18"/>
      <c r="I37" s="15"/>
      <c r="J37" s="29"/>
      <c r="K37" s="15"/>
      <c r="L37" s="15"/>
      <c r="M37" s="30"/>
      <c r="N37" s="30"/>
      <c r="O37" s="18"/>
      <c r="P37" s="19">
        <f t="shared" si="1"/>
        <v>0</v>
      </c>
      <c r="R37" s="20"/>
      <c r="S37" s="21"/>
      <c r="T37" s="31"/>
      <c r="U37" s="22"/>
      <c r="V37" s="2"/>
      <c r="W37" s="32"/>
      <c r="X37" s="23"/>
      <c r="AQ37" s="43"/>
      <c r="AV37" s="44"/>
    </row>
    <row r="38" ht="22.5" customHeight="1">
      <c r="A38" s="15"/>
      <c r="B38" s="29"/>
      <c r="C38" s="15"/>
      <c r="D38" s="15"/>
      <c r="E38" s="30"/>
      <c r="F38" s="30"/>
      <c r="G38" s="18"/>
      <c r="I38" s="15"/>
      <c r="J38" s="29"/>
      <c r="K38" s="15"/>
      <c r="L38" s="15"/>
      <c r="M38" s="30"/>
      <c r="N38" s="30"/>
      <c r="O38" s="18"/>
      <c r="P38" s="19">
        <f t="shared" si="1"/>
        <v>0</v>
      </c>
      <c r="R38" s="20"/>
      <c r="S38" s="21"/>
      <c r="T38" s="22"/>
      <c r="U38" s="22"/>
      <c r="V38" s="2"/>
      <c r="W38" s="32"/>
      <c r="X38" s="23"/>
      <c r="AQ38" s="43"/>
      <c r="AV38" s="44"/>
    </row>
    <row r="39" ht="22.5" customHeight="1">
      <c r="A39" s="15"/>
      <c r="B39" s="29"/>
      <c r="C39" s="15"/>
      <c r="D39" s="15"/>
      <c r="E39" s="30"/>
      <c r="F39" s="30"/>
      <c r="G39" s="18"/>
      <c r="I39" s="15"/>
      <c r="J39" s="29"/>
      <c r="K39" s="15"/>
      <c r="L39" s="15"/>
      <c r="M39" s="30"/>
      <c r="N39" s="30"/>
      <c r="O39" s="18"/>
      <c r="P39" s="19">
        <f t="shared" si="1"/>
        <v>0</v>
      </c>
      <c r="R39" s="20"/>
      <c r="S39" s="21"/>
      <c r="T39" s="22"/>
      <c r="U39" s="22"/>
      <c r="V39" s="2"/>
      <c r="W39" s="32"/>
      <c r="X39" s="23"/>
      <c r="AQ39" s="43"/>
      <c r="AV39" s="44"/>
    </row>
    <row r="40" ht="22.5" customHeight="1">
      <c r="A40" s="15"/>
      <c r="B40" s="29"/>
      <c r="C40" s="15"/>
      <c r="D40" s="15"/>
      <c r="E40" s="30"/>
      <c r="F40" s="30"/>
      <c r="G40" s="18"/>
      <c r="I40" s="15"/>
      <c r="J40" s="29"/>
      <c r="K40" s="15"/>
      <c r="L40" s="15"/>
      <c r="M40" s="30"/>
      <c r="N40" s="30"/>
      <c r="O40" s="18"/>
      <c r="P40" s="19">
        <f t="shared" si="1"/>
        <v>0</v>
      </c>
      <c r="R40" s="20"/>
      <c r="S40" s="21"/>
      <c r="T40" s="22"/>
      <c r="U40" s="22"/>
      <c r="V40" s="2"/>
      <c r="W40" s="32"/>
      <c r="X40" s="23"/>
      <c r="AQ40" s="43"/>
      <c r="AV40" s="44"/>
    </row>
    <row r="41" ht="22.5" customHeight="1">
      <c r="A41" s="15"/>
      <c r="B41" s="29"/>
      <c r="C41" s="15"/>
      <c r="D41" s="15"/>
      <c r="E41" s="30"/>
      <c r="F41" s="30"/>
      <c r="G41" s="18"/>
      <c r="I41" s="15"/>
      <c r="J41" s="29"/>
      <c r="K41" s="15"/>
      <c r="L41" s="15"/>
      <c r="M41" s="30"/>
      <c r="N41" s="30"/>
      <c r="O41" s="18"/>
      <c r="P41" s="19">
        <f t="shared" si="1"/>
        <v>0</v>
      </c>
      <c r="R41" s="20"/>
      <c r="S41" s="21"/>
      <c r="T41" s="31"/>
      <c r="U41" s="22"/>
      <c r="V41" s="2"/>
      <c r="W41" s="32"/>
      <c r="X41" s="23"/>
      <c r="AQ41" s="43"/>
      <c r="AV41" s="44"/>
    </row>
    <row r="42" ht="22.5" customHeight="1">
      <c r="A42" s="15"/>
      <c r="B42" s="29"/>
      <c r="C42" s="15"/>
      <c r="D42" s="15"/>
      <c r="E42" s="30"/>
      <c r="F42" s="30"/>
      <c r="G42" s="18"/>
      <c r="I42" s="15"/>
      <c r="J42" s="29"/>
      <c r="K42" s="15"/>
      <c r="L42" s="15"/>
      <c r="M42" s="30"/>
      <c r="N42" s="30"/>
      <c r="O42" s="18"/>
      <c r="P42" s="19">
        <f t="shared" si="1"/>
        <v>0</v>
      </c>
      <c r="R42" s="20"/>
      <c r="S42" s="21"/>
      <c r="T42" s="22"/>
      <c r="U42" s="22"/>
      <c r="V42" s="2"/>
      <c r="W42" s="32"/>
      <c r="X42" s="23"/>
      <c r="AQ42" s="43"/>
      <c r="AV42" s="44"/>
    </row>
    <row r="43" ht="22.5" customHeight="1">
      <c r="A43" s="15"/>
      <c r="B43" s="29"/>
      <c r="C43" s="15"/>
      <c r="D43" s="15"/>
      <c r="E43" s="30"/>
      <c r="F43" s="30"/>
      <c r="G43" s="18"/>
      <c r="I43" s="45"/>
      <c r="J43" s="46"/>
      <c r="K43" s="45"/>
      <c r="L43" s="45"/>
      <c r="M43" s="45"/>
      <c r="N43" s="45"/>
      <c r="O43" s="47"/>
      <c r="P43" s="19">
        <f t="shared" si="1"/>
        <v>0</v>
      </c>
      <c r="R43" s="24"/>
      <c r="S43" s="48"/>
      <c r="T43" s="49"/>
      <c r="U43" s="49"/>
      <c r="V43" s="50"/>
      <c r="W43" s="51"/>
      <c r="X43" s="52"/>
      <c r="AQ43" s="43"/>
      <c r="AV43" s="44"/>
    </row>
    <row r="44" ht="22.5" customHeight="1">
      <c r="A44" s="15"/>
      <c r="B44" s="29"/>
      <c r="C44" s="15"/>
      <c r="D44" s="15"/>
      <c r="E44" s="30"/>
      <c r="F44" s="30"/>
      <c r="G44" s="18"/>
      <c r="I44" s="53"/>
      <c r="J44" s="54"/>
      <c r="K44" s="53"/>
      <c r="L44" s="53"/>
      <c r="M44" s="53"/>
      <c r="N44" s="53"/>
      <c r="O44" s="55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43"/>
      <c r="AV44" s="44"/>
    </row>
    <row r="45" ht="22.5" customHeight="1">
      <c r="A45" s="15"/>
      <c r="B45" s="29"/>
      <c r="C45" s="15"/>
      <c r="D45" s="15"/>
      <c r="E45" s="30"/>
      <c r="F45" s="30"/>
      <c r="G45" s="18"/>
      <c r="I45" s="45"/>
      <c r="J45" s="46"/>
      <c r="K45" s="45"/>
      <c r="L45" s="45"/>
      <c r="M45" s="45"/>
      <c r="N45" s="45"/>
      <c r="O45" s="47"/>
      <c r="P45" s="19">
        <f t="shared" si="1"/>
        <v>0</v>
      </c>
      <c r="AQ45" s="43"/>
      <c r="AV45" s="44"/>
    </row>
    <row r="46" ht="22.5" customHeight="1">
      <c r="A46" s="15"/>
      <c r="B46" s="29"/>
      <c r="C46" s="15"/>
      <c r="D46" s="15"/>
      <c r="E46" s="30"/>
      <c r="F46" s="30"/>
      <c r="G46" s="18"/>
      <c r="I46" s="53"/>
      <c r="J46" s="54"/>
      <c r="K46" s="53"/>
      <c r="L46" s="53"/>
      <c r="M46" s="53"/>
      <c r="N46" s="53"/>
      <c r="O46" s="55"/>
      <c r="P46" s="19">
        <f t="shared" si="1"/>
        <v>0</v>
      </c>
      <c r="AQ46" s="43"/>
      <c r="AV46" s="44"/>
    </row>
    <row r="47" ht="22.5" customHeight="1">
      <c r="A47" s="45"/>
      <c r="B47" s="46"/>
      <c r="C47" s="45"/>
      <c r="D47" s="45"/>
      <c r="E47" s="45"/>
      <c r="F47" s="45"/>
      <c r="G47" s="47"/>
      <c r="I47" s="53"/>
      <c r="J47" s="54"/>
      <c r="K47" s="53"/>
      <c r="L47" s="53"/>
      <c r="M47" s="53"/>
      <c r="N47" s="53"/>
      <c r="O47" s="55"/>
      <c r="P47" s="19">
        <f t="shared" si="1"/>
        <v>0</v>
      </c>
      <c r="AQ47" s="43"/>
      <c r="AV47" s="44"/>
    </row>
    <row r="48" ht="22.5" customHeight="1">
      <c r="A48" s="53"/>
      <c r="B48" s="54"/>
      <c r="C48" s="53"/>
      <c r="D48" s="53"/>
      <c r="E48" s="53"/>
      <c r="F48" s="53"/>
      <c r="G48" s="55"/>
      <c r="I48" s="53"/>
      <c r="J48" s="54"/>
      <c r="K48" s="53"/>
      <c r="L48" s="53"/>
      <c r="M48" s="53"/>
      <c r="N48" s="53"/>
      <c r="O48" s="55"/>
      <c r="P48" s="19">
        <f t="shared" si="1"/>
        <v>0</v>
      </c>
      <c r="AQ48" s="43"/>
      <c r="AV48" s="44"/>
    </row>
    <row r="49" ht="22.5" customHeight="1">
      <c r="A49" s="45"/>
      <c r="B49" s="46"/>
      <c r="C49" s="45"/>
      <c r="D49" s="45"/>
      <c r="E49" s="45"/>
      <c r="F49" s="45"/>
      <c r="G49" s="47"/>
      <c r="I49" s="45"/>
      <c r="J49" s="46"/>
      <c r="K49" s="45"/>
      <c r="L49" s="45"/>
      <c r="M49" s="45"/>
      <c r="N49" s="45"/>
      <c r="O49" s="47"/>
      <c r="P49" s="19">
        <f t="shared" si="1"/>
        <v>0</v>
      </c>
      <c r="AQ49" s="43"/>
      <c r="AV49" s="44"/>
    </row>
    <row r="50" ht="22.5" customHeight="1">
      <c r="A50" s="53"/>
      <c r="B50" s="54"/>
      <c r="C50" s="53"/>
      <c r="D50" s="53"/>
      <c r="E50" s="53"/>
      <c r="F50" s="53"/>
      <c r="G50" s="55"/>
      <c r="I50" s="53"/>
      <c r="J50" s="54"/>
      <c r="K50" s="53"/>
      <c r="L50" s="53"/>
      <c r="M50" s="53"/>
      <c r="N50" s="53"/>
      <c r="O50" s="55"/>
      <c r="P50" s="19">
        <f t="shared" si="1"/>
        <v>0</v>
      </c>
      <c r="AQ50" s="43"/>
      <c r="AV50" s="44"/>
    </row>
    <row r="51" ht="22.5" customHeight="1">
      <c r="A51" s="53"/>
      <c r="B51" s="54"/>
      <c r="C51" s="53"/>
      <c r="D51" s="53"/>
      <c r="E51" s="53"/>
      <c r="F51" s="53"/>
      <c r="G51" s="55"/>
      <c r="I51" s="53"/>
      <c r="J51" s="54"/>
      <c r="K51" s="53"/>
      <c r="L51" s="53"/>
      <c r="M51" s="53"/>
      <c r="N51" s="53"/>
      <c r="O51" s="55"/>
      <c r="P51" s="19">
        <f t="shared" si="1"/>
        <v>0</v>
      </c>
      <c r="AQ51" s="43"/>
      <c r="AV51" s="44"/>
    </row>
    <row r="52" ht="22.5" customHeight="1">
      <c r="A52" s="53"/>
      <c r="B52" s="54"/>
      <c r="C52" s="53"/>
      <c r="D52" s="53"/>
      <c r="E52" s="53"/>
      <c r="F52" s="53"/>
      <c r="G52" s="55"/>
      <c r="I52" s="45"/>
      <c r="J52" s="46"/>
      <c r="K52" s="45"/>
      <c r="L52" s="45"/>
      <c r="M52" s="45"/>
      <c r="N52" s="45"/>
      <c r="O52" s="47"/>
      <c r="P52" s="19">
        <f t="shared" si="1"/>
        <v>0</v>
      </c>
      <c r="AQ52" s="43"/>
      <c r="AV52" s="44"/>
    </row>
    <row r="53" ht="22.5" customHeight="1">
      <c r="A53" s="45"/>
      <c r="B53" s="46"/>
      <c r="C53" s="45"/>
      <c r="D53" s="45"/>
      <c r="E53" s="45"/>
      <c r="F53" s="45"/>
      <c r="G53" s="47"/>
      <c r="I53" s="53"/>
      <c r="J53" s="54"/>
      <c r="K53" s="53"/>
      <c r="L53" s="53"/>
      <c r="M53" s="53"/>
      <c r="N53" s="53"/>
      <c r="O53" s="55"/>
      <c r="P53" s="19">
        <f t="shared" si="1"/>
        <v>0</v>
      </c>
      <c r="AQ53" s="43"/>
      <c r="AV53" s="44"/>
    </row>
    <row r="54" ht="22.5" customHeight="1">
      <c r="A54" s="53"/>
      <c r="B54" s="54"/>
      <c r="C54" s="53"/>
      <c r="D54" s="53"/>
      <c r="E54" s="53"/>
      <c r="F54" s="53"/>
      <c r="G54" s="55"/>
      <c r="I54" s="53"/>
      <c r="J54" s="54"/>
      <c r="K54" s="53"/>
      <c r="L54" s="53"/>
      <c r="M54" s="53"/>
      <c r="N54" s="53"/>
      <c r="O54" s="55"/>
      <c r="P54" s="19">
        <f t="shared" si="1"/>
        <v>0</v>
      </c>
      <c r="AQ54" s="43"/>
    </row>
    <row r="55" ht="22.5" customHeight="1">
      <c r="A55" s="53"/>
      <c r="B55" s="54"/>
      <c r="C55" s="53"/>
      <c r="D55" s="53"/>
      <c r="E55" s="53"/>
      <c r="F55" s="53"/>
      <c r="G55" s="55"/>
      <c r="I55" s="53"/>
      <c r="J55" s="54"/>
      <c r="K55" s="53"/>
      <c r="L55" s="53"/>
      <c r="M55" s="53"/>
      <c r="N55" s="53"/>
      <c r="O55" s="55"/>
      <c r="P55" s="19">
        <f t="shared" si="1"/>
        <v>0</v>
      </c>
      <c r="AQ55" s="43"/>
    </row>
    <row r="56" ht="22.5" customHeight="1">
      <c r="A56" s="45"/>
      <c r="B56" s="46"/>
      <c r="C56" s="45"/>
      <c r="D56" s="45"/>
      <c r="E56" s="45"/>
      <c r="F56" s="45"/>
      <c r="G56" s="47"/>
      <c r="J56" s="43"/>
      <c r="O56" s="44"/>
      <c r="P56" s="19">
        <f t="shared" si="1"/>
        <v>0</v>
      </c>
      <c r="AQ56" s="43"/>
    </row>
    <row r="57" ht="22.5" customHeight="1">
      <c r="A57" s="53"/>
      <c r="B57" s="54"/>
      <c r="C57" s="53"/>
      <c r="D57" s="53"/>
      <c r="E57" s="53"/>
      <c r="F57" s="53"/>
      <c r="G57" s="55"/>
      <c r="J57" s="43"/>
      <c r="O57" s="44"/>
      <c r="P57" s="19">
        <f t="shared" si="1"/>
        <v>0</v>
      </c>
      <c r="AQ57" s="43"/>
    </row>
    <row r="58" ht="22.5" customHeight="1">
      <c r="A58" s="53"/>
      <c r="B58" s="54"/>
      <c r="C58" s="53"/>
      <c r="D58" s="53"/>
      <c r="E58" s="53"/>
      <c r="F58" s="53"/>
      <c r="G58" s="55"/>
      <c r="J58" s="43"/>
      <c r="O58" s="44"/>
      <c r="P58" s="19">
        <f t="shared" si="1"/>
        <v>0</v>
      </c>
      <c r="AQ58" s="43"/>
    </row>
    <row r="59" ht="22.5" customHeight="1">
      <c r="A59" s="53"/>
      <c r="B59" s="54"/>
      <c r="C59" s="53"/>
      <c r="D59" s="53"/>
      <c r="E59" s="53"/>
      <c r="F59" s="53"/>
      <c r="G59" s="55"/>
      <c r="J59" s="43"/>
      <c r="O59" s="44"/>
      <c r="P59" s="19">
        <f t="shared" si="1"/>
        <v>0</v>
      </c>
      <c r="AQ59" s="43"/>
    </row>
    <row r="60" ht="22.5" customHeight="1">
      <c r="B60" s="43"/>
      <c r="G60" s="44"/>
      <c r="J60" s="43"/>
      <c r="O60" s="44"/>
      <c r="P60" s="19">
        <f t="shared" si="1"/>
        <v>0</v>
      </c>
      <c r="AQ60" s="43"/>
    </row>
    <row r="61" ht="22.5" customHeight="1">
      <c r="B61" s="43"/>
      <c r="G61" s="44"/>
      <c r="J61" s="43"/>
      <c r="O61" s="44"/>
      <c r="P61" s="19">
        <f t="shared" si="1"/>
        <v>0</v>
      </c>
      <c r="AQ61" s="43"/>
    </row>
    <row r="62" ht="22.5" customHeight="1">
      <c r="B62" s="43"/>
      <c r="G62" s="44"/>
      <c r="J62" s="43"/>
      <c r="O62" s="44"/>
      <c r="P62" s="19">
        <f t="shared" si="1"/>
        <v>0</v>
      </c>
      <c r="AQ62" s="43"/>
    </row>
    <row r="63" ht="22.5" customHeight="1">
      <c r="B63" s="43"/>
      <c r="G63" s="44"/>
      <c r="J63" s="43"/>
      <c r="O63" s="44"/>
      <c r="P63" s="19">
        <f t="shared" si="1"/>
        <v>0</v>
      </c>
      <c r="AQ63" s="43"/>
    </row>
    <row r="64" ht="22.5" customHeight="1">
      <c r="B64" s="43"/>
      <c r="G64" s="44"/>
      <c r="J64" s="43"/>
      <c r="O64" s="44"/>
      <c r="P64" s="19">
        <f t="shared" si="1"/>
        <v>0</v>
      </c>
      <c r="AQ64" s="43"/>
    </row>
    <row r="65" ht="22.5" customHeight="1">
      <c r="B65" s="43"/>
      <c r="G65" s="44"/>
      <c r="J65" s="43"/>
      <c r="O65" s="44"/>
      <c r="P65" s="19">
        <f t="shared" si="1"/>
        <v>0</v>
      </c>
      <c r="AQ65" s="43"/>
    </row>
    <row r="66" ht="22.5" customHeight="1">
      <c r="B66" s="43"/>
      <c r="G66" s="44"/>
      <c r="J66" s="43"/>
      <c r="O66" s="44"/>
      <c r="P66" s="19">
        <f t="shared" si="1"/>
        <v>0</v>
      </c>
      <c r="AQ66" s="43"/>
    </row>
    <row r="67" ht="22.5" customHeight="1">
      <c r="B67" s="43"/>
      <c r="G67" s="44"/>
      <c r="J67" s="43"/>
      <c r="O67" s="44"/>
      <c r="P67" s="19">
        <f t="shared" si="1"/>
        <v>0</v>
      </c>
      <c r="AQ67" s="43"/>
    </row>
    <row r="68" ht="22.5" customHeight="1">
      <c r="B68" s="43"/>
      <c r="G68" s="44"/>
      <c r="J68" s="43"/>
      <c r="O68" s="44"/>
      <c r="P68" s="19">
        <f t="shared" si="1"/>
        <v>0</v>
      </c>
      <c r="AQ68" s="43"/>
    </row>
    <row r="69" ht="22.5" customHeight="1">
      <c r="B69" s="43"/>
      <c r="G69" s="44"/>
      <c r="J69" s="43"/>
      <c r="O69" s="44"/>
      <c r="P69" s="19">
        <f t="shared" si="1"/>
        <v>0</v>
      </c>
      <c r="AQ69" s="43"/>
    </row>
    <row r="70" ht="22.5" customHeight="1">
      <c r="B70" s="43"/>
      <c r="G70" s="44"/>
      <c r="J70" s="43"/>
      <c r="O70" s="44"/>
      <c r="P70" s="19">
        <f t="shared" si="1"/>
        <v>0</v>
      </c>
      <c r="AQ70" s="43"/>
    </row>
    <row r="71" ht="22.5" customHeight="1">
      <c r="B71" s="43"/>
      <c r="G71" s="44"/>
      <c r="J71" s="43"/>
      <c r="O71" s="44"/>
      <c r="P71" s="19">
        <f t="shared" si="1"/>
        <v>0</v>
      </c>
      <c r="AQ71" s="43"/>
    </row>
    <row r="72" ht="22.5" customHeight="1">
      <c r="B72" s="43"/>
      <c r="G72" s="44"/>
      <c r="J72" s="43"/>
      <c r="O72" s="44"/>
      <c r="P72" s="19">
        <f t="shared" si="1"/>
        <v>0</v>
      </c>
      <c r="AQ72" s="43"/>
    </row>
    <row r="73" ht="22.5" customHeight="1">
      <c r="B73" s="43"/>
      <c r="G73" s="44"/>
      <c r="J73" s="43"/>
      <c r="O73" s="44"/>
      <c r="P73" s="19">
        <f t="shared" si="1"/>
        <v>0</v>
      </c>
      <c r="AQ73" s="43"/>
    </row>
    <row r="74" ht="22.5" customHeight="1">
      <c r="B74" s="43"/>
      <c r="G74" s="44"/>
      <c r="J74" s="43"/>
      <c r="O74" s="44"/>
      <c r="P74" s="19">
        <f t="shared" si="1"/>
        <v>0</v>
      </c>
      <c r="AQ74" s="43"/>
    </row>
    <row r="75" ht="22.5" customHeight="1">
      <c r="B75" s="43"/>
      <c r="G75" s="44"/>
      <c r="J75" s="43"/>
      <c r="O75" s="44"/>
      <c r="P75" s="19">
        <f t="shared" si="1"/>
        <v>0</v>
      </c>
      <c r="AQ75" s="43"/>
    </row>
    <row r="76" ht="22.5" customHeight="1">
      <c r="B76" s="43"/>
      <c r="G76" s="44"/>
      <c r="J76" s="43"/>
      <c r="O76" s="44"/>
      <c r="P76" s="19">
        <f t="shared" si="1"/>
        <v>0</v>
      </c>
      <c r="AQ76" s="43"/>
    </row>
    <row r="77" ht="22.5" customHeight="1">
      <c r="B77" s="43"/>
      <c r="G77" s="44"/>
      <c r="J77" s="43"/>
      <c r="O77" s="44"/>
      <c r="P77" s="19">
        <f t="shared" si="1"/>
        <v>0</v>
      </c>
      <c r="AQ77" s="43"/>
    </row>
    <row r="78" ht="22.5" customHeight="1">
      <c r="B78" s="43"/>
      <c r="G78" s="44"/>
      <c r="J78" s="43"/>
      <c r="O78" s="44"/>
      <c r="P78" s="19">
        <f t="shared" si="1"/>
        <v>0</v>
      </c>
      <c r="AQ78" s="43"/>
    </row>
    <row r="79" ht="22.5" customHeight="1">
      <c r="B79" s="43"/>
      <c r="G79" s="44"/>
      <c r="J79" s="43"/>
      <c r="O79" s="44"/>
      <c r="P79" s="19">
        <f t="shared" si="1"/>
        <v>0</v>
      </c>
      <c r="AQ79" s="43"/>
    </row>
    <row r="80" ht="22.5" customHeight="1">
      <c r="B80" s="43"/>
      <c r="G80" s="44"/>
      <c r="J80" s="43"/>
      <c r="O80" s="44"/>
      <c r="P80" s="19">
        <f t="shared" si="1"/>
        <v>0</v>
      </c>
      <c r="AQ80" s="43"/>
    </row>
    <row r="81" ht="22.5" customHeight="1">
      <c r="B81" s="43"/>
      <c r="G81" s="44"/>
      <c r="J81" s="43"/>
      <c r="O81" s="44"/>
      <c r="P81" s="19">
        <f t="shared" si="1"/>
        <v>0</v>
      </c>
      <c r="AQ81" s="43"/>
    </row>
    <row r="82" ht="22.5" customHeight="1">
      <c r="B82" s="43"/>
      <c r="G82" s="44"/>
      <c r="J82" s="43"/>
      <c r="O82" s="44"/>
      <c r="P82" s="19">
        <f t="shared" si="1"/>
        <v>0</v>
      </c>
      <c r="AQ82" s="43"/>
    </row>
    <row r="83" ht="22.5" customHeight="1">
      <c r="B83" s="43"/>
      <c r="G83" s="44"/>
      <c r="J83" s="43"/>
      <c r="O83" s="44"/>
      <c r="P83" s="19">
        <f t="shared" si="1"/>
        <v>0</v>
      </c>
      <c r="AQ83" s="43"/>
    </row>
    <row r="84" ht="22.5" customHeight="1">
      <c r="B84" s="43"/>
      <c r="G84" s="44"/>
      <c r="J84" s="43"/>
      <c r="O84" s="44"/>
      <c r="P84" s="19">
        <f t="shared" si="1"/>
        <v>0</v>
      </c>
      <c r="AQ84" s="43"/>
    </row>
    <row r="85" ht="22.5" customHeight="1">
      <c r="B85" s="43"/>
      <c r="G85" s="44"/>
      <c r="J85" s="43"/>
      <c r="O85" s="44"/>
      <c r="P85" s="19">
        <f t="shared" si="1"/>
        <v>0</v>
      </c>
      <c r="AQ85" s="43"/>
    </row>
    <row r="86" ht="22.5" customHeight="1">
      <c r="B86" s="43"/>
      <c r="G86" s="44"/>
      <c r="J86" s="43"/>
      <c r="O86" s="44"/>
      <c r="P86" s="19">
        <f t="shared" si="1"/>
        <v>0</v>
      </c>
      <c r="AQ86" s="43"/>
    </row>
    <row r="87" ht="22.5" customHeight="1">
      <c r="B87" s="43"/>
      <c r="G87" s="44"/>
      <c r="J87" s="43"/>
      <c r="O87" s="44"/>
      <c r="P87" s="19">
        <f t="shared" si="1"/>
        <v>0</v>
      </c>
      <c r="AQ87" s="43"/>
    </row>
    <row r="88" ht="22.5" customHeight="1">
      <c r="B88" s="43"/>
      <c r="G88" s="44"/>
      <c r="J88" s="43"/>
      <c r="O88" s="44"/>
      <c r="P88" s="19">
        <f t="shared" si="1"/>
        <v>0</v>
      </c>
      <c r="AQ88" s="43"/>
    </row>
    <row r="89" ht="22.5" customHeight="1">
      <c r="B89" s="43"/>
      <c r="G89" s="44"/>
      <c r="J89" s="43"/>
      <c r="O89" s="44"/>
      <c r="P89" s="19">
        <f t="shared" si="1"/>
        <v>0</v>
      </c>
      <c r="AQ89" s="43"/>
    </row>
    <row r="90" ht="22.5" customHeight="1">
      <c r="B90" s="43"/>
      <c r="G90" s="44"/>
      <c r="J90" s="43"/>
      <c r="O90" s="44"/>
      <c r="P90" s="19">
        <f t="shared" si="1"/>
        <v>0</v>
      </c>
      <c r="AQ90" s="43"/>
    </row>
    <row r="91" ht="22.5" customHeight="1">
      <c r="B91" s="43"/>
      <c r="G91" s="44"/>
      <c r="J91" s="43"/>
      <c r="O91" s="44"/>
      <c r="P91" s="19">
        <f t="shared" si="1"/>
        <v>0</v>
      </c>
      <c r="AQ91" s="43"/>
    </row>
    <row r="92" ht="22.5" customHeight="1">
      <c r="B92" s="43"/>
      <c r="G92" s="44"/>
      <c r="J92" s="43"/>
      <c r="O92" s="44"/>
      <c r="P92" s="19">
        <f t="shared" si="1"/>
        <v>0</v>
      </c>
      <c r="AQ92" s="43"/>
    </row>
    <row r="93" ht="22.5" customHeight="1">
      <c r="B93" s="43"/>
      <c r="G93" s="44"/>
      <c r="J93" s="43"/>
      <c r="O93" s="44"/>
      <c r="P93" s="19">
        <f t="shared" si="1"/>
        <v>0</v>
      </c>
      <c r="AQ93" s="43"/>
    </row>
    <row r="94" ht="22.5" customHeight="1">
      <c r="B94" s="43"/>
      <c r="G94" s="44"/>
      <c r="J94" s="43"/>
      <c r="O94" s="44"/>
      <c r="P94" s="19">
        <f t="shared" si="1"/>
        <v>0</v>
      </c>
      <c r="AQ94" s="43"/>
    </row>
    <row r="95" ht="22.5" customHeight="1">
      <c r="B95" s="43"/>
      <c r="G95" s="44"/>
      <c r="J95" s="43"/>
      <c r="O95" s="44"/>
      <c r="P95" s="19">
        <f t="shared" si="1"/>
        <v>0</v>
      </c>
      <c r="AQ95" s="43"/>
    </row>
    <row r="96" ht="22.5" customHeight="1">
      <c r="B96" s="43"/>
      <c r="G96" s="44"/>
      <c r="J96" s="43"/>
      <c r="O96" s="44"/>
      <c r="P96" s="19">
        <f t="shared" si="1"/>
        <v>0</v>
      </c>
      <c r="AQ96" s="43"/>
    </row>
    <row r="97" ht="22.5" customHeight="1">
      <c r="B97" s="43"/>
      <c r="G97" s="44"/>
      <c r="J97" s="43"/>
      <c r="O97" s="44"/>
      <c r="P97" s="19">
        <f t="shared" si="1"/>
        <v>0</v>
      </c>
      <c r="AQ97" s="43"/>
    </row>
    <row r="98" ht="22.5" customHeight="1">
      <c r="B98" s="43"/>
      <c r="G98" s="44"/>
      <c r="J98" s="43"/>
      <c r="O98" s="44"/>
      <c r="P98" s="19">
        <f t="shared" si="1"/>
        <v>0</v>
      </c>
      <c r="AQ98" s="43"/>
    </row>
    <row r="99" ht="22.5" customHeight="1">
      <c r="B99" s="43"/>
      <c r="G99" s="44"/>
      <c r="J99" s="43"/>
      <c r="O99" s="44"/>
      <c r="P99" s="19">
        <f t="shared" si="1"/>
        <v>0</v>
      </c>
      <c r="AQ99" s="43"/>
    </row>
    <row r="100" ht="22.5" customHeight="1">
      <c r="B100" s="43"/>
      <c r="G100" s="44"/>
      <c r="J100" s="43"/>
      <c r="O100" s="44"/>
      <c r="P100" s="19">
        <f t="shared" si="1"/>
        <v>0</v>
      </c>
      <c r="AQ100" s="43"/>
    </row>
    <row r="101" ht="22.5" customHeight="1">
      <c r="B101" s="43"/>
      <c r="G101" s="44"/>
      <c r="J101" s="43"/>
      <c r="O101" s="44"/>
      <c r="P101" s="19">
        <f t="shared" si="1"/>
        <v>0</v>
      </c>
      <c r="AQ101" s="43"/>
    </row>
    <row r="102" ht="22.5" customHeight="1">
      <c r="B102" s="43"/>
      <c r="G102" s="44"/>
      <c r="J102" s="43"/>
      <c r="O102" s="44"/>
      <c r="P102" s="19">
        <f t="shared" si="1"/>
        <v>0</v>
      </c>
      <c r="AQ102" s="43"/>
    </row>
    <row r="103" ht="22.5" customHeight="1">
      <c r="B103" s="43"/>
      <c r="G103" s="44"/>
      <c r="J103" s="43"/>
      <c r="O103" s="44"/>
      <c r="P103" s="19">
        <f t="shared" si="1"/>
        <v>0</v>
      </c>
      <c r="AQ103" s="43"/>
    </row>
    <row r="104" ht="22.5" customHeight="1">
      <c r="B104" s="43"/>
      <c r="G104" s="44"/>
      <c r="J104" s="43"/>
      <c r="O104" s="44"/>
      <c r="P104" s="19">
        <f t="shared" si="1"/>
        <v>0</v>
      </c>
      <c r="AQ104" s="43"/>
    </row>
    <row r="105" ht="22.5" customHeight="1">
      <c r="B105" s="43"/>
      <c r="G105" s="44"/>
      <c r="J105" s="43"/>
      <c r="O105" s="44"/>
      <c r="P105" s="19">
        <f t="shared" si="1"/>
        <v>0</v>
      </c>
      <c r="AQ105" s="43"/>
    </row>
    <row r="106" ht="22.5" customHeight="1">
      <c r="B106" s="43"/>
      <c r="G106" s="44"/>
      <c r="J106" s="43"/>
      <c r="O106" s="44"/>
      <c r="P106" s="19">
        <f t="shared" si="1"/>
        <v>0</v>
      </c>
      <c r="AQ106" s="43"/>
    </row>
    <row r="107" ht="22.5" customHeight="1">
      <c r="B107" s="43"/>
      <c r="G107" s="44"/>
      <c r="J107" s="43"/>
      <c r="O107" s="44"/>
      <c r="P107" s="19">
        <f t="shared" si="1"/>
        <v>0</v>
      </c>
      <c r="AQ107" s="43"/>
    </row>
    <row r="108" ht="22.5" customHeight="1">
      <c r="B108" s="43"/>
      <c r="G108" s="44"/>
      <c r="J108" s="43"/>
      <c r="O108" s="44"/>
      <c r="P108" s="19">
        <f t="shared" si="1"/>
        <v>0</v>
      </c>
      <c r="AQ108" s="43"/>
    </row>
    <row r="109" ht="22.5" customHeight="1">
      <c r="B109" s="43"/>
      <c r="G109" s="44"/>
      <c r="J109" s="43"/>
      <c r="O109" s="44"/>
      <c r="P109" s="19">
        <f t="shared" si="1"/>
        <v>0</v>
      </c>
      <c r="AQ109" s="43"/>
    </row>
    <row r="110" ht="22.5" customHeight="1">
      <c r="B110" s="43"/>
      <c r="G110" s="44"/>
      <c r="J110" s="43"/>
      <c r="O110" s="44"/>
      <c r="P110" s="19">
        <f t="shared" si="1"/>
        <v>0</v>
      </c>
      <c r="AQ110" s="43"/>
    </row>
    <row r="111" ht="22.5" customHeight="1">
      <c r="B111" s="43"/>
      <c r="G111" s="44"/>
      <c r="J111" s="43"/>
      <c r="O111" s="44"/>
      <c r="P111" s="19">
        <f t="shared" si="1"/>
        <v>0</v>
      </c>
      <c r="AQ111" s="43"/>
    </row>
    <row r="112" ht="22.5" customHeight="1">
      <c r="B112" s="43"/>
      <c r="G112" s="44"/>
      <c r="J112" s="43"/>
      <c r="O112" s="44"/>
      <c r="P112" s="19">
        <f t="shared" si="1"/>
        <v>0</v>
      </c>
      <c r="AQ112" s="43"/>
    </row>
    <row r="113" ht="22.5" customHeight="1">
      <c r="B113" s="43"/>
      <c r="G113" s="44"/>
      <c r="J113" s="43"/>
      <c r="O113" s="44"/>
      <c r="P113" s="19">
        <f t="shared" si="1"/>
        <v>0</v>
      </c>
      <c r="AQ113" s="43"/>
    </row>
    <row r="114" ht="22.5" customHeight="1">
      <c r="B114" s="43"/>
      <c r="G114" s="44"/>
      <c r="J114" s="43"/>
      <c r="O114" s="44"/>
      <c r="P114" s="19">
        <f t="shared" si="1"/>
        <v>0</v>
      </c>
      <c r="AQ114" s="43"/>
    </row>
    <row r="115" ht="22.5" customHeight="1">
      <c r="B115" s="43"/>
      <c r="G115" s="44"/>
      <c r="J115" s="43"/>
      <c r="O115" s="44"/>
      <c r="P115" s="19">
        <f t="shared" si="1"/>
        <v>0</v>
      </c>
      <c r="AQ115" s="43"/>
    </row>
    <row r="116" ht="22.5" customHeight="1">
      <c r="B116" s="43"/>
      <c r="G116" s="44"/>
      <c r="J116" s="43"/>
      <c r="O116" s="44"/>
      <c r="P116" s="19">
        <f t="shared" si="1"/>
        <v>0</v>
      </c>
      <c r="AQ116" s="43"/>
    </row>
    <row r="117" ht="22.5" customHeight="1">
      <c r="B117" s="43"/>
      <c r="G117" s="44"/>
      <c r="J117" s="43"/>
      <c r="O117" s="44"/>
      <c r="P117" s="19">
        <f t="shared" si="1"/>
        <v>0</v>
      </c>
      <c r="AQ117" s="43"/>
    </row>
    <row r="118" ht="22.5" customHeight="1">
      <c r="B118" s="43"/>
      <c r="G118" s="44"/>
      <c r="J118" s="43"/>
      <c r="O118" s="44"/>
      <c r="P118" s="19">
        <f t="shared" si="1"/>
        <v>0</v>
      </c>
      <c r="AQ118" s="43"/>
    </row>
    <row r="119" ht="22.5" customHeight="1">
      <c r="B119" s="43"/>
      <c r="G119" s="44"/>
      <c r="J119" s="43"/>
      <c r="O119" s="44"/>
      <c r="P119" s="19">
        <f t="shared" si="1"/>
        <v>0</v>
      </c>
      <c r="AQ119" s="43"/>
    </row>
    <row r="120" ht="22.5" customHeight="1">
      <c r="B120" s="43"/>
      <c r="G120" s="44"/>
      <c r="J120" s="43"/>
      <c r="O120" s="44"/>
      <c r="P120" s="19">
        <f t="shared" si="1"/>
        <v>0</v>
      </c>
      <c r="AQ120" s="43"/>
    </row>
    <row r="121" ht="22.5" customHeight="1">
      <c r="B121" s="43"/>
      <c r="G121" s="44"/>
      <c r="J121" s="43"/>
      <c r="O121" s="44"/>
      <c r="P121" s="19">
        <f t="shared" si="1"/>
        <v>0</v>
      </c>
      <c r="AQ121" s="43"/>
    </row>
    <row r="122" ht="22.5" customHeight="1">
      <c r="B122" s="43"/>
      <c r="G122" s="44"/>
      <c r="J122" s="43"/>
      <c r="O122" s="44"/>
      <c r="P122" s="19">
        <f t="shared" si="1"/>
        <v>0</v>
      </c>
      <c r="AQ122" s="43"/>
    </row>
    <row r="123" ht="22.5" customHeight="1">
      <c r="B123" s="43"/>
      <c r="G123" s="44"/>
      <c r="J123" s="43"/>
      <c r="O123" s="44"/>
      <c r="P123" s="19">
        <f t="shared" si="1"/>
        <v>0</v>
      </c>
      <c r="AQ123" s="43"/>
    </row>
    <row r="124" ht="22.5" customHeight="1">
      <c r="B124" s="43"/>
      <c r="G124" s="44"/>
      <c r="J124" s="43"/>
      <c r="O124" s="44"/>
      <c r="P124" s="19">
        <f t="shared" si="1"/>
        <v>0</v>
      </c>
      <c r="AQ124" s="43"/>
    </row>
    <row r="125" ht="22.5" customHeight="1">
      <c r="B125" s="43"/>
      <c r="G125" s="44"/>
      <c r="J125" s="43"/>
      <c r="O125" s="44"/>
      <c r="P125" s="19">
        <f t="shared" si="1"/>
        <v>0</v>
      </c>
      <c r="AQ125" s="43"/>
    </row>
    <row r="126" ht="22.5" customHeight="1">
      <c r="B126" s="43"/>
      <c r="G126" s="44"/>
      <c r="J126" s="43"/>
      <c r="O126" s="44"/>
      <c r="P126" s="19">
        <f t="shared" si="1"/>
        <v>0</v>
      </c>
      <c r="AQ126" s="43"/>
    </row>
    <row r="127" ht="22.5" customHeight="1">
      <c r="B127" s="43"/>
      <c r="G127" s="44"/>
      <c r="J127" s="43"/>
      <c r="O127" s="44"/>
      <c r="P127" s="19">
        <f t="shared" si="1"/>
        <v>0</v>
      </c>
      <c r="AQ127" s="43"/>
    </row>
    <row r="128" ht="22.5" customHeight="1">
      <c r="B128" s="43"/>
      <c r="G128" s="44"/>
      <c r="J128" s="43"/>
      <c r="O128" s="44"/>
      <c r="P128" s="19">
        <f t="shared" si="1"/>
        <v>0</v>
      </c>
      <c r="AQ128" s="43"/>
    </row>
    <row r="129" ht="22.5" customHeight="1">
      <c r="B129" s="43"/>
      <c r="G129" s="44"/>
      <c r="J129" s="43"/>
      <c r="O129" s="44"/>
      <c r="P129" s="19">
        <f t="shared" si="1"/>
        <v>0</v>
      </c>
      <c r="AQ129" s="43"/>
    </row>
    <row r="130" ht="22.5" customHeight="1">
      <c r="B130" s="43"/>
      <c r="G130" s="44"/>
      <c r="J130" s="43"/>
      <c r="O130" s="44"/>
      <c r="P130" s="19">
        <f t="shared" si="1"/>
        <v>0</v>
      </c>
      <c r="AQ130" s="43"/>
    </row>
    <row r="131" ht="22.5" customHeight="1">
      <c r="B131" s="43"/>
      <c r="G131" s="44"/>
      <c r="J131" s="43"/>
      <c r="O131" s="44"/>
      <c r="P131" s="19">
        <f t="shared" si="1"/>
        <v>0</v>
      </c>
      <c r="AQ131" s="43"/>
    </row>
    <row r="132" ht="22.5" customHeight="1">
      <c r="B132" s="43"/>
      <c r="G132" s="44"/>
      <c r="J132" s="43"/>
      <c r="O132" s="44"/>
      <c r="P132" s="19">
        <f t="shared" si="1"/>
        <v>0</v>
      </c>
      <c r="AQ132" s="43"/>
    </row>
    <row r="133" ht="22.5" customHeight="1">
      <c r="B133" s="43"/>
      <c r="G133" s="44"/>
      <c r="J133" s="43"/>
      <c r="O133" s="44"/>
      <c r="P133" s="19">
        <f t="shared" si="1"/>
        <v>0</v>
      </c>
      <c r="AQ133" s="43"/>
    </row>
    <row r="134" ht="22.5" customHeight="1">
      <c r="B134" s="43"/>
      <c r="G134" s="44"/>
      <c r="J134" s="43"/>
      <c r="O134" s="44"/>
      <c r="P134" s="19">
        <f t="shared" si="1"/>
        <v>0</v>
      </c>
      <c r="AQ134" s="43"/>
    </row>
    <row r="135" ht="22.5" customHeight="1">
      <c r="B135" s="43"/>
      <c r="G135" s="44"/>
      <c r="J135" s="43"/>
      <c r="O135" s="44"/>
      <c r="P135" s="19">
        <f t="shared" si="1"/>
        <v>0</v>
      </c>
      <c r="AQ135" s="43"/>
    </row>
    <row r="136" ht="22.5" customHeight="1">
      <c r="B136" s="43"/>
      <c r="G136" s="44"/>
      <c r="J136" s="43"/>
      <c r="O136" s="44"/>
      <c r="P136" s="19">
        <f t="shared" si="1"/>
        <v>0</v>
      </c>
      <c r="AQ136" s="43"/>
    </row>
    <row r="137" ht="22.5" customHeight="1">
      <c r="B137" s="43"/>
      <c r="G137" s="44"/>
      <c r="J137" s="43"/>
      <c r="O137" s="44"/>
      <c r="P137" s="19">
        <f t="shared" si="1"/>
        <v>0</v>
      </c>
      <c r="AQ137" s="43"/>
    </row>
    <row r="138" ht="22.5" customHeight="1">
      <c r="B138" s="43"/>
      <c r="G138" s="44"/>
      <c r="J138" s="43"/>
      <c r="O138" s="44"/>
      <c r="P138" s="19">
        <f t="shared" si="1"/>
        <v>0</v>
      </c>
      <c r="AQ138" s="43"/>
    </row>
    <row r="139" ht="22.5" customHeight="1">
      <c r="B139" s="43"/>
      <c r="G139" s="44"/>
      <c r="J139" s="43"/>
      <c r="O139" s="44"/>
      <c r="P139" s="19">
        <f t="shared" si="1"/>
        <v>0</v>
      </c>
      <c r="AQ139" s="43"/>
    </row>
    <row r="140" ht="22.5" customHeight="1">
      <c r="B140" s="43"/>
      <c r="G140" s="44"/>
      <c r="J140" s="43"/>
      <c r="O140" s="44"/>
      <c r="P140" s="19">
        <f t="shared" si="1"/>
        <v>0</v>
      </c>
      <c r="AQ140" s="43"/>
    </row>
    <row r="141" ht="22.5" customHeight="1">
      <c r="B141" s="43"/>
      <c r="G141" s="44"/>
      <c r="J141" s="43"/>
      <c r="O141" s="44"/>
      <c r="P141" s="19">
        <f t="shared" si="1"/>
        <v>0</v>
      </c>
      <c r="AQ141" s="43"/>
    </row>
    <row r="142" ht="22.5" customHeight="1">
      <c r="B142" s="43"/>
      <c r="G142" s="44"/>
      <c r="J142" s="43"/>
      <c r="O142" s="44"/>
      <c r="P142" s="19">
        <f t="shared" si="1"/>
        <v>0</v>
      </c>
      <c r="AQ142" s="43"/>
    </row>
    <row r="143" ht="22.5" customHeight="1">
      <c r="B143" s="43"/>
      <c r="G143" s="44"/>
      <c r="J143" s="43"/>
      <c r="O143" s="44"/>
      <c r="P143" s="19">
        <f t="shared" si="1"/>
        <v>0</v>
      </c>
      <c r="AQ143" s="43"/>
    </row>
    <row r="144" ht="22.5" customHeight="1">
      <c r="B144" s="43"/>
      <c r="G144" s="44"/>
      <c r="J144" s="43"/>
      <c r="O144" s="44"/>
      <c r="P144" s="19">
        <f t="shared" si="1"/>
        <v>0</v>
      </c>
      <c r="AQ144" s="43"/>
    </row>
    <row r="145" ht="22.5" customHeight="1">
      <c r="B145" s="43"/>
      <c r="G145" s="44"/>
      <c r="J145" s="43"/>
      <c r="O145" s="44"/>
      <c r="P145" s="19">
        <f t="shared" si="1"/>
        <v>0</v>
      </c>
      <c r="AQ145" s="43"/>
    </row>
    <row r="146" ht="22.5" customHeight="1">
      <c r="B146" s="43"/>
      <c r="G146" s="44"/>
      <c r="J146" s="43"/>
      <c r="O146" s="44"/>
      <c r="P146" s="19">
        <f t="shared" si="1"/>
        <v>0</v>
      </c>
      <c r="AQ146" s="43"/>
    </row>
    <row r="147" ht="22.5" customHeight="1">
      <c r="B147" s="43"/>
      <c r="G147" s="44"/>
      <c r="J147" s="43"/>
      <c r="O147" s="44"/>
      <c r="P147" s="19">
        <f t="shared" si="1"/>
        <v>0</v>
      </c>
      <c r="AQ147" s="43"/>
    </row>
    <row r="148" ht="22.5" customHeight="1">
      <c r="B148" s="43"/>
      <c r="G148" s="44"/>
      <c r="J148" s="43"/>
      <c r="O148" s="44"/>
      <c r="P148" s="19">
        <f t="shared" si="1"/>
        <v>0</v>
      </c>
      <c r="AQ148" s="43"/>
    </row>
    <row r="149" ht="22.5" customHeight="1">
      <c r="B149" s="43"/>
      <c r="G149" s="44"/>
      <c r="J149" s="43"/>
      <c r="O149" s="44"/>
      <c r="P149" s="19">
        <f t="shared" si="1"/>
        <v>0</v>
      </c>
      <c r="AQ149" s="43"/>
    </row>
    <row r="150" ht="22.5" customHeight="1">
      <c r="B150" s="43"/>
      <c r="G150" s="44"/>
      <c r="J150" s="43"/>
      <c r="O150" s="44"/>
      <c r="P150" s="19">
        <f t="shared" si="1"/>
        <v>0</v>
      </c>
      <c r="AQ150" s="43"/>
    </row>
    <row r="151" ht="22.5" customHeight="1">
      <c r="B151" s="43"/>
      <c r="G151" s="44"/>
      <c r="J151" s="43"/>
      <c r="O151" s="44"/>
      <c r="P151" s="19">
        <f t="shared" si="1"/>
        <v>0</v>
      </c>
      <c r="AQ151" s="43"/>
    </row>
    <row r="152" ht="22.5" customHeight="1">
      <c r="B152" s="43"/>
      <c r="G152" s="44"/>
      <c r="J152" s="43"/>
      <c r="O152" s="44"/>
      <c r="P152" s="19">
        <f t="shared" si="1"/>
        <v>0</v>
      </c>
      <c r="AQ152" s="43"/>
    </row>
    <row r="153" ht="22.5" customHeight="1">
      <c r="B153" s="43"/>
      <c r="G153" s="44"/>
      <c r="J153" s="43"/>
      <c r="O153" s="44"/>
      <c r="P153" s="19">
        <f t="shared" si="1"/>
        <v>0</v>
      </c>
      <c r="AQ153" s="43"/>
    </row>
    <row r="154" ht="22.5" customHeight="1">
      <c r="B154" s="43"/>
      <c r="G154" s="44"/>
      <c r="J154" s="43"/>
      <c r="O154" s="44"/>
      <c r="P154" s="19">
        <f t="shared" si="1"/>
        <v>0</v>
      </c>
      <c r="AQ154" s="43"/>
    </row>
    <row r="155" ht="22.5" customHeight="1">
      <c r="B155" s="43"/>
      <c r="G155" s="44"/>
      <c r="J155" s="43"/>
      <c r="O155" s="44"/>
      <c r="P155" s="19">
        <f t="shared" si="1"/>
        <v>0</v>
      </c>
      <c r="AQ155" s="43"/>
    </row>
    <row r="156" ht="22.5" customHeight="1">
      <c r="B156" s="43"/>
      <c r="G156" s="44"/>
      <c r="J156" s="43"/>
      <c r="O156" s="44"/>
      <c r="P156" s="19">
        <f t="shared" si="1"/>
        <v>0</v>
      </c>
      <c r="AQ156" s="43"/>
    </row>
    <row r="157" ht="22.5" customHeight="1">
      <c r="B157" s="43"/>
      <c r="G157" s="44"/>
      <c r="J157" s="43"/>
      <c r="O157" s="44"/>
      <c r="P157" s="19">
        <f t="shared" si="1"/>
        <v>0</v>
      </c>
      <c r="AQ157" s="43"/>
    </row>
    <row r="158" ht="22.5" customHeight="1">
      <c r="B158" s="43"/>
      <c r="G158" s="44"/>
      <c r="J158" s="43"/>
      <c r="O158" s="44"/>
      <c r="P158" s="19">
        <f t="shared" si="1"/>
        <v>0</v>
      </c>
      <c r="AQ158" s="43"/>
    </row>
    <row r="159" ht="22.5" customHeight="1">
      <c r="B159" s="43"/>
      <c r="G159" s="44"/>
      <c r="J159" s="43"/>
      <c r="O159" s="44"/>
      <c r="P159" s="19">
        <f t="shared" si="1"/>
        <v>0</v>
      </c>
      <c r="AQ159" s="43"/>
    </row>
    <row r="160" ht="22.5" customHeight="1">
      <c r="B160" s="43"/>
      <c r="G160" s="44"/>
      <c r="J160" s="43"/>
      <c r="O160" s="44"/>
      <c r="P160" s="19">
        <f t="shared" si="1"/>
        <v>0</v>
      </c>
      <c r="AQ160" s="43"/>
    </row>
    <row r="161" ht="22.5" customHeight="1">
      <c r="B161" s="43"/>
      <c r="G161" s="44"/>
      <c r="J161" s="43"/>
      <c r="O161" s="44"/>
      <c r="P161" s="19">
        <f t="shared" si="1"/>
        <v>0</v>
      </c>
      <c r="AQ161" s="43"/>
    </row>
    <row r="162" ht="22.5" customHeight="1">
      <c r="B162" s="43"/>
      <c r="G162" s="44"/>
      <c r="J162" s="43"/>
      <c r="O162" s="44"/>
      <c r="P162" s="19">
        <f t="shared" si="1"/>
        <v>0</v>
      </c>
      <c r="AQ162" s="43"/>
    </row>
    <row r="163" ht="22.5" customHeight="1">
      <c r="B163" s="43"/>
      <c r="G163" s="44"/>
      <c r="J163" s="43"/>
      <c r="O163" s="44"/>
      <c r="P163" s="19">
        <f t="shared" si="1"/>
        <v>0</v>
      </c>
      <c r="AQ163" s="43"/>
    </row>
    <row r="164" ht="22.5" customHeight="1">
      <c r="B164" s="43"/>
      <c r="G164" s="44"/>
      <c r="J164" s="43"/>
      <c r="O164" s="44"/>
      <c r="P164" s="19">
        <f t="shared" si="1"/>
        <v>0</v>
      </c>
      <c r="AQ164" s="43"/>
    </row>
    <row r="165" ht="22.5" customHeight="1">
      <c r="B165" s="43"/>
      <c r="G165" s="44"/>
      <c r="J165" s="43"/>
      <c r="O165" s="44"/>
      <c r="P165" s="19">
        <f t="shared" si="1"/>
        <v>0</v>
      </c>
      <c r="AQ165" s="43"/>
    </row>
    <row r="166" ht="22.5" customHeight="1">
      <c r="B166" s="43"/>
      <c r="G166" s="44"/>
      <c r="J166" s="43"/>
      <c r="O166" s="44"/>
      <c r="P166" s="19">
        <f t="shared" si="1"/>
        <v>0</v>
      </c>
      <c r="AQ166" s="43"/>
    </row>
    <row r="167" ht="22.5" customHeight="1">
      <c r="B167" s="43"/>
      <c r="G167" s="44"/>
      <c r="J167" s="43"/>
      <c r="O167" s="44"/>
      <c r="P167" s="19">
        <f t="shared" si="1"/>
        <v>0</v>
      </c>
      <c r="AQ167" s="43"/>
    </row>
    <row r="168" ht="22.5" customHeight="1">
      <c r="B168" s="43"/>
      <c r="G168" s="44"/>
      <c r="J168" s="43"/>
      <c r="O168" s="44"/>
      <c r="P168" s="19">
        <f t="shared" si="1"/>
        <v>0</v>
      </c>
      <c r="AQ168" s="43"/>
    </row>
    <row r="169" ht="22.5" customHeight="1">
      <c r="B169" s="43"/>
      <c r="G169" s="44"/>
      <c r="J169" s="43"/>
      <c r="O169" s="44"/>
      <c r="P169" s="19">
        <f t="shared" si="1"/>
        <v>0</v>
      </c>
      <c r="AQ169" s="43"/>
    </row>
    <row r="170" ht="22.5" customHeight="1">
      <c r="B170" s="43"/>
      <c r="G170" s="44"/>
      <c r="J170" s="43"/>
      <c r="O170" s="44"/>
      <c r="P170" s="19">
        <f t="shared" si="1"/>
        <v>0</v>
      </c>
      <c r="AQ170" s="43"/>
    </row>
    <row r="171" ht="22.5" customHeight="1">
      <c r="B171" s="43"/>
      <c r="G171" s="44"/>
      <c r="J171" s="43"/>
      <c r="O171" s="44"/>
      <c r="P171" s="19">
        <f t="shared" si="1"/>
        <v>0</v>
      </c>
      <c r="AQ171" s="43"/>
    </row>
    <row r="172" ht="22.5" customHeight="1">
      <c r="B172" s="43"/>
      <c r="G172" s="44"/>
      <c r="J172" s="43"/>
      <c r="O172" s="44"/>
      <c r="P172" s="19">
        <f t="shared" si="1"/>
        <v>0</v>
      </c>
      <c r="AQ172" s="43"/>
    </row>
    <row r="173" ht="22.5" customHeight="1">
      <c r="B173" s="43"/>
      <c r="G173" s="44"/>
      <c r="J173" s="43"/>
      <c r="O173" s="44"/>
      <c r="P173" s="19">
        <f t="shared" si="1"/>
        <v>0</v>
      </c>
      <c r="AQ173" s="43"/>
    </row>
    <row r="174" ht="22.5" customHeight="1">
      <c r="B174" s="43"/>
      <c r="G174" s="44"/>
      <c r="J174" s="43"/>
      <c r="O174" s="44"/>
      <c r="P174" s="19">
        <f t="shared" si="1"/>
        <v>0</v>
      </c>
      <c r="AQ174" s="43"/>
    </row>
    <row r="175" ht="22.5" customHeight="1">
      <c r="B175" s="43"/>
      <c r="G175" s="44"/>
      <c r="J175" s="43"/>
      <c r="O175" s="44"/>
      <c r="P175" s="19">
        <f t="shared" si="1"/>
        <v>0</v>
      </c>
      <c r="AQ175" s="43"/>
    </row>
    <row r="176" ht="22.5" customHeight="1">
      <c r="B176" s="43"/>
      <c r="G176" s="44"/>
      <c r="J176" s="43"/>
      <c r="O176" s="44"/>
      <c r="P176" s="19">
        <f t="shared" si="1"/>
        <v>0</v>
      </c>
      <c r="AQ176" s="43"/>
    </row>
    <row r="177" ht="22.5" customHeight="1">
      <c r="B177" s="43"/>
      <c r="G177" s="44"/>
      <c r="J177" s="43"/>
      <c r="O177" s="44"/>
      <c r="P177" s="19">
        <f t="shared" si="1"/>
        <v>0</v>
      </c>
      <c r="AQ177" s="43"/>
    </row>
    <row r="178" ht="22.5" customHeight="1">
      <c r="B178" s="43"/>
      <c r="G178" s="44"/>
      <c r="J178" s="43"/>
      <c r="O178" s="44"/>
      <c r="P178" s="19">
        <f t="shared" si="1"/>
        <v>0</v>
      </c>
      <c r="AQ178" s="43"/>
    </row>
    <row r="179" ht="22.5" customHeight="1">
      <c r="B179" s="43"/>
      <c r="G179" s="44"/>
      <c r="J179" s="43"/>
      <c r="O179" s="44"/>
      <c r="P179" s="19">
        <f t="shared" si="1"/>
        <v>0</v>
      </c>
      <c r="AQ179" s="43"/>
    </row>
    <row r="180" ht="22.5" customHeight="1">
      <c r="B180" s="43"/>
      <c r="G180" s="44"/>
      <c r="J180" s="43"/>
      <c r="O180" s="44"/>
      <c r="P180" s="19">
        <f t="shared" si="1"/>
        <v>0</v>
      </c>
      <c r="AQ180" s="43"/>
    </row>
    <row r="181" ht="22.5" customHeight="1">
      <c r="B181" s="43"/>
      <c r="G181" s="44"/>
      <c r="J181" s="43"/>
      <c r="O181" s="44"/>
      <c r="P181" s="19">
        <f t="shared" si="1"/>
        <v>0</v>
      </c>
      <c r="AQ181" s="43"/>
    </row>
    <row r="182" ht="22.5" customHeight="1">
      <c r="B182" s="43"/>
      <c r="G182" s="44"/>
      <c r="J182" s="43"/>
      <c r="O182" s="44"/>
      <c r="P182" s="19">
        <f t="shared" si="1"/>
        <v>0</v>
      </c>
      <c r="AQ182" s="43"/>
    </row>
    <row r="183" ht="22.5" customHeight="1">
      <c r="B183" s="43"/>
      <c r="G183" s="44"/>
      <c r="J183" s="43"/>
      <c r="O183" s="44"/>
      <c r="P183" s="19">
        <f t="shared" si="1"/>
        <v>0</v>
      </c>
      <c r="AQ183" s="43"/>
    </row>
    <row r="184" ht="22.5" customHeight="1">
      <c r="B184" s="43"/>
      <c r="G184" s="44"/>
      <c r="J184" s="43"/>
      <c r="O184" s="44"/>
      <c r="P184" s="19">
        <f t="shared" si="1"/>
        <v>0</v>
      </c>
      <c r="AQ184" s="43"/>
    </row>
    <row r="185" ht="22.5" customHeight="1">
      <c r="B185" s="43"/>
      <c r="G185" s="44"/>
      <c r="J185" s="43"/>
      <c r="O185" s="44"/>
      <c r="P185" s="19">
        <f t="shared" si="1"/>
        <v>0</v>
      </c>
      <c r="AQ185" s="43"/>
    </row>
    <row r="186" ht="22.5" customHeight="1">
      <c r="B186" s="43"/>
      <c r="G186" s="44"/>
      <c r="J186" s="43"/>
      <c r="O186" s="44"/>
      <c r="P186" s="19">
        <f t="shared" si="1"/>
        <v>0</v>
      </c>
      <c r="AQ186" s="43"/>
    </row>
    <row r="187" ht="22.5" customHeight="1">
      <c r="B187" s="43"/>
      <c r="G187" s="44"/>
      <c r="J187" s="43"/>
      <c r="O187" s="44"/>
      <c r="P187" s="56"/>
      <c r="AQ187" s="43"/>
    </row>
    <row r="188" ht="22.5" customHeight="1">
      <c r="B188" s="43"/>
      <c r="G188" s="44"/>
      <c r="J188" s="43"/>
      <c r="O188" s="44"/>
      <c r="P188" s="56"/>
      <c r="AQ188" s="43"/>
    </row>
    <row r="189" ht="22.5" customHeight="1">
      <c r="B189" s="43"/>
      <c r="G189" s="44"/>
      <c r="J189" s="43"/>
      <c r="O189" s="44"/>
      <c r="P189" s="56"/>
      <c r="AQ189" s="43"/>
    </row>
    <row r="190" ht="22.5" customHeight="1">
      <c r="B190" s="43"/>
      <c r="G190" s="44"/>
      <c r="J190" s="43"/>
      <c r="O190" s="44"/>
      <c r="P190" s="56"/>
      <c r="AQ190" s="43"/>
    </row>
    <row r="191" ht="22.5" customHeight="1">
      <c r="B191" s="43"/>
      <c r="G191" s="44"/>
      <c r="J191" s="43"/>
      <c r="O191" s="44"/>
      <c r="P191" s="56"/>
      <c r="AQ191" s="43"/>
    </row>
    <row r="192" ht="22.5" customHeight="1">
      <c r="B192" s="43"/>
      <c r="G192" s="44"/>
      <c r="J192" s="43"/>
      <c r="O192" s="44"/>
      <c r="P192" s="56"/>
      <c r="AQ192" s="43"/>
    </row>
    <row r="193" ht="22.5" customHeight="1">
      <c r="B193" s="43"/>
      <c r="G193" s="44"/>
      <c r="J193" s="43"/>
      <c r="O193" s="44"/>
      <c r="P193" s="56"/>
      <c r="AQ193" s="43"/>
    </row>
    <row r="194" ht="22.5" customHeight="1">
      <c r="B194" s="43"/>
      <c r="G194" s="44"/>
      <c r="J194" s="43"/>
      <c r="O194" s="44"/>
      <c r="P194" s="56"/>
      <c r="AQ194" s="43"/>
    </row>
    <row r="195" ht="22.5" customHeight="1">
      <c r="B195" s="43"/>
      <c r="G195" s="44"/>
      <c r="J195" s="43"/>
      <c r="O195" s="44"/>
      <c r="P195" s="56"/>
      <c r="AQ195" s="43"/>
    </row>
    <row r="196" ht="22.5" customHeight="1">
      <c r="B196" s="43"/>
      <c r="G196" s="44"/>
      <c r="J196" s="43"/>
      <c r="O196" s="44"/>
      <c r="P196" s="56"/>
      <c r="AQ196" s="43"/>
    </row>
    <row r="197" ht="22.5" customHeight="1">
      <c r="B197" s="43"/>
      <c r="G197" s="44"/>
      <c r="J197" s="43"/>
      <c r="O197" s="44"/>
      <c r="P197" s="56"/>
      <c r="AQ197" s="43"/>
    </row>
    <row r="198" ht="22.5" customHeight="1">
      <c r="B198" s="43"/>
      <c r="G198" s="44"/>
      <c r="J198" s="43"/>
      <c r="O198" s="44"/>
      <c r="P198" s="56"/>
      <c r="AQ198" s="43"/>
    </row>
    <row r="199" ht="22.5" customHeight="1">
      <c r="B199" s="43"/>
      <c r="G199" s="44"/>
      <c r="J199" s="43"/>
      <c r="O199" s="44"/>
      <c r="P199" s="56"/>
      <c r="AQ199" s="43"/>
    </row>
    <row r="200" ht="22.5" customHeight="1">
      <c r="B200" s="43"/>
      <c r="G200" s="44"/>
      <c r="J200" s="43"/>
      <c r="O200" s="44"/>
      <c r="P200" s="56"/>
      <c r="AQ200" s="43"/>
    </row>
    <row r="201" ht="22.5" customHeight="1">
      <c r="B201" s="43"/>
      <c r="G201" s="44"/>
      <c r="J201" s="43"/>
      <c r="O201" s="44"/>
      <c r="P201" s="56"/>
      <c r="AQ201" s="43"/>
    </row>
    <row r="202" ht="22.5" customHeight="1">
      <c r="B202" s="43"/>
      <c r="G202" s="44"/>
      <c r="J202" s="43"/>
      <c r="O202" s="44"/>
      <c r="P202" s="56"/>
      <c r="AQ202" s="43"/>
    </row>
    <row r="203" ht="22.5" customHeight="1">
      <c r="B203" s="43"/>
      <c r="G203" s="44"/>
      <c r="J203" s="43"/>
      <c r="O203" s="44"/>
      <c r="P203" s="56"/>
      <c r="AQ203" s="43"/>
    </row>
    <row r="204" ht="22.5" customHeight="1">
      <c r="B204" s="43"/>
      <c r="G204" s="44"/>
      <c r="J204" s="43"/>
      <c r="O204" s="44"/>
      <c r="P204" s="56"/>
      <c r="AQ204" s="43"/>
    </row>
    <row r="205" ht="22.5" customHeight="1">
      <c r="B205" s="43"/>
      <c r="G205" s="44"/>
      <c r="J205" s="43"/>
      <c r="O205" s="44"/>
      <c r="P205" s="56"/>
      <c r="AQ205" s="43"/>
    </row>
    <row r="206" ht="22.5" customHeight="1">
      <c r="B206" s="43"/>
      <c r="G206" s="44"/>
      <c r="J206" s="43"/>
      <c r="O206" s="44"/>
      <c r="P206" s="56"/>
      <c r="AQ206" s="43"/>
    </row>
    <row r="207" ht="22.5" customHeight="1">
      <c r="B207" s="43"/>
      <c r="G207" s="44"/>
      <c r="J207" s="43"/>
      <c r="O207" s="44"/>
      <c r="P207" s="56"/>
      <c r="AQ207" s="43"/>
    </row>
    <row r="208" ht="22.5" customHeight="1">
      <c r="B208" s="43"/>
      <c r="G208" s="44"/>
      <c r="J208" s="43"/>
      <c r="O208" s="44"/>
      <c r="P208" s="56"/>
      <c r="AQ208" s="43"/>
    </row>
    <row r="209" ht="22.5" customHeight="1">
      <c r="B209" s="43"/>
      <c r="G209" s="44"/>
      <c r="J209" s="43"/>
      <c r="O209" s="44"/>
      <c r="P209" s="56"/>
      <c r="AQ209" s="43"/>
    </row>
    <row r="210" ht="22.5" customHeight="1">
      <c r="B210" s="43"/>
      <c r="G210" s="44"/>
      <c r="J210" s="43"/>
      <c r="O210" s="44"/>
      <c r="P210" s="56"/>
      <c r="AQ210" s="43"/>
    </row>
    <row r="211" ht="22.5" customHeight="1">
      <c r="B211" s="43"/>
      <c r="G211" s="44"/>
      <c r="J211" s="43"/>
      <c r="O211" s="44"/>
      <c r="P211" s="56"/>
      <c r="AQ211" s="43"/>
    </row>
    <row r="212" ht="22.5" customHeight="1">
      <c r="B212" s="43"/>
      <c r="G212" s="44"/>
      <c r="J212" s="43"/>
      <c r="O212" s="44"/>
      <c r="P212" s="56"/>
      <c r="AQ212" s="43"/>
    </row>
    <row r="213" ht="22.5" customHeight="1">
      <c r="B213" s="43"/>
      <c r="G213" s="44"/>
      <c r="J213" s="43"/>
      <c r="O213" s="44"/>
      <c r="P213" s="56"/>
      <c r="AQ213" s="43"/>
    </row>
    <row r="214" ht="22.5" customHeight="1">
      <c r="B214" s="43"/>
      <c r="G214" s="44"/>
      <c r="J214" s="43"/>
      <c r="O214" s="44"/>
      <c r="P214" s="56"/>
      <c r="AQ214" s="43"/>
    </row>
    <row r="215" ht="22.5" customHeight="1">
      <c r="B215" s="43"/>
      <c r="G215" s="44"/>
      <c r="J215" s="43"/>
      <c r="O215" s="44"/>
      <c r="P215" s="56"/>
      <c r="AQ215" s="43"/>
    </row>
    <row r="216" ht="22.5" customHeight="1">
      <c r="B216" s="43"/>
      <c r="G216" s="44"/>
      <c r="J216" s="43"/>
      <c r="O216" s="44"/>
      <c r="P216" s="56"/>
      <c r="AQ216" s="43"/>
    </row>
    <row r="217" ht="22.5" customHeight="1">
      <c r="B217" s="43"/>
      <c r="G217" s="44"/>
      <c r="J217" s="43"/>
      <c r="O217" s="44"/>
      <c r="P217" s="56"/>
      <c r="AQ217" s="43"/>
    </row>
    <row r="218" ht="22.5" customHeight="1">
      <c r="B218" s="43"/>
      <c r="G218" s="44"/>
      <c r="J218" s="43"/>
      <c r="O218" s="44"/>
      <c r="P218" s="56"/>
      <c r="AQ218" s="43"/>
    </row>
    <row r="219" ht="22.5" customHeight="1">
      <c r="B219" s="43"/>
      <c r="G219" s="44"/>
      <c r="J219" s="43"/>
      <c r="O219" s="44"/>
      <c r="P219" s="56"/>
      <c r="AQ219" s="43"/>
    </row>
    <row r="220" ht="22.5" customHeight="1">
      <c r="B220" s="43"/>
      <c r="G220" s="44"/>
      <c r="J220" s="43"/>
      <c r="O220" s="44"/>
      <c r="P220" s="56"/>
      <c r="AQ220" s="43"/>
    </row>
    <row r="221" ht="22.5" customHeight="1">
      <c r="B221" s="43"/>
      <c r="G221" s="44"/>
      <c r="J221" s="43"/>
      <c r="O221" s="44"/>
      <c r="P221" s="56"/>
      <c r="AQ221" s="43"/>
    </row>
    <row r="222" ht="22.5" customHeight="1">
      <c r="B222" s="43"/>
      <c r="G222" s="44"/>
      <c r="J222" s="43"/>
      <c r="O222" s="44"/>
      <c r="P222" s="56"/>
      <c r="AQ222" s="43"/>
    </row>
    <row r="223" ht="22.5" customHeight="1">
      <c r="B223" s="43"/>
      <c r="G223" s="44"/>
      <c r="J223" s="43"/>
      <c r="O223" s="44"/>
      <c r="P223" s="56"/>
      <c r="AQ223" s="43"/>
    </row>
    <row r="224" ht="22.5" customHeight="1">
      <c r="B224" s="43"/>
      <c r="G224" s="44"/>
      <c r="J224" s="43"/>
      <c r="O224" s="44"/>
      <c r="P224" s="56"/>
      <c r="AQ224" s="43"/>
    </row>
    <row r="225" ht="22.5" customHeight="1">
      <c r="B225" s="43"/>
      <c r="G225" s="44"/>
      <c r="J225" s="43"/>
      <c r="O225" s="44"/>
      <c r="P225" s="56"/>
      <c r="AQ225" s="43"/>
    </row>
    <row r="226" ht="22.5" customHeight="1">
      <c r="B226" s="43"/>
      <c r="G226" s="44"/>
      <c r="J226" s="43"/>
      <c r="O226" s="44"/>
      <c r="P226" s="56"/>
      <c r="AQ226" s="43"/>
    </row>
    <row r="227" ht="22.5" customHeight="1">
      <c r="B227" s="43"/>
      <c r="G227" s="44"/>
      <c r="J227" s="43"/>
      <c r="O227" s="44"/>
      <c r="P227" s="56"/>
      <c r="AQ227" s="43"/>
    </row>
    <row r="228" ht="22.5" customHeight="1">
      <c r="B228" s="43"/>
      <c r="G228" s="44"/>
      <c r="J228" s="43"/>
      <c r="O228" s="44"/>
      <c r="P228" s="56"/>
      <c r="AQ228" s="43"/>
    </row>
    <row r="229" ht="22.5" customHeight="1">
      <c r="B229" s="43"/>
      <c r="G229" s="44"/>
      <c r="J229" s="43"/>
      <c r="O229" s="44"/>
      <c r="P229" s="56"/>
      <c r="AQ229" s="43"/>
    </row>
    <row r="230" ht="22.5" customHeight="1">
      <c r="B230" s="43"/>
      <c r="G230" s="44"/>
      <c r="J230" s="43"/>
      <c r="O230" s="44"/>
      <c r="P230" s="56"/>
      <c r="AQ230" s="43"/>
    </row>
    <row r="231" ht="22.5" customHeight="1">
      <c r="B231" s="43"/>
      <c r="G231" s="44"/>
      <c r="J231" s="43"/>
      <c r="O231" s="44"/>
      <c r="P231" s="56"/>
      <c r="AQ231" s="43"/>
    </row>
    <row r="232" ht="22.5" customHeight="1">
      <c r="B232" s="43"/>
      <c r="G232" s="44"/>
      <c r="J232" s="43"/>
      <c r="O232" s="44"/>
      <c r="P232" s="56"/>
      <c r="AQ232" s="43"/>
    </row>
    <row r="233" ht="22.5" customHeight="1">
      <c r="B233" s="43"/>
      <c r="G233" s="44"/>
      <c r="J233" s="43"/>
      <c r="O233" s="44"/>
      <c r="P233" s="56"/>
      <c r="AQ233" s="43"/>
    </row>
    <row r="234" ht="22.5" customHeight="1">
      <c r="B234" s="43"/>
      <c r="G234" s="44"/>
      <c r="J234" s="43"/>
      <c r="O234" s="44"/>
      <c r="P234" s="56"/>
      <c r="AQ234" s="43"/>
    </row>
    <row r="235" ht="22.5" customHeight="1">
      <c r="B235" s="43"/>
      <c r="G235" s="44"/>
      <c r="J235" s="43"/>
      <c r="O235" s="44"/>
      <c r="P235" s="56"/>
      <c r="AQ235" s="43"/>
    </row>
    <row r="236" ht="22.5" customHeight="1">
      <c r="B236" s="43"/>
      <c r="G236" s="44"/>
      <c r="J236" s="43"/>
      <c r="O236" s="44"/>
      <c r="P236" s="56"/>
      <c r="AQ236" s="43"/>
    </row>
    <row r="237" ht="22.5" customHeight="1">
      <c r="B237" s="43"/>
      <c r="G237" s="44"/>
      <c r="J237" s="43"/>
      <c r="O237" s="44"/>
      <c r="P237" s="56"/>
      <c r="AQ237" s="43"/>
    </row>
    <row r="238" ht="22.5" customHeight="1">
      <c r="B238" s="43"/>
      <c r="G238" s="44"/>
      <c r="J238" s="43"/>
      <c r="O238" s="44"/>
      <c r="P238" s="56"/>
      <c r="AQ238" s="43"/>
    </row>
    <row r="239" ht="22.5" customHeight="1">
      <c r="B239" s="43"/>
      <c r="G239" s="44"/>
      <c r="J239" s="43"/>
      <c r="O239" s="44"/>
      <c r="P239" s="56"/>
      <c r="AQ239" s="43"/>
    </row>
    <row r="240" ht="22.5" customHeight="1">
      <c r="B240" s="43"/>
      <c r="G240" s="44"/>
      <c r="J240" s="43"/>
      <c r="O240" s="44"/>
      <c r="P240" s="56"/>
      <c r="AQ240" s="43"/>
    </row>
    <row r="241" ht="22.5" customHeight="1">
      <c r="B241" s="43"/>
      <c r="G241" s="44"/>
      <c r="J241" s="43"/>
      <c r="O241" s="44"/>
      <c r="P241" s="56"/>
      <c r="AQ241" s="43"/>
    </row>
    <row r="242" ht="22.5" customHeight="1">
      <c r="B242" s="43"/>
      <c r="G242" s="44"/>
      <c r="J242" s="43"/>
      <c r="O242" s="44"/>
      <c r="P242" s="56"/>
      <c r="AQ242" s="43"/>
    </row>
    <row r="243" ht="22.5" customHeight="1">
      <c r="B243" s="43"/>
      <c r="G243" s="44"/>
      <c r="J243" s="43"/>
      <c r="O243" s="44"/>
      <c r="P243" s="56"/>
      <c r="AQ243" s="43"/>
    </row>
    <row r="244" ht="22.5" customHeight="1">
      <c r="B244" s="43"/>
      <c r="G244" s="44"/>
      <c r="J244" s="43"/>
      <c r="O244" s="44"/>
      <c r="P244" s="56"/>
      <c r="AQ244" s="43"/>
    </row>
    <row r="245" ht="22.5" customHeight="1">
      <c r="B245" s="43"/>
      <c r="G245" s="44"/>
      <c r="J245" s="43"/>
      <c r="O245" s="44"/>
      <c r="P245" s="56"/>
      <c r="AQ245" s="43"/>
    </row>
    <row r="246" ht="22.5" customHeight="1">
      <c r="B246" s="43"/>
      <c r="G246" s="44"/>
      <c r="J246" s="43"/>
      <c r="O246" s="44"/>
      <c r="P246" s="56"/>
      <c r="AQ246" s="43"/>
    </row>
    <row r="247" ht="22.5" customHeight="1">
      <c r="B247" s="43"/>
      <c r="G247" s="44"/>
      <c r="J247" s="43"/>
      <c r="O247" s="44"/>
      <c r="P247" s="56"/>
      <c r="AQ247" s="43"/>
    </row>
    <row r="248" ht="22.5" customHeight="1">
      <c r="B248" s="43"/>
      <c r="G248" s="44"/>
      <c r="J248" s="43"/>
      <c r="O248" s="44"/>
      <c r="P248" s="56"/>
      <c r="AQ248" s="43"/>
    </row>
    <row r="249" ht="22.5" customHeight="1">
      <c r="B249" s="43"/>
      <c r="G249" s="44"/>
      <c r="J249" s="43"/>
      <c r="O249" s="44"/>
      <c r="P249" s="56"/>
      <c r="AQ249" s="43"/>
    </row>
    <row r="250" ht="22.5" customHeight="1">
      <c r="B250" s="43"/>
      <c r="G250" s="44"/>
      <c r="J250" s="43"/>
      <c r="O250" s="44"/>
      <c r="P250" s="56"/>
      <c r="AQ250" s="43"/>
    </row>
    <row r="251" ht="22.5" customHeight="1">
      <c r="B251" s="43"/>
      <c r="G251" s="44"/>
      <c r="J251" s="43"/>
      <c r="O251" s="44"/>
      <c r="P251" s="56"/>
      <c r="AQ251" s="43"/>
    </row>
    <row r="252" ht="22.5" customHeight="1">
      <c r="B252" s="43"/>
      <c r="G252" s="44"/>
      <c r="J252" s="43"/>
      <c r="O252" s="44"/>
      <c r="P252" s="56"/>
      <c r="AQ252" s="43"/>
    </row>
    <row r="253" ht="22.5" customHeight="1">
      <c r="B253" s="43"/>
      <c r="G253" s="44"/>
      <c r="J253" s="43"/>
      <c r="O253" s="44"/>
      <c r="P253" s="56"/>
      <c r="AQ253" s="43"/>
    </row>
    <row r="254" ht="22.5" customHeight="1">
      <c r="B254" s="43"/>
      <c r="G254" s="44"/>
      <c r="J254" s="43"/>
      <c r="O254" s="44"/>
      <c r="P254" s="56"/>
      <c r="AQ254" s="43"/>
    </row>
    <row r="255" ht="22.5" customHeight="1">
      <c r="B255" s="43"/>
      <c r="G255" s="44"/>
      <c r="J255" s="43"/>
      <c r="O255" s="44"/>
      <c r="P255" s="56"/>
      <c r="AQ255" s="43"/>
    </row>
    <row r="256" ht="22.5" customHeight="1">
      <c r="B256" s="43"/>
      <c r="G256" s="44"/>
      <c r="J256" s="43"/>
      <c r="O256" s="44"/>
      <c r="P256" s="56"/>
      <c r="AQ256" s="43"/>
    </row>
    <row r="257" ht="22.5" customHeight="1">
      <c r="B257" s="43"/>
      <c r="G257" s="44"/>
      <c r="J257" s="43"/>
      <c r="O257" s="44"/>
      <c r="P257" s="56"/>
      <c r="AQ257" s="43"/>
    </row>
    <row r="258" ht="22.5" customHeight="1">
      <c r="B258" s="43"/>
      <c r="G258" s="44"/>
      <c r="J258" s="43"/>
      <c r="O258" s="44"/>
      <c r="P258" s="56"/>
      <c r="AQ258" s="43"/>
    </row>
    <row r="259" ht="22.5" customHeight="1">
      <c r="B259" s="43"/>
      <c r="G259" s="44"/>
      <c r="J259" s="43"/>
      <c r="O259" s="44"/>
      <c r="P259" s="56"/>
      <c r="AQ259" s="43"/>
    </row>
    <row r="260" ht="22.5" customHeight="1">
      <c r="B260" s="43"/>
      <c r="G260" s="44"/>
      <c r="J260" s="43"/>
      <c r="O260" s="44"/>
      <c r="P260" s="56"/>
      <c r="AQ260" s="43"/>
    </row>
    <row r="261" ht="22.5" customHeight="1">
      <c r="B261" s="43"/>
      <c r="G261" s="44"/>
      <c r="J261" s="43"/>
      <c r="O261" s="44"/>
      <c r="P261" s="56"/>
      <c r="AQ261" s="43"/>
    </row>
    <row r="262" ht="22.5" customHeight="1">
      <c r="B262" s="43"/>
      <c r="G262" s="44"/>
      <c r="J262" s="43"/>
      <c r="O262" s="44"/>
      <c r="P262" s="56"/>
      <c r="AQ262" s="43"/>
    </row>
    <row r="263" ht="22.5" customHeight="1">
      <c r="B263" s="43"/>
      <c r="G263" s="44"/>
      <c r="J263" s="43"/>
      <c r="O263" s="44"/>
      <c r="P263" s="56"/>
      <c r="AQ263" s="43"/>
    </row>
    <row r="264" ht="22.5" customHeight="1">
      <c r="B264" s="43"/>
      <c r="G264" s="44"/>
      <c r="J264" s="43"/>
      <c r="O264" s="44"/>
      <c r="P264" s="56"/>
      <c r="AQ264" s="43"/>
    </row>
    <row r="265" ht="22.5" customHeight="1">
      <c r="B265" s="43"/>
      <c r="G265" s="44"/>
      <c r="J265" s="43"/>
      <c r="O265" s="44"/>
      <c r="P265" s="56"/>
      <c r="AQ265" s="43"/>
    </row>
    <row r="266" ht="22.5" customHeight="1">
      <c r="B266" s="43"/>
      <c r="G266" s="44"/>
      <c r="J266" s="43"/>
      <c r="O266" s="44"/>
      <c r="P266" s="56"/>
      <c r="AQ266" s="43"/>
    </row>
    <row r="267" ht="22.5" customHeight="1">
      <c r="B267" s="43"/>
      <c r="G267" s="44"/>
      <c r="J267" s="43"/>
      <c r="O267" s="44"/>
      <c r="P267" s="56"/>
      <c r="AQ267" s="43"/>
    </row>
    <row r="268" ht="22.5" customHeight="1">
      <c r="B268" s="43"/>
      <c r="G268" s="44"/>
      <c r="J268" s="43"/>
      <c r="O268" s="44"/>
      <c r="P268" s="56"/>
      <c r="AQ268" s="43"/>
    </row>
    <row r="269" ht="22.5" customHeight="1">
      <c r="B269" s="43"/>
      <c r="G269" s="44"/>
      <c r="J269" s="43"/>
      <c r="O269" s="44"/>
      <c r="P269" s="56"/>
      <c r="AQ269" s="43"/>
    </row>
    <row r="270" ht="22.5" customHeight="1">
      <c r="B270" s="43"/>
      <c r="G270" s="44"/>
      <c r="J270" s="43"/>
      <c r="O270" s="44"/>
      <c r="P270" s="56"/>
      <c r="AQ270" s="43"/>
    </row>
    <row r="271" ht="22.5" customHeight="1">
      <c r="B271" s="43"/>
      <c r="G271" s="44"/>
      <c r="J271" s="43"/>
      <c r="O271" s="44"/>
      <c r="P271" s="56"/>
      <c r="AQ271" s="43"/>
    </row>
    <row r="272" ht="22.5" customHeight="1">
      <c r="B272" s="43"/>
      <c r="G272" s="44"/>
      <c r="J272" s="43"/>
      <c r="O272" s="44"/>
      <c r="P272" s="56"/>
      <c r="AQ272" s="43"/>
    </row>
    <row r="273" ht="22.5" customHeight="1">
      <c r="B273" s="43"/>
      <c r="G273" s="44"/>
      <c r="J273" s="43"/>
      <c r="O273" s="44"/>
      <c r="P273" s="56"/>
      <c r="AQ273" s="43"/>
    </row>
    <row r="274" ht="22.5" customHeight="1">
      <c r="B274" s="43"/>
      <c r="G274" s="44"/>
      <c r="J274" s="43"/>
      <c r="O274" s="44"/>
      <c r="P274" s="56"/>
      <c r="AQ274" s="43"/>
    </row>
    <row r="275" ht="22.5" customHeight="1">
      <c r="B275" s="43"/>
      <c r="G275" s="44"/>
      <c r="J275" s="43"/>
      <c r="O275" s="44"/>
      <c r="P275" s="56"/>
      <c r="AQ275" s="43"/>
    </row>
    <row r="276" ht="22.5" customHeight="1">
      <c r="B276" s="43"/>
      <c r="G276" s="44"/>
      <c r="J276" s="43"/>
      <c r="O276" s="44"/>
      <c r="P276" s="56"/>
      <c r="AQ276" s="43"/>
    </row>
    <row r="277" ht="22.5" customHeight="1">
      <c r="B277" s="43"/>
      <c r="G277" s="44"/>
      <c r="J277" s="43"/>
      <c r="O277" s="44"/>
      <c r="P277" s="56"/>
      <c r="AQ277" s="43"/>
    </row>
    <row r="278" ht="22.5" customHeight="1">
      <c r="B278" s="43"/>
      <c r="G278" s="44"/>
      <c r="J278" s="43"/>
      <c r="O278" s="44"/>
      <c r="P278" s="56"/>
      <c r="AQ278" s="43"/>
    </row>
    <row r="279" ht="22.5" customHeight="1">
      <c r="B279" s="43"/>
      <c r="G279" s="44"/>
      <c r="J279" s="43"/>
      <c r="O279" s="44"/>
      <c r="P279" s="56"/>
      <c r="AQ279" s="43"/>
    </row>
    <row r="280" ht="22.5" customHeight="1">
      <c r="B280" s="43"/>
      <c r="G280" s="44"/>
      <c r="J280" s="43"/>
      <c r="O280" s="44"/>
      <c r="P280" s="56"/>
      <c r="AQ280" s="43"/>
    </row>
    <row r="281" ht="22.5" customHeight="1">
      <c r="B281" s="43"/>
      <c r="G281" s="44"/>
      <c r="J281" s="43"/>
      <c r="O281" s="44"/>
      <c r="P281" s="56"/>
      <c r="AQ281" s="43"/>
    </row>
    <row r="282" ht="22.5" customHeight="1">
      <c r="B282" s="43"/>
      <c r="G282" s="44"/>
      <c r="J282" s="43"/>
      <c r="O282" s="44"/>
      <c r="P282" s="56"/>
      <c r="AQ282" s="43"/>
    </row>
    <row r="283" ht="22.5" customHeight="1">
      <c r="B283" s="43"/>
      <c r="G283" s="44"/>
      <c r="J283" s="43"/>
      <c r="O283" s="44"/>
      <c r="P283" s="56"/>
      <c r="AQ283" s="43"/>
    </row>
    <row r="284" ht="22.5" customHeight="1">
      <c r="B284" s="43"/>
      <c r="G284" s="44"/>
      <c r="J284" s="43"/>
      <c r="O284" s="44"/>
      <c r="P284" s="56"/>
      <c r="AQ284" s="43"/>
    </row>
    <row r="285" ht="22.5" customHeight="1">
      <c r="B285" s="43"/>
      <c r="G285" s="44"/>
      <c r="J285" s="43"/>
      <c r="O285" s="44"/>
      <c r="P285" s="56"/>
      <c r="AQ285" s="43"/>
    </row>
    <row r="286" ht="22.5" customHeight="1">
      <c r="B286" s="43"/>
      <c r="G286" s="44"/>
      <c r="J286" s="43"/>
      <c r="O286" s="44"/>
      <c r="P286" s="56"/>
      <c r="AQ286" s="43"/>
    </row>
    <row r="287" ht="22.5" customHeight="1">
      <c r="B287" s="43"/>
      <c r="G287" s="44"/>
      <c r="J287" s="43"/>
      <c r="O287" s="44"/>
      <c r="P287" s="56"/>
      <c r="AQ287" s="43"/>
    </row>
    <row r="288" ht="22.5" customHeight="1">
      <c r="B288" s="43"/>
      <c r="G288" s="44"/>
      <c r="J288" s="43"/>
      <c r="O288" s="44"/>
      <c r="P288" s="56"/>
      <c r="AQ288" s="43"/>
    </row>
    <row r="289" ht="22.5" customHeight="1">
      <c r="B289" s="43"/>
      <c r="G289" s="44"/>
      <c r="J289" s="43"/>
      <c r="O289" s="44"/>
      <c r="P289" s="56"/>
      <c r="AQ289" s="43"/>
    </row>
    <row r="290" ht="22.5" customHeight="1">
      <c r="B290" s="43"/>
      <c r="G290" s="44"/>
      <c r="J290" s="43"/>
      <c r="O290" s="44"/>
      <c r="P290" s="56"/>
      <c r="AQ290" s="43"/>
    </row>
    <row r="291" ht="22.5" customHeight="1">
      <c r="B291" s="43"/>
      <c r="G291" s="44"/>
      <c r="J291" s="43"/>
      <c r="O291" s="44"/>
      <c r="P291" s="56"/>
      <c r="AQ291" s="43"/>
    </row>
    <row r="292" ht="22.5" customHeight="1">
      <c r="B292" s="43"/>
      <c r="G292" s="44"/>
      <c r="J292" s="43"/>
      <c r="O292" s="44"/>
      <c r="P292" s="56"/>
      <c r="AQ292" s="43"/>
    </row>
    <row r="293" ht="22.5" customHeight="1">
      <c r="B293" s="43"/>
      <c r="G293" s="44"/>
      <c r="J293" s="43"/>
      <c r="O293" s="44"/>
      <c r="P293" s="56"/>
      <c r="AQ293" s="43"/>
    </row>
    <row r="294" ht="22.5" customHeight="1">
      <c r="B294" s="43"/>
      <c r="G294" s="44"/>
      <c r="J294" s="43"/>
      <c r="O294" s="44"/>
      <c r="P294" s="56"/>
      <c r="AQ294" s="43"/>
    </row>
    <row r="295" ht="22.5" customHeight="1">
      <c r="B295" s="43"/>
      <c r="G295" s="44"/>
      <c r="J295" s="43"/>
      <c r="O295" s="44"/>
      <c r="P295" s="56"/>
      <c r="AQ295" s="43"/>
    </row>
    <row r="296" ht="22.5" customHeight="1">
      <c r="B296" s="43"/>
      <c r="G296" s="44"/>
      <c r="J296" s="43"/>
      <c r="O296" s="44"/>
      <c r="P296" s="56"/>
      <c r="AQ296" s="43"/>
    </row>
    <row r="297" ht="22.5" customHeight="1">
      <c r="B297" s="43"/>
      <c r="G297" s="44"/>
      <c r="J297" s="43"/>
      <c r="O297" s="44"/>
      <c r="P297" s="56"/>
      <c r="AQ297" s="43"/>
    </row>
    <row r="298" ht="22.5" customHeight="1">
      <c r="B298" s="43"/>
      <c r="G298" s="44"/>
      <c r="J298" s="43"/>
      <c r="O298" s="44"/>
      <c r="P298" s="56"/>
      <c r="AQ298" s="43"/>
    </row>
    <row r="299" ht="22.5" customHeight="1">
      <c r="B299" s="43"/>
      <c r="G299" s="44"/>
      <c r="J299" s="43"/>
      <c r="O299" s="44"/>
      <c r="P299" s="56"/>
      <c r="AQ299" s="43"/>
    </row>
    <row r="300" ht="22.5" customHeight="1">
      <c r="B300" s="43"/>
      <c r="G300" s="44"/>
      <c r="J300" s="43"/>
      <c r="O300" s="44"/>
      <c r="P300" s="56"/>
      <c r="AQ300" s="43"/>
    </row>
    <row r="301" ht="22.5" customHeight="1">
      <c r="B301" s="43"/>
      <c r="G301" s="44"/>
      <c r="J301" s="43"/>
      <c r="O301" s="44"/>
      <c r="P301" s="56"/>
      <c r="AQ301" s="43"/>
    </row>
    <row r="302" ht="22.5" customHeight="1">
      <c r="B302" s="43"/>
      <c r="G302" s="44"/>
      <c r="J302" s="43"/>
      <c r="O302" s="44"/>
      <c r="P302" s="56"/>
      <c r="AQ302" s="43"/>
    </row>
    <row r="303" ht="22.5" customHeight="1">
      <c r="B303" s="43"/>
      <c r="G303" s="44"/>
      <c r="J303" s="43"/>
      <c r="O303" s="44"/>
      <c r="P303" s="56"/>
      <c r="AQ303" s="43"/>
    </row>
    <row r="304" ht="22.5" customHeight="1">
      <c r="B304" s="43"/>
      <c r="G304" s="44"/>
      <c r="J304" s="43"/>
      <c r="O304" s="44"/>
      <c r="P304" s="56"/>
      <c r="AQ304" s="43"/>
    </row>
    <row r="305" ht="22.5" customHeight="1">
      <c r="B305" s="43"/>
      <c r="G305" s="44"/>
      <c r="J305" s="43"/>
      <c r="O305" s="44"/>
      <c r="P305" s="56"/>
      <c r="AQ305" s="43"/>
    </row>
    <row r="306" ht="22.5" customHeight="1">
      <c r="B306" s="43"/>
      <c r="G306" s="44"/>
      <c r="J306" s="43"/>
      <c r="O306" s="44"/>
      <c r="P306" s="56"/>
      <c r="AQ306" s="43"/>
    </row>
    <row r="307" ht="22.5" customHeight="1">
      <c r="B307" s="43"/>
      <c r="G307" s="44"/>
      <c r="J307" s="43"/>
      <c r="O307" s="44"/>
      <c r="P307" s="56"/>
      <c r="AQ307" s="43"/>
    </row>
    <row r="308" ht="22.5" customHeight="1">
      <c r="B308" s="43"/>
      <c r="G308" s="44"/>
      <c r="J308" s="43"/>
      <c r="O308" s="44"/>
      <c r="P308" s="56"/>
      <c r="AQ308" s="43"/>
    </row>
    <row r="309" ht="22.5" customHeight="1">
      <c r="B309" s="43"/>
      <c r="G309" s="44"/>
      <c r="J309" s="43"/>
      <c r="O309" s="44"/>
      <c r="P309" s="56"/>
      <c r="AQ309" s="43"/>
    </row>
    <row r="310" ht="22.5" customHeight="1">
      <c r="B310" s="43"/>
      <c r="G310" s="44"/>
      <c r="J310" s="43"/>
      <c r="O310" s="44"/>
      <c r="P310" s="56"/>
      <c r="AQ310" s="43"/>
    </row>
    <row r="311" ht="22.5" customHeight="1">
      <c r="B311" s="43"/>
      <c r="G311" s="44"/>
      <c r="J311" s="43"/>
      <c r="O311" s="44"/>
      <c r="P311" s="56"/>
      <c r="AQ311" s="43"/>
    </row>
    <row r="312" ht="22.5" customHeight="1">
      <c r="B312" s="43"/>
      <c r="G312" s="44"/>
      <c r="J312" s="43"/>
      <c r="O312" s="44"/>
      <c r="P312" s="56"/>
      <c r="AQ312" s="43"/>
    </row>
    <row r="313" ht="22.5" customHeight="1">
      <c r="B313" s="43"/>
      <c r="G313" s="44"/>
      <c r="J313" s="43"/>
      <c r="O313" s="44"/>
      <c r="P313" s="56"/>
      <c r="AQ313" s="43"/>
    </row>
    <row r="314" ht="22.5" customHeight="1">
      <c r="B314" s="43"/>
      <c r="G314" s="44"/>
      <c r="J314" s="43"/>
      <c r="O314" s="44"/>
      <c r="P314" s="56"/>
      <c r="AQ314" s="43"/>
    </row>
    <row r="315" ht="22.5" customHeight="1">
      <c r="B315" s="43"/>
      <c r="G315" s="44"/>
      <c r="J315" s="43"/>
      <c r="O315" s="44"/>
      <c r="P315" s="56"/>
      <c r="AQ315" s="43"/>
    </row>
    <row r="316" ht="22.5" customHeight="1">
      <c r="B316" s="43"/>
      <c r="G316" s="44"/>
      <c r="J316" s="43"/>
      <c r="O316" s="44"/>
      <c r="P316" s="56"/>
      <c r="AQ316" s="43"/>
    </row>
    <row r="317" ht="22.5" customHeight="1">
      <c r="B317" s="43"/>
      <c r="G317" s="44"/>
      <c r="J317" s="43"/>
      <c r="O317" s="44"/>
      <c r="P317" s="56"/>
      <c r="AQ317" s="43"/>
    </row>
    <row r="318" ht="22.5" customHeight="1">
      <c r="B318" s="43"/>
      <c r="G318" s="44"/>
      <c r="J318" s="43"/>
      <c r="O318" s="44"/>
      <c r="P318" s="56"/>
      <c r="AQ318" s="43"/>
    </row>
    <row r="319" ht="22.5" customHeight="1">
      <c r="B319" s="43"/>
      <c r="G319" s="44"/>
      <c r="J319" s="43"/>
      <c r="O319" s="44"/>
      <c r="P319" s="56"/>
      <c r="AQ319" s="43"/>
    </row>
    <row r="320" ht="22.5" customHeight="1">
      <c r="B320" s="43"/>
      <c r="G320" s="44"/>
      <c r="J320" s="43"/>
      <c r="O320" s="44"/>
      <c r="P320" s="56"/>
      <c r="AQ320" s="43"/>
    </row>
    <row r="321" ht="22.5" customHeight="1">
      <c r="B321" s="43"/>
      <c r="G321" s="44"/>
      <c r="J321" s="43"/>
      <c r="O321" s="44"/>
      <c r="P321" s="56"/>
      <c r="AQ321" s="43"/>
    </row>
    <row r="322" ht="22.5" customHeight="1">
      <c r="B322" s="43"/>
      <c r="G322" s="44"/>
      <c r="J322" s="43"/>
      <c r="O322" s="44"/>
      <c r="P322" s="56"/>
      <c r="AQ322" s="43"/>
    </row>
    <row r="323" ht="22.5" customHeight="1">
      <c r="B323" s="43"/>
      <c r="G323" s="44"/>
      <c r="J323" s="43"/>
      <c r="O323" s="44"/>
      <c r="P323" s="56"/>
      <c r="AQ323" s="43"/>
    </row>
    <row r="324" ht="22.5" customHeight="1">
      <c r="B324" s="43"/>
      <c r="G324" s="44"/>
      <c r="J324" s="43"/>
      <c r="O324" s="44"/>
      <c r="P324" s="56"/>
      <c r="AQ324" s="43"/>
    </row>
    <row r="325" ht="22.5" customHeight="1">
      <c r="B325" s="43"/>
      <c r="G325" s="44"/>
      <c r="J325" s="43"/>
      <c r="O325" s="44"/>
      <c r="P325" s="56"/>
      <c r="AQ325" s="43"/>
    </row>
    <row r="326" ht="22.5" customHeight="1">
      <c r="B326" s="43"/>
      <c r="G326" s="44"/>
      <c r="J326" s="43"/>
      <c r="O326" s="44"/>
      <c r="P326" s="56"/>
      <c r="AQ326" s="43"/>
    </row>
    <row r="327" ht="22.5" customHeight="1">
      <c r="B327" s="43"/>
      <c r="G327" s="44"/>
      <c r="J327" s="43"/>
      <c r="O327" s="44"/>
      <c r="P327" s="56"/>
      <c r="AQ327" s="43"/>
    </row>
    <row r="328" ht="22.5" customHeight="1">
      <c r="B328" s="43"/>
      <c r="G328" s="44"/>
      <c r="J328" s="43"/>
      <c r="O328" s="44"/>
      <c r="P328" s="56"/>
      <c r="AQ328" s="43"/>
    </row>
    <row r="329" ht="22.5" customHeight="1">
      <c r="B329" s="43"/>
      <c r="G329" s="44"/>
      <c r="J329" s="43"/>
      <c r="O329" s="44"/>
      <c r="P329" s="56"/>
      <c r="AQ329" s="43"/>
    </row>
    <row r="330" ht="22.5" customHeight="1">
      <c r="B330" s="43"/>
      <c r="G330" s="44"/>
      <c r="J330" s="43"/>
      <c r="O330" s="44"/>
      <c r="P330" s="56"/>
      <c r="AQ330" s="43"/>
    </row>
    <row r="331" ht="22.5" customHeight="1">
      <c r="B331" s="43"/>
      <c r="G331" s="44"/>
      <c r="J331" s="43"/>
      <c r="O331" s="44"/>
      <c r="P331" s="56"/>
      <c r="AQ331" s="43"/>
    </row>
    <row r="332" ht="22.5" customHeight="1">
      <c r="B332" s="43"/>
      <c r="G332" s="44"/>
      <c r="J332" s="43"/>
      <c r="O332" s="44"/>
      <c r="P332" s="56"/>
      <c r="AQ332" s="43"/>
    </row>
    <row r="333" ht="22.5" customHeight="1">
      <c r="B333" s="43"/>
      <c r="G333" s="44"/>
      <c r="J333" s="43"/>
      <c r="O333" s="44"/>
      <c r="P333" s="56"/>
      <c r="AQ333" s="43"/>
    </row>
    <row r="334" ht="22.5" customHeight="1">
      <c r="B334" s="43"/>
      <c r="G334" s="44"/>
      <c r="J334" s="43"/>
      <c r="O334" s="44"/>
      <c r="P334" s="56"/>
      <c r="AQ334" s="43"/>
    </row>
    <row r="335" ht="22.5" customHeight="1">
      <c r="B335" s="43"/>
      <c r="G335" s="44"/>
      <c r="J335" s="43"/>
      <c r="O335" s="44"/>
      <c r="P335" s="56"/>
      <c r="AQ335" s="43"/>
    </row>
    <row r="336" ht="22.5" customHeight="1">
      <c r="B336" s="43"/>
      <c r="G336" s="44"/>
      <c r="J336" s="43"/>
      <c r="O336" s="44"/>
      <c r="P336" s="56"/>
      <c r="AQ336" s="43"/>
    </row>
    <row r="337" ht="22.5" customHeight="1">
      <c r="B337" s="43"/>
      <c r="G337" s="44"/>
      <c r="J337" s="43"/>
      <c r="O337" s="44"/>
      <c r="P337" s="56"/>
      <c r="AQ337" s="43"/>
    </row>
    <row r="338" ht="22.5" customHeight="1">
      <c r="B338" s="43"/>
      <c r="G338" s="44"/>
      <c r="J338" s="43"/>
      <c r="O338" s="44"/>
      <c r="P338" s="56"/>
      <c r="AQ338" s="43"/>
    </row>
    <row r="339" ht="22.5" customHeight="1">
      <c r="B339" s="43"/>
      <c r="G339" s="44"/>
      <c r="J339" s="43"/>
      <c r="O339" s="44"/>
      <c r="P339" s="56"/>
      <c r="AQ339" s="43"/>
    </row>
    <row r="340" ht="22.5" customHeight="1">
      <c r="B340" s="43"/>
      <c r="G340" s="44"/>
      <c r="J340" s="43"/>
      <c r="O340" s="44"/>
      <c r="P340" s="56"/>
      <c r="AQ340" s="43"/>
    </row>
    <row r="341" ht="22.5" customHeight="1">
      <c r="B341" s="43"/>
      <c r="G341" s="44"/>
      <c r="J341" s="43"/>
      <c r="O341" s="44"/>
      <c r="P341" s="56"/>
      <c r="AQ341" s="43"/>
    </row>
    <row r="342" ht="22.5" customHeight="1">
      <c r="B342" s="43"/>
      <c r="G342" s="44"/>
      <c r="J342" s="43"/>
      <c r="O342" s="44"/>
      <c r="P342" s="56"/>
      <c r="AQ342" s="43"/>
    </row>
    <row r="343" ht="22.5" customHeight="1">
      <c r="B343" s="43"/>
      <c r="G343" s="44"/>
      <c r="J343" s="43"/>
      <c r="O343" s="44"/>
      <c r="P343" s="56"/>
      <c r="AQ343" s="43"/>
    </row>
    <row r="344" ht="22.5" customHeight="1">
      <c r="B344" s="43"/>
      <c r="G344" s="44"/>
      <c r="J344" s="43"/>
      <c r="O344" s="44"/>
      <c r="P344" s="56"/>
      <c r="AQ344" s="43"/>
    </row>
    <row r="345" ht="22.5" customHeight="1">
      <c r="B345" s="43"/>
      <c r="G345" s="44"/>
      <c r="J345" s="43"/>
      <c r="O345" s="44"/>
      <c r="P345" s="56"/>
      <c r="AQ345" s="43"/>
    </row>
    <row r="346" ht="22.5" customHeight="1">
      <c r="B346" s="43"/>
      <c r="G346" s="44"/>
      <c r="J346" s="43"/>
      <c r="O346" s="44"/>
      <c r="P346" s="56"/>
      <c r="AQ346" s="43"/>
    </row>
    <row r="347" ht="22.5" customHeight="1">
      <c r="B347" s="43"/>
      <c r="G347" s="44"/>
      <c r="J347" s="43"/>
      <c r="O347" s="44"/>
      <c r="P347" s="56"/>
      <c r="AQ347" s="43"/>
    </row>
    <row r="348" ht="22.5" customHeight="1">
      <c r="B348" s="43"/>
      <c r="G348" s="44"/>
      <c r="J348" s="43"/>
      <c r="O348" s="44"/>
      <c r="P348" s="56"/>
      <c r="AQ348" s="43"/>
    </row>
    <row r="349" ht="22.5" customHeight="1">
      <c r="B349" s="43"/>
      <c r="G349" s="44"/>
      <c r="J349" s="43"/>
      <c r="O349" s="44"/>
      <c r="P349" s="56"/>
      <c r="AQ349" s="43"/>
    </row>
    <row r="350" ht="22.5" customHeight="1">
      <c r="B350" s="43"/>
      <c r="G350" s="44"/>
      <c r="J350" s="43"/>
      <c r="O350" s="44"/>
      <c r="P350" s="56"/>
      <c r="AQ350" s="43"/>
    </row>
    <row r="351" ht="22.5" customHeight="1">
      <c r="B351" s="43"/>
      <c r="G351" s="44"/>
      <c r="J351" s="43"/>
      <c r="O351" s="44"/>
      <c r="P351" s="56"/>
      <c r="AQ351" s="43"/>
    </row>
    <row r="352" ht="22.5" customHeight="1">
      <c r="B352" s="43"/>
      <c r="G352" s="44"/>
      <c r="J352" s="43"/>
      <c r="O352" s="44"/>
      <c r="P352" s="56"/>
      <c r="AQ352" s="43"/>
    </row>
    <row r="353" ht="22.5" customHeight="1">
      <c r="B353" s="43"/>
      <c r="G353" s="44"/>
      <c r="J353" s="43"/>
      <c r="O353" s="44"/>
      <c r="P353" s="56"/>
      <c r="AQ353" s="43"/>
    </row>
    <row r="354" ht="22.5" customHeight="1">
      <c r="B354" s="43"/>
      <c r="G354" s="44"/>
      <c r="J354" s="43"/>
      <c r="O354" s="44"/>
      <c r="P354" s="56"/>
      <c r="AQ354" s="43"/>
    </row>
    <row r="355" ht="22.5" customHeight="1">
      <c r="B355" s="43"/>
      <c r="G355" s="44"/>
      <c r="J355" s="43"/>
      <c r="O355" s="44"/>
      <c r="P355" s="56"/>
      <c r="AQ355" s="43"/>
    </row>
    <row r="356" ht="22.5" customHeight="1">
      <c r="B356" s="43"/>
      <c r="G356" s="44"/>
      <c r="J356" s="43"/>
      <c r="O356" s="44"/>
      <c r="P356" s="56"/>
      <c r="AQ356" s="43"/>
    </row>
    <row r="357" ht="22.5" customHeight="1">
      <c r="B357" s="43"/>
      <c r="G357" s="44"/>
      <c r="J357" s="43"/>
      <c r="O357" s="44"/>
      <c r="P357" s="56"/>
      <c r="AQ357" s="43"/>
    </row>
    <row r="358" ht="22.5" customHeight="1">
      <c r="B358" s="43"/>
      <c r="G358" s="44"/>
      <c r="J358" s="43"/>
      <c r="O358" s="44"/>
      <c r="P358" s="56"/>
      <c r="AQ358" s="43"/>
    </row>
    <row r="359" ht="22.5" customHeight="1">
      <c r="B359" s="43"/>
      <c r="G359" s="44"/>
      <c r="J359" s="43"/>
      <c r="O359" s="44"/>
      <c r="P359" s="56"/>
      <c r="AQ359" s="43"/>
    </row>
    <row r="360" ht="22.5" customHeight="1">
      <c r="B360" s="43"/>
      <c r="G360" s="44"/>
      <c r="J360" s="43"/>
      <c r="O360" s="44"/>
      <c r="P360" s="56"/>
      <c r="AQ360" s="43"/>
    </row>
    <row r="361" ht="22.5" customHeight="1">
      <c r="B361" s="43"/>
      <c r="G361" s="44"/>
      <c r="J361" s="43"/>
      <c r="O361" s="44"/>
      <c r="P361" s="56"/>
      <c r="AQ361" s="43"/>
    </row>
    <row r="362" ht="22.5" customHeight="1">
      <c r="B362" s="43"/>
      <c r="G362" s="44"/>
      <c r="J362" s="43"/>
      <c r="O362" s="44"/>
      <c r="P362" s="56"/>
      <c r="AQ362" s="43"/>
    </row>
    <row r="363" ht="22.5" customHeight="1">
      <c r="B363" s="43"/>
      <c r="G363" s="44"/>
      <c r="J363" s="43"/>
      <c r="O363" s="44"/>
      <c r="P363" s="56"/>
      <c r="AQ363" s="43"/>
    </row>
    <row r="364" ht="22.5" customHeight="1">
      <c r="B364" s="43"/>
      <c r="G364" s="44"/>
      <c r="J364" s="43"/>
      <c r="O364" s="44"/>
      <c r="P364" s="56"/>
      <c r="AQ364" s="43"/>
    </row>
    <row r="365" ht="22.5" customHeight="1">
      <c r="B365" s="43"/>
      <c r="G365" s="44"/>
      <c r="J365" s="43"/>
      <c r="O365" s="44"/>
      <c r="P365" s="56"/>
      <c r="AQ365" s="43"/>
    </row>
    <row r="366" ht="22.5" customHeight="1">
      <c r="B366" s="43"/>
      <c r="G366" s="44"/>
      <c r="J366" s="43"/>
      <c r="O366" s="44"/>
      <c r="P366" s="56"/>
      <c r="AQ366" s="43"/>
    </row>
    <row r="367" ht="22.5" customHeight="1">
      <c r="B367" s="43"/>
      <c r="G367" s="44"/>
      <c r="J367" s="43"/>
      <c r="O367" s="44"/>
      <c r="P367" s="56"/>
      <c r="AQ367" s="43"/>
    </row>
    <row r="368" ht="22.5" customHeight="1">
      <c r="B368" s="43"/>
      <c r="G368" s="44"/>
      <c r="J368" s="43"/>
      <c r="O368" s="44"/>
      <c r="P368" s="56"/>
      <c r="AQ368" s="43"/>
    </row>
    <row r="369" ht="22.5" customHeight="1">
      <c r="B369" s="43"/>
      <c r="G369" s="44"/>
      <c r="J369" s="43"/>
      <c r="O369" s="44"/>
      <c r="P369" s="56"/>
      <c r="AQ369" s="43"/>
    </row>
    <row r="370" ht="22.5" customHeight="1">
      <c r="B370" s="43"/>
      <c r="G370" s="44"/>
      <c r="J370" s="43"/>
      <c r="O370" s="44"/>
      <c r="P370" s="56"/>
      <c r="AQ370" s="43"/>
    </row>
    <row r="371" ht="22.5" customHeight="1">
      <c r="B371" s="43"/>
      <c r="G371" s="44"/>
      <c r="J371" s="43"/>
      <c r="O371" s="44"/>
      <c r="P371" s="56"/>
      <c r="AQ371" s="43"/>
    </row>
    <row r="372" ht="22.5" customHeight="1">
      <c r="B372" s="43"/>
      <c r="G372" s="44"/>
      <c r="J372" s="43"/>
      <c r="O372" s="44"/>
      <c r="P372" s="56"/>
      <c r="AQ372" s="43"/>
    </row>
    <row r="373" ht="22.5" customHeight="1">
      <c r="B373" s="43"/>
      <c r="G373" s="44"/>
      <c r="J373" s="43"/>
      <c r="O373" s="44"/>
      <c r="P373" s="56"/>
      <c r="AQ373" s="43"/>
    </row>
    <row r="374" ht="22.5" customHeight="1">
      <c r="B374" s="43"/>
      <c r="G374" s="44"/>
      <c r="J374" s="43"/>
      <c r="O374" s="44"/>
      <c r="P374" s="56"/>
      <c r="AQ374" s="43"/>
    </row>
    <row r="375" ht="22.5" customHeight="1">
      <c r="B375" s="43"/>
      <c r="G375" s="44"/>
      <c r="J375" s="43"/>
      <c r="O375" s="44"/>
      <c r="P375" s="56"/>
      <c r="AQ375" s="43"/>
    </row>
    <row r="376" ht="22.5" customHeight="1">
      <c r="B376" s="43"/>
      <c r="G376" s="44"/>
      <c r="J376" s="43"/>
      <c r="O376" s="44"/>
      <c r="P376" s="56"/>
      <c r="AQ376" s="43"/>
    </row>
    <row r="377" ht="22.5" customHeight="1">
      <c r="B377" s="43"/>
      <c r="G377" s="44"/>
      <c r="J377" s="43"/>
      <c r="O377" s="44"/>
      <c r="P377" s="56"/>
      <c r="AQ377" s="43"/>
    </row>
    <row r="378" ht="22.5" customHeight="1">
      <c r="B378" s="43"/>
      <c r="G378" s="44"/>
      <c r="J378" s="43"/>
      <c r="O378" s="44"/>
      <c r="P378" s="56"/>
      <c r="AQ378" s="43"/>
    </row>
    <row r="379" ht="22.5" customHeight="1">
      <c r="B379" s="43"/>
      <c r="G379" s="44"/>
      <c r="J379" s="43"/>
      <c r="O379" s="44"/>
      <c r="P379" s="56"/>
      <c r="AQ379" s="43"/>
    </row>
    <row r="380" ht="22.5" customHeight="1">
      <c r="B380" s="43"/>
      <c r="G380" s="44"/>
      <c r="J380" s="43"/>
      <c r="O380" s="44"/>
      <c r="P380" s="56"/>
      <c r="AQ380" s="43"/>
    </row>
    <row r="381" ht="22.5" customHeight="1">
      <c r="B381" s="43"/>
      <c r="G381" s="44"/>
      <c r="J381" s="43"/>
      <c r="O381" s="44"/>
      <c r="P381" s="56"/>
      <c r="AQ381" s="43"/>
    </row>
    <row r="382" ht="22.5" customHeight="1">
      <c r="B382" s="43"/>
      <c r="G382" s="44"/>
      <c r="J382" s="43"/>
      <c r="O382" s="44"/>
      <c r="P382" s="56"/>
      <c r="AQ382" s="43"/>
    </row>
    <row r="383" ht="22.5" customHeight="1">
      <c r="B383" s="43"/>
      <c r="G383" s="44"/>
      <c r="J383" s="43"/>
      <c r="O383" s="44"/>
      <c r="P383" s="56"/>
      <c r="AQ383" s="43"/>
    </row>
    <row r="384" ht="22.5" customHeight="1">
      <c r="B384" s="43"/>
      <c r="G384" s="44"/>
      <c r="J384" s="43"/>
      <c r="O384" s="44"/>
      <c r="P384" s="56"/>
      <c r="AQ384" s="43"/>
    </row>
    <row r="385" ht="22.5" customHeight="1">
      <c r="B385" s="43"/>
      <c r="G385" s="44"/>
      <c r="J385" s="43"/>
      <c r="O385" s="44"/>
      <c r="P385" s="56"/>
      <c r="AQ385" s="43"/>
    </row>
    <row r="386" ht="22.5" customHeight="1">
      <c r="B386" s="43"/>
      <c r="G386" s="44"/>
      <c r="J386" s="43"/>
      <c r="O386" s="44"/>
      <c r="P386" s="56"/>
      <c r="AQ386" s="43"/>
    </row>
    <row r="387" ht="22.5" customHeight="1">
      <c r="B387" s="43"/>
      <c r="G387" s="44"/>
      <c r="J387" s="43"/>
      <c r="O387" s="44"/>
      <c r="P387" s="56"/>
      <c r="AQ387" s="43"/>
    </row>
    <row r="388" ht="22.5" customHeight="1">
      <c r="B388" s="43"/>
      <c r="G388" s="44"/>
      <c r="J388" s="43"/>
      <c r="O388" s="44"/>
      <c r="P388" s="56"/>
      <c r="AQ388" s="43"/>
    </row>
    <row r="389" ht="22.5" customHeight="1">
      <c r="B389" s="43"/>
      <c r="G389" s="44"/>
      <c r="J389" s="43"/>
      <c r="O389" s="44"/>
      <c r="P389" s="56"/>
      <c r="AQ389" s="43"/>
    </row>
    <row r="390" ht="22.5" customHeight="1">
      <c r="B390" s="43"/>
      <c r="G390" s="44"/>
      <c r="J390" s="43"/>
      <c r="O390" s="44"/>
      <c r="P390" s="56"/>
      <c r="AQ390" s="43"/>
    </row>
    <row r="391" ht="22.5" customHeight="1">
      <c r="B391" s="43"/>
      <c r="G391" s="44"/>
      <c r="J391" s="43"/>
      <c r="O391" s="44"/>
      <c r="P391" s="56"/>
      <c r="AQ391" s="43"/>
    </row>
    <row r="392" ht="22.5" customHeight="1">
      <c r="B392" s="43"/>
      <c r="G392" s="44"/>
      <c r="J392" s="43"/>
      <c r="O392" s="44"/>
      <c r="P392" s="56"/>
      <c r="AQ392" s="43"/>
    </row>
    <row r="393" ht="22.5" customHeight="1">
      <c r="B393" s="43"/>
      <c r="G393" s="44"/>
      <c r="J393" s="43"/>
      <c r="O393" s="44"/>
      <c r="P393" s="56"/>
      <c r="AQ393" s="43"/>
    </row>
    <row r="394" ht="22.5" customHeight="1">
      <c r="B394" s="43"/>
      <c r="G394" s="44"/>
      <c r="J394" s="43"/>
      <c r="O394" s="44"/>
      <c r="P394" s="56"/>
      <c r="AQ394" s="43"/>
    </row>
    <row r="395" ht="22.5" customHeight="1">
      <c r="B395" s="43"/>
      <c r="G395" s="44"/>
      <c r="J395" s="43"/>
      <c r="O395" s="44"/>
      <c r="P395" s="56"/>
      <c r="AQ395" s="43"/>
    </row>
    <row r="396" ht="22.5" customHeight="1">
      <c r="B396" s="43"/>
      <c r="G396" s="44"/>
      <c r="J396" s="43"/>
      <c r="O396" s="44"/>
      <c r="P396" s="56"/>
      <c r="AQ396" s="43"/>
    </row>
    <row r="397" ht="22.5" customHeight="1">
      <c r="B397" s="43"/>
      <c r="G397" s="44"/>
      <c r="J397" s="43"/>
      <c r="O397" s="44"/>
      <c r="P397" s="56"/>
      <c r="AQ397" s="43"/>
    </row>
    <row r="398" ht="22.5" customHeight="1">
      <c r="B398" s="43"/>
      <c r="G398" s="44"/>
      <c r="J398" s="43"/>
      <c r="O398" s="44"/>
      <c r="P398" s="56"/>
      <c r="AQ398" s="43"/>
    </row>
    <row r="399" ht="22.5" customHeight="1">
      <c r="B399" s="43"/>
      <c r="G399" s="44"/>
      <c r="J399" s="43"/>
      <c r="O399" s="44"/>
      <c r="P399" s="56"/>
      <c r="AQ399" s="43"/>
    </row>
    <row r="400" ht="22.5" customHeight="1">
      <c r="B400" s="43"/>
      <c r="G400" s="44"/>
      <c r="J400" s="43"/>
      <c r="O400" s="44"/>
      <c r="P400" s="56"/>
      <c r="AQ400" s="43"/>
    </row>
    <row r="401" ht="22.5" customHeight="1">
      <c r="B401" s="43"/>
      <c r="G401" s="44"/>
      <c r="J401" s="43"/>
      <c r="O401" s="44"/>
      <c r="P401" s="56"/>
      <c r="AQ401" s="43"/>
    </row>
    <row r="402" ht="22.5" customHeight="1">
      <c r="B402" s="43"/>
      <c r="G402" s="44"/>
      <c r="J402" s="43"/>
      <c r="O402" s="44"/>
      <c r="P402" s="56"/>
      <c r="AQ402" s="43"/>
    </row>
    <row r="403" ht="22.5" customHeight="1">
      <c r="B403" s="43"/>
      <c r="G403" s="44"/>
      <c r="J403" s="43"/>
      <c r="O403" s="44"/>
      <c r="P403" s="56"/>
      <c r="AQ403" s="43"/>
    </row>
    <row r="404" ht="22.5" customHeight="1">
      <c r="B404" s="43"/>
      <c r="G404" s="44"/>
      <c r="J404" s="43"/>
      <c r="O404" s="44"/>
      <c r="P404" s="56"/>
      <c r="AQ404" s="43"/>
    </row>
    <row r="405" ht="22.5" customHeight="1">
      <c r="B405" s="43"/>
      <c r="G405" s="44"/>
      <c r="J405" s="43"/>
      <c r="O405" s="44"/>
      <c r="P405" s="56"/>
      <c r="AQ405" s="43"/>
    </row>
    <row r="406" ht="22.5" customHeight="1">
      <c r="B406" s="43"/>
      <c r="G406" s="44"/>
      <c r="J406" s="43"/>
      <c r="O406" s="44"/>
      <c r="P406" s="56"/>
      <c r="AQ406" s="43"/>
    </row>
    <row r="407" ht="22.5" customHeight="1">
      <c r="B407" s="43"/>
      <c r="G407" s="44"/>
      <c r="J407" s="43"/>
      <c r="O407" s="44"/>
      <c r="P407" s="56"/>
      <c r="AQ407" s="43"/>
    </row>
    <row r="408" ht="22.5" customHeight="1">
      <c r="B408" s="43"/>
      <c r="G408" s="44"/>
      <c r="J408" s="43"/>
      <c r="O408" s="44"/>
      <c r="P408" s="56"/>
      <c r="AQ408" s="43"/>
    </row>
    <row r="409" ht="22.5" customHeight="1">
      <c r="B409" s="43"/>
      <c r="G409" s="44"/>
      <c r="J409" s="43"/>
      <c r="O409" s="44"/>
      <c r="P409" s="56"/>
      <c r="AQ409" s="43"/>
    </row>
    <row r="410" ht="22.5" customHeight="1">
      <c r="B410" s="43"/>
      <c r="G410" s="44"/>
      <c r="J410" s="43"/>
      <c r="O410" s="44"/>
      <c r="P410" s="56"/>
      <c r="AQ410" s="43"/>
    </row>
    <row r="411" ht="22.5" customHeight="1">
      <c r="B411" s="43"/>
      <c r="G411" s="44"/>
      <c r="J411" s="43"/>
      <c r="O411" s="44"/>
      <c r="P411" s="56"/>
      <c r="AQ411" s="43"/>
    </row>
    <row r="412" ht="22.5" customHeight="1">
      <c r="B412" s="43"/>
      <c r="G412" s="44"/>
      <c r="J412" s="43"/>
      <c r="O412" s="44"/>
      <c r="P412" s="56"/>
      <c r="AQ412" s="43"/>
    </row>
    <row r="413" ht="22.5" customHeight="1">
      <c r="B413" s="43"/>
      <c r="G413" s="44"/>
      <c r="J413" s="43"/>
      <c r="O413" s="44"/>
      <c r="P413" s="56"/>
      <c r="AQ413" s="43"/>
    </row>
    <row r="414" ht="22.5" customHeight="1">
      <c r="B414" s="43"/>
      <c r="G414" s="44"/>
      <c r="J414" s="43"/>
      <c r="O414" s="44"/>
      <c r="P414" s="56"/>
      <c r="AQ414" s="43"/>
    </row>
    <row r="415" ht="22.5" customHeight="1">
      <c r="B415" s="43"/>
      <c r="G415" s="44"/>
      <c r="J415" s="43"/>
      <c r="O415" s="44"/>
      <c r="P415" s="56"/>
      <c r="AQ415" s="43"/>
    </row>
    <row r="416" ht="22.5" customHeight="1">
      <c r="B416" s="43"/>
      <c r="G416" s="44"/>
      <c r="J416" s="43"/>
      <c r="O416" s="44"/>
      <c r="P416" s="56"/>
      <c r="AQ416" s="43"/>
    </row>
    <row r="417" ht="22.5" customHeight="1">
      <c r="B417" s="43"/>
      <c r="G417" s="44"/>
      <c r="J417" s="43"/>
      <c r="O417" s="44"/>
      <c r="P417" s="56"/>
      <c r="AQ417" s="43"/>
    </row>
    <row r="418" ht="22.5" customHeight="1">
      <c r="B418" s="43"/>
      <c r="G418" s="44"/>
      <c r="J418" s="43"/>
      <c r="O418" s="44"/>
      <c r="P418" s="56"/>
      <c r="AQ418" s="43"/>
    </row>
    <row r="419" ht="22.5" customHeight="1">
      <c r="B419" s="43"/>
      <c r="G419" s="44"/>
      <c r="J419" s="43"/>
      <c r="O419" s="44"/>
      <c r="P419" s="56"/>
      <c r="AQ419" s="43"/>
    </row>
    <row r="420" ht="22.5" customHeight="1">
      <c r="B420" s="43"/>
      <c r="G420" s="44"/>
      <c r="J420" s="43"/>
      <c r="O420" s="44"/>
      <c r="P420" s="56"/>
      <c r="AQ420" s="43"/>
    </row>
    <row r="421" ht="22.5" customHeight="1">
      <c r="B421" s="43"/>
      <c r="G421" s="44"/>
      <c r="J421" s="43"/>
      <c r="O421" s="44"/>
      <c r="P421" s="56"/>
      <c r="AQ421" s="43"/>
    </row>
    <row r="422" ht="22.5" customHeight="1">
      <c r="B422" s="43"/>
      <c r="G422" s="44"/>
      <c r="J422" s="43"/>
      <c r="O422" s="44"/>
      <c r="P422" s="56"/>
      <c r="AQ422" s="43"/>
    </row>
    <row r="423" ht="22.5" customHeight="1">
      <c r="B423" s="43"/>
      <c r="G423" s="44"/>
      <c r="J423" s="43"/>
      <c r="O423" s="44"/>
      <c r="P423" s="56"/>
      <c r="AQ423" s="43"/>
    </row>
    <row r="424" ht="22.5" customHeight="1">
      <c r="B424" s="43"/>
      <c r="G424" s="44"/>
      <c r="J424" s="43"/>
      <c r="O424" s="44"/>
      <c r="P424" s="56"/>
      <c r="AQ424" s="43"/>
    </row>
    <row r="425" ht="22.5" customHeight="1">
      <c r="B425" s="43"/>
      <c r="G425" s="44"/>
      <c r="J425" s="43"/>
      <c r="O425" s="44"/>
      <c r="P425" s="56"/>
      <c r="AQ425" s="43"/>
    </row>
    <row r="426" ht="22.5" customHeight="1">
      <c r="B426" s="43"/>
      <c r="G426" s="44"/>
      <c r="J426" s="43"/>
      <c r="O426" s="44"/>
      <c r="P426" s="56"/>
      <c r="AQ426" s="43"/>
    </row>
    <row r="427" ht="22.5" customHeight="1">
      <c r="B427" s="43"/>
      <c r="G427" s="44"/>
      <c r="J427" s="43"/>
      <c r="O427" s="44"/>
      <c r="P427" s="56"/>
      <c r="AQ427" s="43"/>
    </row>
    <row r="428" ht="22.5" customHeight="1">
      <c r="B428" s="43"/>
      <c r="G428" s="44"/>
      <c r="J428" s="43"/>
      <c r="O428" s="44"/>
      <c r="P428" s="56"/>
      <c r="AQ428" s="43"/>
    </row>
    <row r="429" ht="22.5" customHeight="1">
      <c r="B429" s="43"/>
      <c r="G429" s="44"/>
      <c r="J429" s="43"/>
      <c r="O429" s="44"/>
      <c r="P429" s="56"/>
      <c r="AQ429" s="43"/>
    </row>
    <row r="430" ht="22.5" customHeight="1">
      <c r="B430" s="43"/>
      <c r="G430" s="44"/>
      <c r="J430" s="43"/>
      <c r="O430" s="44"/>
      <c r="P430" s="56"/>
      <c r="AQ430" s="43"/>
    </row>
    <row r="431" ht="22.5" customHeight="1">
      <c r="B431" s="43"/>
      <c r="G431" s="44"/>
      <c r="J431" s="43"/>
      <c r="O431" s="44"/>
      <c r="P431" s="56"/>
      <c r="AQ431" s="43"/>
    </row>
    <row r="432" ht="22.5" customHeight="1">
      <c r="B432" s="43"/>
      <c r="G432" s="44"/>
      <c r="J432" s="43"/>
      <c r="O432" s="44"/>
      <c r="P432" s="56"/>
      <c r="AQ432" s="43"/>
    </row>
    <row r="433" ht="22.5" customHeight="1">
      <c r="B433" s="43"/>
      <c r="G433" s="44"/>
      <c r="J433" s="43"/>
      <c r="O433" s="44"/>
      <c r="P433" s="56"/>
      <c r="AQ433" s="43"/>
    </row>
    <row r="434" ht="22.5" customHeight="1">
      <c r="B434" s="43"/>
      <c r="G434" s="44"/>
      <c r="J434" s="43"/>
      <c r="O434" s="44"/>
      <c r="P434" s="56"/>
      <c r="AQ434" s="43"/>
    </row>
    <row r="435" ht="22.5" customHeight="1">
      <c r="B435" s="43"/>
      <c r="G435" s="44"/>
      <c r="J435" s="43"/>
      <c r="O435" s="44"/>
      <c r="P435" s="56"/>
      <c r="AQ435" s="43"/>
    </row>
    <row r="436" ht="22.5" customHeight="1">
      <c r="B436" s="43"/>
      <c r="G436" s="44"/>
      <c r="J436" s="43"/>
      <c r="O436" s="44"/>
      <c r="P436" s="56"/>
      <c r="AQ436" s="43"/>
    </row>
    <row r="437" ht="22.5" customHeight="1">
      <c r="B437" s="43"/>
      <c r="G437" s="44"/>
      <c r="J437" s="43"/>
      <c r="O437" s="44"/>
      <c r="P437" s="56"/>
      <c r="AQ437" s="43"/>
    </row>
    <row r="438" ht="22.5" customHeight="1">
      <c r="B438" s="43"/>
      <c r="G438" s="44"/>
      <c r="J438" s="43"/>
      <c r="O438" s="44"/>
      <c r="P438" s="56"/>
      <c r="AQ438" s="43"/>
    </row>
    <row r="439" ht="22.5" customHeight="1">
      <c r="B439" s="43"/>
      <c r="G439" s="44"/>
      <c r="J439" s="43"/>
      <c r="O439" s="44"/>
      <c r="P439" s="56"/>
      <c r="AQ439" s="43"/>
    </row>
    <row r="440" ht="22.5" customHeight="1">
      <c r="B440" s="43"/>
      <c r="G440" s="44"/>
      <c r="J440" s="43"/>
      <c r="O440" s="44"/>
      <c r="P440" s="56"/>
      <c r="AQ440" s="43"/>
    </row>
    <row r="441" ht="22.5" customHeight="1">
      <c r="B441" s="43"/>
      <c r="G441" s="44"/>
      <c r="J441" s="43"/>
      <c r="O441" s="44"/>
      <c r="P441" s="56"/>
      <c r="AQ441" s="43"/>
    </row>
    <row r="442" ht="22.5" customHeight="1">
      <c r="B442" s="43"/>
      <c r="G442" s="44"/>
      <c r="J442" s="43"/>
      <c r="O442" s="44"/>
      <c r="P442" s="56"/>
      <c r="AQ442" s="43"/>
    </row>
    <row r="443" ht="22.5" customHeight="1">
      <c r="B443" s="43"/>
      <c r="G443" s="44"/>
      <c r="J443" s="43"/>
      <c r="O443" s="44"/>
      <c r="P443" s="56"/>
      <c r="AQ443" s="43"/>
    </row>
    <row r="444" ht="22.5" customHeight="1">
      <c r="B444" s="43"/>
      <c r="G444" s="44"/>
      <c r="J444" s="43"/>
      <c r="O444" s="44"/>
      <c r="P444" s="56"/>
      <c r="AQ444" s="43"/>
    </row>
    <row r="445" ht="22.5" customHeight="1">
      <c r="B445" s="43"/>
      <c r="G445" s="44"/>
      <c r="J445" s="43"/>
      <c r="O445" s="44"/>
      <c r="P445" s="56"/>
      <c r="AQ445" s="43"/>
    </row>
    <row r="446" ht="22.5" customHeight="1">
      <c r="B446" s="43"/>
      <c r="G446" s="44"/>
      <c r="J446" s="43"/>
      <c r="O446" s="44"/>
      <c r="P446" s="56"/>
      <c r="AQ446" s="43"/>
    </row>
    <row r="447" ht="22.5" customHeight="1">
      <c r="B447" s="43"/>
      <c r="G447" s="44"/>
      <c r="J447" s="43"/>
      <c r="O447" s="44"/>
      <c r="P447" s="56"/>
      <c r="AQ447" s="43"/>
    </row>
    <row r="448" ht="22.5" customHeight="1">
      <c r="B448" s="43"/>
      <c r="G448" s="44"/>
      <c r="J448" s="43"/>
      <c r="O448" s="44"/>
      <c r="P448" s="56"/>
      <c r="AQ448" s="43"/>
    </row>
    <row r="449" ht="22.5" customHeight="1">
      <c r="B449" s="43"/>
      <c r="G449" s="44"/>
      <c r="J449" s="43"/>
      <c r="O449" s="44"/>
      <c r="P449" s="56"/>
      <c r="AQ449" s="43"/>
    </row>
    <row r="450" ht="22.5" customHeight="1">
      <c r="B450" s="43"/>
      <c r="G450" s="44"/>
      <c r="J450" s="43"/>
      <c r="O450" s="44"/>
      <c r="P450" s="56"/>
      <c r="AQ450" s="43"/>
    </row>
    <row r="451" ht="22.5" customHeight="1">
      <c r="B451" s="43"/>
      <c r="G451" s="44"/>
      <c r="J451" s="43"/>
      <c r="O451" s="44"/>
      <c r="P451" s="56"/>
      <c r="AQ451" s="43"/>
    </row>
    <row r="452" ht="22.5" customHeight="1">
      <c r="B452" s="43"/>
      <c r="G452" s="44"/>
      <c r="J452" s="43"/>
      <c r="O452" s="44"/>
      <c r="P452" s="56"/>
      <c r="AQ452" s="43"/>
    </row>
    <row r="453" ht="22.5" customHeight="1">
      <c r="B453" s="43"/>
      <c r="G453" s="44"/>
      <c r="J453" s="43"/>
      <c r="O453" s="44"/>
      <c r="P453" s="56"/>
      <c r="AQ453" s="43"/>
    </row>
    <row r="454" ht="22.5" customHeight="1">
      <c r="B454" s="43"/>
      <c r="G454" s="44"/>
      <c r="J454" s="43"/>
      <c r="O454" s="44"/>
      <c r="P454" s="56"/>
      <c r="AQ454" s="43"/>
    </row>
    <row r="455" ht="22.5" customHeight="1">
      <c r="B455" s="43"/>
      <c r="G455" s="44"/>
      <c r="J455" s="43"/>
      <c r="O455" s="44"/>
      <c r="P455" s="56"/>
      <c r="AQ455" s="43"/>
    </row>
    <row r="456" ht="22.5" customHeight="1">
      <c r="B456" s="43"/>
      <c r="G456" s="44"/>
      <c r="J456" s="43"/>
      <c r="O456" s="44"/>
      <c r="P456" s="56"/>
      <c r="AQ456" s="43"/>
    </row>
    <row r="457" ht="22.5" customHeight="1">
      <c r="B457" s="43"/>
      <c r="G457" s="44"/>
      <c r="J457" s="43"/>
      <c r="O457" s="44"/>
      <c r="P457" s="56"/>
      <c r="AQ457" s="43"/>
    </row>
    <row r="458" ht="22.5" customHeight="1">
      <c r="B458" s="43"/>
      <c r="G458" s="44"/>
      <c r="J458" s="43"/>
      <c r="O458" s="44"/>
      <c r="P458" s="56"/>
      <c r="AQ458" s="43"/>
    </row>
    <row r="459" ht="22.5" customHeight="1">
      <c r="B459" s="43"/>
      <c r="G459" s="44"/>
      <c r="J459" s="43"/>
      <c r="O459" s="44"/>
      <c r="P459" s="56"/>
      <c r="AQ459" s="43"/>
    </row>
    <row r="460" ht="22.5" customHeight="1">
      <c r="B460" s="43"/>
      <c r="G460" s="44"/>
      <c r="J460" s="43"/>
      <c r="O460" s="44"/>
      <c r="P460" s="56"/>
      <c r="AQ460" s="43"/>
    </row>
    <row r="461" ht="22.5" customHeight="1">
      <c r="B461" s="43"/>
      <c r="G461" s="44"/>
      <c r="J461" s="43"/>
      <c r="O461" s="44"/>
      <c r="P461" s="56"/>
      <c r="AQ461" s="43"/>
    </row>
    <row r="462" ht="22.5" customHeight="1">
      <c r="B462" s="43"/>
      <c r="G462" s="44"/>
      <c r="J462" s="43"/>
      <c r="O462" s="44"/>
      <c r="P462" s="56"/>
      <c r="AQ462" s="43"/>
    </row>
    <row r="463" ht="22.5" customHeight="1">
      <c r="B463" s="43"/>
      <c r="G463" s="44"/>
      <c r="J463" s="43"/>
      <c r="O463" s="44"/>
      <c r="P463" s="56"/>
      <c r="AQ463" s="43"/>
    </row>
    <row r="464" ht="22.5" customHeight="1">
      <c r="B464" s="43"/>
      <c r="G464" s="44"/>
      <c r="J464" s="43"/>
      <c r="O464" s="44"/>
      <c r="P464" s="56"/>
      <c r="AQ464" s="43"/>
    </row>
    <row r="465" ht="22.5" customHeight="1">
      <c r="B465" s="43"/>
      <c r="G465" s="44"/>
      <c r="J465" s="43"/>
      <c r="O465" s="44"/>
      <c r="P465" s="56"/>
      <c r="AQ465" s="43"/>
    </row>
    <row r="466" ht="22.5" customHeight="1">
      <c r="B466" s="43"/>
      <c r="G466" s="44"/>
      <c r="J466" s="43"/>
      <c r="O466" s="44"/>
      <c r="P466" s="56"/>
      <c r="AQ466" s="43"/>
    </row>
    <row r="467" ht="22.5" customHeight="1">
      <c r="B467" s="43"/>
      <c r="G467" s="44"/>
      <c r="J467" s="43"/>
      <c r="O467" s="44"/>
      <c r="P467" s="56"/>
      <c r="AQ467" s="43"/>
    </row>
    <row r="468" ht="22.5" customHeight="1">
      <c r="B468" s="43"/>
      <c r="G468" s="44"/>
      <c r="J468" s="43"/>
      <c r="O468" s="44"/>
      <c r="P468" s="56"/>
      <c r="AQ468" s="43"/>
    </row>
    <row r="469" ht="22.5" customHeight="1">
      <c r="B469" s="43"/>
      <c r="G469" s="44"/>
      <c r="J469" s="43"/>
      <c r="O469" s="44"/>
      <c r="P469" s="56"/>
      <c r="AQ469" s="43"/>
    </row>
    <row r="470" ht="22.5" customHeight="1">
      <c r="B470" s="43"/>
      <c r="G470" s="44"/>
      <c r="J470" s="43"/>
      <c r="O470" s="44"/>
      <c r="P470" s="56"/>
      <c r="AQ470" s="43"/>
    </row>
    <row r="471" ht="22.5" customHeight="1">
      <c r="B471" s="43"/>
      <c r="G471" s="44"/>
      <c r="J471" s="43"/>
      <c r="O471" s="44"/>
      <c r="P471" s="56"/>
      <c r="AQ471" s="43"/>
    </row>
    <row r="472" ht="22.5" customHeight="1">
      <c r="B472" s="43"/>
      <c r="G472" s="44"/>
      <c r="J472" s="43"/>
      <c r="O472" s="44"/>
      <c r="P472" s="56"/>
      <c r="AQ472" s="43"/>
    </row>
    <row r="473" ht="22.5" customHeight="1">
      <c r="B473" s="43"/>
      <c r="G473" s="44"/>
      <c r="J473" s="43"/>
      <c r="O473" s="44"/>
      <c r="P473" s="56"/>
      <c r="AQ473" s="43"/>
    </row>
    <row r="474" ht="22.5" customHeight="1">
      <c r="B474" s="43"/>
      <c r="G474" s="44"/>
      <c r="J474" s="43"/>
      <c r="O474" s="44"/>
      <c r="P474" s="56"/>
      <c r="AQ474" s="43"/>
    </row>
    <row r="475" ht="22.5" customHeight="1">
      <c r="B475" s="43"/>
      <c r="G475" s="44"/>
      <c r="J475" s="43"/>
      <c r="O475" s="44"/>
      <c r="P475" s="56"/>
      <c r="AQ475" s="43"/>
    </row>
    <row r="476" ht="22.5" customHeight="1">
      <c r="B476" s="43"/>
      <c r="G476" s="44"/>
      <c r="J476" s="43"/>
      <c r="O476" s="44"/>
      <c r="P476" s="56"/>
      <c r="AQ476" s="43"/>
    </row>
    <row r="477" ht="22.5" customHeight="1">
      <c r="B477" s="43"/>
      <c r="G477" s="44"/>
      <c r="J477" s="43"/>
      <c r="O477" s="44"/>
      <c r="P477" s="56"/>
      <c r="AQ477" s="43"/>
    </row>
    <row r="478" ht="22.5" customHeight="1">
      <c r="B478" s="43"/>
      <c r="G478" s="44"/>
      <c r="J478" s="43"/>
      <c r="O478" s="44"/>
      <c r="P478" s="56"/>
      <c r="AQ478" s="43"/>
    </row>
    <row r="479" ht="22.5" customHeight="1">
      <c r="B479" s="43"/>
      <c r="G479" s="44"/>
      <c r="J479" s="43"/>
      <c r="O479" s="44"/>
      <c r="P479" s="56"/>
      <c r="AQ479" s="43"/>
    </row>
    <row r="480" ht="22.5" customHeight="1">
      <c r="B480" s="43"/>
      <c r="G480" s="44"/>
      <c r="J480" s="43"/>
      <c r="O480" s="44"/>
      <c r="P480" s="56"/>
      <c r="AQ480" s="43"/>
    </row>
    <row r="481" ht="22.5" customHeight="1">
      <c r="B481" s="43"/>
      <c r="G481" s="44"/>
      <c r="J481" s="43"/>
      <c r="O481" s="44"/>
      <c r="P481" s="56"/>
      <c r="AQ481" s="43"/>
    </row>
    <row r="482" ht="22.5" customHeight="1">
      <c r="B482" s="43"/>
      <c r="G482" s="44"/>
      <c r="J482" s="43"/>
      <c r="O482" s="44"/>
      <c r="P482" s="56"/>
      <c r="AQ482" s="43"/>
    </row>
    <row r="483" ht="22.5" customHeight="1">
      <c r="B483" s="43"/>
      <c r="G483" s="44"/>
      <c r="J483" s="43"/>
      <c r="O483" s="44"/>
      <c r="P483" s="56"/>
      <c r="AQ483" s="43"/>
    </row>
    <row r="484" ht="22.5" customHeight="1">
      <c r="B484" s="43"/>
      <c r="G484" s="44"/>
      <c r="J484" s="43"/>
      <c r="O484" s="44"/>
      <c r="P484" s="56"/>
      <c r="AQ484" s="43"/>
    </row>
    <row r="485" ht="22.5" customHeight="1">
      <c r="B485" s="43"/>
      <c r="G485" s="44"/>
      <c r="J485" s="43"/>
      <c r="O485" s="44"/>
      <c r="P485" s="56"/>
      <c r="AQ485" s="43"/>
    </row>
    <row r="486" ht="22.5" customHeight="1">
      <c r="B486" s="43"/>
      <c r="G486" s="44"/>
      <c r="J486" s="43"/>
      <c r="O486" s="44"/>
      <c r="P486" s="56"/>
      <c r="AQ486" s="43"/>
    </row>
    <row r="487" ht="22.5" customHeight="1">
      <c r="B487" s="43"/>
      <c r="G487" s="44"/>
      <c r="J487" s="43"/>
      <c r="O487" s="44"/>
      <c r="P487" s="56"/>
      <c r="AQ487" s="43"/>
    </row>
    <row r="488" ht="22.5" customHeight="1">
      <c r="B488" s="43"/>
      <c r="G488" s="44"/>
      <c r="J488" s="43"/>
      <c r="O488" s="44"/>
      <c r="P488" s="56"/>
      <c r="AQ488" s="43"/>
    </row>
    <row r="489" ht="22.5" customHeight="1">
      <c r="B489" s="43"/>
      <c r="G489" s="44"/>
      <c r="J489" s="43"/>
      <c r="O489" s="44"/>
      <c r="P489" s="56"/>
      <c r="AQ489" s="43"/>
    </row>
    <row r="490" ht="22.5" customHeight="1">
      <c r="B490" s="43"/>
      <c r="G490" s="44"/>
      <c r="J490" s="43"/>
      <c r="O490" s="44"/>
      <c r="P490" s="56"/>
      <c r="AQ490" s="43"/>
    </row>
    <row r="491" ht="22.5" customHeight="1">
      <c r="B491" s="43"/>
      <c r="G491" s="44"/>
      <c r="J491" s="43"/>
      <c r="O491" s="44"/>
      <c r="P491" s="56"/>
      <c r="AQ491" s="43"/>
    </row>
    <row r="492" ht="22.5" customHeight="1">
      <c r="B492" s="43"/>
      <c r="G492" s="44"/>
      <c r="J492" s="43"/>
      <c r="O492" s="44"/>
      <c r="P492" s="56"/>
      <c r="AQ492" s="43"/>
    </row>
    <row r="493" ht="22.5" customHeight="1">
      <c r="B493" s="43"/>
      <c r="G493" s="44"/>
      <c r="J493" s="43"/>
      <c r="O493" s="44"/>
      <c r="P493" s="56"/>
      <c r="AQ493" s="43"/>
    </row>
    <row r="494" ht="22.5" customHeight="1">
      <c r="B494" s="43"/>
      <c r="G494" s="44"/>
      <c r="J494" s="43"/>
      <c r="O494" s="44"/>
      <c r="P494" s="56"/>
      <c r="AQ494" s="43"/>
    </row>
    <row r="495" ht="22.5" customHeight="1">
      <c r="B495" s="43"/>
      <c r="G495" s="44"/>
      <c r="J495" s="43"/>
      <c r="O495" s="44"/>
      <c r="P495" s="56"/>
      <c r="AQ495" s="43"/>
    </row>
    <row r="496" ht="22.5" customHeight="1">
      <c r="B496" s="43"/>
      <c r="G496" s="44"/>
      <c r="J496" s="43"/>
      <c r="O496" s="44"/>
      <c r="P496" s="56"/>
      <c r="AQ496" s="43"/>
    </row>
    <row r="497" ht="22.5" customHeight="1">
      <c r="B497" s="43"/>
      <c r="G497" s="44"/>
      <c r="J497" s="43"/>
      <c r="O497" s="44"/>
      <c r="P497" s="56"/>
      <c r="AQ497" s="43"/>
    </row>
    <row r="498" ht="22.5" customHeight="1">
      <c r="B498" s="43"/>
      <c r="G498" s="44"/>
      <c r="J498" s="43"/>
      <c r="O498" s="44"/>
      <c r="P498" s="56"/>
      <c r="AQ498" s="43"/>
    </row>
    <row r="499" ht="22.5" customHeight="1">
      <c r="B499" s="43"/>
      <c r="G499" s="44"/>
      <c r="J499" s="43"/>
      <c r="O499" s="44"/>
      <c r="P499" s="56"/>
      <c r="AQ499" s="43"/>
    </row>
    <row r="500" ht="22.5" customHeight="1">
      <c r="B500" s="43"/>
      <c r="G500" s="44"/>
      <c r="J500" s="43"/>
      <c r="O500" s="44"/>
      <c r="P500" s="56"/>
      <c r="AQ500" s="43"/>
    </row>
    <row r="501" ht="22.5" customHeight="1">
      <c r="B501" s="43"/>
      <c r="G501" s="44"/>
      <c r="J501" s="43"/>
      <c r="O501" s="44"/>
      <c r="P501" s="56"/>
      <c r="AQ501" s="43"/>
    </row>
    <row r="502" ht="22.5" customHeight="1">
      <c r="B502" s="43"/>
      <c r="G502" s="44"/>
      <c r="J502" s="43"/>
      <c r="O502" s="44"/>
      <c r="P502" s="56"/>
      <c r="AQ502" s="43"/>
    </row>
    <row r="503" ht="22.5" customHeight="1">
      <c r="B503" s="43"/>
      <c r="G503" s="44"/>
      <c r="J503" s="43"/>
      <c r="O503" s="44"/>
      <c r="P503" s="56"/>
      <c r="AQ503" s="43"/>
    </row>
    <row r="504" ht="22.5" customHeight="1">
      <c r="B504" s="43"/>
      <c r="G504" s="44"/>
      <c r="J504" s="43"/>
      <c r="O504" s="44"/>
      <c r="P504" s="56"/>
      <c r="AQ504" s="43"/>
    </row>
    <row r="505" ht="22.5" customHeight="1">
      <c r="B505" s="43"/>
      <c r="G505" s="44"/>
      <c r="J505" s="43"/>
      <c r="O505" s="44"/>
      <c r="P505" s="56"/>
      <c r="AQ505" s="43"/>
    </row>
    <row r="506" ht="22.5" customHeight="1">
      <c r="B506" s="43"/>
      <c r="G506" s="44"/>
      <c r="J506" s="43"/>
      <c r="O506" s="44"/>
      <c r="P506" s="56"/>
      <c r="AQ506" s="43"/>
    </row>
    <row r="507" ht="22.5" customHeight="1">
      <c r="B507" s="43"/>
      <c r="G507" s="44"/>
      <c r="J507" s="43"/>
      <c r="O507" s="44"/>
      <c r="P507" s="56"/>
      <c r="AQ507" s="43"/>
    </row>
    <row r="508" ht="22.5" customHeight="1">
      <c r="B508" s="43"/>
      <c r="G508" s="44"/>
      <c r="J508" s="43"/>
      <c r="O508" s="44"/>
      <c r="P508" s="56"/>
      <c r="AQ508" s="43"/>
    </row>
    <row r="509" ht="22.5" customHeight="1">
      <c r="B509" s="43"/>
      <c r="G509" s="44"/>
      <c r="J509" s="43"/>
      <c r="O509" s="44"/>
      <c r="P509" s="56"/>
      <c r="AQ509" s="43"/>
    </row>
    <row r="510" ht="22.5" customHeight="1">
      <c r="B510" s="43"/>
      <c r="G510" s="44"/>
      <c r="J510" s="43"/>
      <c r="O510" s="44"/>
      <c r="P510" s="56"/>
      <c r="AQ510" s="43"/>
    </row>
    <row r="511" ht="22.5" customHeight="1">
      <c r="B511" s="43"/>
      <c r="G511" s="44"/>
      <c r="J511" s="43"/>
      <c r="O511" s="44"/>
      <c r="P511" s="56"/>
      <c r="AQ511" s="43"/>
    </row>
    <row r="512" ht="22.5" customHeight="1">
      <c r="B512" s="43"/>
      <c r="G512" s="44"/>
      <c r="J512" s="43"/>
      <c r="O512" s="44"/>
      <c r="P512" s="56"/>
      <c r="AQ512" s="43"/>
    </row>
    <row r="513" ht="22.5" customHeight="1">
      <c r="B513" s="43"/>
      <c r="G513" s="44"/>
      <c r="J513" s="43"/>
      <c r="O513" s="44"/>
      <c r="P513" s="56"/>
      <c r="AQ513" s="43"/>
    </row>
    <row r="514" ht="22.5" customHeight="1">
      <c r="B514" s="43"/>
      <c r="G514" s="44"/>
      <c r="J514" s="43"/>
      <c r="O514" s="44"/>
      <c r="P514" s="56"/>
      <c r="AQ514" s="43"/>
    </row>
    <row r="515" ht="22.5" customHeight="1">
      <c r="B515" s="43"/>
      <c r="G515" s="44"/>
      <c r="J515" s="43"/>
      <c r="O515" s="44"/>
      <c r="P515" s="56"/>
      <c r="AQ515" s="43"/>
    </row>
    <row r="516" ht="22.5" customHeight="1">
      <c r="B516" s="43"/>
      <c r="G516" s="44"/>
      <c r="J516" s="43"/>
      <c r="O516" s="44"/>
      <c r="P516" s="56"/>
      <c r="AQ516" s="43"/>
    </row>
    <row r="517" ht="22.5" customHeight="1">
      <c r="B517" s="43"/>
      <c r="G517" s="44"/>
      <c r="J517" s="43"/>
      <c r="O517" s="44"/>
      <c r="P517" s="56"/>
      <c r="AQ517" s="43"/>
    </row>
    <row r="518" ht="22.5" customHeight="1">
      <c r="B518" s="43"/>
      <c r="G518" s="44"/>
      <c r="J518" s="43"/>
      <c r="O518" s="44"/>
      <c r="P518" s="56"/>
    </row>
    <row r="519" ht="22.5" customHeight="1">
      <c r="B519" s="43"/>
      <c r="G519" s="44"/>
      <c r="J519" s="43"/>
      <c r="O519" s="44"/>
      <c r="P519" s="56"/>
    </row>
    <row r="520" ht="22.5" customHeight="1">
      <c r="B520" s="43"/>
      <c r="G520" s="44"/>
      <c r="J520" s="43"/>
      <c r="O520" s="44"/>
      <c r="P520" s="56"/>
    </row>
    <row r="521" ht="22.5" customHeight="1">
      <c r="B521" s="43"/>
      <c r="G521" s="44"/>
      <c r="J521" s="43"/>
      <c r="O521" s="44"/>
      <c r="P521" s="56"/>
    </row>
    <row r="522" ht="22.5" customHeight="1">
      <c r="B522" s="43"/>
      <c r="G522" s="44"/>
      <c r="J522" s="43"/>
      <c r="O522" s="44"/>
      <c r="P522" s="56"/>
    </row>
    <row r="523" ht="22.5" customHeight="1">
      <c r="B523" s="43"/>
      <c r="G523" s="44"/>
      <c r="J523" s="43"/>
      <c r="O523" s="44"/>
      <c r="P523" s="56"/>
    </row>
    <row r="524" ht="22.5" customHeight="1">
      <c r="B524" s="43"/>
      <c r="G524" s="44"/>
      <c r="J524" s="43"/>
      <c r="O524" s="44"/>
      <c r="P524" s="56"/>
    </row>
    <row r="525" ht="22.5" customHeight="1">
      <c r="B525" s="43"/>
      <c r="G525" s="44"/>
      <c r="J525" s="43"/>
      <c r="O525" s="44"/>
      <c r="P525" s="56"/>
    </row>
    <row r="526" ht="22.5" customHeight="1">
      <c r="B526" s="43"/>
      <c r="G526" s="44"/>
      <c r="J526" s="43"/>
      <c r="O526" s="44"/>
      <c r="P526" s="56"/>
    </row>
    <row r="527" ht="22.5" customHeight="1">
      <c r="B527" s="43"/>
      <c r="G527" s="44"/>
      <c r="J527" s="43"/>
      <c r="O527" s="44"/>
      <c r="P527" s="56"/>
    </row>
    <row r="528" ht="22.5" customHeight="1">
      <c r="B528" s="43"/>
      <c r="G528" s="44"/>
      <c r="J528" s="43"/>
      <c r="O528" s="44"/>
      <c r="P528" s="56"/>
    </row>
    <row r="529" ht="22.5" customHeight="1">
      <c r="B529" s="43"/>
      <c r="G529" s="44"/>
      <c r="J529" s="43"/>
      <c r="O529" s="44"/>
      <c r="P529" s="56"/>
    </row>
    <row r="530" ht="22.5" customHeight="1">
      <c r="B530" s="43"/>
      <c r="G530" s="44"/>
      <c r="J530" s="43"/>
      <c r="O530" s="44"/>
      <c r="P530" s="56"/>
    </row>
    <row r="531" ht="22.5" customHeight="1">
      <c r="B531" s="43"/>
      <c r="G531" s="44"/>
      <c r="J531" s="43"/>
      <c r="O531" s="44"/>
      <c r="P531" s="56"/>
    </row>
    <row r="532" ht="22.5" customHeight="1">
      <c r="B532" s="43"/>
      <c r="G532" s="44"/>
      <c r="J532" s="43"/>
      <c r="O532" s="44"/>
      <c r="P532" s="56"/>
    </row>
    <row r="533" ht="22.5" customHeight="1">
      <c r="B533" s="43"/>
      <c r="G533" s="44"/>
      <c r="J533" s="43"/>
      <c r="O533" s="44"/>
      <c r="P533" s="56"/>
    </row>
    <row r="534" ht="22.5" customHeight="1">
      <c r="B534" s="43"/>
      <c r="G534" s="44"/>
      <c r="J534" s="43"/>
      <c r="O534" s="44"/>
      <c r="P534" s="56"/>
    </row>
    <row r="535" ht="22.5" customHeight="1">
      <c r="B535" s="43"/>
      <c r="G535" s="44"/>
      <c r="J535" s="43"/>
      <c r="O535" s="44"/>
      <c r="P535" s="56"/>
    </row>
    <row r="536" ht="22.5" customHeight="1">
      <c r="B536" s="43"/>
      <c r="G536" s="44"/>
      <c r="J536" s="43"/>
      <c r="O536" s="44"/>
      <c r="P536" s="56"/>
    </row>
    <row r="537" ht="22.5" customHeight="1">
      <c r="B537" s="43"/>
      <c r="G537" s="44"/>
      <c r="J537" s="43"/>
      <c r="O537" s="44"/>
      <c r="P537" s="56"/>
    </row>
    <row r="538" ht="22.5" customHeight="1">
      <c r="B538" s="43"/>
      <c r="G538" s="44"/>
      <c r="J538" s="43"/>
      <c r="O538" s="44"/>
      <c r="P538" s="56"/>
    </row>
    <row r="539" ht="22.5" customHeight="1">
      <c r="B539" s="43"/>
      <c r="G539" s="44"/>
      <c r="J539" s="43"/>
      <c r="O539" s="44"/>
      <c r="P539" s="56"/>
    </row>
    <row r="540" ht="22.5" customHeight="1">
      <c r="B540" s="43"/>
      <c r="G540" s="44"/>
      <c r="J540" s="43"/>
      <c r="O540" s="44"/>
      <c r="P540" s="56"/>
    </row>
    <row r="541" ht="22.5" customHeight="1">
      <c r="B541" s="43"/>
      <c r="G541" s="44"/>
      <c r="J541" s="43"/>
      <c r="O541" s="44"/>
      <c r="P541" s="56"/>
    </row>
    <row r="542" ht="22.5" customHeight="1">
      <c r="B542" s="43"/>
      <c r="G542" s="44"/>
      <c r="J542" s="43"/>
      <c r="O542" s="44"/>
      <c r="P542" s="56"/>
    </row>
    <row r="543" ht="22.5" customHeight="1">
      <c r="B543" s="43"/>
      <c r="G543" s="44"/>
      <c r="J543" s="43"/>
      <c r="O543" s="44"/>
      <c r="P543" s="56"/>
    </row>
    <row r="544" ht="22.5" customHeight="1">
      <c r="B544" s="43"/>
      <c r="G544" s="44"/>
      <c r="J544" s="43"/>
      <c r="O544" s="44"/>
      <c r="P544" s="56"/>
    </row>
    <row r="545" ht="22.5" customHeight="1">
      <c r="B545" s="43"/>
      <c r="G545" s="44"/>
      <c r="J545" s="43"/>
      <c r="O545" s="44"/>
      <c r="P545" s="56"/>
    </row>
    <row r="546" ht="22.5" customHeight="1">
      <c r="B546" s="43"/>
      <c r="G546" s="44"/>
      <c r="J546" s="43"/>
      <c r="O546" s="44"/>
      <c r="P546" s="56"/>
    </row>
    <row r="547" ht="22.5" customHeight="1">
      <c r="B547" s="43"/>
      <c r="G547" s="44"/>
      <c r="J547" s="43"/>
      <c r="O547" s="44"/>
      <c r="P547" s="56"/>
    </row>
    <row r="548" ht="22.5" customHeight="1">
      <c r="B548" s="43"/>
      <c r="G548" s="44"/>
      <c r="J548" s="43"/>
      <c r="O548" s="44"/>
      <c r="P548" s="56"/>
    </row>
    <row r="549" ht="22.5" customHeight="1">
      <c r="B549" s="43"/>
      <c r="G549" s="44"/>
      <c r="J549" s="43"/>
      <c r="O549" s="44"/>
      <c r="P549" s="56"/>
    </row>
    <row r="550" ht="22.5" customHeight="1">
      <c r="B550" s="43"/>
      <c r="G550" s="44"/>
      <c r="J550" s="43"/>
      <c r="O550" s="44"/>
      <c r="P550" s="56"/>
    </row>
    <row r="551" ht="22.5" customHeight="1">
      <c r="B551" s="43"/>
      <c r="G551" s="44"/>
      <c r="J551" s="43"/>
      <c r="O551" s="44"/>
      <c r="P551" s="56"/>
    </row>
    <row r="552" ht="22.5" customHeight="1">
      <c r="B552" s="43"/>
      <c r="G552" s="44"/>
      <c r="J552" s="43"/>
      <c r="O552" s="44"/>
      <c r="P552" s="56"/>
    </row>
    <row r="553" ht="22.5" customHeight="1">
      <c r="B553" s="43"/>
      <c r="G553" s="44"/>
      <c r="J553" s="43"/>
      <c r="O553" s="44"/>
      <c r="P553" s="56"/>
    </row>
    <row r="554" ht="22.5" customHeight="1">
      <c r="B554" s="43"/>
      <c r="G554" s="44"/>
      <c r="J554" s="43"/>
      <c r="O554" s="44"/>
      <c r="P554" s="56"/>
    </row>
    <row r="555" ht="22.5" customHeight="1">
      <c r="B555" s="43"/>
      <c r="G555" s="44"/>
      <c r="J555" s="43"/>
      <c r="O555" s="44"/>
      <c r="P555" s="56"/>
    </row>
    <row r="556" ht="22.5" customHeight="1">
      <c r="B556" s="43"/>
      <c r="G556" s="44"/>
      <c r="J556" s="43"/>
      <c r="O556" s="44"/>
      <c r="P556" s="56"/>
    </row>
    <row r="557" ht="22.5" customHeight="1">
      <c r="B557" s="43"/>
      <c r="G557" s="44"/>
      <c r="J557" s="43"/>
      <c r="O557" s="44"/>
      <c r="P557" s="56"/>
    </row>
    <row r="558" ht="22.5" customHeight="1">
      <c r="B558" s="43"/>
      <c r="G558" s="44"/>
      <c r="J558" s="43"/>
      <c r="O558" s="44"/>
      <c r="P558" s="56"/>
    </row>
    <row r="559" ht="22.5" customHeight="1">
      <c r="B559" s="43"/>
      <c r="G559" s="44"/>
      <c r="J559" s="43"/>
      <c r="O559" s="44"/>
      <c r="P559" s="56"/>
    </row>
    <row r="560" ht="22.5" customHeight="1">
      <c r="B560" s="43"/>
      <c r="G560" s="44"/>
      <c r="J560" s="43"/>
      <c r="O560" s="44"/>
      <c r="P560" s="56"/>
    </row>
    <row r="561" ht="22.5" customHeight="1">
      <c r="B561" s="43"/>
      <c r="G561" s="44"/>
      <c r="J561" s="43"/>
      <c r="O561" s="44"/>
      <c r="P561" s="56"/>
    </row>
    <row r="562" ht="22.5" customHeight="1">
      <c r="B562" s="43"/>
      <c r="G562" s="44"/>
      <c r="J562" s="43"/>
      <c r="O562" s="44"/>
      <c r="P562" s="56"/>
    </row>
    <row r="563" ht="22.5" customHeight="1">
      <c r="B563" s="43"/>
      <c r="G563" s="44"/>
      <c r="J563" s="43"/>
      <c r="O563" s="44"/>
      <c r="P563" s="56"/>
    </row>
    <row r="564" ht="22.5" customHeight="1">
      <c r="B564" s="43"/>
      <c r="G564" s="44"/>
      <c r="J564" s="43"/>
      <c r="O564" s="44"/>
      <c r="P564" s="56"/>
    </row>
    <row r="565" ht="22.5" customHeight="1">
      <c r="B565" s="43"/>
      <c r="G565" s="44"/>
      <c r="J565" s="43"/>
      <c r="O565" s="44"/>
      <c r="P565" s="56"/>
    </row>
    <row r="566" ht="22.5" customHeight="1">
      <c r="B566" s="43"/>
      <c r="G566" s="44"/>
      <c r="J566" s="43"/>
      <c r="O566" s="44"/>
      <c r="P566" s="56"/>
    </row>
    <row r="567" ht="22.5" customHeight="1">
      <c r="B567" s="43"/>
      <c r="G567" s="44"/>
      <c r="J567" s="43"/>
      <c r="O567" s="44"/>
      <c r="P567" s="56"/>
    </row>
    <row r="568" ht="22.5" customHeight="1">
      <c r="B568" s="43"/>
      <c r="G568" s="44"/>
      <c r="J568" s="43"/>
      <c r="O568" s="44"/>
      <c r="P568" s="56"/>
    </row>
    <row r="569" ht="22.5" customHeight="1">
      <c r="B569" s="43"/>
      <c r="G569" s="44"/>
      <c r="J569" s="43"/>
      <c r="O569" s="44"/>
      <c r="P569" s="56"/>
    </row>
    <row r="570" ht="22.5" customHeight="1">
      <c r="B570" s="43"/>
      <c r="G570" s="44"/>
      <c r="J570" s="43"/>
      <c r="O570" s="44"/>
      <c r="P570" s="56"/>
    </row>
    <row r="571" ht="22.5" customHeight="1">
      <c r="B571" s="43"/>
      <c r="G571" s="44"/>
      <c r="J571" s="43"/>
      <c r="O571" s="44"/>
      <c r="P571" s="56"/>
    </row>
    <row r="572" ht="22.5" customHeight="1">
      <c r="B572" s="43"/>
      <c r="G572" s="44"/>
      <c r="J572" s="43"/>
      <c r="O572" s="44"/>
      <c r="P572" s="56"/>
    </row>
    <row r="573" ht="22.5" customHeight="1">
      <c r="B573" s="43"/>
      <c r="G573" s="44"/>
      <c r="J573" s="43"/>
      <c r="O573" s="44"/>
      <c r="P573" s="56"/>
    </row>
    <row r="574" ht="22.5" customHeight="1">
      <c r="B574" s="43"/>
      <c r="G574" s="44"/>
      <c r="J574" s="43"/>
      <c r="O574" s="44"/>
      <c r="P574" s="56"/>
    </row>
    <row r="575" ht="22.5" customHeight="1">
      <c r="B575" s="43"/>
      <c r="G575" s="44"/>
      <c r="J575" s="43"/>
      <c r="O575" s="44"/>
      <c r="P575" s="56"/>
    </row>
    <row r="576" ht="22.5" customHeight="1">
      <c r="B576" s="43"/>
      <c r="G576" s="44"/>
      <c r="J576" s="43"/>
      <c r="O576" s="44"/>
      <c r="P576" s="56"/>
    </row>
    <row r="577" ht="22.5" customHeight="1">
      <c r="B577" s="43"/>
      <c r="G577" s="44"/>
      <c r="J577" s="43"/>
      <c r="O577" s="44"/>
      <c r="P577" s="56"/>
    </row>
    <row r="578" ht="22.5" customHeight="1">
      <c r="B578" s="43"/>
      <c r="G578" s="44"/>
      <c r="J578" s="43"/>
      <c r="O578" s="44"/>
      <c r="P578" s="56"/>
    </row>
    <row r="579" ht="22.5" customHeight="1">
      <c r="B579" s="43"/>
      <c r="G579" s="44"/>
      <c r="J579" s="43"/>
      <c r="O579" s="44"/>
      <c r="P579" s="56"/>
    </row>
    <row r="580" ht="22.5" customHeight="1">
      <c r="B580" s="43"/>
      <c r="G580" s="44"/>
      <c r="J580" s="43"/>
      <c r="O580" s="44"/>
      <c r="P580" s="56"/>
    </row>
    <row r="581" ht="22.5" customHeight="1">
      <c r="B581" s="43"/>
      <c r="G581" s="44"/>
      <c r="J581" s="43"/>
      <c r="O581" s="44"/>
      <c r="P581" s="56"/>
    </row>
    <row r="582" ht="22.5" customHeight="1">
      <c r="B582" s="43"/>
      <c r="G582" s="44"/>
      <c r="J582" s="43"/>
      <c r="O582" s="44"/>
      <c r="P582" s="56"/>
    </row>
    <row r="583" ht="22.5" customHeight="1">
      <c r="B583" s="43"/>
      <c r="G583" s="44"/>
      <c r="J583" s="43"/>
      <c r="O583" s="44"/>
      <c r="P583" s="56"/>
    </row>
    <row r="584" ht="22.5" customHeight="1">
      <c r="B584" s="43"/>
      <c r="G584" s="44"/>
      <c r="J584" s="43"/>
      <c r="O584" s="44"/>
      <c r="P584" s="56"/>
    </row>
    <row r="585" ht="22.5" customHeight="1">
      <c r="B585" s="43"/>
      <c r="G585" s="44"/>
      <c r="J585" s="43"/>
      <c r="O585" s="44"/>
      <c r="P585" s="56"/>
    </row>
    <row r="586" ht="22.5" customHeight="1">
      <c r="B586" s="43"/>
      <c r="G586" s="44"/>
      <c r="J586" s="43"/>
      <c r="O586" s="44"/>
      <c r="P586" s="56"/>
    </row>
    <row r="587" ht="22.5" customHeight="1">
      <c r="B587" s="43"/>
      <c r="G587" s="44"/>
      <c r="J587" s="43"/>
      <c r="O587" s="44"/>
      <c r="P587" s="56"/>
    </row>
    <row r="588" ht="22.5" customHeight="1">
      <c r="B588" s="43"/>
      <c r="G588" s="44"/>
      <c r="J588" s="43"/>
      <c r="O588" s="44"/>
      <c r="P588" s="56"/>
    </row>
    <row r="589" ht="22.5" customHeight="1">
      <c r="B589" s="43"/>
      <c r="G589" s="44"/>
      <c r="J589" s="43"/>
      <c r="O589" s="44"/>
      <c r="P589" s="56"/>
    </row>
    <row r="590" ht="22.5" customHeight="1">
      <c r="B590" s="43"/>
      <c r="G590" s="44"/>
      <c r="J590" s="43"/>
      <c r="O590" s="44"/>
      <c r="P590" s="56"/>
    </row>
    <row r="591" ht="22.5" customHeight="1">
      <c r="B591" s="43"/>
      <c r="G591" s="44"/>
      <c r="J591" s="43"/>
      <c r="O591" s="44"/>
      <c r="P591" s="56"/>
    </row>
    <row r="592" ht="22.5" customHeight="1">
      <c r="B592" s="43"/>
      <c r="G592" s="44"/>
      <c r="J592" s="43"/>
      <c r="O592" s="44"/>
      <c r="P592" s="56"/>
    </row>
    <row r="593" ht="22.5" customHeight="1">
      <c r="B593" s="43"/>
      <c r="G593" s="44"/>
      <c r="J593" s="43"/>
      <c r="O593" s="44"/>
      <c r="P593" s="56"/>
    </row>
    <row r="594" ht="22.5" customHeight="1">
      <c r="B594" s="43"/>
      <c r="G594" s="44"/>
      <c r="J594" s="43"/>
      <c r="O594" s="44"/>
      <c r="P594" s="56"/>
    </row>
    <row r="595" ht="22.5" customHeight="1">
      <c r="B595" s="43"/>
      <c r="G595" s="44"/>
      <c r="J595" s="43"/>
      <c r="O595" s="44"/>
      <c r="P595" s="56"/>
    </row>
    <row r="596" ht="22.5" customHeight="1">
      <c r="B596" s="43"/>
      <c r="G596" s="44"/>
      <c r="J596" s="43"/>
      <c r="O596" s="44"/>
      <c r="P596" s="56"/>
    </row>
    <row r="597" ht="22.5" customHeight="1">
      <c r="B597" s="43"/>
      <c r="G597" s="44"/>
      <c r="J597" s="43"/>
      <c r="O597" s="44"/>
      <c r="P597" s="56"/>
    </row>
    <row r="598" ht="22.5" customHeight="1">
      <c r="B598" s="43"/>
      <c r="G598" s="44"/>
      <c r="J598" s="43"/>
      <c r="O598" s="44"/>
      <c r="P598" s="56"/>
    </row>
    <row r="599" ht="22.5" customHeight="1">
      <c r="B599" s="43"/>
      <c r="G599" s="44"/>
      <c r="J599" s="43"/>
      <c r="O599" s="44"/>
      <c r="P599" s="56"/>
    </row>
    <row r="600" ht="22.5" customHeight="1">
      <c r="B600" s="43"/>
      <c r="G600" s="44"/>
      <c r="J600" s="43"/>
      <c r="O600" s="44"/>
      <c r="P600" s="56"/>
    </row>
    <row r="601" ht="22.5" customHeight="1">
      <c r="B601" s="43"/>
      <c r="G601" s="44"/>
      <c r="J601" s="43"/>
      <c r="O601" s="44"/>
      <c r="P601" s="56"/>
    </row>
    <row r="602" ht="22.5" customHeight="1">
      <c r="B602" s="43"/>
      <c r="G602" s="44"/>
      <c r="J602" s="43"/>
      <c r="O602" s="44"/>
      <c r="P602" s="56"/>
    </row>
    <row r="603" ht="22.5" customHeight="1">
      <c r="B603" s="43"/>
      <c r="G603" s="44"/>
      <c r="J603" s="43"/>
      <c r="O603" s="44"/>
      <c r="P603" s="56"/>
    </row>
    <row r="604" ht="22.5" customHeight="1">
      <c r="B604" s="43"/>
      <c r="G604" s="44"/>
      <c r="J604" s="43"/>
      <c r="O604" s="44"/>
      <c r="P604" s="56"/>
    </row>
    <row r="605" ht="22.5" customHeight="1">
      <c r="B605" s="43"/>
      <c r="G605" s="44"/>
      <c r="J605" s="43"/>
      <c r="O605" s="44"/>
      <c r="P605" s="56"/>
    </row>
    <row r="606" ht="22.5" customHeight="1">
      <c r="B606" s="43"/>
      <c r="G606" s="44"/>
      <c r="J606" s="43"/>
      <c r="O606" s="44"/>
      <c r="P606" s="56"/>
    </row>
    <row r="607" ht="22.5" customHeight="1">
      <c r="B607" s="43"/>
      <c r="G607" s="44"/>
      <c r="J607" s="43"/>
      <c r="O607" s="44"/>
      <c r="P607" s="56"/>
    </row>
    <row r="608" ht="22.5" customHeight="1">
      <c r="B608" s="43"/>
      <c r="G608" s="44"/>
      <c r="J608" s="43"/>
      <c r="O608" s="44"/>
      <c r="P608" s="56"/>
    </row>
    <row r="609" ht="22.5" customHeight="1">
      <c r="B609" s="43"/>
      <c r="G609" s="44"/>
      <c r="J609" s="43"/>
      <c r="O609" s="44"/>
      <c r="P609" s="56"/>
    </row>
    <row r="610" ht="22.5" customHeight="1">
      <c r="B610" s="43"/>
      <c r="G610" s="44"/>
      <c r="J610" s="43"/>
      <c r="O610" s="44"/>
      <c r="P610" s="56"/>
    </row>
    <row r="611" ht="22.5" customHeight="1">
      <c r="B611" s="43"/>
      <c r="G611" s="44"/>
      <c r="J611" s="43"/>
      <c r="O611" s="44"/>
      <c r="P611" s="56"/>
    </row>
    <row r="612" ht="22.5" customHeight="1">
      <c r="B612" s="43"/>
      <c r="G612" s="44"/>
      <c r="J612" s="43"/>
      <c r="O612" s="44"/>
      <c r="P612" s="56"/>
    </row>
    <row r="613" ht="22.5" customHeight="1">
      <c r="B613" s="43"/>
      <c r="G613" s="44"/>
      <c r="J613" s="43"/>
      <c r="O613" s="44"/>
      <c r="P613" s="56"/>
    </row>
    <row r="614" ht="22.5" customHeight="1">
      <c r="B614" s="43"/>
      <c r="G614" s="44"/>
      <c r="J614" s="43"/>
      <c r="O614" s="44"/>
      <c r="P614" s="56"/>
    </row>
    <row r="615" ht="22.5" customHeight="1">
      <c r="B615" s="43"/>
      <c r="G615" s="44"/>
      <c r="J615" s="43"/>
      <c r="O615" s="44"/>
      <c r="P615" s="56"/>
    </row>
    <row r="616" ht="22.5" customHeight="1">
      <c r="B616" s="43"/>
      <c r="G616" s="44"/>
      <c r="J616" s="43"/>
      <c r="O616" s="44"/>
      <c r="P616" s="56"/>
    </row>
    <row r="617" ht="22.5" customHeight="1">
      <c r="B617" s="43"/>
      <c r="G617" s="44"/>
      <c r="J617" s="43"/>
      <c r="O617" s="44"/>
      <c r="P617" s="56"/>
    </row>
    <row r="618" ht="22.5" customHeight="1">
      <c r="B618" s="43"/>
      <c r="G618" s="44"/>
      <c r="J618" s="43"/>
      <c r="O618" s="44"/>
      <c r="P618" s="56"/>
    </row>
    <row r="619" ht="22.5" customHeight="1">
      <c r="B619" s="43"/>
      <c r="G619" s="44"/>
      <c r="J619" s="43"/>
      <c r="O619" s="44"/>
      <c r="P619" s="56"/>
    </row>
    <row r="620" ht="22.5" customHeight="1">
      <c r="B620" s="43"/>
      <c r="G620" s="44"/>
      <c r="J620" s="43"/>
      <c r="O620" s="44"/>
      <c r="P620" s="56"/>
    </row>
    <row r="621" ht="22.5" customHeight="1">
      <c r="B621" s="43"/>
      <c r="G621" s="44"/>
      <c r="J621" s="43"/>
      <c r="O621" s="44"/>
      <c r="P621" s="56"/>
    </row>
    <row r="622" ht="22.5" customHeight="1">
      <c r="B622" s="43"/>
      <c r="G622" s="44"/>
      <c r="J622" s="43"/>
      <c r="O622" s="44"/>
      <c r="P622" s="56"/>
    </row>
    <row r="623" ht="22.5" customHeight="1">
      <c r="B623" s="43"/>
      <c r="G623" s="44"/>
      <c r="J623" s="43"/>
      <c r="O623" s="44"/>
      <c r="P623" s="56"/>
    </row>
    <row r="624" ht="22.5" customHeight="1">
      <c r="B624" s="43"/>
      <c r="G624" s="44"/>
      <c r="J624" s="43"/>
      <c r="O624" s="44"/>
      <c r="P624" s="56"/>
    </row>
    <row r="625" ht="22.5" customHeight="1">
      <c r="B625" s="43"/>
      <c r="G625" s="44"/>
      <c r="J625" s="43"/>
      <c r="O625" s="44"/>
      <c r="P625" s="56"/>
    </row>
    <row r="626" ht="22.5" customHeight="1">
      <c r="B626" s="43"/>
      <c r="G626" s="44"/>
      <c r="J626" s="43"/>
      <c r="O626" s="44"/>
      <c r="P626" s="56"/>
    </row>
    <row r="627" ht="22.5" customHeight="1">
      <c r="B627" s="43"/>
      <c r="G627" s="44"/>
      <c r="J627" s="43"/>
      <c r="O627" s="44"/>
      <c r="P627" s="56"/>
    </row>
    <row r="628" ht="22.5" customHeight="1">
      <c r="B628" s="43"/>
      <c r="G628" s="44"/>
      <c r="J628" s="43"/>
      <c r="O628" s="44"/>
      <c r="P628" s="56"/>
    </row>
    <row r="629" ht="22.5" customHeight="1">
      <c r="B629" s="43"/>
      <c r="G629" s="44"/>
      <c r="J629" s="43"/>
      <c r="O629" s="44"/>
      <c r="P629" s="56"/>
    </row>
    <row r="630" ht="22.5" customHeight="1">
      <c r="B630" s="43"/>
      <c r="G630" s="44"/>
      <c r="J630" s="43"/>
      <c r="O630" s="44"/>
      <c r="P630" s="56"/>
    </row>
    <row r="631" ht="22.5" customHeight="1">
      <c r="B631" s="43"/>
      <c r="G631" s="44"/>
      <c r="J631" s="43"/>
      <c r="O631" s="44"/>
      <c r="P631" s="56"/>
    </row>
    <row r="632" ht="22.5" customHeight="1">
      <c r="B632" s="43"/>
      <c r="G632" s="44"/>
      <c r="J632" s="43"/>
      <c r="O632" s="44"/>
      <c r="P632" s="56"/>
    </row>
    <row r="633" ht="22.5" customHeight="1">
      <c r="B633" s="43"/>
      <c r="G633" s="44"/>
      <c r="J633" s="43"/>
      <c r="O633" s="44"/>
      <c r="P633" s="56"/>
    </row>
    <row r="634" ht="22.5" customHeight="1">
      <c r="B634" s="43"/>
      <c r="G634" s="44"/>
      <c r="J634" s="43"/>
      <c r="O634" s="44"/>
      <c r="P634" s="56"/>
    </row>
    <row r="635" ht="22.5" customHeight="1">
      <c r="B635" s="43"/>
      <c r="G635" s="44"/>
      <c r="J635" s="43"/>
      <c r="O635" s="44"/>
      <c r="P635" s="56"/>
    </row>
    <row r="636" ht="22.5" customHeight="1">
      <c r="B636" s="43"/>
      <c r="G636" s="44"/>
      <c r="J636" s="43"/>
      <c r="O636" s="44"/>
      <c r="P636" s="56"/>
    </row>
    <row r="637" ht="22.5" customHeight="1">
      <c r="B637" s="43"/>
      <c r="G637" s="44"/>
      <c r="J637" s="43"/>
      <c r="O637" s="44"/>
      <c r="P637" s="56"/>
    </row>
    <row r="638" ht="22.5" customHeight="1">
      <c r="B638" s="43"/>
      <c r="G638" s="44"/>
      <c r="J638" s="43"/>
      <c r="O638" s="44"/>
      <c r="P638" s="56"/>
    </row>
    <row r="639" ht="22.5" customHeight="1">
      <c r="B639" s="43"/>
      <c r="G639" s="44"/>
      <c r="J639" s="43"/>
      <c r="O639" s="44"/>
      <c r="P639" s="56"/>
    </row>
    <row r="640" ht="22.5" customHeight="1">
      <c r="B640" s="43"/>
      <c r="G640" s="44"/>
      <c r="J640" s="43"/>
      <c r="O640" s="44"/>
      <c r="P640" s="56"/>
    </row>
    <row r="641" ht="22.5" customHeight="1">
      <c r="B641" s="43"/>
      <c r="G641" s="44"/>
      <c r="J641" s="43"/>
      <c r="O641" s="44"/>
      <c r="P641" s="56"/>
    </row>
    <row r="642" ht="22.5" customHeight="1">
      <c r="B642" s="43"/>
      <c r="G642" s="44"/>
      <c r="J642" s="43"/>
      <c r="O642" s="44"/>
      <c r="P642" s="56"/>
    </row>
    <row r="643" ht="22.5" customHeight="1">
      <c r="B643" s="43"/>
      <c r="G643" s="44"/>
      <c r="J643" s="43"/>
      <c r="O643" s="44"/>
      <c r="P643" s="56"/>
    </row>
    <row r="644" ht="22.5" customHeight="1">
      <c r="B644" s="43"/>
      <c r="G644" s="44"/>
      <c r="J644" s="43"/>
      <c r="O644" s="44"/>
      <c r="P644" s="56"/>
    </row>
    <row r="645" ht="22.5" customHeight="1">
      <c r="B645" s="43"/>
      <c r="G645" s="44"/>
      <c r="J645" s="43"/>
      <c r="O645" s="44"/>
      <c r="P645" s="56"/>
    </row>
    <row r="646" ht="22.5" customHeight="1">
      <c r="B646" s="43"/>
      <c r="G646" s="44"/>
      <c r="J646" s="43"/>
      <c r="O646" s="44"/>
      <c r="P646" s="56"/>
    </row>
    <row r="647" ht="22.5" customHeight="1">
      <c r="B647" s="43"/>
      <c r="G647" s="44"/>
      <c r="J647" s="43"/>
      <c r="O647" s="44"/>
      <c r="P647" s="56"/>
    </row>
    <row r="648" ht="22.5" customHeight="1">
      <c r="B648" s="43"/>
      <c r="G648" s="44"/>
      <c r="J648" s="43"/>
      <c r="O648" s="44"/>
      <c r="P648" s="56"/>
    </row>
    <row r="649" ht="22.5" customHeight="1">
      <c r="B649" s="43"/>
      <c r="G649" s="44"/>
      <c r="J649" s="43"/>
      <c r="O649" s="44"/>
      <c r="P649" s="56"/>
    </row>
    <row r="650" ht="22.5" customHeight="1">
      <c r="B650" s="43"/>
      <c r="G650" s="44"/>
      <c r="J650" s="43"/>
      <c r="O650" s="44"/>
      <c r="P650" s="56"/>
    </row>
    <row r="651" ht="22.5" customHeight="1">
      <c r="B651" s="43"/>
      <c r="G651" s="44"/>
      <c r="J651" s="43"/>
      <c r="O651" s="44"/>
      <c r="P651" s="56"/>
    </row>
    <row r="652" ht="22.5" customHeight="1">
      <c r="B652" s="43"/>
      <c r="G652" s="44"/>
      <c r="J652" s="43"/>
      <c r="O652" s="44"/>
      <c r="P652" s="56"/>
    </row>
    <row r="653" ht="22.5" customHeight="1">
      <c r="B653" s="43"/>
      <c r="G653" s="44"/>
      <c r="J653" s="43"/>
      <c r="O653" s="44"/>
      <c r="P653" s="56"/>
    </row>
    <row r="654" ht="22.5" customHeight="1">
      <c r="B654" s="43"/>
      <c r="G654" s="44"/>
      <c r="J654" s="43"/>
      <c r="O654" s="44"/>
      <c r="P654" s="56"/>
    </row>
    <row r="655" ht="22.5" customHeight="1">
      <c r="B655" s="43"/>
      <c r="G655" s="44"/>
      <c r="J655" s="43"/>
      <c r="O655" s="44"/>
      <c r="P655" s="56"/>
    </row>
    <row r="656" ht="22.5" customHeight="1">
      <c r="B656" s="43"/>
      <c r="G656" s="44"/>
      <c r="J656" s="43"/>
      <c r="O656" s="44"/>
      <c r="P656" s="56"/>
    </row>
    <row r="657" ht="22.5" customHeight="1">
      <c r="B657" s="43"/>
      <c r="G657" s="44"/>
      <c r="J657" s="43"/>
      <c r="O657" s="44"/>
      <c r="P657" s="56"/>
    </row>
    <row r="658" ht="22.5" customHeight="1">
      <c r="B658" s="43"/>
      <c r="G658" s="44"/>
      <c r="J658" s="43"/>
      <c r="O658" s="44"/>
      <c r="P658" s="56"/>
    </row>
    <row r="659" ht="22.5" customHeight="1">
      <c r="B659" s="43"/>
      <c r="G659" s="44"/>
      <c r="J659" s="43"/>
      <c r="O659" s="44"/>
      <c r="P659" s="56"/>
    </row>
    <row r="660" ht="22.5" customHeight="1">
      <c r="B660" s="43"/>
      <c r="G660" s="44"/>
      <c r="J660" s="43"/>
      <c r="P660" s="56"/>
    </row>
    <row r="661" ht="22.5" customHeight="1">
      <c r="B661" s="43"/>
      <c r="G661" s="44"/>
      <c r="P661" s="56"/>
    </row>
    <row r="662" ht="22.5" customHeight="1">
      <c r="B662" s="43"/>
      <c r="G662" s="44"/>
      <c r="P662" s="56"/>
    </row>
    <row r="663" ht="22.5" customHeight="1">
      <c r="B663" s="43"/>
      <c r="G663" s="44"/>
      <c r="P663" s="56"/>
    </row>
    <row r="664" ht="22.5" customHeight="1">
      <c r="B664" s="43"/>
      <c r="G664" s="44"/>
      <c r="P664" s="56"/>
    </row>
    <row r="665" ht="22.5" customHeight="1">
      <c r="B665" s="43"/>
      <c r="G665" s="44"/>
      <c r="P665" s="56"/>
    </row>
    <row r="666" ht="22.5" customHeight="1">
      <c r="B666" s="43"/>
      <c r="G666" s="44"/>
      <c r="P666" s="56"/>
    </row>
    <row r="667" ht="22.5" customHeight="1">
      <c r="B667" s="43"/>
      <c r="G667" s="44"/>
      <c r="P667" s="56"/>
    </row>
    <row r="668" ht="22.5" customHeight="1">
      <c r="B668" s="43"/>
      <c r="G668" s="44"/>
      <c r="P668" s="56"/>
    </row>
    <row r="669" ht="22.5" customHeight="1">
      <c r="B669" s="43"/>
      <c r="G669" s="44"/>
      <c r="P669" s="56"/>
    </row>
    <row r="670" ht="22.5" customHeight="1">
      <c r="B670" s="43"/>
      <c r="G670" s="44"/>
      <c r="P670" s="56"/>
    </row>
    <row r="671" ht="22.5" customHeight="1">
      <c r="B671" s="43"/>
      <c r="G671" s="44"/>
      <c r="P671" s="56"/>
    </row>
    <row r="672" ht="22.5" customHeight="1">
      <c r="B672" s="43"/>
      <c r="G672" s="44"/>
      <c r="P672" s="56"/>
    </row>
    <row r="673" ht="22.5" customHeight="1">
      <c r="B673" s="43"/>
      <c r="G673" s="44"/>
      <c r="P673" s="56"/>
    </row>
    <row r="674" ht="22.5" customHeight="1">
      <c r="B674" s="43"/>
      <c r="G674" s="44"/>
      <c r="P674" s="56"/>
    </row>
    <row r="675" ht="22.5" customHeight="1">
      <c r="B675" s="43"/>
      <c r="G675" s="44"/>
      <c r="P675" s="56"/>
    </row>
    <row r="676" ht="22.5" customHeight="1">
      <c r="B676" s="43"/>
      <c r="G676" s="44"/>
      <c r="P676" s="56"/>
    </row>
    <row r="677" ht="22.5" customHeight="1">
      <c r="B677" s="43"/>
      <c r="G677" s="44"/>
      <c r="P677" s="56"/>
    </row>
    <row r="678" ht="22.5" customHeight="1">
      <c r="B678" s="43"/>
      <c r="G678" s="44"/>
      <c r="P678" s="56"/>
    </row>
    <row r="679" ht="22.5" customHeight="1">
      <c r="B679" s="43"/>
      <c r="G679" s="44"/>
      <c r="P679" s="56"/>
    </row>
    <row r="680" ht="22.5" customHeight="1">
      <c r="B680" s="43"/>
      <c r="G680" s="44"/>
      <c r="P680" s="56"/>
    </row>
    <row r="681" ht="22.5" customHeight="1">
      <c r="B681" s="43"/>
      <c r="G681" s="44"/>
      <c r="P681" s="56"/>
    </row>
    <row r="682" ht="22.5" customHeight="1">
      <c r="B682" s="43"/>
      <c r="G682" s="44"/>
      <c r="P682" s="56"/>
    </row>
    <row r="683" ht="22.5" customHeight="1">
      <c r="B683" s="43"/>
      <c r="G683" s="44"/>
      <c r="P683" s="56"/>
    </row>
    <row r="684" ht="22.5" customHeight="1">
      <c r="B684" s="43"/>
      <c r="G684" s="44"/>
      <c r="P684" s="56"/>
    </row>
    <row r="685" ht="22.5" customHeight="1">
      <c r="B685" s="43"/>
      <c r="G685" s="44"/>
      <c r="P685" s="56"/>
    </row>
    <row r="686" ht="22.5" customHeight="1">
      <c r="B686" s="43"/>
      <c r="G686" s="44"/>
      <c r="P686" s="56"/>
    </row>
    <row r="687" ht="22.5" customHeight="1">
      <c r="B687" s="43"/>
      <c r="G687" s="44"/>
      <c r="P687" s="56"/>
    </row>
    <row r="688" ht="22.5" customHeight="1">
      <c r="B688" s="43"/>
      <c r="G688" s="44"/>
      <c r="P688" s="56"/>
    </row>
    <row r="689" ht="22.5" customHeight="1">
      <c r="B689" s="43"/>
      <c r="G689" s="44"/>
      <c r="P689" s="56"/>
    </row>
    <row r="690" ht="22.5" customHeight="1">
      <c r="B690" s="43"/>
      <c r="G690" s="44"/>
      <c r="P690" s="56"/>
    </row>
    <row r="691" ht="22.5" customHeight="1">
      <c r="B691" s="43"/>
      <c r="G691" s="44"/>
      <c r="P691" s="56"/>
    </row>
    <row r="692" ht="22.5" customHeight="1">
      <c r="B692" s="43"/>
      <c r="G692" s="44"/>
      <c r="P692" s="56"/>
    </row>
    <row r="693" ht="22.5" customHeight="1">
      <c r="B693" s="43"/>
      <c r="G693" s="44"/>
      <c r="P693" s="56"/>
    </row>
    <row r="694" ht="22.5" customHeight="1">
      <c r="B694" s="43"/>
      <c r="G694" s="44"/>
      <c r="P694" s="56"/>
    </row>
    <row r="695" ht="22.5" customHeight="1">
      <c r="B695" s="43"/>
      <c r="G695" s="44"/>
      <c r="P695" s="56"/>
    </row>
    <row r="696" ht="22.5" customHeight="1">
      <c r="B696" s="43"/>
      <c r="G696" s="44"/>
      <c r="P696" s="56"/>
    </row>
    <row r="697" ht="22.5" customHeight="1">
      <c r="B697" s="43"/>
      <c r="G697" s="44"/>
      <c r="P697" s="56"/>
    </row>
    <row r="698" ht="22.5" customHeight="1">
      <c r="B698" s="43"/>
      <c r="G698" s="44"/>
      <c r="P698" s="56"/>
    </row>
    <row r="699" ht="22.5" customHeight="1">
      <c r="B699" s="43"/>
      <c r="G699" s="44"/>
      <c r="P699" s="56"/>
    </row>
    <row r="700" ht="22.5" customHeight="1">
      <c r="B700" s="43"/>
      <c r="G700" s="44"/>
      <c r="P700" s="56"/>
    </row>
    <row r="701" ht="22.5" customHeight="1">
      <c r="B701" s="43"/>
      <c r="G701" s="44"/>
      <c r="P701" s="56"/>
    </row>
    <row r="702" ht="22.5" customHeight="1">
      <c r="B702" s="43"/>
      <c r="G702" s="44"/>
      <c r="P702" s="56"/>
    </row>
    <row r="703" ht="22.5" customHeight="1">
      <c r="B703" s="43"/>
      <c r="G703" s="44"/>
      <c r="P703" s="56"/>
    </row>
    <row r="704" ht="22.5" customHeight="1">
      <c r="B704" s="43"/>
      <c r="G704" s="44"/>
      <c r="P704" s="56"/>
    </row>
    <row r="705" ht="22.5" customHeight="1">
      <c r="B705" s="43"/>
      <c r="G705" s="44"/>
      <c r="P705" s="56"/>
    </row>
    <row r="706" ht="22.5" customHeight="1">
      <c r="B706" s="43"/>
      <c r="G706" s="44"/>
      <c r="P706" s="56"/>
    </row>
    <row r="707" ht="22.5" customHeight="1">
      <c r="B707" s="43"/>
      <c r="G707" s="44"/>
      <c r="P707" s="56"/>
    </row>
    <row r="708" ht="22.5" customHeight="1">
      <c r="B708" s="43"/>
      <c r="G708" s="44"/>
      <c r="P708" s="56"/>
    </row>
    <row r="709" ht="22.5" customHeight="1">
      <c r="B709" s="43"/>
      <c r="G709" s="44"/>
      <c r="P709" s="56"/>
    </row>
    <row r="710" ht="22.5" customHeight="1">
      <c r="B710" s="43"/>
      <c r="G710" s="44"/>
      <c r="P710" s="56"/>
    </row>
    <row r="711" ht="22.5" customHeight="1">
      <c r="B711" s="43"/>
      <c r="G711" s="44"/>
      <c r="P711" s="56"/>
    </row>
    <row r="712" ht="22.5" customHeight="1">
      <c r="B712" s="43"/>
      <c r="G712" s="44"/>
      <c r="P712" s="56"/>
    </row>
    <row r="713" ht="22.5" customHeight="1">
      <c r="B713" s="43"/>
      <c r="G713" s="44"/>
      <c r="P713" s="56"/>
    </row>
    <row r="714" ht="22.5" customHeight="1">
      <c r="B714" s="43"/>
      <c r="G714" s="44"/>
      <c r="P714" s="56"/>
    </row>
    <row r="715" ht="22.5" customHeight="1">
      <c r="B715" s="43"/>
      <c r="P715" s="56"/>
    </row>
    <row r="716" ht="22.5" customHeight="1">
      <c r="B716" s="43"/>
      <c r="P716" s="56"/>
    </row>
    <row r="717" ht="22.5" customHeight="1">
      <c r="B717" s="43"/>
      <c r="P717" s="56"/>
    </row>
    <row r="718" ht="22.5" customHeight="1">
      <c r="B718" s="43"/>
      <c r="P718" s="56"/>
    </row>
    <row r="719" ht="22.5" customHeight="1">
      <c r="B719" s="43"/>
      <c r="P719" s="56"/>
    </row>
    <row r="720" ht="22.5" customHeight="1">
      <c r="B720" s="43"/>
      <c r="P720" s="56"/>
    </row>
    <row r="721" ht="22.5" customHeight="1">
      <c r="B721" s="43"/>
      <c r="P721" s="56"/>
    </row>
    <row r="722" ht="22.5" customHeight="1">
      <c r="B722" s="43"/>
      <c r="P722" s="56"/>
    </row>
    <row r="723" ht="22.5" customHeight="1">
      <c r="B723" s="43"/>
      <c r="P723" s="56"/>
    </row>
    <row r="724" ht="22.5" customHeight="1">
      <c r="B724" s="43"/>
      <c r="P724" s="56"/>
    </row>
    <row r="725" ht="22.5" customHeight="1">
      <c r="B725" s="43"/>
      <c r="P725" s="56"/>
    </row>
    <row r="726" ht="22.5" customHeight="1">
      <c r="B726" s="43"/>
      <c r="P726" s="56"/>
    </row>
    <row r="727" ht="22.5" customHeight="1">
      <c r="B727" s="43"/>
      <c r="P727" s="56"/>
    </row>
    <row r="728" ht="22.5" customHeight="1">
      <c r="P728" s="56"/>
    </row>
    <row r="729" ht="22.5" customHeight="1">
      <c r="P729" s="56"/>
    </row>
    <row r="730" ht="22.5" customHeight="1">
      <c r="P730" s="56"/>
    </row>
    <row r="731" ht="22.5" customHeight="1">
      <c r="P731" s="56"/>
    </row>
    <row r="732" ht="22.5" customHeight="1">
      <c r="P732" s="56"/>
    </row>
    <row r="733" ht="22.5" customHeight="1">
      <c r="P733" s="56"/>
    </row>
    <row r="734" ht="22.5" customHeight="1">
      <c r="P734" s="56"/>
    </row>
    <row r="735" ht="22.5" customHeight="1">
      <c r="P735" s="56"/>
    </row>
    <row r="736" ht="22.5" customHeight="1">
      <c r="P736" s="56"/>
    </row>
    <row r="737" ht="22.5" customHeight="1">
      <c r="P737" s="56"/>
    </row>
    <row r="738" ht="22.5" customHeight="1">
      <c r="P738" s="56"/>
    </row>
    <row r="739" ht="22.5" customHeight="1">
      <c r="P739" s="56"/>
    </row>
    <row r="740" ht="22.5" customHeight="1">
      <c r="P740" s="56"/>
    </row>
    <row r="741" ht="22.5" customHeight="1">
      <c r="P741" s="56"/>
    </row>
    <row r="742" ht="22.5" customHeight="1">
      <c r="P742" s="56"/>
    </row>
    <row r="743" ht="22.5" customHeight="1">
      <c r="P743" s="56"/>
    </row>
    <row r="744" ht="22.5" customHeight="1">
      <c r="P744" s="56"/>
    </row>
    <row r="745" ht="22.5" customHeight="1">
      <c r="P745" s="56"/>
    </row>
    <row r="746" ht="22.5" customHeight="1">
      <c r="P746" s="56"/>
    </row>
    <row r="747" ht="22.5" customHeight="1">
      <c r="P747" s="56"/>
    </row>
    <row r="748" ht="22.5" customHeight="1">
      <c r="P748" s="56"/>
    </row>
    <row r="749" ht="22.5" customHeight="1">
      <c r="P749" s="56"/>
    </row>
    <row r="750" ht="22.5" customHeight="1">
      <c r="P750" s="56"/>
    </row>
    <row r="751" ht="22.5" customHeight="1">
      <c r="P751" s="56"/>
    </row>
    <row r="752" ht="22.5" customHeight="1">
      <c r="P752" s="56"/>
    </row>
    <row r="753" ht="22.5" customHeight="1">
      <c r="P753" s="56"/>
    </row>
    <row r="754" ht="22.5" customHeight="1">
      <c r="P754" s="56"/>
    </row>
    <row r="755" ht="22.5" customHeight="1">
      <c r="P755" s="56"/>
    </row>
    <row r="756" ht="22.5" customHeight="1">
      <c r="P756" s="56"/>
    </row>
    <row r="757" ht="22.5" customHeight="1">
      <c r="P757" s="56"/>
    </row>
    <row r="758" ht="22.5" customHeight="1">
      <c r="P758" s="56"/>
    </row>
    <row r="759" ht="22.5" customHeight="1">
      <c r="P759" s="56"/>
    </row>
    <row r="760" ht="22.5" customHeight="1">
      <c r="P760" s="56"/>
    </row>
    <row r="761" ht="22.5" customHeight="1">
      <c r="P761" s="56"/>
    </row>
    <row r="762" ht="22.5" customHeight="1">
      <c r="P762" s="56"/>
    </row>
    <row r="763" ht="22.5" customHeight="1">
      <c r="P763" s="56"/>
    </row>
    <row r="764" ht="22.5" customHeight="1">
      <c r="P764" s="56"/>
    </row>
    <row r="765" ht="22.5" customHeight="1">
      <c r="P765" s="56"/>
    </row>
    <row r="766" ht="22.5" customHeight="1">
      <c r="P766" s="56"/>
    </row>
    <row r="767" ht="22.5" customHeight="1">
      <c r="P767" s="56"/>
    </row>
    <row r="768" ht="22.5" customHeight="1">
      <c r="P768" s="56"/>
    </row>
    <row r="769" ht="22.5" customHeight="1">
      <c r="P769" s="56"/>
    </row>
    <row r="770" ht="22.5" customHeight="1">
      <c r="P770" s="56"/>
    </row>
    <row r="771" ht="22.5" customHeight="1">
      <c r="P771" s="56"/>
    </row>
    <row r="772" ht="22.5" customHeight="1">
      <c r="P772" s="56"/>
    </row>
    <row r="773" ht="22.5" customHeight="1">
      <c r="P773" s="56"/>
    </row>
    <row r="774" ht="22.5" customHeight="1">
      <c r="P774" s="56"/>
    </row>
    <row r="775" ht="22.5" customHeight="1">
      <c r="P775" s="56"/>
    </row>
    <row r="776" ht="22.5" customHeight="1">
      <c r="P776" s="56"/>
    </row>
    <row r="777" ht="22.5" customHeight="1">
      <c r="P777" s="56"/>
    </row>
    <row r="778" ht="22.5" customHeight="1">
      <c r="P778" s="56"/>
    </row>
    <row r="779" ht="22.5" customHeight="1">
      <c r="P779" s="56"/>
    </row>
    <row r="780" ht="22.5" customHeight="1">
      <c r="P780" s="56"/>
    </row>
    <row r="781" ht="22.5" customHeight="1">
      <c r="P781" s="56"/>
    </row>
    <row r="782" ht="22.5" customHeight="1">
      <c r="P782" s="56"/>
    </row>
    <row r="783" ht="22.5" customHeight="1">
      <c r="P783" s="56"/>
    </row>
    <row r="784" ht="22.5" customHeight="1">
      <c r="P784" s="56"/>
    </row>
    <row r="785" ht="22.5" customHeight="1">
      <c r="P785" s="56"/>
    </row>
    <row r="786" ht="22.5" customHeight="1">
      <c r="P786" s="56"/>
    </row>
    <row r="787" ht="22.5" customHeight="1">
      <c r="P787" s="56"/>
    </row>
    <row r="788" ht="22.5" customHeight="1">
      <c r="P788" s="56"/>
    </row>
    <row r="789" ht="22.5" customHeight="1">
      <c r="P789" s="56"/>
    </row>
    <row r="790" ht="22.5" customHeight="1">
      <c r="P790" s="56"/>
    </row>
    <row r="791" ht="22.5" customHeight="1">
      <c r="P791" s="56"/>
    </row>
    <row r="792" ht="22.5" customHeight="1">
      <c r="P792" s="56"/>
    </row>
    <row r="793" ht="22.5" customHeight="1">
      <c r="P793" s="56"/>
    </row>
    <row r="794" ht="22.5" customHeight="1">
      <c r="P794" s="56"/>
    </row>
    <row r="795" ht="22.5" customHeight="1">
      <c r="P795" s="56"/>
    </row>
    <row r="796" ht="22.5" customHeight="1">
      <c r="P796" s="56"/>
    </row>
    <row r="797" ht="22.5" customHeight="1">
      <c r="P797" s="56"/>
    </row>
    <row r="798" ht="22.5" customHeight="1">
      <c r="P798" s="56"/>
    </row>
    <row r="799" ht="22.5" customHeight="1">
      <c r="P799" s="56"/>
    </row>
    <row r="800" ht="22.5" customHeight="1">
      <c r="P800" s="56"/>
    </row>
    <row r="801" ht="22.5" customHeight="1">
      <c r="P801" s="56"/>
    </row>
    <row r="802" ht="22.5" customHeight="1">
      <c r="P802" s="56"/>
    </row>
    <row r="803" ht="22.5" customHeight="1">
      <c r="P803" s="56"/>
    </row>
    <row r="804" ht="22.5" customHeight="1">
      <c r="P804" s="56"/>
    </row>
    <row r="805" ht="22.5" customHeight="1">
      <c r="P805" s="56"/>
    </row>
    <row r="806" ht="22.5" customHeight="1">
      <c r="P806" s="56"/>
    </row>
    <row r="807" ht="22.5" customHeight="1">
      <c r="P807" s="56"/>
    </row>
    <row r="808" ht="22.5" customHeight="1">
      <c r="P808" s="56"/>
    </row>
    <row r="809" ht="22.5" customHeight="1">
      <c r="P809" s="56"/>
    </row>
    <row r="810" ht="22.5" customHeight="1">
      <c r="P810" s="56"/>
    </row>
    <row r="811" ht="22.5" customHeight="1">
      <c r="P811" s="56"/>
    </row>
    <row r="812" ht="22.5" customHeight="1">
      <c r="P812" s="56"/>
    </row>
    <row r="813" ht="22.5" customHeight="1">
      <c r="P813" s="56"/>
    </row>
    <row r="814" ht="22.5" customHeight="1">
      <c r="P814" s="56"/>
    </row>
    <row r="815" ht="22.5" customHeight="1">
      <c r="P815" s="56"/>
    </row>
    <row r="816" ht="22.5" customHeight="1">
      <c r="P816" s="56"/>
    </row>
    <row r="817" ht="22.5" customHeight="1">
      <c r="P817" s="56"/>
    </row>
    <row r="818" ht="22.5" customHeight="1">
      <c r="P818" s="56"/>
    </row>
    <row r="819" ht="22.5" customHeight="1">
      <c r="P819" s="56"/>
    </row>
    <row r="820" ht="22.5" customHeight="1">
      <c r="P820" s="56"/>
    </row>
    <row r="821" ht="22.5" customHeight="1">
      <c r="P821" s="56"/>
    </row>
    <row r="822" ht="22.5" customHeight="1">
      <c r="P822" s="56"/>
    </row>
    <row r="823" ht="22.5" customHeight="1">
      <c r="P823" s="56"/>
    </row>
    <row r="824" ht="22.5" customHeight="1">
      <c r="P824" s="56"/>
    </row>
    <row r="825" ht="22.5" customHeight="1">
      <c r="P825" s="56"/>
    </row>
    <row r="826" ht="22.5" customHeight="1">
      <c r="P826" s="56"/>
    </row>
    <row r="827" ht="22.5" customHeight="1">
      <c r="P827" s="56"/>
    </row>
    <row r="828" ht="22.5" customHeight="1">
      <c r="P828" s="56"/>
    </row>
    <row r="829" ht="22.5" customHeight="1">
      <c r="P829" s="56"/>
    </row>
    <row r="830" ht="22.5" customHeight="1">
      <c r="P830" s="56"/>
    </row>
    <row r="831" ht="22.5" customHeight="1">
      <c r="P831" s="56"/>
    </row>
    <row r="832" ht="22.5" customHeight="1">
      <c r="P832" s="56"/>
    </row>
    <row r="833" ht="22.5" customHeight="1">
      <c r="P833" s="56"/>
    </row>
    <row r="834" ht="22.5" customHeight="1">
      <c r="P834" s="56"/>
    </row>
    <row r="835" ht="22.5" customHeight="1">
      <c r="P835" s="56"/>
    </row>
    <row r="836" ht="22.5" customHeight="1">
      <c r="P836" s="56"/>
    </row>
    <row r="837" ht="22.5" customHeight="1">
      <c r="P837" s="56"/>
    </row>
    <row r="838" ht="22.5" customHeight="1">
      <c r="P838" s="56"/>
    </row>
    <row r="839" ht="22.5" customHeight="1">
      <c r="P839" s="56"/>
    </row>
    <row r="840" ht="22.5" customHeight="1">
      <c r="P840" s="56"/>
    </row>
    <row r="841" ht="22.5" customHeight="1">
      <c r="P841" s="56"/>
    </row>
    <row r="842" ht="22.5" customHeight="1">
      <c r="P842" s="56"/>
    </row>
    <row r="843" ht="22.5" customHeight="1">
      <c r="P843" s="56"/>
    </row>
    <row r="844" ht="22.5" customHeight="1">
      <c r="P844" s="56"/>
    </row>
    <row r="845" ht="22.5" customHeight="1">
      <c r="P845" s="56"/>
    </row>
    <row r="846" ht="22.5" customHeight="1">
      <c r="P846" s="56"/>
    </row>
    <row r="847" ht="22.5" customHeight="1">
      <c r="P847" s="56"/>
    </row>
    <row r="848" ht="22.5" customHeight="1">
      <c r="P848" s="56"/>
    </row>
    <row r="849" ht="22.5" customHeight="1">
      <c r="P849" s="56"/>
    </row>
    <row r="850" ht="22.5" customHeight="1">
      <c r="P850" s="56"/>
    </row>
    <row r="851" ht="22.5" customHeight="1">
      <c r="P851" s="56"/>
    </row>
    <row r="852" ht="22.5" customHeight="1">
      <c r="P852" s="56"/>
    </row>
    <row r="853" ht="22.5" customHeight="1">
      <c r="P853" s="56"/>
    </row>
    <row r="854" ht="22.5" customHeight="1">
      <c r="P854" s="56"/>
    </row>
    <row r="855" ht="22.5" customHeight="1">
      <c r="P855" s="56"/>
    </row>
    <row r="856" ht="22.5" customHeight="1">
      <c r="P856" s="56"/>
    </row>
    <row r="857" ht="22.5" customHeight="1">
      <c r="P857" s="56"/>
    </row>
    <row r="858" ht="22.5" customHeight="1">
      <c r="P858" s="56"/>
    </row>
    <row r="859" ht="22.5" customHeight="1">
      <c r="P859" s="56"/>
    </row>
    <row r="860" ht="22.5" customHeight="1">
      <c r="P860" s="56"/>
    </row>
    <row r="861" ht="22.5" customHeight="1">
      <c r="P861" s="56"/>
    </row>
    <row r="862" ht="22.5" customHeight="1">
      <c r="P862" s="56"/>
    </row>
    <row r="863" ht="22.5" customHeight="1">
      <c r="P863" s="56"/>
    </row>
    <row r="864" ht="22.5" customHeight="1">
      <c r="P864" s="56"/>
    </row>
    <row r="865" ht="22.5" customHeight="1">
      <c r="P865" s="56"/>
    </row>
    <row r="866" ht="22.5" customHeight="1">
      <c r="P866" s="56"/>
    </row>
    <row r="867" ht="22.5" customHeight="1">
      <c r="P867" s="56"/>
    </row>
    <row r="868" ht="22.5" customHeight="1">
      <c r="P868" s="56"/>
    </row>
    <row r="869" ht="22.5" customHeight="1">
      <c r="P869" s="56"/>
    </row>
    <row r="870" ht="22.5" customHeight="1">
      <c r="P870" s="56"/>
    </row>
    <row r="871" ht="22.5" customHeight="1">
      <c r="P871" s="56"/>
    </row>
    <row r="872" ht="22.5" customHeight="1">
      <c r="P872" s="56"/>
    </row>
    <row r="873" ht="22.5" customHeight="1">
      <c r="P873" s="56"/>
    </row>
    <row r="874" ht="22.5" customHeight="1">
      <c r="P874" s="56"/>
    </row>
    <row r="875" ht="22.5" customHeight="1">
      <c r="P875" s="56"/>
    </row>
    <row r="876" ht="22.5" customHeight="1">
      <c r="P876" s="56"/>
    </row>
    <row r="877" ht="22.5" customHeight="1">
      <c r="P877" s="56"/>
    </row>
    <row r="878" ht="22.5" customHeight="1">
      <c r="P878" s="56"/>
    </row>
    <row r="879" ht="22.5" customHeight="1">
      <c r="P879" s="56"/>
    </row>
    <row r="880" ht="22.5" customHeight="1">
      <c r="P880" s="56"/>
    </row>
    <row r="881" ht="22.5" customHeight="1">
      <c r="P881" s="56"/>
    </row>
    <row r="882" ht="22.5" customHeight="1">
      <c r="P882" s="56"/>
    </row>
    <row r="883" ht="22.5" customHeight="1">
      <c r="P883" s="56"/>
    </row>
    <row r="884" ht="22.5" customHeight="1">
      <c r="P884" s="56"/>
    </row>
    <row r="885" ht="22.5" customHeight="1">
      <c r="P885" s="56"/>
    </row>
    <row r="886" ht="22.5" customHeight="1">
      <c r="P886" s="56"/>
    </row>
    <row r="887" ht="22.5" customHeight="1">
      <c r="P887" s="56"/>
    </row>
    <row r="888" ht="22.5" customHeight="1">
      <c r="P888" s="56"/>
    </row>
    <row r="889" ht="22.5" customHeight="1">
      <c r="P889" s="56"/>
    </row>
    <row r="890" ht="22.5" customHeight="1">
      <c r="P890" s="56"/>
    </row>
    <row r="891" ht="22.5" customHeight="1">
      <c r="P891" s="56"/>
    </row>
    <row r="892" ht="22.5" customHeight="1">
      <c r="P892" s="56"/>
    </row>
    <row r="893" ht="22.5" customHeight="1">
      <c r="P893" s="56"/>
    </row>
    <row r="894" ht="22.5" customHeight="1">
      <c r="P894" s="56"/>
    </row>
    <row r="895" ht="22.5" customHeight="1">
      <c r="P895" s="56"/>
    </row>
    <row r="896" ht="22.5" customHeight="1">
      <c r="P896" s="56"/>
    </row>
    <row r="897" ht="22.5" customHeight="1">
      <c r="P897" s="56"/>
    </row>
    <row r="898" ht="22.5" customHeight="1">
      <c r="P898" s="56"/>
    </row>
    <row r="899" ht="22.5" customHeight="1">
      <c r="P899" s="56"/>
    </row>
    <row r="900" ht="22.5" customHeight="1">
      <c r="P900" s="56"/>
    </row>
    <row r="901" ht="22.5" customHeight="1">
      <c r="P901" s="56"/>
    </row>
    <row r="902" ht="22.5" customHeight="1">
      <c r="P902" s="56"/>
    </row>
    <row r="903" ht="22.5" customHeight="1">
      <c r="P903" s="56"/>
    </row>
    <row r="904" ht="22.5" customHeight="1">
      <c r="P904" s="56"/>
    </row>
    <row r="905" ht="22.5" customHeight="1">
      <c r="P905" s="56"/>
    </row>
    <row r="906" ht="22.5" customHeight="1">
      <c r="P906" s="56"/>
    </row>
    <row r="907" ht="22.5" customHeight="1">
      <c r="P907" s="56"/>
    </row>
    <row r="908" ht="22.5" customHeight="1">
      <c r="P908" s="56"/>
    </row>
    <row r="909" ht="22.5" customHeight="1">
      <c r="P909" s="56"/>
    </row>
    <row r="910" ht="22.5" customHeight="1">
      <c r="P910" s="56"/>
    </row>
    <row r="911" ht="22.5" customHeight="1">
      <c r="P911" s="56"/>
    </row>
    <row r="912" ht="22.5" customHeight="1">
      <c r="P912" s="56"/>
    </row>
    <row r="913" ht="22.5" customHeight="1">
      <c r="P913" s="56"/>
    </row>
    <row r="914" ht="22.5" customHeight="1">
      <c r="P914" s="56"/>
    </row>
    <row r="915" ht="22.5" customHeight="1">
      <c r="P915" s="56"/>
    </row>
    <row r="916" ht="22.5" customHeight="1">
      <c r="P916" s="56"/>
    </row>
    <row r="917" ht="22.5" customHeight="1">
      <c r="P917" s="56"/>
    </row>
    <row r="918" ht="22.5" customHeight="1">
      <c r="P918" s="56"/>
    </row>
    <row r="919" ht="22.5" customHeight="1">
      <c r="P919" s="56"/>
    </row>
    <row r="920" ht="22.5" customHeight="1">
      <c r="P920" s="56"/>
    </row>
    <row r="921" ht="22.5" customHeight="1">
      <c r="P921" s="56"/>
    </row>
    <row r="922" ht="22.5" customHeight="1">
      <c r="P922" s="56"/>
    </row>
    <row r="923" ht="22.5" customHeight="1">
      <c r="P923" s="56"/>
    </row>
    <row r="924" ht="22.5" customHeight="1">
      <c r="P924" s="56"/>
    </row>
    <row r="925" ht="22.5" customHeight="1">
      <c r="P925" s="56"/>
    </row>
    <row r="926" ht="22.5" customHeight="1">
      <c r="P926" s="56"/>
    </row>
    <row r="927" ht="22.5" customHeight="1">
      <c r="P927" s="56"/>
    </row>
    <row r="928" ht="22.5" customHeight="1">
      <c r="P928" s="56"/>
    </row>
    <row r="929" ht="22.5" customHeight="1">
      <c r="P929" s="56"/>
    </row>
    <row r="930" ht="22.5" customHeight="1">
      <c r="P930" s="56"/>
    </row>
    <row r="931" ht="22.5" customHeight="1">
      <c r="P931" s="56"/>
    </row>
    <row r="932" ht="22.5" customHeight="1">
      <c r="P932" s="56"/>
    </row>
    <row r="933" ht="22.5" customHeight="1">
      <c r="P933" s="56"/>
    </row>
    <row r="934" ht="22.5" customHeight="1">
      <c r="P934" s="56"/>
    </row>
    <row r="935" ht="22.5" customHeight="1">
      <c r="P935" s="56"/>
    </row>
    <row r="936" ht="22.5" customHeight="1">
      <c r="P936" s="56"/>
    </row>
    <row r="937" ht="22.5" customHeight="1">
      <c r="P937" s="56"/>
    </row>
    <row r="938" ht="22.5" customHeight="1">
      <c r="P938" s="56"/>
    </row>
    <row r="939" ht="22.5" customHeight="1">
      <c r="P939" s="56"/>
    </row>
    <row r="940" ht="22.5" customHeight="1">
      <c r="P940" s="56"/>
    </row>
    <row r="941" ht="22.5" customHeight="1">
      <c r="P941" s="56"/>
    </row>
    <row r="942" ht="22.5" customHeight="1">
      <c r="P942" s="56"/>
    </row>
    <row r="943" ht="22.5" customHeight="1">
      <c r="P943" s="56"/>
    </row>
    <row r="944" ht="22.5" customHeight="1">
      <c r="P944" s="56"/>
    </row>
    <row r="945" ht="22.5" customHeight="1">
      <c r="P945" s="56"/>
    </row>
    <row r="946" ht="22.5" customHeight="1">
      <c r="P946" s="56"/>
    </row>
    <row r="947" ht="22.5" customHeight="1">
      <c r="P947" s="56"/>
    </row>
    <row r="948" ht="22.5" customHeight="1">
      <c r="P948" s="56"/>
    </row>
    <row r="949" ht="22.5" customHeight="1">
      <c r="P949" s="56"/>
    </row>
    <row r="950" ht="22.5" customHeight="1">
      <c r="P950" s="56"/>
    </row>
    <row r="951" ht="22.5" customHeight="1">
      <c r="P951" s="56"/>
    </row>
    <row r="952" ht="22.5" customHeight="1">
      <c r="P952" s="56"/>
    </row>
    <row r="953" ht="22.5" customHeight="1">
      <c r="P953" s="56"/>
    </row>
    <row r="954" ht="22.5" customHeight="1">
      <c r="P954" s="56"/>
    </row>
    <row r="955" ht="22.5" customHeight="1">
      <c r="P955" s="56"/>
    </row>
    <row r="956" ht="22.5" customHeight="1">
      <c r="P956" s="56"/>
    </row>
    <row r="957" ht="22.5" customHeight="1">
      <c r="P957" s="56"/>
    </row>
    <row r="958" ht="22.5" customHeight="1">
      <c r="P958" s="56"/>
    </row>
    <row r="959" ht="22.5" customHeight="1">
      <c r="P959" s="56"/>
    </row>
    <row r="960" ht="22.5" customHeight="1">
      <c r="P960" s="56"/>
    </row>
    <row r="961" ht="22.5" customHeight="1">
      <c r="P961" s="56"/>
    </row>
    <row r="962" ht="22.5" customHeight="1">
      <c r="P962" s="56"/>
    </row>
    <row r="963" ht="22.5" customHeight="1">
      <c r="P963" s="56"/>
    </row>
    <row r="964" ht="22.5" customHeight="1">
      <c r="P964" s="56"/>
    </row>
    <row r="965" ht="22.5" customHeight="1">
      <c r="P965" s="56"/>
    </row>
    <row r="966" ht="22.5" customHeight="1">
      <c r="P966" s="56"/>
    </row>
    <row r="967" ht="22.5" customHeight="1">
      <c r="P967" s="56"/>
    </row>
    <row r="968" ht="22.5" customHeight="1">
      <c r="P968" s="56"/>
    </row>
    <row r="969" ht="22.5" customHeight="1">
      <c r="P969" s="56"/>
    </row>
    <row r="970" ht="22.5" customHeight="1">
      <c r="P970" s="56"/>
    </row>
    <row r="971" ht="22.5" customHeight="1">
      <c r="P971" s="56"/>
    </row>
    <row r="972" ht="22.5" customHeight="1">
      <c r="P972" s="56"/>
    </row>
    <row r="973" ht="22.5" customHeight="1">
      <c r="P973" s="56"/>
    </row>
    <row r="974" ht="22.5" customHeight="1">
      <c r="P974" s="56"/>
    </row>
    <row r="975" ht="22.5" customHeight="1">
      <c r="P975" s="56"/>
    </row>
    <row r="976" ht="22.5" customHeight="1">
      <c r="P976" s="56"/>
    </row>
    <row r="977" ht="22.5" customHeight="1">
      <c r="P977" s="56"/>
    </row>
    <row r="978" ht="22.5" customHeight="1">
      <c r="P978" s="56"/>
    </row>
    <row r="979" ht="22.5" customHeight="1">
      <c r="P979" s="56"/>
    </row>
    <row r="980" ht="22.5" customHeight="1">
      <c r="P980" s="56"/>
    </row>
    <row r="981" ht="22.5" customHeight="1">
      <c r="P981" s="56"/>
    </row>
    <row r="982" ht="22.5" customHeight="1">
      <c r="P982" s="56"/>
    </row>
    <row r="983" ht="22.5" customHeight="1">
      <c r="P983" s="56"/>
    </row>
    <row r="984" ht="22.5" customHeight="1">
      <c r="P984" s="56"/>
    </row>
    <row r="985" ht="22.5" customHeight="1">
      <c r="P985" s="56"/>
    </row>
    <row r="986" ht="22.5" customHeight="1">
      <c r="P986" s="56"/>
    </row>
    <row r="987" ht="22.5" customHeight="1">
      <c r="P987" s="56"/>
    </row>
    <row r="988" ht="22.5" customHeight="1">
      <c r="P988" s="56"/>
    </row>
    <row r="989" ht="22.5" customHeight="1">
      <c r="P989" s="56"/>
    </row>
    <row r="990" ht="22.5" customHeight="1">
      <c r="P990" s="56"/>
    </row>
    <row r="991" ht="22.5" customHeight="1">
      <c r="P991" s="56"/>
    </row>
    <row r="992" ht="22.5" customHeight="1">
      <c r="P992" s="56"/>
    </row>
    <row r="993" ht="22.5" customHeight="1">
      <c r="P993" s="56"/>
    </row>
    <row r="994" ht="22.5" customHeight="1">
      <c r="P994" s="56"/>
    </row>
    <row r="995" ht="22.5" customHeight="1">
      <c r="P995" s="56"/>
    </row>
    <row r="996" ht="22.5" customHeight="1">
      <c r="P996" s="56"/>
    </row>
    <row r="997" ht="22.5" customHeight="1">
      <c r="P997" s="56"/>
    </row>
    <row r="998" ht="22.5" customHeight="1">
      <c r="P998" s="56"/>
    </row>
    <row r="999" ht="22.5" customHeight="1">
      <c r="P999" s="56"/>
    </row>
    <row r="1000" ht="22.5" customHeight="1">
      <c r="P1000" s="56"/>
    </row>
    <row r="1001" ht="22.5" customHeight="1">
      <c r="P1001" s="56"/>
    </row>
    <row r="1002" ht="22.5" customHeight="1">
      <c r="P1002" s="56"/>
    </row>
    <row r="1003" ht="22.5" customHeight="1">
      <c r="P1003" s="56"/>
    </row>
    <row r="1004" ht="22.5" customHeight="1">
      <c r="P1004" s="56"/>
    </row>
    <row r="1005" ht="22.5" customHeight="1">
      <c r="P1005" s="56"/>
    </row>
    <row r="1006" ht="22.5" customHeight="1">
      <c r="P1006" s="56"/>
    </row>
    <row r="1007" ht="22.5" customHeight="1">
      <c r="P1007" s="56"/>
    </row>
    <row r="1008" ht="22.5" customHeight="1">
      <c r="P1008" s="56"/>
    </row>
    <row r="1009" ht="22.5" customHeight="1">
      <c r="P1009" s="56"/>
    </row>
    <row r="1010" ht="22.5" customHeight="1">
      <c r="P1010" s="56"/>
    </row>
    <row r="1011" ht="22.5" customHeight="1">
      <c r="P1011" s="56"/>
    </row>
    <row r="1012" ht="22.5" customHeight="1">
      <c r="P1012" s="56"/>
    </row>
    <row r="1013" ht="22.5" customHeight="1">
      <c r="P1013" s="56"/>
    </row>
    <row r="1014" ht="22.5" customHeight="1">
      <c r="P1014" s="56"/>
    </row>
    <row r="1015" ht="22.5" customHeight="1">
      <c r="P1015" s="56"/>
    </row>
    <row r="1016" ht="22.5" customHeight="1">
      <c r="P1016" s="56"/>
    </row>
    <row r="1017" ht="22.5" customHeight="1">
      <c r="P1017" s="56"/>
    </row>
    <row r="1018" ht="22.5" customHeight="1">
      <c r="P1018" s="56"/>
    </row>
    <row r="1019" ht="22.5" customHeight="1">
      <c r="P1019" s="56"/>
    </row>
    <row r="1020" ht="22.5" customHeight="1">
      <c r="P1020" s="56"/>
    </row>
    <row r="1021" ht="22.5" customHeight="1">
      <c r="P1021" s="56"/>
    </row>
    <row r="1022" ht="22.5" customHeight="1">
      <c r="P1022" s="56"/>
    </row>
    <row r="1023" ht="22.5" customHeight="1">
      <c r="P1023" s="56"/>
    </row>
    <row r="1024" ht="22.5" customHeight="1">
      <c r="P1024" s="56"/>
    </row>
    <row r="1025" ht="22.5" customHeight="1">
      <c r="P1025" s="56"/>
    </row>
    <row r="1026" ht="22.5" customHeight="1">
      <c r="P1026" s="56"/>
    </row>
    <row r="1027" ht="22.5" customHeight="1">
      <c r="P1027" s="56"/>
    </row>
    <row r="1028" ht="22.5" customHeight="1">
      <c r="P1028" s="56"/>
    </row>
    <row r="1029" ht="22.5" customHeight="1">
      <c r="P1029" s="56"/>
    </row>
    <row r="1030" ht="22.5" customHeight="1">
      <c r="P1030" s="56"/>
    </row>
    <row r="1031" ht="22.5" customHeight="1">
      <c r="P1031" s="56"/>
    </row>
    <row r="1032" ht="22.5" customHeight="1">
      <c r="P1032" s="56"/>
    </row>
    <row r="1033" ht="22.5" customHeight="1">
      <c r="P1033" s="56"/>
    </row>
    <row r="1034" ht="22.5" customHeight="1">
      <c r="P1034" s="56"/>
    </row>
    <row r="1035" ht="22.5" customHeight="1">
      <c r="P1035" s="56"/>
    </row>
    <row r="1036" ht="22.5" customHeight="1">
      <c r="P1036" s="56"/>
    </row>
    <row r="1037" ht="22.5" customHeight="1">
      <c r="P1037" s="56"/>
    </row>
    <row r="1038" ht="22.5" customHeight="1">
      <c r="P1038" s="56"/>
    </row>
    <row r="1039" ht="22.5" customHeight="1">
      <c r="P1039" s="56"/>
    </row>
    <row r="1040" ht="22.5" customHeight="1">
      <c r="P1040" s="56"/>
    </row>
    <row r="1041" ht="22.5" customHeight="1">
      <c r="P1041" s="56"/>
    </row>
    <row r="1042" ht="22.5" customHeight="1">
      <c r="P1042" s="56"/>
    </row>
    <row r="1043" ht="22.5" customHeight="1">
      <c r="P1043" s="56"/>
    </row>
    <row r="1044" ht="22.5" customHeight="1">
      <c r="P1044" s="56"/>
    </row>
    <row r="1045" ht="22.5" customHeight="1">
      <c r="P1045" s="56"/>
    </row>
    <row r="1046" ht="22.5" customHeight="1">
      <c r="P1046" s="56"/>
    </row>
    <row r="1047" ht="22.5" customHeight="1">
      <c r="P1047" s="56"/>
    </row>
    <row r="1048" ht="22.5" customHeight="1">
      <c r="P1048" s="56"/>
    </row>
    <row r="1049" ht="22.5" customHeight="1">
      <c r="P1049" s="56"/>
    </row>
    <row r="1050" ht="22.5" customHeight="1">
      <c r="P1050" s="56"/>
    </row>
    <row r="1051" ht="22.5" customHeight="1">
      <c r="P1051" s="56"/>
    </row>
    <row r="1052" ht="22.5" customHeight="1">
      <c r="P1052" s="56"/>
    </row>
    <row r="1053" ht="22.5" customHeight="1">
      <c r="P1053" s="56"/>
    </row>
    <row r="1054" ht="22.5" customHeight="1">
      <c r="P1054" s="56"/>
    </row>
    <row r="1055" ht="22.5" customHeight="1">
      <c r="P1055" s="56"/>
    </row>
    <row r="1056" ht="22.5" customHeight="1">
      <c r="P1056" s="56"/>
    </row>
    <row r="1057" ht="22.5" customHeight="1">
      <c r="P1057" s="56"/>
    </row>
    <row r="1058" ht="22.5" customHeight="1">
      <c r="P1058" s="56"/>
    </row>
    <row r="1059" ht="22.5" customHeight="1">
      <c r="P1059" s="56"/>
    </row>
    <row r="1060" ht="22.5" customHeight="1">
      <c r="P1060" s="56"/>
    </row>
    <row r="1061" ht="22.5" customHeight="1">
      <c r="P1061" s="56"/>
    </row>
    <row r="1062" ht="22.5" customHeight="1">
      <c r="P1062" s="56"/>
    </row>
    <row r="1063" ht="22.5" customHeight="1">
      <c r="P1063" s="56"/>
    </row>
    <row r="1064" ht="22.5" customHeight="1">
      <c r="P1064" s="56"/>
    </row>
    <row r="1065" ht="22.5" customHeight="1">
      <c r="P1065" s="56"/>
    </row>
    <row r="1066" ht="22.5" customHeight="1">
      <c r="P1066" s="56"/>
    </row>
    <row r="1067" ht="22.5" customHeight="1">
      <c r="P1067" s="56"/>
    </row>
    <row r="1068" ht="22.5" customHeight="1">
      <c r="P1068" s="56"/>
    </row>
    <row r="1069" ht="22.5" customHeight="1">
      <c r="P1069" s="56"/>
    </row>
    <row r="1070" ht="22.5" customHeight="1">
      <c r="P1070" s="56"/>
    </row>
    <row r="1071" ht="22.5" customHeight="1">
      <c r="P1071" s="56"/>
    </row>
    <row r="1072" ht="22.5" customHeight="1">
      <c r="P1072" s="56"/>
    </row>
    <row r="1073" ht="22.5" customHeight="1">
      <c r="P1073" s="56"/>
    </row>
    <row r="1074" ht="22.5" customHeight="1">
      <c r="P1074" s="56"/>
    </row>
    <row r="1075" ht="22.5" customHeight="1">
      <c r="P1075" s="56"/>
    </row>
    <row r="1076" ht="22.5" customHeight="1">
      <c r="P1076" s="56"/>
    </row>
    <row r="1077" ht="22.5" customHeight="1">
      <c r="P1077" s="56"/>
    </row>
    <row r="1078" ht="22.5" customHeight="1">
      <c r="P1078" s="56"/>
    </row>
    <row r="1079" ht="22.5" customHeight="1">
      <c r="P1079" s="56"/>
    </row>
    <row r="1080" ht="22.5" customHeight="1">
      <c r="P1080" s="56"/>
    </row>
    <row r="1081" ht="22.5" customHeight="1">
      <c r="P1081" s="56"/>
    </row>
    <row r="1082" ht="22.5" customHeight="1">
      <c r="P1082" s="56"/>
    </row>
    <row r="1083" ht="22.5" customHeight="1">
      <c r="P1083" s="56"/>
    </row>
    <row r="1084" ht="22.5" customHeight="1">
      <c r="P1084" s="56"/>
    </row>
    <row r="1085" ht="22.5" customHeight="1">
      <c r="P1085" s="56"/>
    </row>
    <row r="1086" ht="22.5" customHeight="1">
      <c r="P1086" s="56"/>
    </row>
    <row r="1087" ht="22.5" customHeight="1">
      <c r="P1087" s="56"/>
    </row>
    <row r="1088" ht="22.5" customHeight="1">
      <c r="P1088" s="56"/>
    </row>
    <row r="1089" ht="22.5" customHeight="1">
      <c r="P1089" s="56"/>
    </row>
    <row r="1090" ht="22.5" customHeight="1">
      <c r="P1090" s="56"/>
    </row>
    <row r="1091" ht="22.5" customHeight="1">
      <c r="P1091" s="56"/>
    </row>
    <row r="1092" ht="22.5" customHeight="1">
      <c r="P1092" s="56"/>
    </row>
    <row r="1093" ht="22.5" customHeight="1">
      <c r="P1093" s="56"/>
    </row>
    <row r="1094" ht="22.5" customHeight="1">
      <c r="P1094" s="56"/>
    </row>
    <row r="1095" ht="22.5" customHeight="1">
      <c r="P1095" s="56"/>
    </row>
    <row r="1096" ht="22.5" customHeight="1">
      <c r="P1096" s="56"/>
    </row>
    <row r="1097" ht="22.5" customHeight="1">
      <c r="P1097" s="56"/>
    </row>
    <row r="1098" ht="22.5" customHeight="1">
      <c r="P1098" s="56"/>
    </row>
    <row r="1099" ht="22.5" customHeight="1">
      <c r="P1099" s="56"/>
    </row>
    <row r="1100" ht="22.5" customHeight="1">
      <c r="P1100" s="56"/>
    </row>
    <row r="1101" ht="22.5" customHeight="1">
      <c r="P1101" s="56"/>
    </row>
    <row r="1102" ht="22.5" customHeight="1">
      <c r="P1102" s="56"/>
    </row>
    <row r="1103" ht="22.5" customHeight="1">
      <c r="P1103" s="56"/>
    </row>
    <row r="1104" ht="22.5" customHeight="1">
      <c r="P1104" s="56"/>
    </row>
    <row r="1105" ht="22.5" customHeight="1">
      <c r="P1105" s="56"/>
    </row>
    <row r="1106" ht="22.5" customHeight="1">
      <c r="P1106" s="56"/>
    </row>
    <row r="1107" ht="22.5" customHeight="1">
      <c r="P1107" s="56"/>
    </row>
    <row r="1108" ht="22.5" customHeight="1">
      <c r="P1108" s="56"/>
    </row>
    <row r="1109" ht="22.5" customHeight="1">
      <c r="P1109" s="56"/>
    </row>
    <row r="1110" ht="22.5" customHeight="1">
      <c r="P1110" s="56"/>
    </row>
    <row r="1111" ht="22.5" customHeight="1">
      <c r="P1111" s="56"/>
    </row>
    <row r="1112" ht="22.5" customHeight="1">
      <c r="P1112" s="56"/>
    </row>
    <row r="1113" ht="22.5" customHeight="1">
      <c r="P1113" s="56"/>
    </row>
    <row r="1114" ht="22.5" customHeight="1">
      <c r="P1114" s="56"/>
    </row>
    <row r="1115" ht="22.5" customHeight="1">
      <c r="P1115" s="56"/>
    </row>
    <row r="1116" ht="22.5" customHeight="1">
      <c r="P1116" s="56"/>
    </row>
    <row r="1117" ht="22.5" customHeight="1">
      <c r="P1117" s="56"/>
    </row>
    <row r="1118" ht="22.5" customHeight="1">
      <c r="P1118" s="56"/>
    </row>
    <row r="1119" ht="22.5" customHeight="1">
      <c r="P1119" s="56"/>
    </row>
    <row r="1120" ht="22.5" customHeight="1">
      <c r="P1120" s="56"/>
    </row>
    <row r="1121" ht="22.5" customHeight="1">
      <c r="P1121" s="56"/>
    </row>
    <row r="1122" ht="22.5" customHeight="1">
      <c r="P1122" s="56"/>
    </row>
    <row r="1123" ht="22.5" customHeight="1">
      <c r="P1123" s="56"/>
    </row>
    <row r="1124" ht="22.5" customHeight="1">
      <c r="P1124" s="56"/>
    </row>
    <row r="1125" ht="22.5" customHeight="1">
      <c r="P1125" s="56"/>
    </row>
    <row r="1126" ht="22.5" customHeight="1">
      <c r="P1126" s="56"/>
    </row>
    <row r="1127" ht="22.5" customHeight="1">
      <c r="P1127" s="56"/>
    </row>
    <row r="1128" ht="22.5" customHeight="1">
      <c r="P1128" s="56"/>
    </row>
    <row r="1129" ht="22.5" customHeight="1">
      <c r="P1129" s="56"/>
    </row>
    <row r="1130" ht="22.5" customHeight="1">
      <c r="P1130" s="56"/>
    </row>
    <row r="1131" ht="22.5" customHeight="1">
      <c r="P1131" s="56"/>
    </row>
    <row r="1132" ht="22.5" customHeight="1">
      <c r="P1132" s="56"/>
    </row>
    <row r="1133" ht="22.5" customHeight="1">
      <c r="P1133" s="56"/>
    </row>
    <row r="1134" ht="22.5" customHeight="1">
      <c r="P1134" s="56"/>
    </row>
    <row r="1135" ht="22.5" customHeight="1">
      <c r="P1135" s="56"/>
    </row>
    <row r="1136" ht="22.5" customHeight="1">
      <c r="P1136" s="56"/>
    </row>
    <row r="1137" ht="22.5" customHeight="1">
      <c r="P1137" s="56"/>
    </row>
    <row r="1138" ht="22.5" customHeight="1">
      <c r="P1138" s="56"/>
    </row>
    <row r="1139" ht="22.5" customHeight="1">
      <c r="P1139" s="56"/>
    </row>
    <row r="1140" ht="22.5" customHeight="1">
      <c r="P1140" s="56"/>
    </row>
    <row r="1141" ht="22.5" customHeight="1">
      <c r="P1141" s="56"/>
    </row>
    <row r="1142" ht="22.5" customHeight="1">
      <c r="P1142" s="56"/>
    </row>
    <row r="1143" ht="22.5" customHeight="1">
      <c r="P1143" s="56"/>
    </row>
    <row r="1144" ht="22.5" customHeight="1">
      <c r="P1144" s="56"/>
    </row>
    <row r="1145" ht="22.5" customHeight="1">
      <c r="P1145" s="56"/>
    </row>
    <row r="1146" ht="22.5" customHeight="1">
      <c r="P1146" s="56"/>
    </row>
    <row r="1147" ht="22.5" customHeight="1">
      <c r="P1147" s="56"/>
    </row>
    <row r="1148" ht="22.5" customHeight="1">
      <c r="P1148" s="56"/>
    </row>
    <row r="1149" ht="22.5" customHeight="1">
      <c r="P1149" s="56"/>
    </row>
    <row r="1150" ht="22.5" customHeight="1">
      <c r="P1150" s="56"/>
    </row>
    <row r="1151" ht="22.5" customHeight="1">
      <c r="P1151" s="56"/>
    </row>
    <row r="1152" ht="22.5" customHeight="1">
      <c r="P1152" s="56"/>
    </row>
    <row r="1153" ht="22.5" customHeight="1">
      <c r="P1153" s="56"/>
    </row>
    <row r="1154" ht="22.5" customHeight="1">
      <c r="P1154" s="56"/>
    </row>
    <row r="1155" ht="22.5" customHeight="1">
      <c r="P1155" s="56"/>
    </row>
    <row r="1156" ht="22.5" customHeight="1">
      <c r="P1156" s="56"/>
    </row>
    <row r="1157" ht="22.5" customHeight="1">
      <c r="P1157" s="56"/>
    </row>
    <row r="1158" ht="22.5" customHeight="1">
      <c r="P1158" s="56"/>
    </row>
    <row r="1159" ht="22.5" customHeight="1">
      <c r="P1159" s="56"/>
    </row>
    <row r="1160" ht="22.5" customHeight="1">
      <c r="P1160" s="56"/>
    </row>
    <row r="1161" ht="22.5" customHeight="1">
      <c r="P1161" s="56"/>
    </row>
    <row r="1162" ht="22.5" customHeight="1">
      <c r="P1162" s="56"/>
    </row>
    <row r="1163" ht="22.5" customHeight="1">
      <c r="P1163" s="56"/>
    </row>
    <row r="1164" ht="22.5" customHeight="1">
      <c r="P1164" s="56"/>
    </row>
    <row r="1165" ht="22.5" customHeight="1">
      <c r="P1165" s="56"/>
    </row>
    <row r="1166" ht="22.5" customHeight="1">
      <c r="P1166" s="56"/>
    </row>
    <row r="1167" ht="22.5" customHeight="1">
      <c r="P1167" s="56"/>
    </row>
    <row r="1168" ht="22.5" customHeight="1">
      <c r="P1168" s="56"/>
    </row>
    <row r="1169" ht="22.5" customHeight="1">
      <c r="P1169" s="56"/>
    </row>
    <row r="1170" ht="22.5" customHeight="1">
      <c r="P1170" s="56"/>
    </row>
    <row r="1171" ht="22.5" customHeight="1">
      <c r="P1171" s="56"/>
    </row>
    <row r="1172" ht="22.5" customHeight="1">
      <c r="P1172" s="56"/>
    </row>
    <row r="1173" ht="22.5" customHeight="1">
      <c r="P1173" s="56"/>
    </row>
    <row r="1174" ht="22.5" customHeight="1">
      <c r="P1174" s="56"/>
    </row>
    <row r="1175" ht="22.5" customHeight="1">
      <c r="P1175" s="56"/>
    </row>
    <row r="1176" ht="22.5" customHeight="1">
      <c r="P1176" s="56"/>
    </row>
    <row r="1177" ht="22.5" customHeight="1">
      <c r="P1177" s="56"/>
    </row>
    <row r="1178" ht="22.5" customHeight="1">
      <c r="P1178" s="56"/>
    </row>
    <row r="1179" ht="22.5" customHeight="1">
      <c r="P1179" s="56"/>
    </row>
    <row r="1180" ht="22.5" customHeight="1">
      <c r="P1180" s="56"/>
    </row>
    <row r="1181" ht="22.5" customHeight="1">
      <c r="P1181" s="56"/>
    </row>
    <row r="1182" ht="22.5" customHeight="1">
      <c r="P1182" s="56"/>
    </row>
    <row r="1183" ht="22.5" customHeight="1">
      <c r="P1183" s="56"/>
    </row>
    <row r="1184" ht="22.5" customHeight="1">
      <c r="P1184" s="56"/>
    </row>
    <row r="1185" ht="22.5" customHeight="1">
      <c r="P1185" s="56"/>
    </row>
    <row r="1186" ht="22.5" customHeight="1">
      <c r="P1186" s="56"/>
    </row>
    <row r="1187" ht="22.5" customHeight="1">
      <c r="P1187" s="56"/>
    </row>
    <row r="1188" ht="22.5" customHeight="1">
      <c r="P1188" s="56"/>
    </row>
    <row r="1189" ht="22.5" customHeight="1">
      <c r="P1189" s="56"/>
    </row>
    <row r="1190" ht="22.5" customHeight="1">
      <c r="P1190" s="56"/>
    </row>
    <row r="1191" ht="22.5" customHeight="1">
      <c r="P1191" s="56"/>
    </row>
    <row r="1192" ht="22.5" customHeight="1">
      <c r="P1192" s="56"/>
    </row>
    <row r="1193" ht="22.5" customHeight="1">
      <c r="P1193" s="56"/>
    </row>
    <row r="1194" ht="22.5" customHeight="1">
      <c r="P1194" s="56"/>
    </row>
    <row r="1195" ht="22.5" customHeight="1">
      <c r="P1195" s="56"/>
    </row>
    <row r="1196" ht="22.5" customHeight="1">
      <c r="P1196" s="56"/>
    </row>
    <row r="1197" ht="22.5" customHeight="1">
      <c r="P1197" s="56"/>
    </row>
    <row r="1198" ht="22.5" customHeight="1">
      <c r="P1198" s="56"/>
    </row>
    <row r="1199" ht="22.5" customHeight="1">
      <c r="P1199" s="56"/>
    </row>
    <row r="1200" ht="22.5" customHeight="1">
      <c r="P1200" s="56"/>
    </row>
    <row r="1201" ht="22.5" customHeight="1">
      <c r="P1201" s="56"/>
    </row>
    <row r="1202" ht="22.5" customHeight="1">
      <c r="P1202" s="56"/>
    </row>
    <row r="1203" ht="22.5" customHeight="1">
      <c r="P1203" s="56"/>
    </row>
    <row r="1204" ht="22.5" customHeight="1">
      <c r="P1204" s="56"/>
    </row>
    <row r="1205" ht="22.5" customHeight="1">
      <c r="P1205" s="56"/>
    </row>
    <row r="1206" ht="22.5" customHeight="1">
      <c r="P1206" s="56"/>
    </row>
    <row r="1207" ht="22.5" customHeight="1">
      <c r="P1207" s="56"/>
    </row>
    <row r="1208" ht="22.5" customHeight="1">
      <c r="P1208" s="56"/>
    </row>
    <row r="1209" ht="22.5" customHeight="1">
      <c r="P1209" s="56"/>
    </row>
    <row r="1210" ht="22.5" customHeight="1">
      <c r="P1210" s="56"/>
    </row>
    <row r="1211" ht="22.5" customHeight="1">
      <c r="P1211" s="56"/>
    </row>
    <row r="1212" ht="22.5" customHeight="1">
      <c r="P1212" s="56"/>
    </row>
    <row r="1213" ht="22.5" customHeight="1">
      <c r="P1213" s="56"/>
    </row>
    <row r="1214" ht="22.5" customHeight="1">
      <c r="P1214" s="56"/>
    </row>
    <row r="1215" ht="22.5" customHeight="1">
      <c r="P1215" s="56"/>
    </row>
    <row r="1216" ht="22.5" customHeight="1">
      <c r="P1216" s="56"/>
    </row>
    <row r="1217" ht="22.5" customHeight="1">
      <c r="P1217" s="56"/>
    </row>
    <row r="1218" ht="22.5" customHeight="1">
      <c r="P1218" s="56"/>
    </row>
    <row r="1219" ht="22.5" customHeight="1">
      <c r="P1219" s="56"/>
    </row>
    <row r="1220" ht="22.5" customHeight="1">
      <c r="P1220" s="56"/>
    </row>
    <row r="1221" ht="22.5" customHeight="1">
      <c r="P1221" s="56"/>
    </row>
    <row r="1222" ht="22.5" customHeight="1">
      <c r="P1222" s="56"/>
    </row>
    <row r="1223" ht="22.5" customHeight="1">
      <c r="P1223" s="56"/>
    </row>
    <row r="1224" ht="22.5" customHeight="1">
      <c r="P1224" s="56"/>
    </row>
    <row r="1225" ht="22.5" customHeight="1">
      <c r="P1225" s="56"/>
    </row>
    <row r="1226" ht="22.5" customHeight="1">
      <c r="P1226" s="56"/>
    </row>
    <row r="1227" ht="22.5" customHeight="1">
      <c r="P1227" s="56"/>
    </row>
    <row r="1228" ht="22.5" customHeight="1">
      <c r="P1228" s="56"/>
    </row>
    <row r="1229" ht="22.5" customHeight="1">
      <c r="P1229" s="56"/>
    </row>
    <row r="1230" ht="22.5" customHeight="1">
      <c r="P1230" s="56"/>
    </row>
    <row r="1231" ht="22.5" customHeight="1">
      <c r="P1231" s="56"/>
    </row>
    <row r="1232" ht="22.5" customHeight="1">
      <c r="P1232" s="56"/>
    </row>
    <row r="1233" ht="22.5" customHeight="1">
      <c r="P1233" s="56"/>
    </row>
    <row r="1234" ht="22.5" customHeight="1">
      <c r="P1234" s="56"/>
    </row>
    <row r="1235" ht="22.5" customHeight="1">
      <c r="P1235" s="56"/>
    </row>
    <row r="1236" ht="22.5" customHeight="1">
      <c r="P1236" s="56"/>
    </row>
    <row r="1237" ht="22.5" customHeight="1">
      <c r="P1237" s="56"/>
    </row>
    <row r="1238" ht="22.5" customHeight="1">
      <c r="P1238" s="56"/>
    </row>
    <row r="1239" ht="22.5" customHeight="1">
      <c r="P1239" s="56"/>
    </row>
    <row r="1240" ht="22.5" customHeight="1">
      <c r="P1240" s="56"/>
    </row>
    <row r="1241" ht="22.5" customHeight="1">
      <c r="P1241" s="56"/>
    </row>
    <row r="1242" ht="22.5" customHeight="1">
      <c r="P1242" s="56"/>
    </row>
    <row r="1243" ht="22.5" customHeight="1">
      <c r="P1243" s="56"/>
    </row>
    <row r="1244" ht="22.5" customHeight="1">
      <c r="P1244" s="56"/>
    </row>
    <row r="1245" ht="22.5" customHeight="1">
      <c r="P1245" s="56"/>
    </row>
    <row r="1246" ht="22.5" customHeight="1">
      <c r="P1246" s="56"/>
    </row>
    <row r="1247" ht="22.5" customHeight="1">
      <c r="P1247" s="56"/>
    </row>
    <row r="1248" ht="22.5" customHeight="1">
      <c r="P1248" s="56"/>
    </row>
    <row r="1249" ht="22.5" customHeight="1">
      <c r="P1249" s="56"/>
    </row>
    <row r="1250" ht="22.5" customHeight="1">
      <c r="P1250" s="56"/>
    </row>
    <row r="1251" ht="22.5" customHeight="1">
      <c r="P1251" s="56"/>
    </row>
    <row r="1252" ht="22.5" customHeight="1">
      <c r="P1252" s="56"/>
    </row>
    <row r="1253" ht="22.5" customHeight="1">
      <c r="P1253" s="56"/>
    </row>
    <row r="1254" ht="22.5" customHeight="1">
      <c r="P1254" s="56"/>
    </row>
    <row r="1255" ht="22.5" customHeight="1">
      <c r="P1255" s="56"/>
    </row>
    <row r="1256" ht="22.5" customHeight="1">
      <c r="P1256" s="56"/>
    </row>
    <row r="1257" ht="22.5" customHeight="1">
      <c r="P1257" s="56"/>
    </row>
    <row r="1258" ht="22.5" customHeight="1">
      <c r="P1258" s="56"/>
    </row>
    <row r="1259" ht="22.5" customHeight="1">
      <c r="P1259" s="56"/>
    </row>
    <row r="1260" ht="22.5" customHeight="1">
      <c r="P1260" s="56"/>
    </row>
    <row r="1261" ht="22.5" customHeight="1">
      <c r="P1261" s="56"/>
    </row>
    <row r="1262" ht="22.5" customHeight="1">
      <c r="P1262" s="56"/>
    </row>
    <row r="1263" ht="22.5" customHeight="1">
      <c r="P1263" s="56"/>
    </row>
    <row r="1264" ht="22.5" customHeight="1">
      <c r="P1264" s="56"/>
    </row>
    <row r="1265" ht="22.5" customHeight="1">
      <c r="P1265" s="56"/>
    </row>
    <row r="1266" ht="22.5" customHeight="1">
      <c r="P1266" s="56"/>
    </row>
    <row r="1267" ht="22.5" customHeight="1">
      <c r="P1267" s="56"/>
    </row>
    <row r="1268" ht="22.5" customHeight="1">
      <c r="P1268" s="56"/>
    </row>
    <row r="1269" ht="22.5" customHeight="1">
      <c r="P1269" s="56"/>
    </row>
    <row r="1270" ht="22.5" customHeight="1">
      <c r="P1270" s="56"/>
    </row>
    <row r="1271" ht="22.5" customHeight="1">
      <c r="P1271" s="56"/>
    </row>
    <row r="1272" ht="22.5" customHeight="1">
      <c r="P1272" s="56"/>
    </row>
    <row r="1273" ht="22.5" customHeight="1">
      <c r="P1273" s="56"/>
    </row>
    <row r="1274" ht="22.5" customHeight="1">
      <c r="P1274" s="56"/>
    </row>
    <row r="1275" ht="22.5" customHeight="1">
      <c r="P1275" s="56"/>
    </row>
    <row r="1276" ht="22.5" customHeight="1">
      <c r="P1276" s="56"/>
    </row>
    <row r="1277" ht="22.5" customHeight="1">
      <c r="P1277" s="56"/>
    </row>
    <row r="1278" ht="22.5" customHeight="1">
      <c r="P1278" s="56"/>
    </row>
    <row r="1279" ht="22.5" customHeight="1">
      <c r="P1279" s="56"/>
    </row>
    <row r="1280" ht="22.5" customHeight="1">
      <c r="P1280" s="56"/>
    </row>
    <row r="1281" ht="22.5" customHeight="1">
      <c r="P1281" s="56"/>
    </row>
    <row r="1282" ht="22.5" customHeight="1">
      <c r="P1282" s="56"/>
    </row>
    <row r="1283" ht="22.5" customHeight="1">
      <c r="P1283" s="56"/>
    </row>
    <row r="1284" ht="22.5" customHeight="1">
      <c r="P1284" s="56"/>
    </row>
    <row r="1285" ht="22.5" customHeight="1">
      <c r="P1285" s="56"/>
    </row>
    <row r="1286" ht="22.5" customHeight="1">
      <c r="P1286" s="56"/>
    </row>
    <row r="1287" ht="22.5" customHeight="1">
      <c r="P1287" s="56"/>
    </row>
    <row r="1288" ht="22.5" customHeight="1">
      <c r="P1288" s="56"/>
    </row>
    <row r="1289" ht="22.5" customHeight="1">
      <c r="P1289" s="56"/>
    </row>
    <row r="1290" ht="22.5" customHeight="1">
      <c r="P1290" s="56"/>
    </row>
    <row r="1291" ht="22.5" customHeight="1">
      <c r="P1291" s="56"/>
    </row>
    <row r="1292" ht="22.5" customHeight="1">
      <c r="P1292" s="56"/>
    </row>
    <row r="1293" ht="22.5" customHeight="1">
      <c r="P1293" s="56"/>
    </row>
    <row r="1294" ht="22.5" customHeight="1">
      <c r="P1294" s="56"/>
    </row>
    <row r="1295" ht="22.5" customHeight="1">
      <c r="P1295" s="56"/>
    </row>
    <row r="1296" ht="22.5" customHeight="1">
      <c r="P1296" s="56"/>
    </row>
    <row r="1297" ht="22.5" customHeight="1">
      <c r="P1297" s="56"/>
    </row>
    <row r="1298" ht="22.5" customHeight="1">
      <c r="P1298" s="56"/>
    </row>
    <row r="1299" ht="22.5" customHeight="1">
      <c r="P1299" s="56"/>
    </row>
    <row r="1300" ht="22.5" customHeight="1">
      <c r="P1300" s="56"/>
    </row>
    <row r="1301" ht="22.5" customHeight="1">
      <c r="P1301" s="56"/>
    </row>
    <row r="1302" ht="22.5" customHeight="1">
      <c r="P1302" s="56"/>
    </row>
    <row r="1303" ht="22.5" customHeight="1">
      <c r="P1303" s="56"/>
    </row>
    <row r="1304" ht="22.5" customHeight="1">
      <c r="P1304" s="56"/>
    </row>
    <row r="1305" ht="22.5" customHeight="1">
      <c r="P1305" s="56"/>
    </row>
    <row r="1306" ht="22.5" customHeight="1">
      <c r="P1306" s="56"/>
    </row>
    <row r="1307" ht="22.5" customHeight="1">
      <c r="P1307" s="56"/>
    </row>
    <row r="1308" ht="22.5" customHeight="1">
      <c r="P1308" s="56"/>
    </row>
    <row r="1309" ht="22.5" customHeight="1">
      <c r="P1309" s="56"/>
    </row>
    <row r="1310" ht="22.5" customHeight="1">
      <c r="P1310" s="56"/>
    </row>
    <row r="1311" ht="22.5" customHeight="1">
      <c r="P1311" s="56"/>
    </row>
    <row r="1312" ht="22.5" customHeight="1">
      <c r="P1312" s="56"/>
    </row>
    <row r="1313" ht="22.5" customHeight="1">
      <c r="P1313" s="56"/>
    </row>
    <row r="1314" ht="22.5" customHeight="1">
      <c r="P1314" s="56"/>
    </row>
    <row r="1315" ht="22.5" customHeight="1">
      <c r="P1315" s="56"/>
    </row>
    <row r="1316" ht="22.5" customHeight="1">
      <c r="P1316" s="56"/>
    </row>
    <row r="1317" ht="22.5" customHeight="1">
      <c r="P1317" s="56"/>
    </row>
    <row r="1318" ht="22.5" customHeight="1">
      <c r="P1318" s="56"/>
    </row>
    <row r="1319" ht="22.5" customHeight="1">
      <c r="P1319" s="56"/>
    </row>
    <row r="1320" ht="22.5" customHeight="1">
      <c r="P1320" s="56"/>
    </row>
    <row r="1321" ht="22.5" customHeight="1">
      <c r="P1321" s="56"/>
    </row>
    <row r="1322" ht="22.5" customHeight="1">
      <c r="P1322" s="56"/>
    </row>
    <row r="1323" ht="22.5" customHeight="1">
      <c r="P1323" s="56"/>
    </row>
    <row r="1324" ht="22.5" customHeight="1">
      <c r="P1324" s="56"/>
    </row>
    <row r="1325" ht="22.5" customHeight="1">
      <c r="P1325" s="56"/>
    </row>
    <row r="1326" ht="22.5" customHeight="1">
      <c r="P1326" s="56"/>
    </row>
    <row r="1327" ht="22.5" customHeight="1">
      <c r="P1327" s="56"/>
    </row>
    <row r="1328" ht="22.5" customHeight="1">
      <c r="P1328" s="56"/>
    </row>
    <row r="1329" ht="22.5" customHeight="1">
      <c r="P1329" s="56"/>
    </row>
    <row r="1330" ht="22.5" customHeight="1">
      <c r="P1330" s="56"/>
    </row>
    <row r="1331" ht="22.5" customHeight="1">
      <c r="P1331" s="56"/>
    </row>
    <row r="1332" ht="22.5" customHeight="1">
      <c r="P1332" s="56"/>
    </row>
    <row r="1333" ht="22.5" customHeight="1">
      <c r="P1333" s="56"/>
    </row>
    <row r="1334" ht="22.5" customHeight="1">
      <c r="P1334" s="56"/>
    </row>
    <row r="1335" ht="22.5" customHeight="1">
      <c r="P1335" s="56"/>
    </row>
    <row r="1336" ht="22.5" customHeight="1">
      <c r="P1336" s="56"/>
    </row>
    <row r="1337" ht="22.5" customHeight="1">
      <c r="P1337" s="56"/>
    </row>
    <row r="1338" ht="22.5" customHeight="1">
      <c r="P1338" s="56"/>
    </row>
    <row r="1339" ht="22.5" customHeight="1">
      <c r="P1339" s="56"/>
    </row>
    <row r="1340" ht="22.5" customHeight="1">
      <c r="P1340" s="56"/>
    </row>
    <row r="1341" ht="22.5" customHeight="1">
      <c r="P1341" s="56"/>
    </row>
    <row r="1342" ht="22.5" customHeight="1">
      <c r="P1342" s="56"/>
    </row>
    <row r="1343" ht="22.5" customHeight="1">
      <c r="P1343" s="56"/>
    </row>
    <row r="1344" ht="22.5" customHeight="1">
      <c r="P1344" s="56"/>
    </row>
    <row r="1345" ht="22.5" customHeight="1">
      <c r="P1345" s="56"/>
    </row>
    <row r="1346" ht="22.5" customHeight="1">
      <c r="P1346" s="56"/>
    </row>
    <row r="1347" ht="22.5" customHeight="1">
      <c r="P1347" s="56"/>
    </row>
    <row r="1348" ht="22.5" customHeight="1">
      <c r="P1348" s="56"/>
    </row>
    <row r="1349" ht="22.5" customHeight="1">
      <c r="P1349" s="56"/>
    </row>
    <row r="1350" ht="22.5" customHeight="1">
      <c r="P1350" s="56"/>
    </row>
    <row r="1351" ht="22.5" customHeight="1">
      <c r="P1351" s="56"/>
    </row>
    <row r="1352" ht="22.5" customHeight="1">
      <c r="P1352" s="56"/>
    </row>
    <row r="1353" ht="22.5" customHeight="1">
      <c r="P1353" s="56"/>
    </row>
    <row r="1354" ht="22.5" customHeight="1">
      <c r="P1354" s="56"/>
    </row>
    <row r="1355" ht="22.5" customHeight="1">
      <c r="P1355" s="56"/>
    </row>
    <row r="1356" ht="22.5" customHeight="1">
      <c r="P1356" s="56"/>
    </row>
    <row r="1357" ht="22.5" customHeight="1">
      <c r="P1357" s="56"/>
    </row>
    <row r="1358" ht="22.5" customHeight="1">
      <c r="P1358" s="56"/>
    </row>
    <row r="1359" ht="22.5" customHeight="1">
      <c r="P1359" s="56"/>
    </row>
    <row r="1360" ht="22.5" customHeight="1">
      <c r="P1360" s="56"/>
    </row>
    <row r="1361" ht="22.5" customHeight="1">
      <c r="P1361" s="56"/>
    </row>
    <row r="1362" ht="22.5" customHeight="1">
      <c r="P1362" s="56"/>
    </row>
    <row r="1363" ht="22.5" customHeight="1">
      <c r="P1363" s="56"/>
    </row>
    <row r="1364" ht="22.5" customHeight="1">
      <c r="P1364" s="56"/>
    </row>
    <row r="1365" ht="22.5" customHeight="1">
      <c r="P1365" s="56"/>
    </row>
    <row r="1366" ht="22.5" customHeight="1">
      <c r="P1366" s="56"/>
    </row>
    <row r="1367" ht="22.5" customHeight="1">
      <c r="P1367" s="56"/>
    </row>
    <row r="1368" ht="22.5" customHeight="1">
      <c r="P1368" s="56"/>
    </row>
    <row r="1369" ht="22.5" customHeight="1">
      <c r="P1369" s="56"/>
    </row>
    <row r="1370" ht="22.5" customHeight="1">
      <c r="P1370" s="56"/>
    </row>
    <row r="1371" ht="22.5" customHeight="1">
      <c r="P1371" s="56"/>
    </row>
    <row r="1372" ht="22.5" customHeight="1">
      <c r="P1372" s="56"/>
    </row>
    <row r="1373" ht="22.5" customHeight="1">
      <c r="P1373" s="56"/>
    </row>
    <row r="1374" ht="22.5" customHeight="1">
      <c r="P1374" s="56"/>
    </row>
    <row r="1375" ht="22.5" customHeight="1">
      <c r="P1375" s="56"/>
    </row>
    <row r="1376" ht="22.5" customHeight="1">
      <c r="P1376" s="56"/>
    </row>
    <row r="1377" ht="22.5" customHeight="1">
      <c r="P1377" s="56"/>
    </row>
    <row r="1378" ht="22.5" customHeight="1">
      <c r="P1378" s="56"/>
    </row>
    <row r="1379" ht="22.5" customHeight="1">
      <c r="P1379" s="56"/>
    </row>
    <row r="1380" ht="22.5" customHeight="1">
      <c r="P1380" s="56"/>
    </row>
    <row r="1381" ht="22.5" customHeight="1">
      <c r="P1381" s="56"/>
    </row>
    <row r="1382" ht="22.5" customHeight="1">
      <c r="P1382" s="56"/>
    </row>
    <row r="1383" ht="22.5" customHeight="1">
      <c r="P1383" s="56"/>
    </row>
    <row r="1384" ht="22.5" customHeight="1">
      <c r="P1384" s="56"/>
    </row>
    <row r="1385" ht="22.5" customHeight="1">
      <c r="P1385" s="56"/>
    </row>
    <row r="1386" ht="22.5" customHeight="1">
      <c r="P1386" s="56"/>
    </row>
    <row r="1387" ht="22.5" customHeight="1">
      <c r="P1387" s="56"/>
    </row>
    <row r="1388" ht="22.5" customHeight="1">
      <c r="P1388" s="56"/>
    </row>
    <row r="1389" ht="22.5" customHeight="1">
      <c r="P1389" s="56"/>
    </row>
    <row r="1390" ht="22.5" customHeight="1">
      <c r="P1390" s="56"/>
    </row>
    <row r="1391" ht="22.5" customHeight="1">
      <c r="P1391" s="56"/>
    </row>
    <row r="1392" ht="22.5" customHeight="1">
      <c r="P1392" s="56"/>
    </row>
    <row r="1393" ht="22.5" customHeight="1">
      <c r="P1393" s="56"/>
    </row>
    <row r="1394" ht="22.5" customHeight="1">
      <c r="P1394" s="56"/>
    </row>
    <row r="1395" ht="22.5" customHeight="1">
      <c r="P1395" s="56"/>
    </row>
    <row r="1396" ht="22.5" customHeight="1">
      <c r="P1396" s="56"/>
    </row>
    <row r="1397" ht="22.5" customHeight="1">
      <c r="P1397" s="56"/>
    </row>
    <row r="1398" ht="22.5" customHeight="1">
      <c r="P1398" s="56"/>
    </row>
    <row r="1399" ht="22.5" customHeight="1">
      <c r="P1399" s="56"/>
    </row>
    <row r="1400" ht="22.5" customHeight="1">
      <c r="P1400" s="56"/>
    </row>
    <row r="1401" ht="22.5" customHeight="1">
      <c r="P1401" s="56"/>
    </row>
    <row r="1402" ht="22.5" customHeight="1">
      <c r="P1402" s="56"/>
    </row>
    <row r="1403" ht="22.5" customHeight="1">
      <c r="P1403" s="56"/>
    </row>
    <row r="1404" ht="22.5" customHeight="1">
      <c r="P1404" s="56"/>
    </row>
    <row r="1405" ht="22.5" customHeight="1">
      <c r="P1405" s="56"/>
    </row>
    <row r="1406" ht="22.5" customHeight="1">
      <c r="P1406" s="56"/>
    </row>
    <row r="1407" ht="22.5" customHeight="1">
      <c r="P1407" s="56"/>
    </row>
    <row r="1408" ht="22.5" customHeight="1">
      <c r="P1408" s="56"/>
    </row>
    <row r="1409" ht="22.5" customHeight="1">
      <c r="P1409" s="56"/>
    </row>
    <row r="1410" ht="22.5" customHeight="1">
      <c r="P1410" s="56"/>
    </row>
    <row r="1411" ht="22.5" customHeight="1">
      <c r="P1411" s="56"/>
    </row>
    <row r="1412" ht="22.5" customHeight="1">
      <c r="P1412" s="56"/>
    </row>
    <row r="1413" ht="22.5" customHeight="1">
      <c r="P1413" s="56"/>
    </row>
    <row r="1414" ht="22.5" customHeight="1">
      <c r="P1414" s="56"/>
    </row>
    <row r="1415" ht="22.5" customHeight="1">
      <c r="P1415" s="56"/>
    </row>
    <row r="1416" ht="22.5" customHeight="1">
      <c r="P1416" s="56"/>
    </row>
    <row r="1417" ht="22.5" customHeight="1">
      <c r="P1417" s="56"/>
    </row>
    <row r="1418" ht="22.5" customHeight="1">
      <c r="P1418" s="56"/>
    </row>
    <row r="1419" ht="22.5" customHeight="1">
      <c r="P1419" s="56"/>
    </row>
    <row r="1420" ht="22.5" customHeight="1">
      <c r="P1420" s="56"/>
    </row>
    <row r="1421" ht="22.5" customHeight="1">
      <c r="P1421" s="56"/>
    </row>
    <row r="1422" ht="22.5" customHeight="1">
      <c r="P1422" s="56"/>
    </row>
    <row r="1423" ht="22.5" customHeight="1">
      <c r="P1423" s="56"/>
    </row>
    <row r="1424" ht="22.5" customHeight="1">
      <c r="P1424" s="56"/>
    </row>
    <row r="1425" ht="22.5" customHeight="1">
      <c r="P1425" s="56"/>
    </row>
    <row r="1426" ht="22.5" customHeight="1">
      <c r="P1426" s="56"/>
    </row>
    <row r="1427" ht="22.5" customHeight="1">
      <c r="P1427" s="56"/>
    </row>
    <row r="1428" ht="22.5" customHeight="1">
      <c r="P1428" s="56"/>
    </row>
    <row r="1429" ht="22.5" customHeight="1">
      <c r="P1429" s="56"/>
    </row>
    <row r="1430" ht="22.5" customHeight="1">
      <c r="P1430" s="56"/>
    </row>
    <row r="1431" ht="22.5" customHeight="1">
      <c r="P1431" s="56"/>
    </row>
    <row r="1432" ht="22.5" customHeight="1">
      <c r="P1432" s="56"/>
    </row>
    <row r="1433" ht="22.5" customHeight="1">
      <c r="P1433" s="56"/>
    </row>
    <row r="1434" ht="22.5" customHeight="1">
      <c r="P1434" s="56"/>
    </row>
    <row r="1435" ht="22.5" customHeight="1">
      <c r="P1435" s="56"/>
    </row>
    <row r="1436" ht="22.5" customHeight="1">
      <c r="P1436" s="56"/>
    </row>
    <row r="1437" ht="22.5" customHeight="1">
      <c r="P1437" s="56"/>
    </row>
    <row r="1438" ht="22.5" customHeight="1">
      <c r="P1438" s="56"/>
    </row>
    <row r="1439" ht="22.5" customHeight="1">
      <c r="P1439" s="56"/>
    </row>
    <row r="1440" ht="22.5" customHeight="1">
      <c r="P1440" s="56"/>
    </row>
    <row r="1441" ht="22.5" customHeight="1">
      <c r="P1441" s="56"/>
    </row>
    <row r="1442" ht="22.5" customHeight="1">
      <c r="P1442" s="56"/>
    </row>
    <row r="1443" ht="22.5" customHeight="1">
      <c r="P1443" s="56"/>
    </row>
    <row r="1444" ht="22.5" customHeight="1">
      <c r="P1444" s="56"/>
    </row>
    <row r="1445" ht="22.5" customHeight="1">
      <c r="P1445" s="56"/>
    </row>
    <row r="1446" ht="22.5" customHeight="1">
      <c r="P1446" s="56"/>
    </row>
    <row r="1447" ht="22.5" customHeight="1">
      <c r="P1447" s="56"/>
    </row>
    <row r="1448" ht="22.5" customHeight="1">
      <c r="P1448" s="56"/>
    </row>
    <row r="1449" ht="22.5" customHeight="1">
      <c r="P1449" s="56"/>
    </row>
    <row r="1450" ht="22.5" customHeight="1">
      <c r="P1450" s="56"/>
    </row>
    <row r="1451" ht="22.5" customHeight="1">
      <c r="P1451" s="56"/>
    </row>
    <row r="1452" ht="22.5" customHeight="1">
      <c r="P1452" s="56"/>
    </row>
    <row r="1453" ht="22.5" customHeight="1">
      <c r="P1453" s="56"/>
    </row>
    <row r="1454" ht="22.5" customHeight="1">
      <c r="P1454" s="56"/>
    </row>
    <row r="1455" ht="22.5" customHeight="1">
      <c r="P1455" s="56"/>
    </row>
    <row r="1456" ht="22.5" customHeight="1">
      <c r="P1456" s="56"/>
    </row>
    <row r="1457" ht="22.5" customHeight="1">
      <c r="P1457" s="56"/>
    </row>
    <row r="1458" ht="22.5" customHeight="1">
      <c r="P1458" s="56"/>
    </row>
    <row r="1459" ht="22.5" customHeight="1">
      <c r="P1459" s="56"/>
    </row>
    <row r="1460" ht="22.5" customHeight="1">
      <c r="P1460" s="56"/>
    </row>
    <row r="1461" ht="22.5" customHeight="1">
      <c r="P1461" s="56"/>
    </row>
    <row r="1462" ht="22.5" customHeight="1">
      <c r="P1462" s="56"/>
    </row>
    <row r="1463" ht="22.5" customHeight="1">
      <c r="P1463" s="56"/>
    </row>
    <row r="1464" ht="22.5" customHeight="1">
      <c r="P1464" s="56"/>
    </row>
    <row r="1465" ht="22.5" customHeight="1">
      <c r="P1465" s="56"/>
    </row>
    <row r="1466" ht="22.5" customHeight="1">
      <c r="P1466" s="56"/>
    </row>
    <row r="1467" ht="22.5" customHeight="1">
      <c r="P1467" s="56"/>
    </row>
    <row r="1468" ht="22.5" customHeight="1">
      <c r="P1468" s="56"/>
    </row>
    <row r="1469" ht="22.5" customHeight="1">
      <c r="P1469" s="56"/>
    </row>
    <row r="1470" ht="22.5" customHeight="1">
      <c r="P1470" s="56"/>
    </row>
    <row r="1471" ht="22.5" customHeight="1">
      <c r="P1471" s="56"/>
    </row>
    <row r="1472" ht="22.5" customHeight="1">
      <c r="P1472" s="56"/>
    </row>
    <row r="1473" ht="22.5" customHeight="1">
      <c r="P1473" s="56"/>
    </row>
    <row r="1474" ht="22.5" customHeight="1">
      <c r="P1474" s="56"/>
    </row>
    <row r="1475" ht="22.5" customHeight="1">
      <c r="P1475" s="56"/>
    </row>
    <row r="1476" ht="22.5" customHeight="1">
      <c r="P1476" s="56"/>
    </row>
    <row r="1477" ht="22.5" customHeight="1">
      <c r="P1477" s="56"/>
    </row>
    <row r="1478" ht="22.5" customHeight="1">
      <c r="P1478" s="56"/>
    </row>
    <row r="1479" ht="22.5" customHeight="1">
      <c r="P1479" s="56"/>
    </row>
    <row r="1480" ht="22.5" customHeight="1">
      <c r="P1480" s="56"/>
    </row>
    <row r="1481" ht="22.5" customHeight="1">
      <c r="P1481" s="56"/>
    </row>
    <row r="1482" ht="22.5" customHeight="1">
      <c r="P1482" s="56"/>
    </row>
    <row r="1483" ht="22.5" customHeight="1">
      <c r="P1483" s="56"/>
    </row>
    <row r="1484" ht="22.5" customHeight="1">
      <c r="P1484" s="56"/>
    </row>
    <row r="1485" ht="22.5" customHeight="1">
      <c r="P1485" s="56"/>
    </row>
    <row r="1486" ht="22.5" customHeight="1">
      <c r="P1486" s="56"/>
    </row>
    <row r="1487" ht="22.5" customHeight="1">
      <c r="P1487" s="56"/>
    </row>
    <row r="1488" ht="22.5" customHeight="1">
      <c r="P1488" s="56"/>
    </row>
    <row r="1489" ht="22.5" customHeight="1">
      <c r="P1489" s="56"/>
    </row>
    <row r="1490" ht="22.5" customHeight="1">
      <c r="P1490" s="56"/>
    </row>
    <row r="1491" ht="22.5" customHeight="1">
      <c r="P1491" s="56"/>
    </row>
    <row r="1492" ht="22.5" customHeight="1">
      <c r="P1492" s="56"/>
    </row>
    <row r="1493" ht="22.5" customHeight="1">
      <c r="P1493" s="56"/>
    </row>
    <row r="1494" ht="22.5" customHeight="1">
      <c r="P1494" s="56"/>
    </row>
    <row r="1495" ht="22.5" customHeight="1">
      <c r="P1495" s="56"/>
    </row>
    <row r="1496" ht="22.5" customHeight="1">
      <c r="P1496" s="56"/>
    </row>
    <row r="1497" ht="22.5" customHeight="1">
      <c r="P1497" s="56"/>
    </row>
    <row r="1498" ht="22.5" customHeight="1">
      <c r="P1498" s="56"/>
    </row>
    <row r="1499" ht="22.5" customHeight="1">
      <c r="P1499" s="56"/>
    </row>
    <row r="1500" ht="22.5" customHeight="1">
      <c r="P1500" s="56"/>
    </row>
    <row r="1501" ht="22.5" customHeight="1">
      <c r="P1501" s="56"/>
    </row>
    <row r="1502" ht="22.5" customHeight="1">
      <c r="P1502" s="56"/>
    </row>
    <row r="1503" ht="22.5" customHeight="1">
      <c r="P1503" s="56"/>
    </row>
    <row r="1504" ht="22.5" customHeight="1">
      <c r="P1504" s="56"/>
    </row>
    <row r="1505" ht="22.5" customHeight="1">
      <c r="P1505" s="56"/>
    </row>
    <row r="1506" ht="22.5" customHeight="1">
      <c r="P1506" s="56"/>
    </row>
    <row r="1507" ht="22.5" customHeight="1">
      <c r="P1507" s="56"/>
    </row>
    <row r="1508" ht="22.5" customHeight="1">
      <c r="P1508" s="56"/>
    </row>
    <row r="1509" ht="22.5" customHeight="1">
      <c r="P1509" s="56"/>
    </row>
    <row r="1510" ht="22.5" customHeight="1">
      <c r="P1510" s="56"/>
    </row>
    <row r="1511" ht="22.5" customHeight="1">
      <c r="P1511" s="56"/>
    </row>
    <row r="1512" ht="22.5" customHeight="1">
      <c r="P1512" s="56"/>
    </row>
    <row r="1513" ht="22.5" customHeight="1">
      <c r="P1513" s="56"/>
    </row>
    <row r="1514" ht="22.5" customHeight="1">
      <c r="P1514" s="56"/>
    </row>
    <row r="1515" ht="22.5" customHeight="1">
      <c r="P1515" s="56"/>
    </row>
    <row r="1516" ht="22.5" customHeight="1">
      <c r="P1516" s="56"/>
    </row>
    <row r="1517" ht="22.5" customHeight="1">
      <c r="P1517" s="56"/>
    </row>
    <row r="1518" ht="22.5" customHeight="1">
      <c r="P1518" s="56"/>
    </row>
    <row r="1519" ht="22.5" customHeight="1">
      <c r="P1519" s="56"/>
    </row>
    <row r="1520" ht="22.5" customHeight="1">
      <c r="P1520" s="56"/>
    </row>
    <row r="1521" ht="22.5" customHeight="1">
      <c r="P1521" s="56"/>
    </row>
    <row r="1522" ht="22.5" customHeight="1">
      <c r="P1522" s="56"/>
    </row>
    <row r="1523" ht="22.5" customHeight="1">
      <c r="P1523" s="56"/>
    </row>
    <row r="1524" ht="22.5" customHeight="1">
      <c r="P1524" s="56"/>
    </row>
    <row r="1525" ht="22.5" customHeight="1">
      <c r="P1525" s="56"/>
    </row>
    <row r="1526" ht="22.5" customHeight="1">
      <c r="P1526" s="56"/>
    </row>
    <row r="1527" ht="22.5" customHeight="1">
      <c r="P1527" s="56"/>
    </row>
    <row r="1528" ht="22.5" customHeight="1">
      <c r="P1528" s="56"/>
    </row>
    <row r="1529" ht="22.5" customHeight="1">
      <c r="P1529" s="56"/>
    </row>
    <row r="1530" ht="22.5" customHeight="1">
      <c r="P1530" s="56"/>
    </row>
    <row r="1531" ht="22.5" customHeight="1">
      <c r="P1531" s="56"/>
    </row>
    <row r="1532" ht="22.5" customHeight="1">
      <c r="P1532" s="56"/>
    </row>
    <row r="1533" ht="22.5" customHeight="1">
      <c r="P1533" s="56"/>
    </row>
    <row r="1534" ht="22.5" customHeight="1">
      <c r="P1534" s="56"/>
    </row>
    <row r="1535" ht="22.5" customHeight="1">
      <c r="P1535" s="56"/>
    </row>
    <row r="1536" ht="22.5" customHeight="1">
      <c r="P1536" s="56"/>
    </row>
    <row r="1537" ht="22.5" customHeight="1">
      <c r="P1537" s="56"/>
    </row>
    <row r="1538" ht="22.5" customHeight="1">
      <c r="P1538" s="56"/>
    </row>
    <row r="1539" ht="22.5" customHeight="1">
      <c r="P1539" s="56"/>
    </row>
    <row r="1540" ht="22.5" customHeight="1">
      <c r="P1540" s="56"/>
    </row>
    <row r="1541" ht="22.5" customHeight="1">
      <c r="P1541" s="56"/>
    </row>
    <row r="1542" ht="22.5" customHeight="1">
      <c r="P1542" s="56"/>
    </row>
    <row r="1543" ht="22.5" customHeight="1">
      <c r="P1543" s="56"/>
    </row>
    <row r="1544" ht="22.5" customHeight="1">
      <c r="P1544" s="56"/>
    </row>
    <row r="1545" ht="22.5" customHeight="1">
      <c r="P1545" s="56"/>
    </row>
    <row r="1546" ht="22.5" customHeight="1">
      <c r="P1546" s="56"/>
    </row>
    <row r="1547" ht="22.5" customHeight="1">
      <c r="P1547" s="56"/>
    </row>
    <row r="1548" ht="22.5" customHeight="1">
      <c r="P1548" s="56"/>
    </row>
    <row r="1549" ht="22.5" customHeight="1">
      <c r="P1549" s="56"/>
    </row>
    <row r="1550" ht="22.5" customHeight="1">
      <c r="P1550" s="56"/>
    </row>
    <row r="1551" ht="22.5" customHeight="1">
      <c r="P1551" s="56"/>
    </row>
    <row r="1552" ht="22.5" customHeight="1">
      <c r="P1552" s="56"/>
    </row>
    <row r="1553" ht="22.5" customHeight="1">
      <c r="P1553" s="56"/>
    </row>
    <row r="1554" ht="22.5" customHeight="1">
      <c r="P1554" s="56"/>
    </row>
    <row r="1555" ht="22.5" customHeight="1">
      <c r="P1555" s="56"/>
    </row>
    <row r="1556" ht="22.5" customHeight="1">
      <c r="P1556" s="56"/>
    </row>
    <row r="1557" ht="22.5" customHeight="1">
      <c r="P1557" s="56"/>
    </row>
    <row r="1558" ht="22.5" customHeight="1">
      <c r="P1558" s="56"/>
    </row>
    <row r="1559" ht="22.5" customHeight="1">
      <c r="P1559" s="56"/>
    </row>
    <row r="1560" ht="22.5" customHeight="1">
      <c r="P1560" s="56"/>
    </row>
    <row r="1561" ht="22.5" customHeight="1">
      <c r="P1561" s="56"/>
    </row>
    <row r="1562" ht="22.5" customHeight="1">
      <c r="P1562" s="56"/>
    </row>
    <row r="1563" ht="22.5" customHeight="1">
      <c r="P1563" s="56"/>
    </row>
    <row r="1564" ht="22.5" customHeight="1">
      <c r="P1564" s="56"/>
    </row>
    <row r="1565" ht="22.5" customHeight="1">
      <c r="P1565" s="56"/>
    </row>
    <row r="1566" ht="22.5" customHeight="1">
      <c r="P1566" s="56"/>
    </row>
    <row r="1567" ht="22.5" customHeight="1">
      <c r="P1567" s="56"/>
    </row>
    <row r="1568" ht="22.5" customHeight="1">
      <c r="P1568" s="56"/>
    </row>
    <row r="1569" ht="22.5" customHeight="1">
      <c r="P1569" s="56"/>
    </row>
    <row r="1570" ht="22.5" customHeight="1">
      <c r="P1570" s="56"/>
    </row>
    <row r="1571" ht="22.5" customHeight="1">
      <c r="P1571" s="56"/>
    </row>
    <row r="1572" ht="22.5" customHeight="1">
      <c r="P1572" s="56"/>
    </row>
    <row r="1573" ht="22.5" customHeight="1">
      <c r="P1573" s="56"/>
    </row>
    <row r="1574" ht="22.5" customHeight="1">
      <c r="P1574" s="56"/>
    </row>
    <row r="1575" ht="22.5" customHeight="1">
      <c r="P1575" s="56"/>
    </row>
    <row r="1576" ht="22.5" customHeight="1">
      <c r="P1576" s="56"/>
    </row>
    <row r="1577" ht="22.5" customHeight="1">
      <c r="P1577" s="56"/>
    </row>
    <row r="1578" ht="22.5" customHeight="1">
      <c r="P1578" s="56"/>
    </row>
    <row r="1579" ht="22.5" customHeight="1">
      <c r="P1579" s="56"/>
    </row>
    <row r="1580" ht="22.5" customHeight="1">
      <c r="P1580" s="56"/>
    </row>
    <row r="1581" ht="22.5" customHeight="1">
      <c r="P1581" s="56"/>
    </row>
    <row r="1582" ht="22.5" customHeight="1">
      <c r="P1582" s="56"/>
    </row>
    <row r="1583" ht="22.5" customHeight="1">
      <c r="P1583" s="56"/>
    </row>
    <row r="1584" ht="22.5" customHeight="1">
      <c r="P1584" s="56"/>
    </row>
    <row r="1585" ht="22.5" customHeight="1">
      <c r="P1585" s="56"/>
    </row>
    <row r="1586" ht="22.5" customHeight="1">
      <c r="P1586" s="56"/>
    </row>
    <row r="1587" ht="22.5" customHeight="1">
      <c r="P1587" s="56"/>
    </row>
    <row r="1588" ht="22.5" customHeight="1">
      <c r="P1588" s="56"/>
    </row>
    <row r="1589" ht="22.5" customHeight="1">
      <c r="P1589" s="56"/>
    </row>
    <row r="1590" ht="22.5" customHeight="1">
      <c r="P1590" s="56"/>
    </row>
    <row r="1591" ht="22.5" customHeight="1">
      <c r="P1591" s="56"/>
    </row>
    <row r="1592" ht="22.5" customHeight="1">
      <c r="P1592" s="56"/>
    </row>
    <row r="1593" ht="22.5" customHeight="1">
      <c r="P1593" s="56"/>
    </row>
    <row r="1594" ht="22.5" customHeight="1">
      <c r="P1594" s="56"/>
    </row>
    <row r="1595" ht="22.5" customHeight="1">
      <c r="P1595" s="56"/>
    </row>
    <row r="1596" ht="22.5" customHeight="1">
      <c r="P1596" s="56"/>
    </row>
    <row r="1597" ht="22.5" customHeight="1">
      <c r="P1597" s="56"/>
    </row>
    <row r="1598" ht="22.5" customHeight="1">
      <c r="P1598" s="56"/>
    </row>
    <row r="1599" ht="22.5" customHeight="1">
      <c r="P1599" s="56"/>
    </row>
    <row r="1600" ht="22.5" customHeight="1">
      <c r="P1600" s="56"/>
    </row>
    <row r="1601" ht="22.5" customHeight="1">
      <c r="P1601" s="56"/>
    </row>
    <row r="1602" ht="22.5" customHeight="1">
      <c r="P1602" s="56"/>
    </row>
    <row r="1603" ht="22.5" customHeight="1">
      <c r="P1603" s="56"/>
    </row>
    <row r="1604" ht="22.5" customHeight="1">
      <c r="P1604" s="56"/>
    </row>
    <row r="1605" ht="22.5" customHeight="1">
      <c r="P1605" s="56"/>
    </row>
    <row r="1606" ht="22.5" customHeight="1">
      <c r="P1606" s="56"/>
    </row>
    <row r="1607" ht="22.5" customHeight="1">
      <c r="P1607" s="56"/>
    </row>
    <row r="1608" ht="22.5" customHeight="1">
      <c r="P1608" s="56"/>
    </row>
    <row r="1609" ht="22.5" customHeight="1">
      <c r="P1609" s="56"/>
    </row>
    <row r="1610" ht="22.5" customHeight="1">
      <c r="P1610" s="56"/>
    </row>
    <row r="1611" ht="22.5" customHeight="1">
      <c r="P1611" s="56"/>
    </row>
    <row r="1612" ht="22.5" customHeight="1">
      <c r="P1612" s="56"/>
    </row>
    <row r="1613" ht="22.5" customHeight="1">
      <c r="P1613" s="56"/>
    </row>
    <row r="1614" ht="22.5" customHeight="1">
      <c r="P1614" s="56"/>
    </row>
    <row r="1615" ht="22.5" customHeight="1">
      <c r="P1615" s="56"/>
    </row>
    <row r="1616" ht="22.5" customHeight="1">
      <c r="P1616" s="56"/>
    </row>
    <row r="1617" ht="22.5" customHeight="1">
      <c r="P1617" s="56"/>
    </row>
    <row r="1618" ht="22.5" customHeight="1">
      <c r="P1618" s="56"/>
    </row>
    <row r="1619" ht="22.5" customHeight="1">
      <c r="P1619" s="56"/>
    </row>
    <row r="1620" ht="22.5" customHeight="1">
      <c r="P1620" s="56"/>
    </row>
    <row r="1621" ht="22.5" customHeight="1">
      <c r="P1621" s="56"/>
    </row>
    <row r="1622" ht="22.5" customHeight="1">
      <c r="P1622" s="56"/>
    </row>
    <row r="1623" ht="22.5" customHeight="1">
      <c r="P1623" s="56"/>
    </row>
    <row r="1624" ht="22.5" customHeight="1">
      <c r="P1624" s="56"/>
    </row>
    <row r="1625" ht="22.5" customHeight="1">
      <c r="P1625" s="56"/>
    </row>
    <row r="1626" ht="22.5" customHeight="1">
      <c r="P1626" s="56"/>
    </row>
    <row r="1627" ht="22.5" customHeight="1">
      <c r="P1627" s="56"/>
    </row>
    <row r="1628" ht="22.5" customHeight="1">
      <c r="P1628" s="56"/>
    </row>
    <row r="1629" ht="22.5" customHeight="1">
      <c r="P1629" s="56"/>
    </row>
    <row r="1630" ht="22.5" customHeight="1">
      <c r="P1630" s="56"/>
    </row>
    <row r="1631" ht="22.5" customHeight="1">
      <c r="P1631" s="56"/>
    </row>
    <row r="1632" ht="22.5" customHeight="1">
      <c r="P1632" s="56"/>
    </row>
    <row r="1633" ht="22.5" customHeight="1">
      <c r="P1633" s="56"/>
    </row>
    <row r="1634" ht="22.5" customHeight="1">
      <c r="P1634" s="56"/>
    </row>
    <row r="1635" ht="22.5" customHeight="1">
      <c r="P1635" s="56"/>
    </row>
    <row r="1636" ht="22.5" customHeight="1">
      <c r="P1636" s="56"/>
    </row>
    <row r="1637" ht="22.5" customHeight="1">
      <c r="P1637" s="56"/>
    </row>
    <row r="1638" ht="22.5" customHeight="1">
      <c r="P1638" s="56"/>
    </row>
    <row r="1639" ht="22.5" customHeight="1">
      <c r="P1639" s="56"/>
    </row>
    <row r="1640" ht="22.5" customHeight="1">
      <c r="P1640" s="56"/>
    </row>
    <row r="1641" ht="22.5" customHeight="1">
      <c r="P1641" s="56"/>
    </row>
    <row r="1642" ht="22.5" customHeight="1">
      <c r="P1642" s="56"/>
    </row>
    <row r="1643" ht="22.5" customHeight="1">
      <c r="P1643" s="56"/>
    </row>
    <row r="1644" ht="22.5" customHeight="1">
      <c r="P1644" s="56"/>
    </row>
    <row r="1645" ht="22.5" customHeight="1">
      <c r="P1645" s="56"/>
    </row>
    <row r="1646" ht="22.5" customHeight="1">
      <c r="P1646" s="56"/>
    </row>
    <row r="1647" ht="22.5" customHeight="1">
      <c r="P1647" s="56"/>
    </row>
    <row r="1648" ht="22.5" customHeight="1">
      <c r="P1648" s="56"/>
    </row>
    <row r="1649" ht="22.5" customHeight="1">
      <c r="P1649" s="56"/>
    </row>
    <row r="1650" ht="22.5" customHeight="1">
      <c r="P1650" s="56"/>
    </row>
    <row r="1651" ht="22.5" customHeight="1">
      <c r="P1651" s="56"/>
    </row>
    <row r="1652" ht="22.5" customHeight="1">
      <c r="P1652" s="56"/>
    </row>
    <row r="1653" ht="22.5" customHeight="1">
      <c r="P1653" s="56"/>
    </row>
    <row r="1654" ht="22.5" customHeight="1">
      <c r="P1654" s="56"/>
    </row>
    <row r="1655" ht="22.5" customHeight="1">
      <c r="P1655" s="56"/>
    </row>
    <row r="1656" ht="22.5" customHeight="1">
      <c r="P1656" s="56"/>
    </row>
    <row r="1657" ht="22.5" customHeight="1">
      <c r="P1657" s="56"/>
    </row>
    <row r="1658" ht="22.5" customHeight="1">
      <c r="P1658" s="56"/>
    </row>
    <row r="1659" ht="22.5" customHeight="1">
      <c r="P1659" s="56"/>
    </row>
    <row r="1660" ht="22.5" customHeight="1">
      <c r="P1660" s="56"/>
    </row>
    <row r="1661" ht="22.5" customHeight="1">
      <c r="P1661" s="56"/>
    </row>
    <row r="1662" ht="22.5" customHeight="1">
      <c r="P1662" s="56"/>
    </row>
    <row r="1663" ht="22.5" customHeight="1">
      <c r="P1663" s="56"/>
    </row>
    <row r="1664" ht="22.5" customHeight="1">
      <c r="P1664" s="56"/>
    </row>
    <row r="1665" ht="22.5" customHeight="1">
      <c r="P1665" s="56"/>
    </row>
    <row r="1666" ht="22.5" customHeight="1">
      <c r="P1666" s="56"/>
    </row>
    <row r="1667" ht="22.5" customHeight="1">
      <c r="P1667" s="56"/>
    </row>
    <row r="1668" ht="22.5" customHeight="1">
      <c r="P1668" s="56"/>
    </row>
    <row r="1669" ht="22.5" customHeight="1">
      <c r="P1669" s="56"/>
    </row>
    <row r="1670" ht="22.5" customHeight="1">
      <c r="P1670" s="56"/>
    </row>
    <row r="1671" ht="22.5" customHeight="1">
      <c r="P1671" s="56"/>
    </row>
    <row r="1672" ht="22.5" customHeight="1">
      <c r="P1672" s="56"/>
    </row>
    <row r="1673" ht="22.5" customHeight="1">
      <c r="P1673" s="56"/>
    </row>
    <row r="1674" ht="22.5" customHeight="1">
      <c r="P1674" s="56"/>
    </row>
    <row r="1675" ht="22.5" customHeight="1">
      <c r="P1675" s="56"/>
    </row>
    <row r="1676" ht="22.5" customHeight="1">
      <c r="P1676" s="56"/>
    </row>
    <row r="1677" ht="22.5" customHeight="1">
      <c r="P1677" s="56"/>
    </row>
    <row r="1678" ht="22.5" customHeight="1">
      <c r="P1678" s="56"/>
    </row>
    <row r="1679" ht="22.5" customHeight="1">
      <c r="P1679" s="56"/>
    </row>
    <row r="1680" ht="22.5" customHeight="1">
      <c r="P1680" s="56"/>
    </row>
    <row r="1681" ht="22.5" customHeight="1">
      <c r="P1681" s="56"/>
    </row>
    <row r="1682" ht="22.5" customHeight="1">
      <c r="P1682" s="56"/>
    </row>
    <row r="1683" ht="22.5" customHeight="1">
      <c r="P1683" s="56"/>
    </row>
    <row r="1684" ht="22.5" customHeight="1">
      <c r="P1684" s="56"/>
    </row>
    <row r="1685" ht="22.5" customHeight="1">
      <c r="P1685" s="56"/>
    </row>
    <row r="1686" ht="22.5" customHeight="1">
      <c r="P1686" s="56"/>
    </row>
    <row r="1687" ht="22.5" customHeight="1">
      <c r="P1687" s="56"/>
    </row>
    <row r="1688" ht="22.5" customHeight="1">
      <c r="P1688" s="56"/>
    </row>
    <row r="1689" ht="22.5" customHeight="1">
      <c r="P1689" s="56"/>
    </row>
    <row r="1690" ht="22.5" customHeight="1">
      <c r="P1690" s="56"/>
    </row>
    <row r="1691" ht="22.5" customHeight="1">
      <c r="P1691" s="56"/>
    </row>
    <row r="1692" ht="22.5" customHeight="1">
      <c r="P1692" s="56"/>
    </row>
    <row r="1693" ht="22.5" customHeight="1">
      <c r="P1693" s="56"/>
    </row>
    <row r="1694" ht="22.5" customHeight="1">
      <c r="P1694" s="56"/>
    </row>
    <row r="1695" ht="22.5" customHeight="1">
      <c r="P1695" s="56"/>
    </row>
    <row r="1696" ht="22.5" customHeight="1">
      <c r="P1696" s="56"/>
    </row>
    <row r="1697" ht="22.5" customHeight="1">
      <c r="P1697" s="56"/>
    </row>
    <row r="1698" ht="22.5" customHeight="1">
      <c r="P1698" s="56"/>
    </row>
    <row r="1699" ht="22.5" customHeight="1">
      <c r="P1699" s="56"/>
    </row>
    <row r="1700" ht="22.5" customHeight="1">
      <c r="P1700" s="56"/>
    </row>
    <row r="1701" ht="22.5" customHeight="1">
      <c r="P1701" s="56"/>
    </row>
    <row r="1702" ht="22.5" customHeight="1">
      <c r="P1702" s="56"/>
    </row>
    <row r="1703" ht="22.5" customHeight="1">
      <c r="P1703" s="56"/>
    </row>
    <row r="1704" ht="22.5" customHeight="1">
      <c r="P1704" s="56"/>
    </row>
    <row r="1705" ht="22.5" customHeight="1">
      <c r="P1705" s="56"/>
    </row>
    <row r="1706" ht="22.5" customHeight="1">
      <c r="P1706" s="56"/>
    </row>
    <row r="1707" ht="22.5" customHeight="1">
      <c r="P1707" s="56"/>
    </row>
    <row r="1708" ht="22.5" customHeight="1">
      <c r="P1708" s="56"/>
    </row>
    <row r="1709" ht="22.5" customHeight="1">
      <c r="P1709" s="56"/>
    </row>
    <row r="1710" ht="22.5" customHeight="1">
      <c r="P1710" s="56"/>
    </row>
    <row r="1711" ht="22.5" customHeight="1">
      <c r="P1711" s="56"/>
    </row>
    <row r="1712" ht="22.5" customHeight="1">
      <c r="P1712" s="56"/>
    </row>
    <row r="1713" ht="22.5" customHeight="1">
      <c r="P1713" s="56"/>
    </row>
    <row r="1714" ht="22.5" customHeight="1">
      <c r="P1714" s="56"/>
    </row>
    <row r="1715" ht="22.5" customHeight="1">
      <c r="P1715" s="56"/>
    </row>
    <row r="1716" ht="22.5" customHeight="1">
      <c r="P1716" s="56"/>
    </row>
    <row r="1717" ht="22.5" customHeight="1">
      <c r="P1717" s="56"/>
    </row>
    <row r="1718" ht="22.5" customHeight="1">
      <c r="P1718" s="56"/>
    </row>
    <row r="1719" ht="22.5" customHeight="1">
      <c r="P1719" s="56"/>
    </row>
    <row r="1720" ht="22.5" customHeight="1">
      <c r="P1720" s="56"/>
    </row>
    <row r="1721" ht="22.5" customHeight="1">
      <c r="P1721" s="56"/>
    </row>
    <row r="1722" ht="22.5" customHeight="1">
      <c r="P1722" s="56"/>
    </row>
    <row r="1723" ht="22.5" customHeight="1">
      <c r="P1723" s="56"/>
    </row>
    <row r="1724" ht="22.5" customHeight="1">
      <c r="P1724" s="56"/>
    </row>
    <row r="1725" ht="22.5" customHeight="1">
      <c r="P1725" s="56"/>
    </row>
    <row r="1726" ht="22.5" customHeight="1">
      <c r="P1726" s="56"/>
    </row>
    <row r="1727" ht="22.5" customHeight="1">
      <c r="P1727" s="56"/>
    </row>
    <row r="1728" ht="22.5" customHeight="1">
      <c r="P1728" s="56"/>
    </row>
    <row r="1729" ht="22.5" customHeight="1">
      <c r="P1729" s="56"/>
    </row>
    <row r="1730" ht="22.5" customHeight="1">
      <c r="P1730" s="56"/>
    </row>
    <row r="1731" ht="22.5" customHeight="1">
      <c r="P1731" s="56"/>
    </row>
    <row r="1732" ht="22.5" customHeight="1">
      <c r="P1732" s="56"/>
    </row>
    <row r="1733" ht="22.5" customHeight="1">
      <c r="P1733" s="56"/>
    </row>
    <row r="1734" ht="22.5" customHeight="1">
      <c r="P1734" s="56"/>
    </row>
    <row r="1735" ht="22.5" customHeight="1">
      <c r="P1735" s="56"/>
    </row>
    <row r="1736" ht="22.5" customHeight="1">
      <c r="P1736" s="56"/>
    </row>
    <row r="1737" ht="22.5" customHeight="1">
      <c r="P1737" s="56"/>
    </row>
    <row r="1738" ht="22.5" customHeight="1">
      <c r="P1738" s="56"/>
    </row>
    <row r="1739" ht="22.5" customHeight="1">
      <c r="P1739" s="56"/>
    </row>
    <row r="1740" ht="22.5" customHeight="1">
      <c r="P1740" s="56"/>
    </row>
    <row r="1741" ht="22.5" customHeight="1">
      <c r="P1741" s="56"/>
    </row>
    <row r="1742" ht="22.5" customHeight="1">
      <c r="P1742" s="56"/>
    </row>
    <row r="1743" ht="22.5" customHeight="1">
      <c r="P1743" s="56"/>
    </row>
    <row r="1744" ht="22.5" customHeight="1">
      <c r="P1744" s="56"/>
    </row>
    <row r="1745" ht="22.5" customHeight="1">
      <c r="P1745" s="56"/>
    </row>
    <row r="1746" ht="22.5" customHeight="1">
      <c r="P1746" s="56"/>
    </row>
    <row r="1747" ht="22.5" customHeight="1">
      <c r="P1747" s="56"/>
    </row>
    <row r="1748" ht="22.5" customHeight="1">
      <c r="P1748" s="56"/>
    </row>
    <row r="1749" ht="22.5" customHeight="1">
      <c r="P1749" s="56"/>
    </row>
    <row r="1750" ht="22.5" customHeight="1">
      <c r="P1750" s="56"/>
    </row>
    <row r="1751" ht="22.5" customHeight="1">
      <c r="P1751" s="56"/>
    </row>
    <row r="1752" ht="22.5" customHeight="1">
      <c r="P1752" s="56"/>
    </row>
    <row r="1753" ht="22.5" customHeight="1">
      <c r="P1753" s="56"/>
    </row>
    <row r="1754" ht="22.5" customHeight="1">
      <c r="P1754" s="56"/>
    </row>
    <row r="1755" ht="22.5" customHeight="1">
      <c r="P1755" s="56"/>
    </row>
    <row r="1756" ht="22.5" customHeight="1">
      <c r="P1756" s="56"/>
    </row>
    <row r="1757" ht="22.5" customHeight="1">
      <c r="P1757" s="56"/>
    </row>
    <row r="1758" ht="22.5" customHeight="1">
      <c r="P1758" s="56"/>
    </row>
    <row r="1759" ht="22.5" customHeight="1">
      <c r="P1759" s="56"/>
    </row>
    <row r="1760" ht="22.5" customHeight="1">
      <c r="P1760" s="56"/>
    </row>
    <row r="1761" ht="22.5" customHeight="1">
      <c r="P1761" s="56"/>
    </row>
    <row r="1762" ht="22.5" customHeight="1">
      <c r="P1762" s="56"/>
    </row>
    <row r="1763" ht="22.5" customHeight="1">
      <c r="P1763" s="56"/>
    </row>
    <row r="1764" ht="22.5" customHeight="1">
      <c r="P1764" s="56"/>
    </row>
    <row r="1765" ht="22.5" customHeight="1">
      <c r="P1765" s="56"/>
    </row>
    <row r="1766" ht="22.5" customHeight="1">
      <c r="P1766" s="56"/>
    </row>
    <row r="1767" ht="22.5" customHeight="1">
      <c r="P1767" s="56"/>
    </row>
    <row r="1768" ht="22.5" customHeight="1">
      <c r="P1768" s="56"/>
    </row>
    <row r="1769" ht="22.5" customHeight="1">
      <c r="P1769" s="56"/>
    </row>
    <row r="1770" ht="22.5" customHeight="1">
      <c r="P1770" s="56"/>
    </row>
    <row r="1771" ht="22.5" customHeight="1">
      <c r="P1771" s="56"/>
    </row>
    <row r="1772" ht="22.5" customHeight="1">
      <c r="P1772" s="56"/>
    </row>
    <row r="1773" ht="22.5" customHeight="1">
      <c r="P1773" s="56"/>
    </row>
    <row r="1774" ht="22.5" customHeight="1">
      <c r="P1774" s="56"/>
    </row>
    <row r="1775" ht="22.5" customHeight="1">
      <c r="P1775" s="56"/>
    </row>
    <row r="1776" ht="22.5" customHeight="1">
      <c r="P1776" s="56"/>
    </row>
    <row r="1777" ht="22.5" customHeight="1">
      <c r="P1777" s="56"/>
    </row>
    <row r="1778" ht="22.5" customHeight="1">
      <c r="P1778" s="56"/>
    </row>
    <row r="1779" ht="22.5" customHeight="1">
      <c r="P1779" s="56"/>
    </row>
    <row r="1780" ht="22.5" customHeight="1">
      <c r="P1780" s="56"/>
    </row>
    <row r="1781" ht="22.5" customHeight="1">
      <c r="P1781" s="56"/>
    </row>
    <row r="1782" ht="22.5" customHeight="1">
      <c r="P1782" s="56"/>
    </row>
    <row r="1783" ht="22.5" customHeight="1">
      <c r="P1783" s="56"/>
    </row>
    <row r="1784" ht="22.5" customHeight="1">
      <c r="P1784" s="56"/>
    </row>
    <row r="1785" ht="22.5" customHeight="1">
      <c r="P1785" s="56"/>
    </row>
    <row r="1786" ht="22.5" customHeight="1">
      <c r="P1786" s="56"/>
    </row>
    <row r="1787" ht="22.5" customHeight="1">
      <c r="P1787" s="56"/>
    </row>
    <row r="1788" ht="22.5" customHeight="1">
      <c r="P1788" s="56"/>
    </row>
    <row r="1789" ht="22.5" customHeight="1">
      <c r="P1789" s="56"/>
    </row>
    <row r="1790" ht="22.5" customHeight="1">
      <c r="P1790" s="56"/>
    </row>
    <row r="1791" ht="22.5" customHeight="1">
      <c r="P1791" s="56"/>
    </row>
    <row r="1792" ht="22.5" customHeight="1">
      <c r="P1792" s="56"/>
    </row>
    <row r="1793" ht="22.5" customHeight="1">
      <c r="P1793" s="56"/>
    </row>
    <row r="1794" ht="22.5" customHeight="1">
      <c r="P1794" s="56"/>
    </row>
    <row r="1795" ht="22.5" customHeight="1">
      <c r="P1795" s="56"/>
    </row>
    <row r="1796" ht="22.5" customHeight="1">
      <c r="P1796" s="56"/>
    </row>
    <row r="1797" ht="22.5" customHeight="1">
      <c r="P1797" s="56"/>
    </row>
    <row r="1798" ht="22.5" customHeight="1">
      <c r="P1798" s="56"/>
    </row>
    <row r="1799" ht="22.5" customHeight="1">
      <c r="P1799" s="56"/>
    </row>
    <row r="1800" ht="22.5" customHeight="1">
      <c r="P1800" s="56"/>
    </row>
    <row r="1801" ht="22.5" customHeight="1">
      <c r="P1801" s="56"/>
    </row>
    <row r="1802" ht="22.5" customHeight="1">
      <c r="P1802" s="56"/>
    </row>
    <row r="1803" ht="22.5" customHeight="1">
      <c r="P1803" s="56"/>
    </row>
    <row r="1804" ht="22.5" customHeight="1">
      <c r="P1804" s="56"/>
    </row>
    <row r="1805" ht="22.5" customHeight="1">
      <c r="P1805" s="56"/>
    </row>
    <row r="1806" ht="22.5" customHeight="1">
      <c r="P1806" s="56"/>
    </row>
    <row r="1807" ht="22.5" customHeight="1">
      <c r="P1807" s="56"/>
    </row>
    <row r="1808" ht="22.5" customHeight="1">
      <c r="P1808" s="56"/>
    </row>
    <row r="1809" ht="22.5" customHeight="1">
      <c r="P1809" s="56"/>
    </row>
    <row r="1810" ht="22.5" customHeight="1">
      <c r="P1810" s="56"/>
    </row>
    <row r="1811" ht="22.5" customHeight="1">
      <c r="P1811" s="56"/>
    </row>
    <row r="1812" ht="22.5" customHeight="1">
      <c r="P1812" s="56"/>
    </row>
    <row r="1813" ht="22.5" customHeight="1">
      <c r="P1813" s="56"/>
    </row>
    <row r="1814" ht="22.5" customHeight="1">
      <c r="P1814" s="56"/>
    </row>
    <row r="1815" ht="22.5" customHeight="1">
      <c r="P1815" s="56"/>
    </row>
    <row r="1816" ht="22.5" customHeight="1">
      <c r="P1816" s="56"/>
    </row>
    <row r="1817" ht="22.5" customHeight="1">
      <c r="P1817" s="56"/>
    </row>
    <row r="1818" ht="22.5" customHeight="1">
      <c r="P1818" s="56"/>
    </row>
    <row r="1819" ht="22.5" customHeight="1">
      <c r="P1819" s="56"/>
    </row>
    <row r="1820" ht="22.5" customHeight="1">
      <c r="P1820" s="56"/>
    </row>
    <row r="1821" ht="22.5" customHeight="1">
      <c r="P1821" s="56"/>
    </row>
    <row r="1822" ht="22.5" customHeight="1">
      <c r="P1822" s="56"/>
    </row>
    <row r="1823" ht="22.5" customHeight="1">
      <c r="P1823" s="56"/>
    </row>
    <row r="1824" ht="22.5" customHeight="1">
      <c r="P1824" s="56"/>
    </row>
    <row r="1825" ht="22.5" customHeight="1">
      <c r="P1825" s="56"/>
    </row>
    <row r="1826" ht="22.5" customHeight="1">
      <c r="P1826" s="56"/>
    </row>
    <row r="1827" ht="22.5" customHeight="1">
      <c r="P1827" s="56"/>
    </row>
    <row r="1828" ht="22.5" customHeight="1">
      <c r="P1828" s="56"/>
    </row>
    <row r="1829" ht="22.5" customHeight="1">
      <c r="P1829" s="56"/>
    </row>
    <row r="1830" ht="22.5" customHeight="1">
      <c r="P1830" s="56"/>
    </row>
    <row r="1831" ht="22.5" customHeight="1">
      <c r="P1831" s="56"/>
    </row>
    <row r="1832" ht="22.5" customHeight="1">
      <c r="P1832" s="56"/>
    </row>
    <row r="1833" ht="22.5" customHeight="1">
      <c r="P1833" s="56"/>
    </row>
    <row r="1834" ht="22.5" customHeight="1">
      <c r="P1834" s="56"/>
    </row>
    <row r="1835" ht="22.5" customHeight="1">
      <c r="P1835" s="56"/>
    </row>
    <row r="1836" ht="22.5" customHeight="1">
      <c r="P1836" s="56"/>
    </row>
    <row r="1837" ht="22.5" customHeight="1">
      <c r="P1837" s="56"/>
    </row>
    <row r="1838" ht="22.5" customHeight="1">
      <c r="P1838" s="56"/>
    </row>
    <row r="1839" ht="22.5" customHeight="1">
      <c r="P1839" s="56"/>
    </row>
    <row r="1840" ht="22.5" customHeight="1">
      <c r="P1840" s="56"/>
    </row>
    <row r="1841" ht="22.5" customHeight="1">
      <c r="P1841" s="56"/>
    </row>
    <row r="1842" ht="22.5" customHeight="1">
      <c r="P1842" s="56"/>
    </row>
    <row r="1843" ht="22.5" customHeight="1">
      <c r="P1843" s="56"/>
    </row>
    <row r="1844" ht="22.5" customHeight="1">
      <c r="P1844" s="56"/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>
      <c r="D4" s="58"/>
    </row>
    <row r="5">
      <c r="D5" s="58"/>
    </row>
    <row r="6">
      <c r="D6" s="58"/>
    </row>
    <row r="7">
      <c r="D7" s="58"/>
    </row>
    <row r="8">
      <c r="D8" s="58"/>
    </row>
    <row r="9">
      <c r="D9" s="58"/>
    </row>
    <row r="10">
      <c r="D10" s="58"/>
    </row>
    <row r="11">
      <c r="D11" s="58"/>
    </row>
    <row r="12">
      <c r="D12" s="58"/>
    </row>
    <row r="13">
      <c r="D13" s="58"/>
    </row>
    <row r="14">
      <c r="D14" s="58"/>
    </row>
    <row r="15">
      <c r="D15" s="58"/>
    </row>
    <row r="16">
      <c r="D16" s="58"/>
    </row>
    <row r="17">
      <c r="D17" s="58"/>
    </row>
    <row r="18">
      <c r="D18" s="58"/>
    </row>
    <row r="19">
      <c r="D19" s="58"/>
    </row>
    <row r="20">
      <c r="D20" s="58"/>
    </row>
    <row r="21">
      <c r="D21" s="58"/>
    </row>
    <row r="22">
      <c r="D22" s="58"/>
    </row>
    <row r="23">
      <c r="D23" s="58"/>
    </row>
    <row r="24">
      <c r="D24" s="58"/>
    </row>
    <row r="25">
      <c r="D25" s="58"/>
    </row>
    <row r="26">
      <c r="D26" s="58"/>
    </row>
    <row r="27">
      <c r="D27" s="58"/>
    </row>
    <row r="28">
      <c r="D28" s="58"/>
    </row>
    <row r="29">
      <c r="D29" s="58"/>
    </row>
    <row r="30">
      <c r="D30" s="58"/>
    </row>
    <row r="31">
      <c r="D31" s="58"/>
    </row>
    <row r="32">
      <c r="D32" s="58"/>
    </row>
    <row r="33">
      <c r="D33" s="58"/>
    </row>
    <row r="34">
      <c r="D34" s="58"/>
    </row>
    <row r="35">
      <c r="D35" s="58"/>
    </row>
    <row r="36">
      <c r="D36" s="58"/>
    </row>
    <row r="37">
      <c r="D37" s="58"/>
    </row>
    <row r="38">
      <c r="D38" s="58"/>
    </row>
    <row r="39">
      <c r="D39" s="58"/>
    </row>
    <row r="40">
      <c r="D40" s="58"/>
    </row>
    <row r="41">
      <c r="D41" s="58"/>
    </row>
    <row r="42">
      <c r="D42" s="58"/>
    </row>
    <row r="43">
      <c r="D43" s="58"/>
    </row>
    <row r="44">
      <c r="D44" s="58"/>
    </row>
    <row r="45">
      <c r="D45" s="58"/>
    </row>
    <row r="46">
      <c r="D46" s="58"/>
    </row>
    <row r="47">
      <c r="D47" s="58"/>
    </row>
    <row r="48">
      <c r="D48" s="58"/>
    </row>
    <row r="49">
      <c r="D49" s="58"/>
    </row>
    <row r="50">
      <c r="D50" s="58"/>
    </row>
    <row r="51">
      <c r="D51" s="58"/>
    </row>
    <row r="52">
      <c r="D52" s="58"/>
    </row>
    <row r="53">
      <c r="D53" s="58"/>
    </row>
    <row r="54">
      <c r="D54" s="58"/>
    </row>
    <row r="55">
      <c r="D55" s="58"/>
    </row>
    <row r="56">
      <c r="D56" s="58"/>
    </row>
    <row r="57">
      <c r="D57" s="58"/>
    </row>
    <row r="58">
      <c r="D58" s="58"/>
    </row>
    <row r="59">
      <c r="D59" s="58"/>
    </row>
    <row r="60">
      <c r="D60" s="58"/>
    </row>
    <row r="61">
      <c r="D61" s="58"/>
    </row>
    <row r="62">
      <c r="D62" s="58"/>
    </row>
    <row r="63">
      <c r="D63" s="58"/>
    </row>
    <row r="64">
      <c r="D64" s="58"/>
    </row>
    <row r="65">
      <c r="D65" s="58"/>
    </row>
    <row r="66">
      <c r="D66" s="58"/>
    </row>
    <row r="67">
      <c r="D67" s="58"/>
    </row>
    <row r="68">
      <c r="D68" s="58"/>
    </row>
    <row r="69">
      <c r="D69" s="58"/>
    </row>
    <row r="70">
      <c r="D70" s="58"/>
    </row>
    <row r="71">
      <c r="D71" s="58"/>
    </row>
    <row r="72">
      <c r="D72" s="58"/>
    </row>
    <row r="73">
      <c r="D73" s="58"/>
    </row>
    <row r="74">
      <c r="D74" s="58"/>
    </row>
    <row r="75">
      <c r="D75" s="58"/>
    </row>
    <row r="76">
      <c r="D76" s="58"/>
    </row>
    <row r="77">
      <c r="D77" s="58"/>
    </row>
    <row r="78">
      <c r="D78" s="58"/>
    </row>
    <row r="79">
      <c r="D79" s="58"/>
    </row>
    <row r="80">
      <c r="D80" s="58"/>
    </row>
    <row r="81">
      <c r="D81" s="58"/>
    </row>
    <row r="82">
      <c r="D82" s="58"/>
    </row>
    <row r="83">
      <c r="D83" s="58"/>
    </row>
    <row r="84">
      <c r="D84" s="58"/>
    </row>
    <row r="85">
      <c r="D85" s="58"/>
    </row>
    <row r="86">
      <c r="D86" s="58"/>
    </row>
    <row r="87">
      <c r="D87" s="58"/>
    </row>
    <row r="88">
      <c r="D88" s="58"/>
    </row>
    <row r="89">
      <c r="D89" s="58"/>
    </row>
    <row r="90">
      <c r="D90" s="58"/>
    </row>
    <row r="91">
      <c r="D91" s="58"/>
    </row>
    <row r="92">
      <c r="D92" s="58"/>
    </row>
    <row r="93">
      <c r="D93" s="58"/>
    </row>
    <row r="94">
      <c r="D94" s="58"/>
    </row>
    <row r="95">
      <c r="D95" s="58"/>
    </row>
    <row r="96">
      <c r="D96" s="58"/>
    </row>
    <row r="97">
      <c r="D97" s="58"/>
    </row>
    <row r="98">
      <c r="D98" s="58"/>
    </row>
    <row r="99">
      <c r="D99" s="58"/>
    </row>
    <row r="100">
      <c r="D100" s="58"/>
    </row>
    <row r="101">
      <c r="D101" s="58"/>
    </row>
    <row r="102">
      <c r="D102" s="58"/>
    </row>
    <row r="103">
      <c r="D103" s="58"/>
    </row>
    <row r="104">
      <c r="D104" s="58"/>
    </row>
    <row r="105">
      <c r="D105" s="58"/>
    </row>
    <row r="106">
      <c r="D106" s="58"/>
    </row>
    <row r="107">
      <c r="D107" s="58"/>
    </row>
    <row r="108">
      <c r="D108" s="58"/>
    </row>
    <row r="109">
      <c r="D109" s="58"/>
    </row>
    <row r="110">
      <c r="D110" s="58"/>
    </row>
    <row r="111">
      <c r="D111" s="58"/>
    </row>
    <row r="112">
      <c r="D112" s="58"/>
    </row>
    <row r="113">
      <c r="D113" s="58"/>
    </row>
    <row r="114">
      <c r="D114" s="58"/>
    </row>
    <row r="115">
      <c r="D115" s="58"/>
    </row>
    <row r="116">
      <c r="D116" s="58"/>
    </row>
    <row r="117">
      <c r="D117" s="58"/>
    </row>
    <row r="118">
      <c r="D118" s="58"/>
    </row>
    <row r="119">
      <c r="D119" s="58"/>
    </row>
    <row r="120">
      <c r="D120" s="58"/>
    </row>
    <row r="121">
      <c r="D121" s="58"/>
    </row>
    <row r="122">
      <c r="D122" s="58"/>
    </row>
    <row r="123">
      <c r="D123" s="58"/>
    </row>
    <row r="124">
      <c r="D124" s="58"/>
    </row>
    <row r="125">
      <c r="D125" s="58"/>
    </row>
    <row r="126">
      <c r="D126" s="58"/>
    </row>
    <row r="127">
      <c r="D127" s="58"/>
    </row>
    <row r="128">
      <c r="D128" s="58"/>
    </row>
    <row r="129">
      <c r="D129" s="58"/>
    </row>
    <row r="130">
      <c r="D130" s="58"/>
    </row>
    <row r="131">
      <c r="D131" s="58"/>
    </row>
    <row r="132">
      <c r="D132" s="58"/>
    </row>
    <row r="133">
      <c r="D133" s="58"/>
    </row>
    <row r="134">
      <c r="D134" s="58"/>
    </row>
    <row r="135">
      <c r="D135" s="58"/>
    </row>
    <row r="136">
      <c r="D136" s="58"/>
    </row>
    <row r="137">
      <c r="D137" s="58"/>
    </row>
    <row r="138">
      <c r="D138" s="58"/>
    </row>
    <row r="139">
      <c r="D139" s="58"/>
    </row>
    <row r="140">
      <c r="D140" s="58"/>
    </row>
    <row r="141">
      <c r="D141" s="58"/>
    </row>
    <row r="142">
      <c r="D142" s="58"/>
    </row>
    <row r="143">
      <c r="D143" s="58"/>
    </row>
    <row r="144">
      <c r="D144" s="58"/>
    </row>
    <row r="145">
      <c r="D145" s="58"/>
    </row>
    <row r="146">
      <c r="D146" s="58"/>
    </row>
    <row r="147">
      <c r="D147" s="58"/>
    </row>
    <row r="148">
      <c r="D148" s="58"/>
    </row>
    <row r="149">
      <c r="D149" s="58"/>
    </row>
    <row r="150">
      <c r="D150" s="58"/>
    </row>
    <row r="151">
      <c r="D151" s="58"/>
    </row>
    <row r="152">
      <c r="D152" s="58"/>
    </row>
    <row r="153">
      <c r="D153" s="58"/>
    </row>
    <row r="154">
      <c r="D154" s="58"/>
    </row>
    <row r="155">
      <c r="D155" s="58"/>
    </row>
    <row r="156">
      <c r="D156" s="58"/>
    </row>
    <row r="157">
      <c r="D157" s="58"/>
    </row>
    <row r="158">
      <c r="D158" s="58"/>
    </row>
    <row r="159">
      <c r="D159" s="58"/>
    </row>
    <row r="160">
      <c r="D160" s="58"/>
    </row>
    <row r="161">
      <c r="D161" s="58"/>
    </row>
    <row r="162">
      <c r="D162" s="58"/>
    </row>
    <row r="163">
      <c r="D163" s="58"/>
    </row>
    <row r="164">
      <c r="D164" s="58"/>
    </row>
    <row r="165">
      <c r="D165" s="58"/>
    </row>
    <row r="166">
      <c r="D166" s="58"/>
    </row>
    <row r="167">
      <c r="D167" s="58"/>
    </row>
    <row r="168">
      <c r="D168" s="58"/>
    </row>
    <row r="169">
      <c r="D169" s="58"/>
    </row>
    <row r="170">
      <c r="D170" s="58"/>
    </row>
    <row r="171">
      <c r="D171" s="58"/>
    </row>
    <row r="172">
      <c r="D172" s="58"/>
    </row>
    <row r="173">
      <c r="D173" s="58"/>
    </row>
    <row r="174">
      <c r="D174" s="58"/>
    </row>
    <row r="175">
      <c r="D175" s="58"/>
    </row>
    <row r="176">
      <c r="D176" s="58"/>
    </row>
    <row r="177">
      <c r="D177" s="58"/>
    </row>
    <row r="178">
      <c r="D178" s="58"/>
    </row>
    <row r="179">
      <c r="D179" s="58"/>
    </row>
    <row r="180">
      <c r="D180" s="58"/>
    </row>
    <row r="181">
      <c r="D181" s="58"/>
    </row>
    <row r="182">
      <c r="D182" s="58"/>
    </row>
    <row r="183">
      <c r="D183" s="58"/>
    </row>
    <row r="184">
      <c r="D184" s="58"/>
    </row>
    <row r="185">
      <c r="D185" s="58"/>
    </row>
    <row r="186">
      <c r="D186" s="58"/>
    </row>
    <row r="187">
      <c r="D187" s="58"/>
    </row>
    <row r="188">
      <c r="D188" s="58"/>
    </row>
    <row r="189">
      <c r="D189" s="58"/>
    </row>
    <row r="190">
      <c r="D190" s="58"/>
    </row>
    <row r="191">
      <c r="D191" s="58"/>
    </row>
    <row r="192">
      <c r="D192" s="58"/>
    </row>
    <row r="193">
      <c r="D193" s="58"/>
    </row>
    <row r="194">
      <c r="D194" s="58"/>
    </row>
    <row r="195">
      <c r="D195" s="58"/>
    </row>
    <row r="196">
      <c r="D196" s="58"/>
    </row>
    <row r="197">
      <c r="D197" s="58"/>
    </row>
    <row r="198">
      <c r="D198" s="58"/>
    </row>
    <row r="199">
      <c r="D199" s="58"/>
    </row>
    <row r="200">
      <c r="D200" s="58"/>
    </row>
    <row r="201">
      <c r="D201" s="58"/>
    </row>
    <row r="202">
      <c r="D202" s="58"/>
    </row>
    <row r="203">
      <c r="D203" s="58"/>
    </row>
    <row r="204">
      <c r="D204" s="58"/>
    </row>
    <row r="205">
      <c r="D205" s="58"/>
    </row>
    <row r="206">
      <c r="D206" s="58"/>
    </row>
    <row r="207">
      <c r="D207" s="58"/>
    </row>
    <row r="208">
      <c r="D208" s="58"/>
    </row>
    <row r="209">
      <c r="D209" s="58"/>
    </row>
    <row r="210">
      <c r="D210" s="58"/>
    </row>
    <row r="211">
      <c r="D211" s="58"/>
    </row>
    <row r="212">
      <c r="D212" s="58"/>
    </row>
    <row r="213">
      <c r="D213" s="58"/>
    </row>
    <row r="214">
      <c r="D214" s="58"/>
    </row>
    <row r="215">
      <c r="D215" s="58"/>
    </row>
    <row r="216">
      <c r="D216" s="58"/>
    </row>
    <row r="217">
      <c r="D217" s="58"/>
    </row>
    <row r="218">
      <c r="D218" s="58"/>
    </row>
    <row r="219">
      <c r="D219" s="58"/>
    </row>
    <row r="220">
      <c r="D220" s="58"/>
    </row>
    <row r="221">
      <c r="D221" s="58"/>
    </row>
    <row r="222">
      <c r="D222" s="58"/>
    </row>
    <row r="223">
      <c r="D223" s="58"/>
    </row>
    <row r="224">
      <c r="D224" s="58"/>
    </row>
    <row r="225">
      <c r="D225" s="58"/>
    </row>
    <row r="226">
      <c r="D226" s="58"/>
    </row>
    <row r="227">
      <c r="D227" s="58"/>
    </row>
    <row r="228">
      <c r="D228" s="58"/>
    </row>
    <row r="229">
      <c r="D229" s="58"/>
    </row>
    <row r="230">
      <c r="D230" s="58"/>
    </row>
    <row r="231">
      <c r="D231" s="58"/>
    </row>
    <row r="232">
      <c r="D232" s="58"/>
    </row>
    <row r="233">
      <c r="D233" s="58"/>
    </row>
    <row r="234">
      <c r="D234" s="58"/>
    </row>
    <row r="235">
      <c r="D235" s="58"/>
    </row>
    <row r="236">
      <c r="D236" s="58"/>
    </row>
    <row r="237">
      <c r="D237" s="58"/>
    </row>
    <row r="238">
      <c r="D238" s="58"/>
    </row>
    <row r="239">
      <c r="D239" s="58"/>
    </row>
    <row r="240">
      <c r="D240" s="58"/>
    </row>
    <row r="241">
      <c r="D241" s="58"/>
    </row>
    <row r="242">
      <c r="D242" s="58"/>
    </row>
    <row r="243">
      <c r="D243" s="58"/>
    </row>
    <row r="244">
      <c r="D244" s="58"/>
    </row>
    <row r="245">
      <c r="D245" s="58"/>
    </row>
    <row r="246">
      <c r="D246" s="58"/>
    </row>
    <row r="247">
      <c r="D247" s="58"/>
    </row>
    <row r="248">
      <c r="D248" s="58"/>
    </row>
    <row r="249">
      <c r="D249" s="58"/>
    </row>
    <row r="250">
      <c r="D250" s="58"/>
    </row>
    <row r="251">
      <c r="D251" s="58"/>
    </row>
    <row r="252">
      <c r="D252" s="58"/>
    </row>
    <row r="253">
      <c r="D253" s="58"/>
    </row>
    <row r="254">
      <c r="D254" s="58"/>
    </row>
    <row r="255">
      <c r="D255" s="58"/>
    </row>
    <row r="256">
      <c r="D256" s="58"/>
    </row>
    <row r="257">
      <c r="D257" s="58"/>
    </row>
    <row r="258">
      <c r="D258" s="58"/>
    </row>
    <row r="259">
      <c r="D259" s="58"/>
    </row>
    <row r="260">
      <c r="D260" s="58"/>
    </row>
    <row r="261">
      <c r="D261" s="58"/>
    </row>
    <row r="262">
      <c r="D262" s="58"/>
    </row>
    <row r="263">
      <c r="D263" s="58"/>
    </row>
    <row r="264">
      <c r="D264" s="58"/>
    </row>
    <row r="265">
      <c r="D265" s="58"/>
    </row>
    <row r="266">
      <c r="D266" s="58"/>
    </row>
    <row r="267">
      <c r="D267" s="58"/>
    </row>
    <row r="268">
      <c r="D268" s="58"/>
    </row>
    <row r="269">
      <c r="D269" s="58"/>
    </row>
    <row r="270">
      <c r="D270" s="58"/>
    </row>
    <row r="271">
      <c r="D271" s="58"/>
    </row>
    <row r="272">
      <c r="D272" s="58"/>
    </row>
    <row r="273">
      <c r="D273" s="58"/>
    </row>
    <row r="274">
      <c r="D274" s="58"/>
    </row>
    <row r="275">
      <c r="D275" s="58"/>
    </row>
    <row r="276">
      <c r="D276" s="58"/>
    </row>
    <row r="277">
      <c r="D277" s="58"/>
    </row>
    <row r="278">
      <c r="D278" s="58"/>
    </row>
    <row r="279">
      <c r="D279" s="58"/>
    </row>
    <row r="280">
      <c r="D280" s="58"/>
    </row>
    <row r="281">
      <c r="D281" s="58"/>
    </row>
    <row r="282">
      <c r="D282" s="58"/>
    </row>
    <row r="283">
      <c r="D283" s="58"/>
    </row>
    <row r="284">
      <c r="D284" s="58"/>
    </row>
    <row r="285">
      <c r="D285" s="58"/>
    </row>
    <row r="286">
      <c r="D286" s="58"/>
    </row>
    <row r="287">
      <c r="D287" s="58"/>
    </row>
    <row r="288">
      <c r="D288" s="58"/>
    </row>
    <row r="289">
      <c r="D289" s="58"/>
    </row>
    <row r="290">
      <c r="D290" s="58"/>
    </row>
    <row r="291">
      <c r="D291" s="58"/>
    </row>
    <row r="292">
      <c r="D292" s="58"/>
    </row>
    <row r="293">
      <c r="D293" s="58"/>
    </row>
    <row r="294">
      <c r="D294" s="58"/>
    </row>
    <row r="295">
      <c r="D295" s="58"/>
    </row>
    <row r="296">
      <c r="D296" s="58"/>
    </row>
    <row r="297">
      <c r="D297" s="58"/>
    </row>
    <row r="298">
      <c r="D298" s="58"/>
    </row>
    <row r="299">
      <c r="D299" s="58"/>
    </row>
    <row r="300">
      <c r="D300" s="58"/>
    </row>
    <row r="301">
      <c r="D301" s="58"/>
    </row>
    <row r="302">
      <c r="D302" s="58"/>
    </row>
    <row r="303">
      <c r="D303" s="58"/>
    </row>
    <row r="304">
      <c r="D304" s="58"/>
    </row>
    <row r="305">
      <c r="D305" s="58"/>
    </row>
    <row r="306">
      <c r="D306" s="58"/>
    </row>
    <row r="307">
      <c r="D307" s="58"/>
    </row>
    <row r="308">
      <c r="D308" s="58"/>
    </row>
    <row r="309">
      <c r="D309" s="58"/>
    </row>
    <row r="310">
      <c r="D310" s="58"/>
    </row>
    <row r="311">
      <c r="D311" s="58"/>
    </row>
    <row r="312">
      <c r="D312" s="58"/>
    </row>
    <row r="313">
      <c r="D313" s="58"/>
    </row>
    <row r="314">
      <c r="D314" s="58"/>
    </row>
    <row r="315">
      <c r="D315" s="58"/>
    </row>
    <row r="316">
      <c r="D316" s="58"/>
    </row>
    <row r="317">
      <c r="D317" s="58"/>
    </row>
    <row r="318">
      <c r="D318" s="58"/>
    </row>
    <row r="319">
      <c r="D319" s="58"/>
    </row>
    <row r="320">
      <c r="D320" s="58"/>
    </row>
    <row r="321">
      <c r="D321" s="58"/>
    </row>
    <row r="322">
      <c r="D322" s="58"/>
    </row>
    <row r="323">
      <c r="D323" s="58"/>
    </row>
    <row r="324">
      <c r="D324" s="58"/>
    </row>
    <row r="325">
      <c r="D325" s="58"/>
    </row>
    <row r="326">
      <c r="D326" s="58"/>
    </row>
    <row r="327">
      <c r="D327" s="58"/>
    </row>
    <row r="328">
      <c r="D328" s="58"/>
    </row>
    <row r="329">
      <c r="D329" s="58"/>
    </row>
    <row r="330">
      <c r="D330" s="58"/>
    </row>
    <row r="331">
      <c r="D331" s="58"/>
    </row>
    <row r="332">
      <c r="D332" s="58"/>
    </row>
    <row r="333">
      <c r="D333" s="58"/>
    </row>
    <row r="334">
      <c r="D334" s="58"/>
    </row>
    <row r="335">
      <c r="D335" s="58"/>
    </row>
    <row r="336">
      <c r="D336" s="58"/>
    </row>
    <row r="337">
      <c r="D337" s="58"/>
    </row>
    <row r="338">
      <c r="D338" s="58"/>
    </row>
    <row r="339">
      <c r="D339" s="58"/>
    </row>
    <row r="340">
      <c r="D340" s="58"/>
    </row>
    <row r="341">
      <c r="D341" s="58"/>
    </row>
    <row r="342">
      <c r="D342" s="58"/>
    </row>
    <row r="343">
      <c r="D343" s="58"/>
    </row>
    <row r="344">
      <c r="D344" s="58"/>
    </row>
    <row r="345">
      <c r="D345" s="58"/>
    </row>
    <row r="346">
      <c r="D346" s="58"/>
    </row>
    <row r="347">
      <c r="D347" s="58"/>
    </row>
    <row r="348">
      <c r="D348" s="58"/>
    </row>
    <row r="349">
      <c r="D349" s="58"/>
    </row>
    <row r="350">
      <c r="D350" s="58"/>
    </row>
    <row r="351">
      <c r="D351" s="58"/>
    </row>
    <row r="352">
      <c r="D352" s="58"/>
    </row>
    <row r="353">
      <c r="D353" s="58"/>
    </row>
    <row r="354">
      <c r="D354" s="58"/>
    </row>
    <row r="355">
      <c r="D355" s="58"/>
    </row>
    <row r="356">
      <c r="D356" s="58"/>
    </row>
    <row r="357">
      <c r="D357" s="58"/>
    </row>
    <row r="358">
      <c r="D358" s="58"/>
    </row>
    <row r="359">
      <c r="D359" s="58"/>
    </row>
    <row r="360">
      <c r="D360" s="58"/>
    </row>
    <row r="361">
      <c r="D361" s="58"/>
    </row>
    <row r="362">
      <c r="D362" s="58"/>
    </row>
    <row r="363">
      <c r="D363" s="58"/>
    </row>
    <row r="364">
      <c r="D364" s="58"/>
    </row>
    <row r="365">
      <c r="D365" s="58"/>
    </row>
    <row r="366">
      <c r="D366" s="58"/>
    </row>
    <row r="367">
      <c r="D367" s="58"/>
    </row>
    <row r="368">
      <c r="D368" s="58"/>
    </row>
    <row r="369">
      <c r="D369" s="58"/>
    </row>
    <row r="370">
      <c r="D370" s="58"/>
    </row>
    <row r="371">
      <c r="D371" s="58"/>
    </row>
    <row r="372">
      <c r="D372" s="58"/>
    </row>
    <row r="373">
      <c r="D373" s="58"/>
    </row>
    <row r="374">
      <c r="D374" s="58"/>
    </row>
    <row r="375">
      <c r="D375" s="58"/>
    </row>
    <row r="376">
      <c r="D376" s="58"/>
    </row>
    <row r="377">
      <c r="D377" s="58"/>
    </row>
    <row r="378">
      <c r="D378" s="58"/>
    </row>
    <row r="379">
      <c r="D379" s="58"/>
    </row>
    <row r="380">
      <c r="D380" s="58"/>
    </row>
    <row r="381">
      <c r="D381" s="58"/>
    </row>
    <row r="382">
      <c r="D382" s="58"/>
    </row>
    <row r="383">
      <c r="D383" s="58"/>
    </row>
    <row r="384">
      <c r="D384" s="58"/>
    </row>
    <row r="385">
      <c r="D385" s="58"/>
    </row>
    <row r="386">
      <c r="D386" s="58"/>
    </row>
    <row r="387">
      <c r="D387" s="58"/>
    </row>
    <row r="388">
      <c r="D388" s="58"/>
    </row>
    <row r="389">
      <c r="D389" s="58"/>
    </row>
    <row r="390">
      <c r="D390" s="58"/>
    </row>
    <row r="391">
      <c r="D391" s="58"/>
    </row>
    <row r="392">
      <c r="D392" s="58"/>
    </row>
    <row r="393">
      <c r="D393" s="58"/>
    </row>
    <row r="394">
      <c r="D394" s="58"/>
    </row>
    <row r="395">
      <c r="D395" s="58"/>
    </row>
    <row r="396">
      <c r="D396" s="58"/>
    </row>
    <row r="397">
      <c r="D397" s="58"/>
    </row>
    <row r="398">
      <c r="D398" s="58"/>
    </row>
    <row r="399">
      <c r="D399" s="58"/>
    </row>
    <row r="400">
      <c r="D400" s="58"/>
    </row>
    <row r="401">
      <c r="D401" s="58"/>
    </row>
    <row r="402">
      <c r="D402" s="58"/>
    </row>
    <row r="403">
      <c r="D403" s="58"/>
    </row>
    <row r="404">
      <c r="D404" s="58"/>
    </row>
    <row r="405">
      <c r="D405" s="58"/>
    </row>
    <row r="406">
      <c r="D406" s="58"/>
    </row>
    <row r="407">
      <c r="D407" s="58"/>
    </row>
    <row r="408">
      <c r="D408" s="58"/>
    </row>
    <row r="409">
      <c r="D409" s="58"/>
    </row>
    <row r="410">
      <c r="D410" s="58"/>
    </row>
    <row r="411">
      <c r="D411" s="58"/>
    </row>
    <row r="412">
      <c r="D412" s="58"/>
    </row>
    <row r="413">
      <c r="D413" s="58"/>
    </row>
    <row r="414">
      <c r="D414" s="58"/>
    </row>
    <row r="415">
      <c r="D415" s="58"/>
    </row>
    <row r="416">
      <c r="D416" s="58"/>
    </row>
    <row r="417">
      <c r="D417" s="58"/>
    </row>
    <row r="418">
      <c r="D418" s="58"/>
    </row>
    <row r="419">
      <c r="D419" s="58"/>
    </row>
    <row r="420">
      <c r="D420" s="58"/>
    </row>
    <row r="421">
      <c r="D421" s="58"/>
    </row>
    <row r="422">
      <c r="D422" s="58"/>
    </row>
    <row r="423">
      <c r="D423" s="58"/>
    </row>
    <row r="424">
      <c r="D424" s="58"/>
    </row>
    <row r="425">
      <c r="D425" s="58"/>
    </row>
    <row r="426">
      <c r="D426" s="58"/>
    </row>
    <row r="427">
      <c r="D427" s="58"/>
    </row>
    <row r="428">
      <c r="D428" s="58"/>
    </row>
    <row r="429">
      <c r="D429" s="58"/>
    </row>
    <row r="430">
      <c r="D430" s="58"/>
    </row>
    <row r="431">
      <c r="D431" s="58"/>
    </row>
    <row r="432">
      <c r="D432" s="58"/>
    </row>
    <row r="433">
      <c r="D433" s="58"/>
    </row>
    <row r="434">
      <c r="D434" s="58"/>
    </row>
    <row r="435">
      <c r="D435" s="58"/>
    </row>
    <row r="436">
      <c r="D436" s="58"/>
    </row>
    <row r="437">
      <c r="D437" s="58"/>
    </row>
    <row r="438">
      <c r="D438" s="58"/>
    </row>
    <row r="439">
      <c r="D439" s="58"/>
    </row>
    <row r="440">
      <c r="D440" s="58"/>
    </row>
    <row r="441">
      <c r="D441" s="58"/>
    </row>
    <row r="442">
      <c r="D442" s="58"/>
    </row>
    <row r="443">
      <c r="D443" s="58"/>
    </row>
    <row r="444">
      <c r="D444" s="58"/>
    </row>
    <row r="445">
      <c r="D445" s="58"/>
    </row>
    <row r="446">
      <c r="D446" s="58"/>
    </row>
    <row r="447">
      <c r="D447" s="58"/>
    </row>
    <row r="448">
      <c r="D448" s="58"/>
    </row>
    <row r="449">
      <c r="D449" s="58"/>
    </row>
    <row r="450">
      <c r="D450" s="58"/>
    </row>
    <row r="451">
      <c r="D451" s="58"/>
    </row>
    <row r="452">
      <c r="D452" s="58"/>
    </row>
    <row r="453">
      <c r="D453" s="58"/>
    </row>
    <row r="454">
      <c r="D454" s="58"/>
    </row>
    <row r="455">
      <c r="D455" s="58"/>
    </row>
    <row r="456">
      <c r="D456" s="58"/>
    </row>
    <row r="457">
      <c r="D457" s="58"/>
    </row>
    <row r="458">
      <c r="D458" s="58"/>
    </row>
    <row r="459">
      <c r="D459" s="58"/>
    </row>
    <row r="460">
      <c r="D460" s="58"/>
    </row>
    <row r="461">
      <c r="D461" s="58"/>
    </row>
    <row r="462">
      <c r="D462" s="58"/>
    </row>
    <row r="463">
      <c r="D463" s="58"/>
    </row>
    <row r="464">
      <c r="D464" s="58"/>
    </row>
    <row r="465">
      <c r="D465" s="58"/>
    </row>
    <row r="466">
      <c r="D466" s="58"/>
    </row>
    <row r="467">
      <c r="D467" s="58"/>
    </row>
    <row r="468">
      <c r="D468" s="58"/>
    </row>
    <row r="469">
      <c r="D469" s="58"/>
    </row>
    <row r="470">
      <c r="D470" s="58"/>
    </row>
    <row r="471">
      <c r="D471" s="58"/>
    </row>
    <row r="472">
      <c r="D472" s="58"/>
    </row>
    <row r="473">
      <c r="D473" s="58"/>
    </row>
    <row r="474">
      <c r="D474" s="58"/>
    </row>
    <row r="475">
      <c r="D475" s="58"/>
    </row>
    <row r="476">
      <c r="D476" s="58"/>
    </row>
    <row r="477">
      <c r="D477" s="58"/>
    </row>
    <row r="478">
      <c r="D478" s="58"/>
    </row>
    <row r="479">
      <c r="D479" s="58"/>
    </row>
    <row r="480">
      <c r="D480" s="58"/>
    </row>
    <row r="481">
      <c r="D481" s="58"/>
    </row>
    <row r="482">
      <c r="D482" s="58"/>
    </row>
    <row r="483">
      <c r="D483" s="58"/>
    </row>
    <row r="484">
      <c r="D484" s="58"/>
    </row>
    <row r="485">
      <c r="D485" s="58"/>
    </row>
    <row r="486">
      <c r="D486" s="58"/>
    </row>
    <row r="487">
      <c r="D487" s="58"/>
    </row>
    <row r="488">
      <c r="D488" s="58"/>
    </row>
    <row r="489">
      <c r="D489" s="58"/>
    </row>
    <row r="490">
      <c r="D490" s="58"/>
    </row>
    <row r="491">
      <c r="D491" s="58"/>
    </row>
    <row r="492">
      <c r="D492" s="58"/>
    </row>
    <row r="493">
      <c r="D493" s="58"/>
    </row>
    <row r="494">
      <c r="D494" s="58"/>
    </row>
    <row r="495">
      <c r="D495" s="58"/>
    </row>
    <row r="496">
      <c r="D496" s="58"/>
    </row>
    <row r="497">
      <c r="D497" s="58"/>
    </row>
    <row r="498">
      <c r="D498" s="58"/>
    </row>
    <row r="499">
      <c r="D499" s="58"/>
    </row>
    <row r="500">
      <c r="D500" s="58"/>
    </row>
    <row r="501">
      <c r="D501" s="58"/>
    </row>
    <row r="502">
      <c r="D502" s="58"/>
    </row>
    <row r="503">
      <c r="D503" s="58"/>
    </row>
    <row r="504">
      <c r="D504" s="58"/>
    </row>
    <row r="505">
      <c r="D505" s="58"/>
    </row>
    <row r="506">
      <c r="D506" s="58"/>
    </row>
    <row r="507">
      <c r="D507" s="58"/>
    </row>
    <row r="508">
      <c r="D508" s="58"/>
    </row>
    <row r="509">
      <c r="D509" s="58"/>
    </row>
    <row r="510">
      <c r="D510" s="58"/>
    </row>
    <row r="511">
      <c r="D511" s="58"/>
    </row>
    <row r="512">
      <c r="D512" s="58"/>
    </row>
    <row r="513">
      <c r="D513" s="58"/>
    </row>
    <row r="514">
      <c r="D514" s="58"/>
    </row>
    <row r="515">
      <c r="D515" s="58"/>
    </row>
    <row r="516">
      <c r="D516" s="58"/>
    </row>
    <row r="517">
      <c r="D517" s="58"/>
    </row>
    <row r="518">
      <c r="D518" s="58"/>
    </row>
    <row r="519">
      <c r="D519" s="58"/>
    </row>
    <row r="520">
      <c r="D520" s="58"/>
    </row>
    <row r="521">
      <c r="D521" s="58"/>
    </row>
    <row r="522">
      <c r="D522" s="58"/>
    </row>
    <row r="523">
      <c r="D523" s="58"/>
    </row>
    <row r="524">
      <c r="D524" s="58"/>
    </row>
    <row r="525">
      <c r="D525" s="58"/>
    </row>
    <row r="526">
      <c r="D526" s="58"/>
    </row>
    <row r="527">
      <c r="D527" s="58"/>
    </row>
    <row r="528">
      <c r="D528" s="58"/>
    </row>
    <row r="529">
      <c r="D529" s="58"/>
    </row>
    <row r="530">
      <c r="D530" s="58"/>
    </row>
    <row r="531">
      <c r="D531" s="58"/>
    </row>
    <row r="532">
      <c r="D532" s="58"/>
    </row>
    <row r="533">
      <c r="D533" s="58"/>
    </row>
    <row r="534">
      <c r="D534" s="58"/>
    </row>
    <row r="535">
      <c r="D535" s="58"/>
    </row>
    <row r="536">
      <c r="D536" s="58"/>
    </row>
    <row r="537">
      <c r="D537" s="58"/>
    </row>
    <row r="538">
      <c r="D538" s="58"/>
    </row>
    <row r="539">
      <c r="D539" s="58"/>
    </row>
    <row r="540">
      <c r="D540" s="58"/>
    </row>
    <row r="541">
      <c r="D541" s="58"/>
    </row>
    <row r="542">
      <c r="D542" s="58"/>
    </row>
    <row r="543">
      <c r="D543" s="58"/>
    </row>
    <row r="544">
      <c r="D544" s="58"/>
    </row>
    <row r="545">
      <c r="D545" s="58"/>
    </row>
    <row r="546">
      <c r="D546" s="58"/>
    </row>
    <row r="547">
      <c r="D547" s="58"/>
    </row>
    <row r="548">
      <c r="D548" s="58"/>
    </row>
    <row r="549">
      <c r="D549" s="58"/>
    </row>
    <row r="550">
      <c r="D550" s="58"/>
    </row>
    <row r="551">
      <c r="D551" s="58"/>
    </row>
    <row r="552">
      <c r="D552" s="58"/>
    </row>
    <row r="553">
      <c r="D553" s="58"/>
    </row>
    <row r="554">
      <c r="D554" s="58"/>
    </row>
    <row r="555">
      <c r="D555" s="58"/>
    </row>
    <row r="556">
      <c r="D556" s="58"/>
    </row>
    <row r="557">
      <c r="D557" s="58"/>
    </row>
    <row r="558">
      <c r="D558" s="58"/>
    </row>
    <row r="559">
      <c r="D559" s="58"/>
    </row>
    <row r="560">
      <c r="D560" s="58"/>
    </row>
    <row r="561">
      <c r="D561" s="58"/>
    </row>
    <row r="562">
      <c r="D562" s="58"/>
    </row>
    <row r="563">
      <c r="D563" s="58"/>
    </row>
    <row r="564">
      <c r="D564" s="58"/>
    </row>
    <row r="565">
      <c r="D565" s="58"/>
    </row>
    <row r="566">
      <c r="D566" s="58"/>
    </row>
    <row r="567">
      <c r="D567" s="58"/>
    </row>
    <row r="568">
      <c r="D568" s="58"/>
    </row>
    <row r="569">
      <c r="D569" s="58"/>
    </row>
    <row r="570">
      <c r="D570" s="58"/>
    </row>
    <row r="571">
      <c r="D571" s="58"/>
    </row>
    <row r="572">
      <c r="D572" s="58"/>
    </row>
    <row r="573">
      <c r="D573" s="58"/>
    </row>
    <row r="574">
      <c r="D574" s="58"/>
    </row>
    <row r="575">
      <c r="D575" s="58"/>
    </row>
    <row r="576">
      <c r="D576" s="58"/>
    </row>
    <row r="577">
      <c r="D577" s="58"/>
    </row>
    <row r="578">
      <c r="D578" s="58"/>
    </row>
    <row r="579">
      <c r="D579" s="58"/>
    </row>
    <row r="580">
      <c r="D580" s="58"/>
    </row>
    <row r="581">
      <c r="D581" s="58"/>
    </row>
    <row r="582">
      <c r="D582" s="58"/>
    </row>
    <row r="583">
      <c r="D583" s="58"/>
    </row>
    <row r="584">
      <c r="D584" s="58"/>
    </row>
    <row r="585">
      <c r="D585" s="58"/>
    </row>
    <row r="586">
      <c r="D586" s="58"/>
    </row>
    <row r="587">
      <c r="D587" s="58"/>
    </row>
    <row r="588">
      <c r="D588" s="58"/>
    </row>
    <row r="589">
      <c r="D589" s="58"/>
    </row>
    <row r="590">
      <c r="D590" s="58"/>
    </row>
    <row r="591">
      <c r="D591" s="58"/>
    </row>
    <row r="592">
      <c r="D592" s="58"/>
    </row>
    <row r="593">
      <c r="D593" s="58"/>
    </row>
    <row r="594">
      <c r="D594" s="58"/>
    </row>
    <row r="595">
      <c r="D595" s="58"/>
    </row>
    <row r="596">
      <c r="D596" s="58"/>
    </row>
    <row r="597">
      <c r="D597" s="58"/>
    </row>
    <row r="598">
      <c r="D598" s="58"/>
    </row>
    <row r="599">
      <c r="D599" s="58"/>
    </row>
    <row r="600">
      <c r="D600" s="58"/>
    </row>
    <row r="601">
      <c r="D601" s="58"/>
    </row>
    <row r="602">
      <c r="D602" s="58"/>
    </row>
    <row r="603">
      <c r="D603" s="58"/>
    </row>
    <row r="604">
      <c r="D604" s="58"/>
    </row>
    <row r="605">
      <c r="D605" s="58"/>
    </row>
    <row r="606">
      <c r="D606" s="58"/>
    </row>
    <row r="607">
      <c r="D607" s="58"/>
    </row>
    <row r="608">
      <c r="D608" s="58"/>
    </row>
    <row r="609">
      <c r="D609" s="58"/>
    </row>
    <row r="610">
      <c r="D610" s="58"/>
    </row>
    <row r="611">
      <c r="D611" s="58"/>
    </row>
    <row r="612">
      <c r="D612" s="58"/>
    </row>
    <row r="613">
      <c r="D613" s="58"/>
    </row>
    <row r="614">
      <c r="D614" s="58"/>
    </row>
    <row r="615">
      <c r="D615" s="58"/>
    </row>
    <row r="616">
      <c r="D616" s="58"/>
    </row>
    <row r="617">
      <c r="D617" s="58"/>
    </row>
    <row r="618">
      <c r="D618" s="58"/>
    </row>
    <row r="619">
      <c r="D619" s="58"/>
    </row>
    <row r="620">
      <c r="D620" s="58"/>
    </row>
    <row r="621">
      <c r="D621" s="58"/>
    </row>
    <row r="622">
      <c r="D622" s="58"/>
    </row>
    <row r="623">
      <c r="D623" s="58"/>
    </row>
    <row r="624">
      <c r="D624" s="58"/>
    </row>
    <row r="625">
      <c r="D625" s="58"/>
    </row>
    <row r="626">
      <c r="D626" s="58"/>
    </row>
    <row r="627">
      <c r="D627" s="58"/>
    </row>
    <row r="628">
      <c r="D628" s="58"/>
    </row>
    <row r="629">
      <c r="D629" s="58"/>
    </row>
    <row r="630">
      <c r="D630" s="58"/>
    </row>
    <row r="631">
      <c r="D631" s="58"/>
    </row>
    <row r="632">
      <c r="D632" s="58"/>
    </row>
    <row r="633">
      <c r="D633" s="58"/>
    </row>
    <row r="634">
      <c r="D634" s="58"/>
    </row>
    <row r="635">
      <c r="D635" s="58"/>
    </row>
    <row r="636">
      <c r="D636" s="58"/>
    </row>
    <row r="637">
      <c r="D637" s="58"/>
    </row>
    <row r="638">
      <c r="D638" s="58"/>
    </row>
    <row r="639">
      <c r="D639" s="58"/>
    </row>
    <row r="640">
      <c r="D640" s="58"/>
    </row>
    <row r="641">
      <c r="D641" s="58"/>
    </row>
    <row r="642">
      <c r="D642" s="58"/>
    </row>
    <row r="643">
      <c r="D643" s="58"/>
    </row>
    <row r="644">
      <c r="D644" s="58"/>
    </row>
    <row r="645">
      <c r="D645" s="58"/>
    </row>
    <row r="646">
      <c r="D646" s="58"/>
    </row>
    <row r="647">
      <c r="D647" s="58"/>
    </row>
    <row r="648">
      <c r="D648" s="58"/>
    </row>
    <row r="649">
      <c r="D649" s="58"/>
    </row>
    <row r="650">
      <c r="D650" s="58"/>
    </row>
    <row r="651">
      <c r="D651" s="58"/>
    </row>
    <row r="652">
      <c r="D652" s="58"/>
    </row>
    <row r="653">
      <c r="D653" s="58"/>
    </row>
    <row r="654">
      <c r="D654" s="58"/>
    </row>
    <row r="655">
      <c r="D655" s="58"/>
    </row>
    <row r="656">
      <c r="D656" s="58"/>
    </row>
    <row r="657">
      <c r="D657" s="58"/>
    </row>
    <row r="658">
      <c r="D658" s="58"/>
    </row>
    <row r="659">
      <c r="D659" s="58"/>
    </row>
    <row r="660">
      <c r="D660" s="58"/>
    </row>
    <row r="661">
      <c r="D661" s="58"/>
    </row>
    <row r="662">
      <c r="D662" s="58"/>
    </row>
    <row r="663">
      <c r="D663" s="58"/>
    </row>
    <row r="664">
      <c r="D664" s="58"/>
    </row>
    <row r="665">
      <c r="D665" s="58"/>
    </row>
    <row r="666">
      <c r="D666" s="58"/>
    </row>
    <row r="667">
      <c r="D667" s="58"/>
    </row>
    <row r="668">
      <c r="D668" s="58"/>
    </row>
    <row r="669">
      <c r="D669" s="58"/>
    </row>
    <row r="670">
      <c r="D670" s="58"/>
    </row>
    <row r="671">
      <c r="D671" s="58"/>
    </row>
    <row r="672">
      <c r="D672" s="58"/>
    </row>
    <row r="673">
      <c r="D673" s="58"/>
    </row>
    <row r="674">
      <c r="D674" s="58"/>
    </row>
    <row r="675">
      <c r="D675" s="58"/>
    </row>
    <row r="676">
      <c r="D676" s="58"/>
    </row>
    <row r="677">
      <c r="D677" s="58"/>
    </row>
    <row r="678">
      <c r="D678" s="58"/>
    </row>
    <row r="679">
      <c r="D679" s="58"/>
    </row>
    <row r="680">
      <c r="D680" s="58"/>
    </row>
    <row r="681">
      <c r="D681" s="58"/>
    </row>
    <row r="682">
      <c r="D682" s="58"/>
    </row>
    <row r="683">
      <c r="D683" s="58"/>
    </row>
    <row r="684">
      <c r="D684" s="58"/>
    </row>
    <row r="685">
      <c r="D685" s="58"/>
    </row>
    <row r="686">
      <c r="D686" s="58"/>
    </row>
    <row r="687">
      <c r="D687" s="58"/>
    </row>
    <row r="688">
      <c r="D688" s="58"/>
    </row>
    <row r="689">
      <c r="D689" s="58"/>
    </row>
    <row r="690">
      <c r="D690" s="58"/>
    </row>
    <row r="691">
      <c r="D691" s="58"/>
    </row>
    <row r="692">
      <c r="D692" s="58"/>
    </row>
    <row r="693">
      <c r="D693" s="58"/>
    </row>
    <row r="694">
      <c r="D694" s="58"/>
    </row>
    <row r="695">
      <c r="D695" s="58"/>
    </row>
    <row r="696">
      <c r="D696" s="58"/>
    </row>
    <row r="697">
      <c r="D697" s="58"/>
    </row>
    <row r="698">
      <c r="D698" s="58"/>
    </row>
    <row r="699">
      <c r="D699" s="58"/>
    </row>
    <row r="700">
      <c r="D700" s="58"/>
    </row>
    <row r="701">
      <c r="D701" s="58"/>
    </row>
    <row r="702">
      <c r="D702" s="58"/>
    </row>
    <row r="703">
      <c r="D703" s="58"/>
    </row>
    <row r="704">
      <c r="D704" s="58"/>
    </row>
    <row r="705">
      <c r="D705" s="58"/>
    </row>
    <row r="706">
      <c r="D706" s="58"/>
    </row>
    <row r="707">
      <c r="D707" s="58"/>
    </row>
    <row r="708">
      <c r="D708" s="58"/>
    </row>
    <row r="709">
      <c r="D709" s="58"/>
    </row>
    <row r="710">
      <c r="D710" s="58"/>
    </row>
    <row r="711">
      <c r="D711" s="58"/>
    </row>
    <row r="712">
      <c r="D712" s="58"/>
    </row>
    <row r="713">
      <c r="D713" s="58"/>
    </row>
    <row r="714">
      <c r="D714" s="58"/>
    </row>
    <row r="715">
      <c r="D715" s="58"/>
    </row>
    <row r="716">
      <c r="D716" s="58"/>
    </row>
    <row r="717">
      <c r="D717" s="58"/>
    </row>
    <row r="718">
      <c r="D718" s="58"/>
    </row>
    <row r="719">
      <c r="D719" s="58"/>
    </row>
    <row r="720">
      <c r="D720" s="58"/>
    </row>
    <row r="721">
      <c r="D721" s="58"/>
    </row>
    <row r="722">
      <c r="D722" s="58"/>
    </row>
    <row r="723">
      <c r="D723" s="58"/>
    </row>
    <row r="724">
      <c r="D724" s="58"/>
    </row>
    <row r="725">
      <c r="D725" s="58"/>
    </row>
    <row r="726">
      <c r="D726" s="58"/>
    </row>
    <row r="727">
      <c r="D727" s="58"/>
    </row>
    <row r="728">
      <c r="D728" s="58"/>
    </row>
    <row r="729">
      <c r="D729" s="58"/>
    </row>
    <row r="730">
      <c r="D730" s="58"/>
    </row>
    <row r="731">
      <c r="D731" s="58"/>
    </row>
    <row r="732">
      <c r="D732" s="58"/>
    </row>
    <row r="733">
      <c r="D733" s="58"/>
    </row>
    <row r="734">
      <c r="D734" s="58"/>
    </row>
    <row r="735">
      <c r="D735" s="58"/>
    </row>
    <row r="736">
      <c r="D736" s="58"/>
    </row>
    <row r="737">
      <c r="D737" s="58"/>
    </row>
    <row r="738">
      <c r="D738" s="58"/>
    </row>
    <row r="739">
      <c r="D739" s="58"/>
    </row>
    <row r="740">
      <c r="D740" s="58"/>
    </row>
    <row r="741">
      <c r="D741" s="58"/>
    </row>
    <row r="742">
      <c r="D742" s="58"/>
    </row>
    <row r="743">
      <c r="D743" s="58"/>
    </row>
    <row r="744">
      <c r="D744" s="58"/>
    </row>
    <row r="745">
      <c r="D745" s="58"/>
    </row>
    <row r="746">
      <c r="D746" s="58"/>
    </row>
    <row r="747">
      <c r="D747" s="58"/>
    </row>
    <row r="748">
      <c r="D748" s="58"/>
    </row>
    <row r="749">
      <c r="D749" s="58"/>
    </row>
    <row r="750">
      <c r="D750" s="58"/>
    </row>
    <row r="751">
      <c r="D751" s="58"/>
    </row>
    <row r="752">
      <c r="D752" s="58"/>
    </row>
    <row r="753">
      <c r="D753" s="58"/>
    </row>
    <row r="754">
      <c r="D754" s="58"/>
    </row>
    <row r="755">
      <c r="D755" s="58"/>
    </row>
    <row r="756">
      <c r="D756" s="58"/>
    </row>
    <row r="757">
      <c r="D757" s="58"/>
    </row>
    <row r="758">
      <c r="D758" s="58"/>
    </row>
    <row r="759">
      <c r="D759" s="58"/>
    </row>
    <row r="760">
      <c r="D760" s="58"/>
    </row>
    <row r="761">
      <c r="D761" s="58"/>
    </row>
    <row r="762">
      <c r="D762" s="58"/>
    </row>
    <row r="763">
      <c r="D763" s="58"/>
    </row>
    <row r="764">
      <c r="D764" s="58"/>
    </row>
    <row r="765">
      <c r="D765" s="58"/>
    </row>
    <row r="766">
      <c r="D766" s="58"/>
    </row>
    <row r="767">
      <c r="D767" s="58"/>
    </row>
    <row r="768">
      <c r="D768" s="58"/>
    </row>
    <row r="769">
      <c r="D769" s="58"/>
    </row>
    <row r="770">
      <c r="D770" s="58"/>
    </row>
    <row r="771">
      <c r="D771" s="58"/>
    </row>
    <row r="772">
      <c r="D772" s="58"/>
    </row>
    <row r="773">
      <c r="D773" s="58"/>
    </row>
    <row r="774">
      <c r="D774" s="58"/>
    </row>
    <row r="775">
      <c r="D775" s="58"/>
    </row>
    <row r="776">
      <c r="D776" s="58"/>
    </row>
    <row r="777">
      <c r="D777" s="58"/>
    </row>
    <row r="778">
      <c r="D778" s="58"/>
    </row>
    <row r="779">
      <c r="D779" s="58"/>
    </row>
    <row r="780">
      <c r="D780" s="58"/>
    </row>
    <row r="781">
      <c r="D781" s="58"/>
    </row>
    <row r="782">
      <c r="D782" s="58"/>
    </row>
    <row r="783">
      <c r="D783" s="58"/>
    </row>
    <row r="784">
      <c r="D784" s="58"/>
    </row>
    <row r="785">
      <c r="D785" s="58"/>
    </row>
    <row r="786">
      <c r="D786" s="58"/>
    </row>
    <row r="787">
      <c r="D787" s="58"/>
    </row>
    <row r="788">
      <c r="D788" s="58"/>
    </row>
    <row r="789">
      <c r="D789" s="58"/>
    </row>
    <row r="790">
      <c r="D790" s="58"/>
    </row>
    <row r="791">
      <c r="D791" s="58"/>
    </row>
    <row r="792">
      <c r="D792" s="58"/>
    </row>
    <row r="793">
      <c r="D793" s="58"/>
    </row>
    <row r="794">
      <c r="D794" s="58"/>
    </row>
    <row r="795">
      <c r="D795" s="58"/>
    </row>
    <row r="796">
      <c r="D796" s="58"/>
    </row>
    <row r="797">
      <c r="D797" s="58"/>
    </row>
    <row r="798">
      <c r="D798" s="58"/>
    </row>
    <row r="799">
      <c r="D799" s="58"/>
    </row>
    <row r="800">
      <c r="D800" s="58"/>
    </row>
    <row r="801">
      <c r="D801" s="58"/>
    </row>
    <row r="802">
      <c r="D802" s="58"/>
    </row>
    <row r="803">
      <c r="D803" s="58"/>
    </row>
    <row r="804">
      <c r="D804" s="58"/>
    </row>
    <row r="805">
      <c r="D805" s="58"/>
    </row>
    <row r="806">
      <c r="D806" s="58"/>
    </row>
    <row r="807">
      <c r="D807" s="58"/>
    </row>
    <row r="808">
      <c r="D808" s="58"/>
    </row>
    <row r="809">
      <c r="D809" s="58"/>
    </row>
    <row r="810">
      <c r="D810" s="58"/>
    </row>
    <row r="811">
      <c r="D811" s="58"/>
    </row>
    <row r="812">
      <c r="D812" s="58"/>
    </row>
    <row r="813">
      <c r="D813" s="58"/>
    </row>
    <row r="814">
      <c r="D814" s="58"/>
    </row>
    <row r="815">
      <c r="D815" s="58"/>
    </row>
    <row r="816">
      <c r="D816" s="58"/>
    </row>
    <row r="817">
      <c r="D817" s="58"/>
    </row>
    <row r="818">
      <c r="D818" s="58"/>
    </row>
    <row r="819">
      <c r="D819" s="58"/>
    </row>
    <row r="820">
      <c r="D820" s="58"/>
    </row>
    <row r="821">
      <c r="D821" s="58"/>
    </row>
    <row r="822">
      <c r="D822" s="58"/>
    </row>
    <row r="823">
      <c r="D823" s="58"/>
    </row>
    <row r="824">
      <c r="D824" s="58"/>
    </row>
    <row r="825">
      <c r="D825" s="58"/>
    </row>
    <row r="826">
      <c r="D826" s="58"/>
    </row>
    <row r="827">
      <c r="D827" s="58"/>
    </row>
    <row r="828">
      <c r="D828" s="58"/>
    </row>
    <row r="829">
      <c r="D829" s="58"/>
    </row>
    <row r="830">
      <c r="D830" s="58"/>
    </row>
    <row r="831">
      <c r="D831" s="58"/>
    </row>
    <row r="832">
      <c r="D832" s="58"/>
    </row>
    <row r="833">
      <c r="D833" s="58"/>
    </row>
    <row r="834">
      <c r="D834" s="58"/>
    </row>
    <row r="835">
      <c r="D835" s="58"/>
    </row>
    <row r="836">
      <c r="D836" s="58"/>
    </row>
    <row r="837">
      <c r="D837" s="58"/>
    </row>
    <row r="838">
      <c r="D838" s="58"/>
    </row>
    <row r="839">
      <c r="D839" s="58"/>
    </row>
    <row r="840">
      <c r="D840" s="58"/>
    </row>
    <row r="841">
      <c r="D841" s="58"/>
    </row>
    <row r="842">
      <c r="D842" s="58"/>
    </row>
    <row r="843">
      <c r="D843" s="58"/>
    </row>
    <row r="844">
      <c r="D844" s="58"/>
    </row>
    <row r="845">
      <c r="D845" s="58"/>
    </row>
    <row r="846">
      <c r="D846" s="58"/>
    </row>
    <row r="847">
      <c r="D847" s="58"/>
    </row>
    <row r="848">
      <c r="D848" s="58"/>
    </row>
    <row r="849">
      <c r="D849" s="58"/>
    </row>
    <row r="850">
      <c r="D850" s="58"/>
    </row>
    <row r="851">
      <c r="D851" s="58"/>
    </row>
    <row r="852">
      <c r="D852" s="58"/>
    </row>
    <row r="853">
      <c r="D853" s="58"/>
    </row>
    <row r="854">
      <c r="D854" s="58"/>
    </row>
    <row r="855">
      <c r="D855" s="58"/>
    </row>
    <row r="856">
      <c r="D856" s="58"/>
    </row>
    <row r="857">
      <c r="D857" s="58"/>
    </row>
    <row r="858">
      <c r="D858" s="58"/>
    </row>
    <row r="859">
      <c r="D859" s="58"/>
    </row>
    <row r="860">
      <c r="D860" s="58"/>
    </row>
    <row r="861">
      <c r="D861" s="58"/>
    </row>
    <row r="862">
      <c r="D862" s="58"/>
    </row>
    <row r="863">
      <c r="D863" s="58"/>
    </row>
    <row r="864">
      <c r="D864" s="58"/>
    </row>
    <row r="865">
      <c r="D865" s="58"/>
    </row>
    <row r="866">
      <c r="D866" s="58"/>
    </row>
    <row r="867">
      <c r="D867" s="58"/>
    </row>
    <row r="868">
      <c r="D868" s="58"/>
    </row>
    <row r="869">
      <c r="D869" s="58"/>
    </row>
    <row r="870">
      <c r="D870" s="58"/>
    </row>
    <row r="871">
      <c r="D871" s="58"/>
    </row>
    <row r="872">
      <c r="D872" s="58"/>
    </row>
    <row r="873">
      <c r="D873" s="58"/>
    </row>
    <row r="874">
      <c r="D874" s="58"/>
    </row>
    <row r="875">
      <c r="D875" s="58"/>
    </row>
    <row r="876">
      <c r="D876" s="58"/>
    </row>
    <row r="877">
      <c r="D877" s="58"/>
    </row>
    <row r="878">
      <c r="D878" s="58"/>
    </row>
    <row r="879">
      <c r="D879" s="58"/>
    </row>
    <row r="880">
      <c r="D880" s="58"/>
    </row>
    <row r="881">
      <c r="D881" s="58"/>
    </row>
    <row r="882">
      <c r="D882" s="58"/>
    </row>
    <row r="883">
      <c r="D883" s="58"/>
    </row>
    <row r="884">
      <c r="D884" s="58"/>
    </row>
    <row r="885">
      <c r="D885" s="58"/>
    </row>
    <row r="886">
      <c r="D886" s="58"/>
    </row>
    <row r="887">
      <c r="D887" s="58"/>
    </row>
    <row r="888">
      <c r="D888" s="58"/>
    </row>
    <row r="889">
      <c r="D889" s="58"/>
    </row>
    <row r="890">
      <c r="D890" s="58"/>
    </row>
    <row r="891">
      <c r="D891" s="58"/>
    </row>
    <row r="892">
      <c r="D892" s="58"/>
    </row>
    <row r="893">
      <c r="D893" s="58"/>
    </row>
    <row r="894">
      <c r="D894" s="58"/>
    </row>
    <row r="895">
      <c r="D895" s="58"/>
    </row>
    <row r="896">
      <c r="D896" s="58"/>
    </row>
    <row r="897">
      <c r="D897" s="58"/>
    </row>
    <row r="898">
      <c r="D898" s="58"/>
    </row>
    <row r="899">
      <c r="D899" s="58"/>
    </row>
    <row r="900">
      <c r="D900" s="58"/>
    </row>
    <row r="901">
      <c r="D901" s="58"/>
    </row>
    <row r="902">
      <c r="D902" s="58"/>
    </row>
    <row r="903">
      <c r="D903" s="58"/>
    </row>
    <row r="904">
      <c r="D904" s="58"/>
    </row>
    <row r="905">
      <c r="D905" s="58"/>
    </row>
    <row r="906">
      <c r="D906" s="58"/>
    </row>
    <row r="907">
      <c r="D907" s="58"/>
    </row>
    <row r="908">
      <c r="D908" s="58"/>
    </row>
    <row r="909">
      <c r="D909" s="58"/>
    </row>
    <row r="910">
      <c r="D910" s="58"/>
    </row>
    <row r="911">
      <c r="D911" s="58"/>
    </row>
    <row r="912">
      <c r="D912" s="58"/>
    </row>
    <row r="913">
      <c r="D913" s="58"/>
    </row>
    <row r="914">
      <c r="D914" s="58"/>
    </row>
    <row r="915">
      <c r="D915" s="58"/>
    </row>
    <row r="916">
      <c r="D916" s="58"/>
    </row>
    <row r="917">
      <c r="D917" s="58"/>
    </row>
    <row r="918">
      <c r="D918" s="58"/>
    </row>
    <row r="919">
      <c r="D919" s="58"/>
    </row>
    <row r="920">
      <c r="D920" s="58"/>
    </row>
    <row r="921">
      <c r="D921" s="58"/>
    </row>
    <row r="922">
      <c r="D922" s="58"/>
    </row>
    <row r="923">
      <c r="D923" s="58"/>
    </row>
    <row r="924">
      <c r="D924" s="58"/>
    </row>
    <row r="925">
      <c r="D925" s="58"/>
    </row>
    <row r="926">
      <c r="D926" s="58"/>
    </row>
    <row r="927">
      <c r="D927" s="58"/>
    </row>
    <row r="928">
      <c r="D928" s="58"/>
    </row>
    <row r="929">
      <c r="D929" s="58"/>
    </row>
    <row r="930">
      <c r="D930" s="58"/>
    </row>
    <row r="931">
      <c r="D931" s="58"/>
    </row>
    <row r="932">
      <c r="D932" s="58"/>
    </row>
    <row r="933">
      <c r="D933" s="58"/>
    </row>
    <row r="934">
      <c r="D934" s="58"/>
    </row>
    <row r="935">
      <c r="D935" s="58"/>
    </row>
    <row r="936">
      <c r="D936" s="58"/>
    </row>
    <row r="937">
      <c r="D937" s="58"/>
    </row>
    <row r="938">
      <c r="D938" s="58"/>
    </row>
    <row r="939">
      <c r="D939" s="58"/>
    </row>
    <row r="940">
      <c r="D940" s="58"/>
    </row>
    <row r="941">
      <c r="D941" s="58"/>
    </row>
    <row r="942">
      <c r="D942" s="58"/>
    </row>
    <row r="943">
      <c r="D943" s="58"/>
    </row>
    <row r="944">
      <c r="D944" s="58"/>
    </row>
    <row r="945">
      <c r="D945" s="58"/>
    </row>
    <row r="946">
      <c r="D946" s="58"/>
    </row>
    <row r="947">
      <c r="D947" s="58"/>
    </row>
    <row r="948">
      <c r="D948" s="58"/>
    </row>
    <row r="949">
      <c r="D949" s="58"/>
    </row>
    <row r="950">
      <c r="D950" s="58"/>
    </row>
    <row r="951">
      <c r="D951" s="58"/>
    </row>
    <row r="952">
      <c r="D952" s="58"/>
    </row>
    <row r="953">
      <c r="D953" s="58"/>
    </row>
    <row r="954">
      <c r="D954" s="58"/>
    </row>
    <row r="955">
      <c r="D955" s="58"/>
    </row>
    <row r="956">
      <c r="D956" s="58"/>
    </row>
    <row r="957">
      <c r="D957" s="58"/>
    </row>
    <row r="958">
      <c r="D958" s="58"/>
    </row>
    <row r="959">
      <c r="D959" s="58"/>
    </row>
    <row r="960">
      <c r="D960" s="58"/>
    </row>
    <row r="961">
      <c r="D961" s="58"/>
    </row>
    <row r="962">
      <c r="D962" s="58"/>
    </row>
    <row r="963">
      <c r="D963" s="58"/>
    </row>
    <row r="964">
      <c r="D964" s="58"/>
    </row>
    <row r="965">
      <c r="D965" s="58"/>
    </row>
    <row r="966">
      <c r="D966" s="58"/>
    </row>
    <row r="967">
      <c r="D967" s="58"/>
    </row>
    <row r="968">
      <c r="D968" s="58"/>
    </row>
    <row r="969">
      <c r="D969" s="58"/>
    </row>
    <row r="970">
      <c r="D970" s="58"/>
    </row>
    <row r="971">
      <c r="D971" s="58"/>
    </row>
    <row r="972">
      <c r="D972" s="58"/>
    </row>
    <row r="973">
      <c r="D973" s="58"/>
    </row>
    <row r="974">
      <c r="D974" s="58"/>
    </row>
    <row r="975">
      <c r="D975" s="58"/>
    </row>
    <row r="976">
      <c r="D976" s="58"/>
    </row>
    <row r="977">
      <c r="D977" s="58"/>
    </row>
    <row r="978">
      <c r="D978" s="58"/>
    </row>
    <row r="979">
      <c r="D979" s="58"/>
    </row>
    <row r="980">
      <c r="D980" s="58"/>
    </row>
    <row r="981">
      <c r="D981" s="58"/>
    </row>
    <row r="982">
      <c r="D982" s="58"/>
    </row>
    <row r="983">
      <c r="D983" s="58"/>
    </row>
    <row r="984">
      <c r="D984" s="58"/>
    </row>
    <row r="985">
      <c r="D985" s="58"/>
    </row>
    <row r="986">
      <c r="D986" s="58"/>
    </row>
    <row r="987">
      <c r="D987" s="58"/>
    </row>
    <row r="988">
      <c r="D988" s="58"/>
    </row>
    <row r="989">
      <c r="D989" s="58"/>
    </row>
    <row r="990">
      <c r="D990" s="58"/>
    </row>
    <row r="991">
      <c r="D991" s="58"/>
    </row>
    <row r="992">
      <c r="D992" s="58"/>
    </row>
    <row r="993">
      <c r="D993" s="58"/>
    </row>
    <row r="994">
      <c r="D994" s="58"/>
    </row>
    <row r="995">
      <c r="D995" s="58"/>
    </row>
    <row r="996">
      <c r="D996" s="58"/>
    </row>
    <row r="997">
      <c r="D997" s="58"/>
    </row>
    <row r="998">
      <c r="D998" s="58"/>
    </row>
    <row r="999">
      <c r="D999" s="58"/>
    </row>
    <row r="1000">
      <c r="D1000" s="5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22</v>
      </c>
      <c r="I1" s="61">
        <f>countifs(B:B,"&lt;&gt;",F:F,"&lt;&gt;")-1</f>
        <v>1</v>
      </c>
      <c r="K1" s="6" t="s">
        <v>23</v>
      </c>
      <c r="L1" s="6" t="s">
        <v>24</v>
      </c>
      <c r="M1" s="6" t="s">
        <v>14</v>
      </c>
    </row>
    <row r="2">
      <c r="H2" s="60" t="s">
        <v>25</v>
      </c>
      <c r="I2" s="61">
        <f t="array" ref="I2">(COUNTA(UNIQUE(C:C))-1)</f>
        <v>1</v>
      </c>
      <c r="K2" s="62" t="str">
        <f>'Internal Summary'!B40</f>
        <v>25g Bunnies Cereal</v>
      </c>
      <c r="L2" s="61">
        <f t="shared" ref="L2:L13" si="1">sumif(D:D,K2,E:E)</f>
        <v>0</v>
      </c>
      <c r="M2" s="61">
        <f t="shared" ref="M2:M13" si="2">sumif(D:D,K2,F:F)</f>
        <v>0</v>
      </c>
      <c r="N2" s="63"/>
    </row>
    <row r="3">
      <c r="H3" s="60" t="s">
        <v>26</v>
      </c>
      <c r="I3" s="61">
        <f>sum(F:F)</f>
        <v>40930.24</v>
      </c>
      <c r="K3" s="62" t="str">
        <f>'Internal Summary'!B41</f>
        <v>300g Bunnies Cereals</v>
      </c>
      <c r="L3" s="61">
        <f t="shared" si="1"/>
        <v>1</v>
      </c>
      <c r="M3" s="61">
        <f t="shared" si="2"/>
        <v>20465.12</v>
      </c>
      <c r="N3" s="63"/>
    </row>
    <row r="4">
      <c r="H4" s="1"/>
      <c r="K4" s="62" t="str">
        <f>'Internal Summary'!B42</f>
        <v>30g Pocco Cornflakes Cereal</v>
      </c>
      <c r="L4" s="61">
        <f t="shared" si="1"/>
        <v>0</v>
      </c>
      <c r="M4" s="61">
        <f t="shared" si="2"/>
        <v>0</v>
      </c>
      <c r="N4" s="63"/>
    </row>
    <row r="5">
      <c r="H5" s="1"/>
      <c r="K5" s="62" t="str">
        <f>'Internal Summary'!B43</f>
        <v>350g Pocco Cornflakes Cereal</v>
      </c>
      <c r="L5" s="61">
        <f t="shared" si="1"/>
        <v>1</v>
      </c>
      <c r="M5" s="61">
        <f t="shared" si="2"/>
        <v>20465.12</v>
      </c>
      <c r="N5" s="63"/>
    </row>
    <row r="6">
      <c r="K6" s="62" t="str">
        <f>'Internal Summary'!B44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A12" s="43">
        <v>45758.0</v>
      </c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>
      <c r="I15" s="58"/>
    </row>
    <row r="16" hidden="1"/>
    <row r="17" hidden="1"/>
    <row r="18">
      <c r="I18" s="58"/>
    </row>
    <row r="19" hidden="1"/>
    <row r="20" hidden="1"/>
    <row r="21">
      <c r="I21" s="58"/>
    </row>
    <row r="22" hidden="1"/>
    <row r="23" hidden="1"/>
    <row r="24">
      <c r="I24" s="58"/>
    </row>
    <row r="25" hidden="1"/>
    <row r="26" hidden="1"/>
    <row r="27">
      <c r="I27" s="58"/>
    </row>
    <row r="28" hidden="1"/>
    <row r="29" hidden="1"/>
    <row r="30">
      <c r="I30" s="58"/>
    </row>
    <row r="31" hidden="1"/>
    <row r="32" hidden="1"/>
    <row r="33">
      <c r="I33" s="58"/>
    </row>
    <row r="34" hidden="1"/>
    <row r="35" hidden="1"/>
    <row r="36">
      <c r="I36" s="58"/>
    </row>
    <row r="37" hidden="1"/>
    <row r="38" hidden="1"/>
    <row r="39">
      <c r="I39" s="58"/>
    </row>
    <row r="40" hidden="1"/>
    <row r="41" hidden="1"/>
    <row r="42">
      <c r="I42" s="58"/>
    </row>
    <row r="43" hidden="1"/>
    <row r="44" hidden="1"/>
    <row r="45">
      <c r="I45" s="58"/>
    </row>
    <row r="46" hidden="1"/>
    <row r="47" hidden="1"/>
    <row r="48">
      <c r="I48" s="58"/>
    </row>
    <row r="49" hidden="1"/>
    <row r="50" hidden="1"/>
    <row r="51">
      <c r="I51" s="58"/>
    </row>
    <row r="52" hidden="1"/>
    <row r="53" hidden="1"/>
    <row r="54">
      <c r="I54" s="58"/>
    </row>
    <row r="55" hidden="1"/>
    <row r="56" hidden="1"/>
    <row r="57">
      <c r="I57" s="58"/>
    </row>
    <row r="58" hidden="1"/>
    <row r="59" hidden="1"/>
    <row r="60">
      <c r="I60" s="58"/>
    </row>
    <row r="61" hidden="1"/>
    <row r="62" hidden="1"/>
    <row r="63">
      <c r="I63" s="58"/>
    </row>
    <row r="64" hidden="1"/>
    <row r="65" hidden="1"/>
    <row r="66">
      <c r="I66" s="58"/>
    </row>
    <row r="67" hidden="1"/>
    <row r="68" hidden="1"/>
    <row r="69">
      <c r="I69" s="58"/>
    </row>
    <row r="70" hidden="1"/>
    <row r="71" hidden="1"/>
    <row r="72">
      <c r="I72" s="58"/>
    </row>
    <row r="73" hidden="1"/>
    <row r="74" hidden="1"/>
    <row r="75">
      <c r="I75" s="58"/>
    </row>
    <row r="76" hidden="1"/>
    <row r="77" hidden="1"/>
    <row r="78">
      <c r="I78" s="58"/>
    </row>
    <row r="79" hidden="1"/>
    <row r="80" hidden="1"/>
    <row r="81">
      <c r="I81" s="58"/>
    </row>
    <row r="82" hidden="1"/>
    <row r="83" hidden="1"/>
    <row r="84">
      <c r="I84" s="58"/>
    </row>
    <row r="85" hidden="1"/>
    <row r="86" hidden="1"/>
    <row r="87">
      <c r="I87" s="58"/>
    </row>
    <row r="88" hidden="1"/>
    <row r="89" hidden="1"/>
    <row r="90">
      <c r="I90" s="58"/>
    </row>
    <row r="91" hidden="1"/>
    <row r="92" hidden="1"/>
    <row r="93">
      <c r="I93" s="58"/>
    </row>
    <row r="94" hidden="1"/>
    <row r="95" hidden="1"/>
    <row r="96">
      <c r="I96" s="58"/>
    </row>
    <row r="97" hidden="1"/>
    <row r="98" hidden="1"/>
    <row r="99">
      <c r="I99" s="58"/>
    </row>
    <row r="100" hidden="1"/>
    <row r="101" hidden="1"/>
    <row r="102">
      <c r="I102" s="58"/>
    </row>
    <row r="103" hidden="1"/>
    <row r="104" hidden="1"/>
    <row r="105">
      <c r="I105" s="58"/>
    </row>
    <row r="106" hidden="1"/>
    <row r="107" hidden="1"/>
    <row r="108">
      <c r="I108" s="58"/>
    </row>
    <row r="109" hidden="1"/>
    <row r="110" hidden="1"/>
    <row r="111">
      <c r="I111" s="58"/>
    </row>
    <row r="112" hidden="1"/>
    <row r="113" hidden="1"/>
    <row r="114">
      <c r="I114" s="58"/>
    </row>
    <row r="115" hidden="1"/>
    <row r="116" hidden="1"/>
    <row r="117">
      <c r="I117" s="58"/>
    </row>
    <row r="118" hidden="1"/>
    <row r="119" hidden="1"/>
    <row r="120">
      <c r="I120" s="58"/>
    </row>
    <row r="121" hidden="1"/>
    <row r="122" hidden="1"/>
    <row r="123">
      <c r="I123" s="58"/>
    </row>
    <row r="124" hidden="1"/>
    <row r="125" hidden="1"/>
    <row r="126">
      <c r="I126" s="58"/>
    </row>
    <row r="127" hidden="1"/>
    <row r="128" hidden="1"/>
    <row r="129">
      <c r="I129" s="58"/>
    </row>
    <row r="130" hidden="1"/>
    <row r="131" hidden="1"/>
    <row r="132">
      <c r="I132" s="58"/>
    </row>
    <row r="133" hidden="1"/>
    <row r="134" hidden="1"/>
    <row r="135">
      <c r="I135" s="58"/>
    </row>
    <row r="136" hidden="1"/>
    <row r="137" hidden="1"/>
    <row r="138">
      <c r="I138" s="58"/>
    </row>
    <row r="139" hidden="1"/>
    <row r="140" hidden="1"/>
    <row r="141">
      <c r="I141" s="58"/>
    </row>
    <row r="142" hidden="1"/>
    <row r="143" hidden="1"/>
    <row r="144">
      <c r="I144" s="58"/>
    </row>
    <row r="145" hidden="1"/>
    <row r="146" hidden="1"/>
    <row r="147">
      <c r="I147" s="58"/>
    </row>
    <row r="148" hidden="1"/>
    <row r="149" hidden="1"/>
    <row r="150">
      <c r="I150" s="58"/>
    </row>
    <row r="151" hidden="1"/>
    <row r="152" hidden="1"/>
    <row r="153">
      <c r="I153" s="58"/>
    </row>
    <row r="154" hidden="1"/>
    <row r="155" hidden="1"/>
    <row r="156">
      <c r="I156" s="58"/>
    </row>
    <row r="157" hidden="1"/>
    <row r="158" hidden="1"/>
    <row r="159">
      <c r="I159" s="58"/>
    </row>
    <row r="160" hidden="1"/>
    <row r="161" hidden="1"/>
    <row r="162">
      <c r="I162" s="58"/>
    </row>
    <row r="163" hidden="1"/>
    <row r="164" hidden="1"/>
    <row r="165">
      <c r="I165" s="58"/>
    </row>
    <row r="166" hidden="1"/>
    <row r="167" hidden="1"/>
    <row r="168">
      <c r="I168" s="58"/>
    </row>
    <row r="169" hidden="1"/>
    <row r="170" hidden="1"/>
    <row r="171">
      <c r="I171" s="58"/>
    </row>
    <row r="172" hidden="1"/>
    <row r="173" hidden="1"/>
    <row r="174">
      <c r="I174" s="58"/>
    </row>
    <row r="175" hidden="1"/>
    <row r="176" hidden="1"/>
    <row r="177">
      <c r="I177" s="58"/>
    </row>
    <row r="178" hidden="1"/>
    <row r="179" hidden="1"/>
    <row r="180">
      <c r="I180" s="58"/>
    </row>
    <row r="181" hidden="1"/>
    <row r="182" hidden="1"/>
    <row r="183">
      <c r="I183" s="58"/>
    </row>
    <row r="184" hidden="1"/>
    <row r="185" hidden="1"/>
    <row r="186">
      <c r="I186" s="58"/>
    </row>
    <row r="187" hidden="1"/>
    <row r="188" hidden="1"/>
    <row r="189">
      <c r="I189" s="58"/>
    </row>
    <row r="190" hidden="1"/>
    <row r="191" hidden="1"/>
    <row r="192">
      <c r="I192" s="58"/>
    </row>
    <row r="193" hidden="1"/>
    <row r="194" hidden="1"/>
    <row r="195">
      <c r="I195" s="58"/>
    </row>
    <row r="196" hidden="1"/>
    <row r="197" hidden="1"/>
    <row r="198">
      <c r="I198" s="58"/>
    </row>
    <row r="199" hidden="1"/>
    <row r="200" hidden="1"/>
    <row r="201">
      <c r="I201" s="58"/>
    </row>
    <row r="202" hidden="1"/>
    <row r="203" hidden="1"/>
    <row r="204">
      <c r="I204" s="58"/>
    </row>
    <row r="205" hidden="1"/>
    <row r="206" hidden="1"/>
    <row r="207">
      <c r="I207" s="58"/>
    </row>
    <row r="208" hidden="1"/>
    <row r="209" hidden="1"/>
    <row r="210">
      <c r="I210" s="58"/>
    </row>
    <row r="211" hidden="1"/>
    <row r="212" hidden="1"/>
    <row r="213">
      <c r="I213" s="58"/>
    </row>
    <row r="214" hidden="1"/>
    <row r="215" hidden="1"/>
    <row r="216">
      <c r="I216" s="58"/>
    </row>
    <row r="217" hidden="1"/>
    <row r="218" hidden="1"/>
    <row r="219">
      <c r="I219" s="58"/>
    </row>
    <row r="220" hidden="1"/>
    <row r="221" hidden="1"/>
    <row r="222">
      <c r="I222" s="58"/>
    </row>
    <row r="223" hidden="1"/>
    <row r="224" hidden="1"/>
    <row r="225">
      <c r="I225" s="58"/>
    </row>
    <row r="226" hidden="1"/>
    <row r="227" hidden="1"/>
    <row r="228">
      <c r="I228" s="58"/>
    </row>
    <row r="229" hidden="1"/>
    <row r="230" hidden="1"/>
    <row r="231">
      <c r="I231" s="58"/>
    </row>
    <row r="232" hidden="1"/>
    <row r="233" hidden="1"/>
    <row r="234">
      <c r="I234" s="58"/>
    </row>
    <row r="235" hidden="1"/>
    <row r="236" hidden="1"/>
    <row r="237">
      <c r="I237" s="58"/>
    </row>
    <row r="238" hidden="1"/>
    <row r="239" hidden="1"/>
    <row r="240">
      <c r="I240" s="58"/>
    </row>
    <row r="241" hidden="1"/>
    <row r="242" hidden="1"/>
    <row r="243">
      <c r="I243" s="5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8"/>
    </row>
    <row r="321">
      <c r="I321" s="58"/>
    </row>
    <row r="324">
      <c r="I324" s="58"/>
    </row>
    <row r="327">
      <c r="I327" s="58"/>
    </row>
    <row r="330">
      <c r="I330" s="58"/>
    </row>
    <row r="333">
      <c r="I333" s="58"/>
    </row>
    <row r="336">
      <c r="I336" s="58"/>
    </row>
    <row r="339">
      <c r="I339" s="58"/>
    </row>
    <row r="342">
      <c r="I342" s="58"/>
    </row>
    <row r="345">
      <c r="I345" s="58"/>
    </row>
    <row r="348">
      <c r="I348" s="58"/>
    </row>
    <row r="351">
      <c r="I351" s="58"/>
    </row>
    <row r="354">
      <c r="I354" s="58"/>
    </row>
    <row r="357">
      <c r="I357" s="58"/>
    </row>
    <row r="360">
      <c r="I360" s="58"/>
    </row>
    <row r="363">
      <c r="I363" s="58"/>
    </row>
    <row r="366">
      <c r="I366" s="58"/>
    </row>
    <row r="369">
      <c r="I369" s="58"/>
    </row>
    <row r="372">
      <c r="I372" s="58"/>
    </row>
    <row r="375">
      <c r="I375" s="58"/>
    </row>
    <row r="378">
      <c r="I378" s="58"/>
    </row>
    <row r="381">
      <c r="I381" s="58"/>
    </row>
    <row r="384">
      <c r="I384" s="58"/>
    </row>
    <row r="387">
      <c r="I387" s="58"/>
    </row>
    <row r="390">
      <c r="I390" s="58"/>
    </row>
    <row r="393">
      <c r="I393" s="58"/>
    </row>
    <row r="396">
      <c r="I396" s="58"/>
    </row>
    <row r="399">
      <c r="I399" s="58"/>
    </row>
    <row r="402">
      <c r="I402" s="58"/>
    </row>
    <row r="405">
      <c r="I405" s="58"/>
    </row>
    <row r="408">
      <c r="I408" s="58"/>
    </row>
    <row r="411">
      <c r="I411" s="58"/>
    </row>
    <row r="414">
      <c r="I414" s="58"/>
    </row>
    <row r="417">
      <c r="I417" s="58"/>
    </row>
    <row r="420">
      <c r="I420" s="58"/>
    </row>
    <row r="423">
      <c r="I423" s="58"/>
    </row>
    <row r="426">
      <c r="I426" s="58"/>
    </row>
    <row r="429">
      <c r="I429" s="58"/>
    </row>
    <row r="432">
      <c r="I432" s="58"/>
    </row>
    <row r="435">
      <c r="I435" s="58"/>
    </row>
    <row r="438">
      <c r="I438" s="58"/>
    </row>
    <row r="441">
      <c r="I441" s="58"/>
    </row>
    <row r="444">
      <c r="I444" s="58"/>
    </row>
    <row r="447">
      <c r="I447" s="58"/>
    </row>
    <row r="450">
      <c r="I450" s="58"/>
    </row>
    <row r="453">
      <c r="I453" s="58"/>
    </row>
    <row r="456">
      <c r="I456" s="58"/>
    </row>
    <row r="459">
      <c r="I459" s="58"/>
    </row>
    <row r="462">
      <c r="I462" s="58"/>
    </row>
    <row r="465">
      <c r="I465" s="58"/>
    </row>
    <row r="468">
      <c r="I468" s="58"/>
    </row>
    <row r="471">
      <c r="I471" s="58"/>
    </row>
    <row r="474">
      <c r="I474" s="58"/>
    </row>
    <row r="477">
      <c r="I477" s="58"/>
    </row>
    <row r="480">
      <c r="I480" s="58"/>
    </row>
    <row r="483">
      <c r="I483" s="58"/>
    </row>
    <row r="486">
      <c r="I486" s="58"/>
    </row>
    <row r="489">
      <c r="I489" s="58"/>
    </row>
    <row r="492">
      <c r="I492" s="58"/>
    </row>
    <row r="495">
      <c r="I495" s="58"/>
    </row>
    <row r="498">
      <c r="I498" s="58"/>
    </row>
    <row r="501">
      <c r="I501" s="58"/>
    </row>
    <row r="504">
      <c r="I504" s="58"/>
    </row>
    <row r="507">
      <c r="I507" s="58"/>
    </row>
    <row r="510">
      <c r="I510" s="58"/>
    </row>
    <row r="513">
      <c r="I513" s="58"/>
    </row>
    <row r="516">
      <c r="I516" s="58"/>
    </row>
    <row r="519">
      <c r="I519" s="58"/>
    </row>
    <row r="522">
      <c r="I522" s="58"/>
    </row>
    <row r="525">
      <c r="I525" s="58"/>
    </row>
    <row r="528">
      <c r="I528" s="58"/>
    </row>
    <row r="531">
      <c r="I531" s="58"/>
    </row>
    <row r="534">
      <c r="I534" s="58"/>
    </row>
    <row r="537">
      <c r="I537" s="58"/>
    </row>
    <row r="540">
      <c r="I540" s="58"/>
    </row>
    <row r="543">
      <c r="I543" s="58"/>
    </row>
    <row r="546">
      <c r="I546" s="58"/>
    </row>
    <row r="549">
      <c r="I549" s="58"/>
    </row>
    <row r="552">
      <c r="I552" s="58"/>
    </row>
    <row r="555">
      <c r="I555" s="58"/>
    </row>
    <row r="558">
      <c r="I558" s="58"/>
    </row>
    <row r="561">
      <c r="I561" s="58"/>
    </row>
    <row r="564">
      <c r="I564" s="58"/>
    </row>
    <row r="567">
      <c r="I567" s="58"/>
    </row>
    <row r="570">
      <c r="I570" s="58"/>
    </row>
    <row r="573">
      <c r="I573" s="58"/>
    </row>
    <row r="576">
      <c r="I576" s="58"/>
    </row>
    <row r="579">
      <c r="I579" s="58"/>
    </row>
    <row r="582">
      <c r="I582" s="58"/>
    </row>
    <row r="585">
      <c r="I585" s="58"/>
    </row>
    <row r="588">
      <c r="I588" s="58"/>
    </row>
    <row r="591">
      <c r="I591" s="58"/>
    </row>
    <row r="594">
      <c r="I594" s="58"/>
    </row>
    <row r="597">
      <c r="I597" s="58"/>
    </row>
    <row r="600">
      <c r="I600" s="58"/>
    </row>
    <row r="603">
      <c r="I603" s="58"/>
    </row>
    <row r="606">
      <c r="I606" s="58"/>
    </row>
  </sheetData>
  <autoFilter ref="$A$14:$F$316">
    <filterColumn colId="5">
      <filters>
        <filter val="20,465.12"/>
      </filters>
    </filterColumn>
    <filterColumn colId="3">
      <filters>
        <filter val="300g Bunnies Cereals"/>
        <filter val="350g Pocco Cornflakes Cereal"/>
        <filter val="300g Bunnies Cereals Total"/>
        <filter val="Total"/>
        <filter val="350g Pocco Cornflakes Cereal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22</v>
      </c>
      <c r="I1" s="61">
        <f>countifs(B:B,"&lt;&gt;",F:F,"&lt;&gt;")-1</f>
        <v>0</v>
      </c>
      <c r="K1" s="62" t="s">
        <v>23</v>
      </c>
      <c r="L1" s="62" t="s">
        <v>24</v>
      </c>
      <c r="M1" s="62" t="s">
        <v>14</v>
      </c>
    </row>
    <row r="2">
      <c r="H2" s="60" t="s">
        <v>25</v>
      </c>
      <c r="I2" s="61">
        <f t="array" ref="I2">(COUNTA(UNIQUE(C:C))-1)</f>
        <v>0</v>
      </c>
      <c r="K2" s="62" t="str">
        <f>'Internal Summary'!B40</f>
        <v>25g Bunnies Cereal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26</v>
      </c>
      <c r="I3" s="61">
        <f>sum(F:F)</f>
        <v>0</v>
      </c>
      <c r="K3" s="62" t="str">
        <f>'Internal Summary'!B41</f>
        <v>300g Bunnies Cereals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Summary'!B42</f>
        <v>30g Pocco Cornflakes Cereal</v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Summary'!B43</f>
        <v>350g Pocco Cornflakes Cereal</v>
      </c>
      <c r="L5" s="61">
        <f t="shared" si="1"/>
        <v>0</v>
      </c>
      <c r="M5" s="61">
        <f t="shared" si="2"/>
        <v>0</v>
      </c>
    </row>
    <row r="6">
      <c r="K6" s="62" t="str">
        <f>'Internal Summary'!B44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22</v>
      </c>
      <c r="I1" s="61">
        <f>countifs(B:B,"&lt;&gt;",F:F,"&lt;&gt;")-1</f>
        <v>0</v>
      </c>
      <c r="K1" s="62" t="s">
        <v>23</v>
      </c>
      <c r="L1" s="62" t="s">
        <v>30</v>
      </c>
      <c r="M1" s="62" t="s">
        <v>14</v>
      </c>
    </row>
    <row r="2">
      <c r="H2" s="60" t="s">
        <v>25</v>
      </c>
      <c r="I2" s="61">
        <f t="array" ref="I2">(COUNTA(UNIQUE(C:C))-1)</f>
        <v>0</v>
      </c>
      <c r="K2" s="62" t="str">
        <f>'Internal Summary'!B40</f>
        <v>25g Bunnies Cereal</v>
      </c>
      <c r="L2" s="61">
        <f t="shared" ref="L2:L13" si="1">sumif(D:D,K2,E:E)</f>
        <v>0</v>
      </c>
      <c r="M2" s="64">
        <f t="shared" ref="M2:M13" si="2">sumif(D:D,K2,F:F)</f>
        <v>0</v>
      </c>
    </row>
    <row r="3">
      <c r="H3" s="60" t="s">
        <v>26</v>
      </c>
      <c r="I3" s="61">
        <f>sum(F:F)</f>
        <v>0</v>
      </c>
      <c r="K3" s="62" t="str">
        <f>'Internal Summary'!B41</f>
        <v>300g Bunnies Cereals</v>
      </c>
      <c r="L3" s="61">
        <f t="shared" si="1"/>
        <v>0</v>
      </c>
      <c r="M3" s="64">
        <f t="shared" si="2"/>
        <v>0</v>
      </c>
    </row>
    <row r="4">
      <c r="H4" s="1"/>
      <c r="K4" s="62" t="str">
        <f>'Internal Summary'!B42</f>
        <v>30g Pocco Cornflakes Cereal</v>
      </c>
      <c r="L4" s="61">
        <f t="shared" si="1"/>
        <v>0</v>
      </c>
      <c r="M4" s="64">
        <f t="shared" si="2"/>
        <v>0</v>
      </c>
    </row>
    <row r="5">
      <c r="H5" s="1"/>
      <c r="K5" s="62" t="str">
        <f>'Internal Summary'!B43</f>
        <v>350g Pocco Cornflakes Cereal</v>
      </c>
      <c r="L5" s="61">
        <f t="shared" si="1"/>
        <v>0</v>
      </c>
      <c r="M5" s="64">
        <f t="shared" si="2"/>
        <v>0</v>
      </c>
    </row>
    <row r="6">
      <c r="K6" s="62" t="str">
        <f>'Internal Summary'!B44</f>
        <v/>
      </c>
      <c r="L6" s="61">
        <f t="shared" si="1"/>
        <v>0</v>
      </c>
      <c r="M6" s="64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4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4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4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4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4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64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22</v>
      </c>
      <c r="I1" s="61">
        <f>countifs(B:B,"&lt;&gt;",F:F,"&lt;&gt;")-1</f>
        <v>0</v>
      </c>
      <c r="K1" s="62" t="s">
        <v>23</v>
      </c>
      <c r="L1" s="62" t="s">
        <v>24</v>
      </c>
    </row>
    <row r="2">
      <c r="H2" s="60" t="s">
        <v>25</v>
      </c>
      <c r="I2" s="61">
        <f t="array" ref="I2">(COUNTA(UNIQUE(C:C,,0))-1)</f>
        <v>0</v>
      </c>
      <c r="K2" s="62" t="str">
        <f>'Internal Summary'!B40</f>
        <v>25g Bunnies Cereal</v>
      </c>
      <c r="L2" s="61">
        <f t="shared" ref="L2:L13" si="1">sumif(D:D,K2,E:E)</f>
        <v>0</v>
      </c>
    </row>
    <row r="3">
      <c r="H3" s="60" t="s">
        <v>26</v>
      </c>
      <c r="I3" s="61">
        <f>sum(F:F)</f>
        <v>0</v>
      </c>
      <c r="K3" s="62" t="str">
        <f>'Internal Summary'!B41</f>
        <v>300g Bunnies Cereals</v>
      </c>
      <c r="L3" s="61">
        <f t="shared" si="1"/>
        <v>0</v>
      </c>
    </row>
    <row r="4">
      <c r="H4" s="1"/>
      <c r="K4" s="62" t="str">
        <f>'Internal Summary'!B42</f>
        <v>30g Pocco Cornflakes Cereal</v>
      </c>
      <c r="L4" s="61">
        <f t="shared" si="1"/>
        <v>0</v>
      </c>
    </row>
    <row r="5">
      <c r="H5" s="1"/>
      <c r="K5" s="62" t="str">
        <f>'Internal Summary'!B43</f>
        <v>350g Pocco Cornflakes Cereal</v>
      </c>
      <c r="L5" s="61">
        <f t="shared" si="1"/>
        <v>0</v>
      </c>
    </row>
    <row r="6">
      <c r="K6" s="62" t="str">
        <f>'Internal Summary'!B44</f>
        <v/>
      </c>
      <c r="L6" s="61">
        <f t="shared" si="1"/>
        <v>0</v>
      </c>
    </row>
    <row r="7">
      <c r="K7" s="62" t="str">
        <f>'Internal Summary'!B45</f>
        <v/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0" t="s">
        <v>22</v>
      </c>
      <c r="I1" s="61">
        <f>countifs(B:B,"&lt;&gt;",F:F,"&lt;&gt;")-1</f>
        <v>0</v>
      </c>
      <c r="K1" s="62" t="s">
        <v>23</v>
      </c>
      <c r="L1" s="62" t="s">
        <v>24</v>
      </c>
    </row>
    <row r="2">
      <c r="H2" s="60" t="s">
        <v>25</v>
      </c>
      <c r="I2" s="61">
        <f t="array" ref="I2">(COUNTA(UNIQUE(C:C,,0))-1)</f>
        <v>0</v>
      </c>
      <c r="K2" s="62" t="str">
        <f>'Internal Summary'!B40</f>
        <v>25g Bunnies Cereal</v>
      </c>
      <c r="L2" s="61">
        <f t="shared" ref="L2:L13" si="1">sumif(D:D,K2,E:E)</f>
        <v>0</v>
      </c>
    </row>
    <row r="3">
      <c r="H3" s="60" t="s">
        <v>26</v>
      </c>
      <c r="I3" s="61">
        <f>sum(F:F)</f>
        <v>0</v>
      </c>
      <c r="K3" s="62" t="str">
        <f>'Internal Summary'!B41</f>
        <v>300g Bunnies Cereals</v>
      </c>
      <c r="L3" s="61">
        <f t="shared" si="1"/>
        <v>0</v>
      </c>
    </row>
    <row r="4">
      <c r="H4" s="1"/>
      <c r="K4" s="62" t="str">
        <f>'Internal Summary'!B42</f>
        <v>30g Pocco Cornflakes Cereal</v>
      </c>
      <c r="L4" s="61">
        <f t="shared" si="1"/>
        <v>0</v>
      </c>
    </row>
    <row r="5">
      <c r="H5" s="1"/>
      <c r="K5" s="62" t="str">
        <f>'Internal Summary'!B43</f>
        <v>350g Pocco Cornflakes Cereal</v>
      </c>
      <c r="L5" s="61">
        <f t="shared" si="1"/>
        <v>0</v>
      </c>
    </row>
    <row r="6">
      <c r="K6" s="62" t="str">
        <f>'Internal Summary'!B44</f>
        <v/>
      </c>
      <c r="L6" s="61">
        <f t="shared" si="1"/>
        <v>0</v>
      </c>
    </row>
    <row r="7">
      <c r="K7" s="62" t="str">
        <f>'Internal Summary'!B45</f>
        <v/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60" t="s">
        <v>31</v>
      </c>
      <c r="C1" s="60" t="s">
        <v>24</v>
      </c>
      <c r="D1" s="60" t="s">
        <v>32</v>
      </c>
      <c r="E1" s="60" t="s">
        <v>33</v>
      </c>
      <c r="F1" s="67"/>
    </row>
    <row r="2">
      <c r="A2" s="68" t="s">
        <v>34</v>
      </c>
      <c r="B2" s="69" t="s">
        <v>22</v>
      </c>
      <c r="C2" s="70"/>
      <c r="D2" s="70"/>
      <c r="E2" s="71">
        <f>'Dala Sales &amp; Deliveries'!I1+'External Delivery Fulfillment'!I1</f>
        <v>1</v>
      </c>
      <c r="F2" s="67"/>
    </row>
    <row r="3">
      <c r="A3" s="72"/>
      <c r="B3" s="69" t="s">
        <v>35</v>
      </c>
      <c r="C3" s="70"/>
      <c r="D3" s="70"/>
      <c r="E3" s="69">
        <f>'Raw Data'!AX2</f>
        <v>0</v>
      </c>
      <c r="F3" s="67"/>
    </row>
    <row r="4">
      <c r="B4" s="73" t="s">
        <v>36</v>
      </c>
      <c r="C4" s="67"/>
      <c r="D4" s="67"/>
      <c r="E4" s="74">
        <f>'Dala Sales &amp; Deliveries'!I3</f>
        <v>40930.24</v>
      </c>
      <c r="F4" s="67"/>
    </row>
    <row r="5">
      <c r="B5" s="73" t="s">
        <v>37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38</v>
      </c>
      <c r="C6" s="77"/>
      <c r="D6" s="78"/>
      <c r="E6" s="79">
        <f>E4*1.075-E4</f>
        <v>3069.768</v>
      </c>
      <c r="F6" s="67"/>
    </row>
    <row r="7">
      <c r="A7" s="80"/>
      <c r="B7" s="81" t="s">
        <v>39</v>
      </c>
      <c r="C7" s="82"/>
      <c r="D7" s="83"/>
      <c r="E7" s="84">
        <f>sum(E4:E6)</f>
        <v>44000.008</v>
      </c>
      <c r="F7" s="67"/>
    </row>
    <row r="8">
      <c r="A8" s="68" t="s">
        <v>40</v>
      </c>
      <c r="B8" s="69" t="s">
        <v>41</v>
      </c>
      <c r="C8" s="70"/>
      <c r="D8" s="85"/>
      <c r="E8" s="86"/>
    </row>
    <row r="9">
      <c r="A9" s="80"/>
      <c r="B9" s="81" t="s">
        <v>42</v>
      </c>
      <c r="C9" s="87">
        <v>0.12</v>
      </c>
      <c r="D9" s="83"/>
      <c r="E9" s="84">
        <f>E8*(C9+100%)-E8</f>
        <v>0</v>
      </c>
      <c r="K9" s="58"/>
      <c r="L9" s="58"/>
      <c r="M9" s="58"/>
    </row>
    <row r="10">
      <c r="A10" s="88" t="s">
        <v>43</v>
      </c>
      <c r="B10" s="81" t="s">
        <v>44</v>
      </c>
      <c r="C10" s="82"/>
      <c r="D10" s="83"/>
      <c r="E10" s="84">
        <f>E7-E8-E9</f>
        <v>44000.008</v>
      </c>
    </row>
    <row r="11">
      <c r="A11" s="68" t="s">
        <v>45</v>
      </c>
      <c r="B11" s="69" t="s">
        <v>46</v>
      </c>
      <c r="C11" s="89">
        <v>1.0</v>
      </c>
      <c r="D11" s="90">
        <v>150000.0</v>
      </c>
      <c r="E11" s="90">
        <f>C11*D11</f>
        <v>150000</v>
      </c>
    </row>
    <row r="12">
      <c r="A12" s="72"/>
      <c r="B12" s="69" t="s">
        <v>42</v>
      </c>
      <c r="C12" s="91"/>
      <c r="D12" s="85"/>
      <c r="E12" s="90">
        <f>E10*C9</f>
        <v>5280.00096</v>
      </c>
    </row>
    <row r="13">
      <c r="A13" s="72"/>
      <c r="B13" s="76" t="s">
        <v>47</v>
      </c>
      <c r="C13" s="70"/>
      <c r="D13" s="92" t="s">
        <v>48</v>
      </c>
      <c r="E13" s="90">
        <f>C22+C26</f>
        <v>2000</v>
      </c>
    </row>
    <row r="14">
      <c r="A14" s="72"/>
      <c r="B14" s="69" t="s">
        <v>49</v>
      </c>
      <c r="C14" s="85"/>
      <c r="D14" s="85"/>
      <c r="E14" s="93">
        <v>0.0</v>
      </c>
    </row>
    <row r="15">
      <c r="A15" s="72"/>
      <c r="B15" s="69" t="s">
        <v>50</v>
      </c>
      <c r="C15" s="85"/>
      <c r="D15" s="85"/>
      <c r="E15" s="90">
        <f>C30</f>
        <v>0</v>
      </c>
    </row>
    <row r="16">
      <c r="A16" s="80"/>
      <c r="B16" s="81" t="s">
        <v>51</v>
      </c>
      <c r="C16" s="83"/>
      <c r="D16" s="83"/>
      <c r="E16" s="84">
        <f>sum(E11:E15)</f>
        <v>157280.001</v>
      </c>
      <c r="H16" s="1"/>
      <c r="I16" s="1"/>
    </row>
    <row r="17">
      <c r="A17" s="88" t="s">
        <v>52</v>
      </c>
      <c r="B17" s="81" t="s">
        <v>53</v>
      </c>
      <c r="C17" s="83"/>
      <c r="D17" s="83"/>
      <c r="E17" s="84">
        <f>E10-E16+C36</f>
        <v>-113279.993</v>
      </c>
      <c r="H17" s="1"/>
      <c r="I17" s="79"/>
      <c r="J17" s="94"/>
      <c r="K17" s="94"/>
      <c r="L17" s="94"/>
      <c r="M17" s="94"/>
      <c r="N17" s="94"/>
    </row>
    <row r="18">
      <c r="A18" s="78"/>
      <c r="B18" s="78"/>
      <c r="C18" s="78"/>
      <c r="D18" s="78"/>
      <c r="E18" s="78"/>
      <c r="H18" s="1"/>
      <c r="I18" s="1"/>
      <c r="J18" s="94"/>
      <c r="K18" s="94"/>
      <c r="L18" s="94"/>
      <c r="M18" s="94"/>
      <c r="N18" s="94"/>
    </row>
    <row r="19">
      <c r="A19" s="1"/>
      <c r="B19" s="78"/>
      <c r="C19" s="78"/>
      <c r="D19" s="78"/>
      <c r="E19" s="78"/>
      <c r="H19" s="1"/>
      <c r="I19" s="1"/>
      <c r="J19" s="94"/>
      <c r="K19" s="94"/>
      <c r="L19" s="94"/>
      <c r="M19" s="94"/>
      <c r="N19" s="94"/>
    </row>
    <row r="20">
      <c r="A20" s="1" t="s">
        <v>54</v>
      </c>
      <c r="B20" s="78"/>
      <c r="C20" s="78"/>
      <c r="D20" s="78"/>
      <c r="E20" s="78"/>
      <c r="H20" s="1"/>
      <c r="I20" s="1"/>
      <c r="J20" s="94"/>
      <c r="K20" s="94"/>
      <c r="L20" s="94"/>
      <c r="M20" s="94"/>
      <c r="N20" s="94"/>
    </row>
    <row r="21">
      <c r="A21" s="78"/>
      <c r="B21" s="60" t="s">
        <v>55</v>
      </c>
      <c r="C21" s="95">
        <f>U69</f>
        <v>0</v>
      </c>
      <c r="H21" s="1"/>
      <c r="I21" s="1"/>
      <c r="J21" s="96"/>
      <c r="K21" s="96"/>
      <c r="L21" s="97"/>
      <c r="M21" s="94"/>
      <c r="N21" s="94"/>
    </row>
    <row r="22">
      <c r="A22" s="78"/>
      <c r="B22" s="60" t="s">
        <v>56</v>
      </c>
      <c r="C22" s="95">
        <f>V69</f>
        <v>0</v>
      </c>
      <c r="H22" s="1"/>
      <c r="I22" s="1"/>
      <c r="J22" s="96"/>
      <c r="K22" s="96"/>
      <c r="L22" s="97"/>
      <c r="M22" s="94"/>
      <c r="N22" s="94"/>
    </row>
    <row r="23">
      <c r="A23" s="78"/>
      <c r="B23" s="60" t="s">
        <v>57</v>
      </c>
      <c r="C23" s="95">
        <f>S69</f>
        <v>0</v>
      </c>
      <c r="H23" s="1"/>
      <c r="I23" s="1"/>
      <c r="J23" s="96"/>
      <c r="K23" s="96"/>
      <c r="L23" s="97"/>
      <c r="M23" s="94"/>
      <c r="N23" s="94"/>
    </row>
    <row r="24">
      <c r="A24" s="78"/>
      <c r="B24" s="60" t="s">
        <v>58</v>
      </c>
      <c r="C24" s="95">
        <f>T69</f>
        <v>0</v>
      </c>
      <c r="H24" s="1"/>
      <c r="I24" s="79"/>
      <c r="J24" s="96"/>
      <c r="K24" s="96"/>
      <c r="L24" s="97"/>
      <c r="M24" s="94"/>
      <c r="N24" s="94"/>
    </row>
    <row r="25">
      <c r="A25" s="78"/>
      <c r="B25" s="60" t="s">
        <v>59</v>
      </c>
      <c r="C25" s="95">
        <f>67</f>
        <v>67</v>
      </c>
      <c r="H25" s="1"/>
      <c r="I25" s="1"/>
    </row>
    <row r="26">
      <c r="A26" s="78"/>
      <c r="B26" s="60" t="s">
        <v>60</v>
      </c>
      <c r="C26" s="98">
        <f>P69</f>
        <v>2000</v>
      </c>
      <c r="H26" s="1"/>
      <c r="I26" s="1"/>
    </row>
    <row r="27">
      <c r="A27" s="78"/>
      <c r="B27" s="60" t="s">
        <v>61</v>
      </c>
      <c r="C27" s="61">
        <f>Q69</f>
        <v>0</v>
      </c>
      <c r="H27" s="1"/>
      <c r="I27" s="1"/>
    </row>
    <row r="28">
      <c r="A28" s="78"/>
      <c r="B28" s="60" t="s">
        <v>62</v>
      </c>
      <c r="C28" s="61">
        <f>R69</f>
        <v>0</v>
      </c>
      <c r="H28" s="1"/>
      <c r="I28" s="1"/>
    </row>
    <row r="29">
      <c r="A29" s="78"/>
      <c r="B29" s="60" t="s">
        <v>63</v>
      </c>
      <c r="C29" s="95">
        <f>F69</f>
        <v>0</v>
      </c>
      <c r="D29" s="78"/>
      <c r="H29" s="1"/>
      <c r="I29" s="1"/>
    </row>
    <row r="30">
      <c r="A30" s="78"/>
      <c r="B30" s="60" t="s">
        <v>64</v>
      </c>
      <c r="C30" s="95">
        <f>G69</f>
        <v>0</v>
      </c>
      <c r="D30" s="78"/>
      <c r="H30" s="1"/>
      <c r="I30" s="1"/>
    </row>
    <row r="31">
      <c r="A31" s="78"/>
      <c r="B31" s="60" t="s">
        <v>65</v>
      </c>
      <c r="C31" s="95">
        <f>I69</f>
        <v>0</v>
      </c>
      <c r="D31" s="78"/>
      <c r="H31" s="1"/>
      <c r="I31" s="1"/>
    </row>
    <row r="32">
      <c r="A32" s="78"/>
      <c r="B32" s="60" t="s">
        <v>66</v>
      </c>
      <c r="C32" s="95">
        <f>J69</f>
        <v>0</v>
      </c>
      <c r="D32" s="78"/>
      <c r="H32" s="1"/>
      <c r="I32" s="1"/>
    </row>
    <row r="33">
      <c r="B33" s="60" t="s">
        <v>67</v>
      </c>
      <c r="C33" s="95">
        <v>0.0</v>
      </c>
    </row>
    <row r="34">
      <c r="B34" s="60" t="s">
        <v>68</v>
      </c>
      <c r="C34" s="61">
        <f>K69</f>
        <v>54.5</v>
      </c>
    </row>
    <row r="35">
      <c r="B35" s="60" t="s">
        <v>69</v>
      </c>
      <c r="C35" s="95">
        <v>0.0</v>
      </c>
    </row>
    <row r="36">
      <c r="B36" s="60" t="s">
        <v>70</v>
      </c>
      <c r="C36" s="9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0" t="s">
        <v>71</v>
      </c>
      <c r="C39" s="60" t="s">
        <v>72</v>
      </c>
      <c r="D39" s="60" t="s">
        <v>73</v>
      </c>
      <c r="E39" s="60" t="s">
        <v>74</v>
      </c>
      <c r="F39" s="62" t="s">
        <v>75</v>
      </c>
      <c r="G39" s="62" t="s">
        <v>76</v>
      </c>
      <c r="H39" s="62" t="s">
        <v>77</v>
      </c>
      <c r="I39" s="62" t="s">
        <v>78</v>
      </c>
      <c r="J39" s="62" t="s">
        <v>79</v>
      </c>
      <c r="K39" s="62" t="s">
        <v>80</v>
      </c>
      <c r="L39" s="62" t="s">
        <v>67</v>
      </c>
      <c r="M39" s="62" t="s">
        <v>69</v>
      </c>
      <c r="N39" s="62" t="s">
        <v>81</v>
      </c>
      <c r="O39" s="62" t="s">
        <v>82</v>
      </c>
      <c r="P39" s="62" t="s">
        <v>83</v>
      </c>
      <c r="Q39" s="62" t="s">
        <v>84</v>
      </c>
      <c r="R39" s="62" t="s">
        <v>85</v>
      </c>
      <c r="S39" s="62" t="s">
        <v>86</v>
      </c>
      <c r="T39" s="62" t="s">
        <v>58</v>
      </c>
      <c r="U39" s="62" t="s">
        <v>87</v>
      </c>
      <c r="V39" s="62" t="s">
        <v>88</v>
      </c>
      <c r="W39" s="62" t="s">
        <v>89</v>
      </c>
    </row>
    <row r="40">
      <c r="B40" s="99" t="s">
        <v>90</v>
      </c>
      <c r="C40" s="100">
        <v>16800.0</v>
      </c>
      <c r="D40" s="99">
        <v>500.0</v>
      </c>
      <c r="E40" s="100">
        <v>800.0</v>
      </c>
      <c r="F40" s="99"/>
      <c r="G40" s="64">
        <f t="shared" ref="G40:G68" si="1">F40*C40</f>
        <v>0</v>
      </c>
      <c r="H40" s="99"/>
      <c r="I40" s="99"/>
      <c r="J40" s="99"/>
      <c r="K40" s="99">
        <v>3.5</v>
      </c>
      <c r="L40" s="98">
        <f t="shared" ref="L40:L68" si="2">H40+U40+W40-O40-Q40-I40-J40</f>
        <v>0</v>
      </c>
      <c r="M40" s="61">
        <f t="shared" ref="M40:M68" si="3">K40-L40</f>
        <v>3.5</v>
      </c>
      <c r="N40" s="64">
        <f t="shared" ref="N40:N68" si="4">M40*C40</f>
        <v>58800</v>
      </c>
      <c r="O40" s="61">
        <f>'Dala Sales &amp; Deliveries'!L2</f>
        <v>0</v>
      </c>
      <c r="P40" s="64">
        <f t="shared" ref="P40:P68" si="5">O40*E40</f>
        <v>0</v>
      </c>
      <c r="Q40" s="61">
        <f>'External Delivery Fulfillment'!L2</f>
        <v>0</v>
      </c>
      <c r="R40" s="64">
        <f t="shared" ref="R40:R68" si="6">Q40*E40</f>
        <v>0</v>
      </c>
      <c r="S40" s="61">
        <f>'Forwarding From Client'!L2</f>
        <v>0</v>
      </c>
      <c r="T40" s="64">
        <f t="shared" ref="T40:T68" si="7">S40*E40</f>
        <v>0</v>
      </c>
      <c r="U40" s="61">
        <f>'Dala Restocking'!L2</f>
        <v>0</v>
      </c>
      <c r="V40" s="64">
        <f t="shared" ref="V40:V68" si="8">U40*D40</f>
        <v>0</v>
      </c>
      <c r="W40" s="61">
        <f>'Client Restocking'!L2</f>
        <v>0</v>
      </c>
    </row>
    <row r="41">
      <c r="B41" s="99" t="s">
        <v>16</v>
      </c>
      <c r="C41" s="100">
        <v>22000.0</v>
      </c>
      <c r="D41" s="99">
        <v>650.0</v>
      </c>
      <c r="E41" s="100">
        <v>1000.0</v>
      </c>
      <c r="F41" s="101"/>
      <c r="G41" s="64">
        <f t="shared" si="1"/>
        <v>0</v>
      </c>
      <c r="H41" s="99"/>
      <c r="I41" s="99"/>
      <c r="J41" s="101"/>
      <c r="K41" s="99">
        <v>24.0</v>
      </c>
      <c r="L41" s="98">
        <f t="shared" si="2"/>
        <v>-1</v>
      </c>
      <c r="M41" s="61">
        <f t="shared" si="3"/>
        <v>25</v>
      </c>
      <c r="N41" s="64">
        <f t="shared" si="4"/>
        <v>550000</v>
      </c>
      <c r="O41" s="61">
        <f>'Dala Sales &amp; Deliveries'!L3</f>
        <v>1</v>
      </c>
      <c r="P41" s="64">
        <f t="shared" si="5"/>
        <v>1000</v>
      </c>
      <c r="Q41" s="61">
        <f>'External Delivery Fulfillment'!L3</f>
        <v>0</v>
      </c>
      <c r="R41" s="64">
        <f t="shared" si="6"/>
        <v>0</v>
      </c>
      <c r="S41" s="61">
        <f>'Forwarding From Client'!L3</f>
        <v>0</v>
      </c>
      <c r="T41" s="64">
        <f t="shared" si="7"/>
        <v>0</v>
      </c>
      <c r="U41" s="61">
        <f>'Dala Restocking'!L3</f>
        <v>0</v>
      </c>
      <c r="V41" s="64">
        <f t="shared" si="8"/>
        <v>0</v>
      </c>
      <c r="W41" s="61">
        <f>'Client Restocking'!L3</f>
        <v>0</v>
      </c>
    </row>
    <row r="42">
      <c r="B42" s="99" t="s">
        <v>91</v>
      </c>
      <c r="C42" s="100">
        <v>16800.0</v>
      </c>
      <c r="D42" s="99">
        <v>500.0</v>
      </c>
      <c r="E42" s="100">
        <v>800.0</v>
      </c>
      <c r="F42" s="101"/>
      <c r="G42" s="64">
        <f t="shared" si="1"/>
        <v>0</v>
      </c>
      <c r="H42" s="99"/>
      <c r="I42" s="99"/>
      <c r="J42" s="101"/>
      <c r="K42" s="99">
        <v>2.5</v>
      </c>
      <c r="L42" s="98">
        <f t="shared" si="2"/>
        <v>0</v>
      </c>
      <c r="M42" s="61">
        <f t="shared" si="3"/>
        <v>2.5</v>
      </c>
      <c r="N42" s="64">
        <f t="shared" si="4"/>
        <v>42000</v>
      </c>
      <c r="O42" s="61">
        <f>'Dala Sales &amp; Deliveries'!L4</f>
        <v>0</v>
      </c>
      <c r="P42" s="64">
        <f t="shared" si="5"/>
        <v>0</v>
      </c>
      <c r="Q42" s="61">
        <f>'External Delivery Fulfillment'!L4</f>
        <v>0</v>
      </c>
      <c r="R42" s="64">
        <f t="shared" si="6"/>
        <v>0</v>
      </c>
      <c r="S42" s="61">
        <f>'Forwarding From Client'!L4</f>
        <v>0</v>
      </c>
      <c r="T42" s="64">
        <f t="shared" si="7"/>
        <v>0</v>
      </c>
      <c r="U42" s="61">
        <f>'Dala Restocking'!L4</f>
        <v>0</v>
      </c>
      <c r="V42" s="64">
        <f t="shared" si="8"/>
        <v>0</v>
      </c>
      <c r="W42" s="61">
        <f>'Client Restocking'!L4</f>
        <v>0</v>
      </c>
    </row>
    <row r="43">
      <c r="B43" s="99" t="s">
        <v>20</v>
      </c>
      <c r="C43" s="100">
        <v>22000.0</v>
      </c>
      <c r="D43" s="99">
        <v>650.0</v>
      </c>
      <c r="E43" s="100">
        <v>1000.0</v>
      </c>
      <c r="F43" s="101"/>
      <c r="G43" s="64">
        <f t="shared" si="1"/>
        <v>0</v>
      </c>
      <c r="H43" s="99"/>
      <c r="I43" s="99"/>
      <c r="J43" s="101"/>
      <c r="K43" s="99">
        <v>24.5</v>
      </c>
      <c r="L43" s="98">
        <f t="shared" si="2"/>
        <v>-1</v>
      </c>
      <c r="M43" s="61">
        <f t="shared" si="3"/>
        <v>25.5</v>
      </c>
      <c r="N43" s="64">
        <f t="shared" si="4"/>
        <v>561000</v>
      </c>
      <c r="O43" s="61">
        <f>'Dala Sales &amp; Deliveries'!L5</f>
        <v>1</v>
      </c>
      <c r="P43" s="64">
        <f t="shared" si="5"/>
        <v>1000</v>
      </c>
      <c r="Q43" s="61">
        <f>'External Delivery Fulfillment'!L5</f>
        <v>0</v>
      </c>
      <c r="R43" s="64">
        <f t="shared" si="6"/>
        <v>0</v>
      </c>
      <c r="S43" s="61">
        <f>'Forwarding From Client'!L5</f>
        <v>0</v>
      </c>
      <c r="T43" s="64">
        <f t="shared" si="7"/>
        <v>0</v>
      </c>
      <c r="U43" s="61">
        <f>'Dala Restocking'!L5</f>
        <v>0</v>
      </c>
      <c r="V43" s="64">
        <f t="shared" si="8"/>
        <v>0</v>
      </c>
      <c r="W43" s="61">
        <f>'Client Restocking'!L5</f>
        <v>0</v>
      </c>
    </row>
    <row r="44">
      <c r="B44" s="99"/>
      <c r="C44" s="100"/>
      <c r="D44" s="99"/>
      <c r="E44" s="100"/>
      <c r="F44" s="101"/>
      <c r="G44" s="64">
        <f t="shared" si="1"/>
        <v>0</v>
      </c>
      <c r="H44" s="99"/>
      <c r="I44" s="99"/>
      <c r="J44" s="101"/>
      <c r="K44" s="101"/>
      <c r="L44" s="98">
        <f t="shared" si="2"/>
        <v>0</v>
      </c>
      <c r="M44" s="61">
        <f t="shared" si="3"/>
        <v>0</v>
      </c>
      <c r="N44" s="64">
        <f t="shared" si="4"/>
        <v>0</v>
      </c>
      <c r="O44" s="61">
        <f>'Dala Sales &amp; Deliveries'!L6</f>
        <v>0</v>
      </c>
      <c r="P44" s="64">
        <f t="shared" si="5"/>
        <v>0</v>
      </c>
      <c r="Q44" s="61">
        <f>'External Delivery Fulfillment'!L6</f>
        <v>0</v>
      </c>
      <c r="R44" s="64">
        <f t="shared" si="6"/>
        <v>0</v>
      </c>
      <c r="S44" s="61">
        <f>'Forwarding From Client'!L6</f>
        <v>0</v>
      </c>
      <c r="T44" s="64">
        <f t="shared" si="7"/>
        <v>0</v>
      </c>
      <c r="U44" s="61">
        <f>'Dala Restocking'!L6</f>
        <v>0</v>
      </c>
      <c r="V44" s="64">
        <f t="shared" si="8"/>
        <v>0</v>
      </c>
      <c r="W44" s="61">
        <f>'Client Restocking'!L6</f>
        <v>0</v>
      </c>
    </row>
    <row r="45">
      <c r="B45" s="99"/>
      <c r="C45" s="100"/>
      <c r="D45" s="99"/>
      <c r="E45" s="100"/>
      <c r="F45" s="101"/>
      <c r="G45" s="64">
        <f t="shared" si="1"/>
        <v>0</v>
      </c>
      <c r="H45" s="101"/>
      <c r="I45" s="101"/>
      <c r="J45" s="101"/>
      <c r="K45" s="101"/>
      <c r="L45" s="98">
        <f t="shared" si="2"/>
        <v>0</v>
      </c>
      <c r="M45" s="61">
        <f t="shared" si="3"/>
        <v>0</v>
      </c>
      <c r="N45" s="64">
        <f t="shared" si="4"/>
        <v>0</v>
      </c>
      <c r="O45" s="61">
        <f>'Dala Sales &amp; Deliveries'!L7</f>
        <v>0</v>
      </c>
      <c r="P45" s="64">
        <f t="shared" si="5"/>
        <v>0</v>
      </c>
      <c r="Q45" s="61">
        <f>'External Delivery Fulfillment'!L7</f>
        <v>0</v>
      </c>
      <c r="R45" s="64">
        <f t="shared" si="6"/>
        <v>0</v>
      </c>
      <c r="S45" s="61">
        <f>'Forwarding From Client'!L7</f>
        <v>0</v>
      </c>
      <c r="T45" s="64">
        <f t="shared" si="7"/>
        <v>0</v>
      </c>
      <c r="U45" s="61">
        <f>'Dala Restocking'!L7</f>
        <v>0</v>
      </c>
      <c r="V45" s="64">
        <f t="shared" si="8"/>
        <v>0</v>
      </c>
      <c r="W45" s="61">
        <f>'Client Restocking'!L7</f>
        <v>0</v>
      </c>
    </row>
    <row r="46">
      <c r="B46" s="99"/>
      <c r="C46" s="100"/>
      <c r="D46" s="99"/>
      <c r="E46" s="100"/>
      <c r="F46" s="101"/>
      <c r="G46" s="64">
        <f t="shared" si="1"/>
        <v>0</v>
      </c>
      <c r="H46" s="101"/>
      <c r="I46" s="101"/>
      <c r="J46" s="101"/>
      <c r="K46" s="101"/>
      <c r="L46" s="98">
        <f t="shared" si="2"/>
        <v>0</v>
      </c>
      <c r="M46" s="61">
        <f t="shared" si="3"/>
        <v>0</v>
      </c>
      <c r="N46" s="64">
        <f t="shared" si="4"/>
        <v>0</v>
      </c>
      <c r="O46" s="61">
        <f>'Dala Sales &amp; Deliveries'!L8</f>
        <v>0</v>
      </c>
      <c r="P46" s="64">
        <f t="shared" si="5"/>
        <v>0</v>
      </c>
      <c r="Q46" s="61">
        <f>'External Delivery Fulfillment'!L8</f>
        <v>0</v>
      </c>
      <c r="R46" s="64">
        <f t="shared" si="6"/>
        <v>0</v>
      </c>
      <c r="S46" s="61">
        <f>'Forwarding From Client'!L8</f>
        <v>0</v>
      </c>
      <c r="T46" s="64">
        <f t="shared" si="7"/>
        <v>0</v>
      </c>
      <c r="U46" s="61">
        <f>'Dala Restocking'!L8</f>
        <v>0</v>
      </c>
      <c r="V46" s="64">
        <f t="shared" si="8"/>
        <v>0</v>
      </c>
      <c r="W46" s="61">
        <f>'Client Restocking'!L8</f>
        <v>0</v>
      </c>
    </row>
    <row r="47">
      <c r="B47" s="99"/>
      <c r="C47" s="100"/>
      <c r="D47" s="99"/>
      <c r="E47" s="100"/>
      <c r="F47" s="101"/>
      <c r="G47" s="64">
        <f t="shared" si="1"/>
        <v>0</v>
      </c>
      <c r="H47" s="101"/>
      <c r="I47" s="101"/>
      <c r="J47" s="101"/>
      <c r="K47" s="101"/>
      <c r="L47" s="98">
        <f t="shared" si="2"/>
        <v>0</v>
      </c>
      <c r="M47" s="61">
        <f t="shared" si="3"/>
        <v>0</v>
      </c>
      <c r="N47" s="64">
        <f t="shared" si="4"/>
        <v>0</v>
      </c>
      <c r="O47" s="61">
        <f>'Dala Sales &amp; Deliveries'!L9</f>
        <v>0</v>
      </c>
      <c r="P47" s="64">
        <f t="shared" si="5"/>
        <v>0</v>
      </c>
      <c r="Q47" s="61">
        <f>'External Delivery Fulfillment'!L9</f>
        <v>0</v>
      </c>
      <c r="R47" s="64">
        <f t="shared" si="6"/>
        <v>0</v>
      </c>
      <c r="S47" s="61">
        <f>'Forwarding From Client'!L9</f>
        <v>0</v>
      </c>
      <c r="T47" s="64">
        <f t="shared" si="7"/>
        <v>0</v>
      </c>
      <c r="U47" s="61">
        <f>'Dala Restocking'!L9</f>
        <v>0</v>
      </c>
      <c r="V47" s="64">
        <f t="shared" si="8"/>
        <v>0</v>
      </c>
      <c r="W47" s="61">
        <f>'Client Restocking'!L9</f>
        <v>0</v>
      </c>
    </row>
    <row r="48">
      <c r="B48" s="99"/>
      <c r="C48" s="100"/>
      <c r="D48" s="99"/>
      <c r="E48" s="100"/>
      <c r="F48" s="101"/>
      <c r="G48" s="64">
        <f t="shared" si="1"/>
        <v>0</v>
      </c>
      <c r="H48" s="101"/>
      <c r="I48" s="101"/>
      <c r="J48" s="101"/>
      <c r="K48" s="101"/>
      <c r="L48" s="98">
        <f t="shared" si="2"/>
        <v>0</v>
      </c>
      <c r="M48" s="61">
        <f t="shared" si="3"/>
        <v>0</v>
      </c>
      <c r="N48" s="64">
        <f t="shared" si="4"/>
        <v>0</v>
      </c>
      <c r="O48" s="61">
        <f>'Dala Sales &amp; Deliveries'!L10</f>
        <v>0</v>
      </c>
      <c r="P48" s="64">
        <f t="shared" si="5"/>
        <v>0</v>
      </c>
      <c r="Q48" s="61">
        <f>'External Delivery Fulfillment'!L10</f>
        <v>0</v>
      </c>
      <c r="R48" s="64">
        <f t="shared" si="6"/>
        <v>0</v>
      </c>
      <c r="S48" s="61">
        <f>'Forwarding From Client'!L10</f>
        <v>0</v>
      </c>
      <c r="T48" s="64">
        <f t="shared" si="7"/>
        <v>0</v>
      </c>
      <c r="U48" s="61">
        <f>'Dala Restocking'!L10</f>
        <v>0</v>
      </c>
      <c r="V48" s="64">
        <f t="shared" si="8"/>
        <v>0</v>
      </c>
      <c r="W48" s="61">
        <f>'Client Restocking'!L10</f>
        <v>0</v>
      </c>
    </row>
    <row r="49">
      <c r="B49" s="99"/>
      <c r="C49" s="100"/>
      <c r="D49" s="99"/>
      <c r="E49" s="100"/>
      <c r="F49" s="101"/>
      <c r="G49" s="64">
        <f t="shared" si="1"/>
        <v>0</v>
      </c>
      <c r="H49" s="101"/>
      <c r="I49" s="101"/>
      <c r="J49" s="101"/>
      <c r="K49" s="101"/>
      <c r="L49" s="98">
        <f t="shared" si="2"/>
        <v>0</v>
      </c>
      <c r="M49" s="61">
        <f t="shared" si="3"/>
        <v>0</v>
      </c>
      <c r="N49" s="64">
        <f t="shared" si="4"/>
        <v>0</v>
      </c>
      <c r="O49" s="61">
        <f>'Dala Sales &amp; Deliveries'!L11</f>
        <v>0</v>
      </c>
      <c r="P49" s="64">
        <f t="shared" si="5"/>
        <v>0</v>
      </c>
      <c r="Q49" s="61">
        <f>'External Delivery Fulfillment'!L11</f>
        <v>0</v>
      </c>
      <c r="R49" s="64">
        <f t="shared" si="6"/>
        <v>0</v>
      </c>
      <c r="S49" s="61">
        <f>'Forwarding From Client'!L11</f>
        <v>0</v>
      </c>
      <c r="T49" s="64">
        <f t="shared" si="7"/>
        <v>0</v>
      </c>
      <c r="U49" s="61">
        <f>'Dala Restocking'!L11</f>
        <v>0</v>
      </c>
      <c r="V49" s="64">
        <f t="shared" si="8"/>
        <v>0</v>
      </c>
      <c r="W49" s="61">
        <f>'Client Restocking'!L11</f>
        <v>0</v>
      </c>
    </row>
    <row r="50">
      <c r="B50" s="99"/>
      <c r="C50" s="100"/>
      <c r="D50" s="99"/>
      <c r="E50" s="100"/>
      <c r="F50" s="101"/>
      <c r="G50" s="64">
        <f t="shared" si="1"/>
        <v>0</v>
      </c>
      <c r="H50" s="101"/>
      <c r="I50" s="101"/>
      <c r="J50" s="101"/>
      <c r="K50" s="101"/>
      <c r="L50" s="98">
        <f t="shared" si="2"/>
        <v>0</v>
      </c>
      <c r="M50" s="61">
        <f t="shared" si="3"/>
        <v>0</v>
      </c>
      <c r="N50" s="64">
        <f t="shared" si="4"/>
        <v>0</v>
      </c>
      <c r="O50" s="61">
        <f>'Dala Sales &amp; Deliveries'!L12</f>
        <v>0</v>
      </c>
      <c r="P50" s="64">
        <f t="shared" si="5"/>
        <v>0</v>
      </c>
      <c r="Q50" s="61">
        <f>'External Delivery Fulfillment'!L12</f>
        <v>0</v>
      </c>
      <c r="R50" s="64">
        <f t="shared" si="6"/>
        <v>0</v>
      </c>
      <c r="S50" s="61">
        <f>'Forwarding From Client'!L12</f>
        <v>0</v>
      </c>
      <c r="T50" s="64">
        <f t="shared" si="7"/>
        <v>0</v>
      </c>
      <c r="U50" s="61">
        <f>'Dala Restocking'!L12</f>
        <v>0</v>
      </c>
      <c r="V50" s="64">
        <f t="shared" si="8"/>
        <v>0</v>
      </c>
      <c r="W50" s="61">
        <f>'Client Restocking'!L12</f>
        <v>0</v>
      </c>
    </row>
    <row r="51">
      <c r="B51" s="99"/>
      <c r="C51" s="100"/>
      <c r="D51" s="99"/>
      <c r="E51" s="100"/>
      <c r="F51" s="101"/>
      <c r="G51" s="64">
        <f t="shared" si="1"/>
        <v>0</v>
      </c>
      <c r="H51" s="101"/>
      <c r="I51" s="101"/>
      <c r="J51" s="101"/>
      <c r="K51" s="101"/>
      <c r="L51" s="98">
        <f t="shared" si="2"/>
        <v>0</v>
      </c>
      <c r="M51" s="61">
        <f t="shared" si="3"/>
        <v>0</v>
      </c>
      <c r="N51" s="64">
        <f t="shared" si="4"/>
        <v>0</v>
      </c>
      <c r="O51" s="61">
        <f>'Dala Sales &amp; Deliveries'!L13</f>
        <v>0</v>
      </c>
      <c r="P51" s="64">
        <f t="shared" si="5"/>
        <v>0</v>
      </c>
      <c r="Q51" s="61">
        <f>'External Delivery Fulfillment'!L13</f>
        <v>0</v>
      </c>
      <c r="R51" s="64">
        <f t="shared" si="6"/>
        <v>0</v>
      </c>
      <c r="S51" s="61">
        <f>'Forwarding From Client'!L13</f>
        <v>0</v>
      </c>
      <c r="T51" s="64">
        <f t="shared" si="7"/>
        <v>0</v>
      </c>
      <c r="U51" s="61">
        <f>'Dala Restocking'!L13</f>
        <v>0</v>
      </c>
      <c r="V51" s="64">
        <f t="shared" si="8"/>
        <v>0</v>
      </c>
      <c r="W51" s="61">
        <f>'Client Restocking'!L13</f>
        <v>0</v>
      </c>
    </row>
    <row r="52">
      <c r="B52" s="101"/>
      <c r="C52" s="101"/>
      <c r="D52" s="101"/>
      <c r="E52" s="101"/>
      <c r="F52" s="101"/>
      <c r="G52" s="64">
        <f t="shared" si="1"/>
        <v>0</v>
      </c>
      <c r="H52" s="101"/>
      <c r="I52" s="101"/>
      <c r="J52" s="101"/>
      <c r="K52" s="101"/>
      <c r="L52" s="62">
        <f t="shared" si="2"/>
        <v>0</v>
      </c>
      <c r="M52" s="64">
        <f t="shared" si="3"/>
        <v>0</v>
      </c>
      <c r="N52" s="64">
        <f t="shared" si="4"/>
        <v>0</v>
      </c>
      <c r="O52" s="64" t="str">
        <f>'Dala Sales &amp; Deliveries'!L14</f>
        <v/>
      </c>
      <c r="P52" s="64">
        <f t="shared" si="5"/>
        <v>0</v>
      </c>
      <c r="Q52" s="64" t="str">
        <f>'External Delivery Fulfillment'!L14</f>
        <v/>
      </c>
      <c r="R52" s="64">
        <f t="shared" si="6"/>
        <v>0</v>
      </c>
      <c r="S52" s="64" t="str">
        <f>'Forwarding From Client'!L14</f>
        <v/>
      </c>
      <c r="T52" s="64">
        <f t="shared" si="7"/>
        <v>0</v>
      </c>
      <c r="U52" s="64" t="str">
        <f>'Dala Restocking'!L14</f>
        <v/>
      </c>
      <c r="V52" s="64">
        <f t="shared" si="8"/>
        <v>0</v>
      </c>
      <c r="W52" s="64" t="str">
        <f>'Client Restocking'!L14</f>
        <v/>
      </c>
    </row>
    <row r="53">
      <c r="B53" s="101"/>
      <c r="C53" s="101"/>
      <c r="D53" s="101"/>
      <c r="E53" s="101"/>
      <c r="F53" s="101"/>
      <c r="G53" s="64">
        <f t="shared" si="1"/>
        <v>0</v>
      </c>
      <c r="H53" s="101"/>
      <c r="I53" s="101"/>
      <c r="J53" s="101"/>
      <c r="K53" s="101"/>
      <c r="L53" s="62">
        <f t="shared" si="2"/>
        <v>0</v>
      </c>
      <c r="M53" s="64">
        <f t="shared" si="3"/>
        <v>0</v>
      </c>
      <c r="N53" s="64">
        <f t="shared" si="4"/>
        <v>0</v>
      </c>
      <c r="O53" s="64" t="str">
        <f>'Dala Sales &amp; Deliveries'!L15</f>
        <v/>
      </c>
      <c r="P53" s="64">
        <f t="shared" si="5"/>
        <v>0</v>
      </c>
      <c r="Q53" s="64" t="str">
        <f>'External Delivery Fulfillment'!L15</f>
        <v/>
      </c>
      <c r="R53" s="64">
        <f t="shared" si="6"/>
        <v>0</v>
      </c>
      <c r="S53" s="64" t="str">
        <f>'Forwarding From Client'!L15</f>
        <v/>
      </c>
      <c r="T53" s="64">
        <f t="shared" si="7"/>
        <v>0</v>
      </c>
      <c r="U53" s="64" t="str">
        <f>'Dala Restocking'!L15</f>
        <v/>
      </c>
      <c r="V53" s="64">
        <f t="shared" si="8"/>
        <v>0</v>
      </c>
      <c r="W53" s="64" t="str">
        <f>'Client Restocking'!L15</f>
        <v/>
      </c>
    </row>
    <row r="54">
      <c r="B54" s="101"/>
      <c r="C54" s="101"/>
      <c r="D54" s="101"/>
      <c r="E54" s="101"/>
      <c r="F54" s="101"/>
      <c r="G54" s="64">
        <f t="shared" si="1"/>
        <v>0</v>
      </c>
      <c r="H54" s="101"/>
      <c r="I54" s="101"/>
      <c r="J54" s="101"/>
      <c r="K54" s="101"/>
      <c r="L54" s="62">
        <f t="shared" si="2"/>
        <v>0</v>
      </c>
      <c r="M54" s="64">
        <f t="shared" si="3"/>
        <v>0</v>
      </c>
      <c r="N54" s="64">
        <f t="shared" si="4"/>
        <v>0</v>
      </c>
      <c r="O54" s="64" t="str">
        <f>'Dala Sales &amp; Deliveries'!L16</f>
        <v/>
      </c>
      <c r="P54" s="64">
        <f t="shared" si="5"/>
        <v>0</v>
      </c>
      <c r="Q54" s="64" t="str">
        <f>'External Delivery Fulfillment'!L16</f>
        <v/>
      </c>
      <c r="R54" s="64">
        <f t="shared" si="6"/>
        <v>0</v>
      </c>
      <c r="S54" s="64" t="str">
        <f>'Forwarding From Client'!L16</f>
        <v/>
      </c>
      <c r="T54" s="64">
        <f t="shared" si="7"/>
        <v>0</v>
      </c>
      <c r="U54" s="64" t="str">
        <f>'Dala Restocking'!L16</f>
        <v/>
      </c>
      <c r="V54" s="64">
        <f t="shared" si="8"/>
        <v>0</v>
      </c>
      <c r="W54" s="64" t="str">
        <f>'Client Restocking'!L16</f>
        <v/>
      </c>
    </row>
    <row r="55">
      <c r="B55" s="101"/>
      <c r="C55" s="101"/>
      <c r="D55" s="101"/>
      <c r="E55" s="101"/>
      <c r="F55" s="101"/>
      <c r="G55" s="64">
        <f t="shared" si="1"/>
        <v>0</v>
      </c>
      <c r="H55" s="101"/>
      <c r="I55" s="101"/>
      <c r="J55" s="101"/>
      <c r="K55" s="101"/>
      <c r="L55" s="62">
        <f t="shared" si="2"/>
        <v>0</v>
      </c>
      <c r="M55" s="64">
        <f t="shared" si="3"/>
        <v>0</v>
      </c>
      <c r="N55" s="64">
        <f t="shared" si="4"/>
        <v>0</v>
      </c>
      <c r="O55" s="64" t="str">
        <f>'Dala Sales &amp; Deliveries'!L17</f>
        <v/>
      </c>
      <c r="P55" s="64">
        <f t="shared" si="5"/>
        <v>0</v>
      </c>
      <c r="Q55" s="64" t="str">
        <f>'External Delivery Fulfillment'!L17</f>
        <v/>
      </c>
      <c r="R55" s="64">
        <f t="shared" si="6"/>
        <v>0</v>
      </c>
      <c r="S55" s="64" t="str">
        <f>'Forwarding From Client'!L17</f>
        <v/>
      </c>
      <c r="T55" s="64">
        <f t="shared" si="7"/>
        <v>0</v>
      </c>
      <c r="U55" s="64" t="str">
        <f>'Dala Restocking'!L17</f>
        <v/>
      </c>
      <c r="V55" s="64">
        <f t="shared" si="8"/>
        <v>0</v>
      </c>
      <c r="W55" s="64" t="str">
        <f>'Client Restocking'!L17</f>
        <v/>
      </c>
    </row>
    <row r="56">
      <c r="B56" s="101"/>
      <c r="C56" s="101"/>
      <c r="D56" s="101"/>
      <c r="E56" s="101"/>
      <c r="F56" s="101"/>
      <c r="G56" s="64">
        <f t="shared" si="1"/>
        <v>0</v>
      </c>
      <c r="H56" s="101"/>
      <c r="I56" s="101"/>
      <c r="J56" s="101"/>
      <c r="K56" s="101"/>
      <c r="L56" s="62">
        <f t="shared" si="2"/>
        <v>0</v>
      </c>
      <c r="M56" s="64">
        <f t="shared" si="3"/>
        <v>0</v>
      </c>
      <c r="N56" s="64">
        <f t="shared" si="4"/>
        <v>0</v>
      </c>
      <c r="O56" s="64" t="str">
        <f>'Dala Sales &amp; Deliveries'!L18</f>
        <v/>
      </c>
      <c r="P56" s="64">
        <f t="shared" si="5"/>
        <v>0</v>
      </c>
      <c r="Q56" s="64" t="str">
        <f>'External Delivery Fulfillment'!L18</f>
        <v/>
      </c>
      <c r="R56" s="64">
        <f t="shared" si="6"/>
        <v>0</v>
      </c>
      <c r="S56" s="64" t="str">
        <f>'Forwarding From Client'!L18</f>
        <v/>
      </c>
      <c r="T56" s="64">
        <f t="shared" si="7"/>
        <v>0</v>
      </c>
      <c r="U56" s="64" t="str">
        <f>'Dala Restocking'!L18</f>
        <v/>
      </c>
      <c r="V56" s="64">
        <f t="shared" si="8"/>
        <v>0</v>
      </c>
      <c r="W56" s="64" t="str">
        <f>'Client Restocking'!L18</f>
        <v/>
      </c>
    </row>
    <row r="57">
      <c r="B57" s="101"/>
      <c r="C57" s="101"/>
      <c r="D57" s="101"/>
      <c r="E57" s="101"/>
      <c r="F57" s="101"/>
      <c r="G57" s="64">
        <f t="shared" si="1"/>
        <v>0</v>
      </c>
      <c r="H57" s="101"/>
      <c r="I57" s="101"/>
      <c r="J57" s="101"/>
      <c r="K57" s="101"/>
      <c r="L57" s="62">
        <f t="shared" si="2"/>
        <v>0</v>
      </c>
      <c r="M57" s="64">
        <f t="shared" si="3"/>
        <v>0</v>
      </c>
      <c r="N57" s="64">
        <f t="shared" si="4"/>
        <v>0</v>
      </c>
      <c r="O57" s="64" t="str">
        <f>'Dala Sales &amp; Deliveries'!L19</f>
        <v/>
      </c>
      <c r="P57" s="64">
        <f t="shared" si="5"/>
        <v>0</v>
      </c>
      <c r="Q57" s="64" t="str">
        <f>'External Delivery Fulfillment'!L19</f>
        <v/>
      </c>
      <c r="R57" s="64">
        <f t="shared" si="6"/>
        <v>0</v>
      </c>
      <c r="S57" s="64" t="str">
        <f>'Forwarding From Client'!L19</f>
        <v/>
      </c>
      <c r="T57" s="64">
        <f t="shared" si="7"/>
        <v>0</v>
      </c>
      <c r="U57" s="64" t="str">
        <f>'Dala Restocking'!L19</f>
        <v/>
      </c>
      <c r="V57" s="64">
        <f t="shared" si="8"/>
        <v>0</v>
      </c>
      <c r="W57" s="64" t="str">
        <f>'Client Restocking'!L19</f>
        <v/>
      </c>
    </row>
    <row r="58">
      <c r="B58" s="101"/>
      <c r="C58" s="101"/>
      <c r="D58" s="101"/>
      <c r="E58" s="101"/>
      <c r="F58" s="101"/>
      <c r="G58" s="64">
        <f t="shared" si="1"/>
        <v>0</v>
      </c>
      <c r="H58" s="101"/>
      <c r="I58" s="101"/>
      <c r="J58" s="101"/>
      <c r="K58" s="101"/>
      <c r="L58" s="62">
        <f t="shared" si="2"/>
        <v>0</v>
      </c>
      <c r="M58" s="64">
        <f t="shared" si="3"/>
        <v>0</v>
      </c>
      <c r="N58" s="64">
        <f t="shared" si="4"/>
        <v>0</v>
      </c>
      <c r="O58" s="64" t="str">
        <f>'Dala Sales &amp; Deliveries'!L20</f>
        <v/>
      </c>
      <c r="P58" s="64">
        <f t="shared" si="5"/>
        <v>0</v>
      </c>
      <c r="Q58" s="64" t="str">
        <f>'External Delivery Fulfillment'!L20</f>
        <v/>
      </c>
      <c r="R58" s="64">
        <f t="shared" si="6"/>
        <v>0</v>
      </c>
      <c r="S58" s="64" t="str">
        <f>'Forwarding From Client'!L20</f>
        <v/>
      </c>
      <c r="T58" s="64">
        <f t="shared" si="7"/>
        <v>0</v>
      </c>
      <c r="U58" s="64" t="str">
        <f>'Dala Restocking'!L20</f>
        <v/>
      </c>
      <c r="V58" s="64">
        <f t="shared" si="8"/>
        <v>0</v>
      </c>
      <c r="W58" s="64" t="str">
        <f>'Client Restocking'!L20</f>
        <v/>
      </c>
    </row>
    <row r="59">
      <c r="B59" s="101"/>
      <c r="C59" s="101"/>
      <c r="D59" s="101"/>
      <c r="E59" s="101"/>
      <c r="F59" s="101"/>
      <c r="G59" s="64">
        <f t="shared" si="1"/>
        <v>0</v>
      </c>
      <c r="H59" s="101"/>
      <c r="I59" s="101"/>
      <c r="J59" s="101"/>
      <c r="K59" s="101"/>
      <c r="L59" s="62">
        <f t="shared" si="2"/>
        <v>0</v>
      </c>
      <c r="M59" s="64">
        <f t="shared" si="3"/>
        <v>0</v>
      </c>
      <c r="N59" s="64">
        <f t="shared" si="4"/>
        <v>0</v>
      </c>
      <c r="O59" s="64" t="str">
        <f>'Dala Sales &amp; Deliveries'!L21</f>
        <v/>
      </c>
      <c r="P59" s="64">
        <f t="shared" si="5"/>
        <v>0</v>
      </c>
      <c r="Q59" s="64" t="str">
        <f>'External Delivery Fulfillment'!L21</f>
        <v/>
      </c>
      <c r="R59" s="64">
        <f t="shared" si="6"/>
        <v>0</v>
      </c>
      <c r="S59" s="64" t="str">
        <f>'Forwarding From Client'!L21</f>
        <v/>
      </c>
      <c r="T59" s="64">
        <f t="shared" si="7"/>
        <v>0</v>
      </c>
      <c r="U59" s="64" t="str">
        <f>'Dala Restocking'!L21</f>
        <v/>
      </c>
      <c r="V59" s="64">
        <f t="shared" si="8"/>
        <v>0</v>
      </c>
      <c r="W59" s="64" t="str">
        <f>'Client Restocking'!L21</f>
        <v/>
      </c>
    </row>
    <row r="60">
      <c r="B60" s="101"/>
      <c r="C60" s="101"/>
      <c r="D60" s="101"/>
      <c r="E60" s="101"/>
      <c r="F60" s="101"/>
      <c r="G60" s="64">
        <f t="shared" si="1"/>
        <v>0</v>
      </c>
      <c r="H60" s="101"/>
      <c r="I60" s="101"/>
      <c r="J60" s="101"/>
      <c r="K60" s="101"/>
      <c r="L60" s="62">
        <f t="shared" si="2"/>
        <v>0</v>
      </c>
      <c r="M60" s="64">
        <f t="shared" si="3"/>
        <v>0</v>
      </c>
      <c r="N60" s="64">
        <f t="shared" si="4"/>
        <v>0</v>
      </c>
      <c r="O60" s="64" t="str">
        <f>'Dala Sales &amp; Deliveries'!L22</f>
        <v/>
      </c>
      <c r="P60" s="64">
        <f t="shared" si="5"/>
        <v>0</v>
      </c>
      <c r="Q60" s="64" t="str">
        <f>'External Delivery Fulfillment'!L22</f>
        <v/>
      </c>
      <c r="R60" s="64">
        <f t="shared" si="6"/>
        <v>0</v>
      </c>
      <c r="S60" s="64" t="str">
        <f>'Forwarding From Client'!L22</f>
        <v/>
      </c>
      <c r="T60" s="64">
        <f t="shared" si="7"/>
        <v>0</v>
      </c>
      <c r="U60" s="64" t="str">
        <f>'Dala Restocking'!L22</f>
        <v/>
      </c>
      <c r="V60" s="64">
        <f t="shared" si="8"/>
        <v>0</v>
      </c>
      <c r="W60" s="64" t="str">
        <f>'Client Restocking'!L22</f>
        <v/>
      </c>
    </row>
    <row r="61">
      <c r="B61" s="101"/>
      <c r="C61" s="101"/>
      <c r="D61" s="101"/>
      <c r="E61" s="101"/>
      <c r="F61" s="101"/>
      <c r="G61" s="64">
        <f t="shared" si="1"/>
        <v>0</v>
      </c>
      <c r="H61" s="101"/>
      <c r="I61" s="101"/>
      <c r="J61" s="101"/>
      <c r="K61" s="101"/>
      <c r="L61" s="62">
        <f t="shared" si="2"/>
        <v>0</v>
      </c>
      <c r="M61" s="64">
        <f t="shared" si="3"/>
        <v>0</v>
      </c>
      <c r="N61" s="64">
        <f t="shared" si="4"/>
        <v>0</v>
      </c>
      <c r="O61" s="64" t="str">
        <f>'Dala Sales &amp; Deliveries'!L23</f>
        <v/>
      </c>
      <c r="P61" s="64">
        <f t="shared" si="5"/>
        <v>0</v>
      </c>
      <c r="Q61" s="64" t="str">
        <f>'External Delivery Fulfillment'!L23</f>
        <v/>
      </c>
      <c r="R61" s="64">
        <f t="shared" si="6"/>
        <v>0</v>
      </c>
      <c r="S61" s="64" t="str">
        <f>'Forwarding From Client'!L23</f>
        <v/>
      </c>
      <c r="T61" s="64">
        <f t="shared" si="7"/>
        <v>0</v>
      </c>
      <c r="U61" s="64" t="str">
        <f>'Dala Restocking'!L23</f>
        <v/>
      </c>
      <c r="V61" s="64">
        <f t="shared" si="8"/>
        <v>0</v>
      </c>
      <c r="W61" s="64" t="str">
        <f>'Client Restocking'!L23</f>
        <v/>
      </c>
    </row>
    <row r="62">
      <c r="B62" s="101"/>
      <c r="C62" s="101"/>
      <c r="D62" s="101"/>
      <c r="E62" s="101"/>
      <c r="F62" s="101"/>
      <c r="G62" s="64">
        <f t="shared" si="1"/>
        <v>0</v>
      </c>
      <c r="H62" s="101"/>
      <c r="I62" s="101"/>
      <c r="J62" s="101"/>
      <c r="K62" s="101"/>
      <c r="L62" s="62">
        <f t="shared" si="2"/>
        <v>0</v>
      </c>
      <c r="M62" s="64">
        <f t="shared" si="3"/>
        <v>0</v>
      </c>
      <c r="N62" s="64">
        <f t="shared" si="4"/>
        <v>0</v>
      </c>
      <c r="O62" s="64" t="str">
        <f>'Dala Sales &amp; Deliveries'!L24</f>
        <v/>
      </c>
      <c r="P62" s="64">
        <f t="shared" si="5"/>
        <v>0</v>
      </c>
      <c r="Q62" s="64" t="str">
        <f>'External Delivery Fulfillment'!L24</f>
        <v/>
      </c>
      <c r="R62" s="64">
        <f t="shared" si="6"/>
        <v>0</v>
      </c>
      <c r="S62" s="64" t="str">
        <f>'Forwarding From Client'!L24</f>
        <v/>
      </c>
      <c r="T62" s="64">
        <f t="shared" si="7"/>
        <v>0</v>
      </c>
      <c r="U62" s="64" t="str">
        <f>'Dala Restocking'!L24</f>
        <v/>
      </c>
      <c r="V62" s="64">
        <f t="shared" si="8"/>
        <v>0</v>
      </c>
      <c r="W62" s="64" t="str">
        <f>'Client Restocking'!L24</f>
        <v/>
      </c>
    </row>
    <row r="63">
      <c r="B63" s="101"/>
      <c r="C63" s="101"/>
      <c r="D63" s="101"/>
      <c r="E63" s="101"/>
      <c r="F63" s="101"/>
      <c r="G63" s="64">
        <f t="shared" si="1"/>
        <v>0</v>
      </c>
      <c r="H63" s="101"/>
      <c r="I63" s="101"/>
      <c r="J63" s="101"/>
      <c r="K63" s="101"/>
      <c r="L63" s="62">
        <f t="shared" si="2"/>
        <v>0</v>
      </c>
      <c r="M63" s="64">
        <f t="shared" si="3"/>
        <v>0</v>
      </c>
      <c r="N63" s="64">
        <f t="shared" si="4"/>
        <v>0</v>
      </c>
      <c r="O63" s="64" t="str">
        <f>'Dala Sales &amp; Deliveries'!L25</f>
        <v/>
      </c>
      <c r="P63" s="64">
        <f t="shared" si="5"/>
        <v>0</v>
      </c>
      <c r="Q63" s="64" t="str">
        <f>'External Delivery Fulfillment'!L25</f>
        <v/>
      </c>
      <c r="R63" s="64">
        <f t="shared" si="6"/>
        <v>0</v>
      </c>
      <c r="S63" s="64" t="str">
        <f>'Forwarding From Client'!L25</f>
        <v/>
      </c>
      <c r="T63" s="64">
        <f t="shared" si="7"/>
        <v>0</v>
      </c>
      <c r="U63" s="64" t="str">
        <f>'Dala Restocking'!L25</f>
        <v/>
      </c>
      <c r="V63" s="64">
        <f t="shared" si="8"/>
        <v>0</v>
      </c>
      <c r="W63" s="64" t="str">
        <f>'Client Restocking'!L25</f>
        <v/>
      </c>
    </row>
    <row r="64">
      <c r="B64" s="101"/>
      <c r="C64" s="101"/>
      <c r="D64" s="101"/>
      <c r="E64" s="101"/>
      <c r="F64" s="101"/>
      <c r="G64" s="64">
        <f t="shared" si="1"/>
        <v>0</v>
      </c>
      <c r="H64" s="101"/>
      <c r="I64" s="101"/>
      <c r="J64" s="101"/>
      <c r="K64" s="101"/>
      <c r="L64" s="62">
        <f t="shared" si="2"/>
        <v>0</v>
      </c>
      <c r="M64" s="64">
        <f t="shared" si="3"/>
        <v>0</v>
      </c>
      <c r="N64" s="64">
        <f t="shared" si="4"/>
        <v>0</v>
      </c>
      <c r="O64" s="64" t="str">
        <f>'Dala Sales &amp; Deliveries'!L26</f>
        <v/>
      </c>
      <c r="P64" s="64">
        <f t="shared" si="5"/>
        <v>0</v>
      </c>
      <c r="Q64" s="64" t="str">
        <f>'External Delivery Fulfillment'!L26</f>
        <v/>
      </c>
      <c r="R64" s="64">
        <f t="shared" si="6"/>
        <v>0</v>
      </c>
      <c r="S64" s="64" t="str">
        <f>'Forwarding From Client'!L26</f>
        <v/>
      </c>
      <c r="T64" s="64">
        <f t="shared" si="7"/>
        <v>0</v>
      </c>
      <c r="U64" s="64" t="str">
        <f>'Dala Restocking'!L26</f>
        <v/>
      </c>
      <c r="V64" s="64">
        <f t="shared" si="8"/>
        <v>0</v>
      </c>
      <c r="W64" s="64" t="str">
        <f>'Client Restocking'!L26</f>
        <v/>
      </c>
    </row>
    <row r="65">
      <c r="B65" s="101"/>
      <c r="C65" s="101"/>
      <c r="D65" s="101"/>
      <c r="E65" s="101"/>
      <c r="F65" s="101"/>
      <c r="G65" s="64">
        <f t="shared" si="1"/>
        <v>0</v>
      </c>
      <c r="H65" s="101"/>
      <c r="I65" s="101"/>
      <c r="J65" s="101"/>
      <c r="K65" s="101"/>
      <c r="L65" s="62">
        <f t="shared" si="2"/>
        <v>0</v>
      </c>
      <c r="M65" s="64">
        <f t="shared" si="3"/>
        <v>0</v>
      </c>
      <c r="N65" s="64">
        <f t="shared" si="4"/>
        <v>0</v>
      </c>
      <c r="O65" s="64" t="str">
        <f>'Dala Sales &amp; Deliveries'!L27</f>
        <v/>
      </c>
      <c r="P65" s="64">
        <f t="shared" si="5"/>
        <v>0</v>
      </c>
      <c r="Q65" s="64" t="str">
        <f>'External Delivery Fulfillment'!L27</f>
        <v/>
      </c>
      <c r="R65" s="64">
        <f t="shared" si="6"/>
        <v>0</v>
      </c>
      <c r="S65" s="64" t="str">
        <f>'Forwarding From Client'!L27</f>
        <v/>
      </c>
      <c r="T65" s="64">
        <f t="shared" si="7"/>
        <v>0</v>
      </c>
      <c r="U65" s="64" t="str">
        <f>'Dala Restocking'!L27</f>
        <v/>
      </c>
      <c r="V65" s="64">
        <f t="shared" si="8"/>
        <v>0</v>
      </c>
      <c r="W65" s="64" t="str">
        <f>'Client Restocking'!L27</f>
        <v/>
      </c>
    </row>
    <row r="66">
      <c r="B66" s="101"/>
      <c r="C66" s="101"/>
      <c r="D66" s="101"/>
      <c r="E66" s="101"/>
      <c r="F66" s="101"/>
      <c r="G66" s="64">
        <f t="shared" si="1"/>
        <v>0</v>
      </c>
      <c r="H66" s="101"/>
      <c r="I66" s="101"/>
      <c r="J66" s="101"/>
      <c r="K66" s="101"/>
      <c r="L66" s="62">
        <f t="shared" si="2"/>
        <v>0</v>
      </c>
      <c r="M66" s="64">
        <f t="shared" si="3"/>
        <v>0</v>
      </c>
      <c r="N66" s="64">
        <f t="shared" si="4"/>
        <v>0</v>
      </c>
      <c r="O66" s="64" t="str">
        <f>'Dala Sales &amp; Deliveries'!L28</f>
        <v/>
      </c>
      <c r="P66" s="64">
        <f t="shared" si="5"/>
        <v>0</v>
      </c>
      <c r="Q66" s="64" t="str">
        <f>'External Delivery Fulfillment'!L28</f>
        <v/>
      </c>
      <c r="R66" s="64">
        <f t="shared" si="6"/>
        <v>0</v>
      </c>
      <c r="S66" s="64" t="str">
        <f>'Forwarding From Client'!L28</f>
        <v/>
      </c>
      <c r="T66" s="64">
        <f t="shared" si="7"/>
        <v>0</v>
      </c>
      <c r="U66" s="64" t="str">
        <f>'Dala Restocking'!L28</f>
        <v/>
      </c>
      <c r="V66" s="64">
        <f t="shared" si="8"/>
        <v>0</v>
      </c>
      <c r="W66" s="64" t="str">
        <f>'Client Restocking'!L28</f>
        <v/>
      </c>
    </row>
    <row r="67">
      <c r="B67" s="101"/>
      <c r="C67" s="101"/>
      <c r="D67" s="101"/>
      <c r="E67" s="101"/>
      <c r="F67" s="101"/>
      <c r="G67" s="64">
        <f t="shared" si="1"/>
        <v>0</v>
      </c>
      <c r="H67" s="101"/>
      <c r="I67" s="101"/>
      <c r="J67" s="101"/>
      <c r="K67" s="101"/>
      <c r="L67" s="62">
        <f t="shared" si="2"/>
        <v>0</v>
      </c>
      <c r="M67" s="64">
        <f t="shared" si="3"/>
        <v>0</v>
      </c>
      <c r="N67" s="64">
        <f t="shared" si="4"/>
        <v>0</v>
      </c>
      <c r="O67" s="64" t="str">
        <f>'Dala Sales &amp; Deliveries'!L29</f>
        <v/>
      </c>
      <c r="P67" s="64">
        <f t="shared" si="5"/>
        <v>0</v>
      </c>
      <c r="Q67" s="64" t="str">
        <f>'External Delivery Fulfillment'!L29</f>
        <v/>
      </c>
      <c r="R67" s="64">
        <f t="shared" si="6"/>
        <v>0</v>
      </c>
      <c r="S67" s="64" t="str">
        <f>'Forwarding From Client'!L29</f>
        <v/>
      </c>
      <c r="T67" s="64">
        <f t="shared" si="7"/>
        <v>0</v>
      </c>
      <c r="U67" s="64" t="str">
        <f>'Dala Restocking'!L29</f>
        <v/>
      </c>
      <c r="V67" s="64">
        <f t="shared" si="8"/>
        <v>0</v>
      </c>
      <c r="W67" s="64" t="str">
        <f>'Client Restocking'!L29</f>
        <v/>
      </c>
    </row>
    <row r="68">
      <c r="B68" s="101"/>
      <c r="C68" s="101"/>
      <c r="D68" s="101"/>
      <c r="E68" s="101"/>
      <c r="F68" s="101"/>
      <c r="G68" s="64">
        <f t="shared" si="1"/>
        <v>0</v>
      </c>
      <c r="H68" s="101"/>
      <c r="I68" s="101"/>
      <c r="J68" s="101"/>
      <c r="K68" s="101"/>
      <c r="L68" s="62">
        <f t="shared" si="2"/>
        <v>0</v>
      </c>
      <c r="M68" s="64">
        <f t="shared" si="3"/>
        <v>0</v>
      </c>
      <c r="N68" s="64">
        <f t="shared" si="4"/>
        <v>0</v>
      </c>
      <c r="O68" s="64" t="str">
        <f>'Dala Sales &amp; Deliveries'!L30</f>
        <v/>
      </c>
      <c r="P68" s="64">
        <f t="shared" si="5"/>
        <v>0</v>
      </c>
      <c r="Q68" s="64" t="str">
        <f>'External Delivery Fulfillment'!L30</f>
        <v/>
      </c>
      <c r="R68" s="64">
        <f t="shared" si="6"/>
        <v>0</v>
      </c>
      <c r="S68" s="64" t="str">
        <f>'Forwarding From Client'!L30</f>
        <v/>
      </c>
      <c r="T68" s="64">
        <f t="shared" si="7"/>
        <v>0</v>
      </c>
      <c r="U68" s="64" t="str">
        <f>'Dala Restocking'!L30</f>
        <v/>
      </c>
      <c r="V68" s="64">
        <f t="shared" si="8"/>
        <v>0</v>
      </c>
      <c r="W68" s="64" t="str">
        <f>'Client Restocking'!L30</f>
        <v/>
      </c>
    </row>
    <row r="69">
      <c r="B69" s="62" t="s">
        <v>92</v>
      </c>
      <c r="C69" s="62"/>
      <c r="D69" s="62"/>
      <c r="E69" s="64"/>
      <c r="F69" s="102">
        <f t="shared" ref="F69:W69" si="9">sum(F40:F68)</f>
        <v>0</v>
      </c>
      <c r="G69" s="102">
        <f t="shared" si="9"/>
        <v>0</v>
      </c>
      <c r="H69" s="102">
        <f t="shared" si="9"/>
        <v>0</v>
      </c>
      <c r="I69" s="102">
        <f t="shared" si="9"/>
        <v>0</v>
      </c>
      <c r="J69" s="102">
        <f t="shared" si="9"/>
        <v>0</v>
      </c>
      <c r="K69" s="102">
        <f t="shared" si="9"/>
        <v>54.5</v>
      </c>
      <c r="L69" s="61">
        <f t="shared" si="9"/>
        <v>-2</v>
      </c>
      <c r="M69" s="61">
        <f t="shared" si="9"/>
        <v>56.5</v>
      </c>
      <c r="N69" s="64">
        <f t="shared" si="9"/>
        <v>1211800</v>
      </c>
      <c r="O69" s="61">
        <f t="shared" si="9"/>
        <v>2</v>
      </c>
      <c r="P69" s="64">
        <f t="shared" si="9"/>
        <v>2000</v>
      </c>
      <c r="Q69" s="61">
        <f t="shared" si="9"/>
        <v>0</v>
      </c>
      <c r="R69" s="64">
        <f t="shared" si="9"/>
        <v>0</v>
      </c>
      <c r="S69" s="61">
        <f t="shared" si="9"/>
        <v>0</v>
      </c>
      <c r="T69" s="64">
        <f t="shared" si="9"/>
        <v>0</v>
      </c>
      <c r="U69" s="61">
        <f t="shared" si="9"/>
        <v>0</v>
      </c>
      <c r="V69" s="64">
        <f t="shared" si="9"/>
        <v>0</v>
      </c>
      <c r="W69" s="61">
        <f t="shared" si="9"/>
        <v>0</v>
      </c>
    </row>
    <row r="70">
      <c r="C70" s="6" t="s">
        <v>93</v>
      </c>
      <c r="D70" s="6" t="s">
        <v>93</v>
      </c>
      <c r="E70" s="6" t="s">
        <v>93</v>
      </c>
      <c r="F70" s="6" t="s">
        <v>93</v>
      </c>
      <c r="G70" s="6" t="s">
        <v>93</v>
      </c>
      <c r="H70" s="6" t="s">
        <v>93</v>
      </c>
      <c r="I70" s="6" t="s">
        <v>93</v>
      </c>
      <c r="J70" s="6" t="s">
        <v>93</v>
      </c>
      <c r="K70" s="6" t="s">
        <v>93</v>
      </c>
      <c r="L70" s="6" t="s">
        <v>93</v>
      </c>
      <c r="M70" s="6" t="s">
        <v>93</v>
      </c>
      <c r="N70" s="6" t="s">
        <v>93</v>
      </c>
      <c r="O70" s="6" t="s">
        <v>93</v>
      </c>
      <c r="P70" s="6" t="s">
        <v>93</v>
      </c>
      <c r="Q70" s="6" t="s">
        <v>93</v>
      </c>
      <c r="R70" s="6" t="s">
        <v>93</v>
      </c>
      <c r="S70" s="6" t="s">
        <v>93</v>
      </c>
      <c r="T70" s="6" t="s">
        <v>93</v>
      </c>
      <c r="U70" s="6" t="s">
        <v>93</v>
      </c>
      <c r="V70" s="6" t="s">
        <v>93</v>
      </c>
      <c r="W70" s="6" t="s">
        <v>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6"/>
      <c r="B1" s="60" t="s">
        <v>31</v>
      </c>
      <c r="C1" s="60" t="s">
        <v>24</v>
      </c>
      <c r="D1" s="60" t="s">
        <v>32</v>
      </c>
      <c r="E1" s="60" t="s">
        <v>33</v>
      </c>
      <c r="F1" s="67"/>
    </row>
    <row r="2">
      <c r="A2" s="68" t="s">
        <v>34</v>
      </c>
      <c r="B2" s="69" t="s">
        <v>22</v>
      </c>
      <c r="C2" s="70"/>
      <c r="D2" s="70"/>
      <c r="E2" s="71">
        <f>'Dala Sales &amp; Deliveries'!I1+'External Delivery Fulfillment'!I1+'Forwarding From Client'!I1</f>
        <v>1</v>
      </c>
      <c r="F2" s="67"/>
    </row>
    <row r="3">
      <c r="A3" s="72"/>
      <c r="B3" s="69" t="s">
        <v>35</v>
      </c>
      <c r="C3" s="70"/>
      <c r="D3" s="70"/>
      <c r="E3" s="71">
        <f>'Raw Data'!AX2</f>
        <v>0</v>
      </c>
      <c r="F3" s="67"/>
    </row>
    <row r="4">
      <c r="B4" s="73" t="s">
        <v>36</v>
      </c>
      <c r="C4" s="67"/>
      <c r="D4" s="67"/>
      <c r="E4" s="74">
        <f>'Dala Sales &amp; Deliveries'!I3</f>
        <v>40930.24</v>
      </c>
      <c r="F4" s="67"/>
    </row>
    <row r="5">
      <c r="B5" s="73" t="s">
        <v>94</v>
      </c>
      <c r="C5" s="67"/>
      <c r="D5" s="67"/>
      <c r="E5" s="74">
        <f>E4*1.075-E4</f>
        <v>3069.768</v>
      </c>
      <c r="F5" s="67"/>
    </row>
    <row r="6">
      <c r="A6" s="80"/>
      <c r="B6" s="81" t="s">
        <v>39</v>
      </c>
      <c r="C6" s="82"/>
      <c r="D6" s="83"/>
      <c r="E6" s="84">
        <f>sum(E4:E5)</f>
        <v>44000.008</v>
      </c>
      <c r="F6" s="67"/>
    </row>
    <row r="7">
      <c r="A7" s="68" t="s">
        <v>40</v>
      </c>
      <c r="B7" s="69" t="s">
        <v>41</v>
      </c>
      <c r="C7" s="70"/>
      <c r="D7" s="85"/>
      <c r="E7" s="86"/>
    </row>
    <row r="8">
      <c r="A8" s="72"/>
      <c r="B8" s="69" t="s">
        <v>47</v>
      </c>
      <c r="C8" s="103">
        <v>0.06</v>
      </c>
      <c r="D8" s="85"/>
      <c r="E8" s="90">
        <f>E7*(C8+100%)-E7</f>
        <v>0</v>
      </c>
      <c r="K8" s="58"/>
      <c r="L8" s="58"/>
      <c r="M8" s="58"/>
      <c r="N8" s="58"/>
    </row>
    <row r="9">
      <c r="A9" s="80"/>
      <c r="B9" s="81" t="s">
        <v>42</v>
      </c>
      <c r="C9" s="87">
        <v>0.1</v>
      </c>
      <c r="D9" s="83"/>
      <c r="E9" s="84">
        <f>E7*(C9+100%)-E7</f>
        <v>0</v>
      </c>
      <c r="K9" s="58"/>
      <c r="L9" s="58"/>
      <c r="M9" s="58"/>
      <c r="N9" s="58"/>
    </row>
    <row r="10">
      <c r="A10" s="68" t="s">
        <v>45</v>
      </c>
      <c r="B10" s="69" t="s">
        <v>46</v>
      </c>
      <c r="C10" s="89">
        <v>1.0</v>
      </c>
      <c r="D10" s="90">
        <v>150000.0</v>
      </c>
      <c r="E10" s="90">
        <f>C10*D10</f>
        <v>150000</v>
      </c>
    </row>
    <row r="11">
      <c r="A11" s="72"/>
      <c r="B11" s="76" t="s">
        <v>95</v>
      </c>
      <c r="C11" s="70"/>
      <c r="D11" s="92"/>
      <c r="E11" s="90">
        <f>V67</f>
        <v>0</v>
      </c>
    </row>
    <row r="12">
      <c r="A12" s="72"/>
      <c r="B12" s="76" t="s">
        <v>62</v>
      </c>
      <c r="C12" s="70"/>
      <c r="D12" s="92"/>
      <c r="E12" s="90">
        <f>R67</f>
        <v>0</v>
      </c>
    </row>
    <row r="13">
      <c r="A13" s="72"/>
      <c r="B13" s="69" t="s">
        <v>49</v>
      </c>
      <c r="C13" s="85"/>
      <c r="D13" s="85"/>
      <c r="E13" s="104">
        <v>0.0</v>
      </c>
    </row>
    <row r="14">
      <c r="A14" s="72"/>
      <c r="B14" s="69" t="s">
        <v>50</v>
      </c>
      <c r="C14" s="85"/>
      <c r="D14" s="85"/>
      <c r="E14" s="90">
        <f>C28</f>
        <v>0</v>
      </c>
    </row>
    <row r="15">
      <c r="A15" s="80"/>
      <c r="B15" s="81" t="s">
        <v>96</v>
      </c>
      <c r="C15" s="83"/>
      <c r="D15" s="83"/>
      <c r="E15" s="84">
        <f>sum(E10:E14)</f>
        <v>150000</v>
      </c>
    </row>
    <row r="16">
      <c r="A16" s="78"/>
      <c r="B16" s="78"/>
      <c r="C16" s="78"/>
      <c r="D16" s="78"/>
      <c r="E16" s="78"/>
      <c r="H16" s="94"/>
      <c r="I16" s="94"/>
      <c r="J16" s="94"/>
      <c r="K16" s="94"/>
      <c r="L16" s="94"/>
      <c r="M16" s="94"/>
      <c r="N16" s="94"/>
      <c r="O16" s="94"/>
    </row>
    <row r="17">
      <c r="A17" s="1"/>
      <c r="B17" s="78"/>
      <c r="C17" s="78"/>
      <c r="D17" s="78"/>
      <c r="E17" s="78"/>
      <c r="H17" s="94"/>
      <c r="I17" s="94"/>
      <c r="J17" s="94"/>
      <c r="K17" s="94"/>
      <c r="L17" s="94"/>
      <c r="M17" s="94"/>
      <c r="N17" s="94"/>
      <c r="O17" s="94"/>
    </row>
    <row r="18">
      <c r="A18" s="1" t="s">
        <v>54</v>
      </c>
      <c r="B18" s="78"/>
      <c r="C18" s="78"/>
      <c r="D18" s="78"/>
      <c r="E18" s="78"/>
      <c r="H18" s="94"/>
      <c r="I18" s="94"/>
      <c r="J18" s="94"/>
      <c r="K18" s="94"/>
      <c r="L18" s="94"/>
      <c r="M18" s="94"/>
      <c r="N18" s="94"/>
      <c r="O18" s="94"/>
    </row>
    <row r="19">
      <c r="A19" s="78"/>
      <c r="B19" s="60" t="s">
        <v>55</v>
      </c>
      <c r="C19" s="95">
        <f>U67</f>
        <v>0</v>
      </c>
      <c r="D19" s="78"/>
      <c r="H19" s="105"/>
      <c r="I19" s="96"/>
      <c r="J19" s="96"/>
      <c r="K19" s="96"/>
      <c r="L19" s="96"/>
      <c r="M19" s="97"/>
      <c r="N19" s="94"/>
      <c r="O19" s="94"/>
    </row>
    <row r="20">
      <c r="A20" s="78"/>
      <c r="B20" s="60" t="s">
        <v>56</v>
      </c>
      <c r="C20" s="95">
        <f>V67</f>
        <v>0</v>
      </c>
      <c r="D20" s="78"/>
      <c r="H20" s="105"/>
      <c r="I20" s="96"/>
      <c r="J20" s="96"/>
      <c r="K20" s="96"/>
      <c r="L20" s="96"/>
      <c r="M20" s="97"/>
      <c r="N20" s="94"/>
      <c r="O20" s="94"/>
    </row>
    <row r="21">
      <c r="A21" s="78"/>
      <c r="B21" s="60" t="s">
        <v>57</v>
      </c>
      <c r="C21" s="95">
        <f>S67</f>
        <v>0</v>
      </c>
      <c r="D21" s="78"/>
      <c r="H21" s="105"/>
      <c r="I21" s="96"/>
      <c r="J21" s="96"/>
      <c r="K21" s="96"/>
      <c r="L21" s="96"/>
      <c r="M21" s="97"/>
      <c r="N21" s="94"/>
      <c r="O21" s="94"/>
    </row>
    <row r="22">
      <c r="A22" s="78"/>
      <c r="B22" s="60" t="s">
        <v>58</v>
      </c>
      <c r="C22" s="95">
        <f>T67</f>
        <v>0</v>
      </c>
      <c r="D22" s="78"/>
      <c r="H22" s="105"/>
      <c r="I22" s="96"/>
      <c r="J22" s="96"/>
      <c r="K22" s="96"/>
      <c r="L22" s="96"/>
      <c r="M22" s="97"/>
      <c r="N22" s="94"/>
      <c r="O22" s="94"/>
    </row>
    <row r="23">
      <c r="A23" s="78"/>
      <c r="B23" s="60" t="s">
        <v>59</v>
      </c>
      <c r="C23" s="95">
        <f>O67</f>
        <v>2</v>
      </c>
      <c r="D23" s="78"/>
      <c r="H23" s="105"/>
      <c r="I23" s="96"/>
      <c r="J23" s="96"/>
      <c r="K23" s="96"/>
      <c r="L23" s="96"/>
      <c r="M23" s="97"/>
      <c r="N23" s="94"/>
      <c r="O23" s="94"/>
    </row>
    <row r="24">
      <c r="A24" s="78"/>
      <c r="B24" s="60" t="s">
        <v>60</v>
      </c>
      <c r="C24" s="95">
        <f>P67</f>
        <v>2000</v>
      </c>
      <c r="D24" s="78"/>
      <c r="H24" s="105"/>
      <c r="I24" s="96"/>
      <c r="J24" s="96"/>
      <c r="K24" s="96"/>
      <c r="L24" s="96"/>
      <c r="M24" s="97"/>
      <c r="N24" s="94"/>
      <c r="O24" s="94"/>
    </row>
    <row r="25">
      <c r="A25" s="78"/>
      <c r="B25" s="60" t="s">
        <v>61</v>
      </c>
      <c r="C25" s="95">
        <f>Q67</f>
        <v>0</v>
      </c>
      <c r="D25" s="78"/>
      <c r="H25" s="105"/>
      <c r="I25" s="96"/>
      <c r="J25" s="96"/>
      <c r="K25" s="96"/>
      <c r="L25" s="96"/>
      <c r="M25" s="97"/>
      <c r="N25" s="94"/>
      <c r="O25" s="94"/>
    </row>
    <row r="26">
      <c r="A26" s="78"/>
      <c r="B26" s="60" t="s">
        <v>62</v>
      </c>
      <c r="C26" s="95">
        <f>R67</f>
        <v>0</v>
      </c>
      <c r="D26" s="78"/>
    </row>
    <row r="27">
      <c r="A27" s="78"/>
      <c r="B27" s="60" t="s">
        <v>63</v>
      </c>
      <c r="C27" s="95">
        <f>F67</f>
        <v>0</v>
      </c>
      <c r="D27" s="78"/>
    </row>
    <row r="28">
      <c r="A28" s="78"/>
      <c r="B28" s="60" t="s">
        <v>64</v>
      </c>
      <c r="C28" s="95">
        <f>G67</f>
        <v>0</v>
      </c>
      <c r="D28" s="78"/>
    </row>
    <row r="29">
      <c r="A29" s="78"/>
      <c r="B29" s="60" t="s">
        <v>65</v>
      </c>
      <c r="C29" s="95">
        <f>I67</f>
        <v>0</v>
      </c>
      <c r="D29" s="78"/>
    </row>
    <row r="30">
      <c r="A30" s="78"/>
      <c r="B30" s="60" t="s">
        <v>97</v>
      </c>
      <c r="C30" s="95">
        <f>J67</f>
        <v>0</v>
      </c>
      <c r="D30" s="78"/>
    </row>
    <row r="31">
      <c r="A31" s="78"/>
      <c r="B31" s="60" t="s">
        <v>67</v>
      </c>
      <c r="C31" s="95">
        <f>L67</f>
        <v>-2</v>
      </c>
      <c r="D31" s="78"/>
    </row>
    <row r="32">
      <c r="A32" s="78"/>
      <c r="B32" s="60" t="s">
        <v>68</v>
      </c>
      <c r="C32" s="95">
        <f>K67</f>
        <v>54.5</v>
      </c>
      <c r="D32" s="78"/>
    </row>
    <row r="33">
      <c r="A33" s="78"/>
      <c r="B33" s="60" t="s">
        <v>69</v>
      </c>
      <c r="C33" s="95">
        <v>0.0</v>
      </c>
      <c r="D33" s="78"/>
    </row>
    <row r="34">
      <c r="A34" s="78"/>
      <c r="B34" s="60" t="s">
        <v>70</v>
      </c>
      <c r="C34" s="95">
        <v>0.0</v>
      </c>
      <c r="D34" s="78"/>
    </row>
    <row r="36">
      <c r="A36" s="106"/>
    </row>
    <row r="37">
      <c r="A37" s="92"/>
      <c r="B37" s="107" t="s">
        <v>71</v>
      </c>
      <c r="C37" s="60" t="s">
        <v>72</v>
      </c>
      <c r="D37" s="60" t="s">
        <v>73</v>
      </c>
      <c r="E37" s="60" t="s">
        <v>74</v>
      </c>
      <c r="F37" s="62" t="s">
        <v>75</v>
      </c>
      <c r="G37" s="62" t="s">
        <v>76</v>
      </c>
      <c r="H37" s="62" t="s">
        <v>77</v>
      </c>
      <c r="I37" s="62" t="s">
        <v>78</v>
      </c>
      <c r="J37" s="62" t="s">
        <v>79</v>
      </c>
      <c r="K37" s="62" t="s">
        <v>80</v>
      </c>
      <c r="L37" s="62" t="s">
        <v>67</v>
      </c>
      <c r="M37" s="62" t="s">
        <v>69</v>
      </c>
      <c r="N37" s="62" t="s">
        <v>81</v>
      </c>
      <c r="O37" s="62" t="s">
        <v>59</v>
      </c>
      <c r="P37" s="62" t="s">
        <v>83</v>
      </c>
      <c r="Q37" s="62" t="s">
        <v>84</v>
      </c>
      <c r="R37" s="62" t="s">
        <v>85</v>
      </c>
      <c r="S37" s="62" t="s">
        <v>86</v>
      </c>
      <c r="T37" s="62" t="s">
        <v>58</v>
      </c>
      <c r="U37" s="62" t="s">
        <v>87</v>
      </c>
      <c r="V37" s="62" t="s">
        <v>88</v>
      </c>
      <c r="W37" s="62" t="s">
        <v>89</v>
      </c>
    </row>
    <row r="38">
      <c r="A38" s="108"/>
      <c r="B38" s="109" t="s">
        <v>90</v>
      </c>
      <c r="C38" s="61">
        <f>'Internal Summary'!C40</f>
        <v>16800</v>
      </c>
      <c r="D38" s="61">
        <f>'Internal Summary'!D40</f>
        <v>500</v>
      </c>
      <c r="E38" s="61">
        <f>'Internal Summary'!E40</f>
        <v>800</v>
      </c>
      <c r="F38" s="100"/>
      <c r="G38" s="61">
        <f t="shared" ref="G38:G66" si="1">F38*C38</f>
        <v>0</v>
      </c>
      <c r="H38" s="100"/>
      <c r="I38" s="100"/>
      <c r="J38" s="100"/>
      <c r="K38" s="99">
        <v>3.5</v>
      </c>
      <c r="L38" s="110">
        <f t="shared" ref="L38:L66" si="2">H38+U38+W38-O38-Q38-I38-J38</f>
        <v>0</v>
      </c>
      <c r="M38" s="61">
        <f t="shared" ref="M38:M66" si="3">K38-L38</f>
        <v>3.5</v>
      </c>
      <c r="N38" s="61">
        <f t="shared" ref="N38:N66" si="4">M38*C38</f>
        <v>58800</v>
      </c>
      <c r="O38" s="61">
        <f>'Dala Sales &amp; Deliveries'!L2</f>
        <v>0</v>
      </c>
      <c r="P38" s="61">
        <f t="shared" ref="P38:P66" si="5">O38*E38</f>
        <v>0</v>
      </c>
      <c r="Q38" s="61">
        <f>'External Delivery Fulfillment'!L2</f>
        <v>0</v>
      </c>
      <c r="R38" s="61">
        <f t="shared" ref="R38:R66" si="6">Q38*E38</f>
        <v>0</v>
      </c>
      <c r="S38" s="61">
        <f>'Forwarding From Client'!L2</f>
        <v>0</v>
      </c>
      <c r="T38" s="61">
        <f t="shared" ref="T38:T66" si="7">S38*E38</f>
        <v>0</v>
      </c>
      <c r="U38" s="61">
        <f>'Dala Restocking'!L2</f>
        <v>0</v>
      </c>
      <c r="V38" s="61">
        <f t="shared" ref="V38:V66" si="8">U38*D38</f>
        <v>0</v>
      </c>
      <c r="W38" s="61">
        <f>'Client Restocking'!L2</f>
        <v>0</v>
      </c>
    </row>
    <row r="39">
      <c r="A39" s="108"/>
      <c r="B39" s="109" t="s">
        <v>16</v>
      </c>
      <c r="C39" s="61">
        <f>'Internal Summary'!C41</f>
        <v>22000</v>
      </c>
      <c r="D39" s="61">
        <f>'Internal Summary'!D41</f>
        <v>650</v>
      </c>
      <c r="E39" s="61">
        <f>'Internal Summary'!E41</f>
        <v>1000</v>
      </c>
      <c r="F39" s="111"/>
      <c r="G39" s="61">
        <f t="shared" si="1"/>
        <v>0</v>
      </c>
      <c r="H39" s="111"/>
      <c r="I39" s="100"/>
      <c r="J39" s="111"/>
      <c r="K39" s="99">
        <v>24.0</v>
      </c>
      <c r="L39" s="110">
        <f t="shared" si="2"/>
        <v>-1</v>
      </c>
      <c r="M39" s="61">
        <f t="shared" si="3"/>
        <v>25</v>
      </c>
      <c r="N39" s="61">
        <f t="shared" si="4"/>
        <v>550000</v>
      </c>
      <c r="O39" s="61">
        <f>'Dala Sales &amp; Deliveries'!L3</f>
        <v>1</v>
      </c>
      <c r="P39" s="61">
        <f t="shared" si="5"/>
        <v>1000</v>
      </c>
      <c r="Q39" s="61">
        <f>'External Delivery Fulfillment'!L3</f>
        <v>0</v>
      </c>
      <c r="R39" s="61">
        <f t="shared" si="6"/>
        <v>0</v>
      </c>
      <c r="S39" s="61">
        <f>'Forwarding From Client'!L3</f>
        <v>0</v>
      </c>
      <c r="T39" s="61">
        <f t="shared" si="7"/>
        <v>0</v>
      </c>
      <c r="U39" s="61">
        <f>'Dala Restocking'!L3</f>
        <v>0</v>
      </c>
      <c r="V39" s="61">
        <f t="shared" si="8"/>
        <v>0</v>
      </c>
      <c r="W39" s="61">
        <f>'Client Restocking'!L3</f>
        <v>0</v>
      </c>
    </row>
    <row r="40">
      <c r="A40" s="108"/>
      <c r="B40" s="109" t="s">
        <v>91</v>
      </c>
      <c r="C40" s="61">
        <f>'Internal Summary'!C42</f>
        <v>16800</v>
      </c>
      <c r="D40" s="61">
        <f>'Internal Summary'!D42</f>
        <v>500</v>
      </c>
      <c r="E40" s="61">
        <f>'Internal Summary'!E42</f>
        <v>800</v>
      </c>
      <c r="F40" s="111"/>
      <c r="G40" s="61">
        <f t="shared" si="1"/>
        <v>0</v>
      </c>
      <c r="H40" s="111"/>
      <c r="I40" s="100"/>
      <c r="J40" s="111"/>
      <c r="K40" s="99">
        <v>2.5</v>
      </c>
      <c r="L40" s="110">
        <f t="shared" si="2"/>
        <v>0</v>
      </c>
      <c r="M40" s="61">
        <f t="shared" si="3"/>
        <v>2.5</v>
      </c>
      <c r="N40" s="61">
        <f t="shared" si="4"/>
        <v>42000</v>
      </c>
      <c r="O40" s="61">
        <f>'Dala Sales &amp; Deliveries'!L4</f>
        <v>0</v>
      </c>
      <c r="P40" s="61">
        <f t="shared" si="5"/>
        <v>0</v>
      </c>
      <c r="Q40" s="61">
        <f>'External Delivery Fulfillment'!L4</f>
        <v>0</v>
      </c>
      <c r="R40" s="61">
        <f t="shared" si="6"/>
        <v>0</v>
      </c>
      <c r="S40" s="61">
        <f>'Forwarding From Client'!L4</f>
        <v>0</v>
      </c>
      <c r="T40" s="61">
        <f t="shared" si="7"/>
        <v>0</v>
      </c>
      <c r="U40" s="61">
        <f>'Dala Restocking'!L4</f>
        <v>0</v>
      </c>
      <c r="V40" s="61">
        <f t="shared" si="8"/>
        <v>0</v>
      </c>
      <c r="W40" s="61">
        <f>'Client Restocking'!L4</f>
        <v>0</v>
      </c>
    </row>
    <row r="41">
      <c r="A41" s="108"/>
      <c r="B41" s="109" t="s">
        <v>20</v>
      </c>
      <c r="C41" s="61">
        <f>'Internal Summary'!C43</f>
        <v>22000</v>
      </c>
      <c r="D41" s="61">
        <f>'Internal Summary'!D43</f>
        <v>650</v>
      </c>
      <c r="E41" s="61">
        <f>'Internal Summary'!E43</f>
        <v>1000</v>
      </c>
      <c r="F41" s="111"/>
      <c r="G41" s="61">
        <f t="shared" si="1"/>
        <v>0</v>
      </c>
      <c r="H41" s="111"/>
      <c r="I41" s="100"/>
      <c r="J41" s="111"/>
      <c r="K41" s="99">
        <v>24.5</v>
      </c>
      <c r="L41" s="110">
        <f t="shared" si="2"/>
        <v>-1</v>
      </c>
      <c r="M41" s="61">
        <f t="shared" si="3"/>
        <v>25.5</v>
      </c>
      <c r="N41" s="61">
        <f t="shared" si="4"/>
        <v>561000</v>
      </c>
      <c r="O41" s="61">
        <f>'Dala Sales &amp; Deliveries'!L5</f>
        <v>1</v>
      </c>
      <c r="P41" s="61">
        <f t="shared" si="5"/>
        <v>1000</v>
      </c>
      <c r="Q41" s="61">
        <f>'External Delivery Fulfillment'!L5</f>
        <v>0</v>
      </c>
      <c r="R41" s="61">
        <f t="shared" si="6"/>
        <v>0</v>
      </c>
      <c r="S41" s="61">
        <f>'Forwarding From Client'!L5</f>
        <v>0</v>
      </c>
      <c r="T41" s="61">
        <f t="shared" si="7"/>
        <v>0</v>
      </c>
      <c r="U41" s="61">
        <f>'Dala Restocking'!L5</f>
        <v>0</v>
      </c>
      <c r="V41" s="61">
        <f t="shared" si="8"/>
        <v>0</v>
      </c>
      <c r="W41" s="61">
        <f>'Client Restocking'!L5</f>
        <v>0</v>
      </c>
    </row>
    <row r="42">
      <c r="A42" s="108"/>
      <c r="B42" s="112" t="str">
        <f>'Internal Summary'!B44</f>
        <v/>
      </c>
      <c r="C42" s="61" t="str">
        <f>'Internal Summary'!C44</f>
        <v/>
      </c>
      <c r="D42" s="61" t="str">
        <f>'Internal Summary'!D44</f>
        <v/>
      </c>
      <c r="E42" s="61" t="str">
        <f>'Internal Summary'!E44</f>
        <v/>
      </c>
      <c r="F42" s="111"/>
      <c r="G42" s="61">
        <f t="shared" si="1"/>
        <v>0</v>
      </c>
      <c r="H42" s="111"/>
      <c r="I42" s="111"/>
      <c r="J42" s="111"/>
      <c r="K42" s="100"/>
      <c r="L42" s="110">
        <f t="shared" si="2"/>
        <v>0</v>
      </c>
      <c r="M42" s="61">
        <f t="shared" si="3"/>
        <v>0</v>
      </c>
      <c r="N42" s="61">
        <f t="shared" si="4"/>
        <v>0</v>
      </c>
      <c r="O42" s="61">
        <f>'Dala Sales &amp; Deliveries'!L6</f>
        <v>0</v>
      </c>
      <c r="P42" s="61">
        <f t="shared" si="5"/>
        <v>0</v>
      </c>
      <c r="Q42" s="61">
        <f>'External Delivery Fulfillment'!L6</f>
        <v>0</v>
      </c>
      <c r="R42" s="61">
        <f t="shared" si="6"/>
        <v>0</v>
      </c>
      <c r="S42" s="61">
        <f>'Forwarding From Client'!L6</f>
        <v>0</v>
      </c>
      <c r="T42" s="61">
        <f t="shared" si="7"/>
        <v>0</v>
      </c>
      <c r="U42" s="61">
        <f>'Dala Restocking'!L6</f>
        <v>0</v>
      </c>
      <c r="V42" s="61">
        <f t="shared" si="8"/>
        <v>0</v>
      </c>
      <c r="W42" s="61">
        <f>'Client Restocking'!L6</f>
        <v>0</v>
      </c>
    </row>
    <row r="43">
      <c r="A43" s="108"/>
      <c r="B43" s="112" t="str">
        <f>'Internal Summary'!B45</f>
        <v/>
      </c>
      <c r="C43" s="61" t="str">
        <f>'Internal Summary'!C45</f>
        <v/>
      </c>
      <c r="D43" s="61" t="str">
        <f>'Internal Summary'!D45</f>
        <v/>
      </c>
      <c r="E43" s="61" t="str">
        <f>'Internal Summary'!E45</f>
        <v/>
      </c>
      <c r="F43" s="111"/>
      <c r="G43" s="61">
        <f t="shared" si="1"/>
        <v>0</v>
      </c>
      <c r="H43" s="111"/>
      <c r="I43" s="111"/>
      <c r="J43" s="111"/>
      <c r="K43" s="100"/>
      <c r="L43" s="110">
        <f t="shared" si="2"/>
        <v>0</v>
      </c>
      <c r="M43" s="61">
        <f t="shared" si="3"/>
        <v>0</v>
      </c>
      <c r="N43" s="61">
        <f t="shared" si="4"/>
        <v>0</v>
      </c>
      <c r="O43" s="61">
        <f>'Dala Sales &amp; Deliveries'!L7</f>
        <v>0</v>
      </c>
      <c r="P43" s="61">
        <f t="shared" si="5"/>
        <v>0</v>
      </c>
      <c r="Q43" s="61">
        <f>'External Delivery Fulfillment'!L7</f>
        <v>0</v>
      </c>
      <c r="R43" s="61">
        <f t="shared" si="6"/>
        <v>0</v>
      </c>
      <c r="S43" s="61">
        <f>'Forwarding From Client'!L7</f>
        <v>0</v>
      </c>
      <c r="T43" s="61">
        <f t="shared" si="7"/>
        <v>0</v>
      </c>
      <c r="U43" s="61">
        <f>'Dala Restocking'!L7</f>
        <v>0</v>
      </c>
      <c r="V43" s="61">
        <f t="shared" si="8"/>
        <v>0</v>
      </c>
      <c r="W43" s="61">
        <f>'Client Restocking'!L7</f>
        <v>0</v>
      </c>
    </row>
    <row r="44">
      <c r="A44" s="108"/>
      <c r="B44" s="112" t="str">
        <f>'Internal Summary'!B46</f>
        <v/>
      </c>
      <c r="C44" s="61" t="str">
        <f>'Internal Summary'!C46</f>
        <v/>
      </c>
      <c r="D44" s="61" t="str">
        <f>'Internal Summary'!D46</f>
        <v/>
      </c>
      <c r="E44" s="61" t="str">
        <f>'Internal Summary'!E46</f>
        <v/>
      </c>
      <c r="F44" s="111"/>
      <c r="G44" s="61">
        <f t="shared" si="1"/>
        <v>0</v>
      </c>
      <c r="H44" s="111"/>
      <c r="I44" s="111"/>
      <c r="J44" s="111"/>
      <c r="K44" s="100"/>
      <c r="L44" s="110">
        <f t="shared" si="2"/>
        <v>0</v>
      </c>
      <c r="M44" s="61">
        <f t="shared" si="3"/>
        <v>0</v>
      </c>
      <c r="N44" s="61">
        <f t="shared" si="4"/>
        <v>0</v>
      </c>
      <c r="O44" s="61">
        <f>'Dala Sales &amp; Deliveries'!L8</f>
        <v>0</v>
      </c>
      <c r="P44" s="61">
        <f t="shared" si="5"/>
        <v>0</v>
      </c>
      <c r="Q44" s="61">
        <f>'External Delivery Fulfillment'!L8</f>
        <v>0</v>
      </c>
      <c r="R44" s="61">
        <f t="shared" si="6"/>
        <v>0</v>
      </c>
      <c r="S44" s="61">
        <f>'Forwarding From Client'!L8</f>
        <v>0</v>
      </c>
      <c r="T44" s="61">
        <f t="shared" si="7"/>
        <v>0</v>
      </c>
      <c r="U44" s="61">
        <f>'Dala Restocking'!L8</f>
        <v>0</v>
      </c>
      <c r="V44" s="61">
        <f t="shared" si="8"/>
        <v>0</v>
      </c>
      <c r="W44" s="61">
        <f>'Client Restocking'!L8</f>
        <v>0</v>
      </c>
    </row>
    <row r="45">
      <c r="A45" s="108"/>
      <c r="B45" s="112" t="str">
        <f>'Internal Summary'!B47</f>
        <v/>
      </c>
      <c r="C45" s="61" t="str">
        <f>'Internal Summary'!C47</f>
        <v/>
      </c>
      <c r="D45" s="61" t="str">
        <f>'Internal Summary'!D47</f>
        <v/>
      </c>
      <c r="E45" s="61" t="str">
        <f>'Internal Summary'!E47</f>
        <v/>
      </c>
      <c r="F45" s="111"/>
      <c r="G45" s="61">
        <f t="shared" si="1"/>
        <v>0</v>
      </c>
      <c r="H45" s="111"/>
      <c r="I45" s="111"/>
      <c r="J45" s="111"/>
      <c r="K45" s="100"/>
      <c r="L45" s="110">
        <f t="shared" si="2"/>
        <v>0</v>
      </c>
      <c r="M45" s="61">
        <f t="shared" si="3"/>
        <v>0</v>
      </c>
      <c r="N45" s="61">
        <f t="shared" si="4"/>
        <v>0</v>
      </c>
      <c r="O45" s="61">
        <f>'Dala Sales &amp; Deliveries'!L9</f>
        <v>0</v>
      </c>
      <c r="P45" s="61">
        <f t="shared" si="5"/>
        <v>0</v>
      </c>
      <c r="Q45" s="61">
        <f>'External Delivery Fulfillment'!L9</f>
        <v>0</v>
      </c>
      <c r="R45" s="61">
        <f t="shared" si="6"/>
        <v>0</v>
      </c>
      <c r="S45" s="61">
        <f>'Forwarding From Client'!L9</f>
        <v>0</v>
      </c>
      <c r="T45" s="61">
        <f t="shared" si="7"/>
        <v>0</v>
      </c>
      <c r="U45" s="61">
        <f>'Dala Restocking'!L9</f>
        <v>0</v>
      </c>
      <c r="V45" s="61">
        <f t="shared" si="8"/>
        <v>0</v>
      </c>
      <c r="W45" s="61">
        <f>'Client Restocking'!L9</f>
        <v>0</v>
      </c>
    </row>
    <row r="46">
      <c r="A46" s="108"/>
      <c r="B46" s="112" t="str">
        <f>'Internal Summary'!B48</f>
        <v/>
      </c>
      <c r="C46" s="61" t="str">
        <f>'Internal Summary'!C48</f>
        <v/>
      </c>
      <c r="D46" s="61" t="str">
        <f>'Internal Summary'!D48</f>
        <v/>
      </c>
      <c r="E46" s="61" t="str">
        <f>'Internal Summary'!E48</f>
        <v/>
      </c>
      <c r="F46" s="111"/>
      <c r="G46" s="61">
        <f t="shared" si="1"/>
        <v>0</v>
      </c>
      <c r="H46" s="111"/>
      <c r="I46" s="111"/>
      <c r="J46" s="111"/>
      <c r="K46" s="100"/>
      <c r="L46" s="110">
        <f t="shared" si="2"/>
        <v>0</v>
      </c>
      <c r="M46" s="61">
        <f t="shared" si="3"/>
        <v>0</v>
      </c>
      <c r="N46" s="61">
        <f t="shared" si="4"/>
        <v>0</v>
      </c>
      <c r="O46" s="61">
        <f>'Dala Sales &amp; Deliveries'!L10</f>
        <v>0</v>
      </c>
      <c r="P46" s="61">
        <f t="shared" si="5"/>
        <v>0</v>
      </c>
      <c r="Q46" s="61">
        <f>'External Delivery Fulfillment'!L10</f>
        <v>0</v>
      </c>
      <c r="R46" s="61">
        <f t="shared" si="6"/>
        <v>0</v>
      </c>
      <c r="S46" s="61">
        <f>'Forwarding From Client'!L10</f>
        <v>0</v>
      </c>
      <c r="T46" s="61">
        <f t="shared" si="7"/>
        <v>0</v>
      </c>
      <c r="U46" s="61">
        <f>'Dala Restocking'!L10</f>
        <v>0</v>
      </c>
      <c r="V46" s="61">
        <f t="shared" si="8"/>
        <v>0</v>
      </c>
      <c r="W46" s="61">
        <f>'Client Restocking'!L10</f>
        <v>0</v>
      </c>
    </row>
    <row r="47">
      <c r="A47" s="108"/>
      <c r="B47" s="112" t="str">
        <f>'Internal Summary'!B49</f>
        <v/>
      </c>
      <c r="C47" s="61" t="str">
        <f>'Internal Summary'!C49</f>
        <v/>
      </c>
      <c r="D47" s="61" t="str">
        <f>'Internal Summary'!D49</f>
        <v/>
      </c>
      <c r="E47" s="61" t="str">
        <f>'Internal Summary'!E49</f>
        <v/>
      </c>
      <c r="F47" s="111"/>
      <c r="G47" s="61">
        <f t="shared" si="1"/>
        <v>0</v>
      </c>
      <c r="H47" s="111"/>
      <c r="I47" s="111"/>
      <c r="J47" s="111"/>
      <c r="K47" s="100"/>
      <c r="L47" s="110">
        <f t="shared" si="2"/>
        <v>0</v>
      </c>
      <c r="M47" s="61">
        <f t="shared" si="3"/>
        <v>0</v>
      </c>
      <c r="N47" s="61">
        <f t="shared" si="4"/>
        <v>0</v>
      </c>
      <c r="O47" s="61">
        <f>'Dala Sales &amp; Deliveries'!L11</f>
        <v>0</v>
      </c>
      <c r="P47" s="61">
        <f t="shared" si="5"/>
        <v>0</v>
      </c>
      <c r="Q47" s="61">
        <f>'External Delivery Fulfillment'!L11</f>
        <v>0</v>
      </c>
      <c r="R47" s="61">
        <f t="shared" si="6"/>
        <v>0</v>
      </c>
      <c r="S47" s="61">
        <f>'Forwarding From Client'!L11</f>
        <v>0</v>
      </c>
      <c r="T47" s="61">
        <f t="shared" si="7"/>
        <v>0</v>
      </c>
      <c r="U47" s="61">
        <f>'Dala Restocking'!L11</f>
        <v>0</v>
      </c>
      <c r="V47" s="61">
        <f t="shared" si="8"/>
        <v>0</v>
      </c>
      <c r="W47" s="61">
        <f>'Client Restocking'!L11</f>
        <v>0</v>
      </c>
    </row>
    <row r="48">
      <c r="A48" s="108"/>
      <c r="B48" s="112" t="str">
        <f>'Internal Summary'!B50</f>
        <v/>
      </c>
      <c r="C48" s="61" t="str">
        <f>'Internal Summary'!C50</f>
        <v/>
      </c>
      <c r="D48" s="61" t="str">
        <f>'Internal Summary'!D50</f>
        <v/>
      </c>
      <c r="E48" s="61" t="str">
        <f>'Internal Summary'!E50</f>
        <v/>
      </c>
      <c r="F48" s="111"/>
      <c r="G48" s="61">
        <f t="shared" si="1"/>
        <v>0</v>
      </c>
      <c r="H48" s="111"/>
      <c r="I48" s="111"/>
      <c r="J48" s="111"/>
      <c r="K48" s="100"/>
      <c r="L48" s="110">
        <f t="shared" si="2"/>
        <v>0</v>
      </c>
      <c r="M48" s="61">
        <f t="shared" si="3"/>
        <v>0</v>
      </c>
      <c r="N48" s="61">
        <f t="shared" si="4"/>
        <v>0</v>
      </c>
      <c r="O48" s="61">
        <f>'Dala Sales &amp; Deliveries'!L12</f>
        <v>0</v>
      </c>
      <c r="P48" s="61">
        <f t="shared" si="5"/>
        <v>0</v>
      </c>
      <c r="Q48" s="61">
        <f>'External Delivery Fulfillment'!L12</f>
        <v>0</v>
      </c>
      <c r="R48" s="61">
        <f t="shared" si="6"/>
        <v>0</v>
      </c>
      <c r="S48" s="61">
        <f>'Forwarding From Client'!L12</f>
        <v>0</v>
      </c>
      <c r="T48" s="61">
        <f t="shared" si="7"/>
        <v>0</v>
      </c>
      <c r="U48" s="61">
        <f>'Dala Restocking'!L12</f>
        <v>0</v>
      </c>
      <c r="V48" s="61">
        <f t="shared" si="8"/>
        <v>0</v>
      </c>
      <c r="W48" s="61">
        <f>'Client Restocking'!L12</f>
        <v>0</v>
      </c>
    </row>
    <row r="49">
      <c r="A49" s="108"/>
      <c r="B49" s="112" t="str">
        <f>'Internal Summary'!B51</f>
        <v/>
      </c>
      <c r="C49" s="61" t="str">
        <f>'Internal Summary'!C51</f>
        <v/>
      </c>
      <c r="D49" s="61" t="str">
        <f>'Internal Summary'!D51</f>
        <v/>
      </c>
      <c r="E49" s="61" t="str">
        <f>'Internal Summary'!E51</f>
        <v/>
      </c>
      <c r="F49" s="111"/>
      <c r="G49" s="61">
        <f t="shared" si="1"/>
        <v>0</v>
      </c>
      <c r="H49" s="111"/>
      <c r="I49" s="111"/>
      <c r="J49" s="111"/>
      <c r="K49" s="100"/>
      <c r="L49" s="110">
        <f t="shared" si="2"/>
        <v>0</v>
      </c>
      <c r="M49" s="61">
        <f t="shared" si="3"/>
        <v>0</v>
      </c>
      <c r="N49" s="61">
        <f t="shared" si="4"/>
        <v>0</v>
      </c>
      <c r="O49" s="61">
        <f>'Dala Sales &amp; Deliveries'!L13</f>
        <v>0</v>
      </c>
      <c r="P49" s="61">
        <f t="shared" si="5"/>
        <v>0</v>
      </c>
      <c r="Q49" s="61">
        <f>'External Delivery Fulfillment'!L13</f>
        <v>0</v>
      </c>
      <c r="R49" s="61">
        <f t="shared" si="6"/>
        <v>0</v>
      </c>
      <c r="S49" s="61">
        <f>'Forwarding From Client'!L13</f>
        <v>0</v>
      </c>
      <c r="T49" s="61">
        <f t="shared" si="7"/>
        <v>0</v>
      </c>
      <c r="U49" s="61">
        <f>'Dala Restocking'!L13</f>
        <v>0</v>
      </c>
      <c r="V49" s="61">
        <f t="shared" si="8"/>
        <v>0</v>
      </c>
      <c r="W49" s="61">
        <f>'Client Restocking'!L13</f>
        <v>0</v>
      </c>
    </row>
    <row r="50">
      <c r="B50" s="64" t="str">
        <f>'Internal Summary'!B52</f>
        <v/>
      </c>
      <c r="C50" s="61" t="str">
        <f>'Internal Summary'!C52</f>
        <v/>
      </c>
      <c r="D50" s="61" t="str">
        <f>'Internal Summary'!D52</f>
        <v/>
      </c>
      <c r="E50" s="61" t="str">
        <f>'Internal Summary'!E52</f>
        <v/>
      </c>
      <c r="F50" s="111"/>
      <c r="G50" s="61">
        <f t="shared" si="1"/>
        <v>0</v>
      </c>
      <c r="H50" s="111"/>
      <c r="I50" s="111"/>
      <c r="J50" s="111"/>
      <c r="K50" s="111"/>
      <c r="L50" s="110">
        <f t="shared" si="2"/>
        <v>0</v>
      </c>
      <c r="M50" s="61">
        <f t="shared" si="3"/>
        <v>0</v>
      </c>
      <c r="N50" s="61">
        <f t="shared" si="4"/>
        <v>0</v>
      </c>
      <c r="O50" s="61" t="str">
        <f>'Dala Sales &amp; Deliveries'!L14</f>
        <v/>
      </c>
      <c r="P50" s="61">
        <f t="shared" si="5"/>
        <v>0</v>
      </c>
      <c r="Q50" s="61" t="str">
        <f>'External Delivery Fulfillment'!L14</f>
        <v/>
      </c>
      <c r="R50" s="61">
        <f t="shared" si="6"/>
        <v>0</v>
      </c>
      <c r="S50" s="61" t="str">
        <f>'Forwarding From Client'!L14</f>
        <v/>
      </c>
      <c r="T50" s="61">
        <f t="shared" si="7"/>
        <v>0</v>
      </c>
      <c r="U50" s="61" t="str">
        <f>'Dala Restocking'!L14</f>
        <v/>
      </c>
      <c r="V50" s="61">
        <f t="shared" si="8"/>
        <v>0</v>
      </c>
      <c r="W50" s="61" t="str">
        <f>'Client Restocking'!L14</f>
        <v/>
      </c>
    </row>
    <row r="51">
      <c r="B51" s="64" t="str">
        <f>'Internal Summary'!B53</f>
        <v/>
      </c>
      <c r="C51" s="61" t="str">
        <f>'Internal Summary'!C53</f>
        <v/>
      </c>
      <c r="D51" s="61" t="str">
        <f>'Internal Summary'!D53</f>
        <v/>
      </c>
      <c r="E51" s="61" t="str">
        <f>'Internal Summary'!E53</f>
        <v/>
      </c>
      <c r="F51" s="111"/>
      <c r="G51" s="61">
        <f t="shared" si="1"/>
        <v>0</v>
      </c>
      <c r="H51" s="111"/>
      <c r="I51" s="111"/>
      <c r="J51" s="111"/>
      <c r="K51" s="111"/>
      <c r="L51" s="110">
        <f t="shared" si="2"/>
        <v>0</v>
      </c>
      <c r="M51" s="61">
        <f t="shared" si="3"/>
        <v>0</v>
      </c>
      <c r="N51" s="61">
        <f t="shared" si="4"/>
        <v>0</v>
      </c>
      <c r="O51" s="61" t="str">
        <f>'Dala Sales &amp; Deliveries'!L15</f>
        <v/>
      </c>
      <c r="P51" s="61">
        <f t="shared" si="5"/>
        <v>0</v>
      </c>
      <c r="Q51" s="61" t="str">
        <f>'External Delivery Fulfillment'!L15</f>
        <v/>
      </c>
      <c r="R51" s="61">
        <f t="shared" si="6"/>
        <v>0</v>
      </c>
      <c r="S51" s="61" t="str">
        <f>'Forwarding From Client'!L15</f>
        <v/>
      </c>
      <c r="T51" s="61">
        <f t="shared" si="7"/>
        <v>0</v>
      </c>
      <c r="U51" s="61" t="str">
        <f>'Dala Restocking'!L15</f>
        <v/>
      </c>
      <c r="V51" s="61">
        <f t="shared" si="8"/>
        <v>0</v>
      </c>
      <c r="W51" s="61" t="str">
        <f>'Client Restocking'!L15</f>
        <v/>
      </c>
    </row>
    <row r="52">
      <c r="B52" s="64" t="str">
        <f>'Internal Summary'!B54</f>
        <v/>
      </c>
      <c r="C52" s="61" t="str">
        <f>'Internal Summary'!C54</f>
        <v/>
      </c>
      <c r="D52" s="61" t="str">
        <f>'Internal Summary'!D54</f>
        <v/>
      </c>
      <c r="E52" s="61" t="str">
        <f>'Internal Summary'!E54</f>
        <v/>
      </c>
      <c r="F52" s="111"/>
      <c r="G52" s="61">
        <f t="shared" si="1"/>
        <v>0</v>
      </c>
      <c r="H52" s="111"/>
      <c r="I52" s="111"/>
      <c r="J52" s="111"/>
      <c r="K52" s="111"/>
      <c r="L52" s="110">
        <f t="shared" si="2"/>
        <v>0</v>
      </c>
      <c r="M52" s="61">
        <f t="shared" si="3"/>
        <v>0</v>
      </c>
      <c r="N52" s="61">
        <f t="shared" si="4"/>
        <v>0</v>
      </c>
      <c r="O52" s="61" t="str">
        <f>'Dala Sales &amp; Deliveries'!L16</f>
        <v/>
      </c>
      <c r="P52" s="61">
        <f t="shared" si="5"/>
        <v>0</v>
      </c>
      <c r="Q52" s="61" t="str">
        <f>'External Delivery Fulfillment'!L16</f>
        <v/>
      </c>
      <c r="R52" s="61">
        <f t="shared" si="6"/>
        <v>0</v>
      </c>
      <c r="S52" s="61" t="str">
        <f>'Forwarding From Client'!L16</f>
        <v/>
      </c>
      <c r="T52" s="61">
        <f t="shared" si="7"/>
        <v>0</v>
      </c>
      <c r="U52" s="61" t="str">
        <f>'Dala Restocking'!L16</f>
        <v/>
      </c>
      <c r="V52" s="61">
        <f t="shared" si="8"/>
        <v>0</v>
      </c>
      <c r="W52" s="61" t="str">
        <f>'Client Restocking'!L16</f>
        <v/>
      </c>
    </row>
    <row r="53">
      <c r="B53" s="64" t="str">
        <f>'Internal Summary'!B55</f>
        <v/>
      </c>
      <c r="C53" s="61" t="str">
        <f>'Internal Summary'!C55</f>
        <v/>
      </c>
      <c r="D53" s="61" t="str">
        <f>'Internal Summary'!D55</f>
        <v/>
      </c>
      <c r="E53" s="61" t="str">
        <f>'Internal Summary'!E55</f>
        <v/>
      </c>
      <c r="F53" s="111"/>
      <c r="G53" s="61">
        <f t="shared" si="1"/>
        <v>0</v>
      </c>
      <c r="H53" s="111"/>
      <c r="I53" s="111"/>
      <c r="J53" s="111"/>
      <c r="K53" s="111"/>
      <c r="L53" s="110">
        <f t="shared" si="2"/>
        <v>0</v>
      </c>
      <c r="M53" s="61">
        <f t="shared" si="3"/>
        <v>0</v>
      </c>
      <c r="N53" s="61">
        <f t="shared" si="4"/>
        <v>0</v>
      </c>
      <c r="O53" s="61" t="str">
        <f>'Dala Sales &amp; Deliveries'!L17</f>
        <v/>
      </c>
      <c r="P53" s="61">
        <f t="shared" si="5"/>
        <v>0</v>
      </c>
      <c r="Q53" s="61" t="str">
        <f>'External Delivery Fulfillment'!L17</f>
        <v/>
      </c>
      <c r="R53" s="61">
        <f t="shared" si="6"/>
        <v>0</v>
      </c>
      <c r="S53" s="61" t="str">
        <f>'Forwarding From Client'!L17</f>
        <v/>
      </c>
      <c r="T53" s="61">
        <f t="shared" si="7"/>
        <v>0</v>
      </c>
      <c r="U53" s="61" t="str">
        <f>'Dala Restocking'!L17</f>
        <v/>
      </c>
      <c r="V53" s="61">
        <f t="shared" si="8"/>
        <v>0</v>
      </c>
      <c r="W53" s="61" t="str">
        <f>'Client Restocking'!L17</f>
        <v/>
      </c>
    </row>
    <row r="54">
      <c r="B54" s="64" t="str">
        <f>'Internal Summary'!B56</f>
        <v/>
      </c>
      <c r="C54" s="61" t="str">
        <f>'Internal Summary'!C56</f>
        <v/>
      </c>
      <c r="D54" s="61" t="str">
        <f>'Internal Summary'!D56</f>
        <v/>
      </c>
      <c r="E54" s="61" t="str">
        <f>'Internal Summary'!E56</f>
        <v/>
      </c>
      <c r="F54" s="111"/>
      <c r="G54" s="61">
        <f t="shared" si="1"/>
        <v>0</v>
      </c>
      <c r="H54" s="111"/>
      <c r="I54" s="111"/>
      <c r="J54" s="111"/>
      <c r="K54" s="111"/>
      <c r="L54" s="110">
        <f t="shared" si="2"/>
        <v>0</v>
      </c>
      <c r="M54" s="61">
        <f t="shared" si="3"/>
        <v>0</v>
      </c>
      <c r="N54" s="61">
        <f t="shared" si="4"/>
        <v>0</v>
      </c>
      <c r="O54" s="61" t="str">
        <f>'Dala Sales &amp; Deliveries'!L18</f>
        <v/>
      </c>
      <c r="P54" s="61">
        <f t="shared" si="5"/>
        <v>0</v>
      </c>
      <c r="Q54" s="61" t="str">
        <f>'External Delivery Fulfillment'!L18</f>
        <v/>
      </c>
      <c r="R54" s="61">
        <f t="shared" si="6"/>
        <v>0</v>
      </c>
      <c r="S54" s="61" t="str">
        <f>'Forwarding From Client'!L18</f>
        <v/>
      </c>
      <c r="T54" s="61">
        <f t="shared" si="7"/>
        <v>0</v>
      </c>
      <c r="U54" s="61" t="str">
        <f>'Dala Restocking'!L18</f>
        <v/>
      </c>
      <c r="V54" s="61">
        <f t="shared" si="8"/>
        <v>0</v>
      </c>
      <c r="W54" s="61" t="str">
        <f>'Client Restocking'!L18</f>
        <v/>
      </c>
    </row>
    <row r="55">
      <c r="B55" s="64" t="str">
        <f>'Internal Summary'!B57</f>
        <v/>
      </c>
      <c r="C55" s="61" t="str">
        <f>'Internal Summary'!C57</f>
        <v/>
      </c>
      <c r="D55" s="61" t="str">
        <f>'Internal Summary'!D57</f>
        <v/>
      </c>
      <c r="E55" s="61" t="str">
        <f>'Internal Summary'!E57</f>
        <v/>
      </c>
      <c r="F55" s="111"/>
      <c r="G55" s="61">
        <f t="shared" si="1"/>
        <v>0</v>
      </c>
      <c r="H55" s="111"/>
      <c r="I55" s="111"/>
      <c r="J55" s="111"/>
      <c r="K55" s="111"/>
      <c r="L55" s="110">
        <f t="shared" si="2"/>
        <v>0</v>
      </c>
      <c r="M55" s="61">
        <f t="shared" si="3"/>
        <v>0</v>
      </c>
      <c r="N55" s="61">
        <f t="shared" si="4"/>
        <v>0</v>
      </c>
      <c r="O55" s="61" t="str">
        <f>'Dala Sales &amp; Deliveries'!L19</f>
        <v/>
      </c>
      <c r="P55" s="61">
        <f t="shared" si="5"/>
        <v>0</v>
      </c>
      <c r="Q55" s="61" t="str">
        <f>'External Delivery Fulfillment'!L19</f>
        <v/>
      </c>
      <c r="R55" s="61">
        <f t="shared" si="6"/>
        <v>0</v>
      </c>
      <c r="S55" s="61" t="str">
        <f>'Forwarding From Client'!L19</f>
        <v/>
      </c>
      <c r="T55" s="61">
        <f t="shared" si="7"/>
        <v>0</v>
      </c>
      <c r="U55" s="61" t="str">
        <f>'Dala Restocking'!L19</f>
        <v/>
      </c>
      <c r="V55" s="61">
        <f t="shared" si="8"/>
        <v>0</v>
      </c>
      <c r="W55" s="61" t="str">
        <f>'Client Restocking'!L19</f>
        <v/>
      </c>
    </row>
    <row r="56">
      <c r="B56" s="64" t="str">
        <f>'Internal Summary'!B58</f>
        <v/>
      </c>
      <c r="C56" s="61" t="str">
        <f>'Internal Summary'!C58</f>
        <v/>
      </c>
      <c r="D56" s="61" t="str">
        <f>'Internal Summary'!D58</f>
        <v/>
      </c>
      <c r="E56" s="61" t="str">
        <f>'Internal Summary'!E58</f>
        <v/>
      </c>
      <c r="F56" s="111"/>
      <c r="G56" s="61">
        <f t="shared" si="1"/>
        <v>0</v>
      </c>
      <c r="H56" s="111"/>
      <c r="I56" s="111"/>
      <c r="J56" s="111"/>
      <c r="K56" s="111"/>
      <c r="L56" s="110">
        <f t="shared" si="2"/>
        <v>0</v>
      </c>
      <c r="M56" s="61">
        <f t="shared" si="3"/>
        <v>0</v>
      </c>
      <c r="N56" s="61">
        <f t="shared" si="4"/>
        <v>0</v>
      </c>
      <c r="O56" s="61" t="str">
        <f>'Dala Sales &amp; Deliveries'!L20</f>
        <v/>
      </c>
      <c r="P56" s="61">
        <f t="shared" si="5"/>
        <v>0</v>
      </c>
      <c r="Q56" s="61" t="str">
        <f>'External Delivery Fulfillment'!L20</f>
        <v/>
      </c>
      <c r="R56" s="61">
        <f t="shared" si="6"/>
        <v>0</v>
      </c>
      <c r="S56" s="61" t="str">
        <f>'Forwarding From Client'!L20</f>
        <v/>
      </c>
      <c r="T56" s="61">
        <f t="shared" si="7"/>
        <v>0</v>
      </c>
      <c r="U56" s="61" t="str">
        <f>'Dala Restocking'!L20</f>
        <v/>
      </c>
      <c r="V56" s="61">
        <f t="shared" si="8"/>
        <v>0</v>
      </c>
      <c r="W56" s="61" t="str">
        <f>'Client Restocking'!L20</f>
        <v/>
      </c>
    </row>
    <row r="57">
      <c r="B57" s="64" t="str">
        <f>'Internal Summary'!B59</f>
        <v/>
      </c>
      <c r="C57" s="61" t="str">
        <f>'Internal Summary'!C59</f>
        <v/>
      </c>
      <c r="D57" s="61" t="str">
        <f>'Internal Summary'!D59</f>
        <v/>
      </c>
      <c r="E57" s="61" t="str">
        <f>'Internal Summary'!E59</f>
        <v/>
      </c>
      <c r="F57" s="111"/>
      <c r="G57" s="61">
        <f t="shared" si="1"/>
        <v>0</v>
      </c>
      <c r="H57" s="111"/>
      <c r="I57" s="111"/>
      <c r="J57" s="111"/>
      <c r="K57" s="111"/>
      <c r="L57" s="110">
        <f t="shared" si="2"/>
        <v>0</v>
      </c>
      <c r="M57" s="61">
        <f t="shared" si="3"/>
        <v>0</v>
      </c>
      <c r="N57" s="61">
        <f t="shared" si="4"/>
        <v>0</v>
      </c>
      <c r="O57" s="61" t="str">
        <f>'Dala Sales &amp; Deliveries'!L21</f>
        <v/>
      </c>
      <c r="P57" s="61">
        <f t="shared" si="5"/>
        <v>0</v>
      </c>
      <c r="Q57" s="61" t="str">
        <f>'External Delivery Fulfillment'!L21</f>
        <v/>
      </c>
      <c r="R57" s="61">
        <f t="shared" si="6"/>
        <v>0</v>
      </c>
      <c r="S57" s="61" t="str">
        <f>'Forwarding From Client'!L21</f>
        <v/>
      </c>
      <c r="T57" s="61">
        <f t="shared" si="7"/>
        <v>0</v>
      </c>
      <c r="U57" s="61" t="str">
        <f>'Dala Restocking'!L21</f>
        <v/>
      </c>
      <c r="V57" s="61">
        <f t="shared" si="8"/>
        <v>0</v>
      </c>
      <c r="W57" s="61" t="str">
        <f>'Client Restocking'!L21</f>
        <v/>
      </c>
    </row>
    <row r="58">
      <c r="B58" s="64" t="str">
        <f>'Internal Summary'!B60</f>
        <v/>
      </c>
      <c r="C58" s="61" t="str">
        <f>'Internal Summary'!C60</f>
        <v/>
      </c>
      <c r="D58" s="61" t="str">
        <f>'Internal Summary'!D60</f>
        <v/>
      </c>
      <c r="E58" s="61" t="str">
        <f>'Internal Summary'!E60</f>
        <v/>
      </c>
      <c r="F58" s="111"/>
      <c r="G58" s="61">
        <f t="shared" si="1"/>
        <v>0</v>
      </c>
      <c r="H58" s="111"/>
      <c r="I58" s="111"/>
      <c r="J58" s="111"/>
      <c r="K58" s="111"/>
      <c r="L58" s="110">
        <f t="shared" si="2"/>
        <v>0</v>
      </c>
      <c r="M58" s="61">
        <f t="shared" si="3"/>
        <v>0</v>
      </c>
      <c r="N58" s="61">
        <f t="shared" si="4"/>
        <v>0</v>
      </c>
      <c r="O58" s="61" t="str">
        <f>'Dala Sales &amp; Deliveries'!L22</f>
        <v/>
      </c>
      <c r="P58" s="61">
        <f t="shared" si="5"/>
        <v>0</v>
      </c>
      <c r="Q58" s="61" t="str">
        <f>'External Delivery Fulfillment'!L22</f>
        <v/>
      </c>
      <c r="R58" s="61">
        <f t="shared" si="6"/>
        <v>0</v>
      </c>
      <c r="S58" s="61" t="str">
        <f>'Forwarding From Client'!L22</f>
        <v/>
      </c>
      <c r="T58" s="61">
        <f t="shared" si="7"/>
        <v>0</v>
      </c>
      <c r="U58" s="61" t="str">
        <f>'Dala Restocking'!L22</f>
        <v/>
      </c>
      <c r="V58" s="61">
        <f t="shared" si="8"/>
        <v>0</v>
      </c>
      <c r="W58" s="61" t="str">
        <f>'Client Restocking'!L22</f>
        <v/>
      </c>
    </row>
    <row r="59">
      <c r="B59" s="64" t="str">
        <f>'Internal Summary'!B61</f>
        <v/>
      </c>
      <c r="C59" s="61" t="str">
        <f>'Internal Summary'!C61</f>
        <v/>
      </c>
      <c r="D59" s="61" t="str">
        <f>'Internal Summary'!D61</f>
        <v/>
      </c>
      <c r="E59" s="61" t="str">
        <f>'Internal Summary'!E61</f>
        <v/>
      </c>
      <c r="F59" s="111"/>
      <c r="G59" s="61">
        <f t="shared" si="1"/>
        <v>0</v>
      </c>
      <c r="H59" s="111"/>
      <c r="I59" s="111"/>
      <c r="J59" s="111"/>
      <c r="K59" s="111"/>
      <c r="L59" s="110">
        <f t="shared" si="2"/>
        <v>0</v>
      </c>
      <c r="M59" s="61">
        <f t="shared" si="3"/>
        <v>0</v>
      </c>
      <c r="N59" s="61">
        <f t="shared" si="4"/>
        <v>0</v>
      </c>
      <c r="O59" s="61" t="str">
        <f>'Dala Sales &amp; Deliveries'!L23</f>
        <v/>
      </c>
      <c r="P59" s="61">
        <f t="shared" si="5"/>
        <v>0</v>
      </c>
      <c r="Q59" s="61" t="str">
        <f>'External Delivery Fulfillment'!L23</f>
        <v/>
      </c>
      <c r="R59" s="61">
        <f t="shared" si="6"/>
        <v>0</v>
      </c>
      <c r="S59" s="61" t="str">
        <f>'Forwarding From Client'!L23</f>
        <v/>
      </c>
      <c r="T59" s="61">
        <f t="shared" si="7"/>
        <v>0</v>
      </c>
      <c r="U59" s="61" t="str">
        <f>'Dala Restocking'!L23</f>
        <v/>
      </c>
      <c r="V59" s="61">
        <f t="shared" si="8"/>
        <v>0</v>
      </c>
      <c r="W59" s="61" t="str">
        <f>'Client Restocking'!L23</f>
        <v/>
      </c>
    </row>
    <row r="60">
      <c r="B60" s="64" t="str">
        <f>'Internal Summary'!B62</f>
        <v/>
      </c>
      <c r="C60" s="61" t="str">
        <f>'Internal Summary'!C62</f>
        <v/>
      </c>
      <c r="D60" s="61" t="str">
        <f>'Internal Summary'!D62</f>
        <v/>
      </c>
      <c r="E60" s="61" t="str">
        <f>'Internal Summary'!E62</f>
        <v/>
      </c>
      <c r="F60" s="111"/>
      <c r="G60" s="61">
        <f t="shared" si="1"/>
        <v>0</v>
      </c>
      <c r="H60" s="111"/>
      <c r="I60" s="111"/>
      <c r="J60" s="111"/>
      <c r="K60" s="111"/>
      <c r="L60" s="110">
        <f t="shared" si="2"/>
        <v>0</v>
      </c>
      <c r="M60" s="61">
        <f t="shared" si="3"/>
        <v>0</v>
      </c>
      <c r="N60" s="61">
        <f t="shared" si="4"/>
        <v>0</v>
      </c>
      <c r="O60" s="61" t="str">
        <f>'Dala Sales &amp; Deliveries'!L24</f>
        <v/>
      </c>
      <c r="P60" s="61">
        <f t="shared" si="5"/>
        <v>0</v>
      </c>
      <c r="Q60" s="61" t="str">
        <f>'External Delivery Fulfillment'!L24</f>
        <v/>
      </c>
      <c r="R60" s="61">
        <f t="shared" si="6"/>
        <v>0</v>
      </c>
      <c r="S60" s="61" t="str">
        <f>'Forwarding From Client'!L24</f>
        <v/>
      </c>
      <c r="T60" s="61">
        <f t="shared" si="7"/>
        <v>0</v>
      </c>
      <c r="U60" s="61" t="str">
        <f>'Dala Restocking'!L24</f>
        <v/>
      </c>
      <c r="V60" s="61">
        <f t="shared" si="8"/>
        <v>0</v>
      </c>
      <c r="W60" s="61" t="str">
        <f>'Client Restocking'!L24</f>
        <v/>
      </c>
    </row>
    <row r="61">
      <c r="B61" s="64" t="str">
        <f>'Internal Summary'!B63</f>
        <v/>
      </c>
      <c r="C61" s="61" t="str">
        <f>'Internal Summary'!C63</f>
        <v/>
      </c>
      <c r="D61" s="61" t="str">
        <f>'Internal Summary'!D63</f>
        <v/>
      </c>
      <c r="E61" s="61" t="str">
        <f>'Internal Summary'!E63</f>
        <v/>
      </c>
      <c r="F61" s="111"/>
      <c r="G61" s="61">
        <f t="shared" si="1"/>
        <v>0</v>
      </c>
      <c r="H61" s="111"/>
      <c r="I61" s="111"/>
      <c r="J61" s="111"/>
      <c r="K61" s="111"/>
      <c r="L61" s="110">
        <f t="shared" si="2"/>
        <v>0</v>
      </c>
      <c r="M61" s="61">
        <f t="shared" si="3"/>
        <v>0</v>
      </c>
      <c r="N61" s="61">
        <f t="shared" si="4"/>
        <v>0</v>
      </c>
      <c r="O61" s="61" t="str">
        <f>'Dala Sales &amp; Deliveries'!L25</f>
        <v/>
      </c>
      <c r="P61" s="61">
        <f t="shared" si="5"/>
        <v>0</v>
      </c>
      <c r="Q61" s="61" t="str">
        <f>'External Delivery Fulfillment'!L25</f>
        <v/>
      </c>
      <c r="R61" s="61">
        <f t="shared" si="6"/>
        <v>0</v>
      </c>
      <c r="S61" s="61" t="str">
        <f>'Forwarding From Client'!L25</f>
        <v/>
      </c>
      <c r="T61" s="61">
        <f t="shared" si="7"/>
        <v>0</v>
      </c>
      <c r="U61" s="61" t="str">
        <f>'Dala Restocking'!L25</f>
        <v/>
      </c>
      <c r="V61" s="61">
        <f t="shared" si="8"/>
        <v>0</v>
      </c>
      <c r="W61" s="61" t="str">
        <f>'Client Restocking'!L25</f>
        <v/>
      </c>
    </row>
    <row r="62">
      <c r="B62" s="64" t="str">
        <f>'Internal Summary'!B64</f>
        <v/>
      </c>
      <c r="C62" s="61" t="str">
        <f>'Internal Summary'!C64</f>
        <v/>
      </c>
      <c r="D62" s="61" t="str">
        <f>'Internal Summary'!D64</f>
        <v/>
      </c>
      <c r="E62" s="61" t="str">
        <f>'Internal Summary'!E64</f>
        <v/>
      </c>
      <c r="F62" s="111"/>
      <c r="G62" s="61">
        <f t="shared" si="1"/>
        <v>0</v>
      </c>
      <c r="H62" s="111"/>
      <c r="I62" s="111"/>
      <c r="J62" s="111"/>
      <c r="K62" s="111"/>
      <c r="L62" s="110">
        <f t="shared" si="2"/>
        <v>0</v>
      </c>
      <c r="M62" s="61">
        <f t="shared" si="3"/>
        <v>0</v>
      </c>
      <c r="N62" s="61">
        <f t="shared" si="4"/>
        <v>0</v>
      </c>
      <c r="O62" s="61" t="str">
        <f>'Dala Sales &amp; Deliveries'!L26</f>
        <v/>
      </c>
      <c r="P62" s="61">
        <f t="shared" si="5"/>
        <v>0</v>
      </c>
      <c r="Q62" s="61" t="str">
        <f>'External Delivery Fulfillment'!L26</f>
        <v/>
      </c>
      <c r="R62" s="61">
        <f t="shared" si="6"/>
        <v>0</v>
      </c>
      <c r="S62" s="61" t="str">
        <f>'Forwarding From Client'!L26</f>
        <v/>
      </c>
      <c r="T62" s="61">
        <f t="shared" si="7"/>
        <v>0</v>
      </c>
      <c r="U62" s="61" t="str">
        <f>'Dala Restocking'!L26</f>
        <v/>
      </c>
      <c r="V62" s="61">
        <f t="shared" si="8"/>
        <v>0</v>
      </c>
      <c r="W62" s="61" t="str">
        <f>'Client Restocking'!L26</f>
        <v/>
      </c>
    </row>
    <row r="63">
      <c r="B63" s="64" t="str">
        <f>'Internal Summary'!B65</f>
        <v/>
      </c>
      <c r="C63" s="61" t="str">
        <f>'Internal Summary'!C65</f>
        <v/>
      </c>
      <c r="D63" s="61" t="str">
        <f>'Internal Summary'!D65</f>
        <v/>
      </c>
      <c r="E63" s="61" t="str">
        <f>'Internal Summary'!E65</f>
        <v/>
      </c>
      <c r="F63" s="111"/>
      <c r="G63" s="61">
        <f t="shared" si="1"/>
        <v>0</v>
      </c>
      <c r="H63" s="111"/>
      <c r="I63" s="111"/>
      <c r="J63" s="111"/>
      <c r="K63" s="111"/>
      <c r="L63" s="110">
        <f t="shared" si="2"/>
        <v>0</v>
      </c>
      <c r="M63" s="61">
        <f t="shared" si="3"/>
        <v>0</v>
      </c>
      <c r="N63" s="61">
        <f t="shared" si="4"/>
        <v>0</v>
      </c>
      <c r="O63" s="61" t="str">
        <f>'Dala Sales &amp; Deliveries'!L27</f>
        <v/>
      </c>
      <c r="P63" s="61">
        <f t="shared" si="5"/>
        <v>0</v>
      </c>
      <c r="Q63" s="61" t="str">
        <f>'External Delivery Fulfillment'!L27</f>
        <v/>
      </c>
      <c r="R63" s="61">
        <f t="shared" si="6"/>
        <v>0</v>
      </c>
      <c r="S63" s="61" t="str">
        <f>'Forwarding From Client'!L27</f>
        <v/>
      </c>
      <c r="T63" s="61">
        <f t="shared" si="7"/>
        <v>0</v>
      </c>
      <c r="U63" s="61" t="str">
        <f>'Dala Restocking'!L27</f>
        <v/>
      </c>
      <c r="V63" s="61">
        <f t="shared" si="8"/>
        <v>0</v>
      </c>
      <c r="W63" s="61" t="str">
        <f>'Client Restocking'!L27</f>
        <v/>
      </c>
    </row>
    <row r="64">
      <c r="B64" s="64" t="str">
        <f>'Internal Summary'!B66</f>
        <v/>
      </c>
      <c r="C64" s="61" t="str">
        <f>'Internal Summary'!C66</f>
        <v/>
      </c>
      <c r="D64" s="61" t="str">
        <f>'Internal Summary'!D66</f>
        <v/>
      </c>
      <c r="E64" s="61" t="str">
        <f>'Internal Summary'!E66</f>
        <v/>
      </c>
      <c r="F64" s="111"/>
      <c r="G64" s="61">
        <f t="shared" si="1"/>
        <v>0</v>
      </c>
      <c r="H64" s="111"/>
      <c r="I64" s="111"/>
      <c r="J64" s="111"/>
      <c r="K64" s="111"/>
      <c r="L64" s="110">
        <f t="shared" si="2"/>
        <v>0</v>
      </c>
      <c r="M64" s="61">
        <f t="shared" si="3"/>
        <v>0</v>
      </c>
      <c r="N64" s="61">
        <f t="shared" si="4"/>
        <v>0</v>
      </c>
      <c r="O64" s="61" t="str">
        <f>'Dala Sales &amp; Deliveries'!L28</f>
        <v/>
      </c>
      <c r="P64" s="61">
        <f t="shared" si="5"/>
        <v>0</v>
      </c>
      <c r="Q64" s="61" t="str">
        <f>'External Delivery Fulfillment'!L28</f>
        <v/>
      </c>
      <c r="R64" s="61">
        <f t="shared" si="6"/>
        <v>0</v>
      </c>
      <c r="S64" s="61" t="str">
        <f>'Forwarding From Client'!L28</f>
        <v/>
      </c>
      <c r="T64" s="61">
        <f t="shared" si="7"/>
        <v>0</v>
      </c>
      <c r="U64" s="61" t="str">
        <f>'Dala Restocking'!L28</f>
        <v/>
      </c>
      <c r="V64" s="61">
        <f t="shared" si="8"/>
        <v>0</v>
      </c>
      <c r="W64" s="61" t="str">
        <f>'Client Restocking'!L28</f>
        <v/>
      </c>
    </row>
    <row r="65">
      <c r="B65" s="64" t="str">
        <f>'Internal Summary'!B67</f>
        <v/>
      </c>
      <c r="C65" s="61" t="str">
        <f>'Internal Summary'!C67</f>
        <v/>
      </c>
      <c r="D65" s="61" t="str">
        <f>'Internal Summary'!D67</f>
        <v/>
      </c>
      <c r="E65" s="61" t="str">
        <f>'Internal Summary'!E67</f>
        <v/>
      </c>
      <c r="F65" s="111"/>
      <c r="G65" s="61">
        <f t="shared" si="1"/>
        <v>0</v>
      </c>
      <c r="H65" s="111"/>
      <c r="I65" s="111"/>
      <c r="J65" s="111"/>
      <c r="K65" s="111"/>
      <c r="L65" s="110">
        <f t="shared" si="2"/>
        <v>0</v>
      </c>
      <c r="M65" s="61">
        <f t="shared" si="3"/>
        <v>0</v>
      </c>
      <c r="N65" s="61">
        <f t="shared" si="4"/>
        <v>0</v>
      </c>
      <c r="O65" s="61" t="str">
        <f>'Dala Sales &amp; Deliveries'!L29</f>
        <v/>
      </c>
      <c r="P65" s="61">
        <f t="shared" si="5"/>
        <v>0</v>
      </c>
      <c r="Q65" s="61" t="str">
        <f>'External Delivery Fulfillment'!L29</f>
        <v/>
      </c>
      <c r="R65" s="61">
        <f t="shared" si="6"/>
        <v>0</v>
      </c>
      <c r="S65" s="61" t="str">
        <f>'Forwarding From Client'!L29</f>
        <v/>
      </c>
      <c r="T65" s="61">
        <f t="shared" si="7"/>
        <v>0</v>
      </c>
      <c r="U65" s="61" t="str">
        <f>'Dala Restocking'!L29</f>
        <v/>
      </c>
      <c r="V65" s="61">
        <f t="shared" si="8"/>
        <v>0</v>
      </c>
      <c r="W65" s="61" t="str">
        <f>'Client Restocking'!L29</f>
        <v/>
      </c>
    </row>
    <row r="66">
      <c r="B66" s="64" t="str">
        <f>'Internal Summary'!B68</f>
        <v/>
      </c>
      <c r="C66" s="61" t="str">
        <f>'Internal Summary'!C68</f>
        <v/>
      </c>
      <c r="D66" s="61" t="str">
        <f>'Internal Summary'!D68</f>
        <v/>
      </c>
      <c r="E66" s="61" t="str">
        <f>'Internal Summary'!E68</f>
        <v/>
      </c>
      <c r="F66" s="111"/>
      <c r="G66" s="61">
        <f t="shared" si="1"/>
        <v>0</v>
      </c>
      <c r="H66" s="111"/>
      <c r="I66" s="111"/>
      <c r="J66" s="111"/>
      <c r="K66" s="111"/>
      <c r="L66" s="110">
        <f t="shared" si="2"/>
        <v>0</v>
      </c>
      <c r="M66" s="61">
        <f t="shared" si="3"/>
        <v>0</v>
      </c>
      <c r="N66" s="61">
        <f t="shared" si="4"/>
        <v>0</v>
      </c>
      <c r="O66" s="61" t="str">
        <f>'Dala Sales &amp; Deliveries'!L30</f>
        <v/>
      </c>
      <c r="P66" s="61">
        <f t="shared" si="5"/>
        <v>0</v>
      </c>
      <c r="Q66" s="61" t="str">
        <f>'External Delivery Fulfillment'!L30</f>
        <v/>
      </c>
      <c r="R66" s="61">
        <f t="shared" si="6"/>
        <v>0</v>
      </c>
      <c r="S66" s="61" t="str">
        <f>'Forwarding From Client'!L30</f>
        <v/>
      </c>
      <c r="T66" s="61">
        <f t="shared" si="7"/>
        <v>0</v>
      </c>
      <c r="U66" s="61" t="str">
        <f>'Dala Restocking'!L30</f>
        <v/>
      </c>
      <c r="V66" s="61">
        <f t="shared" si="8"/>
        <v>0</v>
      </c>
      <c r="W66" s="61" t="str">
        <f>'Client Restocking'!L30</f>
        <v/>
      </c>
    </row>
    <row r="67">
      <c r="B67" s="62" t="s">
        <v>92</v>
      </c>
      <c r="C67" s="98"/>
      <c r="D67" s="98"/>
      <c r="E67" s="110"/>
      <c r="F67" s="110">
        <f t="shared" ref="F67:W67" si="9">sum(F38:F66)</f>
        <v>0</v>
      </c>
      <c r="G67" s="110">
        <f t="shared" si="9"/>
        <v>0</v>
      </c>
      <c r="H67" s="110">
        <f t="shared" si="9"/>
        <v>0</v>
      </c>
      <c r="I67" s="110">
        <f t="shared" si="9"/>
        <v>0</v>
      </c>
      <c r="J67" s="110">
        <f t="shared" si="9"/>
        <v>0</v>
      </c>
      <c r="K67" s="110">
        <f t="shared" si="9"/>
        <v>54.5</v>
      </c>
      <c r="L67" s="110">
        <f t="shared" si="9"/>
        <v>-2</v>
      </c>
      <c r="M67" s="61">
        <f t="shared" si="9"/>
        <v>56.5</v>
      </c>
      <c r="N67" s="61">
        <f t="shared" si="9"/>
        <v>1211800</v>
      </c>
      <c r="O67" s="61">
        <f t="shared" si="9"/>
        <v>2</v>
      </c>
      <c r="P67" s="61">
        <f t="shared" si="9"/>
        <v>2000</v>
      </c>
      <c r="Q67" s="61">
        <f t="shared" si="9"/>
        <v>0</v>
      </c>
      <c r="R67" s="61">
        <f t="shared" si="9"/>
        <v>0</v>
      </c>
      <c r="S67" s="61">
        <f t="shared" si="9"/>
        <v>0</v>
      </c>
      <c r="T67" s="61">
        <f t="shared" si="9"/>
        <v>0</v>
      </c>
      <c r="U67" s="61">
        <f t="shared" si="9"/>
        <v>0</v>
      </c>
      <c r="V67" s="61">
        <f t="shared" si="9"/>
        <v>0</v>
      </c>
      <c r="W67" s="61">
        <f t="shared" si="9"/>
        <v>0</v>
      </c>
    </row>
    <row r="68">
      <c r="C68" s="6" t="s">
        <v>93</v>
      </c>
      <c r="D68" s="6" t="s">
        <v>93</v>
      </c>
      <c r="E68" s="6" t="s">
        <v>93</v>
      </c>
      <c r="F68" s="6" t="s">
        <v>93</v>
      </c>
      <c r="G68" s="6"/>
      <c r="H68" s="6" t="s">
        <v>93</v>
      </c>
      <c r="I68" s="6" t="s">
        <v>93</v>
      </c>
      <c r="J68" s="6" t="s">
        <v>93</v>
      </c>
      <c r="K68" s="6" t="s">
        <v>93</v>
      </c>
      <c r="L68" s="6" t="s">
        <v>93</v>
      </c>
      <c r="M68" s="6"/>
      <c r="N68" s="6" t="s">
        <v>93</v>
      </c>
      <c r="O68" s="6" t="s">
        <v>93</v>
      </c>
      <c r="P68" s="6" t="s">
        <v>93</v>
      </c>
      <c r="Q68" s="6" t="s">
        <v>93</v>
      </c>
      <c r="R68" s="6" t="s">
        <v>93</v>
      </c>
      <c r="S68" s="6"/>
      <c r="T68" s="6"/>
      <c r="U68" s="6" t="s">
        <v>93</v>
      </c>
      <c r="V68" s="6" t="s">
        <v>93</v>
      </c>
      <c r="W68" s="6" t="s">
        <v>93</v>
      </c>
    </row>
  </sheetData>
  <drawing r:id="rId1"/>
</worksheet>
</file>