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<sst xmlns="http://schemas.openxmlformats.org/spreadsheetml/2006/main" count="557" uniqueCount="113">
  <si>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</si>
  <si>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</si>
  <si>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</si>
  <si>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</si>
  <si>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</si>
  <si>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</si>
  <si>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</si>
  <si>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</si>
  <si>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</si>
  <si>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</si>
  <si>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</si>
  <si>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</si>
  <si>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</si>
  <si>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</si>
  <si>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</si>
  <si>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</si>
  <si>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</si>
  <si>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Purchase Inv-Brand Partner</t>
  </si>
  <si>
    <t>Jadens Fussy-Pops (12x)</t>
  </si>
  <si>
    <t>Shop 'N' Save Supermarket</t>
  </si>
  <si>
    <t>Sales</t>
  </si>
  <si>
    <t>DT:002376</t>
  </si>
  <si>
    <t>Health Rite</t>
  </si>
  <si>
    <t>Journal</t>
  </si>
  <si>
    <t>Jadens Nuttymeal (12x)</t>
  </si>
  <si>
    <t>Jadens Mixagrain (12x)</t>
  </si>
  <si>
    <t>Ozzy Supermarket, VICTORY PARK EST.</t>
  </si>
  <si>
    <t>DT:002387</t>
  </si>
  <si>
    <t>Prince Ebeano Supermarket, LEKKI DOHERTY</t>
  </si>
  <si>
    <t>Twins Faja Supermarket, ABARENJE</t>
  </si>
  <si>
    <t>DT:002396</t>
  </si>
  <si>
    <t>Reno Supermarket, IBA</t>
  </si>
  <si>
    <t>DT:002397</t>
  </si>
  <si>
    <t>Jendol Supermarket, ALAKUKO</t>
  </si>
  <si>
    <t>Limitless Mart, LEKKI</t>
  </si>
  <si>
    <t>DT:002415</t>
  </si>
  <si>
    <t>DT:002429</t>
  </si>
  <si>
    <t>D-Arena Supermarket, LEKKI</t>
  </si>
  <si>
    <t>DT:002430</t>
  </si>
  <si>
    <t>DT:002431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</si>
  <si>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</si>
  <si>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</si>
  <si>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</si>
  <si>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</si>
  <si>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</si>
  <si>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</si>
  <si>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</si>
  <si>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2067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</si>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</sst>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ussy-Pops (12x)"/>
        <s v="Jadens Nuttymeal (12x)"/>
        <s v="Jadens Mixagrain (12x)"/>
        <s v="Jadens Fruitamil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Shop 'N' Save Supermarket"/>
        <s v="Ozzy Supermarket, VICTORY PARK EST."/>
        <s v="Twins Faja Supermarket, ABARENJE"/>
        <s v="Reno Supermarket, IBA"/>
        <s v="Limitless Mart, LEKKI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6"/>
        <s v="DT:002387"/>
        <s v="DT:002396"/>
        <s v="DT:002397"/>
        <s v="DT:002415"/>
        <s v="DT:002429"/>
        <s v="DT:002430"/>
        <s v="DT:002431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60000.0"/>
        <n v="90000.0"/>
        <n v="30000.0"/>
        <n v="12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ussy-Pops (12x)"/>
        <s v="Jadens Nuttymeal (12x)"/>
        <s v="Jadens Mixagrain (12x)"/>
        <s v="Jadens Fruitamil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m/>
      </sharedItems>
    </cacheField>
    <cacheField name="Particulars" numFmtId="0">
      <sharedItems containsBlank="1">
        <s v="Shop 'N' Save Supermarket"/>
        <s v="Ozzy Supermarket, VICTORY PARK EST."/>
        <s v="Twins Faja Supermarket, ABARENJE"/>
        <s v="Reno Supermarket, IBA"/>
        <s v="Limitless Mart, LEKKI"/>
        <s v="D-Arena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6"/>
        <s v="DT:002387"/>
        <s v="DT:002396"/>
        <s v="DT:002397"/>
        <s v="DT:002415"/>
        <s v="DT:002429"/>
        <s v="DT:002430"/>
        <s v="DT:002431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ussy-Pops (12x)"/>
        <s v="Jadens Mixagrain (12x)"/>
        <s v="Jadens Nuttymeal (12x)"/>
        <s v="Jadens Fruitamil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m/>
      </sharedItems>
    </cacheField>
    <cacheField name="Particulars" numFmtId="0">
      <sharedItems containsBlank="1">
        <s v="Health Rite"/>
        <s v="Prince Ebeano Supermarket, LEKKI DOHERTY"/>
        <s v="Jendol Supermarket, ALAKUK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39.0"/>
        <n v="241.0"/>
        <n v="243.0"/>
        <m/>
      </sharedItems>
    </cacheField>
    <cacheField name="Quantity" numFmtId="0">
      <sharedItems containsString="0" containsBlank="1" containsNumber="1">
        <n v="0.5"/>
        <n v="1.0"/>
        <n v="3.0"/>
        <n v="2.0"/>
        <m/>
      </sharedItems>
    </cacheField>
    <cacheField name="Value" numFmtId="4">
      <sharedItems containsString="0" containsBlank="1" containsNumber="1" containsInteger="1">
        <n v="30000.0"/>
        <n v="60000.0"/>
        <n v="18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7.0"/>
        <m/>
      </sharedItems>
    </cacheField>
    <cacheField name="Quantity" numFmtId="0">
      <sharedItems containsString="0" containsBlank="1" containsNumber="1" containsInteger="1">
        <n v="39.0"/>
        <n v="5.0"/>
        <n v="10.0"/>
        <m/>
      </sharedItems>
    </cacheField>
    <cacheField name="Value" numFmtId="4">
      <sharedItems containsString="0" containsBlank="1" containsNumber="1" containsInteger="1">
        <n v="2340000.0"/>
        <n v="3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5"/>
        <item x="4"/>
        <item x="1"/>
        <item x="3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8</v>
      </c>
    </row>
    <row r="3">
      <c r="A3" s="11" t="s">
        <v>15</v>
      </c>
      <c r="B3" s="12">
        <v>45902.0</v>
      </c>
      <c r="C3" s="13" t="s">
        <v>16</v>
      </c>
      <c r="D3" s="13" t="s">
        <v>17</v>
      </c>
      <c r="E3" s="14">
        <v>2067.0</v>
      </c>
      <c r="F3" s="14">
        <v>39.0</v>
      </c>
      <c r="G3" s="15">
        <v>2340000.0</v>
      </c>
      <c r="I3" s="11" t="s">
        <v>18</v>
      </c>
      <c r="J3" s="12">
        <v>45901.0</v>
      </c>
      <c r="K3" s="13" t="s">
        <v>19</v>
      </c>
      <c r="L3" s="13" t="s">
        <v>20</v>
      </c>
      <c r="M3" s="14" t="s">
        <v>21</v>
      </c>
      <c r="N3" s="14">
        <v>0.5</v>
      </c>
      <c r="O3" s="15">
        <v>30000.0</v>
      </c>
      <c r="P3" s="16">
        <f t="shared" ref="P3:P174" si="1">sumif(M:M,M3,O:O)</f>
        <v>60000</v>
      </c>
      <c r="R3" s="11" t="s">
        <v>18</v>
      </c>
      <c r="S3" s="12">
        <v>45901.0</v>
      </c>
      <c r="T3" s="13" t="s">
        <v>22</v>
      </c>
      <c r="U3" s="13" t="s">
        <v>23</v>
      </c>
      <c r="V3" s="14">
        <v>239.0</v>
      </c>
      <c r="W3" s="14">
        <v>0.5</v>
      </c>
      <c r="X3" s="15">
        <v>30000.0</v>
      </c>
      <c r="Z3" s="17"/>
      <c r="AA3" s="17"/>
      <c r="AB3" s="17"/>
      <c r="AC3" s="17"/>
      <c r="AD3" s="17"/>
      <c r="AE3" s="17"/>
      <c r="AF3" s="17"/>
      <c r="AG3" s="17"/>
      <c r="AH3" s="11" t="s">
        <v>15</v>
      </c>
      <c r="AI3" s="12">
        <v>45902.0</v>
      </c>
      <c r="AJ3" s="13" t="s">
        <v>16</v>
      </c>
      <c r="AK3" s="13" t="s">
        <v>17</v>
      </c>
      <c r="AL3" s="14">
        <v>2067.0</v>
      </c>
      <c r="AM3" s="14">
        <v>39.0</v>
      </c>
      <c r="AN3" s="15">
        <v>2340000.0</v>
      </c>
      <c r="AP3" s="11"/>
      <c r="AQ3" s="12"/>
      <c r="AR3" s="13"/>
      <c r="AS3" s="13"/>
      <c r="AT3" s="14"/>
      <c r="AU3" s="14"/>
      <c r="AV3" s="15"/>
    </row>
    <row r="4">
      <c r="A4" s="11" t="s">
        <v>18</v>
      </c>
      <c r="B4" s="12">
        <v>45902.0</v>
      </c>
      <c r="C4" s="13" t="s">
        <v>16</v>
      </c>
      <c r="D4" s="13" t="s">
        <v>17</v>
      </c>
      <c r="E4" s="14">
        <v>2067.0</v>
      </c>
      <c r="F4" s="14">
        <v>5.0</v>
      </c>
      <c r="G4" s="15">
        <v>300000.0</v>
      </c>
      <c r="I4" s="11" t="s">
        <v>24</v>
      </c>
      <c r="J4" s="12">
        <v>45901.0</v>
      </c>
      <c r="K4" s="13" t="s">
        <v>19</v>
      </c>
      <c r="L4" s="13" t="s">
        <v>20</v>
      </c>
      <c r="M4" s="14" t="s">
        <v>21</v>
      </c>
      <c r="N4" s="14">
        <v>0.5</v>
      </c>
      <c r="O4" s="15">
        <v>30000.0</v>
      </c>
      <c r="P4" s="16">
        <f t="shared" si="1"/>
        <v>60000</v>
      </c>
      <c r="R4" s="11" t="s">
        <v>25</v>
      </c>
      <c r="S4" s="12">
        <v>45901.0</v>
      </c>
      <c r="T4" s="13" t="s">
        <v>22</v>
      </c>
      <c r="U4" s="13" t="s">
        <v>23</v>
      </c>
      <c r="V4" s="14">
        <v>239.0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1" t="s">
        <v>18</v>
      </c>
      <c r="AI4" s="12">
        <v>45902.0</v>
      </c>
      <c r="AJ4" s="13" t="s">
        <v>16</v>
      </c>
      <c r="AK4" s="13" t="s">
        <v>17</v>
      </c>
      <c r="AL4" s="14">
        <v>2067.0</v>
      </c>
      <c r="AM4" s="14">
        <v>5.0</v>
      </c>
      <c r="AN4" s="15">
        <v>300000.0</v>
      </c>
    </row>
    <row r="5">
      <c r="A5" s="11" t="s">
        <v>25</v>
      </c>
      <c r="B5" s="12">
        <v>45902.0</v>
      </c>
      <c r="C5" s="13" t="s">
        <v>16</v>
      </c>
      <c r="D5" s="13" t="s">
        <v>17</v>
      </c>
      <c r="E5" s="14">
        <v>2067.0</v>
      </c>
      <c r="F5" s="14">
        <v>10.0</v>
      </c>
      <c r="G5" s="15">
        <v>600000.0</v>
      </c>
      <c r="I5" s="11" t="s">
        <v>18</v>
      </c>
      <c r="J5" s="12">
        <v>45902.0</v>
      </c>
      <c r="K5" s="13" t="s">
        <v>26</v>
      </c>
      <c r="L5" s="13" t="s">
        <v>20</v>
      </c>
      <c r="M5" s="14" t="s">
        <v>27</v>
      </c>
      <c r="N5" s="14">
        <v>0.5</v>
      </c>
      <c r="O5" s="15">
        <v>30000.0</v>
      </c>
      <c r="P5" s="16">
        <f t="shared" si="1"/>
        <v>90000</v>
      </c>
      <c r="R5" s="11" t="s">
        <v>24</v>
      </c>
      <c r="S5" s="12">
        <v>45901.0</v>
      </c>
      <c r="T5" s="13" t="s">
        <v>22</v>
      </c>
      <c r="U5" s="13" t="s">
        <v>23</v>
      </c>
      <c r="V5" s="14">
        <v>239.0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1" t="s">
        <v>25</v>
      </c>
      <c r="AI5" s="12">
        <v>45902.0</v>
      </c>
      <c r="AJ5" s="13" t="s">
        <v>16</v>
      </c>
      <c r="AK5" s="13" t="s">
        <v>17</v>
      </c>
      <c r="AL5" s="14">
        <v>2067.0</v>
      </c>
      <c r="AM5" s="14">
        <v>10.0</v>
      </c>
      <c r="AN5" s="15">
        <v>600000.0</v>
      </c>
    </row>
    <row r="6">
      <c r="A6" s="11" t="s">
        <v>24</v>
      </c>
      <c r="B6" s="12">
        <v>45902.0</v>
      </c>
      <c r="C6" s="13" t="s">
        <v>16</v>
      </c>
      <c r="D6" s="13" t="s">
        <v>17</v>
      </c>
      <c r="E6" s="14">
        <v>2067.0</v>
      </c>
      <c r="F6" s="14">
        <v>10.0</v>
      </c>
      <c r="G6" s="15">
        <v>600000.0</v>
      </c>
      <c r="I6" s="11" t="s">
        <v>25</v>
      </c>
      <c r="J6" s="12">
        <v>45902.0</v>
      </c>
      <c r="K6" s="13" t="s">
        <v>26</v>
      </c>
      <c r="L6" s="13" t="s">
        <v>20</v>
      </c>
      <c r="M6" s="14" t="s">
        <v>27</v>
      </c>
      <c r="N6" s="14">
        <v>0.5</v>
      </c>
      <c r="O6" s="15">
        <v>30000.0</v>
      </c>
      <c r="P6" s="16">
        <f t="shared" si="1"/>
        <v>90000</v>
      </c>
      <c r="R6" s="11" t="s">
        <v>18</v>
      </c>
      <c r="S6" s="12">
        <v>45902.0</v>
      </c>
      <c r="T6" s="13" t="s">
        <v>28</v>
      </c>
      <c r="U6" s="13" t="s">
        <v>23</v>
      </c>
      <c r="V6" s="14">
        <v>241.0</v>
      </c>
      <c r="W6" s="14">
        <v>1.0</v>
      </c>
      <c r="X6" s="15">
        <v>60000.0</v>
      </c>
      <c r="Z6" s="17"/>
      <c r="AA6" s="17"/>
      <c r="AB6" s="17"/>
      <c r="AC6" s="17"/>
      <c r="AD6" s="17"/>
      <c r="AE6" s="17"/>
      <c r="AF6" s="17"/>
      <c r="AG6" s="17"/>
      <c r="AH6" s="11" t="s">
        <v>24</v>
      </c>
      <c r="AI6" s="12">
        <v>45902.0</v>
      </c>
      <c r="AJ6" s="13" t="s">
        <v>16</v>
      </c>
      <c r="AK6" s="13" t="s">
        <v>17</v>
      </c>
      <c r="AL6" s="14">
        <v>2067.0</v>
      </c>
      <c r="AM6" s="14">
        <v>10.0</v>
      </c>
      <c r="AN6" s="15">
        <v>600000.0</v>
      </c>
    </row>
    <row r="7">
      <c r="A7" s="11" t="s">
        <v>18</v>
      </c>
      <c r="B7" s="12">
        <v>45901.0</v>
      </c>
      <c r="C7" s="13" t="s">
        <v>22</v>
      </c>
      <c r="D7" s="13" t="s">
        <v>23</v>
      </c>
      <c r="E7" s="14">
        <v>239.0</v>
      </c>
      <c r="F7" s="14">
        <v>0.5</v>
      </c>
      <c r="G7" s="15">
        <v>30000.0</v>
      </c>
      <c r="I7" s="11" t="s">
        <v>24</v>
      </c>
      <c r="J7" s="12">
        <v>45902.0</v>
      </c>
      <c r="K7" s="13" t="s">
        <v>26</v>
      </c>
      <c r="L7" s="13" t="s">
        <v>20</v>
      </c>
      <c r="M7" s="14" t="s">
        <v>27</v>
      </c>
      <c r="N7" s="14">
        <v>0.5</v>
      </c>
      <c r="O7" s="15">
        <v>30000.0</v>
      </c>
      <c r="P7" s="16">
        <f t="shared" si="1"/>
        <v>90000</v>
      </c>
      <c r="R7" s="11" t="s">
        <v>25</v>
      </c>
      <c r="S7" s="12">
        <v>45902.0</v>
      </c>
      <c r="T7" s="13" t="s">
        <v>28</v>
      </c>
      <c r="U7" s="13" t="s">
        <v>23</v>
      </c>
      <c r="V7" s="14">
        <v>241.0</v>
      </c>
      <c r="W7" s="14">
        <v>3.0</v>
      </c>
      <c r="X7" s="15">
        <v>180000.0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25</v>
      </c>
      <c r="B8" s="12">
        <v>45901.0</v>
      </c>
      <c r="C8" s="13" t="s">
        <v>22</v>
      </c>
      <c r="D8" s="13" t="s">
        <v>23</v>
      </c>
      <c r="E8" s="14">
        <v>239.0</v>
      </c>
      <c r="F8" s="14">
        <v>1.0</v>
      </c>
      <c r="G8" s="15">
        <v>60000.0</v>
      </c>
      <c r="I8" s="11" t="s">
        <v>15</v>
      </c>
      <c r="J8" s="12">
        <v>45903.0</v>
      </c>
      <c r="K8" s="13" t="s">
        <v>29</v>
      </c>
      <c r="L8" s="13" t="s">
        <v>20</v>
      </c>
      <c r="M8" s="14" t="s">
        <v>30</v>
      </c>
      <c r="N8" s="14">
        <v>0.5</v>
      </c>
      <c r="O8" s="15">
        <v>30000.0</v>
      </c>
      <c r="P8" s="16">
        <f t="shared" si="1"/>
        <v>30000</v>
      </c>
      <c r="R8" s="11" t="s">
        <v>24</v>
      </c>
      <c r="S8" s="12">
        <v>45902.0</v>
      </c>
      <c r="T8" s="13" t="s">
        <v>28</v>
      </c>
      <c r="U8" s="13" t="s">
        <v>23</v>
      </c>
      <c r="V8" s="14">
        <v>241.0</v>
      </c>
      <c r="W8" s="14">
        <v>2.0</v>
      </c>
      <c r="X8" s="15">
        <v>120000.0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24</v>
      </c>
      <c r="B9" s="12">
        <v>45901.0</v>
      </c>
      <c r="C9" s="13" t="s">
        <v>22</v>
      </c>
      <c r="D9" s="13" t="s">
        <v>23</v>
      </c>
      <c r="E9" s="14">
        <v>239.0</v>
      </c>
      <c r="F9" s="14">
        <v>1.0</v>
      </c>
      <c r="G9" s="15">
        <v>60000.0</v>
      </c>
      <c r="I9" s="11" t="s">
        <v>25</v>
      </c>
      <c r="J9" s="12">
        <v>45903.0</v>
      </c>
      <c r="K9" s="13" t="s">
        <v>31</v>
      </c>
      <c r="L9" s="13" t="s">
        <v>20</v>
      </c>
      <c r="M9" s="14" t="s">
        <v>32</v>
      </c>
      <c r="N9" s="14">
        <v>0.5</v>
      </c>
      <c r="O9" s="15">
        <v>30000.0</v>
      </c>
      <c r="P9" s="16">
        <f t="shared" si="1"/>
        <v>60000</v>
      </c>
      <c r="R9" s="11" t="s">
        <v>15</v>
      </c>
      <c r="S9" s="12">
        <v>45903.0</v>
      </c>
      <c r="T9" s="13" t="s">
        <v>33</v>
      </c>
      <c r="U9" s="13" t="s">
        <v>23</v>
      </c>
      <c r="V9" s="14">
        <v>243.0</v>
      </c>
      <c r="W9" s="14">
        <v>1.0</v>
      </c>
      <c r="X9" s="15">
        <v>60000.0</v>
      </c>
      <c r="AH9" s="11"/>
      <c r="AI9" s="12"/>
      <c r="AJ9" s="13"/>
      <c r="AK9" s="13"/>
      <c r="AL9" s="14"/>
      <c r="AM9" s="14"/>
      <c r="AN9" s="15"/>
    </row>
    <row r="10">
      <c r="A10" s="11" t="s">
        <v>18</v>
      </c>
      <c r="B10" s="12">
        <v>45902.0</v>
      </c>
      <c r="C10" s="13" t="s">
        <v>28</v>
      </c>
      <c r="D10" s="13" t="s">
        <v>23</v>
      </c>
      <c r="E10" s="14">
        <v>241.0</v>
      </c>
      <c r="F10" s="14">
        <v>1.0</v>
      </c>
      <c r="G10" s="15">
        <v>60000.0</v>
      </c>
      <c r="I10" s="11" t="s">
        <v>24</v>
      </c>
      <c r="J10" s="12">
        <v>45903.0</v>
      </c>
      <c r="K10" s="13" t="s">
        <v>31</v>
      </c>
      <c r="L10" s="13" t="s">
        <v>20</v>
      </c>
      <c r="M10" s="14" t="s">
        <v>32</v>
      </c>
      <c r="N10" s="14">
        <v>0.5</v>
      </c>
      <c r="O10" s="15">
        <v>30000.0</v>
      </c>
      <c r="P10" s="16">
        <f t="shared" si="1"/>
        <v>60000</v>
      </c>
      <c r="R10" s="11"/>
      <c r="S10" s="12"/>
      <c r="T10" s="13"/>
      <c r="U10" s="13"/>
      <c r="V10" s="14"/>
      <c r="W10" s="14"/>
      <c r="X10" s="15"/>
      <c r="AH10" s="18"/>
      <c r="AI10" s="19"/>
      <c r="AJ10" s="20"/>
      <c r="AK10" s="20"/>
      <c r="AL10" s="21"/>
      <c r="AM10" s="21"/>
      <c r="AN10" s="22"/>
    </row>
    <row r="11">
      <c r="A11" s="11" t="s">
        <v>25</v>
      </c>
      <c r="B11" s="12">
        <v>45902.0</v>
      </c>
      <c r="C11" s="13" t="s">
        <v>28</v>
      </c>
      <c r="D11" s="13" t="s">
        <v>23</v>
      </c>
      <c r="E11" s="14">
        <v>241.0</v>
      </c>
      <c r="F11" s="14">
        <v>3.0</v>
      </c>
      <c r="G11" s="15">
        <v>180000.0</v>
      </c>
      <c r="I11" s="11" t="s">
        <v>15</v>
      </c>
      <c r="J11" s="12">
        <v>45904.0</v>
      </c>
      <c r="K11" s="13" t="s">
        <v>34</v>
      </c>
      <c r="L11" s="13" t="s">
        <v>20</v>
      </c>
      <c r="M11" s="14" t="s">
        <v>35</v>
      </c>
      <c r="N11" s="14">
        <v>0.5</v>
      </c>
      <c r="O11" s="15">
        <v>30000.0</v>
      </c>
      <c r="P11" s="16">
        <f t="shared" si="1"/>
        <v>60000</v>
      </c>
      <c r="R11" s="11"/>
      <c r="S11" s="12"/>
      <c r="T11" s="13"/>
      <c r="U11" s="13"/>
      <c r="V11" s="14"/>
      <c r="W11" s="14"/>
      <c r="X11" s="15"/>
      <c r="AH11" s="18"/>
      <c r="AI11" s="19"/>
      <c r="AJ11" s="20"/>
      <c r="AK11" s="20"/>
      <c r="AL11" s="21"/>
      <c r="AM11" s="21"/>
      <c r="AN11" s="22"/>
    </row>
    <row r="12">
      <c r="A12" s="11" t="s">
        <v>24</v>
      </c>
      <c r="B12" s="12">
        <v>45902.0</v>
      </c>
      <c r="C12" s="13" t="s">
        <v>28</v>
      </c>
      <c r="D12" s="13" t="s">
        <v>23</v>
      </c>
      <c r="E12" s="14">
        <v>241.0</v>
      </c>
      <c r="F12" s="14">
        <v>2.0</v>
      </c>
      <c r="G12" s="15">
        <v>120000.0</v>
      </c>
      <c r="I12" s="11" t="s">
        <v>18</v>
      </c>
      <c r="J12" s="12">
        <v>45904.0</v>
      </c>
      <c r="K12" s="13" t="s">
        <v>34</v>
      </c>
      <c r="L12" s="13" t="s">
        <v>20</v>
      </c>
      <c r="M12" s="14" t="s">
        <v>35</v>
      </c>
      <c r="N12" s="14">
        <v>0.5</v>
      </c>
      <c r="O12" s="15">
        <v>30000.0</v>
      </c>
      <c r="P12" s="16">
        <f t="shared" si="1"/>
        <v>60000</v>
      </c>
      <c r="R12" s="11"/>
      <c r="S12" s="12"/>
      <c r="T12" s="13"/>
      <c r="U12" s="13"/>
      <c r="V12" s="14"/>
      <c r="W12" s="14"/>
      <c r="X12" s="15"/>
      <c r="AH12" s="11"/>
      <c r="AI12" s="12"/>
      <c r="AJ12" s="13"/>
      <c r="AK12" s="13"/>
      <c r="AL12" s="14"/>
      <c r="AM12" s="14"/>
      <c r="AN12" s="15"/>
    </row>
    <row r="13">
      <c r="A13" s="11" t="s">
        <v>15</v>
      </c>
      <c r="B13" s="12">
        <v>45903.0</v>
      </c>
      <c r="C13" s="13" t="s">
        <v>33</v>
      </c>
      <c r="D13" s="13" t="s">
        <v>23</v>
      </c>
      <c r="E13" s="14">
        <v>243.0</v>
      </c>
      <c r="F13" s="14">
        <v>1.0</v>
      </c>
      <c r="G13" s="15">
        <v>60000.0</v>
      </c>
      <c r="I13" s="11" t="s">
        <v>15</v>
      </c>
      <c r="J13" s="12">
        <v>45904.0</v>
      </c>
      <c r="K13" s="13" t="s">
        <v>26</v>
      </c>
      <c r="L13" s="13" t="s">
        <v>20</v>
      </c>
      <c r="M13" s="14" t="s">
        <v>36</v>
      </c>
      <c r="N13" s="14">
        <v>0.5</v>
      </c>
      <c r="O13" s="15">
        <v>30000.0</v>
      </c>
      <c r="P13" s="16">
        <f t="shared" si="1"/>
        <v>30000</v>
      </c>
      <c r="R13" s="11"/>
      <c r="S13" s="12"/>
      <c r="T13" s="13"/>
      <c r="U13" s="13"/>
      <c r="V13" s="14"/>
      <c r="W13" s="14"/>
      <c r="X13" s="15"/>
      <c r="AH13" s="23"/>
      <c r="AI13" s="24"/>
      <c r="AJ13" s="25"/>
      <c r="AK13" s="25"/>
      <c r="AL13" s="2"/>
      <c r="AM13" s="26"/>
      <c r="AN13" s="27"/>
    </row>
    <row r="14">
      <c r="A14" s="11" t="s">
        <v>18</v>
      </c>
      <c r="B14" s="12">
        <v>45901.0</v>
      </c>
      <c r="C14" s="13" t="s">
        <v>19</v>
      </c>
      <c r="D14" s="13" t="s">
        <v>20</v>
      </c>
      <c r="E14" s="14" t="s">
        <v>21</v>
      </c>
      <c r="F14" s="14">
        <v>0.5</v>
      </c>
      <c r="G14" s="15">
        <v>30000.0</v>
      </c>
      <c r="I14" s="11" t="s">
        <v>15</v>
      </c>
      <c r="J14" s="12">
        <v>45904.0</v>
      </c>
      <c r="K14" s="13" t="s">
        <v>37</v>
      </c>
      <c r="L14" s="13" t="s">
        <v>20</v>
      </c>
      <c r="M14" s="14" t="s">
        <v>38</v>
      </c>
      <c r="N14" s="14">
        <v>1.0</v>
      </c>
      <c r="O14" s="15">
        <v>60000.0</v>
      </c>
      <c r="P14" s="16">
        <f t="shared" si="1"/>
        <v>60000</v>
      </c>
      <c r="R14" s="11"/>
      <c r="S14" s="12"/>
      <c r="T14" s="13"/>
      <c r="U14" s="13"/>
      <c r="V14" s="14"/>
      <c r="W14" s="14"/>
      <c r="X14" s="15"/>
      <c r="AH14" s="23"/>
      <c r="AI14" s="24"/>
      <c r="AJ14" s="25"/>
      <c r="AK14" s="25"/>
      <c r="AL14" s="2"/>
      <c r="AM14" s="26"/>
      <c r="AN14" s="27"/>
    </row>
    <row r="15">
      <c r="A15" s="11" t="s">
        <v>24</v>
      </c>
      <c r="B15" s="12">
        <v>45901.0</v>
      </c>
      <c r="C15" s="13" t="s">
        <v>19</v>
      </c>
      <c r="D15" s="13" t="s">
        <v>20</v>
      </c>
      <c r="E15" s="14" t="s">
        <v>21</v>
      </c>
      <c r="F15" s="14">
        <v>0.5</v>
      </c>
      <c r="G15" s="15">
        <v>30000.0</v>
      </c>
      <c r="I15" s="11" t="s">
        <v>18</v>
      </c>
      <c r="J15" s="12">
        <v>45904.0</v>
      </c>
      <c r="K15" s="13" t="s">
        <v>37</v>
      </c>
      <c r="L15" s="13" t="s">
        <v>20</v>
      </c>
      <c r="M15" s="14" t="s">
        <v>39</v>
      </c>
      <c r="N15" s="14">
        <v>0.5</v>
      </c>
      <c r="O15" s="15">
        <v>30000.0</v>
      </c>
      <c r="P15" s="16">
        <f t="shared" si="1"/>
        <v>120000</v>
      </c>
      <c r="R15" s="11"/>
      <c r="S15" s="12"/>
      <c r="T15" s="13"/>
      <c r="U15" s="13"/>
      <c r="V15" s="14"/>
      <c r="W15" s="14"/>
      <c r="X15" s="15"/>
      <c r="AH15" s="23"/>
      <c r="AI15" s="24"/>
      <c r="AJ15" s="25"/>
      <c r="AK15" s="25"/>
      <c r="AL15" s="2"/>
      <c r="AM15" s="26"/>
      <c r="AN15" s="27"/>
    </row>
    <row r="16">
      <c r="A16" s="11" t="s">
        <v>18</v>
      </c>
      <c r="B16" s="12">
        <v>45902.0</v>
      </c>
      <c r="C16" s="13" t="s">
        <v>26</v>
      </c>
      <c r="D16" s="13" t="s">
        <v>20</v>
      </c>
      <c r="E16" s="14" t="s">
        <v>27</v>
      </c>
      <c r="F16" s="14">
        <v>0.5</v>
      </c>
      <c r="G16" s="15">
        <v>30000.0</v>
      </c>
      <c r="I16" s="11" t="s">
        <v>25</v>
      </c>
      <c r="J16" s="12">
        <v>45904.0</v>
      </c>
      <c r="K16" s="13" t="s">
        <v>37</v>
      </c>
      <c r="L16" s="13" t="s">
        <v>20</v>
      </c>
      <c r="M16" s="14" t="s">
        <v>39</v>
      </c>
      <c r="N16" s="14">
        <v>1.0</v>
      </c>
      <c r="O16" s="15">
        <v>60000.0</v>
      </c>
      <c r="P16" s="16">
        <f t="shared" si="1"/>
        <v>120000</v>
      </c>
      <c r="R16" s="11"/>
      <c r="S16" s="12"/>
      <c r="T16" s="13"/>
      <c r="U16" s="13"/>
      <c r="V16" s="14"/>
      <c r="W16" s="14"/>
      <c r="X16" s="15"/>
      <c r="AH16" s="23"/>
      <c r="AI16" s="24"/>
      <c r="AJ16" s="25"/>
      <c r="AK16" s="25"/>
      <c r="AL16" s="2"/>
      <c r="AM16" s="2"/>
      <c r="AN16" s="27"/>
    </row>
    <row r="17">
      <c r="A17" s="11" t="s">
        <v>25</v>
      </c>
      <c r="B17" s="12">
        <v>45902.0</v>
      </c>
      <c r="C17" s="13" t="s">
        <v>26</v>
      </c>
      <c r="D17" s="13" t="s">
        <v>20</v>
      </c>
      <c r="E17" s="14" t="s">
        <v>27</v>
      </c>
      <c r="F17" s="14">
        <v>0.5</v>
      </c>
      <c r="G17" s="15">
        <v>30000.0</v>
      </c>
      <c r="I17" s="11" t="s">
        <v>24</v>
      </c>
      <c r="J17" s="12">
        <v>45904.0</v>
      </c>
      <c r="K17" s="13" t="s">
        <v>37</v>
      </c>
      <c r="L17" s="13" t="s">
        <v>20</v>
      </c>
      <c r="M17" s="14" t="s">
        <v>39</v>
      </c>
      <c r="N17" s="14">
        <v>0.5</v>
      </c>
      <c r="O17" s="15">
        <v>30000.0</v>
      </c>
      <c r="P17" s="16">
        <f t="shared" si="1"/>
        <v>120000</v>
      </c>
      <c r="R17" s="11"/>
      <c r="S17" s="12"/>
      <c r="T17" s="13"/>
      <c r="U17" s="13"/>
      <c r="V17" s="14"/>
      <c r="W17" s="14"/>
      <c r="X17" s="15"/>
      <c r="AH17" s="23"/>
      <c r="AI17" s="24"/>
      <c r="AJ17" s="25"/>
      <c r="AK17" s="25"/>
      <c r="AL17" s="2"/>
      <c r="AM17" s="26"/>
      <c r="AN17" s="27"/>
    </row>
    <row r="18">
      <c r="A18" s="11" t="s">
        <v>24</v>
      </c>
      <c r="B18" s="12">
        <v>45902.0</v>
      </c>
      <c r="C18" s="13" t="s">
        <v>26</v>
      </c>
      <c r="D18" s="13" t="s">
        <v>20</v>
      </c>
      <c r="E18" s="14" t="s">
        <v>27</v>
      </c>
      <c r="F18" s="14">
        <v>0.5</v>
      </c>
      <c r="G18" s="15">
        <v>30000.0</v>
      </c>
      <c r="I18" s="11"/>
      <c r="J18" s="12"/>
      <c r="K18" s="13"/>
      <c r="L18" s="13"/>
      <c r="M18" s="14"/>
      <c r="N18" s="14"/>
      <c r="O18" s="15"/>
      <c r="P18" s="16">
        <f t="shared" si="1"/>
        <v>0</v>
      </c>
      <c r="R18" s="11"/>
      <c r="S18" s="12"/>
      <c r="T18" s="13"/>
      <c r="U18" s="13"/>
      <c r="V18" s="14"/>
      <c r="W18" s="14"/>
      <c r="X18" s="15"/>
      <c r="AH18" s="23"/>
      <c r="AI18" s="24"/>
      <c r="AJ18" s="25"/>
      <c r="AK18" s="25"/>
      <c r="AL18" s="2"/>
      <c r="AM18" s="2"/>
      <c r="AN18" s="27"/>
    </row>
    <row r="19">
      <c r="A19" s="11" t="s">
        <v>15</v>
      </c>
      <c r="B19" s="12">
        <v>45903.0</v>
      </c>
      <c r="C19" s="13" t="s">
        <v>29</v>
      </c>
      <c r="D19" s="13" t="s">
        <v>20</v>
      </c>
      <c r="E19" s="14" t="s">
        <v>30</v>
      </c>
      <c r="F19" s="14">
        <v>0.5</v>
      </c>
      <c r="G19" s="15">
        <v>30000.0</v>
      </c>
      <c r="I19" s="11"/>
      <c r="J19" s="12"/>
      <c r="K19" s="13"/>
      <c r="L19" s="13"/>
      <c r="M19" s="14"/>
      <c r="N19" s="14"/>
      <c r="O19" s="15"/>
      <c r="P19" s="16">
        <f t="shared" si="1"/>
        <v>0</v>
      </c>
      <c r="R19" s="11"/>
      <c r="S19" s="12"/>
      <c r="T19" s="13"/>
      <c r="U19" s="13"/>
      <c r="V19" s="14"/>
      <c r="W19" s="14"/>
      <c r="X19" s="15"/>
      <c r="AH19" s="23"/>
      <c r="AI19" s="24"/>
      <c r="AJ19" s="25"/>
      <c r="AK19" s="25"/>
      <c r="AL19" s="2"/>
      <c r="AM19" s="26"/>
      <c r="AN19" s="27"/>
    </row>
    <row r="20">
      <c r="A20" s="11" t="s">
        <v>25</v>
      </c>
      <c r="B20" s="12">
        <v>45903.0</v>
      </c>
      <c r="C20" s="13" t="s">
        <v>31</v>
      </c>
      <c r="D20" s="13" t="s">
        <v>20</v>
      </c>
      <c r="E20" s="14" t="s">
        <v>32</v>
      </c>
      <c r="F20" s="14">
        <v>0.5</v>
      </c>
      <c r="G20" s="15">
        <v>30000.0</v>
      </c>
      <c r="I20" s="11"/>
      <c r="J20" s="12"/>
      <c r="K20" s="13"/>
      <c r="L20" s="13"/>
      <c r="M20" s="14"/>
      <c r="N20" s="14"/>
      <c r="O20" s="15"/>
      <c r="P20" s="16">
        <f t="shared" si="1"/>
        <v>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 t="s">
        <v>24</v>
      </c>
      <c r="B21" s="12">
        <v>45903.0</v>
      </c>
      <c r="C21" s="13" t="s">
        <v>31</v>
      </c>
      <c r="D21" s="13" t="s">
        <v>20</v>
      </c>
      <c r="E21" s="14" t="s">
        <v>32</v>
      </c>
      <c r="F21" s="14">
        <v>0.5</v>
      </c>
      <c r="G21" s="15">
        <v>30000.0</v>
      </c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 t="s">
        <v>15</v>
      </c>
      <c r="B22" s="12">
        <v>45904.0</v>
      </c>
      <c r="C22" s="13" t="s">
        <v>34</v>
      </c>
      <c r="D22" s="13" t="s">
        <v>20</v>
      </c>
      <c r="E22" s="14" t="s">
        <v>35</v>
      </c>
      <c r="F22" s="14">
        <v>0.5</v>
      </c>
      <c r="G22" s="15">
        <v>30000.0</v>
      </c>
      <c r="I22" s="11"/>
      <c r="J22" s="12"/>
      <c r="K22" s="13"/>
      <c r="L22" s="13"/>
      <c r="M22" s="14"/>
      <c r="N22" s="14"/>
      <c r="O22" s="15"/>
      <c r="P22" s="16">
        <f t="shared" si="1"/>
        <v>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 t="s">
        <v>18</v>
      </c>
      <c r="B23" s="12">
        <v>45904.0</v>
      </c>
      <c r="C23" s="13" t="s">
        <v>34</v>
      </c>
      <c r="D23" s="13" t="s">
        <v>20</v>
      </c>
      <c r="E23" s="14" t="s">
        <v>35</v>
      </c>
      <c r="F23" s="14">
        <v>0.5</v>
      </c>
      <c r="G23" s="15">
        <v>30000.0</v>
      </c>
      <c r="I23" s="11"/>
      <c r="J23" s="12"/>
      <c r="K23" s="13"/>
      <c r="L23" s="13"/>
      <c r="M23" s="14"/>
      <c r="N23" s="14"/>
      <c r="O23" s="15"/>
      <c r="P23" s="16">
        <f t="shared" si="1"/>
        <v>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 t="s">
        <v>15</v>
      </c>
      <c r="B24" s="12">
        <v>45904.0</v>
      </c>
      <c r="C24" s="13" t="s">
        <v>26</v>
      </c>
      <c r="D24" s="13" t="s">
        <v>20</v>
      </c>
      <c r="E24" s="14" t="s">
        <v>36</v>
      </c>
      <c r="F24" s="14">
        <v>0.5</v>
      </c>
      <c r="G24" s="15">
        <v>30000.0</v>
      </c>
      <c r="I24" s="11"/>
      <c r="J24" s="12"/>
      <c r="K24" s="13"/>
      <c r="L24" s="13"/>
      <c r="M24" s="14"/>
      <c r="N24" s="14"/>
      <c r="O24" s="15"/>
      <c r="P24" s="16">
        <f t="shared" si="1"/>
        <v>0</v>
      </c>
      <c r="R24" s="11"/>
      <c r="S24" s="12"/>
      <c r="T24" s="13"/>
      <c r="U24" s="13"/>
      <c r="V24" s="14"/>
      <c r="W24" s="14"/>
      <c r="X24" s="15"/>
    </row>
    <row r="25">
      <c r="A25" s="11" t="s">
        <v>15</v>
      </c>
      <c r="B25" s="12">
        <v>45904.0</v>
      </c>
      <c r="C25" s="13" t="s">
        <v>37</v>
      </c>
      <c r="D25" s="13" t="s">
        <v>20</v>
      </c>
      <c r="E25" s="14" t="s">
        <v>38</v>
      </c>
      <c r="F25" s="14">
        <v>1.0</v>
      </c>
      <c r="G25" s="15">
        <v>60000.0</v>
      </c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/>
      <c r="S25" s="12"/>
      <c r="T25" s="13"/>
      <c r="U25" s="13"/>
      <c r="V25" s="14"/>
      <c r="W25" s="14"/>
      <c r="X25" s="15"/>
    </row>
    <row r="26">
      <c r="A26" s="11" t="s">
        <v>18</v>
      </c>
      <c r="B26" s="12">
        <v>45904.0</v>
      </c>
      <c r="C26" s="13" t="s">
        <v>37</v>
      </c>
      <c r="D26" s="13" t="s">
        <v>20</v>
      </c>
      <c r="E26" s="14" t="s">
        <v>39</v>
      </c>
      <c r="F26" s="14">
        <v>0.5</v>
      </c>
      <c r="G26" s="15">
        <v>30000.0</v>
      </c>
      <c r="I26" s="11"/>
      <c r="J26" s="12"/>
      <c r="K26" s="13"/>
      <c r="L26" s="13"/>
      <c r="M26" s="14"/>
      <c r="N26" s="14"/>
      <c r="O26" s="15"/>
      <c r="P26" s="16">
        <f t="shared" si="1"/>
        <v>0</v>
      </c>
      <c r="R26" s="11"/>
      <c r="S26" s="12"/>
      <c r="T26" s="13"/>
      <c r="U26" s="13"/>
      <c r="V26" s="14"/>
      <c r="W26" s="14"/>
      <c r="X26" s="15"/>
    </row>
    <row r="27">
      <c r="A27" s="11" t="s">
        <v>25</v>
      </c>
      <c r="B27" s="12">
        <v>45904.0</v>
      </c>
      <c r="C27" s="13" t="s">
        <v>37</v>
      </c>
      <c r="D27" s="13" t="s">
        <v>20</v>
      </c>
      <c r="E27" s="14" t="s">
        <v>39</v>
      </c>
      <c r="F27" s="14">
        <v>1.0</v>
      </c>
      <c r="G27" s="15">
        <v>60000.0</v>
      </c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1"/>
      <c r="S27" s="12"/>
      <c r="T27" s="13"/>
      <c r="U27" s="13"/>
      <c r="V27" s="14"/>
      <c r="W27" s="14"/>
      <c r="X27" s="15"/>
    </row>
    <row r="28">
      <c r="A28" s="11" t="s">
        <v>24</v>
      </c>
      <c r="B28" s="12">
        <v>45904.0</v>
      </c>
      <c r="C28" s="13" t="s">
        <v>37</v>
      </c>
      <c r="D28" s="13" t="s">
        <v>20</v>
      </c>
      <c r="E28" s="14" t="s">
        <v>39</v>
      </c>
      <c r="F28" s="14">
        <v>0.5</v>
      </c>
      <c r="G28" s="15">
        <v>30000.0</v>
      </c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/>
      <c r="S28" s="12"/>
      <c r="T28" s="13"/>
      <c r="U28" s="13"/>
      <c r="V28" s="14"/>
      <c r="W28" s="14"/>
      <c r="X28" s="15"/>
    </row>
    <row r="29">
      <c r="A29" s="11"/>
      <c r="B29" s="12"/>
      <c r="C29" s="13"/>
      <c r="D29" s="13"/>
      <c r="E29" s="14"/>
      <c r="F29" s="14"/>
      <c r="G29" s="15"/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1"/>
      <c r="S29" s="12"/>
      <c r="T29" s="13"/>
      <c r="U29" s="13"/>
      <c r="V29" s="14"/>
      <c r="W29" s="14"/>
      <c r="X29" s="15"/>
    </row>
    <row r="30">
      <c r="A30" s="11"/>
      <c r="B30" s="12"/>
      <c r="C30" s="13"/>
      <c r="D30" s="13"/>
      <c r="E30" s="14"/>
      <c r="F30" s="14"/>
      <c r="G30" s="15"/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1"/>
      <c r="S30" s="12"/>
      <c r="T30" s="13"/>
      <c r="U30" s="13"/>
      <c r="V30" s="14"/>
      <c r="W30" s="14"/>
      <c r="X30" s="15"/>
    </row>
    <row r="31">
      <c r="A31" s="11"/>
      <c r="B31" s="12"/>
      <c r="C31" s="13"/>
      <c r="D31" s="13"/>
      <c r="E31" s="14"/>
      <c r="F31" s="14"/>
      <c r="G31" s="15"/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1"/>
      <c r="S31" s="12"/>
      <c r="T31" s="13"/>
      <c r="U31" s="13"/>
      <c r="V31" s="14"/>
      <c r="W31" s="14"/>
      <c r="X31" s="15"/>
    </row>
    <row r="32">
      <c r="A32" s="11"/>
      <c r="B32" s="12"/>
      <c r="C32" s="13"/>
      <c r="D32" s="13"/>
      <c r="E32" s="14"/>
      <c r="F32" s="14"/>
      <c r="G32" s="15"/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1"/>
      <c r="B33" s="12"/>
      <c r="C33" s="13"/>
      <c r="D33" s="13"/>
      <c r="E33" s="14"/>
      <c r="F33" s="14"/>
      <c r="G33" s="15"/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/>
      <c r="B34" s="12"/>
      <c r="C34" s="13"/>
      <c r="D34" s="13"/>
      <c r="E34" s="14"/>
      <c r="F34" s="14"/>
      <c r="G34" s="15"/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/>
      <c r="B35" s="12"/>
      <c r="C35" s="13"/>
      <c r="D35" s="13"/>
      <c r="E35" s="14"/>
      <c r="F35" s="14"/>
      <c r="G35" s="15"/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/>
      <c r="B37" s="12"/>
      <c r="C37" s="13"/>
      <c r="D37" s="13"/>
      <c r="E37" s="14"/>
      <c r="F37" s="14"/>
      <c r="G37" s="15"/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/>
      <c r="B39" s="12"/>
      <c r="C39" s="13"/>
      <c r="D39" s="13"/>
      <c r="E39" s="14"/>
      <c r="F39" s="14"/>
      <c r="G39" s="15"/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/>
      <c r="B41" s="12"/>
      <c r="C41" s="13"/>
      <c r="D41" s="13"/>
      <c r="E41" s="14"/>
      <c r="F41" s="14"/>
      <c r="G41" s="15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41</v>
      </c>
      <c r="I1" s="50">
        <f>countifs(B:B,"&lt;&gt;",F:F,"&lt;&gt;")-1</f>
        <v>8</v>
      </c>
      <c r="K1" s="6" t="s">
        <v>42</v>
      </c>
      <c r="L1" s="6" t="s">
        <v>43</v>
      </c>
      <c r="M1" s="6" t="s">
        <v>13</v>
      </c>
    </row>
    <row r="2">
      <c r="H2" s="49" t="s">
        <v>44</v>
      </c>
      <c r="I2" s="50">
        <f t="array" ref="I2">(COUNTA(UNIQUE(C:C))-1)</f>
        <v>6</v>
      </c>
      <c r="K2" s="50" t="s">
        <v>15</v>
      </c>
      <c r="L2" s="50">
        <f t="shared" ref="L2:L5" si="1">sumif(D:D,K2,E:E)</f>
        <v>2.5</v>
      </c>
      <c r="M2" s="50">
        <f t="shared" ref="M2:M5" si="2">sumif(D:D,K2,F:F)</f>
        <v>150000</v>
      </c>
      <c r="N2" s="51"/>
    </row>
    <row r="3">
      <c r="H3" s="49" t="s">
        <v>45</v>
      </c>
      <c r="I3" s="50">
        <f>sum(F:F)</f>
        <v>510000</v>
      </c>
      <c r="K3" s="50" t="s">
        <v>18</v>
      </c>
      <c r="L3" s="50">
        <f t="shared" si="1"/>
        <v>2</v>
      </c>
      <c r="M3" s="50">
        <f t="shared" si="2"/>
        <v>120000</v>
      </c>
      <c r="N3" s="51"/>
    </row>
    <row r="4">
      <c r="H4" s="1"/>
      <c r="K4" s="50" t="s">
        <v>25</v>
      </c>
      <c r="L4" s="50">
        <f t="shared" si="1"/>
        <v>2</v>
      </c>
      <c r="M4" s="50">
        <f t="shared" si="2"/>
        <v>120000</v>
      </c>
      <c r="N4" s="51"/>
    </row>
    <row r="5">
      <c r="H5" s="1"/>
      <c r="K5" s="50" t="s">
        <v>24</v>
      </c>
      <c r="L5" s="50">
        <f t="shared" si="1"/>
        <v>2</v>
      </c>
      <c r="M5" s="50">
        <f t="shared" si="2"/>
        <v>120000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5"/>
    <row r="26"/>
    <row r="27">
      <c r="H27" s="53"/>
      <c r="I27" s="53"/>
    </row>
    <row r="28"/>
    <row r="29"/>
    <row r="30">
      <c r="H30" s="53"/>
      <c r="I30" s="53"/>
    </row>
    <row r="33">
      <c r="H33" s="53"/>
      <c r="I33" s="53"/>
    </row>
    <row r="36">
      <c r="H36" s="53"/>
      <c r="I36" s="53"/>
    </row>
    <row r="39">
      <c r="H39" s="53"/>
      <c r="I39" s="53"/>
    </row>
    <row r="42">
      <c r="H42" s="53"/>
      <c r="I42" s="53"/>
    </row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41</v>
      </c>
      <c r="I1" s="50">
        <f>countifs(B:B,"&lt;&gt;",F:F,"&lt;&gt;")-1</f>
        <v>3</v>
      </c>
      <c r="K1" s="54" t="s">
        <v>42</v>
      </c>
      <c r="L1" s="54" t="s">
        <v>43</v>
      </c>
      <c r="M1" s="54" t="s">
        <v>13</v>
      </c>
    </row>
    <row r="2">
      <c r="H2" s="49" t="s">
        <v>44</v>
      </c>
      <c r="I2" s="50">
        <f t="array" ref="I2">(COUNTA(UNIQUE(C:C))-1)</f>
        <v>3</v>
      </c>
      <c r="K2" s="55" t="s">
        <v>15</v>
      </c>
      <c r="L2" s="50">
        <f t="shared" ref="L2:L5" si="1">sumif(D:D,K2,E:E)</f>
        <v>1</v>
      </c>
      <c r="M2" s="50">
        <f t="shared" ref="M2:M5" si="2">sumif(D:D,K2,F:F)</f>
        <v>60000</v>
      </c>
    </row>
    <row r="3">
      <c r="H3" s="49" t="s">
        <v>45</v>
      </c>
      <c r="I3" s="50">
        <f>sum(F:F)</f>
        <v>570000</v>
      </c>
      <c r="K3" s="55" t="s">
        <v>18</v>
      </c>
      <c r="L3" s="50">
        <f t="shared" si="1"/>
        <v>1.5</v>
      </c>
      <c r="M3" s="50">
        <f t="shared" si="2"/>
        <v>90000</v>
      </c>
    </row>
    <row r="4">
      <c r="H4" s="1"/>
      <c r="K4" s="55" t="s">
        <v>25</v>
      </c>
      <c r="L4" s="50">
        <f t="shared" si="1"/>
        <v>4</v>
      </c>
      <c r="M4" s="50">
        <f t="shared" si="2"/>
        <v>240000</v>
      </c>
    </row>
    <row r="5">
      <c r="H5" s="1"/>
      <c r="K5" s="55" t="s">
        <v>24</v>
      </c>
      <c r="L5" s="50">
        <f t="shared" si="1"/>
        <v>3</v>
      </c>
      <c r="M5" s="50">
        <f t="shared" si="2"/>
        <v>180000</v>
      </c>
    </row>
    <row r="14"/>
    <row r="15"/>
    <row r="16"/>
    <row r="17"/>
    <row r="18"/>
    <row r="19"/>
    <row r="20"/>
    <row r="21"/>
    <row r="2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41</v>
      </c>
      <c r="I1" s="50">
        <f>countifs(B:B,"&lt;&gt;",F:F,"&lt;&gt;")-1</f>
        <v>0</v>
      </c>
      <c r="K1" s="54" t="s">
        <v>42</v>
      </c>
      <c r="L1" s="54" t="s">
        <v>46</v>
      </c>
      <c r="M1" s="54" t="s">
        <v>13</v>
      </c>
    </row>
    <row r="2">
      <c r="H2" s="49" t="s">
        <v>44</v>
      </c>
      <c r="I2" s="50">
        <f t="array" ref="I2">(COUNTA(UNIQUE(C:C))-1)</f>
        <v>0</v>
      </c>
      <c r="K2" s="55" t="s">
        <v>15</v>
      </c>
      <c r="L2" s="50">
        <f t="shared" ref="L2:L5" si="1">sumif(D:D,K2,E:E)</f>
        <v>0</v>
      </c>
      <c r="M2" s="55"/>
    </row>
    <row r="3">
      <c r="H3" s="49" t="s">
        <v>45</v>
      </c>
      <c r="I3" s="50">
        <f>sum(F:F)</f>
        <v>0</v>
      </c>
      <c r="K3" s="55" t="s">
        <v>18</v>
      </c>
      <c r="L3" s="50">
        <f t="shared" si="1"/>
        <v>0</v>
      </c>
      <c r="M3" s="55"/>
    </row>
    <row r="4">
      <c r="H4" s="1"/>
      <c r="K4" s="55" t="s">
        <v>25</v>
      </c>
      <c r="L4" s="50">
        <f t="shared" si="1"/>
        <v>0</v>
      </c>
      <c r="M4" s="55"/>
    </row>
    <row r="5">
      <c r="H5" s="1"/>
      <c r="K5" s="55" t="s">
        <v>24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41</v>
      </c>
      <c r="I1" s="50">
        <f>countifs(B:B,"&lt;&gt;",F:F,"&lt;&gt;")-1</f>
        <v>0</v>
      </c>
      <c r="K1" s="54" t="s">
        <v>42</v>
      </c>
      <c r="L1" s="54" t="s">
        <v>43</v>
      </c>
    </row>
    <row r="2">
      <c r="H2" s="49" t="s">
        <v>44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45</v>
      </c>
      <c r="I3" s="50">
        <f>sum(F:F)</f>
        <v>0</v>
      </c>
      <c r="K3" s="55" t="s">
        <v>18</v>
      </c>
      <c r="L3" s="50">
        <f t="shared" si="1"/>
        <v>0</v>
      </c>
    </row>
    <row r="4">
      <c r="H4" s="1"/>
      <c r="K4" s="55" t="s">
        <v>25</v>
      </c>
      <c r="L4" s="50">
        <f t="shared" si="1"/>
        <v>0</v>
      </c>
    </row>
    <row r="5">
      <c r="H5" s="1"/>
      <c r="K5" s="55" t="s">
        <v>24</v>
      </c>
      <c r="L5" s="50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41</v>
      </c>
      <c r="I1" s="50">
        <f>countifs(B:B,"&lt;&gt;",F:F,"&lt;&gt;")-1</f>
        <v>1</v>
      </c>
      <c r="K1" s="54" t="s">
        <v>42</v>
      </c>
      <c r="L1" s="54" t="s">
        <v>43</v>
      </c>
    </row>
    <row r="2">
      <c r="H2" s="49" t="s">
        <v>44</v>
      </c>
      <c r="I2" s="50">
        <f t="array" ref="I2">(COUNTA(UNIQUE(C:C,,0))-1)</f>
        <v>1</v>
      </c>
      <c r="K2" s="55" t="s">
        <v>15</v>
      </c>
      <c r="L2" s="50">
        <f t="shared" ref="L2:L5" si="1">sumif(D:D,K2,E:E)</f>
        <v>39</v>
      </c>
    </row>
    <row r="3">
      <c r="H3" s="49" t="s">
        <v>45</v>
      </c>
      <c r="I3" s="50">
        <f>sum(F:F)</f>
        <v>3840000</v>
      </c>
      <c r="K3" s="55" t="s">
        <v>18</v>
      </c>
      <c r="L3" s="50">
        <f t="shared" si="1"/>
        <v>5</v>
      </c>
    </row>
    <row r="4">
      <c r="H4" s="1"/>
      <c r="K4" s="55" t="s">
        <v>25</v>
      </c>
      <c r="L4" s="50">
        <f t="shared" si="1"/>
        <v>10</v>
      </c>
    </row>
    <row r="5">
      <c r="H5" s="1"/>
      <c r="K5" s="55" t="s">
        <v>24</v>
      </c>
      <c r="L5" s="50">
        <f t="shared" si="1"/>
        <v>10</v>
      </c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48</v>
      </c>
      <c r="C1" s="49" t="s">
        <v>43</v>
      </c>
      <c r="D1" s="49" t="s">
        <v>49</v>
      </c>
      <c r="E1" s="49" t="s">
        <v>50</v>
      </c>
      <c r="F1" s="57"/>
    </row>
    <row r="2">
      <c r="A2" s="58" t="s">
        <v>51</v>
      </c>
      <c r="B2" s="59" t="s">
        <v>41</v>
      </c>
      <c r="C2" s="60"/>
      <c r="D2" s="60"/>
      <c r="E2" s="61">
        <f>'Dala Sales &amp; Deliveries'!I1+'External Delivery Fulfillment'!I1</f>
        <v>11</v>
      </c>
      <c r="F2" s="57"/>
    </row>
    <row r="3">
      <c r="A3" s="62"/>
      <c r="B3" s="59" t="s">
        <v>52</v>
      </c>
      <c r="C3" s="60"/>
      <c r="D3" s="60"/>
      <c r="E3" s="61">
        <f>'Raw Data'!AX2</f>
        <v>8</v>
      </c>
      <c r="F3" s="57"/>
    </row>
    <row r="4">
      <c r="B4" s="63" t="s">
        <v>53</v>
      </c>
      <c r="C4" s="57"/>
      <c r="D4" s="57"/>
      <c r="E4" s="64">
        <f>'Dala Sales &amp; Deliveries'!I3</f>
        <v>510000</v>
      </c>
      <c r="F4" s="57"/>
    </row>
    <row r="5">
      <c r="B5" s="63" t="s">
        <v>54</v>
      </c>
      <c r="C5" s="57"/>
      <c r="D5" s="57"/>
      <c r="E5" s="64">
        <f>'External Delivery Fulfillment'!I3</f>
        <v>570000</v>
      </c>
      <c r="F5" s="57"/>
    </row>
    <row r="6">
      <c r="A6" s="65"/>
      <c r="B6" s="66" t="s">
        <v>55</v>
      </c>
      <c r="C6" s="67"/>
      <c r="D6" s="68"/>
      <c r="E6" s="69">
        <f>sum(E4:E5)</f>
        <v>1080000</v>
      </c>
      <c r="F6" s="57"/>
    </row>
    <row r="7">
      <c r="A7" s="58" t="s">
        <v>56</v>
      </c>
      <c r="B7" s="59" t="s">
        <v>57</v>
      </c>
      <c r="C7" s="60"/>
      <c r="D7" s="70"/>
      <c r="E7" s="71"/>
    </row>
    <row r="8">
      <c r="A8" s="65"/>
      <c r="B8" s="66" t="s">
        <v>58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59</v>
      </c>
      <c r="B9" s="66" t="s">
        <v>60</v>
      </c>
      <c r="C9" s="67"/>
      <c r="D9" s="68"/>
      <c r="E9" s="69">
        <f>E4-E7-E8</f>
        <v>510000</v>
      </c>
    </row>
    <row r="10">
      <c r="A10" s="58" t="s">
        <v>61</v>
      </c>
      <c r="B10" s="59" t="s">
        <v>62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58</v>
      </c>
      <c r="C11" s="76"/>
      <c r="D11" s="70"/>
      <c r="E11" s="75">
        <v>0.0</v>
      </c>
    </row>
    <row r="12">
      <c r="A12" s="62"/>
      <c r="B12" s="77" t="s">
        <v>63</v>
      </c>
      <c r="C12" s="60"/>
      <c r="D12" s="78" t="s">
        <v>64</v>
      </c>
      <c r="E12" s="75">
        <f>C27+C25</f>
        <v>35100</v>
      </c>
    </row>
    <row r="13">
      <c r="A13" s="62"/>
      <c r="B13" s="59" t="s">
        <v>65</v>
      </c>
      <c r="C13" s="70"/>
      <c r="D13" s="70"/>
      <c r="E13" s="71">
        <v>0.0</v>
      </c>
    </row>
    <row r="14">
      <c r="A14" s="62"/>
      <c r="B14" s="59" t="s">
        <v>66</v>
      </c>
      <c r="C14" s="70"/>
      <c r="D14" s="70"/>
      <c r="E14" s="75">
        <f>C29</f>
        <v>0</v>
      </c>
    </row>
    <row r="15">
      <c r="A15" s="65"/>
      <c r="B15" s="66" t="s">
        <v>67</v>
      </c>
      <c r="C15" s="68"/>
      <c r="D15" s="68"/>
      <c r="E15" s="69">
        <f>sum(E10:E14)</f>
        <v>35100</v>
      </c>
      <c r="H15" s="1"/>
      <c r="I15" s="1"/>
    </row>
    <row r="16">
      <c r="A16" s="73" t="s">
        <v>68</v>
      </c>
      <c r="B16" s="66" t="s">
        <v>69</v>
      </c>
      <c r="C16" s="68"/>
      <c r="D16" s="68"/>
      <c r="E16" s="69">
        <f>E9-E15+C35</f>
        <v>474900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70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71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72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73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74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75</v>
      </c>
      <c r="C24" s="50">
        <f>O68</f>
        <v>8.5</v>
      </c>
      <c r="H24" s="1"/>
      <c r="I24" s="1"/>
    </row>
    <row r="25">
      <c r="A25" s="81"/>
      <c r="B25" s="49" t="s">
        <v>76</v>
      </c>
      <c r="C25" s="85">
        <f>P68</f>
        <v>16575</v>
      </c>
      <c r="H25" s="1"/>
      <c r="I25" s="1"/>
    </row>
    <row r="26">
      <c r="A26" s="81"/>
      <c r="B26" s="49" t="s">
        <v>77</v>
      </c>
      <c r="C26" s="50">
        <f>Q68</f>
        <v>9.5</v>
      </c>
      <c r="H26" s="1"/>
      <c r="I26" s="1"/>
    </row>
    <row r="27">
      <c r="A27" s="81"/>
      <c r="B27" s="49" t="s">
        <v>78</v>
      </c>
      <c r="C27" s="50">
        <f>R68</f>
        <v>18525</v>
      </c>
      <c r="H27" s="1"/>
      <c r="I27" s="1"/>
    </row>
    <row r="28">
      <c r="A28" s="81"/>
      <c r="B28" s="49" t="s">
        <v>79</v>
      </c>
      <c r="C28" s="82">
        <f>F68</f>
        <v>0</v>
      </c>
      <c r="D28" s="81"/>
      <c r="H28" s="1"/>
      <c r="I28" s="1"/>
    </row>
    <row r="29">
      <c r="A29" s="81"/>
      <c r="B29" s="49" t="s">
        <v>80</v>
      </c>
      <c r="C29" s="82">
        <f>G68</f>
        <v>0</v>
      </c>
      <c r="D29" s="81"/>
      <c r="H29" s="1"/>
      <c r="I29" s="1"/>
    </row>
    <row r="30">
      <c r="A30" s="81"/>
      <c r="B30" s="49" t="s">
        <v>81</v>
      </c>
      <c r="C30" s="82">
        <f>I68</f>
        <v>2</v>
      </c>
      <c r="D30" s="81"/>
      <c r="H30" s="1"/>
      <c r="I30" s="1"/>
    </row>
    <row r="31">
      <c r="A31" s="81"/>
      <c r="B31" s="49" t="s">
        <v>82</v>
      </c>
      <c r="C31" s="82">
        <f>J68</f>
        <v>0</v>
      </c>
      <c r="D31" s="81"/>
      <c r="H31" s="1"/>
      <c r="I31" s="1"/>
    </row>
    <row r="32">
      <c r="B32" s="49" t="s">
        <v>83</v>
      </c>
      <c r="C32" s="82">
        <f>L68</f>
        <v>94</v>
      </c>
    </row>
    <row r="33">
      <c r="B33" s="49" t="s">
        <v>84</v>
      </c>
      <c r="C33" s="50">
        <f>K68</f>
        <v>41.5</v>
      </c>
    </row>
    <row r="34">
      <c r="B34" s="49" t="s">
        <v>85</v>
      </c>
      <c r="C34" s="82">
        <v>0.0</v>
      </c>
    </row>
    <row r="35">
      <c r="B35" s="49" t="s">
        <v>86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87</v>
      </c>
      <c r="C38" s="49" t="s">
        <v>88</v>
      </c>
      <c r="D38" s="49" t="s">
        <v>89</v>
      </c>
      <c r="E38" s="49" t="s">
        <v>90</v>
      </c>
      <c r="F38" s="54" t="s">
        <v>91</v>
      </c>
      <c r="G38" s="54" t="s">
        <v>92</v>
      </c>
      <c r="H38" s="54" t="s">
        <v>93</v>
      </c>
      <c r="I38" s="54" t="s">
        <v>94</v>
      </c>
      <c r="J38" s="54" t="s">
        <v>95</v>
      </c>
      <c r="K38" s="54" t="s">
        <v>96</v>
      </c>
      <c r="L38" s="54" t="s">
        <v>83</v>
      </c>
      <c r="M38" s="54" t="s">
        <v>85</v>
      </c>
      <c r="N38" s="54" t="s">
        <v>97</v>
      </c>
      <c r="O38" s="54" t="s">
        <v>98</v>
      </c>
      <c r="P38" s="54" t="s">
        <v>99</v>
      </c>
      <c r="Q38" s="54" t="s">
        <v>100</v>
      </c>
      <c r="R38" s="54" t="s">
        <v>101</v>
      </c>
      <c r="S38" s="54" t="s">
        <v>102</v>
      </c>
      <c r="T38" s="54" t="s">
        <v>74</v>
      </c>
      <c r="U38" s="54" t="s">
        <v>103</v>
      </c>
      <c r="V38" s="54" t="s">
        <v>104</v>
      </c>
      <c r="W38" s="54" t="s">
        <v>105</v>
      </c>
    </row>
    <row r="39">
      <c r="B39" s="86" t="s">
        <v>15</v>
      </c>
      <c r="C39" s="87">
        <v>56800.0</v>
      </c>
      <c r="D39" s="88">
        <v>1250.0</v>
      </c>
      <c r="E39" s="88">
        <v>1950.0</v>
      </c>
      <c r="F39" s="88"/>
      <c r="G39" s="50">
        <f t="shared" ref="G39:G67" si="1">F39*C39</f>
        <v>0</v>
      </c>
      <c r="H39" s="88">
        <v>15.0</v>
      </c>
      <c r="I39" s="88">
        <v>0.5</v>
      </c>
      <c r="J39" s="88"/>
      <c r="K39" s="88"/>
      <c r="L39" s="85">
        <f t="shared" ref="L39:L67" si="2">H39+U39+W39-O39-Q39-I39-J39</f>
        <v>50</v>
      </c>
      <c r="M39" s="50">
        <f t="shared" ref="M39:M67" si="3">K39-L39</f>
        <v>-50</v>
      </c>
      <c r="N39" s="50">
        <f t="shared" ref="N39:N67" si="4">M39*C39</f>
        <v>-2840000</v>
      </c>
      <c r="O39" s="50">
        <f>'Dala Sales &amp; Deliveries'!L2</f>
        <v>2.5</v>
      </c>
      <c r="P39" s="50">
        <f t="shared" ref="P39:P67" si="5">O39*E39</f>
        <v>4875</v>
      </c>
      <c r="Q39" s="50">
        <f>'External Delivery Fulfillment'!L2</f>
        <v>1</v>
      </c>
      <c r="R39" s="50">
        <f t="shared" ref="R39:R67" si="6">Q39*E39</f>
        <v>1950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39</v>
      </c>
    </row>
    <row r="40">
      <c r="B40" s="86" t="s">
        <v>18</v>
      </c>
      <c r="C40" s="87">
        <v>56800.0</v>
      </c>
      <c r="D40" s="88">
        <v>1250.0</v>
      </c>
      <c r="E40" s="88">
        <v>1950.0</v>
      </c>
      <c r="F40" s="87"/>
      <c r="G40" s="50">
        <f t="shared" si="1"/>
        <v>0</v>
      </c>
      <c r="H40" s="88">
        <v>5.0</v>
      </c>
      <c r="I40" s="88">
        <v>0.5</v>
      </c>
      <c r="J40" s="87"/>
      <c r="K40" s="88">
        <v>12.5</v>
      </c>
      <c r="L40" s="85">
        <f t="shared" si="2"/>
        <v>6</v>
      </c>
      <c r="M40" s="50">
        <f t="shared" si="3"/>
        <v>6.5</v>
      </c>
      <c r="N40" s="50">
        <f t="shared" si="4"/>
        <v>369200</v>
      </c>
      <c r="O40" s="50">
        <f>'Dala Sales &amp; Deliveries'!L3</f>
        <v>2</v>
      </c>
      <c r="P40" s="50">
        <f t="shared" si="5"/>
        <v>3900</v>
      </c>
      <c r="Q40" s="50">
        <f>'External Delivery Fulfillment'!L3</f>
        <v>1.5</v>
      </c>
      <c r="R40" s="50">
        <f t="shared" si="6"/>
        <v>2925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5</v>
      </c>
    </row>
    <row r="41">
      <c r="B41" s="86" t="s">
        <v>25</v>
      </c>
      <c r="C41" s="87">
        <v>56800.0</v>
      </c>
      <c r="D41" s="88">
        <v>1250.0</v>
      </c>
      <c r="E41" s="88">
        <v>1950.0</v>
      </c>
      <c r="F41" s="87"/>
      <c r="G41" s="50">
        <f t="shared" si="1"/>
        <v>0</v>
      </c>
      <c r="H41" s="88">
        <v>15.0</v>
      </c>
      <c r="I41" s="88">
        <v>0.5</v>
      </c>
      <c r="J41" s="87"/>
      <c r="K41" s="88">
        <v>14.75</v>
      </c>
      <c r="L41" s="85">
        <f t="shared" si="2"/>
        <v>18.5</v>
      </c>
      <c r="M41" s="50">
        <f t="shared" si="3"/>
        <v>-3.75</v>
      </c>
      <c r="N41" s="50">
        <f t="shared" si="4"/>
        <v>-213000</v>
      </c>
      <c r="O41" s="50">
        <f>'Dala Sales &amp; Deliveries'!L4</f>
        <v>2</v>
      </c>
      <c r="P41" s="50">
        <f t="shared" si="5"/>
        <v>3900</v>
      </c>
      <c r="Q41" s="50">
        <f>'External Delivery Fulfillment'!L4</f>
        <v>4</v>
      </c>
      <c r="R41" s="50">
        <f t="shared" si="6"/>
        <v>7800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10</v>
      </c>
    </row>
    <row r="42">
      <c r="B42" s="86" t="s">
        <v>24</v>
      </c>
      <c r="C42" s="87">
        <v>56800.0</v>
      </c>
      <c r="D42" s="88">
        <v>1250.0</v>
      </c>
      <c r="E42" s="88">
        <v>1950.0</v>
      </c>
      <c r="F42" s="87"/>
      <c r="G42" s="50">
        <f t="shared" si="1"/>
        <v>0</v>
      </c>
      <c r="H42" s="88">
        <v>15.0</v>
      </c>
      <c r="I42" s="88">
        <v>0.5</v>
      </c>
      <c r="J42" s="87"/>
      <c r="K42" s="88">
        <v>14.25</v>
      </c>
      <c r="L42" s="85">
        <f t="shared" si="2"/>
        <v>19.5</v>
      </c>
      <c r="M42" s="50">
        <f t="shared" si="3"/>
        <v>-5.25</v>
      </c>
      <c r="N42" s="50">
        <f t="shared" si="4"/>
        <v>-298200</v>
      </c>
      <c r="O42" s="50">
        <f>'Dala Sales &amp; Deliveries'!L5</f>
        <v>2</v>
      </c>
      <c r="P42" s="50">
        <f t="shared" si="5"/>
        <v>3900</v>
      </c>
      <c r="Q42" s="50">
        <f>'External Delivery Fulfillment'!L5</f>
        <v>3</v>
      </c>
      <c r="R42" s="50">
        <f t="shared" si="6"/>
        <v>5850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10</v>
      </c>
    </row>
    <row r="43">
      <c r="B43" s="86"/>
      <c r="C43" s="87"/>
      <c r="D43" s="87"/>
      <c r="E43" s="87"/>
      <c r="F43" s="87"/>
      <c r="G43" s="50">
        <f t="shared" si="1"/>
        <v>0</v>
      </c>
      <c r="H43" s="88"/>
      <c r="I43" s="87"/>
      <c r="J43" s="87"/>
      <c r="K43" s="87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6"/>
      <c r="C44" s="87"/>
      <c r="D44" s="87"/>
      <c r="E44" s="87"/>
      <c r="F44" s="87"/>
      <c r="G44" s="50">
        <f t="shared" si="1"/>
        <v>0</v>
      </c>
      <c r="H44" s="87"/>
      <c r="I44" s="87"/>
      <c r="J44" s="87"/>
      <c r="K44" s="87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6"/>
      <c r="C45" s="87"/>
      <c r="D45" s="87"/>
      <c r="E45" s="87"/>
      <c r="F45" s="87"/>
      <c r="G45" s="50">
        <f t="shared" si="1"/>
        <v>0</v>
      </c>
      <c r="H45" s="87"/>
      <c r="I45" s="87"/>
      <c r="J45" s="87"/>
      <c r="K45" s="87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6"/>
      <c r="C46" s="87"/>
      <c r="D46" s="87"/>
      <c r="E46" s="87"/>
      <c r="F46" s="87"/>
      <c r="G46" s="50">
        <f t="shared" si="1"/>
        <v>0</v>
      </c>
      <c r="H46" s="87"/>
      <c r="I46" s="87"/>
      <c r="J46" s="87"/>
      <c r="K46" s="87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6"/>
      <c r="C47" s="87"/>
      <c r="D47" s="87"/>
      <c r="E47" s="87"/>
      <c r="F47" s="87"/>
      <c r="G47" s="50">
        <f t="shared" si="1"/>
        <v>0</v>
      </c>
      <c r="H47" s="87"/>
      <c r="I47" s="87"/>
      <c r="J47" s="87"/>
      <c r="K47" s="87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6"/>
      <c r="C48" s="87"/>
      <c r="D48" s="87"/>
      <c r="E48" s="87"/>
      <c r="F48" s="87"/>
      <c r="G48" s="50">
        <f t="shared" si="1"/>
        <v>0</v>
      </c>
      <c r="H48" s="87"/>
      <c r="I48" s="87"/>
      <c r="J48" s="87"/>
      <c r="K48" s="87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6"/>
      <c r="C49" s="87"/>
      <c r="D49" s="87"/>
      <c r="E49" s="87"/>
      <c r="F49" s="87"/>
      <c r="G49" s="50">
        <f t="shared" si="1"/>
        <v>0</v>
      </c>
      <c r="H49" s="87"/>
      <c r="I49" s="87"/>
      <c r="J49" s="87"/>
      <c r="K49" s="87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6"/>
      <c r="C50" s="87"/>
      <c r="D50" s="87"/>
      <c r="E50" s="87"/>
      <c r="F50" s="87"/>
      <c r="G50" s="50">
        <f t="shared" si="1"/>
        <v>0</v>
      </c>
      <c r="H50" s="87"/>
      <c r="I50" s="87"/>
      <c r="J50" s="87"/>
      <c r="K50" s="87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6"/>
      <c r="C51" s="87"/>
      <c r="D51" s="87"/>
      <c r="E51" s="87"/>
      <c r="F51" s="87"/>
      <c r="G51" s="50">
        <f t="shared" si="1"/>
        <v>0</v>
      </c>
      <c r="H51" s="87"/>
      <c r="I51" s="87"/>
      <c r="J51" s="87"/>
      <c r="K51" s="87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6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6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6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6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6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6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6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6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6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6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6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6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6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6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6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6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106</v>
      </c>
      <c r="C68" s="54"/>
      <c r="D68" s="54"/>
      <c r="E68" s="55"/>
      <c r="F68" s="89">
        <f t="shared" ref="F68:W68" si="9">sum(F39:F67)</f>
        <v>0</v>
      </c>
      <c r="G68" s="89">
        <f t="shared" si="9"/>
        <v>0</v>
      </c>
      <c r="H68" s="89">
        <f t="shared" si="9"/>
        <v>50</v>
      </c>
      <c r="I68" s="89">
        <f t="shared" si="9"/>
        <v>2</v>
      </c>
      <c r="J68" s="89">
        <f t="shared" si="9"/>
        <v>0</v>
      </c>
      <c r="K68" s="89">
        <f t="shared" si="9"/>
        <v>41.5</v>
      </c>
      <c r="L68" s="89">
        <f t="shared" si="9"/>
        <v>94</v>
      </c>
      <c r="M68" s="89">
        <f t="shared" si="9"/>
        <v>-52.5</v>
      </c>
      <c r="N68" s="89">
        <f t="shared" si="9"/>
        <v>-2982000</v>
      </c>
      <c r="O68" s="89">
        <f t="shared" si="9"/>
        <v>8.5</v>
      </c>
      <c r="P68" s="89">
        <f t="shared" si="9"/>
        <v>16575</v>
      </c>
      <c r="Q68" s="89">
        <f t="shared" si="9"/>
        <v>9.5</v>
      </c>
      <c r="R68" s="50">
        <f t="shared" si="9"/>
        <v>18525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64</v>
      </c>
    </row>
    <row r="69">
      <c r="C69" s="6" t="s">
        <v>107</v>
      </c>
      <c r="D69" s="6" t="s">
        <v>107</v>
      </c>
      <c r="E69" s="6" t="s">
        <v>107</v>
      </c>
      <c r="F69" s="6" t="s">
        <v>107</v>
      </c>
      <c r="G69" s="6" t="s">
        <v>107</v>
      </c>
      <c r="H69" s="6" t="s">
        <v>107</v>
      </c>
      <c r="I69" s="6" t="s">
        <v>107</v>
      </c>
      <c r="J69" s="6" t="s">
        <v>107</v>
      </c>
      <c r="K69" s="6" t="s">
        <v>107</v>
      </c>
      <c r="L69" s="6" t="s">
        <v>107</v>
      </c>
      <c r="M69" s="6" t="s">
        <v>107</v>
      </c>
      <c r="N69" s="6" t="s">
        <v>107</v>
      </c>
      <c r="O69" s="6" t="s">
        <v>107</v>
      </c>
      <c r="P69" s="6" t="s">
        <v>107</v>
      </c>
      <c r="Q69" s="6" t="s">
        <v>107</v>
      </c>
      <c r="R69" s="6" t="s">
        <v>107</v>
      </c>
      <c r="S69" s="6" t="s">
        <v>107</v>
      </c>
      <c r="T69" s="6" t="s">
        <v>107</v>
      </c>
      <c r="U69" s="6" t="s">
        <v>107</v>
      </c>
      <c r="V69" s="6" t="s">
        <v>107</v>
      </c>
      <c r="W69" s="6" t="s">
        <v>107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48</v>
      </c>
      <c r="C1" s="49" t="s">
        <v>43</v>
      </c>
      <c r="D1" s="49" t="s">
        <v>49</v>
      </c>
      <c r="E1" s="82" t="s">
        <v>50</v>
      </c>
      <c r="F1" s="57"/>
    </row>
    <row r="2">
      <c r="A2" s="58" t="s">
        <v>51</v>
      </c>
      <c r="B2" s="59" t="s">
        <v>41</v>
      </c>
      <c r="C2" s="60"/>
      <c r="D2" s="60"/>
      <c r="E2" s="61">
        <f>'Dala Sales &amp; Deliveries'!I1+'External Delivery Fulfillment'!I1+'Forwarding From Client'!I1</f>
        <v>11</v>
      </c>
      <c r="F2" s="57"/>
    </row>
    <row r="3">
      <c r="A3" s="62"/>
      <c r="B3" s="59" t="s">
        <v>52</v>
      </c>
      <c r="C3" s="60"/>
      <c r="D3" s="60"/>
      <c r="E3" s="61">
        <f>'Raw Data'!AX2</f>
        <v>8</v>
      </c>
      <c r="F3" s="57"/>
    </row>
    <row r="4">
      <c r="B4" s="63" t="s">
        <v>53</v>
      </c>
      <c r="C4" s="57"/>
      <c r="D4" s="57"/>
      <c r="E4" s="64">
        <f>'Dala Sales &amp; Deliveries'!I3</f>
        <v>510000</v>
      </c>
      <c r="F4" s="57"/>
    </row>
    <row r="5">
      <c r="B5" s="63" t="s">
        <v>54</v>
      </c>
      <c r="C5" s="57"/>
      <c r="D5" s="57"/>
      <c r="E5" s="64">
        <f>'External Delivery Fulfillment'!I3</f>
        <v>570000</v>
      </c>
      <c r="F5" s="57"/>
    </row>
    <row r="6">
      <c r="A6" s="65"/>
      <c r="B6" s="66" t="s">
        <v>55</v>
      </c>
      <c r="C6" s="67"/>
      <c r="D6" s="68"/>
      <c r="E6" s="69">
        <f>sum(E4:E5)</f>
        <v>1080000</v>
      </c>
      <c r="F6" s="57"/>
    </row>
    <row r="7">
      <c r="A7" s="58" t="s">
        <v>56</v>
      </c>
      <c r="B7" s="59" t="s">
        <v>57</v>
      </c>
      <c r="C7" s="60"/>
      <c r="D7" s="70"/>
      <c r="E7" s="90"/>
    </row>
    <row r="8">
      <c r="A8" s="62"/>
      <c r="B8" s="59" t="s">
        <v>63</v>
      </c>
      <c r="C8" s="91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58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61</v>
      </c>
      <c r="B10" s="59" t="s">
        <v>62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108</v>
      </c>
      <c r="C11" s="60"/>
      <c r="D11" s="78"/>
      <c r="E11" s="75">
        <f>V67</f>
        <v>0</v>
      </c>
    </row>
    <row r="12">
      <c r="A12" s="62"/>
      <c r="B12" s="77" t="s">
        <v>78</v>
      </c>
      <c r="C12" s="60"/>
      <c r="D12" s="78"/>
      <c r="E12" s="75">
        <f>R67</f>
        <v>18525</v>
      </c>
    </row>
    <row r="13">
      <c r="A13" s="62"/>
      <c r="B13" s="59" t="s">
        <v>65</v>
      </c>
      <c r="C13" s="70"/>
      <c r="D13" s="70"/>
      <c r="E13" s="92">
        <v>39000.0</v>
      </c>
      <c r="F13" s="93" t="s">
        <v>109</v>
      </c>
      <c r="G13" s="93" t="s">
        <v>110</v>
      </c>
    </row>
    <row r="14">
      <c r="A14" s="62"/>
      <c r="B14" s="59" t="s">
        <v>66</v>
      </c>
      <c r="C14" s="70"/>
      <c r="D14" s="70"/>
      <c r="E14" s="75">
        <f>C28</f>
        <v>0</v>
      </c>
    </row>
    <row r="15">
      <c r="A15" s="65"/>
      <c r="B15" s="66" t="s">
        <v>111</v>
      </c>
      <c r="C15" s="68"/>
      <c r="D15" s="68"/>
      <c r="E15" s="69">
        <f>sum(E10:E14)</f>
        <v>57525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70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71</v>
      </c>
      <c r="C19" s="82">
        <f>U67</f>
        <v>0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72</v>
      </c>
      <c r="C20" s="82">
        <f>V67</f>
        <v>0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73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74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75</v>
      </c>
      <c r="C23" s="82">
        <f>O67</f>
        <v>8.5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76</v>
      </c>
      <c r="C24" s="82">
        <f>P67</f>
        <v>16575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77</v>
      </c>
      <c r="C25" s="82">
        <f>Q67</f>
        <v>9.5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78</v>
      </c>
      <c r="C26" s="82">
        <f>R67</f>
        <v>18525</v>
      </c>
      <c r="D26" s="81"/>
    </row>
    <row r="27">
      <c r="A27" s="81"/>
      <c r="B27" s="49" t="s">
        <v>79</v>
      </c>
      <c r="C27" s="82">
        <f>F67</f>
        <v>0</v>
      </c>
      <c r="D27" s="81"/>
    </row>
    <row r="28">
      <c r="A28" s="81"/>
      <c r="B28" s="49" t="s">
        <v>80</v>
      </c>
      <c r="C28" s="82">
        <f>G67</f>
        <v>0</v>
      </c>
      <c r="D28" s="81"/>
    </row>
    <row r="29">
      <c r="A29" s="81"/>
      <c r="B29" s="49" t="s">
        <v>81</v>
      </c>
      <c r="C29" s="82">
        <f>I67</f>
        <v>0</v>
      </c>
      <c r="D29" s="81"/>
    </row>
    <row r="30">
      <c r="A30" s="81"/>
      <c r="B30" s="49" t="s">
        <v>112</v>
      </c>
      <c r="C30" s="82">
        <f>J67</f>
        <v>0</v>
      </c>
      <c r="D30" s="81"/>
    </row>
    <row r="31">
      <c r="A31" s="81"/>
      <c r="B31" s="49" t="s">
        <v>83</v>
      </c>
      <c r="C31" s="82">
        <f>L67</f>
        <v>46</v>
      </c>
      <c r="D31" s="81"/>
    </row>
    <row r="32">
      <c r="A32" s="81"/>
      <c r="B32" s="49" t="s">
        <v>84</v>
      </c>
      <c r="C32" s="82">
        <f>K67</f>
        <v>176</v>
      </c>
      <c r="D32" s="81"/>
    </row>
    <row r="33">
      <c r="A33" s="81"/>
      <c r="B33" s="49" t="s">
        <v>85</v>
      </c>
      <c r="C33" s="82">
        <v>0.0</v>
      </c>
      <c r="D33" s="81"/>
    </row>
    <row r="34">
      <c r="A34" s="81"/>
      <c r="B34" s="49" t="s">
        <v>86</v>
      </c>
      <c r="C34" s="82">
        <v>0.0</v>
      </c>
      <c r="D34" s="81"/>
    </row>
    <row r="37">
      <c r="B37" s="49" t="s">
        <v>87</v>
      </c>
      <c r="C37" s="49" t="s">
        <v>88</v>
      </c>
      <c r="D37" s="49" t="s">
        <v>89</v>
      </c>
      <c r="E37" s="49" t="s">
        <v>90</v>
      </c>
      <c r="F37" s="54" t="s">
        <v>91</v>
      </c>
      <c r="G37" s="54" t="s">
        <v>92</v>
      </c>
      <c r="H37" s="54" t="s">
        <v>93</v>
      </c>
      <c r="I37" s="54" t="s">
        <v>94</v>
      </c>
      <c r="J37" s="54" t="s">
        <v>95</v>
      </c>
      <c r="K37" s="54" t="s">
        <v>96</v>
      </c>
      <c r="L37" s="54" t="s">
        <v>83</v>
      </c>
      <c r="M37" s="54" t="s">
        <v>85</v>
      </c>
      <c r="N37" s="54" t="s">
        <v>97</v>
      </c>
      <c r="O37" s="54" t="s">
        <v>75</v>
      </c>
      <c r="P37" s="54" t="s">
        <v>99</v>
      </c>
      <c r="Q37" s="54" t="s">
        <v>100</v>
      </c>
      <c r="R37" s="54" t="s">
        <v>101</v>
      </c>
      <c r="S37" s="54" t="s">
        <v>102</v>
      </c>
      <c r="T37" s="54" t="s">
        <v>74</v>
      </c>
      <c r="U37" s="54" t="s">
        <v>103</v>
      </c>
      <c r="V37" s="54" t="s">
        <v>104</v>
      </c>
      <c r="W37" s="54" t="s">
        <v>105</v>
      </c>
    </row>
    <row r="38">
      <c r="B38" s="50" t="str">
        <f>'Internal Summary'!B39</f>
        <v>Jadens Fruitamil (12x)</v>
      </c>
      <c r="C38" s="50">
        <f>'Internal Summary'!C39</f>
        <v>56800</v>
      </c>
      <c r="D38" s="50">
        <f>'Internal Summary'!D39</f>
        <v>1250</v>
      </c>
      <c r="E38" s="50">
        <f>'Internal Summary'!E39</f>
        <v>1950</v>
      </c>
      <c r="F38" s="88"/>
      <c r="G38" s="50">
        <f t="shared" ref="G38:G66" si="1">F38*C38</f>
        <v>0</v>
      </c>
      <c r="H38" s="88"/>
      <c r="I38" s="88"/>
      <c r="J38" s="88"/>
      <c r="K38" s="88">
        <v>54.0</v>
      </c>
      <c r="L38" s="89">
        <f t="shared" ref="L38:L66" si="2">H38+U38+W38-O38-Q38-I38-J38</f>
        <v>35.5</v>
      </c>
      <c r="M38" s="50">
        <f t="shared" ref="M38:M66" si="3">K38-L38</f>
        <v>18.5</v>
      </c>
      <c r="N38" s="50">
        <f>M38*C38</f>
        <v>1050800</v>
      </c>
      <c r="O38" s="50">
        <f>'Dala Sales &amp; Deliveries'!L2</f>
        <v>2.5</v>
      </c>
      <c r="P38" s="50">
        <f t="shared" ref="P38:P66" si="4">O38*E38</f>
        <v>4875</v>
      </c>
      <c r="Q38" s="50">
        <f>'External Delivery Fulfillment'!L2</f>
        <v>1</v>
      </c>
      <c r="R38" s="50">
        <f t="shared" ref="R38:R66" si="5">Q38*E38</f>
        <v>1950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39</v>
      </c>
    </row>
    <row r="39">
      <c r="B39" s="50" t="str">
        <f>'Internal Summary'!B40</f>
        <v>Jadens Fussy-Pops (12x)</v>
      </c>
      <c r="C39" s="50">
        <f>'Internal Summary'!C40</f>
        <v>56800</v>
      </c>
      <c r="D39" s="50">
        <f>'Internal Summary'!D40</f>
        <v>1250</v>
      </c>
      <c r="E39" s="50">
        <f>'Internal Summary'!E40</f>
        <v>1950</v>
      </c>
      <c r="F39" s="87"/>
      <c r="G39" s="50">
        <f t="shared" si="1"/>
        <v>0</v>
      </c>
      <c r="H39" s="87"/>
      <c r="I39" s="88"/>
      <c r="J39" s="88"/>
      <c r="K39" s="88">
        <v>24.5</v>
      </c>
      <c r="L39" s="89">
        <f t="shared" si="2"/>
        <v>1.5</v>
      </c>
      <c r="M39" s="50">
        <f t="shared" si="3"/>
        <v>23</v>
      </c>
      <c r="N39" s="50"/>
      <c r="O39" s="50">
        <f>'Dala Sales &amp; Deliveries'!L3</f>
        <v>2</v>
      </c>
      <c r="P39" s="50">
        <f t="shared" si="4"/>
        <v>3900</v>
      </c>
      <c r="Q39" s="50">
        <f>'External Delivery Fulfillment'!L3</f>
        <v>1.5</v>
      </c>
      <c r="R39" s="50">
        <f t="shared" si="5"/>
        <v>2925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5</v>
      </c>
    </row>
    <row r="40">
      <c r="B40" s="50" t="str">
        <f>'Internal Summary'!B41</f>
        <v>Jadens Mixagrain (12x)</v>
      </c>
      <c r="C40" s="50">
        <f>'Internal Summary'!C41</f>
        <v>56800</v>
      </c>
      <c r="D40" s="50">
        <f>'Internal Summary'!D41</f>
        <v>1250</v>
      </c>
      <c r="E40" s="50">
        <f>'Internal Summary'!E41</f>
        <v>1950</v>
      </c>
      <c r="F40" s="87"/>
      <c r="G40" s="50">
        <f t="shared" si="1"/>
        <v>0</v>
      </c>
      <c r="H40" s="87"/>
      <c r="I40" s="88"/>
      <c r="J40" s="88"/>
      <c r="K40" s="88">
        <v>55.75</v>
      </c>
      <c r="L40" s="89">
        <f t="shared" si="2"/>
        <v>4</v>
      </c>
      <c r="M40" s="50">
        <f t="shared" si="3"/>
        <v>51.75</v>
      </c>
      <c r="N40" s="50"/>
      <c r="O40" s="50">
        <f>'Dala Sales &amp; Deliveries'!L4</f>
        <v>2</v>
      </c>
      <c r="P40" s="50">
        <f t="shared" si="4"/>
        <v>3900</v>
      </c>
      <c r="Q40" s="50">
        <f>'External Delivery Fulfillment'!L4</f>
        <v>4</v>
      </c>
      <c r="R40" s="50">
        <f t="shared" si="5"/>
        <v>7800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10</v>
      </c>
    </row>
    <row r="41">
      <c r="B41" s="50" t="str">
        <f>'Internal Summary'!B42</f>
        <v>Jadens Nuttymeal (12x)</v>
      </c>
      <c r="C41" s="50">
        <f>'Internal Summary'!C42</f>
        <v>56800</v>
      </c>
      <c r="D41" s="50">
        <f>'Internal Summary'!D42</f>
        <v>1250</v>
      </c>
      <c r="E41" s="50">
        <f>'Internal Summary'!E42</f>
        <v>1950</v>
      </c>
      <c r="F41" s="87"/>
      <c r="G41" s="50">
        <f t="shared" si="1"/>
        <v>0</v>
      </c>
      <c r="H41" s="87"/>
      <c r="I41" s="88"/>
      <c r="J41" s="87"/>
      <c r="K41" s="88">
        <v>41.75</v>
      </c>
      <c r="L41" s="89">
        <f t="shared" si="2"/>
        <v>5</v>
      </c>
      <c r="M41" s="50">
        <f t="shared" si="3"/>
        <v>36.75</v>
      </c>
      <c r="N41" s="50"/>
      <c r="O41" s="50">
        <f>'Dala Sales &amp; Deliveries'!L5</f>
        <v>2</v>
      </c>
      <c r="P41" s="50">
        <f t="shared" si="4"/>
        <v>3900</v>
      </c>
      <c r="Q41" s="50">
        <f>'External Delivery Fulfillment'!L5</f>
        <v>3</v>
      </c>
      <c r="R41" s="50">
        <f t="shared" si="5"/>
        <v>5850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10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7"/>
      <c r="G42" s="50">
        <f t="shared" si="1"/>
        <v>0</v>
      </c>
      <c r="H42" s="87"/>
      <c r="I42" s="87"/>
      <c r="J42" s="87"/>
      <c r="K42" s="87"/>
      <c r="L42" s="89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7"/>
      <c r="G43" s="50">
        <f t="shared" si="1"/>
        <v>0</v>
      </c>
      <c r="H43" s="87"/>
      <c r="I43" s="87"/>
      <c r="J43" s="87"/>
      <c r="K43" s="87"/>
      <c r="L43" s="89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7"/>
      <c r="G44" s="50">
        <f t="shared" si="1"/>
        <v>0</v>
      </c>
      <c r="H44" s="87"/>
      <c r="I44" s="87"/>
      <c r="J44" s="87"/>
      <c r="K44" s="87"/>
      <c r="L44" s="89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7"/>
      <c r="G45" s="50">
        <f t="shared" si="1"/>
        <v>0</v>
      </c>
      <c r="H45" s="87"/>
      <c r="I45" s="87"/>
      <c r="J45" s="87"/>
      <c r="K45" s="87"/>
      <c r="L45" s="89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7"/>
      <c r="G46" s="50">
        <f t="shared" si="1"/>
        <v>0</v>
      </c>
      <c r="H46" s="87"/>
      <c r="I46" s="87"/>
      <c r="J46" s="87"/>
      <c r="K46" s="87"/>
      <c r="L46" s="89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7"/>
      <c r="G47" s="50">
        <f t="shared" si="1"/>
        <v>0</v>
      </c>
      <c r="H47" s="87"/>
      <c r="I47" s="87"/>
      <c r="J47" s="87"/>
      <c r="K47" s="87"/>
      <c r="L47" s="89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7"/>
      <c r="G48" s="50">
        <f t="shared" si="1"/>
        <v>0</v>
      </c>
      <c r="H48" s="87"/>
      <c r="I48" s="87"/>
      <c r="J48" s="87"/>
      <c r="K48" s="87"/>
      <c r="L48" s="89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7"/>
      <c r="G49" s="50">
        <f t="shared" si="1"/>
        <v>0</v>
      </c>
      <c r="H49" s="87"/>
      <c r="I49" s="87"/>
      <c r="J49" s="87"/>
      <c r="K49" s="87"/>
      <c r="L49" s="89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7"/>
      <c r="G50" s="50">
        <f t="shared" si="1"/>
        <v>0</v>
      </c>
      <c r="H50" s="87"/>
      <c r="I50" s="87"/>
      <c r="J50" s="87"/>
      <c r="K50" s="87"/>
      <c r="L50" s="89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7"/>
      <c r="G51" s="50">
        <f t="shared" si="1"/>
        <v>0</v>
      </c>
      <c r="H51" s="87"/>
      <c r="I51" s="87"/>
      <c r="J51" s="87"/>
      <c r="K51" s="87"/>
      <c r="L51" s="89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7"/>
      <c r="G52" s="50">
        <f t="shared" si="1"/>
        <v>0</v>
      </c>
      <c r="H52" s="87"/>
      <c r="I52" s="87"/>
      <c r="J52" s="87"/>
      <c r="K52" s="87"/>
      <c r="L52" s="89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7"/>
      <c r="G53" s="50">
        <f t="shared" si="1"/>
        <v>0</v>
      </c>
      <c r="H53" s="87"/>
      <c r="I53" s="87"/>
      <c r="J53" s="87"/>
      <c r="K53" s="87"/>
      <c r="L53" s="89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7"/>
      <c r="G54" s="50">
        <f t="shared" si="1"/>
        <v>0</v>
      </c>
      <c r="H54" s="87"/>
      <c r="I54" s="87"/>
      <c r="J54" s="87"/>
      <c r="K54" s="87"/>
      <c r="L54" s="89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7"/>
      <c r="G55" s="50">
        <f t="shared" si="1"/>
        <v>0</v>
      </c>
      <c r="H55" s="87"/>
      <c r="I55" s="87"/>
      <c r="J55" s="87"/>
      <c r="K55" s="87"/>
      <c r="L55" s="89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7"/>
      <c r="G56" s="50">
        <f t="shared" si="1"/>
        <v>0</v>
      </c>
      <c r="H56" s="87"/>
      <c r="I56" s="87"/>
      <c r="J56" s="87"/>
      <c r="K56" s="87"/>
      <c r="L56" s="89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7"/>
      <c r="G57" s="50">
        <f t="shared" si="1"/>
        <v>0</v>
      </c>
      <c r="H57" s="87"/>
      <c r="I57" s="87"/>
      <c r="J57" s="87"/>
      <c r="K57" s="87"/>
      <c r="L57" s="89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7"/>
      <c r="G58" s="50">
        <f t="shared" si="1"/>
        <v>0</v>
      </c>
      <c r="H58" s="87"/>
      <c r="I58" s="87"/>
      <c r="J58" s="87"/>
      <c r="K58" s="87"/>
      <c r="L58" s="89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7"/>
      <c r="G59" s="50">
        <f t="shared" si="1"/>
        <v>0</v>
      </c>
      <c r="H59" s="87"/>
      <c r="I59" s="87"/>
      <c r="J59" s="87"/>
      <c r="K59" s="87"/>
      <c r="L59" s="89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7"/>
      <c r="G60" s="50">
        <f t="shared" si="1"/>
        <v>0</v>
      </c>
      <c r="H60" s="87"/>
      <c r="I60" s="87"/>
      <c r="J60" s="87"/>
      <c r="K60" s="87"/>
      <c r="L60" s="89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7"/>
      <c r="G61" s="50">
        <f t="shared" si="1"/>
        <v>0</v>
      </c>
      <c r="H61" s="87"/>
      <c r="I61" s="87"/>
      <c r="J61" s="87"/>
      <c r="K61" s="87"/>
      <c r="L61" s="89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7"/>
      <c r="G62" s="50">
        <f t="shared" si="1"/>
        <v>0</v>
      </c>
      <c r="H62" s="87"/>
      <c r="I62" s="87"/>
      <c r="J62" s="87"/>
      <c r="K62" s="87"/>
      <c r="L62" s="89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7"/>
      <c r="G63" s="50">
        <f t="shared" si="1"/>
        <v>0</v>
      </c>
      <c r="H63" s="87"/>
      <c r="I63" s="87"/>
      <c r="J63" s="87"/>
      <c r="K63" s="87"/>
      <c r="L63" s="89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7"/>
      <c r="G64" s="50">
        <f t="shared" si="1"/>
        <v>0</v>
      </c>
      <c r="H64" s="87"/>
      <c r="I64" s="87"/>
      <c r="J64" s="87"/>
      <c r="K64" s="87"/>
      <c r="L64" s="89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7"/>
      <c r="G65" s="50">
        <f t="shared" si="1"/>
        <v>0</v>
      </c>
      <c r="H65" s="87"/>
      <c r="I65" s="87"/>
      <c r="J65" s="87"/>
      <c r="K65" s="87"/>
      <c r="L65" s="89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7"/>
      <c r="G66" s="50">
        <f t="shared" si="1"/>
        <v>0</v>
      </c>
      <c r="H66" s="87"/>
      <c r="I66" s="87"/>
      <c r="J66" s="87"/>
      <c r="K66" s="87"/>
      <c r="L66" s="89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106</v>
      </c>
      <c r="C67" s="85"/>
      <c r="D67" s="85"/>
      <c r="E67" s="50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0</v>
      </c>
      <c r="J67" s="89">
        <f t="shared" si="8"/>
        <v>0</v>
      </c>
      <c r="K67" s="89">
        <f t="shared" si="8"/>
        <v>176</v>
      </c>
      <c r="L67" s="89">
        <f t="shared" si="8"/>
        <v>46</v>
      </c>
      <c r="M67" s="89">
        <f t="shared" si="8"/>
        <v>130</v>
      </c>
      <c r="N67" s="50">
        <f t="shared" si="8"/>
        <v>1050800</v>
      </c>
      <c r="O67" s="50">
        <f t="shared" si="8"/>
        <v>8.5</v>
      </c>
      <c r="P67" s="50">
        <f t="shared" si="8"/>
        <v>16575</v>
      </c>
      <c r="Q67" s="50">
        <f t="shared" si="8"/>
        <v>9.5</v>
      </c>
      <c r="R67" s="50">
        <f t="shared" si="8"/>
        <v>18525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64</v>
      </c>
    </row>
    <row r="68">
      <c r="C68" s="6" t="s">
        <v>107</v>
      </c>
      <c r="D68" s="6" t="s">
        <v>107</v>
      </c>
      <c r="E68" s="6" t="s">
        <v>107</v>
      </c>
      <c r="F68" s="6" t="s">
        <v>107</v>
      </c>
      <c r="G68" s="6"/>
      <c r="H68" s="6" t="s">
        <v>107</v>
      </c>
      <c r="I68" s="6" t="s">
        <v>107</v>
      </c>
      <c r="J68" s="6" t="s">
        <v>107</v>
      </c>
      <c r="K68" s="6" t="s">
        <v>107</v>
      </c>
      <c r="L68" s="6" t="s">
        <v>107</v>
      </c>
      <c r="M68" s="6"/>
      <c r="N68" s="6" t="s">
        <v>107</v>
      </c>
      <c r="O68" s="6" t="s">
        <v>107</v>
      </c>
      <c r="P68" s="6" t="s">
        <v>107</v>
      </c>
      <c r="Q68" s="6" t="s">
        <v>107</v>
      </c>
      <c r="R68" s="6" t="s">
        <v>107</v>
      </c>
      <c r="S68" s="6"/>
      <c r="T68" s="6"/>
      <c r="U68" s="6" t="s">
        <v>107</v>
      </c>
      <c r="V68" s="6" t="s">
        <v>107</v>
      </c>
      <c r="W68" s="6" t="s">
        <v>107</v>
      </c>
    </row>
  </sheetData>
  <drawing r:id="rId1"/>
</worksheet>
</file>