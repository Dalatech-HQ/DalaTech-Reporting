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<sst xmlns="http://schemas.openxmlformats.org/spreadsheetml/2006/main" count="413" uniqueCount="109">
  <si>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</si>
  <si>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</si>
  <si>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</si>
  <si>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</si>
  <si>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</si>
  <si>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</si>
  <si>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</si>
  <si>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</si>
  <si>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</si>
  <si>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</si>
  <si>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</si>
  <si>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</si>
  <si>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</si>
  <si>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</si>
  <si>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</si>
  <si>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Fabfresh Probiotic sweetened Yoghurt (12x)</t>
  </si>
  <si>
    <t>Li.M Supermarket, IJOKO</t>
  </si>
  <si>
    <t>SALES</t>
  </si>
  <si>
    <t>DT:002440</t>
  </si>
  <si>
    <t>1.00 ctn</t>
  </si>
  <si>
    <t>Excel Plus Supermarket, Orchid Rd.</t>
  </si>
  <si>
    <t>DT:002443</t>
  </si>
  <si>
    <t>500ml Fabfresh sweetened Yoghurt (12x)</t>
  </si>
  <si>
    <t>900g Fabfresh probiotic Set Greek Yoghurt (6x)</t>
  </si>
  <si>
    <t>Surplus Supermarket</t>
  </si>
  <si>
    <t>DT:002459</t>
  </si>
  <si>
    <t>0.50 ctn</t>
  </si>
  <si>
    <t>Teewell Superstore</t>
  </si>
  <si>
    <t>DT:002467</t>
  </si>
  <si>
    <t>Q Mart Supermarket</t>
  </si>
  <si>
    <t>DT:002471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</si>
  <si>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</si>
  <si>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</si>
  <si>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</si>
  <si>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</si>
  <si>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</si>
  <si>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</si>
  <si>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</si>
  <si>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</si>
  <si>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</si>
  <si>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</si>
  <si>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</si>
  <si>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</si>
  <si>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</si>
  <si>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</si>
  <si>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</si>
  <si>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</si>
  <si>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</si>
  <si>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</si>
  <si>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</si>
  <si>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</si>
  <si>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</si>
  <si>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</si>
  <si>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</si>
  <si>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</si>
  <si>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</si>
  <si>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</si>
  <si>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</si>
  <si>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</si>
  <si>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</si>
  <si>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</si>
  <si>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</si>
  <si>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</si>
  <si>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</si>
  <si>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</si>
  <si>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</si>
  <si>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</si>
  <si>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</si>
  <si>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</si>
  <si>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</si>
  <si>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</si>
  <si>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</si>
  <si>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</si>
  <si>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</si>
  <si>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</si>
  <si>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</si>
  <si>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</si>
  <si>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</si>
  <si>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</si>
  <si>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</si>
  <si>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</si>
  <si>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</si>
  <si>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</si>
  <si>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</si>
  <si>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</si>
  <si>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</si>
  <si>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</si>
  <si>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</si>
  <si>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</si>
  <si>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</si>
  <si>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</si>
  <si>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</si>
  <si>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</si>
  <si>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</si>
  <si>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</si>
  <si>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</si>
  <si>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</si>
  <si>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</si>
  <si>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1 Ltr Fabfresh Unsweetened Yoghurt (6x)</t>
  </si>
  <si>
    <t>300ml Fabfresh Unsweetened Yoghurt (12x)</t>
  </si>
  <si>
    <t>500ml Fabfresh Unsweetened Yoghurt (12x)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</si>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</sst>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ml Fabfresh Probiotic sweetened Yoghurt (12x)"/>
        <s v="500ml Fabfresh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Li.M Supermarket, IJOKO"/>
        <s v="Excel Plus Supermarket, Orchid Rd."/>
        <s v="Surplus Supermarket"/>
        <s v="Teewell Superstore"/>
        <s v="Q Mart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40"/>
        <s v="DT:002443"/>
        <s v="DT:002459"/>
        <s v="DT:002467"/>
        <s v="DT:002471"/>
        <s v="DT:002516"/>
        <m/>
      </sharedItems>
    </cacheField>
    <cacheField name="Quantity" numFmtId="0">
      <sharedItems containsBlank="1">
        <s v="1.00 ctn"/>
        <s v="0.50 ctn"/>
        <m/>
      </sharedItems>
    </cacheField>
    <cacheField name="Value" numFmtId="4">
      <sharedItems containsString="0" containsBlank="1" containsNumber="1" containsInteger="1">
        <n v="13200.0"/>
        <n v="22000.0"/>
        <n v="17100.0"/>
        <n v="11000.0"/>
        <m/>
      </sharedItems>
    </cacheField>
    <cacheField name="Total Value" numFmtId="0">
      <sharedItems containsSemiMixedTypes="0" containsString="0" containsNumber="1" containsInteger="1">
        <n v="13200.0"/>
        <n v="52300.0"/>
        <n v="11000.0"/>
        <n v="22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300ml Fabfresh Probiotic sweetened Yoghurt (12x)"/>
        <s v="500ml Fabfresh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Li.M Supermarket, IJOKO"/>
        <s v="Excel Plus Supermarket, Orchid Rd."/>
        <s v="Surplus Supermarket"/>
        <s v="Teewell Superstore"/>
        <s v="Q Mart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40"/>
        <s v="DT:002443"/>
        <s v="DT:002459"/>
        <s v="DT:002467"/>
        <s v="DT:002471"/>
        <s v="DT:002516"/>
        <m/>
      </sharedItems>
    </cacheField>
    <cacheField name="Quantity" numFmtId="0">
      <sharedItems containsBlank="1">
        <s v="1.00 ctn"/>
        <s v="0.50 ctn"/>
        <m/>
      </sharedItems>
    </cacheField>
    <cacheField name="Value" numFmtId="4">
      <sharedItems containsString="0" containsBlank="1" containsNumber="1" containsInteger="1">
        <n v="13200.0"/>
        <n v="22000.0"/>
        <n v="17100.0"/>
        <n v="1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5"/>
        <item x="0"/>
        <item x="4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2"/>
        <item x="0"/>
        <item x="4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5"/>
        <item x="0"/>
        <item x="4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 ht="22.5" customHeight="1">
      <c r="A3" s="13" t="s">
        <v>15</v>
      </c>
      <c r="B3" s="14">
        <v>45905.0</v>
      </c>
      <c r="C3" s="15" t="s">
        <v>16</v>
      </c>
      <c r="D3" s="15" t="s">
        <v>17</v>
      </c>
      <c r="E3" s="16" t="s">
        <v>18</v>
      </c>
      <c r="F3" s="16" t="s">
        <v>19</v>
      </c>
      <c r="G3" s="17">
        <v>13200.0</v>
      </c>
      <c r="H3" s="18"/>
      <c r="I3" s="13" t="s">
        <v>15</v>
      </c>
      <c r="J3" s="14">
        <v>45905.0</v>
      </c>
      <c r="K3" s="15" t="s">
        <v>16</v>
      </c>
      <c r="L3" s="15" t="s">
        <v>17</v>
      </c>
      <c r="M3" s="16" t="s">
        <v>18</v>
      </c>
      <c r="N3" s="16" t="s">
        <v>19</v>
      </c>
      <c r="O3" s="17">
        <v>13200.0</v>
      </c>
      <c r="P3" s="19">
        <f t="shared" ref="P3:P95" si="1">sumif(M:M,M3,O:O)</f>
        <v>13200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/>
      <c r="AQ3" s="14"/>
      <c r="AR3" s="15"/>
      <c r="AS3" s="15"/>
      <c r="AT3" s="16"/>
      <c r="AU3" s="16"/>
      <c r="AV3" s="17"/>
    </row>
    <row r="4" ht="17.25" customHeight="1">
      <c r="A4" s="13" t="s">
        <v>15</v>
      </c>
      <c r="B4" s="14">
        <v>45905.0</v>
      </c>
      <c r="C4" s="15" t="s">
        <v>20</v>
      </c>
      <c r="D4" s="15" t="s">
        <v>17</v>
      </c>
      <c r="E4" s="16" t="s">
        <v>21</v>
      </c>
      <c r="F4" s="16" t="s">
        <v>19</v>
      </c>
      <c r="G4" s="17">
        <v>13200.0</v>
      </c>
      <c r="H4" s="16"/>
      <c r="I4" s="13" t="s">
        <v>15</v>
      </c>
      <c r="J4" s="14">
        <v>45905.0</v>
      </c>
      <c r="K4" s="15" t="s">
        <v>20</v>
      </c>
      <c r="L4" s="15" t="s">
        <v>17</v>
      </c>
      <c r="M4" s="16" t="s">
        <v>21</v>
      </c>
      <c r="N4" s="16" t="s">
        <v>19</v>
      </c>
      <c r="O4" s="17">
        <v>13200.0</v>
      </c>
      <c r="P4" s="19">
        <f t="shared" si="1"/>
        <v>52300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/>
      <c r="AQ4" s="14"/>
      <c r="AR4" s="15"/>
      <c r="AS4" s="15"/>
      <c r="AT4" s="16"/>
      <c r="AU4" s="16"/>
      <c r="AV4" s="17"/>
    </row>
    <row r="5" ht="22.5" customHeight="1">
      <c r="A5" s="13" t="s">
        <v>22</v>
      </c>
      <c r="B5" s="14">
        <v>45905.0</v>
      </c>
      <c r="C5" s="15" t="s">
        <v>20</v>
      </c>
      <c r="D5" s="15" t="s">
        <v>17</v>
      </c>
      <c r="E5" s="16" t="s">
        <v>21</v>
      </c>
      <c r="F5" s="16" t="s">
        <v>19</v>
      </c>
      <c r="G5" s="17">
        <v>22000.0</v>
      </c>
      <c r="H5" s="16"/>
      <c r="I5" s="13" t="s">
        <v>22</v>
      </c>
      <c r="J5" s="14">
        <v>45905.0</v>
      </c>
      <c r="K5" s="15" t="s">
        <v>20</v>
      </c>
      <c r="L5" s="15" t="s">
        <v>17</v>
      </c>
      <c r="M5" s="16" t="s">
        <v>21</v>
      </c>
      <c r="N5" s="16" t="s">
        <v>19</v>
      </c>
      <c r="O5" s="17">
        <v>22000.0</v>
      </c>
      <c r="P5" s="19">
        <f t="shared" si="1"/>
        <v>52300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/>
      <c r="AQ5" s="14"/>
      <c r="AR5" s="15"/>
      <c r="AS5" s="15"/>
      <c r="AT5" s="16"/>
      <c r="AU5" s="16"/>
      <c r="AV5" s="17"/>
    </row>
    <row r="6" ht="22.5" customHeight="1">
      <c r="A6" s="13" t="s">
        <v>23</v>
      </c>
      <c r="B6" s="14">
        <v>45905.0</v>
      </c>
      <c r="C6" s="15" t="s">
        <v>20</v>
      </c>
      <c r="D6" s="15" t="s">
        <v>17</v>
      </c>
      <c r="E6" s="16" t="s">
        <v>21</v>
      </c>
      <c r="F6" s="16" t="s">
        <v>19</v>
      </c>
      <c r="G6" s="17">
        <v>17100.0</v>
      </c>
      <c r="H6" s="26"/>
      <c r="I6" s="13" t="s">
        <v>23</v>
      </c>
      <c r="J6" s="14">
        <v>45905.0</v>
      </c>
      <c r="K6" s="15" t="s">
        <v>20</v>
      </c>
      <c r="L6" s="15" t="s">
        <v>17</v>
      </c>
      <c r="M6" s="16" t="s">
        <v>21</v>
      </c>
      <c r="N6" s="16" t="s">
        <v>19</v>
      </c>
      <c r="O6" s="17">
        <v>17100.0</v>
      </c>
      <c r="P6" s="19">
        <f t="shared" si="1"/>
        <v>52300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27"/>
      <c r="AQ6" s="28"/>
      <c r="AR6" s="29"/>
      <c r="AS6" s="29"/>
      <c r="AT6" s="18"/>
      <c r="AU6" s="18"/>
      <c r="AV6" s="30"/>
    </row>
    <row r="7" ht="22.5" customHeight="1">
      <c r="A7" s="13" t="s">
        <v>22</v>
      </c>
      <c r="B7" s="14">
        <v>45906.0</v>
      </c>
      <c r="C7" s="15" t="s">
        <v>24</v>
      </c>
      <c r="D7" s="15" t="s">
        <v>17</v>
      </c>
      <c r="E7" s="16" t="s">
        <v>25</v>
      </c>
      <c r="F7" s="16" t="s">
        <v>26</v>
      </c>
      <c r="G7" s="17">
        <v>11000.0</v>
      </c>
      <c r="H7" s="26"/>
      <c r="I7" s="13" t="s">
        <v>22</v>
      </c>
      <c r="J7" s="14">
        <v>45906.0</v>
      </c>
      <c r="K7" s="15" t="s">
        <v>24</v>
      </c>
      <c r="L7" s="15" t="s">
        <v>17</v>
      </c>
      <c r="M7" s="16" t="s">
        <v>25</v>
      </c>
      <c r="N7" s="16" t="s">
        <v>26</v>
      </c>
      <c r="O7" s="17">
        <v>11000.0</v>
      </c>
      <c r="P7" s="19">
        <f t="shared" si="1"/>
        <v>11000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22</v>
      </c>
      <c r="B8" s="14">
        <v>45906.0</v>
      </c>
      <c r="C8" s="15" t="s">
        <v>27</v>
      </c>
      <c r="D8" s="15" t="s">
        <v>17</v>
      </c>
      <c r="E8" s="16" t="s">
        <v>28</v>
      </c>
      <c r="F8" s="16" t="s">
        <v>26</v>
      </c>
      <c r="G8" s="17">
        <v>11000.0</v>
      </c>
      <c r="H8" s="18"/>
      <c r="I8" s="13" t="s">
        <v>22</v>
      </c>
      <c r="J8" s="14">
        <v>45906.0</v>
      </c>
      <c r="K8" s="15" t="s">
        <v>27</v>
      </c>
      <c r="L8" s="15" t="s">
        <v>17</v>
      </c>
      <c r="M8" s="16" t="s">
        <v>28</v>
      </c>
      <c r="N8" s="16" t="s">
        <v>26</v>
      </c>
      <c r="O8" s="17">
        <v>11000.0</v>
      </c>
      <c r="P8" s="19">
        <f t="shared" si="1"/>
        <v>11000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 t="s">
        <v>22</v>
      </c>
      <c r="B9" s="14">
        <v>45910.0</v>
      </c>
      <c r="C9" s="15" t="s">
        <v>29</v>
      </c>
      <c r="D9" s="15" t="s">
        <v>17</v>
      </c>
      <c r="E9" s="16" t="s">
        <v>30</v>
      </c>
      <c r="F9" s="16" t="s">
        <v>19</v>
      </c>
      <c r="G9" s="17">
        <v>22000.0</v>
      </c>
      <c r="H9" s="16"/>
      <c r="I9" s="13" t="s">
        <v>22</v>
      </c>
      <c r="J9" s="14">
        <v>45910.0</v>
      </c>
      <c r="K9" s="15" t="s">
        <v>29</v>
      </c>
      <c r="L9" s="15" t="s">
        <v>17</v>
      </c>
      <c r="M9" s="16" t="s">
        <v>30</v>
      </c>
      <c r="N9" s="16" t="s">
        <v>19</v>
      </c>
      <c r="O9" s="17">
        <v>22000.0</v>
      </c>
      <c r="P9" s="19">
        <f t="shared" si="1"/>
        <v>22000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 t="s">
        <v>23</v>
      </c>
      <c r="B10" s="14">
        <v>45911.0</v>
      </c>
      <c r="C10" s="15" t="s">
        <v>31</v>
      </c>
      <c r="D10" s="15" t="s">
        <v>17</v>
      </c>
      <c r="E10" s="16" t="s">
        <v>32</v>
      </c>
      <c r="F10" s="16" t="s">
        <v>19</v>
      </c>
      <c r="G10" s="17">
        <v>17100.0</v>
      </c>
      <c r="H10" s="18"/>
      <c r="I10" s="13" t="s">
        <v>23</v>
      </c>
      <c r="J10" s="14">
        <v>45911.0</v>
      </c>
      <c r="K10" s="15" t="s">
        <v>31</v>
      </c>
      <c r="L10" s="15" t="s">
        <v>17</v>
      </c>
      <c r="M10" s="16" t="s">
        <v>32</v>
      </c>
      <c r="N10" s="16" t="s">
        <v>19</v>
      </c>
      <c r="O10" s="17">
        <v>17100.0</v>
      </c>
      <c r="P10" s="19">
        <f t="shared" si="1"/>
        <v>17100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/>
      <c r="B11" s="14"/>
      <c r="C11" s="15"/>
      <c r="D11" s="15"/>
      <c r="E11" s="16"/>
      <c r="F11" s="16"/>
      <c r="G11" s="17"/>
      <c r="H11" s="26"/>
      <c r="I11" s="13"/>
      <c r="J11" s="14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/>
      <c r="B12" s="14"/>
      <c r="C12" s="15"/>
      <c r="D12" s="15"/>
      <c r="E12" s="16"/>
      <c r="F12" s="16"/>
      <c r="G12" s="17"/>
      <c r="H12" s="32"/>
      <c r="I12" s="13"/>
      <c r="J12" s="14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/>
      <c r="B13" s="14"/>
      <c r="C13" s="15"/>
      <c r="D13" s="15"/>
      <c r="E13" s="16"/>
      <c r="F13" s="16"/>
      <c r="G13" s="17"/>
      <c r="H13" s="16"/>
      <c r="I13" s="13"/>
      <c r="J13" s="14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/>
      <c r="B14" s="14"/>
      <c r="C14" s="15"/>
      <c r="D14" s="15"/>
      <c r="E14" s="16"/>
      <c r="F14" s="16"/>
      <c r="G14" s="17"/>
      <c r="H14" s="16"/>
      <c r="I14" s="13"/>
      <c r="J14" s="14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/>
      <c r="B15" s="14"/>
      <c r="C15" s="15"/>
      <c r="D15" s="15"/>
      <c r="E15" s="16"/>
      <c r="F15" s="16"/>
      <c r="G15" s="17"/>
      <c r="H15" s="18"/>
      <c r="I15" s="13"/>
      <c r="J15" s="14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/>
      <c r="B16" s="14"/>
      <c r="C16" s="15"/>
      <c r="D16" s="15"/>
      <c r="E16" s="16"/>
      <c r="F16" s="16"/>
      <c r="G16" s="17"/>
      <c r="H16" s="16"/>
      <c r="I16" s="13"/>
      <c r="J16" s="14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/>
      <c r="B19" s="14"/>
      <c r="C19" s="15"/>
      <c r="D19" s="15"/>
      <c r="E19" s="16"/>
      <c r="F19" s="16"/>
      <c r="G19" s="17"/>
      <c r="I19" s="13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/>
      <c r="B21" s="14"/>
      <c r="C21" s="15"/>
      <c r="D21" s="15"/>
      <c r="E21" s="16"/>
      <c r="F21" s="16"/>
      <c r="G21" s="17"/>
      <c r="I21" s="13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/>
      <c r="B25" s="14"/>
      <c r="C25" s="15"/>
      <c r="D25" s="15"/>
      <c r="E25" s="16"/>
      <c r="F25" s="16"/>
      <c r="G25" s="17"/>
      <c r="I25" s="13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/>
      <c r="B28" s="14"/>
      <c r="C28" s="1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13"/>
      <c r="B31" s="14"/>
      <c r="C31" s="1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13"/>
      <c r="B36" s="14"/>
      <c r="C36" s="15"/>
      <c r="D36" s="15"/>
      <c r="E36" s="16"/>
      <c r="F36" s="16"/>
      <c r="G36" s="17"/>
      <c r="I36" s="13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3"/>
      <c r="X36" s="33"/>
      <c r="AP36" s="27"/>
      <c r="AQ36" s="28"/>
      <c r="AR36" s="29"/>
      <c r="AS36" s="29"/>
      <c r="AT36" s="18"/>
      <c r="AU36" s="18"/>
      <c r="AV36" s="30"/>
    </row>
    <row r="37" ht="22.5" customHeight="1">
      <c r="A37" s="13"/>
      <c r="B37" s="14"/>
      <c r="C37" s="15"/>
      <c r="D37" s="15"/>
      <c r="E37" s="16"/>
      <c r="F37" s="16"/>
      <c r="G37" s="17"/>
      <c r="I37" s="13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31"/>
      <c r="U37" s="22"/>
      <c r="V37" s="2"/>
      <c r="W37" s="23"/>
      <c r="X37" s="33"/>
      <c r="AP37" s="34"/>
      <c r="AQ37" s="35"/>
      <c r="AR37" s="36"/>
      <c r="AS37" s="36"/>
      <c r="AT37" s="37"/>
      <c r="AU37" s="37"/>
      <c r="AV37" s="38"/>
    </row>
    <row r="38" ht="22.5" customHeight="1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3"/>
      <c r="X38" s="33"/>
      <c r="AP38" s="20"/>
      <c r="AQ38" s="21"/>
      <c r="AR38" s="22"/>
      <c r="AS38" s="22"/>
      <c r="AT38" s="2"/>
      <c r="AU38" s="23"/>
      <c r="AV38" s="24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3"/>
      <c r="X39" s="33"/>
      <c r="AP39" s="20"/>
      <c r="AQ39" s="21"/>
      <c r="AR39" s="22"/>
      <c r="AS39" s="22"/>
      <c r="AT39" s="2"/>
      <c r="AU39" s="23"/>
      <c r="AV39" s="24"/>
    </row>
    <row r="40" ht="22.5" customHeight="1">
      <c r="A40" s="13"/>
      <c r="B40" s="14"/>
      <c r="C40" s="1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3"/>
      <c r="X40" s="33"/>
      <c r="AP40" s="20"/>
      <c r="AQ40" s="39"/>
      <c r="AR40" s="40"/>
      <c r="AS40" s="40"/>
      <c r="AT40" s="41"/>
      <c r="AU40" s="42"/>
      <c r="AV40" s="43"/>
    </row>
    <row r="41" ht="22.5" customHeight="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31"/>
      <c r="U41" s="22"/>
      <c r="V41" s="2"/>
      <c r="W41" s="23"/>
      <c r="X41" s="33"/>
      <c r="AP41" s="20"/>
      <c r="AQ41" s="21"/>
      <c r="AR41" s="22"/>
      <c r="AS41" s="22"/>
      <c r="AT41" s="2"/>
      <c r="AU41" s="23"/>
      <c r="AV41" s="24"/>
    </row>
    <row r="42" ht="22.5" customHeight="1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3"/>
      <c r="X42" s="33"/>
      <c r="AP42" s="20"/>
      <c r="AQ42" s="21"/>
      <c r="AR42" s="22"/>
      <c r="AS42" s="22"/>
      <c r="AT42" s="2"/>
      <c r="AU42" s="23"/>
      <c r="AV42" s="24"/>
    </row>
    <row r="43" ht="22.5" customHeight="1">
      <c r="A43" s="13"/>
      <c r="B43" s="14"/>
      <c r="C43" s="15"/>
      <c r="D43" s="15"/>
      <c r="E43" s="16"/>
      <c r="F43" s="16"/>
      <c r="G43" s="17"/>
      <c r="I43" s="13"/>
      <c r="J43" s="14"/>
      <c r="K43" s="15"/>
      <c r="L43" s="15"/>
      <c r="M43" s="16"/>
      <c r="N43" s="16"/>
      <c r="O43" s="17"/>
      <c r="P43" s="19">
        <f t="shared" si="1"/>
        <v>0</v>
      </c>
      <c r="R43" s="25"/>
      <c r="S43" s="39"/>
      <c r="T43" s="40"/>
      <c r="U43" s="40"/>
      <c r="V43" s="41"/>
      <c r="W43" s="42"/>
      <c r="X43" s="44"/>
      <c r="AP43" s="20"/>
      <c r="AQ43" s="21"/>
      <c r="AR43" s="22"/>
      <c r="AS43" s="22"/>
      <c r="AT43" s="2"/>
      <c r="AU43" s="23"/>
      <c r="AV43" s="24"/>
    </row>
    <row r="44" ht="22.5" customHeight="1">
      <c r="A44" s="13"/>
      <c r="B44" s="14"/>
      <c r="C44" s="15"/>
      <c r="D44" s="15"/>
      <c r="E44" s="16"/>
      <c r="F44" s="16"/>
      <c r="G44" s="17"/>
      <c r="I44" s="13"/>
      <c r="J44" s="14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33"/>
      <c r="AP44" s="20"/>
      <c r="AQ44" s="21"/>
      <c r="AR44" s="22"/>
      <c r="AS44" s="22"/>
      <c r="AT44" s="2"/>
      <c r="AU44" s="23"/>
      <c r="AV44" s="24"/>
    </row>
    <row r="45" ht="22.5" customHeight="1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19">
        <f t="shared" si="1"/>
        <v>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13"/>
      <c r="B46" s="14"/>
      <c r="C46" s="15"/>
      <c r="D46" s="15"/>
      <c r="E46" s="16"/>
      <c r="F46" s="16"/>
      <c r="G46" s="17"/>
      <c r="I46" s="27"/>
      <c r="J46" s="28"/>
      <c r="K46" s="45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13"/>
      <c r="B47" s="14"/>
      <c r="C47" s="15"/>
      <c r="D47" s="15"/>
      <c r="E47" s="16"/>
      <c r="F47" s="16"/>
      <c r="G47" s="17"/>
      <c r="I47" s="27"/>
      <c r="J47" s="28"/>
      <c r="K47" s="45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45"/>
      <c r="D48" s="29"/>
      <c r="E48" s="18"/>
      <c r="F48" s="18"/>
      <c r="G48" s="30"/>
      <c r="I48" s="27"/>
      <c r="J48" s="28"/>
      <c r="K48" s="45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45"/>
      <c r="D49" s="29"/>
      <c r="E49" s="18"/>
      <c r="F49" s="18"/>
      <c r="G49" s="30"/>
      <c r="I49" s="27"/>
      <c r="J49" s="28"/>
      <c r="K49" s="45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45"/>
      <c r="D50" s="29"/>
      <c r="E50" s="18"/>
      <c r="F50" s="18"/>
      <c r="G50" s="30"/>
      <c r="I50" s="27"/>
      <c r="J50" s="28"/>
      <c r="K50" s="45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45"/>
      <c r="D51" s="29"/>
      <c r="E51" s="18"/>
      <c r="F51" s="18"/>
      <c r="G51" s="30"/>
      <c r="I51" s="27"/>
      <c r="J51" s="28"/>
      <c r="K51" s="45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45"/>
      <c r="D52" s="29"/>
      <c r="E52" s="18"/>
      <c r="F52" s="18"/>
      <c r="G52" s="30"/>
      <c r="I52" s="27"/>
      <c r="J52" s="28"/>
      <c r="K52" s="45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45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45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45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45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45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45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45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45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45"/>
      <c r="D67" s="29"/>
      <c r="E67" s="18"/>
      <c r="F67" s="18"/>
      <c r="G67" s="30"/>
      <c r="I67" s="27"/>
      <c r="J67" s="28"/>
      <c r="K67" s="45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45"/>
      <c r="D68" s="29"/>
      <c r="E68" s="18"/>
      <c r="F68" s="18"/>
      <c r="G68" s="30"/>
      <c r="I68" s="27"/>
      <c r="J68" s="28"/>
      <c r="K68" s="45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45"/>
      <c r="D69" s="29"/>
      <c r="E69" s="18"/>
      <c r="F69" s="18"/>
      <c r="G69" s="30"/>
      <c r="I69" s="27"/>
      <c r="J69" s="28"/>
      <c r="K69" s="45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45"/>
      <c r="D70" s="29"/>
      <c r="E70" s="18"/>
      <c r="F70" s="18"/>
      <c r="G70" s="30"/>
      <c r="I70" s="27"/>
      <c r="J70" s="28"/>
      <c r="K70" s="45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45"/>
      <c r="D71" s="29"/>
      <c r="E71" s="18"/>
      <c r="F71" s="18"/>
      <c r="G71" s="30"/>
      <c r="I71" s="27"/>
      <c r="J71" s="28"/>
      <c r="K71" s="45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45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45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39"/>
      <c r="AR73" s="40"/>
      <c r="AS73" s="40"/>
      <c r="AT73" s="41"/>
      <c r="AU73" s="42"/>
      <c r="AV73" s="43"/>
    </row>
    <row r="74" ht="22.5" customHeight="1">
      <c r="A74" s="27"/>
      <c r="B74" s="28"/>
      <c r="C74" s="45"/>
      <c r="D74" s="29"/>
      <c r="E74" s="18"/>
      <c r="F74" s="18"/>
      <c r="G74" s="30"/>
      <c r="I74" s="27"/>
      <c r="J74" s="28"/>
      <c r="K74" s="45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45"/>
      <c r="D75" s="29"/>
      <c r="E75" s="18"/>
      <c r="F75" s="18"/>
      <c r="G75" s="30"/>
      <c r="I75" s="27"/>
      <c r="J75" s="28"/>
      <c r="K75" s="45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45"/>
      <c r="D76" s="29"/>
      <c r="E76" s="18"/>
      <c r="F76" s="18"/>
      <c r="G76" s="30"/>
      <c r="I76" s="27"/>
      <c r="J76" s="28"/>
      <c r="K76" s="45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45"/>
      <c r="D77" s="29"/>
      <c r="E77" s="18"/>
      <c r="F77" s="18"/>
      <c r="G77" s="30"/>
      <c r="I77" s="27"/>
      <c r="J77" s="28"/>
      <c r="K77" s="45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45"/>
      <c r="D78" s="29"/>
      <c r="E78" s="18"/>
      <c r="F78" s="18"/>
      <c r="G78" s="30"/>
      <c r="I78" s="27"/>
      <c r="J78" s="28"/>
      <c r="K78" s="45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45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45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45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45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45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45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45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45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45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45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45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45"/>
      <c r="D90" s="29"/>
      <c r="E90" s="18"/>
      <c r="F90" s="18"/>
      <c r="G90" s="30"/>
      <c r="I90" s="27"/>
      <c r="J90" s="28"/>
      <c r="K90" s="45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45"/>
      <c r="D91" s="29"/>
      <c r="E91" s="18"/>
      <c r="F91" s="18"/>
      <c r="G91" s="30"/>
      <c r="I91" s="27"/>
      <c r="J91" s="28"/>
      <c r="K91" s="45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45"/>
      <c r="D92" s="29"/>
      <c r="E92" s="18"/>
      <c r="F92" s="18"/>
      <c r="G92" s="30"/>
      <c r="I92" s="27"/>
      <c r="J92" s="28"/>
      <c r="K92" s="45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45"/>
      <c r="D93" s="29"/>
      <c r="E93" s="18"/>
      <c r="F93" s="18"/>
      <c r="G93" s="30"/>
      <c r="I93" s="27"/>
      <c r="J93" s="28"/>
      <c r="K93" s="45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45"/>
      <c r="D94" s="29"/>
      <c r="E94" s="18"/>
      <c r="F94" s="18"/>
      <c r="G94" s="30"/>
      <c r="I94" s="27"/>
      <c r="J94" s="28"/>
      <c r="K94" s="45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45"/>
      <c r="D95" s="29"/>
      <c r="E95" s="18"/>
      <c r="F95" s="18"/>
      <c r="G95" s="30"/>
      <c r="I95" s="27"/>
      <c r="J95" s="28"/>
      <c r="K95" s="45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45"/>
      <c r="D96" s="29"/>
      <c r="E96" s="18"/>
      <c r="F96" s="18"/>
      <c r="G96" s="30"/>
      <c r="I96" s="27"/>
      <c r="J96" s="28"/>
      <c r="K96" s="45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45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45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45"/>
      <c r="D99" s="29"/>
      <c r="E99" s="18"/>
      <c r="F99" s="18"/>
      <c r="G99" s="30"/>
      <c r="I99" s="27"/>
      <c r="J99" s="28"/>
      <c r="K99" s="45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45"/>
      <c r="D100" s="29"/>
      <c r="E100" s="18"/>
      <c r="F100" s="18"/>
      <c r="G100" s="30"/>
      <c r="I100" s="27"/>
      <c r="J100" s="28"/>
      <c r="K100" s="45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45"/>
      <c r="D101" s="29"/>
      <c r="E101" s="18"/>
      <c r="F101" s="18"/>
      <c r="G101" s="30"/>
      <c r="I101" s="27"/>
      <c r="J101" s="28"/>
      <c r="K101" s="45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45"/>
      <c r="D102" s="29"/>
      <c r="E102" s="18"/>
      <c r="F102" s="18"/>
      <c r="G102" s="30"/>
      <c r="I102" s="27"/>
      <c r="J102" s="28"/>
      <c r="K102" s="45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45"/>
      <c r="D103" s="29"/>
      <c r="E103" s="18"/>
      <c r="F103" s="18"/>
      <c r="G103" s="30"/>
      <c r="I103" s="27"/>
      <c r="J103" s="28"/>
      <c r="K103" s="45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45"/>
      <c r="D104" s="29"/>
      <c r="E104" s="18"/>
      <c r="F104" s="18"/>
      <c r="G104" s="30"/>
      <c r="I104" s="27"/>
      <c r="J104" s="28"/>
      <c r="K104" s="45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45"/>
      <c r="D105" s="29"/>
      <c r="E105" s="18"/>
      <c r="F105" s="18"/>
      <c r="G105" s="30"/>
      <c r="I105" s="27"/>
      <c r="J105" s="28"/>
      <c r="K105" s="45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45"/>
      <c r="D106" s="29"/>
      <c r="E106" s="18"/>
      <c r="F106" s="18"/>
      <c r="G106" s="30"/>
      <c r="I106" s="27"/>
      <c r="J106" s="28"/>
      <c r="K106" s="45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45"/>
      <c r="D107" s="29"/>
      <c r="E107" s="18"/>
      <c r="F107" s="18"/>
      <c r="G107" s="30"/>
      <c r="I107" s="27"/>
      <c r="J107" s="28"/>
      <c r="K107" s="45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45"/>
      <c r="D108" s="29"/>
      <c r="E108" s="18"/>
      <c r="F108" s="18"/>
      <c r="G108" s="30"/>
      <c r="I108" s="27"/>
      <c r="J108" s="28"/>
      <c r="K108" s="45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45"/>
      <c r="D109" s="29"/>
      <c r="E109" s="18"/>
      <c r="F109" s="18"/>
      <c r="G109" s="30"/>
      <c r="I109" s="27"/>
      <c r="J109" s="28"/>
      <c r="K109" s="45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45"/>
      <c r="D110" s="29"/>
      <c r="E110" s="18"/>
      <c r="F110" s="18"/>
      <c r="G110" s="30"/>
      <c r="I110" s="27"/>
      <c r="J110" s="28"/>
      <c r="K110" s="45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45"/>
      <c r="D111" s="29"/>
      <c r="E111" s="18"/>
      <c r="F111" s="18"/>
      <c r="G111" s="30"/>
      <c r="I111" s="27"/>
      <c r="J111" s="28"/>
      <c r="K111" s="45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45"/>
      <c r="D112" s="29"/>
      <c r="E112" s="18"/>
      <c r="F112" s="18"/>
      <c r="G112" s="30"/>
      <c r="I112" s="27"/>
      <c r="J112" s="28"/>
      <c r="K112" s="45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45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45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45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45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45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39"/>
      <c r="AR117" s="40"/>
      <c r="AS117" s="40"/>
      <c r="AT117" s="41"/>
      <c r="AU117" s="42"/>
      <c r="AV117" s="43"/>
    </row>
    <row r="118" ht="22.5" customHeight="1">
      <c r="A118" s="27"/>
      <c r="B118" s="28"/>
      <c r="C118" s="45"/>
      <c r="D118" s="29"/>
      <c r="E118" s="18"/>
      <c r="F118" s="18"/>
      <c r="G118" s="30"/>
      <c r="I118" s="27"/>
      <c r="J118" s="28"/>
      <c r="K118" s="45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45"/>
      <c r="D119" s="29"/>
      <c r="E119" s="18"/>
      <c r="F119" s="18"/>
      <c r="G119" s="30"/>
      <c r="I119" s="27"/>
      <c r="J119" s="28"/>
      <c r="K119" s="45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45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45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45"/>
      <c r="D122" s="29"/>
      <c r="E122" s="18"/>
      <c r="F122" s="18"/>
      <c r="G122" s="30"/>
      <c r="I122" s="27"/>
      <c r="J122" s="28"/>
      <c r="K122" s="45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45"/>
      <c r="D123" s="29"/>
      <c r="E123" s="18"/>
      <c r="F123" s="18"/>
      <c r="G123" s="30"/>
      <c r="I123" s="27"/>
      <c r="J123" s="28"/>
      <c r="K123" s="45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45"/>
      <c r="D124" s="29"/>
      <c r="E124" s="18"/>
      <c r="F124" s="18"/>
      <c r="G124" s="30"/>
      <c r="I124" s="27"/>
      <c r="J124" s="28"/>
      <c r="K124" s="45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45"/>
      <c r="D125" s="29"/>
      <c r="E125" s="18"/>
      <c r="F125" s="18"/>
      <c r="G125" s="30"/>
      <c r="I125" s="27"/>
      <c r="J125" s="28"/>
      <c r="K125" s="45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45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45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45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45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45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45"/>
      <c r="D131" s="29"/>
      <c r="E131" s="18"/>
      <c r="F131" s="18"/>
      <c r="G131" s="30"/>
      <c r="I131" s="27"/>
      <c r="J131" s="28"/>
      <c r="K131" s="45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45"/>
      <c r="D132" s="29"/>
      <c r="E132" s="18"/>
      <c r="F132" s="18"/>
      <c r="G132" s="30"/>
      <c r="I132" s="27"/>
      <c r="J132" s="28"/>
      <c r="K132" s="45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45"/>
      <c r="D133" s="29"/>
      <c r="E133" s="18"/>
      <c r="F133" s="18"/>
      <c r="G133" s="30"/>
      <c r="I133" s="27"/>
      <c r="J133" s="28"/>
      <c r="K133" s="45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45"/>
      <c r="D134" s="29"/>
      <c r="E134" s="18"/>
      <c r="F134" s="18"/>
      <c r="G134" s="30"/>
      <c r="I134" s="27"/>
      <c r="J134" s="28"/>
      <c r="K134" s="45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45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45"/>
      <c r="D136" s="29"/>
      <c r="E136" s="18"/>
      <c r="F136" s="18"/>
      <c r="G136" s="30"/>
      <c r="I136" s="27"/>
      <c r="J136" s="28"/>
      <c r="K136" s="45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45"/>
      <c r="D137" s="29"/>
      <c r="E137" s="18"/>
      <c r="F137" s="18"/>
      <c r="G137" s="30"/>
      <c r="I137" s="27"/>
      <c r="J137" s="28"/>
      <c r="K137" s="45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45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45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45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45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45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45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45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45"/>
      <c r="D147" s="29"/>
      <c r="E147" s="18"/>
      <c r="F147" s="18"/>
      <c r="G147" s="30"/>
      <c r="I147" s="27"/>
      <c r="J147" s="28"/>
      <c r="K147" s="45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45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45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45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45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45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45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45"/>
      <c r="L155" s="29"/>
      <c r="M155" s="18"/>
      <c r="N155" s="18"/>
      <c r="O155" s="30"/>
      <c r="P155" s="19">
        <f t="shared" si="2"/>
        <v>0</v>
      </c>
      <c r="AP155" s="25"/>
      <c r="AQ155" s="39"/>
      <c r="AR155" s="40"/>
      <c r="AS155" s="40"/>
      <c r="AT155" s="41"/>
      <c r="AU155" s="42"/>
      <c r="AV155" s="43"/>
    </row>
    <row r="156" ht="22.5" customHeight="1">
      <c r="A156" s="27"/>
      <c r="B156" s="28"/>
      <c r="C156" s="45"/>
      <c r="D156" s="29"/>
      <c r="E156" s="18"/>
      <c r="F156" s="18"/>
      <c r="G156" s="30"/>
      <c r="I156" s="34"/>
      <c r="J156" s="35"/>
      <c r="K156" s="46"/>
      <c r="L156" s="36"/>
      <c r="M156" s="37"/>
      <c r="N156" s="37"/>
      <c r="O156" s="38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45"/>
      <c r="D157" s="29"/>
      <c r="E157" s="18"/>
      <c r="F157" s="18"/>
      <c r="G157" s="30"/>
      <c r="I157" s="34"/>
      <c r="J157" s="35"/>
      <c r="K157" s="46"/>
      <c r="L157" s="36"/>
      <c r="M157" s="37"/>
      <c r="N157" s="37"/>
      <c r="O157" s="38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45"/>
      <c r="D158" s="29"/>
      <c r="E158" s="18"/>
      <c r="F158" s="18"/>
      <c r="G158" s="30"/>
      <c r="I158" s="34"/>
      <c r="J158" s="35"/>
      <c r="K158" s="46"/>
      <c r="L158" s="36"/>
      <c r="M158" s="37"/>
      <c r="N158" s="37"/>
      <c r="O158" s="38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45"/>
      <c r="D159" s="29"/>
      <c r="E159" s="18"/>
      <c r="F159" s="18"/>
      <c r="G159" s="30"/>
      <c r="I159" s="34"/>
      <c r="J159" s="35"/>
      <c r="K159" s="46"/>
      <c r="L159" s="36"/>
      <c r="M159" s="37"/>
      <c r="N159" s="37"/>
      <c r="O159" s="38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4"/>
      <c r="J160" s="35"/>
      <c r="K160" s="46"/>
      <c r="L160" s="36"/>
      <c r="M160" s="37"/>
      <c r="N160" s="37"/>
      <c r="O160" s="38"/>
      <c r="P160" s="19">
        <f t="shared" si="2"/>
        <v>0</v>
      </c>
    </row>
    <row r="161" ht="22.5" customHeight="1">
      <c r="A161" s="27"/>
      <c r="B161" s="28"/>
      <c r="C161" s="45"/>
      <c r="D161" s="29"/>
      <c r="E161" s="18"/>
      <c r="F161" s="18"/>
      <c r="G161" s="30"/>
      <c r="I161" s="34"/>
      <c r="J161" s="35"/>
      <c r="K161" s="36"/>
      <c r="L161" s="36"/>
      <c r="M161" s="37"/>
      <c r="N161" s="37"/>
      <c r="O161" s="38"/>
      <c r="P161" s="19">
        <f t="shared" si="2"/>
        <v>0</v>
      </c>
    </row>
    <row r="162" ht="22.5" customHeight="1">
      <c r="A162" s="27"/>
      <c r="B162" s="28"/>
      <c r="C162" s="45"/>
      <c r="D162" s="29"/>
      <c r="E162" s="18"/>
      <c r="F162" s="18"/>
      <c r="G162" s="30"/>
      <c r="I162" s="34"/>
      <c r="J162" s="35"/>
      <c r="K162" s="36"/>
      <c r="L162" s="36"/>
      <c r="M162" s="37"/>
      <c r="N162" s="37"/>
      <c r="O162" s="38"/>
      <c r="P162" s="19">
        <f t="shared" si="2"/>
        <v>0</v>
      </c>
    </row>
    <row r="163" ht="22.5" customHeight="1">
      <c r="A163" s="27"/>
      <c r="B163" s="28"/>
      <c r="C163" s="45"/>
      <c r="D163" s="29"/>
      <c r="E163" s="18"/>
      <c r="F163" s="18"/>
      <c r="G163" s="30"/>
      <c r="I163" s="34"/>
      <c r="J163" s="35"/>
      <c r="K163" s="36"/>
      <c r="L163" s="36"/>
      <c r="M163" s="37"/>
      <c r="N163" s="37"/>
      <c r="O163" s="38"/>
      <c r="P163" s="19">
        <f t="shared" si="2"/>
        <v>0</v>
      </c>
    </row>
    <row r="164" ht="22.5" customHeight="1">
      <c r="A164" s="27"/>
      <c r="B164" s="28"/>
      <c r="C164" s="45"/>
      <c r="D164" s="29"/>
      <c r="E164" s="18"/>
      <c r="F164" s="18"/>
      <c r="G164" s="30"/>
      <c r="I164" s="34"/>
      <c r="J164" s="35"/>
      <c r="K164" s="36"/>
      <c r="L164" s="36"/>
      <c r="M164" s="37"/>
      <c r="N164" s="37"/>
      <c r="O164" s="38"/>
      <c r="P164" s="19">
        <f t="shared" si="2"/>
        <v>0</v>
      </c>
    </row>
    <row r="165" ht="22.5" customHeight="1">
      <c r="A165" s="27"/>
      <c r="B165" s="28"/>
      <c r="C165" s="45"/>
      <c r="D165" s="29"/>
      <c r="E165" s="18"/>
      <c r="F165" s="18"/>
      <c r="G165" s="30"/>
      <c r="I165" s="34"/>
      <c r="J165" s="35"/>
      <c r="K165" s="36"/>
      <c r="L165" s="36"/>
      <c r="M165" s="37"/>
      <c r="N165" s="37"/>
      <c r="O165" s="38"/>
      <c r="P165" s="19">
        <f t="shared" si="2"/>
        <v>0</v>
      </c>
    </row>
    <row r="166" ht="22.5" customHeight="1">
      <c r="A166" s="27"/>
      <c r="B166" s="28"/>
      <c r="C166" s="45"/>
      <c r="D166" s="29"/>
      <c r="E166" s="18"/>
      <c r="F166" s="18"/>
      <c r="G166" s="30"/>
      <c r="I166" s="34"/>
      <c r="J166" s="35"/>
      <c r="K166" s="36"/>
      <c r="L166" s="36"/>
      <c r="M166" s="37"/>
      <c r="N166" s="37"/>
      <c r="O166" s="38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4"/>
      <c r="J167" s="35"/>
      <c r="K167" s="36"/>
      <c r="L167" s="36"/>
      <c r="M167" s="37"/>
      <c r="N167" s="37"/>
      <c r="O167" s="38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4"/>
      <c r="J168" s="35"/>
      <c r="K168" s="46"/>
      <c r="L168" s="36"/>
      <c r="M168" s="37"/>
      <c r="N168" s="37"/>
      <c r="O168" s="38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4"/>
      <c r="J169" s="35"/>
      <c r="K169" s="46"/>
      <c r="L169" s="36"/>
      <c r="M169" s="37"/>
      <c r="N169" s="37"/>
      <c r="O169" s="38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4"/>
      <c r="J170" s="35"/>
      <c r="K170" s="46"/>
      <c r="L170" s="36"/>
      <c r="M170" s="37"/>
      <c r="N170" s="37"/>
      <c r="O170" s="38"/>
      <c r="P170" s="19">
        <f t="shared" si="2"/>
        <v>0</v>
      </c>
    </row>
    <row r="171" ht="22.5" customHeight="1">
      <c r="A171" s="27"/>
      <c r="B171" s="28"/>
      <c r="C171" s="45"/>
      <c r="D171" s="29"/>
      <c r="E171" s="18"/>
      <c r="F171" s="18"/>
      <c r="G171" s="30"/>
      <c r="I171" s="34"/>
      <c r="J171" s="35"/>
      <c r="K171" s="46"/>
      <c r="L171" s="36"/>
      <c r="M171" s="37"/>
      <c r="N171" s="37"/>
      <c r="O171" s="38"/>
      <c r="P171" s="19">
        <f t="shared" si="2"/>
        <v>0</v>
      </c>
    </row>
    <row r="172" ht="22.5" customHeight="1">
      <c r="A172" s="27"/>
      <c r="B172" s="28"/>
      <c r="C172" s="45"/>
      <c r="D172" s="29"/>
      <c r="E172" s="18"/>
      <c r="F172" s="18"/>
      <c r="G172" s="30"/>
      <c r="I172" s="34"/>
      <c r="J172" s="35"/>
      <c r="K172" s="46"/>
      <c r="L172" s="36"/>
      <c r="M172" s="37"/>
      <c r="N172" s="37"/>
      <c r="O172" s="38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4"/>
      <c r="J173" s="35"/>
      <c r="K173" s="46"/>
      <c r="L173" s="36"/>
      <c r="M173" s="37"/>
      <c r="N173" s="37"/>
      <c r="O173" s="38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4"/>
      <c r="J174" s="35"/>
      <c r="K174" s="46"/>
      <c r="L174" s="36"/>
      <c r="M174" s="37"/>
      <c r="N174" s="37"/>
      <c r="O174" s="38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4"/>
      <c r="J175" s="35"/>
      <c r="K175" s="46"/>
      <c r="L175" s="36"/>
      <c r="M175" s="37"/>
      <c r="N175" s="37"/>
      <c r="O175" s="38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4"/>
      <c r="J176" s="35"/>
      <c r="K176" s="46"/>
      <c r="L176" s="36"/>
      <c r="M176" s="37"/>
      <c r="N176" s="37"/>
      <c r="O176" s="38"/>
      <c r="P176" s="19">
        <f t="shared" si="2"/>
        <v>0</v>
      </c>
    </row>
    <row r="177" ht="22.5" customHeight="1">
      <c r="A177" s="27"/>
      <c r="B177" s="28"/>
      <c r="C177" s="45"/>
      <c r="D177" s="29"/>
      <c r="E177" s="18"/>
      <c r="F177" s="18"/>
      <c r="G177" s="30"/>
      <c r="I177" s="34"/>
      <c r="J177" s="35"/>
      <c r="K177" s="46"/>
      <c r="L177" s="36"/>
      <c r="M177" s="37"/>
      <c r="N177" s="37"/>
      <c r="O177" s="38"/>
      <c r="P177" s="19">
        <f t="shared" si="2"/>
        <v>0</v>
      </c>
    </row>
    <row r="178" ht="22.5" customHeight="1">
      <c r="A178" s="27"/>
      <c r="B178" s="28"/>
      <c r="C178" s="45"/>
      <c r="D178" s="29"/>
      <c r="E178" s="18"/>
      <c r="F178" s="18"/>
      <c r="G178" s="30"/>
      <c r="I178" s="34"/>
      <c r="J178" s="35"/>
      <c r="K178" s="46"/>
      <c r="L178" s="36"/>
      <c r="M178" s="37"/>
      <c r="N178" s="37"/>
      <c r="O178" s="38"/>
      <c r="P178" s="19">
        <f t="shared" si="2"/>
        <v>0</v>
      </c>
    </row>
    <row r="179" ht="22.5" customHeight="1">
      <c r="A179" s="27"/>
      <c r="B179" s="28"/>
      <c r="C179" s="45"/>
      <c r="D179" s="29"/>
      <c r="E179" s="18"/>
      <c r="F179" s="18"/>
      <c r="G179" s="30"/>
      <c r="I179" s="34"/>
      <c r="J179" s="35"/>
      <c r="K179" s="46"/>
      <c r="L179" s="36"/>
      <c r="M179" s="37"/>
      <c r="N179" s="37"/>
      <c r="O179" s="38"/>
      <c r="P179" s="19">
        <f t="shared" si="2"/>
        <v>0</v>
      </c>
    </row>
    <row r="180" ht="22.5" customHeight="1">
      <c r="A180" s="27"/>
      <c r="B180" s="28"/>
      <c r="C180" s="45"/>
      <c r="D180" s="29"/>
      <c r="E180" s="18"/>
      <c r="F180" s="18"/>
      <c r="G180" s="30"/>
      <c r="I180" s="34"/>
      <c r="J180" s="35"/>
      <c r="K180" s="46"/>
      <c r="L180" s="36"/>
      <c r="M180" s="37"/>
      <c r="N180" s="37"/>
      <c r="O180" s="38"/>
      <c r="P180" s="19">
        <f t="shared" si="2"/>
        <v>0</v>
      </c>
    </row>
    <row r="181" ht="22.5" customHeight="1">
      <c r="A181" s="34"/>
      <c r="B181" s="35"/>
      <c r="C181" s="46"/>
      <c r="D181" s="36"/>
      <c r="E181" s="37"/>
      <c r="F181" s="37"/>
      <c r="G181" s="38"/>
      <c r="I181" s="34"/>
      <c r="J181" s="35"/>
      <c r="K181" s="46"/>
      <c r="L181" s="36"/>
      <c r="M181" s="37"/>
      <c r="N181" s="37"/>
      <c r="O181" s="38"/>
      <c r="P181" s="19">
        <f t="shared" si="2"/>
        <v>0</v>
      </c>
    </row>
    <row r="182" ht="22.5" customHeight="1">
      <c r="A182" s="34"/>
      <c r="B182" s="35"/>
      <c r="C182" s="46"/>
      <c r="D182" s="36"/>
      <c r="E182" s="37"/>
      <c r="F182" s="37"/>
      <c r="G182" s="38"/>
      <c r="I182" s="34"/>
      <c r="J182" s="35"/>
      <c r="K182" s="46"/>
      <c r="L182" s="36"/>
      <c r="M182" s="37"/>
      <c r="N182" s="37"/>
      <c r="O182" s="38"/>
      <c r="P182" s="19">
        <f t="shared" si="2"/>
        <v>0</v>
      </c>
    </row>
    <row r="183" ht="22.5" customHeight="1">
      <c r="A183" s="34"/>
      <c r="B183" s="35"/>
      <c r="C183" s="46"/>
      <c r="D183" s="36"/>
      <c r="E183" s="37"/>
      <c r="F183" s="37"/>
      <c r="G183" s="38"/>
      <c r="I183" s="34"/>
      <c r="J183" s="35"/>
      <c r="K183" s="46"/>
      <c r="L183" s="36"/>
      <c r="M183" s="37"/>
      <c r="N183" s="37"/>
      <c r="O183" s="38"/>
      <c r="P183" s="19">
        <f t="shared" si="2"/>
        <v>0</v>
      </c>
    </row>
    <row r="184" ht="22.5" customHeight="1">
      <c r="A184" s="34"/>
      <c r="B184" s="35"/>
      <c r="C184" s="46"/>
      <c r="D184" s="36"/>
      <c r="E184" s="37"/>
      <c r="F184" s="37"/>
      <c r="G184" s="38"/>
      <c r="I184" s="34"/>
      <c r="J184" s="35"/>
      <c r="K184" s="46"/>
      <c r="L184" s="36"/>
      <c r="M184" s="37"/>
      <c r="N184" s="37"/>
      <c r="O184" s="38"/>
      <c r="P184" s="19">
        <f t="shared" si="2"/>
        <v>0</v>
      </c>
    </row>
    <row r="185" ht="22.5" customHeight="1">
      <c r="A185" s="34"/>
      <c r="B185" s="35"/>
      <c r="C185" s="46"/>
      <c r="D185" s="36"/>
      <c r="E185" s="37"/>
      <c r="F185" s="37"/>
      <c r="G185" s="38"/>
      <c r="I185" s="34"/>
      <c r="J185" s="35"/>
      <c r="K185" s="46"/>
      <c r="L185" s="36"/>
      <c r="M185" s="37"/>
      <c r="N185" s="37"/>
      <c r="O185" s="38"/>
      <c r="P185" s="19">
        <f t="shared" si="2"/>
        <v>0</v>
      </c>
    </row>
    <row r="186" ht="22.5" customHeight="1">
      <c r="A186" s="34"/>
      <c r="B186" s="35"/>
      <c r="C186" s="46"/>
      <c r="D186" s="36"/>
      <c r="E186" s="37"/>
      <c r="F186" s="37"/>
      <c r="G186" s="38"/>
      <c r="I186" s="34"/>
      <c r="J186" s="35"/>
      <c r="K186" s="46"/>
      <c r="L186" s="36"/>
      <c r="M186" s="37"/>
      <c r="N186" s="37"/>
      <c r="O186" s="38"/>
      <c r="P186" s="19">
        <f t="shared" si="2"/>
        <v>0</v>
      </c>
    </row>
    <row r="187" ht="22.5" customHeight="1">
      <c r="A187" s="34"/>
      <c r="B187" s="35"/>
      <c r="C187" s="46"/>
      <c r="D187" s="36"/>
      <c r="E187" s="37"/>
      <c r="F187" s="37"/>
      <c r="G187" s="38"/>
      <c r="I187" s="34"/>
      <c r="J187" s="35"/>
      <c r="K187" s="46"/>
      <c r="L187" s="36"/>
      <c r="M187" s="37"/>
      <c r="N187" s="37"/>
      <c r="O187" s="38"/>
      <c r="P187" s="19">
        <f t="shared" si="2"/>
        <v>0</v>
      </c>
    </row>
    <row r="188" ht="22.5" customHeight="1">
      <c r="A188" s="34"/>
      <c r="B188" s="35"/>
      <c r="C188" s="46"/>
      <c r="D188" s="36"/>
      <c r="E188" s="37"/>
      <c r="F188" s="37"/>
      <c r="G188" s="38"/>
      <c r="I188" s="34"/>
      <c r="J188" s="35"/>
      <c r="K188" s="46"/>
      <c r="L188" s="36"/>
      <c r="M188" s="37"/>
      <c r="N188" s="37"/>
      <c r="O188" s="38"/>
      <c r="P188" s="19">
        <f t="shared" si="2"/>
        <v>0</v>
      </c>
    </row>
    <row r="189" ht="22.5" customHeight="1">
      <c r="A189" s="34"/>
      <c r="B189" s="35"/>
      <c r="C189" s="46"/>
      <c r="D189" s="36"/>
      <c r="E189" s="37"/>
      <c r="F189" s="37"/>
      <c r="G189" s="38"/>
      <c r="I189" s="34"/>
      <c r="J189" s="35"/>
      <c r="K189" s="46"/>
      <c r="L189" s="36"/>
      <c r="M189" s="37"/>
      <c r="N189" s="37"/>
      <c r="O189" s="38"/>
      <c r="P189" s="19">
        <f t="shared" si="2"/>
        <v>0</v>
      </c>
    </row>
    <row r="190" ht="22.5" customHeight="1">
      <c r="A190" s="34"/>
      <c r="B190" s="35"/>
      <c r="C190" s="46"/>
      <c r="D190" s="36"/>
      <c r="E190" s="37"/>
      <c r="F190" s="37"/>
      <c r="G190" s="38"/>
      <c r="I190" s="34"/>
      <c r="J190" s="35"/>
      <c r="K190" s="46"/>
      <c r="L190" s="36"/>
      <c r="M190" s="37"/>
      <c r="N190" s="37"/>
      <c r="O190" s="38"/>
      <c r="P190" s="19">
        <f t="shared" si="2"/>
        <v>0</v>
      </c>
    </row>
    <row r="191" ht="22.5" customHeight="1">
      <c r="A191" s="34"/>
      <c r="B191" s="35"/>
      <c r="C191" s="46"/>
      <c r="D191" s="36"/>
      <c r="E191" s="37"/>
      <c r="F191" s="37"/>
      <c r="G191" s="38"/>
      <c r="I191" s="34"/>
      <c r="J191" s="35"/>
      <c r="K191" s="46"/>
      <c r="L191" s="36"/>
      <c r="M191" s="37"/>
      <c r="N191" s="37"/>
      <c r="O191" s="38"/>
      <c r="P191" s="19">
        <f t="shared" si="2"/>
        <v>0</v>
      </c>
    </row>
    <row r="192" ht="22.5" customHeight="1">
      <c r="A192" s="34"/>
      <c r="B192" s="35"/>
      <c r="C192" s="46"/>
      <c r="D192" s="36"/>
      <c r="E192" s="37"/>
      <c r="F192" s="37"/>
      <c r="G192" s="38"/>
      <c r="I192" s="34"/>
      <c r="J192" s="35"/>
      <c r="K192" s="46"/>
      <c r="L192" s="36"/>
      <c r="M192" s="37"/>
      <c r="N192" s="37"/>
      <c r="O192" s="38"/>
      <c r="P192" s="19">
        <f t="shared" si="2"/>
        <v>0</v>
      </c>
    </row>
    <row r="193" ht="22.5" customHeight="1">
      <c r="A193" s="34"/>
      <c r="B193" s="35"/>
      <c r="C193" s="46"/>
      <c r="D193" s="36"/>
      <c r="E193" s="37"/>
      <c r="F193" s="37"/>
      <c r="G193" s="38"/>
      <c r="I193" s="34"/>
      <c r="J193" s="35"/>
      <c r="K193" s="46"/>
      <c r="L193" s="36"/>
      <c r="M193" s="37"/>
      <c r="N193" s="37"/>
      <c r="O193" s="38"/>
      <c r="P193" s="19">
        <f t="shared" si="2"/>
        <v>0</v>
      </c>
    </row>
    <row r="194" ht="22.5" customHeight="1">
      <c r="A194" s="34"/>
      <c r="B194" s="35"/>
      <c r="C194" s="46"/>
      <c r="D194" s="36"/>
      <c r="E194" s="37"/>
      <c r="F194" s="37"/>
      <c r="G194" s="38"/>
      <c r="I194" s="34"/>
      <c r="J194" s="35"/>
      <c r="K194" s="46"/>
      <c r="L194" s="36"/>
      <c r="M194" s="37"/>
      <c r="N194" s="37"/>
      <c r="O194" s="38"/>
      <c r="P194" s="19">
        <f t="shared" si="2"/>
        <v>0</v>
      </c>
    </row>
    <row r="195" ht="22.5" customHeight="1">
      <c r="A195" s="34"/>
      <c r="B195" s="35"/>
      <c r="C195" s="46"/>
      <c r="D195" s="36"/>
      <c r="E195" s="37"/>
      <c r="F195" s="37"/>
      <c r="G195" s="38"/>
      <c r="I195" s="34"/>
      <c r="J195" s="35"/>
      <c r="K195" s="46"/>
      <c r="L195" s="36"/>
      <c r="M195" s="37"/>
      <c r="N195" s="37"/>
      <c r="O195" s="38"/>
      <c r="P195" s="19">
        <f t="shared" si="2"/>
        <v>0</v>
      </c>
    </row>
    <row r="196" ht="22.5" customHeight="1">
      <c r="A196" s="34"/>
      <c r="B196" s="35"/>
      <c r="C196" s="46"/>
      <c r="D196" s="36"/>
      <c r="E196" s="37"/>
      <c r="F196" s="37"/>
      <c r="G196" s="38"/>
      <c r="I196" s="34"/>
      <c r="J196" s="35"/>
      <c r="K196" s="46"/>
      <c r="L196" s="36"/>
      <c r="M196" s="37"/>
      <c r="N196" s="37"/>
      <c r="O196" s="38"/>
      <c r="P196" s="19">
        <f t="shared" si="2"/>
        <v>0</v>
      </c>
    </row>
    <row r="197" ht="22.5" customHeight="1">
      <c r="A197" s="34"/>
      <c r="B197" s="35"/>
      <c r="C197" s="46"/>
      <c r="D197" s="36"/>
      <c r="E197" s="37"/>
      <c r="F197" s="37"/>
      <c r="G197" s="38"/>
      <c r="I197" s="34"/>
      <c r="J197" s="35"/>
      <c r="K197" s="46"/>
      <c r="L197" s="36"/>
      <c r="M197" s="37"/>
      <c r="N197" s="37"/>
      <c r="O197" s="38"/>
      <c r="P197" s="19">
        <f t="shared" si="2"/>
        <v>0</v>
      </c>
    </row>
    <row r="198" ht="22.5" customHeight="1">
      <c r="A198" s="34"/>
      <c r="B198" s="35"/>
      <c r="C198" s="46"/>
      <c r="D198" s="36"/>
      <c r="E198" s="37"/>
      <c r="F198" s="37"/>
      <c r="G198" s="38"/>
      <c r="I198" s="34"/>
      <c r="J198" s="35"/>
      <c r="K198" s="46"/>
      <c r="L198" s="36"/>
      <c r="M198" s="37"/>
      <c r="N198" s="37"/>
      <c r="O198" s="38"/>
      <c r="P198" s="19">
        <f t="shared" si="2"/>
        <v>0</v>
      </c>
    </row>
    <row r="199" ht="22.5" customHeight="1">
      <c r="A199" s="34"/>
      <c r="B199" s="35"/>
      <c r="C199" s="46"/>
      <c r="D199" s="36"/>
      <c r="E199" s="37"/>
      <c r="F199" s="37"/>
      <c r="G199" s="38"/>
      <c r="I199" s="34"/>
      <c r="J199" s="35"/>
      <c r="K199" s="46"/>
      <c r="L199" s="36"/>
      <c r="M199" s="37"/>
      <c r="N199" s="37"/>
      <c r="O199" s="38"/>
      <c r="P199" s="19">
        <f t="shared" si="2"/>
        <v>0</v>
      </c>
    </row>
    <row r="200" ht="22.5" customHeight="1">
      <c r="A200" s="34"/>
      <c r="B200" s="35"/>
      <c r="C200" s="46"/>
      <c r="D200" s="36"/>
      <c r="E200" s="37"/>
      <c r="F200" s="37"/>
      <c r="G200" s="38"/>
      <c r="I200" s="34"/>
      <c r="J200" s="35"/>
      <c r="K200" s="46"/>
      <c r="L200" s="36"/>
      <c r="M200" s="37"/>
      <c r="N200" s="37"/>
      <c r="O200" s="38"/>
      <c r="P200" s="19">
        <f t="shared" si="2"/>
        <v>0</v>
      </c>
    </row>
    <row r="201" ht="22.5" customHeight="1">
      <c r="A201" s="34"/>
      <c r="B201" s="35"/>
      <c r="C201" s="46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19">
        <f t="shared" si="2"/>
        <v>0</v>
      </c>
    </row>
    <row r="202" ht="22.5" customHeight="1">
      <c r="A202" s="34"/>
      <c r="B202" s="35"/>
      <c r="C202" s="46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19">
        <f t="shared" si="2"/>
        <v>0</v>
      </c>
    </row>
    <row r="203" ht="22.5" customHeight="1">
      <c r="A203" s="34"/>
      <c r="B203" s="35"/>
      <c r="C203" s="46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19">
        <f t="shared" si="2"/>
        <v>0</v>
      </c>
    </row>
    <row r="204" ht="22.5" customHeight="1">
      <c r="A204" s="34"/>
      <c r="B204" s="35"/>
      <c r="C204" s="46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19">
        <f t="shared" si="2"/>
        <v>0</v>
      </c>
    </row>
    <row r="205" ht="22.5" customHeight="1">
      <c r="A205" s="34"/>
      <c r="B205" s="35"/>
      <c r="C205" s="46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19">
        <f t="shared" si="2"/>
        <v>0</v>
      </c>
    </row>
    <row r="206" ht="22.5" customHeight="1">
      <c r="A206" s="34"/>
      <c r="B206" s="35"/>
      <c r="C206" s="46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19">
        <f t="shared" si="2"/>
        <v>0</v>
      </c>
    </row>
    <row r="207" ht="22.5" customHeight="1">
      <c r="A207" s="34"/>
      <c r="B207" s="35"/>
      <c r="C207" s="46"/>
      <c r="D207" s="36"/>
      <c r="E207" s="37"/>
      <c r="F207" s="37"/>
      <c r="G207" s="38"/>
      <c r="I207" s="34"/>
      <c r="J207" s="35"/>
      <c r="K207" s="46"/>
      <c r="L207" s="36"/>
      <c r="M207" s="37"/>
      <c r="N207" s="37"/>
      <c r="O207" s="38"/>
      <c r="P207" s="19">
        <f t="shared" si="2"/>
        <v>0</v>
      </c>
    </row>
    <row r="208" ht="22.5" customHeight="1">
      <c r="A208" s="34"/>
      <c r="B208" s="35"/>
      <c r="C208" s="46"/>
      <c r="D208" s="36"/>
      <c r="E208" s="37"/>
      <c r="F208" s="37"/>
      <c r="G208" s="38"/>
      <c r="I208" s="34"/>
      <c r="J208" s="35"/>
      <c r="K208" s="46"/>
      <c r="L208" s="36"/>
      <c r="M208" s="37"/>
      <c r="N208" s="37"/>
      <c r="O208" s="38"/>
      <c r="P208" s="19">
        <f t="shared" si="2"/>
        <v>0</v>
      </c>
    </row>
    <row r="209" ht="22.5" customHeight="1">
      <c r="A209" s="34"/>
      <c r="B209" s="35"/>
      <c r="C209" s="46"/>
      <c r="D209" s="36"/>
      <c r="E209" s="37"/>
      <c r="F209" s="37"/>
      <c r="G209" s="38"/>
      <c r="I209" s="34"/>
      <c r="J209" s="35"/>
      <c r="K209" s="46"/>
      <c r="L209" s="36"/>
      <c r="M209" s="37"/>
      <c r="N209" s="37"/>
      <c r="O209" s="38"/>
      <c r="P209" s="19">
        <f t="shared" si="2"/>
        <v>0</v>
      </c>
    </row>
    <row r="210" ht="22.5" customHeight="1">
      <c r="A210" s="34"/>
      <c r="B210" s="35"/>
      <c r="C210" s="46"/>
      <c r="D210" s="36"/>
      <c r="E210" s="37"/>
      <c r="F210" s="37"/>
      <c r="G210" s="38"/>
      <c r="I210" s="34"/>
      <c r="J210" s="35"/>
      <c r="K210" s="46"/>
      <c r="L210" s="36"/>
      <c r="M210" s="37"/>
      <c r="N210" s="37"/>
      <c r="O210" s="38"/>
      <c r="P210" s="19">
        <f t="shared" si="2"/>
        <v>0</v>
      </c>
    </row>
    <row r="211" ht="22.5" customHeight="1">
      <c r="A211" s="34"/>
      <c r="B211" s="35"/>
      <c r="C211" s="46"/>
      <c r="D211" s="36"/>
      <c r="E211" s="37"/>
      <c r="F211" s="37"/>
      <c r="G211" s="38"/>
      <c r="I211" s="34"/>
      <c r="J211" s="35"/>
      <c r="K211" s="46"/>
      <c r="L211" s="36"/>
      <c r="M211" s="37"/>
      <c r="N211" s="37"/>
      <c r="O211" s="38"/>
      <c r="P211" s="19">
        <f t="shared" si="2"/>
        <v>0</v>
      </c>
    </row>
    <row r="212" ht="22.5" customHeight="1">
      <c r="A212" s="34"/>
      <c r="B212" s="35"/>
      <c r="C212" s="46"/>
      <c r="D212" s="36"/>
      <c r="E212" s="37"/>
      <c r="F212" s="37"/>
      <c r="G212" s="38"/>
      <c r="I212" s="34"/>
      <c r="J212" s="35"/>
      <c r="K212" s="46"/>
      <c r="L212" s="36"/>
      <c r="M212" s="37"/>
      <c r="N212" s="37"/>
      <c r="O212" s="38"/>
      <c r="P212" s="19">
        <f t="shared" si="2"/>
        <v>0</v>
      </c>
    </row>
    <row r="213" ht="22.5" customHeight="1">
      <c r="A213" s="34"/>
      <c r="B213" s="35"/>
      <c r="C213" s="46"/>
      <c r="D213" s="36"/>
      <c r="E213" s="37"/>
      <c r="F213" s="37"/>
      <c r="G213" s="38"/>
      <c r="I213" s="34"/>
      <c r="J213" s="35"/>
      <c r="K213" s="46"/>
      <c r="L213" s="36"/>
      <c r="M213" s="37"/>
      <c r="N213" s="37"/>
      <c r="O213" s="38"/>
      <c r="P213" s="19">
        <f t="shared" si="2"/>
        <v>0</v>
      </c>
    </row>
    <row r="214" ht="22.5" customHeight="1">
      <c r="A214" s="34"/>
      <c r="B214" s="35"/>
      <c r="C214" s="36"/>
      <c r="D214" s="36"/>
      <c r="E214" s="37"/>
      <c r="F214" s="37"/>
      <c r="G214" s="38"/>
      <c r="I214" s="34"/>
      <c r="J214" s="35"/>
      <c r="K214" s="46"/>
      <c r="L214" s="36"/>
      <c r="M214" s="37"/>
      <c r="N214" s="37"/>
      <c r="O214" s="38"/>
      <c r="P214" s="19">
        <f t="shared" si="2"/>
        <v>0</v>
      </c>
    </row>
    <row r="215" ht="22.5" customHeight="1">
      <c r="A215" s="34"/>
      <c r="B215" s="35"/>
      <c r="C215" s="36"/>
      <c r="D215" s="36"/>
      <c r="E215" s="37"/>
      <c r="F215" s="37"/>
      <c r="G215" s="38"/>
      <c r="I215" s="34"/>
      <c r="J215" s="35"/>
      <c r="K215" s="46"/>
      <c r="L215" s="36"/>
      <c r="M215" s="37"/>
      <c r="N215" s="37"/>
      <c r="O215" s="38"/>
      <c r="P215" s="19">
        <f t="shared" si="2"/>
        <v>0</v>
      </c>
    </row>
    <row r="216" ht="22.5" customHeight="1">
      <c r="A216" s="34"/>
      <c r="B216" s="35"/>
      <c r="C216" s="36"/>
      <c r="D216" s="36"/>
      <c r="E216" s="37"/>
      <c r="F216" s="37"/>
      <c r="G216" s="38"/>
      <c r="I216" s="34"/>
      <c r="J216" s="35"/>
      <c r="K216" s="46"/>
      <c r="L216" s="36"/>
      <c r="M216" s="37"/>
      <c r="N216" s="37"/>
      <c r="O216" s="38"/>
      <c r="P216" s="19">
        <f t="shared" si="2"/>
        <v>0</v>
      </c>
    </row>
    <row r="217" ht="22.5" customHeight="1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19">
        <f t="shared" si="2"/>
        <v>0</v>
      </c>
    </row>
    <row r="218" ht="22.5" customHeight="1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19">
        <f t="shared" si="2"/>
        <v>0</v>
      </c>
    </row>
    <row r="219" ht="22.5" customHeight="1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19">
        <f t="shared" si="2"/>
        <v>0</v>
      </c>
    </row>
    <row r="220" ht="22.5" customHeight="1">
      <c r="A220" s="34"/>
      <c r="B220" s="35"/>
      <c r="C220" s="46"/>
      <c r="D220" s="36"/>
      <c r="E220" s="37"/>
      <c r="F220" s="37"/>
      <c r="G220" s="38"/>
      <c r="I220" s="34"/>
      <c r="J220" s="35"/>
      <c r="K220" s="46"/>
      <c r="L220" s="36"/>
      <c r="M220" s="37"/>
      <c r="N220" s="37"/>
      <c r="O220" s="38"/>
      <c r="P220" s="19">
        <f t="shared" si="2"/>
        <v>0</v>
      </c>
    </row>
    <row r="221" ht="22.5" customHeight="1">
      <c r="A221" s="34"/>
      <c r="B221" s="35"/>
      <c r="C221" s="46"/>
      <c r="D221" s="36"/>
      <c r="E221" s="37"/>
      <c r="F221" s="37"/>
      <c r="G221" s="38"/>
      <c r="I221" s="34"/>
      <c r="J221" s="35"/>
      <c r="K221" s="46"/>
      <c r="L221" s="36"/>
      <c r="M221" s="37"/>
      <c r="N221" s="37"/>
      <c r="O221" s="38"/>
      <c r="P221" s="19">
        <f t="shared" si="2"/>
        <v>0</v>
      </c>
    </row>
    <row r="222" ht="22.5" customHeight="1">
      <c r="A222" s="34"/>
      <c r="B222" s="35"/>
      <c r="C222" s="46"/>
      <c r="D222" s="36"/>
      <c r="E222" s="37"/>
      <c r="F222" s="37"/>
      <c r="G222" s="38"/>
      <c r="I222" s="34"/>
      <c r="J222" s="35"/>
      <c r="K222" s="46"/>
      <c r="L222" s="36"/>
      <c r="M222" s="37"/>
      <c r="N222" s="37"/>
      <c r="O222" s="38"/>
      <c r="P222" s="19">
        <f t="shared" si="2"/>
        <v>0</v>
      </c>
    </row>
    <row r="223" ht="22.5" customHeight="1">
      <c r="A223" s="34"/>
      <c r="B223" s="35"/>
      <c r="C223" s="46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19">
        <f t="shared" si="2"/>
        <v>0</v>
      </c>
    </row>
    <row r="224" ht="22.5" customHeight="1">
      <c r="A224" s="34"/>
      <c r="B224" s="35"/>
      <c r="C224" s="46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19">
        <f t="shared" si="2"/>
        <v>0</v>
      </c>
    </row>
    <row r="225" ht="22.5" customHeight="1">
      <c r="A225" s="34"/>
      <c r="B225" s="35"/>
      <c r="C225" s="46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19">
        <f t="shared" si="2"/>
        <v>0</v>
      </c>
    </row>
    <row r="226" ht="22.5" customHeight="1">
      <c r="A226" s="34"/>
      <c r="B226" s="35"/>
      <c r="C226" s="46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19">
        <f t="shared" si="2"/>
        <v>0</v>
      </c>
    </row>
    <row r="227" ht="22.5" customHeight="1">
      <c r="A227" s="34"/>
      <c r="B227" s="35"/>
      <c r="C227" s="46"/>
      <c r="D227" s="36"/>
      <c r="E227" s="37"/>
      <c r="F227" s="37"/>
      <c r="G227" s="38"/>
      <c r="I227" s="34"/>
      <c r="J227" s="35"/>
      <c r="K227" s="46"/>
      <c r="L227" s="36"/>
      <c r="M227" s="37"/>
      <c r="N227" s="37"/>
      <c r="O227" s="38"/>
      <c r="P227" s="19">
        <f t="shared" si="2"/>
        <v>0</v>
      </c>
    </row>
    <row r="228" ht="22.5" customHeight="1">
      <c r="A228" s="34"/>
      <c r="B228" s="35"/>
      <c r="C228" s="46"/>
      <c r="D228" s="36"/>
      <c r="E228" s="37"/>
      <c r="F228" s="37"/>
      <c r="G228" s="38"/>
      <c r="I228" s="34"/>
      <c r="J228" s="35"/>
      <c r="K228" s="46"/>
      <c r="L228" s="36"/>
      <c r="M228" s="37"/>
      <c r="N228" s="37"/>
      <c r="O228" s="38"/>
      <c r="P228" s="19">
        <f t="shared" si="2"/>
        <v>0</v>
      </c>
    </row>
    <row r="229" ht="22.5" customHeight="1">
      <c r="A229" s="34"/>
      <c r="B229" s="35"/>
      <c r="C229" s="46"/>
      <c r="D229" s="36"/>
      <c r="E229" s="37"/>
      <c r="F229" s="37"/>
      <c r="G229" s="38"/>
      <c r="I229" s="34"/>
      <c r="J229" s="35"/>
      <c r="K229" s="46"/>
      <c r="L229" s="36"/>
      <c r="M229" s="37"/>
      <c r="N229" s="37"/>
      <c r="O229" s="38"/>
      <c r="P229" s="19">
        <f t="shared" si="2"/>
        <v>0</v>
      </c>
    </row>
    <row r="230" ht="22.5" customHeight="1">
      <c r="A230" s="34"/>
      <c r="B230" s="35"/>
      <c r="C230" s="36"/>
      <c r="D230" s="36"/>
      <c r="E230" s="37"/>
      <c r="F230" s="37"/>
      <c r="G230" s="38"/>
      <c r="I230" s="34"/>
      <c r="J230" s="35"/>
      <c r="K230" s="46"/>
      <c r="L230" s="36"/>
      <c r="M230" s="37"/>
      <c r="N230" s="37"/>
      <c r="O230" s="38"/>
      <c r="P230" s="19">
        <f t="shared" si="2"/>
        <v>0</v>
      </c>
    </row>
    <row r="231" ht="22.5" customHeight="1">
      <c r="A231" s="34"/>
      <c r="B231" s="35"/>
      <c r="C231" s="36"/>
      <c r="D231" s="36"/>
      <c r="E231" s="37"/>
      <c r="F231" s="37"/>
      <c r="G231" s="38"/>
      <c r="I231" s="34"/>
      <c r="J231" s="35"/>
      <c r="K231" s="46"/>
      <c r="L231" s="36"/>
      <c r="M231" s="37"/>
      <c r="N231" s="37"/>
      <c r="O231" s="38"/>
      <c r="P231" s="19">
        <f t="shared" si="2"/>
        <v>0</v>
      </c>
    </row>
    <row r="232" ht="22.5" customHeight="1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19">
        <f t="shared" si="2"/>
        <v>0</v>
      </c>
    </row>
    <row r="233" ht="22.5" customHeight="1">
      <c r="A233" s="34"/>
      <c r="B233" s="35"/>
      <c r="C233" s="46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19">
        <f t="shared" si="2"/>
        <v>0</v>
      </c>
    </row>
    <row r="234" ht="22.5" customHeight="1">
      <c r="A234" s="34"/>
      <c r="B234" s="35"/>
      <c r="C234" s="46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19">
        <f t="shared" si="2"/>
        <v>0</v>
      </c>
    </row>
    <row r="235" ht="22.5" customHeight="1">
      <c r="A235" s="34"/>
      <c r="B235" s="35"/>
      <c r="C235" s="46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19">
        <f t="shared" si="2"/>
        <v>0</v>
      </c>
    </row>
    <row r="236" ht="22.5" customHeight="1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19">
        <f t="shared" si="2"/>
        <v>0</v>
      </c>
    </row>
    <row r="237" ht="22.5" customHeight="1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19">
        <f t="shared" si="2"/>
        <v>0</v>
      </c>
    </row>
    <row r="238" ht="22.5" customHeight="1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19">
        <f t="shared" si="2"/>
        <v>0</v>
      </c>
    </row>
    <row r="239" ht="22.5" customHeight="1">
      <c r="A239" s="34"/>
      <c r="B239" s="35"/>
      <c r="C239" s="36"/>
      <c r="D239" s="36"/>
      <c r="E239" s="37"/>
      <c r="F239" s="37"/>
      <c r="G239" s="38"/>
      <c r="I239" s="34"/>
      <c r="J239" s="35"/>
      <c r="K239" s="46"/>
      <c r="L239" s="36"/>
      <c r="M239" s="37"/>
      <c r="N239" s="37"/>
      <c r="O239" s="38"/>
      <c r="P239" s="19">
        <f t="shared" si="2"/>
        <v>0</v>
      </c>
    </row>
    <row r="240" ht="22.5" customHeight="1">
      <c r="A240" s="34"/>
      <c r="B240" s="35"/>
      <c r="C240" s="46"/>
      <c r="D240" s="36"/>
      <c r="E240" s="37"/>
      <c r="F240" s="37"/>
      <c r="G240" s="38"/>
      <c r="I240" s="34"/>
      <c r="J240" s="35"/>
      <c r="K240" s="46"/>
      <c r="L240" s="36"/>
      <c r="M240" s="37"/>
      <c r="N240" s="37"/>
      <c r="O240" s="38"/>
      <c r="P240" s="19">
        <f t="shared" si="2"/>
        <v>0</v>
      </c>
    </row>
    <row r="241" ht="22.5" customHeight="1">
      <c r="A241" s="34"/>
      <c r="B241" s="35"/>
      <c r="C241" s="46"/>
      <c r="D241" s="36"/>
      <c r="E241" s="37"/>
      <c r="F241" s="37"/>
      <c r="G241" s="38"/>
      <c r="I241" s="34"/>
      <c r="J241" s="35"/>
      <c r="K241" s="46"/>
      <c r="L241" s="36"/>
      <c r="M241" s="37"/>
      <c r="N241" s="37"/>
      <c r="O241" s="38"/>
      <c r="P241" s="19">
        <f t="shared" si="2"/>
        <v>0</v>
      </c>
    </row>
    <row r="242" ht="22.5" customHeight="1">
      <c r="A242" s="34"/>
      <c r="B242" s="35"/>
      <c r="C242" s="46"/>
      <c r="D242" s="36"/>
      <c r="E242" s="37"/>
      <c r="F242" s="37"/>
      <c r="G242" s="38"/>
      <c r="I242" s="34"/>
      <c r="J242" s="35"/>
      <c r="K242" s="46"/>
      <c r="L242" s="36"/>
      <c r="M242" s="37"/>
      <c r="N242" s="37"/>
      <c r="O242" s="38"/>
      <c r="P242" s="19">
        <f t="shared" si="2"/>
        <v>0</v>
      </c>
    </row>
    <row r="243" ht="22.5" customHeight="1">
      <c r="A243" s="34"/>
      <c r="B243" s="35"/>
      <c r="C243" s="46"/>
      <c r="D243" s="36"/>
      <c r="E243" s="37"/>
      <c r="F243" s="37"/>
      <c r="G243" s="38"/>
      <c r="I243" s="34"/>
      <c r="J243" s="35"/>
      <c r="K243" s="46"/>
      <c r="L243" s="36"/>
      <c r="M243" s="37"/>
      <c r="N243" s="37"/>
      <c r="O243" s="38"/>
      <c r="P243" s="19">
        <f t="shared" si="2"/>
        <v>0</v>
      </c>
    </row>
    <row r="244" ht="22.5" customHeight="1">
      <c r="A244" s="34"/>
      <c r="B244" s="35"/>
      <c r="C244" s="46"/>
      <c r="D244" s="36"/>
      <c r="E244" s="37"/>
      <c r="F244" s="37"/>
      <c r="G244" s="38"/>
      <c r="I244" s="34"/>
      <c r="J244" s="35"/>
      <c r="K244" s="46"/>
      <c r="L244" s="36"/>
      <c r="M244" s="37"/>
      <c r="N244" s="37"/>
      <c r="O244" s="38"/>
      <c r="P244" s="19">
        <f t="shared" si="2"/>
        <v>0</v>
      </c>
    </row>
    <row r="245" ht="22.5" customHeight="1">
      <c r="A245" s="34"/>
      <c r="B245" s="35"/>
      <c r="C245" s="36"/>
      <c r="D245" s="36"/>
      <c r="E245" s="37"/>
      <c r="F245" s="37"/>
      <c r="G245" s="38"/>
      <c r="I245" s="34"/>
      <c r="J245" s="35"/>
      <c r="K245" s="46"/>
      <c r="L245" s="36"/>
      <c r="M245" s="37"/>
      <c r="N245" s="37"/>
      <c r="O245" s="38"/>
      <c r="P245" s="19">
        <f t="shared" si="2"/>
        <v>0</v>
      </c>
    </row>
    <row r="246" ht="22.5" customHeight="1">
      <c r="A246" s="34"/>
      <c r="B246" s="35"/>
      <c r="C246" s="36"/>
      <c r="D246" s="36"/>
      <c r="E246" s="37"/>
      <c r="F246" s="37"/>
      <c r="G246" s="38"/>
      <c r="I246" s="34"/>
      <c r="J246" s="35"/>
      <c r="K246" s="46"/>
      <c r="L246" s="36"/>
      <c r="M246" s="37"/>
      <c r="N246" s="37"/>
      <c r="O246" s="38"/>
      <c r="P246" s="19">
        <f t="shared" si="2"/>
        <v>0</v>
      </c>
    </row>
    <row r="247" ht="22.5" customHeight="1">
      <c r="A247" s="34"/>
      <c r="B247" s="35"/>
      <c r="C247" s="36"/>
      <c r="D247" s="36"/>
      <c r="E247" s="37"/>
      <c r="F247" s="37"/>
      <c r="G247" s="38"/>
      <c r="I247" s="34"/>
      <c r="J247" s="35"/>
      <c r="K247" s="46"/>
      <c r="L247" s="36"/>
      <c r="M247" s="37"/>
      <c r="N247" s="37"/>
      <c r="O247" s="38"/>
      <c r="P247" s="19">
        <f t="shared" si="2"/>
        <v>0</v>
      </c>
    </row>
    <row r="248" ht="22.5" customHeight="1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19">
        <f t="shared" si="2"/>
        <v>0</v>
      </c>
    </row>
    <row r="249" ht="22.5" customHeight="1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19">
        <f t="shared" si="2"/>
        <v>0</v>
      </c>
    </row>
    <row r="250" ht="22.5" customHeight="1">
      <c r="A250" s="34"/>
      <c r="B250" s="35"/>
      <c r="C250" s="36"/>
      <c r="D250" s="36"/>
      <c r="E250" s="37"/>
      <c r="F250" s="37"/>
      <c r="G250" s="38"/>
      <c r="I250" s="34"/>
      <c r="J250" s="35"/>
      <c r="K250" s="46"/>
      <c r="L250" s="36"/>
      <c r="M250" s="37"/>
      <c r="N250" s="37"/>
      <c r="O250" s="38"/>
      <c r="P250" s="19">
        <f t="shared" si="2"/>
        <v>0</v>
      </c>
    </row>
    <row r="251" ht="22.5" customHeight="1">
      <c r="A251" s="34"/>
      <c r="B251" s="35"/>
      <c r="C251" s="36"/>
      <c r="D251" s="36"/>
      <c r="E251" s="37"/>
      <c r="F251" s="37"/>
      <c r="G251" s="38"/>
      <c r="I251" s="34"/>
      <c r="J251" s="35"/>
      <c r="K251" s="46"/>
      <c r="L251" s="36"/>
      <c r="M251" s="37"/>
      <c r="N251" s="37"/>
      <c r="O251" s="38"/>
      <c r="P251" s="19">
        <f t="shared" si="2"/>
        <v>0</v>
      </c>
    </row>
    <row r="252" ht="22.5" customHeight="1">
      <c r="A252" s="34"/>
      <c r="B252" s="35"/>
      <c r="C252" s="46"/>
      <c r="D252" s="36"/>
      <c r="E252" s="37"/>
      <c r="F252" s="37"/>
      <c r="G252" s="38"/>
      <c r="I252" s="34"/>
      <c r="J252" s="35"/>
      <c r="K252" s="46"/>
      <c r="L252" s="36"/>
      <c r="M252" s="37"/>
      <c r="N252" s="37"/>
      <c r="O252" s="38"/>
      <c r="P252" s="19">
        <f t="shared" si="2"/>
        <v>0</v>
      </c>
    </row>
    <row r="253" ht="22.5" customHeight="1">
      <c r="A253" s="34"/>
      <c r="B253" s="35"/>
      <c r="C253" s="46"/>
      <c r="D253" s="36"/>
      <c r="E253" s="37"/>
      <c r="F253" s="37"/>
      <c r="G253" s="38"/>
      <c r="I253" s="34"/>
      <c r="J253" s="35"/>
      <c r="K253" s="46"/>
      <c r="L253" s="36"/>
      <c r="M253" s="37"/>
      <c r="N253" s="37"/>
      <c r="O253" s="38"/>
      <c r="P253" s="19">
        <f t="shared" si="2"/>
        <v>0</v>
      </c>
    </row>
    <row r="254" ht="22.5" customHeight="1">
      <c r="A254" s="34"/>
      <c r="B254" s="35"/>
      <c r="C254" s="46"/>
      <c r="D254" s="36"/>
      <c r="E254" s="37"/>
      <c r="F254" s="37"/>
      <c r="G254" s="38"/>
      <c r="I254" s="34"/>
      <c r="J254" s="35"/>
      <c r="K254" s="46"/>
      <c r="L254" s="36"/>
      <c r="M254" s="37"/>
      <c r="N254" s="37"/>
      <c r="O254" s="38"/>
      <c r="P254" s="19">
        <f t="shared" si="2"/>
        <v>0</v>
      </c>
    </row>
    <row r="255" ht="22.5" customHeight="1">
      <c r="A255" s="34"/>
      <c r="B255" s="35"/>
      <c r="C255" s="46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19">
        <f t="shared" si="2"/>
        <v>0</v>
      </c>
    </row>
    <row r="256" ht="22.5" customHeight="1">
      <c r="A256" s="34"/>
      <c r="B256" s="35"/>
      <c r="C256" s="46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19">
        <f t="shared" si="2"/>
        <v>0</v>
      </c>
    </row>
    <row r="257" ht="22.5" customHeight="1">
      <c r="A257" s="34"/>
      <c r="B257" s="35"/>
      <c r="C257" s="46"/>
      <c r="D257" s="36"/>
      <c r="E257" s="37"/>
      <c r="F257" s="37"/>
      <c r="G257" s="38"/>
      <c r="I257" s="34"/>
      <c r="J257" s="35"/>
      <c r="K257" s="46"/>
      <c r="L257" s="36"/>
      <c r="M257" s="37"/>
      <c r="N257" s="37"/>
      <c r="O257" s="38"/>
      <c r="P257" s="19">
        <f t="shared" si="2"/>
        <v>0</v>
      </c>
    </row>
    <row r="258" ht="22.5" customHeight="1">
      <c r="A258" s="34"/>
      <c r="B258" s="35"/>
      <c r="C258" s="46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19">
        <f t="shared" si="2"/>
        <v>0</v>
      </c>
    </row>
    <row r="259" ht="22.5" customHeight="1">
      <c r="A259" s="34"/>
      <c r="B259" s="35"/>
      <c r="C259" s="46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19">
        <f t="shared" si="2"/>
        <v>0</v>
      </c>
    </row>
    <row r="260" ht="22.5" customHeight="1">
      <c r="A260" s="34"/>
      <c r="B260" s="35"/>
      <c r="C260" s="46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19">
        <f t="shared" si="2"/>
        <v>0</v>
      </c>
    </row>
    <row r="261" ht="22.5" customHeight="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19">
        <f t="shared" si="2"/>
        <v>0</v>
      </c>
    </row>
    <row r="262" ht="22.5" customHeight="1">
      <c r="A262" s="34"/>
      <c r="B262" s="35"/>
      <c r="C262" s="36"/>
      <c r="D262" s="36"/>
      <c r="E262" s="37"/>
      <c r="F262" s="37"/>
      <c r="G262" s="38"/>
      <c r="I262" s="34"/>
      <c r="J262" s="35"/>
      <c r="K262" s="46"/>
      <c r="L262" s="36"/>
      <c r="M262" s="37"/>
      <c r="N262" s="37"/>
      <c r="O262" s="38"/>
      <c r="P262" s="19">
        <f t="shared" si="2"/>
        <v>0</v>
      </c>
    </row>
    <row r="263" ht="22.5" customHeight="1">
      <c r="A263" s="34"/>
      <c r="B263" s="35"/>
      <c r="C263" s="46"/>
      <c r="D263" s="36"/>
      <c r="E263" s="37"/>
      <c r="F263" s="37"/>
      <c r="G263" s="38"/>
      <c r="I263" s="34"/>
      <c r="J263" s="35"/>
      <c r="K263" s="46"/>
      <c r="L263" s="36"/>
      <c r="M263" s="37"/>
      <c r="N263" s="37"/>
      <c r="O263" s="38"/>
      <c r="P263" s="19">
        <f t="shared" si="2"/>
        <v>0</v>
      </c>
    </row>
    <row r="264" ht="22.5" customHeight="1">
      <c r="A264" s="34"/>
      <c r="B264" s="35"/>
      <c r="C264" s="46"/>
      <c r="D264" s="36"/>
      <c r="E264" s="37"/>
      <c r="F264" s="37"/>
      <c r="G264" s="38"/>
      <c r="I264" s="34"/>
      <c r="J264" s="35"/>
      <c r="K264" s="46"/>
      <c r="L264" s="36"/>
      <c r="M264" s="37"/>
      <c r="N264" s="37"/>
      <c r="O264" s="38"/>
      <c r="P264" s="19">
        <f t="shared" si="2"/>
        <v>0</v>
      </c>
    </row>
    <row r="265" ht="22.5" customHeight="1">
      <c r="A265" s="34"/>
      <c r="B265" s="35"/>
      <c r="C265" s="46"/>
      <c r="D265" s="36"/>
      <c r="E265" s="37"/>
      <c r="F265" s="37"/>
      <c r="G265" s="38"/>
      <c r="I265" s="34"/>
      <c r="J265" s="35"/>
      <c r="K265" s="46"/>
      <c r="L265" s="36"/>
      <c r="M265" s="37"/>
      <c r="N265" s="37"/>
      <c r="O265" s="38"/>
      <c r="P265" s="19">
        <f t="shared" si="2"/>
        <v>0</v>
      </c>
    </row>
    <row r="266" ht="22.5" customHeight="1">
      <c r="A266" s="34"/>
      <c r="B266" s="35"/>
      <c r="C266" s="46"/>
      <c r="D266" s="36"/>
      <c r="E266" s="37"/>
      <c r="F266" s="37"/>
      <c r="G266" s="38"/>
      <c r="I266" s="34"/>
      <c r="J266" s="35"/>
      <c r="K266" s="46"/>
      <c r="L266" s="36"/>
      <c r="M266" s="37"/>
      <c r="N266" s="37"/>
      <c r="O266" s="38"/>
      <c r="P266" s="19">
        <f t="shared" si="2"/>
        <v>0</v>
      </c>
    </row>
    <row r="267" ht="22.5" customHeight="1">
      <c r="A267" s="34"/>
      <c r="B267" s="35"/>
      <c r="C267" s="46"/>
      <c r="D267" s="36"/>
      <c r="E267" s="37"/>
      <c r="F267" s="37"/>
      <c r="G267" s="38"/>
      <c r="I267" s="34"/>
      <c r="J267" s="35"/>
      <c r="K267" s="46"/>
      <c r="L267" s="36"/>
      <c r="M267" s="37"/>
      <c r="N267" s="37"/>
      <c r="O267" s="38"/>
      <c r="P267" s="19">
        <f t="shared" si="2"/>
        <v>0</v>
      </c>
    </row>
    <row r="268" ht="22.5" customHeight="1">
      <c r="A268" s="34"/>
      <c r="B268" s="35"/>
      <c r="C268" s="36"/>
      <c r="D268" s="36"/>
      <c r="E268" s="37"/>
      <c r="F268" s="37"/>
      <c r="G268" s="38"/>
      <c r="I268" s="34"/>
      <c r="J268" s="35"/>
      <c r="K268" s="46"/>
      <c r="L268" s="36"/>
      <c r="M268" s="37"/>
      <c r="N268" s="37"/>
      <c r="O268" s="38"/>
      <c r="P268" s="19">
        <f t="shared" si="2"/>
        <v>0</v>
      </c>
    </row>
    <row r="269" ht="22.5" customHeight="1">
      <c r="A269" s="34"/>
      <c r="B269" s="35"/>
      <c r="C269" s="36"/>
      <c r="D269" s="36"/>
      <c r="E269" s="37"/>
      <c r="F269" s="37"/>
      <c r="G269" s="38"/>
      <c r="I269" s="34"/>
      <c r="J269" s="35"/>
      <c r="K269" s="46"/>
      <c r="L269" s="36"/>
      <c r="M269" s="37"/>
      <c r="N269" s="37"/>
      <c r="O269" s="38"/>
      <c r="P269" s="19">
        <f t="shared" si="2"/>
        <v>0</v>
      </c>
    </row>
    <row r="270" ht="22.5" customHeight="1">
      <c r="A270" s="34"/>
      <c r="B270" s="35"/>
      <c r="C270" s="46"/>
      <c r="D270" s="36"/>
      <c r="E270" s="37"/>
      <c r="F270" s="37"/>
      <c r="G270" s="38"/>
      <c r="I270" s="34"/>
      <c r="J270" s="35"/>
      <c r="K270" s="46"/>
      <c r="L270" s="36"/>
      <c r="M270" s="37"/>
      <c r="N270" s="37"/>
      <c r="O270" s="38"/>
      <c r="P270" s="19">
        <f t="shared" si="2"/>
        <v>0</v>
      </c>
    </row>
    <row r="271" ht="22.5" customHeight="1">
      <c r="A271" s="34"/>
      <c r="B271" s="35"/>
      <c r="C271" s="46"/>
      <c r="D271" s="36"/>
      <c r="E271" s="37"/>
      <c r="F271" s="37"/>
      <c r="G271" s="38"/>
      <c r="I271" s="34"/>
      <c r="J271" s="35"/>
      <c r="K271" s="46"/>
      <c r="L271" s="36"/>
      <c r="M271" s="37"/>
      <c r="N271" s="37"/>
      <c r="O271" s="38"/>
      <c r="P271" s="19">
        <f t="shared" si="2"/>
        <v>0</v>
      </c>
    </row>
    <row r="272" ht="22.5" customHeight="1">
      <c r="A272" s="34"/>
      <c r="B272" s="35"/>
      <c r="C272" s="46"/>
      <c r="D272" s="36"/>
      <c r="E272" s="37"/>
      <c r="F272" s="37"/>
      <c r="G272" s="38"/>
      <c r="I272" s="34"/>
      <c r="J272" s="35"/>
      <c r="K272" s="46"/>
      <c r="L272" s="36"/>
      <c r="M272" s="37"/>
      <c r="N272" s="37"/>
      <c r="O272" s="38"/>
      <c r="P272" s="19">
        <f t="shared" si="2"/>
        <v>0</v>
      </c>
    </row>
    <row r="273" ht="22.5" customHeight="1">
      <c r="A273" s="34"/>
      <c r="B273" s="35"/>
      <c r="C273" s="46"/>
      <c r="D273" s="36"/>
      <c r="E273" s="37"/>
      <c r="F273" s="37"/>
      <c r="G273" s="38"/>
      <c r="I273" s="34"/>
      <c r="J273" s="35"/>
      <c r="K273" s="46"/>
      <c r="L273" s="36"/>
      <c r="M273" s="37"/>
      <c r="N273" s="37"/>
      <c r="O273" s="38"/>
      <c r="P273" s="19">
        <f t="shared" si="2"/>
        <v>0</v>
      </c>
    </row>
    <row r="274" ht="22.5" customHeight="1">
      <c r="A274" s="34"/>
      <c r="B274" s="35"/>
      <c r="C274" s="46"/>
      <c r="D274" s="36"/>
      <c r="E274" s="37"/>
      <c r="F274" s="37"/>
      <c r="G274" s="38"/>
      <c r="I274" s="34"/>
      <c r="J274" s="35"/>
      <c r="K274" s="46"/>
      <c r="L274" s="36"/>
      <c r="M274" s="37"/>
      <c r="N274" s="37"/>
      <c r="O274" s="38"/>
      <c r="P274" s="19">
        <f t="shared" si="2"/>
        <v>0</v>
      </c>
    </row>
    <row r="275" ht="22.5" customHeight="1">
      <c r="A275" s="34"/>
      <c r="B275" s="35"/>
      <c r="C275" s="46"/>
      <c r="D275" s="36"/>
      <c r="E275" s="37"/>
      <c r="F275" s="37"/>
      <c r="G275" s="38"/>
      <c r="I275" s="34"/>
      <c r="J275" s="35"/>
      <c r="K275" s="46"/>
      <c r="L275" s="36"/>
      <c r="M275" s="37"/>
      <c r="N275" s="37"/>
      <c r="O275" s="38"/>
      <c r="P275" s="19">
        <f t="shared" si="2"/>
        <v>0</v>
      </c>
    </row>
    <row r="276" ht="22.5" customHeight="1">
      <c r="A276" s="34"/>
      <c r="B276" s="35"/>
      <c r="C276" s="46"/>
      <c r="D276" s="36"/>
      <c r="E276" s="37"/>
      <c r="F276" s="37"/>
      <c r="G276" s="38"/>
      <c r="I276" s="34"/>
      <c r="J276" s="35"/>
      <c r="K276" s="46"/>
      <c r="L276" s="36"/>
      <c r="M276" s="37"/>
      <c r="N276" s="37"/>
      <c r="O276" s="38"/>
      <c r="P276" s="19">
        <f t="shared" si="2"/>
        <v>0</v>
      </c>
    </row>
    <row r="277" ht="22.5" customHeight="1">
      <c r="A277" s="34"/>
      <c r="B277" s="35"/>
      <c r="C277" s="46"/>
      <c r="D277" s="36"/>
      <c r="E277" s="37"/>
      <c r="F277" s="37"/>
      <c r="G277" s="38"/>
      <c r="I277" s="34"/>
      <c r="J277" s="35"/>
      <c r="K277" s="46"/>
      <c r="L277" s="36"/>
      <c r="M277" s="37"/>
      <c r="N277" s="37"/>
      <c r="O277" s="38"/>
      <c r="P277" s="19">
        <f t="shared" si="2"/>
        <v>0</v>
      </c>
    </row>
    <row r="278" ht="22.5" customHeight="1">
      <c r="A278" s="34"/>
      <c r="B278" s="35"/>
      <c r="C278" s="46"/>
      <c r="D278" s="36"/>
      <c r="E278" s="37"/>
      <c r="F278" s="37"/>
      <c r="G278" s="38"/>
      <c r="I278" s="34"/>
      <c r="J278" s="35"/>
      <c r="K278" s="46"/>
      <c r="L278" s="36"/>
      <c r="M278" s="37"/>
      <c r="N278" s="37"/>
      <c r="O278" s="38"/>
      <c r="P278" s="19">
        <f t="shared" si="2"/>
        <v>0</v>
      </c>
    </row>
    <row r="279" ht="22.5" customHeight="1">
      <c r="A279" s="34"/>
      <c r="B279" s="35"/>
      <c r="C279" s="46"/>
      <c r="D279" s="36"/>
      <c r="E279" s="37"/>
      <c r="F279" s="37"/>
      <c r="G279" s="38"/>
      <c r="I279" s="34"/>
      <c r="J279" s="35"/>
      <c r="K279" s="46"/>
      <c r="L279" s="36"/>
      <c r="M279" s="37"/>
      <c r="N279" s="37"/>
      <c r="O279" s="38"/>
      <c r="P279" s="19">
        <f t="shared" si="2"/>
        <v>0</v>
      </c>
    </row>
    <row r="280" ht="22.5" customHeight="1">
      <c r="A280" s="34"/>
      <c r="B280" s="35"/>
      <c r="C280" s="46"/>
      <c r="D280" s="36"/>
      <c r="E280" s="37"/>
      <c r="F280" s="37"/>
      <c r="G280" s="38"/>
      <c r="I280" s="34"/>
      <c r="J280" s="35"/>
      <c r="K280" s="46"/>
      <c r="L280" s="36"/>
      <c r="M280" s="37"/>
      <c r="N280" s="37"/>
      <c r="O280" s="38"/>
      <c r="P280" s="19">
        <f t="shared" si="2"/>
        <v>0</v>
      </c>
    </row>
    <row r="281" ht="22.5" customHeight="1">
      <c r="A281" s="34"/>
      <c r="B281" s="35"/>
      <c r="C281" s="46"/>
      <c r="D281" s="36"/>
      <c r="E281" s="37"/>
      <c r="F281" s="37"/>
      <c r="G281" s="38"/>
      <c r="I281" s="34"/>
      <c r="J281" s="35"/>
      <c r="K281" s="46"/>
      <c r="L281" s="36"/>
      <c r="M281" s="37"/>
      <c r="N281" s="37"/>
      <c r="O281" s="38"/>
      <c r="P281" s="19">
        <f t="shared" si="2"/>
        <v>0</v>
      </c>
    </row>
    <row r="282" ht="22.5" customHeight="1">
      <c r="A282" s="34"/>
      <c r="B282" s="35"/>
      <c r="C282" s="36"/>
      <c r="D282" s="36"/>
      <c r="E282" s="37"/>
      <c r="F282" s="37"/>
      <c r="G282" s="38"/>
      <c r="I282" s="34"/>
      <c r="J282" s="35"/>
      <c r="K282" s="46"/>
      <c r="L282" s="36"/>
      <c r="M282" s="37"/>
      <c r="N282" s="37"/>
      <c r="O282" s="38"/>
      <c r="P282" s="19">
        <f t="shared" si="2"/>
        <v>0</v>
      </c>
    </row>
    <row r="283" ht="22.5" customHeight="1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19">
        <f t="shared" si="2"/>
        <v>0</v>
      </c>
    </row>
    <row r="284" ht="22.5" customHeight="1">
      <c r="A284" s="34"/>
      <c r="B284" s="35"/>
      <c r="C284" s="46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19">
        <f t="shared" si="2"/>
        <v>0</v>
      </c>
    </row>
    <row r="285" ht="22.5" customHeight="1">
      <c r="A285" s="34"/>
      <c r="B285" s="35"/>
      <c r="C285" s="46"/>
      <c r="D285" s="36"/>
      <c r="E285" s="37"/>
      <c r="F285" s="37"/>
      <c r="G285" s="38"/>
      <c r="I285" s="47"/>
      <c r="J285" s="48"/>
      <c r="K285" s="36"/>
      <c r="L285" s="36"/>
      <c r="M285" s="37"/>
      <c r="N285" s="37"/>
      <c r="O285" s="38"/>
      <c r="P285" s="19">
        <f t="shared" si="2"/>
        <v>0</v>
      </c>
    </row>
    <row r="286" ht="22.5" customHeight="1">
      <c r="A286" s="34"/>
      <c r="B286" s="35"/>
      <c r="C286" s="46"/>
      <c r="D286" s="36"/>
      <c r="E286" s="37"/>
      <c r="F286" s="37"/>
      <c r="G286" s="38"/>
      <c r="I286" s="47"/>
      <c r="J286" s="48"/>
      <c r="K286" s="36"/>
      <c r="L286" s="36"/>
      <c r="M286" s="37"/>
      <c r="N286" s="37"/>
      <c r="O286" s="38"/>
      <c r="P286" s="19">
        <f t="shared" si="2"/>
        <v>0</v>
      </c>
    </row>
    <row r="287" ht="22.5" customHeight="1">
      <c r="A287" s="34"/>
      <c r="B287" s="35"/>
      <c r="C287" s="46"/>
      <c r="D287" s="36"/>
      <c r="E287" s="37"/>
      <c r="F287" s="37"/>
      <c r="G287" s="38"/>
      <c r="I287" s="47"/>
      <c r="J287" s="48"/>
      <c r="K287" s="36"/>
      <c r="L287" s="36"/>
      <c r="M287" s="37"/>
      <c r="N287" s="37"/>
      <c r="O287" s="38"/>
      <c r="P287" s="19">
        <f t="shared" si="2"/>
        <v>0</v>
      </c>
    </row>
    <row r="288" ht="22.5" customHeight="1">
      <c r="A288" s="34"/>
      <c r="B288" s="35"/>
      <c r="C288" s="46"/>
      <c r="D288" s="36"/>
      <c r="E288" s="37"/>
      <c r="F288" s="37"/>
      <c r="G288" s="38"/>
      <c r="I288" s="47"/>
      <c r="J288" s="48"/>
      <c r="K288" s="36"/>
      <c r="L288" s="36"/>
      <c r="M288" s="37"/>
      <c r="N288" s="37"/>
      <c r="O288" s="38"/>
      <c r="P288" s="19">
        <f t="shared" si="2"/>
        <v>0</v>
      </c>
    </row>
    <row r="289" ht="22.5" customHeight="1">
      <c r="A289" s="34"/>
      <c r="B289" s="35"/>
      <c r="C289" s="46"/>
      <c r="D289" s="36"/>
      <c r="E289" s="37"/>
      <c r="F289" s="37"/>
      <c r="G289" s="38"/>
      <c r="I289" s="47"/>
      <c r="J289" s="48"/>
      <c r="K289" s="36"/>
      <c r="L289" s="36"/>
      <c r="M289" s="37"/>
      <c r="N289" s="37"/>
      <c r="O289" s="38"/>
      <c r="P289" s="19">
        <f t="shared" si="2"/>
        <v>0</v>
      </c>
    </row>
    <row r="290" ht="22.5" customHeight="1">
      <c r="A290" s="34"/>
      <c r="B290" s="35"/>
      <c r="C290" s="46"/>
      <c r="D290" s="36"/>
      <c r="E290" s="37"/>
      <c r="F290" s="37"/>
      <c r="G290" s="38"/>
      <c r="I290" s="47"/>
      <c r="J290" s="48"/>
      <c r="K290" s="36"/>
      <c r="L290" s="36"/>
      <c r="M290" s="37"/>
      <c r="N290" s="37"/>
      <c r="O290" s="38"/>
      <c r="P290" s="19">
        <f t="shared" si="2"/>
        <v>0</v>
      </c>
    </row>
    <row r="291" ht="22.5" customHeight="1">
      <c r="A291" s="34"/>
      <c r="B291" s="35"/>
      <c r="C291" s="46"/>
      <c r="D291" s="36"/>
      <c r="E291" s="37"/>
      <c r="F291" s="37"/>
      <c r="G291" s="38"/>
      <c r="I291" s="47"/>
      <c r="J291" s="48"/>
      <c r="K291" s="36"/>
      <c r="L291" s="36"/>
      <c r="M291" s="37"/>
      <c r="N291" s="37"/>
      <c r="O291" s="38"/>
      <c r="P291" s="19">
        <f t="shared" si="2"/>
        <v>0</v>
      </c>
    </row>
    <row r="292" ht="22.5" customHeight="1">
      <c r="A292" s="34"/>
      <c r="B292" s="35"/>
      <c r="C292" s="46"/>
      <c r="D292" s="36"/>
      <c r="E292" s="37"/>
      <c r="F292" s="37"/>
      <c r="G292" s="38"/>
      <c r="I292" s="47"/>
      <c r="J292" s="48"/>
      <c r="K292" s="36"/>
      <c r="L292" s="36"/>
      <c r="M292" s="37"/>
      <c r="N292" s="37"/>
      <c r="O292" s="38"/>
      <c r="P292" s="19">
        <f t="shared" si="2"/>
        <v>0</v>
      </c>
    </row>
    <row r="293" ht="22.5" customHeight="1">
      <c r="A293" s="34"/>
      <c r="B293" s="35"/>
      <c r="C293" s="36"/>
      <c r="D293" s="36"/>
      <c r="E293" s="37"/>
      <c r="F293" s="37"/>
      <c r="G293" s="38"/>
      <c r="I293" s="47"/>
      <c r="J293" s="48"/>
      <c r="K293" s="46"/>
      <c r="L293" s="36"/>
      <c r="M293" s="37"/>
      <c r="N293" s="37"/>
      <c r="O293" s="38"/>
      <c r="P293" s="19">
        <f t="shared" si="2"/>
        <v>0</v>
      </c>
    </row>
    <row r="294" ht="22.5" customHeight="1">
      <c r="A294" s="34"/>
      <c r="B294" s="35"/>
      <c r="C294" s="36"/>
      <c r="D294" s="36"/>
      <c r="E294" s="37"/>
      <c r="F294" s="37"/>
      <c r="G294" s="38"/>
      <c r="I294" s="47"/>
      <c r="J294" s="48"/>
      <c r="K294" s="46"/>
      <c r="L294" s="36"/>
      <c r="M294" s="37"/>
      <c r="N294" s="37"/>
      <c r="O294" s="38"/>
      <c r="P294" s="19">
        <f t="shared" si="2"/>
        <v>0</v>
      </c>
    </row>
    <row r="295" ht="22.5" customHeight="1">
      <c r="A295" s="34"/>
      <c r="B295" s="35"/>
      <c r="C295" s="36"/>
      <c r="D295" s="36"/>
      <c r="E295" s="37"/>
      <c r="F295" s="37"/>
      <c r="G295" s="38"/>
      <c r="I295" s="47"/>
      <c r="J295" s="48"/>
      <c r="K295" s="46"/>
      <c r="L295" s="36"/>
      <c r="M295" s="37"/>
      <c r="N295" s="37"/>
      <c r="O295" s="38"/>
      <c r="P295" s="19">
        <f t="shared" si="2"/>
        <v>0</v>
      </c>
    </row>
    <row r="296" ht="22.5" customHeight="1">
      <c r="A296" s="34"/>
      <c r="B296" s="35"/>
      <c r="C296" s="36"/>
      <c r="D296" s="36"/>
      <c r="E296" s="37"/>
      <c r="F296" s="37"/>
      <c r="G296" s="38"/>
      <c r="I296" s="47"/>
      <c r="J296" s="48"/>
      <c r="K296" s="46"/>
      <c r="L296" s="36"/>
      <c r="M296" s="37"/>
      <c r="N296" s="37"/>
      <c r="O296" s="38"/>
      <c r="P296" s="19">
        <f t="shared" si="2"/>
        <v>0</v>
      </c>
    </row>
    <row r="297" ht="22.5" customHeight="1">
      <c r="A297" s="34"/>
      <c r="B297" s="35"/>
      <c r="C297" s="46"/>
      <c r="D297" s="36"/>
      <c r="E297" s="37"/>
      <c r="F297" s="37"/>
      <c r="G297" s="38"/>
      <c r="I297" s="47"/>
      <c r="J297" s="48"/>
      <c r="K297" s="46"/>
      <c r="L297" s="36"/>
      <c r="M297" s="37"/>
      <c r="N297" s="37"/>
      <c r="O297" s="38"/>
      <c r="P297" s="19">
        <f t="shared" si="2"/>
        <v>0</v>
      </c>
    </row>
    <row r="298" ht="22.5" customHeight="1">
      <c r="A298" s="34"/>
      <c r="B298" s="35"/>
      <c r="C298" s="46"/>
      <c r="D298" s="36"/>
      <c r="E298" s="37"/>
      <c r="F298" s="37"/>
      <c r="G298" s="38"/>
      <c r="I298" s="47"/>
      <c r="J298" s="48"/>
      <c r="K298" s="46"/>
      <c r="L298" s="36"/>
      <c r="M298" s="37"/>
      <c r="N298" s="37"/>
      <c r="O298" s="38"/>
      <c r="P298" s="19">
        <f t="shared" si="2"/>
        <v>0</v>
      </c>
    </row>
    <row r="299" ht="22.5" customHeight="1">
      <c r="A299" s="34"/>
      <c r="B299" s="35"/>
      <c r="C299" s="46"/>
      <c r="D299" s="36"/>
      <c r="E299" s="37"/>
      <c r="F299" s="37"/>
      <c r="G299" s="38"/>
      <c r="I299" s="47"/>
      <c r="J299" s="48"/>
      <c r="K299" s="36"/>
      <c r="L299" s="36"/>
      <c r="M299" s="37"/>
      <c r="N299" s="37"/>
      <c r="O299" s="38"/>
      <c r="P299" s="19">
        <f t="shared" si="2"/>
        <v>0</v>
      </c>
    </row>
    <row r="300" ht="22.5" customHeight="1">
      <c r="A300" s="34"/>
      <c r="B300" s="35"/>
      <c r="C300" s="46"/>
      <c r="D300" s="36"/>
      <c r="E300" s="37"/>
      <c r="F300" s="37"/>
      <c r="G300" s="38"/>
      <c r="I300" s="47"/>
      <c r="J300" s="48"/>
      <c r="K300" s="36"/>
      <c r="L300" s="36"/>
      <c r="M300" s="37"/>
      <c r="N300" s="37"/>
      <c r="O300" s="38"/>
      <c r="P300" s="19">
        <f t="shared" si="2"/>
        <v>0</v>
      </c>
    </row>
    <row r="301" ht="22.5" customHeight="1">
      <c r="A301" s="34"/>
      <c r="B301" s="35"/>
      <c r="C301" s="46"/>
      <c r="D301" s="36"/>
      <c r="E301" s="37"/>
      <c r="F301" s="37"/>
      <c r="G301" s="38"/>
      <c r="I301" s="47"/>
      <c r="J301" s="48"/>
      <c r="K301" s="36"/>
      <c r="L301" s="36"/>
      <c r="M301" s="37"/>
      <c r="N301" s="37"/>
      <c r="O301" s="38"/>
      <c r="P301" s="19">
        <f t="shared" si="2"/>
        <v>0</v>
      </c>
    </row>
    <row r="302" ht="22.5" customHeight="1">
      <c r="A302" s="34"/>
      <c r="B302" s="35"/>
      <c r="C302" s="46"/>
      <c r="D302" s="36"/>
      <c r="E302" s="37"/>
      <c r="F302" s="37"/>
      <c r="G302" s="38"/>
      <c r="I302" s="47"/>
      <c r="J302" s="48"/>
      <c r="K302" s="36"/>
      <c r="L302" s="36"/>
      <c r="M302" s="37"/>
      <c r="N302" s="37"/>
      <c r="O302" s="38"/>
      <c r="P302" s="19">
        <f t="shared" si="2"/>
        <v>0</v>
      </c>
    </row>
    <row r="303" ht="22.5" customHeight="1">
      <c r="A303" s="34"/>
      <c r="B303" s="35"/>
      <c r="C303" s="46"/>
      <c r="D303" s="36"/>
      <c r="E303" s="37"/>
      <c r="F303" s="37"/>
      <c r="G303" s="38"/>
      <c r="I303" s="47"/>
      <c r="J303" s="48"/>
      <c r="K303" s="36"/>
      <c r="L303" s="36"/>
      <c r="M303" s="37"/>
      <c r="N303" s="37"/>
      <c r="O303" s="38"/>
      <c r="P303" s="19">
        <f t="shared" si="2"/>
        <v>0</v>
      </c>
    </row>
    <row r="304" ht="22.5" customHeight="1">
      <c r="A304" s="34"/>
      <c r="B304" s="35"/>
      <c r="C304" s="46"/>
      <c r="D304" s="36"/>
      <c r="E304" s="37"/>
      <c r="F304" s="37"/>
      <c r="G304" s="38"/>
      <c r="I304" s="47"/>
      <c r="J304" s="48"/>
      <c r="K304" s="36"/>
      <c r="L304" s="36"/>
      <c r="M304" s="37"/>
      <c r="N304" s="37"/>
      <c r="O304" s="38"/>
      <c r="P304" s="19">
        <f t="shared" si="2"/>
        <v>0</v>
      </c>
    </row>
    <row r="305" ht="22.5" customHeight="1">
      <c r="A305" s="34"/>
      <c r="B305" s="35"/>
      <c r="C305" s="46"/>
      <c r="D305" s="36"/>
      <c r="E305" s="37"/>
      <c r="F305" s="37"/>
      <c r="G305" s="38"/>
      <c r="I305" s="47"/>
      <c r="J305" s="48"/>
      <c r="K305" s="36"/>
      <c r="L305" s="36"/>
      <c r="M305" s="37"/>
      <c r="N305" s="37"/>
      <c r="O305" s="38"/>
      <c r="P305" s="19">
        <f t="shared" si="2"/>
        <v>0</v>
      </c>
    </row>
    <row r="306" ht="22.5" customHeight="1">
      <c r="A306" s="34"/>
      <c r="B306" s="35"/>
      <c r="C306" s="46"/>
      <c r="D306" s="36"/>
      <c r="E306" s="37"/>
      <c r="F306" s="37"/>
      <c r="G306" s="38"/>
      <c r="I306" s="47"/>
      <c r="J306" s="48"/>
      <c r="K306" s="36"/>
      <c r="L306" s="36"/>
      <c r="M306" s="37"/>
      <c r="N306" s="37"/>
      <c r="O306" s="38"/>
      <c r="P306" s="19">
        <f t="shared" si="2"/>
        <v>0</v>
      </c>
    </row>
    <row r="307" ht="22.5" customHeight="1">
      <c r="A307" s="34"/>
      <c r="B307" s="35"/>
      <c r="C307" s="46"/>
      <c r="D307" s="36"/>
      <c r="E307" s="37"/>
      <c r="F307" s="37"/>
      <c r="G307" s="38"/>
      <c r="I307" s="47"/>
      <c r="J307" s="48"/>
      <c r="K307" s="36"/>
      <c r="L307" s="36"/>
      <c r="M307" s="37"/>
      <c r="N307" s="37"/>
      <c r="O307" s="38"/>
      <c r="P307" s="19">
        <f t="shared" si="2"/>
        <v>0</v>
      </c>
    </row>
    <row r="308" ht="22.5" customHeight="1">
      <c r="A308" s="34"/>
      <c r="B308" s="35"/>
      <c r="C308" s="46"/>
      <c r="D308" s="36"/>
      <c r="E308" s="37"/>
      <c r="F308" s="37"/>
      <c r="G308" s="38"/>
      <c r="I308" s="47"/>
      <c r="J308" s="48"/>
      <c r="K308" s="36"/>
      <c r="L308" s="36"/>
      <c r="M308" s="37"/>
      <c r="N308" s="37"/>
      <c r="O308" s="38"/>
      <c r="P308" s="19">
        <f t="shared" si="2"/>
        <v>0</v>
      </c>
    </row>
    <row r="309" ht="22.5" customHeight="1">
      <c r="A309" s="34"/>
      <c r="B309" s="35"/>
      <c r="C309" s="46"/>
      <c r="D309" s="36"/>
      <c r="E309" s="37"/>
      <c r="F309" s="37"/>
      <c r="G309" s="38"/>
      <c r="I309" s="47"/>
      <c r="J309" s="48"/>
      <c r="K309" s="36"/>
      <c r="L309" s="36"/>
      <c r="M309" s="37"/>
      <c r="N309" s="37"/>
      <c r="O309" s="38"/>
      <c r="P309" s="19">
        <f t="shared" si="2"/>
        <v>0</v>
      </c>
    </row>
    <row r="310" ht="22.5" customHeight="1">
      <c r="A310" s="34"/>
      <c r="B310" s="35"/>
      <c r="C310" s="46"/>
      <c r="D310" s="36"/>
      <c r="E310" s="37"/>
      <c r="F310" s="37"/>
      <c r="G310" s="38"/>
      <c r="I310" s="47"/>
      <c r="J310" s="48"/>
      <c r="K310" s="36"/>
      <c r="L310" s="36"/>
      <c r="M310" s="37"/>
      <c r="N310" s="37"/>
      <c r="O310" s="38"/>
      <c r="P310" s="19">
        <f t="shared" si="2"/>
        <v>0</v>
      </c>
    </row>
    <row r="311" ht="22.5" customHeight="1">
      <c r="A311" s="34"/>
      <c r="B311" s="35"/>
      <c r="C311" s="46"/>
      <c r="D311" s="36"/>
      <c r="E311" s="37"/>
      <c r="F311" s="37"/>
      <c r="G311" s="38"/>
      <c r="I311" s="47"/>
      <c r="J311" s="48"/>
      <c r="K311" s="36"/>
      <c r="L311" s="36"/>
      <c r="M311" s="37"/>
      <c r="N311" s="37"/>
      <c r="O311" s="38"/>
      <c r="P311" s="19">
        <f t="shared" si="2"/>
        <v>0</v>
      </c>
    </row>
    <row r="312" ht="22.5" customHeight="1">
      <c r="A312" s="34"/>
      <c r="B312" s="35"/>
      <c r="C312" s="46"/>
      <c r="D312" s="36"/>
      <c r="E312" s="37"/>
      <c r="F312" s="37"/>
      <c r="G312" s="38"/>
      <c r="I312" s="47"/>
      <c r="J312" s="48"/>
      <c r="K312" s="36"/>
      <c r="L312" s="36"/>
      <c r="M312" s="37"/>
      <c r="N312" s="37"/>
      <c r="O312" s="38"/>
      <c r="P312" s="19">
        <f t="shared" si="2"/>
        <v>0</v>
      </c>
    </row>
    <row r="313" ht="22.5" customHeight="1">
      <c r="A313" s="34"/>
      <c r="B313" s="35"/>
      <c r="C313" s="46"/>
      <c r="D313" s="36"/>
      <c r="E313" s="37"/>
      <c r="F313" s="37"/>
      <c r="G313" s="38"/>
      <c r="I313" s="47"/>
      <c r="J313" s="48"/>
      <c r="K313" s="46"/>
      <c r="L313" s="36"/>
      <c r="M313" s="37"/>
      <c r="N313" s="37"/>
      <c r="O313" s="38"/>
      <c r="P313" s="19">
        <f t="shared" si="2"/>
        <v>0</v>
      </c>
    </row>
    <row r="314" ht="22.5" customHeight="1">
      <c r="A314" s="34"/>
      <c r="B314" s="35"/>
      <c r="C314" s="46"/>
      <c r="D314" s="36"/>
      <c r="E314" s="37"/>
      <c r="F314" s="37"/>
      <c r="G314" s="38"/>
      <c r="I314" s="47"/>
      <c r="J314" s="48"/>
      <c r="K314" s="46"/>
      <c r="L314" s="36"/>
      <c r="M314" s="37"/>
      <c r="N314" s="37"/>
      <c r="O314" s="38"/>
      <c r="P314" s="19">
        <f t="shared" si="2"/>
        <v>0</v>
      </c>
    </row>
    <row r="315" ht="22.5" customHeight="1">
      <c r="A315" s="34"/>
      <c r="B315" s="35"/>
      <c r="C315" s="46"/>
      <c r="D315" s="36"/>
      <c r="E315" s="37"/>
      <c r="F315" s="37"/>
      <c r="G315" s="38"/>
      <c r="I315" s="47"/>
      <c r="J315" s="48"/>
      <c r="K315" s="46"/>
      <c r="L315" s="36"/>
      <c r="M315" s="37"/>
      <c r="N315" s="37"/>
      <c r="O315" s="38"/>
      <c r="P315" s="19">
        <f t="shared" si="2"/>
        <v>0</v>
      </c>
    </row>
    <row r="316" ht="22.5" customHeight="1">
      <c r="A316" s="34"/>
      <c r="B316" s="35"/>
      <c r="C316" s="46"/>
      <c r="D316" s="36"/>
      <c r="E316" s="37"/>
      <c r="F316" s="37"/>
      <c r="G316" s="38"/>
      <c r="I316" s="47"/>
      <c r="J316" s="48"/>
      <c r="K316" s="46"/>
      <c r="L316" s="36"/>
      <c r="M316" s="37"/>
      <c r="N316" s="37"/>
      <c r="O316" s="38"/>
      <c r="P316" s="19">
        <f t="shared" si="2"/>
        <v>0</v>
      </c>
    </row>
    <row r="317" ht="22.5" customHeight="1">
      <c r="A317" s="34"/>
      <c r="B317" s="35"/>
      <c r="C317" s="46"/>
      <c r="D317" s="36"/>
      <c r="E317" s="37"/>
      <c r="F317" s="37"/>
      <c r="G317" s="38"/>
      <c r="I317" s="47"/>
      <c r="J317" s="48"/>
      <c r="K317" s="36"/>
      <c r="L317" s="36"/>
      <c r="M317" s="37"/>
      <c r="N317" s="37"/>
      <c r="O317" s="38"/>
      <c r="P317" s="19">
        <f t="shared" si="2"/>
        <v>0</v>
      </c>
    </row>
    <row r="318" ht="22.5" customHeight="1">
      <c r="A318" s="34"/>
      <c r="B318" s="35"/>
      <c r="C318" s="36"/>
      <c r="D318" s="36"/>
      <c r="E318" s="37"/>
      <c r="F318" s="37"/>
      <c r="G318" s="38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4"/>
      <c r="B319" s="35"/>
      <c r="C319" s="36"/>
      <c r="D319" s="36"/>
      <c r="E319" s="37"/>
      <c r="F319" s="37"/>
      <c r="G319" s="38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6"/>
      <c r="D320" s="36"/>
      <c r="E320" s="37"/>
      <c r="F320" s="37"/>
      <c r="G320" s="38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6"/>
      <c r="D321" s="36"/>
      <c r="E321" s="37"/>
      <c r="F321" s="37"/>
      <c r="G321" s="38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6"/>
      <c r="D322" s="36"/>
      <c r="E322" s="37"/>
      <c r="F322" s="37"/>
      <c r="G322" s="38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6"/>
      <c r="D323" s="36"/>
      <c r="E323" s="37"/>
      <c r="F323" s="37"/>
      <c r="G323" s="38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6"/>
      <c r="D324" s="36"/>
      <c r="E324" s="37"/>
      <c r="F324" s="37"/>
      <c r="G324" s="38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6"/>
      <c r="D325" s="36"/>
      <c r="E325" s="37"/>
      <c r="F325" s="37"/>
      <c r="G325" s="38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6"/>
      <c r="D326" s="36"/>
      <c r="E326" s="37"/>
      <c r="F326" s="37"/>
      <c r="G326" s="38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6"/>
      <c r="D327" s="36"/>
      <c r="E327" s="37"/>
      <c r="F327" s="37"/>
      <c r="G327" s="38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6"/>
      <c r="E328" s="37"/>
      <c r="F328" s="37"/>
      <c r="G328" s="38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6"/>
      <c r="E329" s="37"/>
      <c r="F329" s="37"/>
      <c r="G329" s="38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6"/>
      <c r="E330" s="37"/>
      <c r="F330" s="37"/>
      <c r="G330" s="38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6"/>
      <c r="E331" s="37"/>
      <c r="F331" s="37"/>
      <c r="G331" s="38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6"/>
      <c r="E332" s="37"/>
      <c r="F332" s="37"/>
      <c r="G332" s="38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6"/>
      <c r="E333" s="37"/>
      <c r="F333" s="37"/>
      <c r="G333" s="38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6"/>
      <c r="D334" s="36"/>
      <c r="E334" s="37"/>
      <c r="F334" s="37"/>
      <c r="G334" s="38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6"/>
      <c r="D335" s="36"/>
      <c r="E335" s="37"/>
      <c r="F335" s="37"/>
      <c r="G335" s="38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6"/>
      <c r="D336" s="36"/>
      <c r="E336" s="37"/>
      <c r="F336" s="37"/>
      <c r="G336" s="38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6"/>
      <c r="D337" s="36"/>
      <c r="E337" s="37"/>
      <c r="F337" s="37"/>
      <c r="G337" s="38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6"/>
      <c r="D338" s="36"/>
      <c r="E338" s="37"/>
      <c r="F338" s="37"/>
      <c r="G338" s="38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6"/>
      <c r="D339" s="36"/>
      <c r="E339" s="37"/>
      <c r="F339" s="37"/>
      <c r="G339" s="38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6"/>
      <c r="D340" s="36"/>
      <c r="E340" s="37"/>
      <c r="F340" s="37"/>
      <c r="G340" s="38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6"/>
      <c r="D341" s="36"/>
      <c r="E341" s="37"/>
      <c r="F341" s="37"/>
      <c r="G341" s="38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6"/>
      <c r="D342" s="36"/>
      <c r="E342" s="37"/>
      <c r="F342" s="37"/>
      <c r="G342" s="38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6"/>
      <c r="D343" s="36"/>
      <c r="E343" s="37"/>
      <c r="F343" s="37"/>
      <c r="G343" s="38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6"/>
      <c r="D344" s="36"/>
      <c r="E344" s="37"/>
      <c r="F344" s="37"/>
      <c r="G344" s="38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6"/>
      <c r="D345" s="36"/>
      <c r="E345" s="37"/>
      <c r="F345" s="37"/>
      <c r="G345" s="38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6"/>
      <c r="D346" s="36"/>
      <c r="E346" s="37"/>
      <c r="F346" s="37"/>
      <c r="G346" s="38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6"/>
      <c r="D347" s="36"/>
      <c r="E347" s="37"/>
      <c r="F347" s="37"/>
      <c r="G347" s="38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6"/>
      <c r="E348" s="37"/>
      <c r="F348" s="37"/>
      <c r="G348" s="38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6"/>
      <c r="E349" s="37"/>
      <c r="F349" s="37"/>
      <c r="G349" s="38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6"/>
      <c r="E350" s="37"/>
      <c r="F350" s="37"/>
      <c r="G350" s="38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6"/>
      <c r="E351" s="37"/>
      <c r="F351" s="37"/>
      <c r="G351" s="38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6"/>
      <c r="D352" s="36"/>
      <c r="E352" s="37"/>
      <c r="F352" s="37"/>
      <c r="G352" s="38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39"/>
      <c r="C395" s="49"/>
      <c r="D395" s="40"/>
      <c r="E395" s="41"/>
      <c r="F395" s="42"/>
      <c r="G395" s="43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39"/>
      <c r="K457" s="49"/>
      <c r="L457" s="40"/>
      <c r="M457" s="41"/>
      <c r="N457" s="42"/>
      <c r="O457" s="43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39"/>
      <c r="K553" s="40"/>
      <c r="L553" s="40"/>
      <c r="M553" s="41"/>
      <c r="N553" s="42"/>
      <c r="O553" s="43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39"/>
      <c r="C617" s="49"/>
      <c r="D617" s="40"/>
      <c r="E617" s="41"/>
      <c r="F617" s="42"/>
      <c r="G617" s="43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39"/>
      <c r="K648" s="40"/>
      <c r="L648" s="40"/>
      <c r="M648" s="41"/>
      <c r="N648" s="42"/>
      <c r="O648" s="43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39"/>
      <c r="C713" s="40"/>
      <c r="D713" s="40"/>
      <c r="E713" s="41"/>
      <c r="F713" s="42"/>
      <c r="G713" s="43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39"/>
      <c r="C808" s="40"/>
      <c r="D808" s="40"/>
      <c r="E808" s="41"/>
      <c r="F808" s="42"/>
      <c r="G808" s="43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>
      <c r="D9" s="66"/>
    </row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34</v>
      </c>
      <c r="I1" s="69">
        <f>countifs(B:B,"&lt;&gt;",F:F,"&lt;&gt;")-1</f>
        <v>6</v>
      </c>
      <c r="K1" s="6" t="s">
        <v>35</v>
      </c>
      <c r="L1" s="6" t="s">
        <v>36</v>
      </c>
      <c r="M1" s="6" t="s">
        <v>13</v>
      </c>
    </row>
    <row r="2">
      <c r="H2" s="68" t="s">
        <v>37</v>
      </c>
      <c r="I2" s="69">
        <f t="array" ref="I2">(COUNTA(UNIQUE(C:C))-1)</f>
        <v>6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  <c r="N2" s="71"/>
    </row>
    <row r="3">
      <c r="H3" s="68" t="s">
        <v>38</v>
      </c>
      <c r="I3" s="69">
        <f>sum(F:F)</f>
        <v>126600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26400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66000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34</v>
      </c>
      <c r="I1" s="69">
        <f>countifs(B:B,"&lt;&gt;",F:F,"&lt;&gt;")-1</f>
        <v>0</v>
      </c>
      <c r="K1" s="74" t="s">
        <v>35</v>
      </c>
      <c r="L1" s="74" t="s">
        <v>36</v>
      </c>
      <c r="M1" s="74" t="s">
        <v>13</v>
      </c>
    </row>
    <row r="2">
      <c r="H2" s="68" t="s">
        <v>37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38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34</v>
      </c>
      <c r="I1" s="69">
        <f>countifs(B:B,"&lt;&gt;",F:F,"&lt;&gt;")-1</f>
        <v>0</v>
      </c>
      <c r="K1" s="74" t="s">
        <v>35</v>
      </c>
      <c r="L1" s="74" t="s">
        <v>39</v>
      </c>
      <c r="M1" s="74" t="s">
        <v>13</v>
      </c>
    </row>
    <row r="2">
      <c r="H2" s="68" t="s">
        <v>37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38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34</v>
      </c>
      <c r="I1" s="69">
        <f>countifs(B:B,"&lt;&gt;",F:F,"&lt;&gt;")-1</f>
        <v>0</v>
      </c>
      <c r="K1" s="74" t="s">
        <v>35</v>
      </c>
      <c r="L1" s="74" t="s">
        <v>36</v>
      </c>
    </row>
    <row r="2">
      <c r="H2" s="68" t="s">
        <v>37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38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34</v>
      </c>
      <c r="I1" s="69">
        <f>countifs(B:B,"&lt;&gt;",F:F,"&lt;&gt;")-1</f>
        <v>0</v>
      </c>
      <c r="K1" s="74" t="s">
        <v>35</v>
      </c>
      <c r="L1" s="74" t="s">
        <v>36</v>
      </c>
    </row>
    <row r="2">
      <c r="H2" s="68" t="s">
        <v>37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38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40</v>
      </c>
      <c r="C1" s="68" t="s">
        <v>36</v>
      </c>
      <c r="D1" s="68" t="s">
        <v>41</v>
      </c>
      <c r="E1" s="68" t="s">
        <v>42</v>
      </c>
      <c r="F1" s="76"/>
    </row>
    <row r="2">
      <c r="A2" s="77" t="s">
        <v>17</v>
      </c>
      <c r="B2" s="78" t="s">
        <v>34</v>
      </c>
      <c r="C2" s="79"/>
      <c r="D2" s="79"/>
      <c r="E2" s="80">
        <f>'Dala Sales &amp; Deliveries'!I1+'External Delivery Fulfillment'!I1</f>
        <v>6</v>
      </c>
      <c r="F2" s="76"/>
    </row>
    <row r="3">
      <c r="A3" s="81"/>
      <c r="B3" s="78" t="s">
        <v>43</v>
      </c>
      <c r="C3" s="79"/>
      <c r="D3" s="79"/>
      <c r="E3" s="80">
        <f>'Raw Data'!AX2</f>
        <v>4</v>
      </c>
      <c r="F3" s="76"/>
    </row>
    <row r="4">
      <c r="B4" s="82" t="s">
        <v>44</v>
      </c>
      <c r="C4" s="76"/>
      <c r="D4" s="76"/>
      <c r="E4" s="83">
        <f>'Dala Sales &amp; Deliveries'!I3</f>
        <v>126600</v>
      </c>
      <c r="F4" s="76"/>
    </row>
    <row r="5">
      <c r="B5" s="82" t="s">
        <v>45</v>
      </c>
      <c r="C5" s="76"/>
      <c r="D5" s="76"/>
      <c r="E5" s="83"/>
      <c r="F5" s="76"/>
    </row>
    <row r="6">
      <c r="A6" s="84"/>
      <c r="B6" s="85" t="s">
        <v>46</v>
      </c>
      <c r="C6" s="86"/>
      <c r="D6" s="87"/>
      <c r="E6" s="88">
        <f>sum(E4:E5)</f>
        <v>126600</v>
      </c>
      <c r="F6" s="76"/>
    </row>
    <row r="7">
      <c r="A7" s="77" t="s">
        <v>47</v>
      </c>
      <c r="B7" s="78" t="s">
        <v>48</v>
      </c>
      <c r="C7" s="79"/>
      <c r="D7" s="89"/>
      <c r="E7" s="90">
        <v>0.0</v>
      </c>
    </row>
    <row r="8">
      <c r="A8" s="84"/>
      <c r="B8" s="85" t="s">
        <v>49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50</v>
      </c>
      <c r="B9" s="85" t="s">
        <v>51</v>
      </c>
      <c r="C9" s="86"/>
      <c r="D9" s="87"/>
      <c r="E9" s="88">
        <f>E6-E7-E8</f>
        <v>126600</v>
      </c>
    </row>
    <row r="10">
      <c r="A10" s="77" t="s">
        <v>52</v>
      </c>
      <c r="B10" s="78" t="s">
        <v>53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49</v>
      </c>
      <c r="C11" s="96"/>
      <c r="D11" s="89"/>
      <c r="E11" s="95">
        <v>0.0</v>
      </c>
    </row>
    <row r="12">
      <c r="A12" s="81"/>
      <c r="B12" s="97" t="s">
        <v>54</v>
      </c>
      <c r="C12" s="79"/>
      <c r="D12" s="98" t="s">
        <v>55</v>
      </c>
      <c r="E12" s="95">
        <f>C21+C25</f>
        <v>0</v>
      </c>
    </row>
    <row r="13">
      <c r="A13" s="81"/>
      <c r="B13" s="78" t="s">
        <v>56</v>
      </c>
      <c r="C13" s="89"/>
      <c r="D13" s="89"/>
      <c r="E13" s="90">
        <v>0.0</v>
      </c>
    </row>
    <row r="14">
      <c r="A14" s="81"/>
      <c r="B14" s="78" t="s">
        <v>57</v>
      </c>
      <c r="C14" s="89"/>
      <c r="D14" s="89"/>
      <c r="E14" s="95">
        <f>C29</f>
        <v>0</v>
      </c>
    </row>
    <row r="15">
      <c r="A15" s="84"/>
      <c r="B15" s="85" t="s">
        <v>58</v>
      </c>
      <c r="C15" s="87"/>
      <c r="D15" s="87"/>
      <c r="E15" s="88">
        <f>sum(E10:E14)</f>
        <v>0</v>
      </c>
      <c r="H15" s="1"/>
      <c r="I15" s="1"/>
    </row>
    <row r="16">
      <c r="A16" s="92" t="s">
        <v>59</v>
      </c>
      <c r="B16" s="85" t="s">
        <v>60</v>
      </c>
      <c r="C16" s="87"/>
      <c r="D16" s="87"/>
      <c r="E16" s="88">
        <f>E9-E15+C35</f>
        <v>126600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61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62</v>
      </c>
      <c r="C20" s="102">
        <f>U68</f>
        <v>0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63</v>
      </c>
      <c r="C21" s="102">
        <f>V68</f>
        <v>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64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65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66</v>
      </c>
      <c r="C24" s="102">
        <f>67</f>
        <v>67</v>
      </c>
      <c r="H24" s="1"/>
      <c r="I24" s="1"/>
    </row>
    <row r="25">
      <c r="A25" s="101"/>
      <c r="B25" s="68" t="s">
        <v>67</v>
      </c>
      <c r="C25" s="105">
        <f>P68</f>
        <v>0</v>
      </c>
      <c r="H25" s="1"/>
      <c r="I25" s="1"/>
    </row>
    <row r="26">
      <c r="A26" s="101"/>
      <c r="B26" s="68" t="s">
        <v>68</v>
      </c>
      <c r="C26" s="69">
        <f>Q68</f>
        <v>0</v>
      </c>
      <c r="H26" s="1"/>
      <c r="I26" s="1"/>
    </row>
    <row r="27">
      <c r="A27" s="101"/>
      <c r="B27" s="68" t="s">
        <v>69</v>
      </c>
      <c r="C27" s="69">
        <f>R68</f>
        <v>0</v>
      </c>
      <c r="H27" s="1"/>
      <c r="I27" s="1"/>
    </row>
    <row r="28">
      <c r="A28" s="101"/>
      <c r="B28" s="68" t="s">
        <v>70</v>
      </c>
      <c r="C28" s="102">
        <f>F68</f>
        <v>0</v>
      </c>
      <c r="D28" s="1"/>
      <c r="H28" s="1"/>
      <c r="I28" s="1"/>
    </row>
    <row r="29">
      <c r="A29" s="101"/>
      <c r="B29" s="68" t="s">
        <v>71</v>
      </c>
      <c r="C29" s="102">
        <v>0.0</v>
      </c>
      <c r="D29" s="1"/>
      <c r="H29" s="1"/>
      <c r="I29" s="1"/>
    </row>
    <row r="30">
      <c r="A30" s="101"/>
      <c r="B30" s="68" t="s">
        <v>72</v>
      </c>
      <c r="C30" s="102">
        <f>I68</f>
        <v>0</v>
      </c>
      <c r="D30" s="101"/>
      <c r="H30" s="1"/>
      <c r="I30" s="1"/>
    </row>
    <row r="31">
      <c r="A31" s="101"/>
      <c r="B31" s="68" t="s">
        <v>73</v>
      </c>
      <c r="C31" s="102">
        <v>0.0</v>
      </c>
      <c r="D31" s="101"/>
      <c r="H31" s="1"/>
      <c r="I31" s="1"/>
    </row>
    <row r="32">
      <c r="B32" s="68" t="s">
        <v>74</v>
      </c>
      <c r="C32" s="102">
        <f>L68</f>
        <v>0</v>
      </c>
    </row>
    <row r="33">
      <c r="B33" s="68" t="s">
        <v>75</v>
      </c>
      <c r="C33" s="69">
        <f>K68</f>
        <v>11.5</v>
      </c>
    </row>
    <row r="34">
      <c r="B34" s="68" t="s">
        <v>76</v>
      </c>
      <c r="C34" s="102">
        <v>0.0</v>
      </c>
    </row>
    <row r="35">
      <c r="B35" s="68" t="s">
        <v>77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78</v>
      </c>
      <c r="C38" s="68" t="s">
        <v>79</v>
      </c>
      <c r="D38" s="68" t="s">
        <v>80</v>
      </c>
      <c r="E38" s="68" t="s">
        <v>81</v>
      </c>
      <c r="F38" s="74" t="s">
        <v>82</v>
      </c>
      <c r="G38" s="74" t="s">
        <v>83</v>
      </c>
      <c r="H38" s="74" t="s">
        <v>84</v>
      </c>
      <c r="I38" s="74" t="s">
        <v>85</v>
      </c>
      <c r="J38" s="74" t="s">
        <v>86</v>
      </c>
      <c r="K38" s="74" t="s">
        <v>87</v>
      </c>
      <c r="L38" s="74" t="s">
        <v>74</v>
      </c>
      <c r="M38" s="74" t="s">
        <v>76</v>
      </c>
      <c r="N38" s="74" t="s">
        <v>88</v>
      </c>
      <c r="O38" s="74" t="s">
        <v>89</v>
      </c>
      <c r="P38" s="74" t="s">
        <v>90</v>
      </c>
      <c r="Q38" s="74" t="s">
        <v>91</v>
      </c>
      <c r="R38" s="74" t="s">
        <v>92</v>
      </c>
      <c r="S38" s="74" t="s">
        <v>93</v>
      </c>
      <c r="T38" s="74" t="s">
        <v>65</v>
      </c>
      <c r="U38" s="74" t="s">
        <v>94</v>
      </c>
      <c r="V38" s="74" t="s">
        <v>95</v>
      </c>
      <c r="W38" s="74" t="s">
        <v>96</v>
      </c>
    </row>
    <row r="39">
      <c r="B39" s="106" t="s">
        <v>97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0.0</v>
      </c>
      <c r="L39" s="105">
        <f t="shared" ref="L39:L67" si="2">H39+U39+W39-O39-Q39-I39-J39</f>
        <v>0</v>
      </c>
      <c r="M39" s="69">
        <f t="shared" ref="M39:M67" si="3">K39-L39</f>
        <v>0</v>
      </c>
      <c r="N39" s="69">
        <f t="shared" ref="N39:N67" si="4">M39*C39</f>
        <v>0</v>
      </c>
      <c r="O39" s="69">
        <f>'Dala Sales &amp; Deliveries'!L2</f>
        <v>0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98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1.0</v>
      </c>
      <c r="L40" s="105">
        <f t="shared" si="2"/>
        <v>0</v>
      </c>
      <c r="M40" s="69">
        <f t="shared" si="3"/>
        <v>1</v>
      </c>
      <c r="N40" s="69">
        <f t="shared" si="4"/>
        <v>19500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15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0.0</v>
      </c>
      <c r="L41" s="105">
        <f t="shared" si="2"/>
        <v>0</v>
      </c>
      <c r="M41" s="69">
        <f t="shared" si="3"/>
        <v>0</v>
      </c>
      <c r="N41" s="69">
        <f t="shared" si="4"/>
        <v>0</v>
      </c>
      <c r="O41" s="69">
        <f>'Dala Sales &amp; Deliveries'!L4</f>
        <v>0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09" t="s">
        <v>99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1.0</v>
      </c>
      <c r="L42" s="105">
        <f t="shared" si="2"/>
        <v>0</v>
      </c>
      <c r="M42" s="69">
        <f t="shared" si="3"/>
        <v>1</v>
      </c>
      <c r="N42" s="69">
        <f t="shared" si="4"/>
        <v>13200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22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3.5</v>
      </c>
      <c r="L43" s="105">
        <f t="shared" si="2"/>
        <v>0</v>
      </c>
      <c r="M43" s="69">
        <f t="shared" si="3"/>
        <v>3.5</v>
      </c>
      <c r="N43" s="69">
        <f t="shared" si="4"/>
        <v>77000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09" t="s">
        <v>100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2.0</v>
      </c>
      <c r="L44" s="105">
        <f t="shared" si="2"/>
        <v>0</v>
      </c>
      <c r="M44" s="69">
        <f t="shared" si="3"/>
        <v>2</v>
      </c>
      <c r="N44" s="69">
        <f t="shared" si="4"/>
        <v>44000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101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102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0.0</v>
      </c>
      <c r="L46" s="105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103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11.5</v>
      </c>
      <c r="L68" s="113">
        <f t="shared" si="9"/>
        <v>0</v>
      </c>
      <c r="M68" s="113">
        <f t="shared" si="9"/>
        <v>11.5</v>
      </c>
      <c r="N68" s="113">
        <f t="shared" si="9"/>
        <v>222100</v>
      </c>
      <c r="O68" s="113">
        <f t="shared" si="9"/>
        <v>0</v>
      </c>
      <c r="P68" s="113">
        <f t="shared" si="9"/>
        <v>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0</v>
      </c>
      <c r="V68" s="69">
        <f t="shared" si="9"/>
        <v>0</v>
      </c>
      <c r="W68" s="69">
        <f t="shared" si="9"/>
        <v>0</v>
      </c>
    </row>
    <row r="69">
      <c r="C69" s="6" t="s">
        <v>104</v>
      </c>
      <c r="D69" s="6" t="s">
        <v>104</v>
      </c>
      <c r="E69" s="6" t="s">
        <v>104</v>
      </c>
      <c r="F69" s="6" t="s">
        <v>104</v>
      </c>
      <c r="G69" s="6" t="s">
        <v>104</v>
      </c>
      <c r="H69" s="6" t="s">
        <v>104</v>
      </c>
      <c r="I69" s="6" t="s">
        <v>104</v>
      </c>
      <c r="J69" s="6" t="s">
        <v>104</v>
      </c>
      <c r="K69" s="6" t="s">
        <v>104</v>
      </c>
      <c r="L69" s="6" t="s">
        <v>104</v>
      </c>
      <c r="M69" s="6" t="s">
        <v>104</v>
      </c>
      <c r="N69" s="6" t="s">
        <v>104</v>
      </c>
      <c r="O69" s="6" t="s">
        <v>104</v>
      </c>
      <c r="P69" s="6" t="s">
        <v>104</v>
      </c>
      <c r="Q69" s="6" t="s">
        <v>104</v>
      </c>
      <c r="R69" s="6" t="s">
        <v>104</v>
      </c>
      <c r="S69" s="6" t="s">
        <v>104</v>
      </c>
      <c r="T69" s="6" t="s">
        <v>104</v>
      </c>
      <c r="U69" s="6" t="s">
        <v>104</v>
      </c>
      <c r="V69" s="6" t="s">
        <v>104</v>
      </c>
      <c r="W69" s="6" t="s">
        <v>104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40</v>
      </c>
      <c r="C1" s="68" t="s">
        <v>36</v>
      </c>
      <c r="D1" s="68" t="s">
        <v>41</v>
      </c>
      <c r="E1" s="102" t="s">
        <v>42</v>
      </c>
      <c r="F1" s="76"/>
    </row>
    <row r="2">
      <c r="A2" s="77" t="s">
        <v>17</v>
      </c>
      <c r="B2" s="78" t="s">
        <v>34</v>
      </c>
      <c r="C2" s="79"/>
      <c r="D2" s="79"/>
      <c r="E2" s="80">
        <f>'Dala Sales &amp; Deliveries'!I1+'External Delivery Fulfillment'!I1+'Forwarding From Client'!I1</f>
        <v>6</v>
      </c>
      <c r="F2" s="76"/>
    </row>
    <row r="3">
      <c r="A3" s="81"/>
      <c r="B3" s="78" t="s">
        <v>43</v>
      </c>
      <c r="C3" s="79"/>
      <c r="D3" s="79"/>
      <c r="E3" s="80">
        <f>'Raw Data'!AX2</f>
        <v>4</v>
      </c>
      <c r="F3" s="76"/>
    </row>
    <row r="4">
      <c r="B4" s="114" t="s">
        <v>44</v>
      </c>
      <c r="C4" s="76"/>
      <c r="D4" s="76"/>
      <c r="E4" s="83">
        <f>'Dala Sales &amp; Deliveries'!I3</f>
        <v>126600</v>
      </c>
      <c r="F4" s="76"/>
    </row>
    <row r="5">
      <c r="B5" s="82" t="s">
        <v>45</v>
      </c>
      <c r="C5" s="76"/>
      <c r="D5" s="76"/>
      <c r="E5" s="83">
        <f>E4*1.075-E4</f>
        <v>9495</v>
      </c>
      <c r="F5" s="76"/>
    </row>
    <row r="6">
      <c r="A6" s="84"/>
      <c r="B6" s="85" t="s">
        <v>46</v>
      </c>
      <c r="C6" s="86"/>
      <c r="D6" s="87"/>
      <c r="E6" s="88">
        <f>sum(E4:E5)</f>
        <v>136095</v>
      </c>
      <c r="F6" s="76"/>
    </row>
    <row r="7">
      <c r="A7" s="77" t="s">
        <v>47</v>
      </c>
      <c r="B7" s="78" t="s">
        <v>48</v>
      </c>
      <c r="C7" s="79"/>
      <c r="D7" s="89"/>
      <c r="E7" s="115"/>
    </row>
    <row r="8">
      <c r="A8" s="81"/>
      <c r="B8" s="78" t="s">
        <v>54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49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52</v>
      </c>
      <c r="B10" s="78" t="s">
        <v>53</v>
      </c>
      <c r="C10" s="118"/>
      <c r="D10" s="95">
        <v>350000.0</v>
      </c>
      <c r="E10" s="95">
        <f>C10*D10</f>
        <v>0</v>
      </c>
    </row>
    <row r="11">
      <c r="A11" s="81"/>
      <c r="B11" s="97" t="s">
        <v>105</v>
      </c>
      <c r="C11" s="79"/>
      <c r="D11" s="98"/>
      <c r="E11" s="95">
        <f>V67</f>
        <v>0</v>
      </c>
    </row>
    <row r="12">
      <c r="A12" s="81"/>
      <c r="B12" s="97" t="s">
        <v>69</v>
      </c>
      <c r="C12" s="79"/>
      <c r="D12" s="98"/>
      <c r="E12" s="95">
        <f>C24</f>
        <v>0</v>
      </c>
    </row>
    <row r="13">
      <c r="A13" s="81"/>
      <c r="B13" s="78" t="s">
        <v>56</v>
      </c>
      <c r="C13" s="89"/>
      <c r="D13" s="89"/>
      <c r="E13" s="90">
        <v>0.0</v>
      </c>
    </row>
    <row r="14">
      <c r="A14" s="81"/>
      <c r="B14" s="78" t="s">
        <v>106</v>
      </c>
      <c r="C14" s="89"/>
      <c r="D14" s="89"/>
      <c r="E14" s="95">
        <f>C28</f>
        <v>0</v>
      </c>
    </row>
    <row r="15">
      <c r="A15" s="84"/>
      <c r="B15" s="85" t="s">
        <v>107</v>
      </c>
      <c r="C15" s="87"/>
      <c r="D15" s="87"/>
      <c r="E15" s="88">
        <f>sum(E10:E14)</f>
        <v>0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61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62</v>
      </c>
      <c r="C19" s="102">
        <f>U67</f>
        <v>0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63</v>
      </c>
      <c r="C20" s="102">
        <f>V67</f>
        <v>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64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65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66</v>
      </c>
      <c r="C23" s="102">
        <f>O67</f>
        <v>0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67</v>
      </c>
      <c r="C24" s="102">
        <f>P67</f>
        <v>0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68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69</v>
      </c>
      <c r="C26" s="102">
        <f>R67</f>
        <v>0</v>
      </c>
      <c r="D26" s="101"/>
    </row>
    <row r="27">
      <c r="A27" s="101"/>
      <c r="B27" s="68" t="s">
        <v>70</v>
      </c>
      <c r="C27" s="102">
        <f>F67</f>
        <v>0</v>
      </c>
      <c r="D27" s="101"/>
    </row>
    <row r="28">
      <c r="A28" s="101"/>
      <c r="B28" s="68" t="s">
        <v>71</v>
      </c>
      <c r="C28" s="102">
        <f>G67</f>
        <v>0</v>
      </c>
      <c r="D28" s="101"/>
    </row>
    <row r="29">
      <c r="A29" s="101"/>
      <c r="B29" s="68" t="s">
        <v>72</v>
      </c>
      <c r="C29" s="102">
        <f>I67</f>
        <v>0</v>
      </c>
      <c r="D29" s="101"/>
    </row>
    <row r="30">
      <c r="A30" s="101"/>
      <c r="B30" s="68" t="s">
        <v>108</v>
      </c>
      <c r="C30" s="102">
        <f>J67</f>
        <v>0</v>
      </c>
      <c r="D30" s="101"/>
    </row>
    <row r="31">
      <c r="A31" s="101"/>
      <c r="B31" s="68" t="s">
        <v>74</v>
      </c>
      <c r="C31" s="102">
        <f>L67</f>
        <v>0</v>
      </c>
      <c r="D31" s="101"/>
    </row>
    <row r="32">
      <c r="A32" s="101"/>
      <c r="B32" s="68" t="s">
        <v>75</v>
      </c>
      <c r="C32" s="102">
        <f>K67</f>
        <v>11.5</v>
      </c>
      <c r="D32" s="101"/>
    </row>
    <row r="33">
      <c r="A33" s="101"/>
      <c r="B33" s="68" t="s">
        <v>76</v>
      </c>
      <c r="C33" s="102">
        <v>0.0</v>
      </c>
      <c r="D33" s="101"/>
    </row>
    <row r="34">
      <c r="A34" s="101"/>
      <c r="B34" s="68" t="s">
        <v>77</v>
      </c>
      <c r="C34" s="102">
        <v>0.0</v>
      </c>
      <c r="D34" s="101"/>
    </row>
    <row r="37">
      <c r="B37" s="68" t="s">
        <v>78</v>
      </c>
      <c r="C37" s="68" t="s">
        <v>79</v>
      </c>
      <c r="D37" s="68" t="s">
        <v>80</v>
      </c>
      <c r="E37" s="68" t="s">
        <v>81</v>
      </c>
      <c r="F37" s="74" t="s">
        <v>82</v>
      </c>
      <c r="G37" s="74" t="s">
        <v>83</v>
      </c>
      <c r="H37" s="74" t="s">
        <v>84</v>
      </c>
      <c r="I37" s="74" t="s">
        <v>85</v>
      </c>
      <c r="J37" s="74" t="s">
        <v>86</v>
      </c>
      <c r="K37" s="74" t="s">
        <v>87</v>
      </c>
      <c r="L37" s="74" t="s">
        <v>74</v>
      </c>
      <c r="M37" s="74" t="s">
        <v>76</v>
      </c>
      <c r="N37" s="74" t="s">
        <v>88</v>
      </c>
      <c r="O37" s="74" t="s">
        <v>66</v>
      </c>
      <c r="P37" s="74" t="s">
        <v>90</v>
      </c>
      <c r="Q37" s="74" t="s">
        <v>91</v>
      </c>
      <c r="R37" s="74" t="s">
        <v>92</v>
      </c>
      <c r="S37" s="74" t="s">
        <v>93</v>
      </c>
      <c r="T37" s="74" t="s">
        <v>65</v>
      </c>
      <c r="U37" s="74" t="s">
        <v>94</v>
      </c>
      <c r="V37" s="74" t="s">
        <v>95</v>
      </c>
      <c r="W37" s="74" t="s">
        <v>96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0</v>
      </c>
      <c r="L38" s="113">
        <f t="shared" ref="L38:L66" si="2">H38+U38+W38-O38-Q38-I38-J38</f>
        <v>0</v>
      </c>
      <c r="M38" s="69">
        <f t="shared" ref="M38:M66" si="3">K38-L38</f>
        <v>0</v>
      </c>
      <c r="N38" s="69">
        <f>M38*C38</f>
        <v>0</v>
      </c>
      <c r="O38" s="69">
        <f>'Dala Sales &amp; Deliveries'!L2</f>
        <v>0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1</v>
      </c>
      <c r="L39" s="113">
        <f t="shared" si="2"/>
        <v>0</v>
      </c>
      <c r="M39" s="69">
        <f t="shared" si="3"/>
        <v>1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0</v>
      </c>
      <c r="L40" s="113">
        <f t="shared" si="2"/>
        <v>0</v>
      </c>
      <c r="M40" s="69">
        <f t="shared" si="3"/>
        <v>0</v>
      </c>
      <c r="N40" s="69"/>
      <c r="O40" s="69">
        <f>'Dala Sales &amp; Deliveries'!L4</f>
        <v>0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1</v>
      </c>
      <c r="L41" s="113">
        <f t="shared" si="2"/>
        <v>0</v>
      </c>
      <c r="M41" s="69">
        <f t="shared" si="3"/>
        <v>1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3.5</v>
      </c>
      <c r="L42" s="113">
        <f t="shared" si="2"/>
        <v>0</v>
      </c>
      <c r="M42" s="69">
        <f t="shared" si="3"/>
        <v>3.5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2</v>
      </c>
      <c r="L43" s="113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0</v>
      </c>
      <c r="L45" s="113">
        <f t="shared" si="2"/>
        <v>0</v>
      </c>
      <c r="M45" s="69">
        <f t="shared" si="3"/>
        <v>0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103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11.5</v>
      </c>
      <c r="L67" s="113">
        <f t="shared" si="8"/>
        <v>0</v>
      </c>
      <c r="M67" s="113">
        <f t="shared" si="8"/>
        <v>11.5</v>
      </c>
      <c r="N67" s="69">
        <f t="shared" si="8"/>
        <v>0</v>
      </c>
      <c r="O67" s="69">
        <f t="shared" si="8"/>
        <v>0</v>
      </c>
      <c r="P67" s="69">
        <f t="shared" si="8"/>
        <v>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0</v>
      </c>
      <c r="V67" s="69">
        <f t="shared" si="8"/>
        <v>0</v>
      </c>
      <c r="W67" s="69">
        <f t="shared" si="8"/>
        <v>0</v>
      </c>
    </row>
    <row r="68">
      <c r="C68" s="6" t="s">
        <v>104</v>
      </c>
      <c r="D68" s="6" t="s">
        <v>104</v>
      </c>
      <c r="E68" s="6" t="s">
        <v>104</v>
      </c>
      <c r="F68" s="6" t="s">
        <v>104</v>
      </c>
      <c r="G68" s="6"/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/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/>
      <c r="T68" s="6"/>
      <c r="U68" s="6" t="s">
        <v>104</v>
      </c>
      <c r="V68" s="6" t="s">
        <v>104</v>
      </c>
      <c r="W68" s="6" t="s">
        <v>104</v>
      </c>
    </row>
  </sheetData>
  <drawing r:id="rId1"/>
</worksheet>
</file>