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<sst xmlns="http://schemas.openxmlformats.org/spreadsheetml/2006/main" count="374" uniqueCount="98">
  <si>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</si>
  <si>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</si>
  <si>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</si>
  <si>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</si>
  <si>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</si>
  <si>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</si>
  <si>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</si>
  <si>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</si>
  <si>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</si>
  <si>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</si>
  <si>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</si>
  <si>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</si>
  <si>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</si>
  <si>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</si>
  <si>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</si>
  <si>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</si>
  <si>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Renees Supermarket, IKOYI</t>
  </si>
  <si>
    <t>Sales</t>
  </si>
  <si>
    <t>DT:002523</t>
  </si>
  <si>
    <t>2.00 ctn</t>
  </si>
  <si>
    <t>100ml Coconut Oil (12x)</t>
  </si>
  <si>
    <t>1.00 ctn</t>
  </si>
  <si>
    <t>Renees Supermarket, LEKKI CENTRAL MOSQUE</t>
  </si>
  <si>
    <t>DT:002535</t>
  </si>
  <si>
    <t>Eleyor Shopping Mall, OWODE</t>
  </si>
  <si>
    <t>DT:002563</t>
  </si>
  <si>
    <t>0.50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</si>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</sst>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12T00:00:00Z"/>
        <d v="2025-09-16T00:00:00Z"/>
        <m/>
      </sharedItems>
    </cacheField>
    <cacheField name="Particulars" numFmtId="0">
      <sharedItems containsBlank="1">
        <s v="Renees Supermarket, IKOYI"/>
        <s v="Renees Supermarket, LEKKI CENTRAL MOSQUE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63"/>
        <m/>
      </sharedItems>
    </cacheField>
    <cacheField name="Quantity" numFmtId="0">
      <sharedItems containsBlank="1">
        <s v="2.00 ctn"/>
        <s v="1.00 ctn"/>
        <s v="0.50 ctn"/>
        <m/>
      </sharedItems>
    </cacheField>
    <cacheField name="Value" numFmtId="4">
      <sharedItems containsString="0" containsBlank="1" containsNumber="1" containsInteger="1">
        <n v="67200.0"/>
        <n v="30000.0"/>
        <n v="33600.0"/>
        <n v="16800.0"/>
        <n v="15000.0"/>
        <m/>
      </sharedItems>
    </cacheField>
    <cacheField name="Total Value" numFmtId="4">
      <sharedItems containsString="0" containsBlank="1" containsNumber="1" containsInteger="1">
        <n v="97200.0"/>
        <n v="63600.0"/>
        <n v="318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9-12T00:00:00Z"/>
        <d v="2025-09-16T00:00:00Z"/>
        <m/>
      </sharedItems>
    </cacheField>
    <cacheField name="Particulars" numFmtId="0">
      <sharedItems containsBlank="1">
        <s v="Renees Supermarket, IKOYI"/>
        <s v="Renees Supermarket, LEKKI CENTRAL MOSQUE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63"/>
        <m/>
      </sharedItems>
    </cacheField>
    <cacheField name="Quantity" numFmtId="0">
      <sharedItems containsBlank="1">
        <s v="2.00 ctn"/>
        <s v="1.00 ctn"/>
        <s v="0.50 ctn"/>
        <m/>
      </sharedItems>
    </cacheField>
    <cacheField name="Value" numFmtId="4">
      <sharedItems containsString="0" containsBlank="1" containsNumber="1" containsInteger="1">
        <n v="67200.0"/>
        <n v="30000.0"/>
        <n v="33600.0"/>
        <n v="168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 t="s">
        <v>18</v>
      </c>
      <c r="F3" s="16" t="s">
        <v>19</v>
      </c>
      <c r="G3" s="17">
        <v>67200.0</v>
      </c>
      <c r="I3" s="13" t="s">
        <v>15</v>
      </c>
      <c r="J3" s="14">
        <v>45912.0</v>
      </c>
      <c r="K3" s="15" t="s">
        <v>16</v>
      </c>
      <c r="L3" s="15" t="s">
        <v>17</v>
      </c>
      <c r="M3" s="16" t="s">
        <v>18</v>
      </c>
      <c r="N3" s="16" t="s">
        <v>19</v>
      </c>
      <c r="O3" s="17">
        <v>67200.0</v>
      </c>
      <c r="P3" s="7">
        <f t="shared" ref="P3:P88" si="1">sumif(M:M,M3,O:O)</f>
        <v>97200</v>
      </c>
      <c r="R3" s="18"/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/>
      <c r="AI3" s="25"/>
      <c r="AJ3" s="24"/>
      <c r="AK3" s="24"/>
      <c r="AL3" s="26"/>
      <c r="AM3" s="26"/>
      <c r="AN3" s="27"/>
      <c r="AP3" s="28"/>
      <c r="AQ3" s="29"/>
      <c r="AR3" s="24"/>
      <c r="AS3" s="24"/>
      <c r="AT3" s="30"/>
      <c r="AU3" s="30"/>
      <c r="AV3" s="27"/>
    </row>
    <row r="4" ht="17.25" customHeight="1">
      <c r="A4" s="13" t="s">
        <v>20</v>
      </c>
      <c r="B4" s="14">
        <v>45912.0</v>
      </c>
      <c r="C4" s="15" t="s">
        <v>16</v>
      </c>
      <c r="D4" s="15" t="s">
        <v>17</v>
      </c>
      <c r="E4" s="16" t="s">
        <v>18</v>
      </c>
      <c r="F4" s="16" t="s">
        <v>21</v>
      </c>
      <c r="G4" s="17">
        <v>30000.0</v>
      </c>
      <c r="I4" s="13" t="s">
        <v>20</v>
      </c>
      <c r="J4" s="14">
        <v>45912.0</v>
      </c>
      <c r="K4" s="15" t="s">
        <v>16</v>
      </c>
      <c r="L4" s="15" t="s">
        <v>17</v>
      </c>
      <c r="M4" s="16" t="s">
        <v>18</v>
      </c>
      <c r="N4" s="16" t="s">
        <v>21</v>
      </c>
      <c r="O4" s="17">
        <v>30000.0</v>
      </c>
      <c r="P4" s="7">
        <f t="shared" si="1"/>
        <v>97200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 t="s">
        <v>15</v>
      </c>
      <c r="B5" s="14">
        <v>45912.0</v>
      </c>
      <c r="C5" s="15" t="s">
        <v>22</v>
      </c>
      <c r="D5" s="15" t="s">
        <v>17</v>
      </c>
      <c r="E5" s="16" t="s">
        <v>23</v>
      </c>
      <c r="F5" s="16" t="s">
        <v>21</v>
      </c>
      <c r="G5" s="17">
        <v>33600.0</v>
      </c>
      <c r="I5" s="13" t="s">
        <v>15</v>
      </c>
      <c r="J5" s="14">
        <v>45912.0</v>
      </c>
      <c r="K5" s="15" t="s">
        <v>22</v>
      </c>
      <c r="L5" s="15" t="s">
        <v>17</v>
      </c>
      <c r="M5" s="16" t="s">
        <v>23</v>
      </c>
      <c r="N5" s="16" t="s">
        <v>21</v>
      </c>
      <c r="O5" s="17">
        <v>33600.0</v>
      </c>
      <c r="P5" s="7">
        <f t="shared" si="1"/>
        <v>63600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 t="s">
        <v>20</v>
      </c>
      <c r="B6" s="14">
        <v>45912.0</v>
      </c>
      <c r="C6" s="15" t="s">
        <v>22</v>
      </c>
      <c r="D6" s="15" t="s">
        <v>17</v>
      </c>
      <c r="E6" s="16" t="s">
        <v>23</v>
      </c>
      <c r="F6" s="16" t="s">
        <v>21</v>
      </c>
      <c r="G6" s="17">
        <v>30000.0</v>
      </c>
      <c r="I6" s="13" t="s">
        <v>20</v>
      </c>
      <c r="J6" s="14">
        <v>45912.0</v>
      </c>
      <c r="K6" s="15" t="s">
        <v>22</v>
      </c>
      <c r="L6" s="15" t="s">
        <v>17</v>
      </c>
      <c r="M6" s="16" t="s">
        <v>23</v>
      </c>
      <c r="N6" s="16" t="s">
        <v>21</v>
      </c>
      <c r="O6" s="17">
        <v>30000.0</v>
      </c>
      <c r="P6" s="7">
        <f t="shared" si="1"/>
        <v>63600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 t="s">
        <v>15</v>
      </c>
      <c r="B7" s="14">
        <v>45916.0</v>
      </c>
      <c r="C7" s="15" t="s">
        <v>24</v>
      </c>
      <c r="D7" s="15" t="s">
        <v>17</v>
      </c>
      <c r="E7" s="16" t="s">
        <v>25</v>
      </c>
      <c r="F7" s="16" t="s">
        <v>26</v>
      </c>
      <c r="G7" s="17">
        <v>16800.0</v>
      </c>
      <c r="I7" s="13" t="s">
        <v>15</v>
      </c>
      <c r="J7" s="14">
        <v>45916.0</v>
      </c>
      <c r="K7" s="15" t="s">
        <v>24</v>
      </c>
      <c r="L7" s="15" t="s">
        <v>17</v>
      </c>
      <c r="M7" s="16" t="s">
        <v>25</v>
      </c>
      <c r="N7" s="16" t="s">
        <v>26</v>
      </c>
      <c r="O7" s="17">
        <v>16800.0</v>
      </c>
      <c r="P7" s="7">
        <f t="shared" si="1"/>
        <v>31800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 t="s">
        <v>20</v>
      </c>
      <c r="B8" s="14">
        <v>45916.0</v>
      </c>
      <c r="C8" s="15" t="s">
        <v>24</v>
      </c>
      <c r="D8" s="15" t="s">
        <v>17</v>
      </c>
      <c r="E8" s="16" t="s">
        <v>25</v>
      </c>
      <c r="F8" s="16" t="s">
        <v>26</v>
      </c>
      <c r="G8" s="17">
        <v>15000.0</v>
      </c>
      <c r="I8" s="13" t="s">
        <v>20</v>
      </c>
      <c r="J8" s="14">
        <v>45916.0</v>
      </c>
      <c r="K8" s="15" t="s">
        <v>24</v>
      </c>
      <c r="L8" s="15" t="s">
        <v>17</v>
      </c>
      <c r="M8" s="16" t="s">
        <v>25</v>
      </c>
      <c r="N8" s="16" t="s">
        <v>26</v>
      </c>
      <c r="O8" s="17">
        <v>15000.0</v>
      </c>
      <c r="P8" s="7">
        <f t="shared" si="1"/>
        <v>31800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/>
      <c r="B9" s="29"/>
      <c r="C9" s="24"/>
      <c r="D9" s="24"/>
      <c r="E9" s="30"/>
      <c r="F9" s="30"/>
      <c r="G9" s="27"/>
      <c r="I9" s="28"/>
      <c r="J9" s="29"/>
      <c r="K9" s="24"/>
      <c r="L9" s="24"/>
      <c r="M9" s="30"/>
      <c r="N9" s="30"/>
      <c r="O9" s="27"/>
      <c r="P9" s="7">
        <f t="shared" si="1"/>
        <v>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/>
      <c r="B10" s="29"/>
      <c r="C10" s="24"/>
      <c r="D10" s="24"/>
      <c r="E10" s="30"/>
      <c r="F10" s="30"/>
      <c r="G10" s="27"/>
      <c r="I10" s="28"/>
      <c r="J10" s="29"/>
      <c r="K10" s="24"/>
      <c r="L10" s="24"/>
      <c r="M10" s="30"/>
      <c r="N10" s="30"/>
      <c r="O10" s="27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28</v>
      </c>
      <c r="I1" s="67">
        <f>countifs(B:B,"&lt;&gt;",F:F,"&lt;&gt;")-1</f>
        <v>3</v>
      </c>
      <c r="K1" s="6" t="s">
        <v>29</v>
      </c>
      <c r="L1" s="6" t="s">
        <v>30</v>
      </c>
      <c r="M1" s="6" t="s">
        <v>13</v>
      </c>
    </row>
    <row r="2">
      <c r="H2" s="66" t="s">
        <v>31</v>
      </c>
      <c r="I2" s="67">
        <f t="array" ref="I2">(COUNTA(UNIQUE(C:C))-1)</f>
        <v>3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117600</v>
      </c>
      <c r="N2" s="69"/>
    </row>
    <row r="3">
      <c r="H3" s="66" t="s">
        <v>32</v>
      </c>
      <c r="I3" s="67">
        <f>sum(F:F)</f>
        <v>192600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75000</v>
      </c>
      <c r="N3" s="69"/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A12" s="70">
        <v>45794.0</v>
      </c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H15" s="71"/>
      <c r="I15" s="71"/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/>
    <row r="17"/>
    <row r="18">
      <c r="H18" s="71"/>
      <c r="I18" s="71"/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/>
    <row r="20"/>
    <row r="21">
      <c r="H21" s="71"/>
      <c r="I21" s="71"/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4">
      <c r="H24" s="71"/>
      <c r="I24" s="71"/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7">
      <c r="H27" s="71"/>
      <c r="I27" s="71"/>
      <c r="K27" s="68" t="str">
        <f>'Internal Summary'!B64</f>
        <v/>
      </c>
      <c r="L27" s="67">
        <f>sumif(D:D,K27,E:E)</f>
        <v>0</v>
      </c>
      <c r="M27" s="67">
        <f>sumif(D:D,K27,F:F)</f>
        <v>0</v>
      </c>
    </row>
    <row r="30">
      <c r="H30" s="71"/>
      <c r="I30" s="71"/>
      <c r="K30" s="68" t="str">
        <f>'Internal Summary'!B67</f>
        <v/>
      </c>
      <c r="L30" s="67">
        <f>sumif(D:D,K30,E:E)</f>
        <v>0</v>
      </c>
      <c r="M30" s="67">
        <f>sumif(D:D,K30,F:F)</f>
        <v>0</v>
      </c>
    </row>
    <row r="33">
      <c r="H33" s="71"/>
      <c r="I33" s="71"/>
      <c r="K33" s="68" t="str">
        <f>'Internal Summary'!B70</f>
        <v/>
      </c>
      <c r="L33" s="67">
        <f>sumif(D:D,K33,E:E)</f>
        <v>0</v>
      </c>
      <c r="M33" s="67">
        <f>sumif(D:D,K33,F:F)</f>
        <v>0</v>
      </c>
    </row>
    <row r="36">
      <c r="H36" s="71"/>
      <c r="I36" s="71"/>
      <c r="K36" s="68" t="str">
        <f>'Internal Summary'!B73</f>
        <v/>
      </c>
      <c r="L36" s="67">
        <f>sumif(D:D,K36,E:E)</f>
        <v>0</v>
      </c>
      <c r="M36" s="67">
        <f>sumif(D:D,K36,F:F)</f>
        <v>0</v>
      </c>
    </row>
    <row r="39">
      <c r="H39" s="71"/>
      <c r="I39" s="71"/>
      <c r="K39" s="68" t="str">
        <f>'Internal Summary'!B76</f>
        <v/>
      </c>
      <c r="L39" s="67">
        <f>sumif(D:D,K39,E:E)</f>
        <v>0</v>
      </c>
      <c r="M39" s="67">
        <f>sumif(D:D,K39,F:F)</f>
        <v>0</v>
      </c>
    </row>
    <row r="42">
      <c r="H42" s="71"/>
      <c r="I42" s="71"/>
      <c r="K42" s="68" t="str">
        <f>'Internal Summary'!B79</f>
        <v/>
      </c>
      <c r="L42" s="67">
        <f>sumif(D:D,K42,E:E)</f>
        <v>0</v>
      </c>
      <c r="M42" s="67">
        <f>sumif(D:D,K42,F:F)</f>
        <v>0</v>
      </c>
    </row>
    <row r="45">
      <c r="H45" s="71"/>
      <c r="I45" s="71"/>
      <c r="K45" s="68" t="str">
        <f>'Internal Summary'!B82</f>
        <v/>
      </c>
      <c r="L45" s="67">
        <f>sumif(D:D,K45,E:E)</f>
        <v>0</v>
      </c>
      <c r="M45" s="67">
        <f>sumif(D:D,K45,F:F)</f>
        <v>0</v>
      </c>
    </row>
    <row r="48">
      <c r="H48" s="71"/>
      <c r="I48" s="71"/>
      <c r="K48" s="68" t="str">
        <f>'Internal Summary'!B85</f>
        <v/>
      </c>
      <c r="L48" s="67">
        <f>sumif(D:D,K48,E:E)</f>
        <v>0</v>
      </c>
      <c r="M48" s="67">
        <f>sumif(D:D,K48,F:F)</f>
        <v>0</v>
      </c>
    </row>
    <row r="51">
      <c r="H51" s="71"/>
      <c r="I51" s="71"/>
      <c r="K51" s="68" t="str">
        <f>'Internal Summary'!B88</f>
        <v/>
      </c>
      <c r="L51" s="67">
        <f>sumif(D:D,K51,E:E)</f>
        <v>0</v>
      </c>
      <c r="M51" s="67">
        <f>sumif(D:D,K51,F:F)</f>
        <v>0</v>
      </c>
    </row>
    <row r="54">
      <c r="H54" s="71"/>
      <c r="I54" s="71"/>
    </row>
    <row r="57">
      <c r="H57" s="71"/>
      <c r="I57" s="71"/>
    </row>
    <row r="60">
      <c r="H60" s="71"/>
      <c r="I60" s="71"/>
    </row>
    <row r="63">
      <c r="H63" s="71"/>
      <c r="I63" s="71"/>
    </row>
    <row r="66">
      <c r="H66" s="71"/>
      <c r="I66" s="71"/>
    </row>
    <row r="69">
      <c r="H69" s="71"/>
      <c r="I69" s="71"/>
    </row>
    <row r="72">
      <c r="H72" s="71"/>
      <c r="I72" s="71"/>
    </row>
    <row r="75">
      <c r="H75" s="71"/>
      <c r="I75" s="71"/>
    </row>
    <row r="78">
      <c r="H78" s="71"/>
      <c r="I78" s="71"/>
    </row>
    <row r="81">
      <c r="H81" s="71"/>
      <c r="I81" s="71"/>
    </row>
    <row r="84">
      <c r="H84" s="71"/>
      <c r="I84" s="71"/>
    </row>
    <row r="87">
      <c r="H87" s="71"/>
      <c r="I87" s="71"/>
    </row>
    <row r="90">
      <c r="H90" s="71"/>
      <c r="I90" s="71"/>
    </row>
    <row r="93">
      <c r="H93" s="71"/>
      <c r="I93" s="71"/>
    </row>
    <row r="96">
      <c r="H96" s="71"/>
      <c r="I96" s="71"/>
    </row>
    <row r="99">
      <c r="H99" s="71"/>
      <c r="I99" s="71"/>
    </row>
    <row r="102">
      <c r="H102" s="71"/>
      <c r="I102" s="71"/>
    </row>
    <row r="105">
      <c r="H105" s="71"/>
      <c r="I105" s="71"/>
    </row>
    <row r="108">
      <c r="H108" s="71"/>
      <c r="I108" s="71"/>
    </row>
    <row r="111">
      <c r="H111" s="71"/>
      <c r="I111" s="71"/>
    </row>
    <row r="114">
      <c r="H114" s="71"/>
      <c r="I114" s="71"/>
    </row>
    <row r="117">
      <c r="H117" s="71"/>
      <c r="I117" s="71"/>
    </row>
    <row r="120">
      <c r="H120" s="71"/>
      <c r="I120" s="71"/>
    </row>
    <row r="123">
      <c r="H123" s="71"/>
      <c r="I123" s="71"/>
    </row>
    <row r="126">
      <c r="H126" s="71"/>
      <c r="I126" s="71"/>
    </row>
    <row r="129">
      <c r="H129" s="71"/>
      <c r="I129" s="71"/>
    </row>
    <row r="132">
      <c r="H132" s="71"/>
      <c r="I132" s="71"/>
    </row>
    <row r="135">
      <c r="H135" s="71"/>
      <c r="I135" s="71"/>
    </row>
    <row r="138">
      <c r="H138" s="71"/>
      <c r="I138" s="71"/>
    </row>
    <row r="141">
      <c r="H141" s="71"/>
      <c r="I141" s="71"/>
    </row>
    <row r="144">
      <c r="H144" s="71"/>
      <c r="I144" s="71"/>
    </row>
    <row r="147">
      <c r="H147" s="71"/>
      <c r="I147" s="71"/>
    </row>
    <row r="150">
      <c r="H150" s="71"/>
      <c r="I150" s="71"/>
    </row>
    <row r="153">
      <c r="H153" s="71"/>
      <c r="I153" s="71"/>
    </row>
    <row r="156">
      <c r="H156" s="71"/>
      <c r="I156" s="71"/>
    </row>
    <row r="159">
      <c r="H159" s="71"/>
      <c r="I159" s="71"/>
    </row>
    <row r="162">
      <c r="H162" s="71"/>
      <c r="I162" s="71"/>
    </row>
    <row r="165">
      <c r="H165" s="71"/>
      <c r="I165" s="71"/>
    </row>
    <row r="168">
      <c r="H168" s="71"/>
      <c r="I168" s="71"/>
    </row>
    <row r="171">
      <c r="H171" s="71"/>
      <c r="I171" s="71"/>
    </row>
    <row r="174">
      <c r="H174" s="71"/>
      <c r="I174" s="71"/>
    </row>
    <row r="177">
      <c r="H177" s="71"/>
      <c r="I177" s="71"/>
    </row>
    <row r="180">
      <c r="H180" s="71"/>
      <c r="I180" s="71"/>
    </row>
    <row r="183">
      <c r="H183" s="71"/>
      <c r="I183" s="71"/>
    </row>
    <row r="186">
      <c r="H186" s="71"/>
      <c r="I186" s="71"/>
    </row>
    <row r="189">
      <c r="H189" s="71"/>
      <c r="I189" s="71"/>
    </row>
    <row r="192">
      <c r="H192" s="71"/>
      <c r="I192" s="71"/>
    </row>
    <row r="195">
      <c r="H195" s="71"/>
      <c r="I195" s="71"/>
    </row>
    <row r="198">
      <c r="H198" s="71"/>
      <c r="I198" s="71"/>
    </row>
    <row r="201">
      <c r="H201" s="71"/>
      <c r="I201" s="71"/>
    </row>
    <row r="204">
      <c r="H204" s="71"/>
      <c r="I204" s="71"/>
    </row>
    <row r="207">
      <c r="H207" s="71"/>
      <c r="I207" s="71"/>
    </row>
    <row r="210">
      <c r="H210" s="71"/>
      <c r="I210" s="71"/>
    </row>
    <row r="213">
      <c r="H213" s="71"/>
      <c r="I213" s="71"/>
    </row>
    <row r="216">
      <c r="H216" s="71"/>
      <c r="I216" s="71"/>
    </row>
    <row r="219">
      <c r="H219" s="71"/>
      <c r="I219" s="71"/>
    </row>
    <row r="222">
      <c r="H222" s="71"/>
      <c r="I222" s="71"/>
    </row>
    <row r="225">
      <c r="H225" s="71"/>
      <c r="I225" s="71"/>
    </row>
    <row r="228">
      <c r="H228" s="71"/>
      <c r="I228" s="71"/>
    </row>
    <row r="231">
      <c r="H231" s="71"/>
      <c r="I231" s="71"/>
    </row>
    <row r="234">
      <c r="H234" s="71"/>
      <c r="I234" s="71"/>
    </row>
    <row r="237">
      <c r="H237" s="71"/>
      <c r="I237" s="71"/>
    </row>
    <row r="240">
      <c r="H240" s="71"/>
      <c r="I240" s="71"/>
    </row>
    <row r="243">
      <c r="H243" s="71"/>
      <c r="I243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6" t="s">
        <v>28</v>
      </c>
      <c r="I1" s="67">
        <f>countifs(B:B,"&lt;&gt;",F:F,"&lt;&gt;")-1</f>
        <v>0</v>
      </c>
      <c r="K1" s="72" t="s">
        <v>29</v>
      </c>
      <c r="L1" s="72" t="s">
        <v>30</v>
      </c>
      <c r="M1" s="72" t="s">
        <v>13</v>
      </c>
    </row>
    <row r="2">
      <c r="H2" s="66" t="s">
        <v>31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7">
        <f t="shared" ref="M2:M15" si="2">sumif(D:D,K2,F:F)</f>
        <v>0</v>
      </c>
    </row>
    <row r="3">
      <c r="H3" s="66" t="s">
        <v>32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Summary'!B41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Summary'!B42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Summary'!B43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Summary'!B44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Summary'!B45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Summary'!B46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Summary'!B47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Summary'!B48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Summary'!B49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Summary'!B50</f>
        <v/>
      </c>
      <c r="L13" s="67">
        <f t="shared" si="1"/>
        <v>0</v>
      </c>
      <c r="M13" s="67">
        <f t="shared" si="2"/>
        <v>0</v>
      </c>
    </row>
    <row r="14">
      <c r="K14" s="68" t="str">
        <f>'Internal Summary'!B51</f>
        <v/>
      </c>
      <c r="L14" s="67">
        <f t="shared" si="1"/>
        <v>0</v>
      </c>
      <c r="M14" s="67">
        <f t="shared" si="2"/>
        <v>0</v>
      </c>
    </row>
    <row r="15">
      <c r="K15" s="68" t="str">
        <f>'Internal Summary'!B52</f>
        <v/>
      </c>
      <c r="L15" s="67">
        <f t="shared" si="1"/>
        <v>0</v>
      </c>
      <c r="M15" s="67">
        <f t="shared" si="2"/>
        <v>0</v>
      </c>
    </row>
    <row r="16" hidden="1"/>
    <row r="17" hidden="1"/>
    <row r="18">
      <c r="K18" s="68" t="str">
        <f>'Internal Summary'!B55</f>
        <v/>
      </c>
      <c r="L18" s="67">
        <f>sumif(D:D,K18,E:E)</f>
        <v>0</v>
      </c>
      <c r="M18" s="67">
        <f>sumif(D:D,K18,F:F)</f>
        <v>0</v>
      </c>
    </row>
    <row r="19" hidden="1"/>
    <row r="20" hidden="1"/>
    <row r="21">
      <c r="K21" s="68" t="str">
        <f>'Internal Summary'!B58</f>
        <v/>
      </c>
      <c r="L21" s="67">
        <f>sumif(D:D,K21,E:E)</f>
        <v>0</v>
      </c>
      <c r="M21" s="67">
        <f>sumif(D:D,K21,F:F)</f>
        <v>0</v>
      </c>
    </row>
    <row r="22" hidden="1"/>
    <row r="23" hidden="1"/>
    <row r="24">
      <c r="K24" s="68" t="str">
        <f>'Internal Summary'!B61</f>
        <v/>
      </c>
      <c r="L24" s="67">
        <f>sumif(D:D,K24,E:E)</f>
        <v>0</v>
      </c>
      <c r="M24" s="6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6" t="s">
        <v>28</v>
      </c>
      <c r="I1" s="67">
        <f>countifs(B:B,"&lt;&gt;",F:F,"&lt;&gt;")-1</f>
        <v>0</v>
      </c>
      <c r="K1" s="72" t="s">
        <v>29</v>
      </c>
      <c r="L1" s="72" t="s">
        <v>33</v>
      </c>
      <c r="M1" s="72" t="s">
        <v>13</v>
      </c>
    </row>
    <row r="2">
      <c r="H2" s="66" t="s">
        <v>31</v>
      </c>
      <c r="I2" s="67">
        <f t="array" ref="I2">(COUNTA(UNIQUE(C:C))-1)</f>
        <v>0</v>
      </c>
      <c r="K2" s="68" t="str">
        <f>'Internal Summary'!B39</f>
        <v>100ml Carrot Oil (12x)</v>
      </c>
      <c r="L2" s="67">
        <f t="shared" ref="L2:L15" si="1">sumif(D:D,K2,E:E)</f>
        <v>0</v>
      </c>
      <c r="M2" s="68"/>
    </row>
    <row r="3">
      <c r="H3" s="66" t="s">
        <v>32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  <c r="M3" s="68"/>
    </row>
    <row r="4">
      <c r="H4" s="1"/>
      <c r="K4" s="68" t="str">
        <f>'Internal Summary'!B41</f>
        <v/>
      </c>
      <c r="L4" s="67">
        <f t="shared" si="1"/>
        <v>0</v>
      </c>
      <c r="M4" s="68"/>
    </row>
    <row r="5">
      <c r="H5" s="1"/>
      <c r="K5" s="68" t="str">
        <f>'Internal Summary'!B42</f>
        <v/>
      </c>
      <c r="L5" s="67">
        <f t="shared" si="1"/>
        <v>0</v>
      </c>
      <c r="M5" s="68"/>
    </row>
    <row r="6">
      <c r="K6" s="68" t="str">
        <f>'Internal Summary'!B43</f>
        <v/>
      </c>
      <c r="L6" s="67">
        <f t="shared" si="1"/>
        <v>0</v>
      </c>
      <c r="M6" s="68"/>
    </row>
    <row r="7">
      <c r="K7" s="68" t="str">
        <f>'Internal Summary'!B44</f>
        <v/>
      </c>
      <c r="L7" s="67">
        <f t="shared" si="1"/>
        <v>0</v>
      </c>
      <c r="M7" s="68"/>
    </row>
    <row r="8">
      <c r="K8" s="68" t="str">
        <f>'Internal Summary'!B45</f>
        <v/>
      </c>
      <c r="L8" s="67">
        <f t="shared" si="1"/>
        <v>0</v>
      </c>
      <c r="M8" s="68"/>
    </row>
    <row r="9">
      <c r="K9" s="68" t="str">
        <f>'Internal Summary'!B46</f>
        <v/>
      </c>
      <c r="L9" s="67">
        <f t="shared" si="1"/>
        <v>0</v>
      </c>
      <c r="M9" s="68"/>
    </row>
    <row r="10">
      <c r="K10" s="68" t="str">
        <f>'Internal Summary'!B47</f>
        <v/>
      </c>
      <c r="L10" s="67">
        <f t="shared" si="1"/>
        <v>0</v>
      </c>
      <c r="M10" s="68"/>
    </row>
    <row r="11">
      <c r="K11" s="68" t="str">
        <f>'Internal Summary'!B48</f>
        <v/>
      </c>
      <c r="L11" s="67">
        <f t="shared" si="1"/>
        <v>0</v>
      </c>
      <c r="M11" s="68"/>
    </row>
    <row r="12">
      <c r="K12" s="68" t="str">
        <f>'Internal Summary'!B49</f>
        <v/>
      </c>
      <c r="L12" s="67">
        <f t="shared" si="1"/>
        <v>0</v>
      </c>
      <c r="M12" s="68"/>
    </row>
    <row r="13">
      <c r="K13" s="68" t="str">
        <f>'Internal Summary'!B50</f>
        <v/>
      </c>
      <c r="L13" s="67">
        <f t="shared" si="1"/>
        <v>0</v>
      </c>
      <c r="M13" s="68"/>
    </row>
    <row r="14">
      <c r="K14" s="68" t="str">
        <f>'Internal Summary'!B51</f>
        <v/>
      </c>
      <c r="L14" s="67">
        <f t="shared" si="1"/>
        <v>0</v>
      </c>
      <c r="M14" s="68"/>
    </row>
    <row r="15">
      <c r="K15" s="68" t="str">
        <f>'Internal Summary'!B52</f>
        <v/>
      </c>
      <c r="L15" s="67">
        <f t="shared" si="1"/>
        <v>0</v>
      </c>
      <c r="M15" s="68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6" t="s">
        <v>28</v>
      </c>
      <c r="I1" s="67">
        <f>countifs(B:B,"&lt;&gt;",F:F,"&lt;&gt;")-1</f>
        <v>0</v>
      </c>
      <c r="K1" s="72" t="s">
        <v>29</v>
      </c>
      <c r="L1" s="72" t="s">
        <v>30</v>
      </c>
    </row>
    <row r="2">
      <c r="H2" s="66" t="s">
        <v>31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32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  <row r="18">
      <c r="K18" s="68" t="str">
        <f>'Internal Summary'!B55</f>
        <v/>
      </c>
      <c r="L18" s="67">
        <f>sumif(D:D,K18,E:E)</f>
        <v>0</v>
      </c>
    </row>
    <row r="21">
      <c r="K21" s="68" t="str">
        <f>'Internal Summary'!B58</f>
        <v/>
      </c>
      <c r="L21" s="67">
        <f>sumif(D:D,K21,E:E)</f>
        <v>0</v>
      </c>
    </row>
    <row r="24">
      <c r="K24" s="68" t="str">
        <f>'Internal Summary'!B61</f>
        <v/>
      </c>
      <c r="L24" s="67">
        <f>sumif(D:D,K24,E:E)</f>
        <v>0</v>
      </c>
    </row>
    <row r="27">
      <c r="K27" s="68" t="str">
        <f>'Internal Summary'!B64</f>
        <v/>
      </c>
      <c r="L27" s="6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6" t="s">
        <v>28</v>
      </c>
      <c r="I1" s="67">
        <f>countifs(B:B,"&lt;&gt;",F:F,"&lt;&gt;")-1</f>
        <v>0</v>
      </c>
      <c r="K1" s="72" t="s">
        <v>29</v>
      </c>
      <c r="L1" s="72" t="s">
        <v>30</v>
      </c>
    </row>
    <row r="2">
      <c r="H2" s="66" t="s">
        <v>31</v>
      </c>
      <c r="I2" s="67">
        <f t="array" ref="I2">(COUNTA(UNIQUE(C:C,,0))-1)</f>
        <v>0</v>
      </c>
      <c r="K2" s="68" t="str">
        <f>'Internal Summary'!B39</f>
        <v>100ml Carrot Oil (12x)</v>
      </c>
      <c r="L2" s="67">
        <f t="shared" ref="L2:L15" si="1">sumif(D:D,K2,E:E)</f>
        <v>0</v>
      </c>
    </row>
    <row r="3">
      <c r="H3" s="66" t="s">
        <v>32</v>
      </c>
      <c r="I3" s="67">
        <f>sum(F:F)</f>
        <v>0</v>
      </c>
      <c r="K3" s="68" t="str">
        <f>'Internal Summary'!B40</f>
        <v>100ml Coconut Oil (12x)</v>
      </c>
      <c r="L3" s="67">
        <f t="shared" si="1"/>
        <v>0</v>
      </c>
    </row>
    <row r="4">
      <c r="H4" s="1"/>
      <c r="K4" s="68" t="str">
        <f>'Internal Summary'!B41</f>
        <v/>
      </c>
      <c r="L4" s="67">
        <f t="shared" si="1"/>
        <v>0</v>
      </c>
    </row>
    <row r="5">
      <c r="H5" s="1"/>
      <c r="K5" s="68" t="str">
        <f>'Internal Summary'!B42</f>
        <v/>
      </c>
      <c r="L5" s="67">
        <f t="shared" si="1"/>
        <v>0</v>
      </c>
    </row>
    <row r="6">
      <c r="K6" s="68" t="str">
        <f>'Internal Summary'!B43</f>
        <v/>
      </c>
      <c r="L6" s="67">
        <f t="shared" si="1"/>
        <v>0</v>
      </c>
    </row>
    <row r="7">
      <c r="K7" s="68" t="str">
        <f>'Internal Summary'!B44</f>
        <v/>
      </c>
      <c r="L7" s="67">
        <f t="shared" si="1"/>
        <v>0</v>
      </c>
    </row>
    <row r="8">
      <c r="K8" s="68" t="str">
        <f>'Internal Summary'!B45</f>
        <v/>
      </c>
      <c r="L8" s="67">
        <f t="shared" si="1"/>
        <v>0</v>
      </c>
    </row>
    <row r="9">
      <c r="K9" s="68" t="str">
        <f>'Internal Summary'!B46</f>
        <v/>
      </c>
      <c r="L9" s="67">
        <f t="shared" si="1"/>
        <v>0</v>
      </c>
    </row>
    <row r="10">
      <c r="K10" s="68" t="str">
        <f>'Internal Summary'!B47</f>
        <v/>
      </c>
      <c r="L10" s="67">
        <f t="shared" si="1"/>
        <v>0</v>
      </c>
    </row>
    <row r="11">
      <c r="K11" s="68" t="str">
        <f>'Internal Summary'!B48</f>
        <v/>
      </c>
      <c r="L11" s="67">
        <f t="shared" si="1"/>
        <v>0</v>
      </c>
    </row>
    <row r="12">
      <c r="K12" s="68" t="str">
        <f>'Internal Summary'!B49</f>
        <v/>
      </c>
      <c r="L12" s="67">
        <f t="shared" si="1"/>
        <v>0</v>
      </c>
    </row>
    <row r="13">
      <c r="K13" s="68" t="str">
        <f>'Internal Summary'!B50</f>
        <v/>
      </c>
      <c r="L13" s="67">
        <f t="shared" si="1"/>
        <v>0</v>
      </c>
    </row>
    <row r="14">
      <c r="K14" s="68" t="str">
        <f>'Internal Summary'!B51</f>
        <v/>
      </c>
      <c r="L14" s="67">
        <f t="shared" si="1"/>
        <v>0</v>
      </c>
    </row>
    <row r="15">
      <c r="K15" s="68" t="str">
        <f>'Internal Summary'!B52</f>
        <v/>
      </c>
      <c r="L15" s="67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34</v>
      </c>
      <c r="C1" s="66" t="s">
        <v>30</v>
      </c>
      <c r="D1" s="66" t="s">
        <v>35</v>
      </c>
      <c r="E1" s="66" t="s">
        <v>36</v>
      </c>
      <c r="F1" s="74"/>
    </row>
    <row r="2">
      <c r="A2" s="75" t="s">
        <v>37</v>
      </c>
      <c r="B2" s="76" t="s">
        <v>28</v>
      </c>
      <c r="C2" s="77"/>
      <c r="D2" s="77"/>
      <c r="E2" s="78">
        <f>'Dala Sales &amp; Deliveries'!I1+'External Delivery Fulfillment'!I1</f>
        <v>3</v>
      </c>
      <c r="F2" s="74"/>
    </row>
    <row r="3">
      <c r="A3" s="79"/>
      <c r="B3" s="76" t="s">
        <v>38</v>
      </c>
      <c r="C3" s="77"/>
      <c r="D3" s="77"/>
      <c r="E3" s="78">
        <f>'Raw Data'!AX2</f>
        <v>1</v>
      </c>
      <c r="F3" s="74"/>
    </row>
    <row r="4">
      <c r="B4" s="80" t="s">
        <v>39</v>
      </c>
      <c r="C4" s="74"/>
      <c r="D4" s="74"/>
      <c r="E4" s="81">
        <f>'Dala Sales &amp; Deliveries'!I3</f>
        <v>192600</v>
      </c>
      <c r="F4" s="74"/>
    </row>
    <row r="5">
      <c r="B5" s="80" t="s">
        <v>40</v>
      </c>
      <c r="C5" s="74"/>
      <c r="D5" s="74"/>
      <c r="E5" s="81"/>
      <c r="F5" s="74"/>
    </row>
    <row r="6">
      <c r="A6" s="82"/>
      <c r="B6" s="83" t="s">
        <v>41</v>
      </c>
      <c r="C6" s="84"/>
      <c r="D6" s="85"/>
      <c r="E6" s="86">
        <f>sum(E4:E5)</f>
        <v>192600</v>
      </c>
      <c r="F6" s="74"/>
    </row>
    <row r="7">
      <c r="A7" s="75" t="s">
        <v>42</v>
      </c>
      <c r="B7" s="76" t="s">
        <v>43</v>
      </c>
      <c r="C7" s="77"/>
      <c r="D7" s="87"/>
      <c r="E7" s="88">
        <v>0.0</v>
      </c>
    </row>
    <row r="8">
      <c r="A8" s="82"/>
      <c r="B8" s="83" t="s">
        <v>44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45</v>
      </c>
      <c r="B9" s="83" t="s">
        <v>46</v>
      </c>
      <c r="C9" s="84"/>
      <c r="D9" s="85"/>
      <c r="E9" s="86">
        <f>E6-E7-E8</f>
        <v>192600</v>
      </c>
    </row>
    <row r="10">
      <c r="A10" s="75" t="s">
        <v>47</v>
      </c>
      <c r="B10" s="76" t="s">
        <v>48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44</v>
      </c>
      <c r="C11" s="94"/>
      <c r="D11" s="87"/>
      <c r="E11" s="93">
        <v>0.0</v>
      </c>
    </row>
    <row r="12">
      <c r="A12" s="79"/>
      <c r="B12" s="95" t="s">
        <v>49</v>
      </c>
      <c r="C12" s="77"/>
      <c r="D12" s="96" t="s">
        <v>50</v>
      </c>
      <c r="E12" s="93">
        <f>C21+C25</f>
        <v>0</v>
      </c>
    </row>
    <row r="13">
      <c r="A13" s="79"/>
      <c r="B13" s="76" t="s">
        <v>51</v>
      </c>
      <c r="C13" s="87"/>
      <c r="D13" s="87"/>
      <c r="E13" s="88">
        <v>0.0</v>
      </c>
    </row>
    <row r="14">
      <c r="A14" s="79"/>
      <c r="B14" s="76" t="s">
        <v>52</v>
      </c>
      <c r="C14" s="87"/>
      <c r="D14" s="87"/>
      <c r="E14" s="93">
        <f>C29</f>
        <v>0</v>
      </c>
    </row>
    <row r="15">
      <c r="A15" s="82"/>
      <c r="B15" s="83" t="s">
        <v>53</v>
      </c>
      <c r="C15" s="85"/>
      <c r="D15" s="85"/>
      <c r="E15" s="86">
        <f>sum(E10:E14)</f>
        <v>0</v>
      </c>
      <c r="H15" s="1"/>
      <c r="I15" s="1"/>
    </row>
    <row r="16">
      <c r="A16" s="90" t="s">
        <v>54</v>
      </c>
      <c r="B16" s="83" t="s">
        <v>55</v>
      </c>
      <c r="C16" s="85"/>
      <c r="D16" s="85"/>
      <c r="E16" s="86">
        <f>E9-E15+C35</f>
        <v>192600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56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6" t="s">
        <v>57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6" t="s">
        <v>58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6" t="s">
        <v>59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6" t="s">
        <v>60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6" t="s">
        <v>61</v>
      </c>
      <c r="C24" s="100">
        <f>67</f>
        <v>67</v>
      </c>
      <c r="H24" s="1"/>
      <c r="I24" s="1"/>
    </row>
    <row r="25">
      <c r="A25" s="99"/>
      <c r="B25" s="66" t="s">
        <v>62</v>
      </c>
      <c r="C25" s="103">
        <f>P68</f>
        <v>0</v>
      </c>
      <c r="H25" s="1"/>
      <c r="I25" s="1"/>
    </row>
    <row r="26">
      <c r="A26" s="99"/>
      <c r="B26" s="66" t="s">
        <v>63</v>
      </c>
      <c r="C26" s="67">
        <f>Q68</f>
        <v>0</v>
      </c>
      <c r="H26" s="1"/>
      <c r="I26" s="1"/>
    </row>
    <row r="27">
      <c r="A27" s="99"/>
      <c r="B27" s="66" t="s">
        <v>64</v>
      </c>
      <c r="C27" s="67">
        <f>R68</f>
        <v>0</v>
      </c>
      <c r="H27" s="1"/>
      <c r="I27" s="1"/>
    </row>
    <row r="28">
      <c r="A28" s="99"/>
      <c r="B28" s="66" t="s">
        <v>65</v>
      </c>
      <c r="C28" s="100">
        <f>F68</f>
        <v>0</v>
      </c>
      <c r="D28" s="1"/>
      <c r="H28" s="1"/>
      <c r="I28" s="1"/>
    </row>
    <row r="29">
      <c r="A29" s="99"/>
      <c r="B29" s="66" t="s">
        <v>66</v>
      </c>
      <c r="C29" s="100">
        <v>0.0</v>
      </c>
      <c r="D29" s="1"/>
      <c r="H29" s="1"/>
      <c r="I29" s="1"/>
    </row>
    <row r="30">
      <c r="A30" s="99"/>
      <c r="B30" s="66" t="s">
        <v>67</v>
      </c>
      <c r="C30" s="100">
        <f>I68</f>
        <v>0</v>
      </c>
      <c r="D30" s="99"/>
      <c r="H30" s="1"/>
      <c r="I30" s="1"/>
    </row>
    <row r="31">
      <c r="A31" s="99"/>
      <c r="B31" s="66" t="s">
        <v>68</v>
      </c>
      <c r="C31" s="100">
        <v>0.0</v>
      </c>
      <c r="D31" s="99"/>
      <c r="H31" s="1"/>
      <c r="I31" s="1"/>
    </row>
    <row r="32">
      <c r="B32" s="66" t="s">
        <v>69</v>
      </c>
      <c r="C32" s="100">
        <f>L68</f>
        <v>0</v>
      </c>
    </row>
    <row r="33">
      <c r="B33" s="66" t="s">
        <v>70</v>
      </c>
      <c r="C33" s="67">
        <f>K68</f>
        <v>19</v>
      </c>
    </row>
    <row r="34">
      <c r="B34" s="66" t="s">
        <v>71</v>
      </c>
      <c r="C34" s="100">
        <v>0.0</v>
      </c>
    </row>
    <row r="35">
      <c r="B35" s="66" t="s">
        <v>72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6" t="s">
        <v>73</v>
      </c>
      <c r="C38" s="66" t="s">
        <v>74</v>
      </c>
      <c r="D38" s="66" t="s">
        <v>75</v>
      </c>
      <c r="E38" s="66" t="s">
        <v>76</v>
      </c>
      <c r="F38" s="72" t="s">
        <v>77</v>
      </c>
      <c r="G38" s="72" t="s">
        <v>78</v>
      </c>
      <c r="H38" s="72" t="s">
        <v>79</v>
      </c>
      <c r="I38" s="72" t="s">
        <v>80</v>
      </c>
      <c r="J38" s="72" t="s">
        <v>81</v>
      </c>
      <c r="K38" s="72" t="s">
        <v>82</v>
      </c>
      <c r="L38" s="72" t="s">
        <v>69</v>
      </c>
      <c r="M38" s="72" t="s">
        <v>71</v>
      </c>
      <c r="N38" s="72" t="s">
        <v>83</v>
      </c>
      <c r="O38" s="72" t="s">
        <v>84</v>
      </c>
      <c r="P38" s="72" t="s">
        <v>85</v>
      </c>
      <c r="Q38" s="72" t="s">
        <v>86</v>
      </c>
      <c r="R38" s="72" t="s">
        <v>87</v>
      </c>
      <c r="S38" s="72" t="s">
        <v>88</v>
      </c>
      <c r="T38" s="72" t="s">
        <v>60</v>
      </c>
      <c r="U38" s="72" t="s">
        <v>89</v>
      </c>
      <c r="V38" s="72" t="s">
        <v>90</v>
      </c>
      <c r="W38" s="72" t="s">
        <v>91</v>
      </c>
    </row>
    <row r="39">
      <c r="B39" s="104" t="s">
        <v>15</v>
      </c>
      <c r="C39" s="105">
        <v>33600.0</v>
      </c>
      <c r="D39" s="105"/>
      <c r="E39" s="105">
        <v>2350.0</v>
      </c>
      <c r="F39" s="106"/>
      <c r="G39" s="67">
        <f t="shared" ref="G39:G67" si="1">F39*C39</f>
        <v>0</v>
      </c>
      <c r="H39" s="106"/>
      <c r="I39" s="106"/>
      <c r="J39" s="106"/>
      <c r="K39" s="106">
        <v>9.5</v>
      </c>
      <c r="L39" s="103">
        <f t="shared" ref="L39:L67" si="2">H39+U39+W39-O39-Q39-I39-J39</f>
        <v>0</v>
      </c>
      <c r="M39" s="67">
        <f t="shared" ref="M39:M67" si="3">K39-L39</f>
        <v>9.5</v>
      </c>
      <c r="N39" s="67">
        <f t="shared" ref="N39:N67" si="4">M39*C39</f>
        <v>319200</v>
      </c>
      <c r="O39" s="67">
        <f>'Dala Sales &amp; Deliveries'!L2</f>
        <v>0</v>
      </c>
      <c r="P39" s="67">
        <f t="shared" ref="P39:P67" si="5">O39*E39</f>
        <v>0</v>
      </c>
      <c r="Q39" s="67">
        <f>'External Delivery Fulfillment'!L2</f>
        <v>0</v>
      </c>
      <c r="R39" s="67">
        <f t="shared" ref="R39:R67" si="6">Q39*E39</f>
        <v>0</v>
      </c>
      <c r="S39" s="67">
        <f>'Forwarding From Client'!L2</f>
        <v>0</v>
      </c>
      <c r="T39" s="67">
        <f t="shared" ref="T39:T67" si="7">S39*E39</f>
        <v>0</v>
      </c>
      <c r="U39" s="67">
        <f>'Dala Restocking'!L2</f>
        <v>0</v>
      </c>
      <c r="V39" s="67">
        <f t="shared" ref="V39:V67" si="8">U39*D39</f>
        <v>0</v>
      </c>
      <c r="W39" s="67">
        <f>'Client Restocking'!L2</f>
        <v>0</v>
      </c>
    </row>
    <row r="40">
      <c r="B40" s="107" t="s">
        <v>20</v>
      </c>
      <c r="C40" s="108">
        <v>30000.0</v>
      </c>
      <c r="D40" s="108"/>
      <c r="E40" s="108">
        <v>2350.0</v>
      </c>
      <c r="F40" s="109"/>
      <c r="G40" s="67">
        <f t="shared" si="1"/>
        <v>0</v>
      </c>
      <c r="H40" s="109"/>
      <c r="I40" s="106"/>
      <c r="J40" s="109"/>
      <c r="K40" s="106">
        <v>9.5</v>
      </c>
      <c r="L40" s="103">
        <f t="shared" si="2"/>
        <v>0</v>
      </c>
      <c r="M40" s="67">
        <f t="shared" si="3"/>
        <v>9.5</v>
      </c>
      <c r="N40" s="67">
        <f t="shared" si="4"/>
        <v>285000</v>
      </c>
      <c r="O40" s="67">
        <f>'Dala Sales &amp; Deliveries'!L3</f>
        <v>0</v>
      </c>
      <c r="P40" s="67">
        <f t="shared" si="5"/>
        <v>0</v>
      </c>
      <c r="Q40" s="67">
        <f>'External Delivery Fulfillment'!L3</f>
        <v>0</v>
      </c>
      <c r="R40" s="67">
        <f t="shared" si="6"/>
        <v>0</v>
      </c>
      <c r="S40" s="67">
        <f>'Forwarding From Client'!L3</f>
        <v>0</v>
      </c>
      <c r="T40" s="67">
        <f t="shared" si="7"/>
        <v>0</v>
      </c>
      <c r="U40" s="67">
        <f>'Dala Restocking'!L3</f>
        <v>0</v>
      </c>
      <c r="V40" s="67">
        <f t="shared" si="8"/>
        <v>0</v>
      </c>
      <c r="W40" s="67">
        <f>'Client Restocking'!L3</f>
        <v>0</v>
      </c>
    </row>
    <row r="41">
      <c r="B41" s="107"/>
      <c r="C41" s="108"/>
      <c r="D41" s="108"/>
      <c r="E41" s="108"/>
      <c r="F41" s="109"/>
      <c r="G41" s="67">
        <f t="shared" si="1"/>
        <v>0</v>
      </c>
      <c r="H41" s="109"/>
      <c r="I41" s="106"/>
      <c r="J41" s="109"/>
      <c r="K41" s="106"/>
      <c r="L41" s="103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Deliveries'!L4</f>
        <v>0</v>
      </c>
      <c r="P41" s="67">
        <f t="shared" si="5"/>
        <v>0</v>
      </c>
      <c r="Q41" s="67">
        <f>'External Delivery Fulfillment'!L4</f>
        <v>0</v>
      </c>
      <c r="R41" s="67">
        <f t="shared" si="6"/>
        <v>0</v>
      </c>
      <c r="S41" s="67">
        <f>'Forwarding From Client'!L4</f>
        <v>0</v>
      </c>
      <c r="T41" s="67">
        <f t="shared" si="7"/>
        <v>0</v>
      </c>
      <c r="U41" s="67">
        <f>'Dala Restocking'!L4</f>
        <v>0</v>
      </c>
      <c r="V41" s="67">
        <f t="shared" si="8"/>
        <v>0</v>
      </c>
      <c r="W41" s="67">
        <f>'Client Restocking'!L4</f>
        <v>0</v>
      </c>
    </row>
    <row r="42">
      <c r="B42" s="107"/>
      <c r="C42" s="108"/>
      <c r="D42" s="108"/>
      <c r="E42" s="108"/>
      <c r="F42" s="109"/>
      <c r="G42" s="67">
        <f t="shared" si="1"/>
        <v>0</v>
      </c>
      <c r="H42" s="109"/>
      <c r="I42" s="106"/>
      <c r="J42" s="109"/>
      <c r="K42" s="106"/>
      <c r="L42" s="103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Deliveries'!L5</f>
        <v>0</v>
      </c>
      <c r="P42" s="67">
        <f t="shared" si="5"/>
        <v>0</v>
      </c>
      <c r="Q42" s="67">
        <f>'External Delivery Fulfillment'!L5</f>
        <v>0</v>
      </c>
      <c r="R42" s="67">
        <f t="shared" si="6"/>
        <v>0</v>
      </c>
      <c r="S42" s="67">
        <f>'Forwarding From Client'!L5</f>
        <v>0</v>
      </c>
      <c r="T42" s="67">
        <f t="shared" si="7"/>
        <v>0</v>
      </c>
      <c r="U42" s="67">
        <f>'Dala Restocking'!L5</f>
        <v>0</v>
      </c>
      <c r="V42" s="67">
        <f t="shared" si="8"/>
        <v>0</v>
      </c>
      <c r="W42" s="67">
        <f>'Client Restocking'!L5</f>
        <v>0</v>
      </c>
    </row>
    <row r="43">
      <c r="B43" s="107"/>
      <c r="C43" s="108"/>
      <c r="D43" s="108"/>
      <c r="E43" s="108"/>
      <c r="F43" s="109"/>
      <c r="G43" s="67">
        <f t="shared" si="1"/>
        <v>0</v>
      </c>
      <c r="H43" s="109"/>
      <c r="I43" s="109"/>
      <c r="J43" s="109"/>
      <c r="K43" s="106"/>
      <c r="L43" s="103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Deliveries'!L6</f>
        <v>0</v>
      </c>
      <c r="P43" s="67">
        <f t="shared" si="5"/>
        <v>0</v>
      </c>
      <c r="Q43" s="67">
        <f>'External Delivery Fulfillment'!L6</f>
        <v>0</v>
      </c>
      <c r="R43" s="67">
        <f t="shared" si="6"/>
        <v>0</v>
      </c>
      <c r="S43" s="67">
        <f>'Forwarding From Client'!L6</f>
        <v>0</v>
      </c>
      <c r="T43" s="67">
        <f t="shared" si="7"/>
        <v>0</v>
      </c>
      <c r="U43" s="67">
        <f>'Dala Restocking'!L6</f>
        <v>0</v>
      </c>
      <c r="V43" s="67">
        <f t="shared" si="8"/>
        <v>0</v>
      </c>
      <c r="W43" s="67">
        <f>'Client Restocking'!L6</f>
        <v>0</v>
      </c>
    </row>
    <row r="44">
      <c r="B44" s="107"/>
      <c r="C44" s="108"/>
      <c r="D44" s="108"/>
      <c r="E44" s="108"/>
      <c r="F44" s="109"/>
      <c r="G44" s="67">
        <f t="shared" si="1"/>
        <v>0</v>
      </c>
      <c r="H44" s="109"/>
      <c r="I44" s="109"/>
      <c r="J44" s="109"/>
      <c r="K44" s="106"/>
      <c r="L44" s="103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Deliveries'!L7</f>
        <v>0</v>
      </c>
      <c r="P44" s="67">
        <f t="shared" si="5"/>
        <v>0</v>
      </c>
      <c r="Q44" s="67">
        <f>'External Delivery Fulfillment'!L7</f>
        <v>0</v>
      </c>
      <c r="R44" s="67">
        <f t="shared" si="6"/>
        <v>0</v>
      </c>
      <c r="S44" s="67">
        <f>'Forwarding From Client'!L7</f>
        <v>0</v>
      </c>
      <c r="T44" s="67">
        <f t="shared" si="7"/>
        <v>0</v>
      </c>
      <c r="U44" s="67">
        <f>'Dala Restocking'!L7</f>
        <v>0</v>
      </c>
      <c r="V44" s="67">
        <f t="shared" si="8"/>
        <v>0</v>
      </c>
      <c r="W44" s="67">
        <f>'Client Restocking'!L7</f>
        <v>0</v>
      </c>
    </row>
    <row r="45">
      <c r="B45" s="107"/>
      <c r="C45" s="108"/>
      <c r="D45" s="108"/>
      <c r="E45" s="108"/>
      <c r="F45" s="109"/>
      <c r="G45" s="67">
        <f t="shared" si="1"/>
        <v>0</v>
      </c>
      <c r="H45" s="109"/>
      <c r="I45" s="109"/>
      <c r="J45" s="109"/>
      <c r="K45" s="106"/>
      <c r="L45" s="103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Deliveries'!L8</f>
        <v>0</v>
      </c>
      <c r="P45" s="67">
        <f t="shared" si="5"/>
        <v>0</v>
      </c>
      <c r="Q45" s="67">
        <f>'External Delivery Fulfillment'!L8</f>
        <v>0</v>
      </c>
      <c r="R45" s="67">
        <f t="shared" si="6"/>
        <v>0</v>
      </c>
      <c r="S45" s="67">
        <f>'Forwarding From Client'!L8</f>
        <v>0</v>
      </c>
      <c r="T45" s="67">
        <f t="shared" si="7"/>
        <v>0</v>
      </c>
      <c r="U45" s="67">
        <f>'Dala Restocking'!L8</f>
        <v>0</v>
      </c>
      <c r="V45" s="67">
        <f t="shared" si="8"/>
        <v>0</v>
      </c>
      <c r="W45" s="67">
        <f>'Client Restocking'!L8</f>
        <v>0</v>
      </c>
    </row>
    <row r="46">
      <c r="B46" s="107"/>
      <c r="C46" s="108"/>
      <c r="D46" s="108"/>
      <c r="E46" s="108"/>
      <c r="F46" s="109"/>
      <c r="G46" s="67">
        <f t="shared" si="1"/>
        <v>0</v>
      </c>
      <c r="H46" s="109"/>
      <c r="I46" s="109"/>
      <c r="J46" s="109"/>
      <c r="K46" s="106"/>
      <c r="L46" s="103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Deliveries'!L9</f>
        <v>0</v>
      </c>
      <c r="P46" s="67">
        <f t="shared" si="5"/>
        <v>0</v>
      </c>
      <c r="Q46" s="67">
        <f>'External Delivery Fulfillment'!L9</f>
        <v>0</v>
      </c>
      <c r="R46" s="67">
        <f t="shared" si="6"/>
        <v>0</v>
      </c>
      <c r="S46" s="67">
        <f>'Forwarding From Client'!L9</f>
        <v>0</v>
      </c>
      <c r="T46" s="67">
        <f t="shared" si="7"/>
        <v>0</v>
      </c>
      <c r="U46" s="67">
        <f>'Dala Restocking'!L9</f>
        <v>0</v>
      </c>
      <c r="V46" s="67">
        <f t="shared" si="8"/>
        <v>0</v>
      </c>
      <c r="W46" s="67">
        <f>'Client Restocking'!L9</f>
        <v>0</v>
      </c>
    </row>
    <row r="47">
      <c r="B47" s="107"/>
      <c r="C47" s="108"/>
      <c r="D47" s="108"/>
      <c r="E47" s="108"/>
      <c r="F47" s="109"/>
      <c r="G47" s="67">
        <f t="shared" si="1"/>
        <v>0</v>
      </c>
      <c r="H47" s="109"/>
      <c r="I47" s="109"/>
      <c r="J47" s="109"/>
      <c r="K47" s="106"/>
      <c r="L47" s="103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Deliveries'!L10</f>
        <v>0</v>
      </c>
      <c r="P47" s="67">
        <f t="shared" si="5"/>
        <v>0</v>
      </c>
      <c r="Q47" s="67">
        <f>'External Delivery Fulfillment'!L10</f>
        <v>0</v>
      </c>
      <c r="R47" s="67">
        <f t="shared" si="6"/>
        <v>0</v>
      </c>
      <c r="S47" s="67">
        <f>'Forwarding From Client'!L10</f>
        <v>0</v>
      </c>
      <c r="T47" s="67">
        <f t="shared" si="7"/>
        <v>0</v>
      </c>
      <c r="U47" s="67">
        <f>'Dala Restocking'!L10</f>
        <v>0</v>
      </c>
      <c r="V47" s="67">
        <f t="shared" si="8"/>
        <v>0</v>
      </c>
      <c r="W47" s="67">
        <f>'Client Restocking'!L10</f>
        <v>0</v>
      </c>
    </row>
    <row r="48">
      <c r="B48" s="107"/>
      <c r="C48" s="108"/>
      <c r="D48" s="108"/>
      <c r="E48" s="108"/>
      <c r="F48" s="109"/>
      <c r="G48" s="67">
        <f t="shared" si="1"/>
        <v>0</v>
      </c>
      <c r="H48" s="109"/>
      <c r="I48" s="109"/>
      <c r="J48" s="109"/>
      <c r="K48" s="106"/>
      <c r="L48" s="103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Deliveries'!L11</f>
        <v>0</v>
      </c>
      <c r="P48" s="67">
        <f t="shared" si="5"/>
        <v>0</v>
      </c>
      <c r="Q48" s="67">
        <f>'External Delivery Fulfillment'!L11</f>
        <v>0</v>
      </c>
      <c r="R48" s="67">
        <f t="shared" si="6"/>
        <v>0</v>
      </c>
      <c r="S48" s="67">
        <f>'Forwarding From Client'!L11</f>
        <v>0</v>
      </c>
      <c r="T48" s="67">
        <f t="shared" si="7"/>
        <v>0</v>
      </c>
      <c r="U48" s="67">
        <f>'Dala Restocking'!L11</f>
        <v>0</v>
      </c>
      <c r="V48" s="67">
        <f t="shared" si="8"/>
        <v>0</v>
      </c>
      <c r="W48" s="67">
        <f>'Client Restocking'!L11</f>
        <v>0</v>
      </c>
    </row>
    <row r="49">
      <c r="B49" s="107"/>
      <c r="C49" s="108"/>
      <c r="D49" s="108"/>
      <c r="E49" s="108"/>
      <c r="F49" s="109"/>
      <c r="G49" s="67">
        <f t="shared" si="1"/>
        <v>0</v>
      </c>
      <c r="H49" s="109"/>
      <c r="I49" s="109"/>
      <c r="J49" s="109"/>
      <c r="K49" s="106"/>
      <c r="L49" s="103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Deliveries'!L12</f>
        <v>0</v>
      </c>
      <c r="P49" s="67">
        <f t="shared" si="5"/>
        <v>0</v>
      </c>
      <c r="Q49" s="67">
        <f>'External Delivery Fulfillment'!L12</f>
        <v>0</v>
      </c>
      <c r="R49" s="67">
        <f t="shared" si="6"/>
        <v>0</v>
      </c>
      <c r="S49" s="67">
        <f>'Forwarding From Client'!L12</f>
        <v>0</v>
      </c>
      <c r="T49" s="67">
        <f t="shared" si="7"/>
        <v>0</v>
      </c>
      <c r="U49" s="67">
        <f>'Dala Restocking'!L12</f>
        <v>0</v>
      </c>
      <c r="V49" s="67">
        <f t="shared" si="8"/>
        <v>0</v>
      </c>
      <c r="W49" s="67">
        <f>'Client Restocking'!L12</f>
        <v>0</v>
      </c>
    </row>
    <row r="50">
      <c r="B50" s="107"/>
      <c r="C50" s="108"/>
      <c r="D50" s="108"/>
      <c r="E50" s="108"/>
      <c r="F50" s="109"/>
      <c r="G50" s="67">
        <f t="shared" si="1"/>
        <v>0</v>
      </c>
      <c r="H50" s="109"/>
      <c r="I50" s="109"/>
      <c r="J50" s="109"/>
      <c r="K50" s="106"/>
      <c r="L50" s="103">
        <f t="shared" si="2"/>
        <v>0</v>
      </c>
      <c r="M50" s="67">
        <f t="shared" si="3"/>
        <v>0</v>
      </c>
      <c r="N50" s="67">
        <f t="shared" si="4"/>
        <v>0</v>
      </c>
      <c r="O50" s="67">
        <f>'Dala Sales &amp; Deliveries'!L13</f>
        <v>0</v>
      </c>
      <c r="P50" s="67">
        <f t="shared" si="5"/>
        <v>0</v>
      </c>
      <c r="Q50" s="67">
        <f>'External Delivery Fulfillment'!L13</f>
        <v>0</v>
      </c>
      <c r="R50" s="67">
        <f t="shared" si="6"/>
        <v>0</v>
      </c>
      <c r="S50" s="67">
        <f>'Forwarding From Client'!L13</f>
        <v>0</v>
      </c>
      <c r="T50" s="67">
        <f t="shared" si="7"/>
        <v>0</v>
      </c>
      <c r="U50" s="67">
        <f>'Dala Restocking'!L13</f>
        <v>0</v>
      </c>
      <c r="V50" s="67">
        <f t="shared" si="8"/>
        <v>0</v>
      </c>
      <c r="W50" s="67">
        <f>'Client Restocking'!L13</f>
        <v>0</v>
      </c>
    </row>
    <row r="51">
      <c r="B51" s="110"/>
      <c r="C51" s="109"/>
      <c r="D51" s="109"/>
      <c r="E51" s="109"/>
      <c r="F51" s="109"/>
      <c r="G51" s="67">
        <f t="shared" si="1"/>
        <v>0</v>
      </c>
      <c r="H51" s="109"/>
      <c r="I51" s="109"/>
      <c r="J51" s="109"/>
      <c r="K51" s="109"/>
      <c r="L51" s="103">
        <f t="shared" si="2"/>
        <v>0</v>
      </c>
      <c r="M51" s="67">
        <f t="shared" si="3"/>
        <v>0</v>
      </c>
      <c r="N51" s="67">
        <f t="shared" si="4"/>
        <v>0</v>
      </c>
      <c r="O51" s="67">
        <f>'Dala Sales &amp; Deliveries'!L14</f>
        <v>0</v>
      </c>
      <c r="P51" s="67">
        <f t="shared" si="5"/>
        <v>0</v>
      </c>
      <c r="Q51" s="67">
        <f>'External Delivery Fulfillment'!L14</f>
        <v>0</v>
      </c>
      <c r="R51" s="67">
        <f t="shared" si="6"/>
        <v>0</v>
      </c>
      <c r="S51" s="67">
        <f>'Forwarding From Client'!L14</f>
        <v>0</v>
      </c>
      <c r="T51" s="67">
        <f t="shared" si="7"/>
        <v>0</v>
      </c>
      <c r="U51" s="67">
        <f>'Dala Restocking'!L14</f>
        <v>0</v>
      </c>
      <c r="V51" s="67">
        <f t="shared" si="8"/>
        <v>0</v>
      </c>
      <c r="W51" s="67">
        <f>'Client Restocking'!L14</f>
        <v>0</v>
      </c>
    </row>
    <row r="52">
      <c r="B52" s="110"/>
      <c r="C52" s="109"/>
      <c r="D52" s="109"/>
      <c r="E52" s="109"/>
      <c r="F52" s="109"/>
      <c r="G52" s="67">
        <f t="shared" si="1"/>
        <v>0</v>
      </c>
      <c r="H52" s="109"/>
      <c r="I52" s="109"/>
      <c r="J52" s="109"/>
      <c r="K52" s="109"/>
      <c r="L52" s="103">
        <f t="shared" si="2"/>
        <v>0</v>
      </c>
      <c r="M52" s="67">
        <f t="shared" si="3"/>
        <v>0</v>
      </c>
      <c r="N52" s="67">
        <f t="shared" si="4"/>
        <v>0</v>
      </c>
      <c r="O52" s="67">
        <f>'Dala Sales &amp; Deliveries'!L15</f>
        <v>0</v>
      </c>
      <c r="P52" s="67">
        <f t="shared" si="5"/>
        <v>0</v>
      </c>
      <c r="Q52" s="67">
        <f>'External Delivery Fulfillment'!L15</f>
        <v>0</v>
      </c>
      <c r="R52" s="67">
        <f t="shared" si="6"/>
        <v>0</v>
      </c>
      <c r="S52" s="67">
        <f>'Forwarding From Client'!L15</f>
        <v>0</v>
      </c>
      <c r="T52" s="67">
        <f t="shared" si="7"/>
        <v>0</v>
      </c>
      <c r="U52" s="67">
        <f>'Dala Restocking'!L15</f>
        <v>0</v>
      </c>
      <c r="V52" s="67">
        <f t="shared" si="8"/>
        <v>0</v>
      </c>
      <c r="W52" s="67">
        <f>'Client Restocking'!L15</f>
        <v>0</v>
      </c>
    </row>
    <row r="53">
      <c r="B53" s="110"/>
      <c r="C53" s="109"/>
      <c r="D53" s="109"/>
      <c r="E53" s="109"/>
      <c r="F53" s="109"/>
      <c r="G53" s="67">
        <f t="shared" si="1"/>
        <v>0</v>
      </c>
      <c r="H53" s="109"/>
      <c r="I53" s="109"/>
      <c r="J53" s="109"/>
      <c r="K53" s="109"/>
      <c r="L53" s="103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Deliveries'!L16</f>
        <v/>
      </c>
      <c r="P53" s="67">
        <f t="shared" si="5"/>
        <v>0</v>
      </c>
      <c r="Q53" s="67" t="str">
        <f>'External Delivery Fulfillment'!L16</f>
        <v/>
      </c>
      <c r="R53" s="67">
        <f t="shared" si="6"/>
        <v>0</v>
      </c>
      <c r="S53" s="67" t="str">
        <f>'Forwarding From Client'!L16</f>
        <v/>
      </c>
      <c r="T53" s="67">
        <f t="shared" si="7"/>
        <v>0</v>
      </c>
      <c r="U53" s="67" t="str">
        <f>'Dala Restocking'!L16</f>
        <v/>
      </c>
      <c r="V53" s="67">
        <f t="shared" si="8"/>
        <v>0</v>
      </c>
      <c r="W53" s="67" t="str">
        <f>'Client Restocking'!L16</f>
        <v/>
      </c>
    </row>
    <row r="54">
      <c r="B54" s="110"/>
      <c r="C54" s="109"/>
      <c r="D54" s="109"/>
      <c r="E54" s="109"/>
      <c r="F54" s="109"/>
      <c r="G54" s="67">
        <f t="shared" si="1"/>
        <v>0</v>
      </c>
      <c r="H54" s="109"/>
      <c r="I54" s="109"/>
      <c r="J54" s="109"/>
      <c r="K54" s="109"/>
      <c r="L54" s="103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Deliveries'!L17</f>
        <v/>
      </c>
      <c r="P54" s="67">
        <f t="shared" si="5"/>
        <v>0</v>
      </c>
      <c r="Q54" s="67" t="str">
        <f>'External Delivery Fulfillment'!L17</f>
        <v/>
      </c>
      <c r="R54" s="67">
        <f t="shared" si="6"/>
        <v>0</v>
      </c>
      <c r="S54" s="67" t="str">
        <f>'Forwarding From Client'!L17</f>
        <v/>
      </c>
      <c r="T54" s="67">
        <f t="shared" si="7"/>
        <v>0</v>
      </c>
      <c r="U54" s="67" t="str">
        <f>'Dala Restocking'!L17</f>
        <v/>
      </c>
      <c r="V54" s="67">
        <f t="shared" si="8"/>
        <v>0</v>
      </c>
      <c r="W54" s="67" t="str">
        <f>'Client Restocking'!L17</f>
        <v/>
      </c>
    </row>
    <row r="55">
      <c r="B55" s="110"/>
      <c r="C55" s="109"/>
      <c r="D55" s="109"/>
      <c r="E55" s="109"/>
      <c r="F55" s="109"/>
      <c r="G55" s="67">
        <f t="shared" si="1"/>
        <v>0</v>
      </c>
      <c r="H55" s="109"/>
      <c r="I55" s="109"/>
      <c r="J55" s="109"/>
      <c r="K55" s="109"/>
      <c r="L55" s="103">
        <f t="shared" si="2"/>
        <v>0</v>
      </c>
      <c r="M55" s="67">
        <f t="shared" si="3"/>
        <v>0</v>
      </c>
      <c r="N55" s="67">
        <f t="shared" si="4"/>
        <v>0</v>
      </c>
      <c r="O55" s="67">
        <f>'Dala Sales &amp; Deliveries'!L18</f>
        <v>0</v>
      </c>
      <c r="P55" s="67">
        <f t="shared" si="5"/>
        <v>0</v>
      </c>
      <c r="Q55" s="67">
        <f>'External Delivery Fulfillment'!L18</f>
        <v>0</v>
      </c>
      <c r="R55" s="67">
        <f t="shared" si="6"/>
        <v>0</v>
      </c>
      <c r="S55" s="67" t="str">
        <f>'Forwarding From Client'!L18</f>
        <v/>
      </c>
      <c r="T55" s="67">
        <f t="shared" si="7"/>
        <v>0</v>
      </c>
      <c r="U55" s="67">
        <f>'Dala Restocking'!L18</f>
        <v>0</v>
      </c>
      <c r="V55" s="67">
        <f t="shared" si="8"/>
        <v>0</v>
      </c>
      <c r="W55" s="67" t="str">
        <f>'Client Restocking'!L18</f>
        <v/>
      </c>
    </row>
    <row r="56">
      <c r="B56" s="110"/>
      <c r="C56" s="109"/>
      <c r="D56" s="109"/>
      <c r="E56" s="109"/>
      <c r="F56" s="109"/>
      <c r="G56" s="67">
        <f t="shared" si="1"/>
        <v>0</v>
      </c>
      <c r="H56" s="109"/>
      <c r="I56" s="109"/>
      <c r="J56" s="109"/>
      <c r="K56" s="109"/>
      <c r="L56" s="103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Deliveries'!L19</f>
        <v/>
      </c>
      <c r="P56" s="67">
        <f t="shared" si="5"/>
        <v>0</v>
      </c>
      <c r="Q56" s="67" t="str">
        <f>'External Delivery Fulfillment'!L19</f>
        <v/>
      </c>
      <c r="R56" s="67">
        <f t="shared" si="6"/>
        <v>0</v>
      </c>
      <c r="S56" s="67" t="str">
        <f>'Forwarding From Client'!L19</f>
        <v/>
      </c>
      <c r="T56" s="67">
        <f t="shared" si="7"/>
        <v>0</v>
      </c>
      <c r="U56" s="67" t="str">
        <f>'Dala Restocking'!L19</f>
        <v/>
      </c>
      <c r="V56" s="67">
        <f t="shared" si="8"/>
        <v>0</v>
      </c>
      <c r="W56" s="67" t="str">
        <f>'Client Restocking'!L19</f>
        <v/>
      </c>
    </row>
    <row r="57">
      <c r="B57" s="110"/>
      <c r="C57" s="109"/>
      <c r="D57" s="109"/>
      <c r="E57" s="109"/>
      <c r="F57" s="109"/>
      <c r="G57" s="67">
        <f t="shared" si="1"/>
        <v>0</v>
      </c>
      <c r="H57" s="109"/>
      <c r="I57" s="109"/>
      <c r="J57" s="109"/>
      <c r="K57" s="109"/>
      <c r="L57" s="103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Deliveries'!L20</f>
        <v/>
      </c>
      <c r="P57" s="67">
        <f t="shared" si="5"/>
        <v>0</v>
      </c>
      <c r="Q57" s="67" t="str">
        <f>'External Delivery Fulfillment'!L20</f>
        <v/>
      </c>
      <c r="R57" s="67">
        <f t="shared" si="6"/>
        <v>0</v>
      </c>
      <c r="S57" s="67" t="str">
        <f>'Forwarding From Client'!L20</f>
        <v/>
      </c>
      <c r="T57" s="67">
        <f t="shared" si="7"/>
        <v>0</v>
      </c>
      <c r="U57" s="67" t="str">
        <f>'Dala Restocking'!L20</f>
        <v/>
      </c>
      <c r="V57" s="67">
        <f t="shared" si="8"/>
        <v>0</v>
      </c>
      <c r="W57" s="67" t="str">
        <f>'Client Restocking'!L20</f>
        <v/>
      </c>
    </row>
    <row r="58">
      <c r="B58" s="110"/>
      <c r="C58" s="109"/>
      <c r="D58" s="109"/>
      <c r="E58" s="109"/>
      <c r="F58" s="109"/>
      <c r="G58" s="67">
        <f t="shared" si="1"/>
        <v>0</v>
      </c>
      <c r="H58" s="109"/>
      <c r="I58" s="109"/>
      <c r="J58" s="109"/>
      <c r="K58" s="109"/>
      <c r="L58" s="103">
        <f t="shared" si="2"/>
        <v>0</v>
      </c>
      <c r="M58" s="67">
        <f t="shared" si="3"/>
        <v>0</v>
      </c>
      <c r="N58" s="67">
        <f t="shared" si="4"/>
        <v>0</v>
      </c>
      <c r="O58" s="67">
        <f>'Dala Sales &amp; Deliveries'!L21</f>
        <v>0</v>
      </c>
      <c r="P58" s="67">
        <f t="shared" si="5"/>
        <v>0</v>
      </c>
      <c r="Q58" s="67">
        <f>'External Delivery Fulfillment'!L21</f>
        <v>0</v>
      </c>
      <c r="R58" s="67">
        <f t="shared" si="6"/>
        <v>0</v>
      </c>
      <c r="S58" s="67" t="str">
        <f>'Forwarding From Client'!L21</f>
        <v/>
      </c>
      <c r="T58" s="67">
        <f t="shared" si="7"/>
        <v>0</v>
      </c>
      <c r="U58" s="67">
        <f>'Dala Restocking'!L21</f>
        <v>0</v>
      </c>
      <c r="V58" s="67">
        <f t="shared" si="8"/>
        <v>0</v>
      </c>
      <c r="W58" s="67" t="str">
        <f>'Client Restocking'!L21</f>
        <v/>
      </c>
    </row>
    <row r="59">
      <c r="B59" s="110"/>
      <c r="C59" s="109"/>
      <c r="D59" s="109"/>
      <c r="E59" s="109"/>
      <c r="F59" s="109"/>
      <c r="G59" s="67">
        <f t="shared" si="1"/>
        <v>0</v>
      </c>
      <c r="H59" s="109"/>
      <c r="I59" s="109"/>
      <c r="J59" s="109"/>
      <c r="K59" s="109"/>
      <c r="L59" s="103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Deliveries'!L22</f>
        <v/>
      </c>
      <c r="P59" s="67">
        <f t="shared" si="5"/>
        <v>0</v>
      </c>
      <c r="Q59" s="67" t="str">
        <f>'External Delivery Fulfillment'!L22</f>
        <v/>
      </c>
      <c r="R59" s="67">
        <f t="shared" si="6"/>
        <v>0</v>
      </c>
      <c r="S59" s="67" t="str">
        <f>'Forwarding From Client'!L22</f>
        <v/>
      </c>
      <c r="T59" s="67">
        <f t="shared" si="7"/>
        <v>0</v>
      </c>
      <c r="U59" s="67" t="str">
        <f>'Dala Restocking'!L22</f>
        <v/>
      </c>
      <c r="V59" s="67">
        <f t="shared" si="8"/>
        <v>0</v>
      </c>
      <c r="W59" s="67" t="str">
        <f>'Client Restocking'!L22</f>
        <v/>
      </c>
    </row>
    <row r="60">
      <c r="B60" s="110"/>
      <c r="C60" s="109"/>
      <c r="D60" s="109"/>
      <c r="E60" s="109"/>
      <c r="F60" s="109"/>
      <c r="G60" s="67">
        <f t="shared" si="1"/>
        <v>0</v>
      </c>
      <c r="H60" s="109"/>
      <c r="I60" s="109"/>
      <c r="J60" s="109"/>
      <c r="K60" s="109"/>
      <c r="L60" s="103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Deliveries'!L23</f>
        <v/>
      </c>
      <c r="P60" s="67">
        <f t="shared" si="5"/>
        <v>0</v>
      </c>
      <c r="Q60" s="67" t="str">
        <f>'External Delivery Fulfillment'!L23</f>
        <v/>
      </c>
      <c r="R60" s="67">
        <f t="shared" si="6"/>
        <v>0</v>
      </c>
      <c r="S60" s="67" t="str">
        <f>'Forwarding From Client'!L23</f>
        <v/>
      </c>
      <c r="T60" s="67">
        <f t="shared" si="7"/>
        <v>0</v>
      </c>
      <c r="U60" s="67" t="str">
        <f>'Dala Restocking'!L23</f>
        <v/>
      </c>
      <c r="V60" s="67">
        <f t="shared" si="8"/>
        <v>0</v>
      </c>
      <c r="W60" s="67" t="str">
        <f>'Client Restocking'!L23</f>
        <v/>
      </c>
    </row>
    <row r="61">
      <c r="B61" s="110"/>
      <c r="C61" s="109"/>
      <c r="D61" s="109"/>
      <c r="E61" s="109"/>
      <c r="F61" s="109"/>
      <c r="G61" s="67">
        <f t="shared" si="1"/>
        <v>0</v>
      </c>
      <c r="H61" s="109"/>
      <c r="I61" s="109"/>
      <c r="J61" s="109"/>
      <c r="K61" s="109"/>
      <c r="L61" s="103">
        <f t="shared" si="2"/>
        <v>0</v>
      </c>
      <c r="M61" s="67">
        <f t="shared" si="3"/>
        <v>0</v>
      </c>
      <c r="N61" s="67">
        <f t="shared" si="4"/>
        <v>0</v>
      </c>
      <c r="O61" s="67">
        <f>'Dala Sales &amp; Deliveries'!L24</f>
        <v>0</v>
      </c>
      <c r="P61" s="67">
        <f t="shared" si="5"/>
        <v>0</v>
      </c>
      <c r="Q61" s="67">
        <f>'External Delivery Fulfillment'!L24</f>
        <v>0</v>
      </c>
      <c r="R61" s="67">
        <f t="shared" si="6"/>
        <v>0</v>
      </c>
      <c r="S61" s="67" t="str">
        <f>'Forwarding From Client'!L24</f>
        <v/>
      </c>
      <c r="T61" s="67">
        <f t="shared" si="7"/>
        <v>0</v>
      </c>
      <c r="U61" s="67">
        <f>'Dala Restocking'!L24</f>
        <v>0</v>
      </c>
      <c r="V61" s="67">
        <f t="shared" si="8"/>
        <v>0</v>
      </c>
      <c r="W61" s="67" t="str">
        <f>'Client Restocking'!L24</f>
        <v/>
      </c>
    </row>
    <row r="62">
      <c r="B62" s="110"/>
      <c r="C62" s="109"/>
      <c r="D62" s="109"/>
      <c r="E62" s="109"/>
      <c r="F62" s="109"/>
      <c r="G62" s="67">
        <f t="shared" si="1"/>
        <v>0</v>
      </c>
      <c r="H62" s="109"/>
      <c r="I62" s="109"/>
      <c r="J62" s="109"/>
      <c r="K62" s="109"/>
      <c r="L62" s="103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Deliveries'!L25</f>
        <v/>
      </c>
      <c r="P62" s="67">
        <f t="shared" si="5"/>
        <v>0</v>
      </c>
      <c r="Q62" s="67" t="str">
        <f>'External Delivery Fulfillment'!L25</f>
        <v/>
      </c>
      <c r="R62" s="67">
        <f t="shared" si="6"/>
        <v>0</v>
      </c>
      <c r="S62" s="67" t="str">
        <f>'Forwarding From Client'!L25</f>
        <v/>
      </c>
      <c r="T62" s="67">
        <f t="shared" si="7"/>
        <v>0</v>
      </c>
      <c r="U62" s="67" t="str">
        <f>'Dala Restocking'!L25</f>
        <v/>
      </c>
      <c r="V62" s="67">
        <f t="shared" si="8"/>
        <v>0</v>
      </c>
      <c r="W62" s="67" t="str">
        <f>'Client Restocking'!L25</f>
        <v/>
      </c>
    </row>
    <row r="63">
      <c r="B63" s="110"/>
      <c r="C63" s="109"/>
      <c r="D63" s="109"/>
      <c r="E63" s="109"/>
      <c r="F63" s="109"/>
      <c r="G63" s="67">
        <f t="shared" si="1"/>
        <v>0</v>
      </c>
      <c r="H63" s="109"/>
      <c r="I63" s="109"/>
      <c r="J63" s="109"/>
      <c r="K63" s="109"/>
      <c r="L63" s="103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Deliveries'!L26</f>
        <v/>
      </c>
      <c r="P63" s="67">
        <f t="shared" si="5"/>
        <v>0</v>
      </c>
      <c r="Q63" s="67" t="str">
        <f>'External Delivery Fulfillment'!L26</f>
        <v/>
      </c>
      <c r="R63" s="67">
        <f t="shared" si="6"/>
        <v>0</v>
      </c>
      <c r="S63" s="67" t="str">
        <f>'Forwarding From Client'!L26</f>
        <v/>
      </c>
      <c r="T63" s="67">
        <f t="shared" si="7"/>
        <v>0</v>
      </c>
      <c r="U63" s="67" t="str">
        <f>'Dala Restocking'!L26</f>
        <v/>
      </c>
      <c r="V63" s="67">
        <f t="shared" si="8"/>
        <v>0</v>
      </c>
      <c r="W63" s="67" t="str">
        <f>'Client Restocking'!L26</f>
        <v/>
      </c>
    </row>
    <row r="64">
      <c r="B64" s="110"/>
      <c r="C64" s="109"/>
      <c r="D64" s="109"/>
      <c r="E64" s="109"/>
      <c r="F64" s="109"/>
      <c r="G64" s="67">
        <f t="shared" si="1"/>
        <v>0</v>
      </c>
      <c r="H64" s="109"/>
      <c r="I64" s="109"/>
      <c r="J64" s="109"/>
      <c r="K64" s="109"/>
      <c r="L64" s="103">
        <f t="shared" si="2"/>
        <v>0</v>
      </c>
      <c r="M64" s="67">
        <f t="shared" si="3"/>
        <v>0</v>
      </c>
      <c r="N64" s="67">
        <f t="shared" si="4"/>
        <v>0</v>
      </c>
      <c r="O64" s="67">
        <f>'Dala Sales &amp; Deliveries'!L27</f>
        <v>0</v>
      </c>
      <c r="P64" s="67">
        <f t="shared" si="5"/>
        <v>0</v>
      </c>
      <c r="Q64" s="67" t="str">
        <f>'External Delivery Fulfillment'!L27</f>
        <v/>
      </c>
      <c r="R64" s="67">
        <f t="shared" si="6"/>
        <v>0</v>
      </c>
      <c r="S64" s="67" t="str">
        <f>'Forwarding From Client'!L27</f>
        <v/>
      </c>
      <c r="T64" s="67">
        <f t="shared" si="7"/>
        <v>0</v>
      </c>
      <c r="U64" s="67">
        <f>'Dala Restocking'!L27</f>
        <v>0</v>
      </c>
      <c r="V64" s="67">
        <f t="shared" si="8"/>
        <v>0</v>
      </c>
      <c r="W64" s="67" t="str">
        <f>'Client Restocking'!L27</f>
        <v/>
      </c>
    </row>
    <row r="65">
      <c r="B65" s="110"/>
      <c r="C65" s="109"/>
      <c r="D65" s="109"/>
      <c r="E65" s="109"/>
      <c r="F65" s="109"/>
      <c r="G65" s="67">
        <f t="shared" si="1"/>
        <v>0</v>
      </c>
      <c r="H65" s="109"/>
      <c r="I65" s="109"/>
      <c r="J65" s="109"/>
      <c r="K65" s="109"/>
      <c r="L65" s="103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Deliveries'!L28</f>
        <v/>
      </c>
      <c r="P65" s="67">
        <f t="shared" si="5"/>
        <v>0</v>
      </c>
      <c r="Q65" s="67" t="str">
        <f>'External Delivery Fulfillment'!L28</f>
        <v/>
      </c>
      <c r="R65" s="67">
        <f t="shared" si="6"/>
        <v>0</v>
      </c>
      <c r="S65" s="67" t="str">
        <f>'Forwarding From Client'!L28</f>
        <v/>
      </c>
      <c r="T65" s="67">
        <f t="shared" si="7"/>
        <v>0</v>
      </c>
      <c r="U65" s="67" t="str">
        <f>'Dala Restocking'!L28</f>
        <v/>
      </c>
      <c r="V65" s="67">
        <f t="shared" si="8"/>
        <v>0</v>
      </c>
      <c r="W65" s="67" t="str">
        <f>'Client Restocking'!L28</f>
        <v/>
      </c>
    </row>
    <row r="66">
      <c r="B66" s="110"/>
      <c r="C66" s="109"/>
      <c r="D66" s="109"/>
      <c r="E66" s="109"/>
      <c r="F66" s="109"/>
      <c r="G66" s="67">
        <f t="shared" si="1"/>
        <v>0</v>
      </c>
      <c r="H66" s="109"/>
      <c r="I66" s="109"/>
      <c r="J66" s="109"/>
      <c r="K66" s="109"/>
      <c r="L66" s="103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Deliveries'!L29</f>
        <v/>
      </c>
      <c r="P66" s="67">
        <f t="shared" si="5"/>
        <v>0</v>
      </c>
      <c r="Q66" s="67" t="str">
        <f>'External Delivery Fulfillment'!L29</f>
        <v/>
      </c>
      <c r="R66" s="67">
        <f t="shared" si="6"/>
        <v>0</v>
      </c>
      <c r="S66" s="67" t="str">
        <f>'Forwarding From Client'!L29</f>
        <v/>
      </c>
      <c r="T66" s="67">
        <f t="shared" si="7"/>
        <v>0</v>
      </c>
      <c r="U66" s="67" t="str">
        <f>'Dala Restocking'!L29</f>
        <v/>
      </c>
      <c r="V66" s="67">
        <f t="shared" si="8"/>
        <v>0</v>
      </c>
      <c r="W66" s="67" t="str">
        <f>'Client Restocking'!L29</f>
        <v/>
      </c>
    </row>
    <row r="67">
      <c r="B67" s="110"/>
      <c r="C67" s="109"/>
      <c r="D67" s="109"/>
      <c r="E67" s="109"/>
      <c r="F67" s="109"/>
      <c r="G67" s="67">
        <f t="shared" si="1"/>
        <v>0</v>
      </c>
      <c r="H67" s="109"/>
      <c r="I67" s="109"/>
      <c r="J67" s="109"/>
      <c r="K67" s="109"/>
      <c r="L67" s="103">
        <f t="shared" si="2"/>
        <v>0</v>
      </c>
      <c r="M67" s="67">
        <f t="shared" si="3"/>
        <v>0</v>
      </c>
      <c r="N67" s="67">
        <f t="shared" si="4"/>
        <v>0</v>
      </c>
      <c r="O67" s="67"/>
      <c r="P67" s="67">
        <f t="shared" si="5"/>
        <v>0</v>
      </c>
      <c r="Q67" s="67"/>
      <c r="R67" s="67">
        <f t="shared" si="6"/>
        <v>0</v>
      </c>
      <c r="S67" s="67" t="str">
        <f>'Forwarding From Client'!L30</f>
        <v/>
      </c>
      <c r="T67" s="67">
        <f t="shared" si="7"/>
        <v>0</v>
      </c>
      <c r="U67" s="67"/>
      <c r="V67" s="67">
        <f t="shared" si="8"/>
        <v>0</v>
      </c>
      <c r="W67" s="67"/>
    </row>
    <row r="68">
      <c r="B68" s="72" t="s">
        <v>92</v>
      </c>
      <c r="C68" s="72"/>
      <c r="D68" s="72"/>
      <c r="E68" s="68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19</v>
      </c>
      <c r="L68" s="111">
        <f t="shared" si="9"/>
        <v>0</v>
      </c>
      <c r="M68" s="111">
        <f t="shared" si="9"/>
        <v>19</v>
      </c>
      <c r="N68" s="111">
        <f t="shared" si="9"/>
        <v>604200</v>
      </c>
      <c r="O68" s="111">
        <f t="shared" si="9"/>
        <v>0</v>
      </c>
      <c r="P68" s="111">
        <f t="shared" si="9"/>
        <v>0</v>
      </c>
      <c r="Q68" s="111">
        <f t="shared" si="9"/>
        <v>0</v>
      </c>
      <c r="R68" s="67">
        <f t="shared" si="9"/>
        <v>0</v>
      </c>
      <c r="S68" s="67">
        <f t="shared" si="9"/>
        <v>0</v>
      </c>
      <c r="T68" s="67">
        <f t="shared" si="9"/>
        <v>0</v>
      </c>
      <c r="U68" s="67">
        <f t="shared" si="9"/>
        <v>0</v>
      </c>
      <c r="V68" s="67">
        <f t="shared" si="9"/>
        <v>0</v>
      </c>
      <c r="W68" s="67">
        <f t="shared" si="9"/>
        <v>0</v>
      </c>
    </row>
    <row r="69">
      <c r="C69" s="6" t="s">
        <v>93</v>
      </c>
      <c r="D69" s="6" t="s">
        <v>93</v>
      </c>
      <c r="E69" s="6" t="s">
        <v>93</v>
      </c>
      <c r="F69" s="6" t="s">
        <v>93</v>
      </c>
      <c r="G69" s="6" t="s">
        <v>93</v>
      </c>
      <c r="H69" s="6" t="s">
        <v>93</v>
      </c>
      <c r="I69" s="6" t="s">
        <v>93</v>
      </c>
      <c r="J69" s="6" t="s">
        <v>93</v>
      </c>
      <c r="K69" s="6" t="s">
        <v>93</v>
      </c>
      <c r="L69" s="6" t="s">
        <v>93</v>
      </c>
      <c r="M69" s="6" t="s">
        <v>93</v>
      </c>
      <c r="N69" s="6" t="s">
        <v>93</v>
      </c>
      <c r="O69" s="6" t="s">
        <v>93</v>
      </c>
      <c r="P69" s="6" t="s">
        <v>93</v>
      </c>
      <c r="Q69" s="6" t="s">
        <v>93</v>
      </c>
      <c r="R69" s="6" t="s">
        <v>93</v>
      </c>
      <c r="S69" s="6" t="s">
        <v>93</v>
      </c>
      <c r="T69" s="6" t="s">
        <v>93</v>
      </c>
      <c r="U69" s="6" t="s">
        <v>93</v>
      </c>
      <c r="V69" s="6" t="s">
        <v>93</v>
      </c>
      <c r="W69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6" t="s">
        <v>34</v>
      </c>
      <c r="C1" s="66" t="s">
        <v>30</v>
      </c>
      <c r="D1" s="66" t="s">
        <v>35</v>
      </c>
      <c r="E1" s="100" t="s">
        <v>36</v>
      </c>
      <c r="F1" s="74"/>
    </row>
    <row r="2">
      <c r="A2" s="75" t="s">
        <v>37</v>
      </c>
      <c r="B2" s="76" t="s">
        <v>28</v>
      </c>
      <c r="C2" s="77"/>
      <c r="D2" s="77"/>
      <c r="E2" s="78">
        <f>'Dala Sales &amp; Deliveries'!I1+'External Delivery Fulfillment'!I1+'Forwarding From Client'!I1</f>
        <v>3</v>
      </c>
      <c r="F2" s="74"/>
    </row>
    <row r="3">
      <c r="A3" s="79"/>
      <c r="B3" s="76" t="s">
        <v>38</v>
      </c>
      <c r="C3" s="77"/>
      <c r="D3" s="77"/>
      <c r="E3" s="78">
        <f>'Raw Data'!AX2</f>
        <v>1</v>
      </c>
      <c r="F3" s="74"/>
    </row>
    <row r="4">
      <c r="B4" s="112" t="s">
        <v>39</v>
      </c>
      <c r="C4" s="74"/>
      <c r="D4" s="74"/>
      <c r="E4" s="81">
        <f>'Dala Sales &amp; Deliveries'!I3</f>
        <v>192600</v>
      </c>
      <c r="F4" s="74"/>
    </row>
    <row r="5">
      <c r="B5" s="80" t="s">
        <v>40</v>
      </c>
      <c r="C5" s="74"/>
      <c r="D5" s="74"/>
      <c r="E5" s="81">
        <f>E4*1.075-E4</f>
        <v>14445</v>
      </c>
      <c r="F5" s="74"/>
    </row>
    <row r="6">
      <c r="A6" s="82"/>
      <c r="B6" s="83" t="s">
        <v>41</v>
      </c>
      <c r="C6" s="84"/>
      <c r="D6" s="85"/>
      <c r="E6" s="86">
        <f>sum(E4:E5)</f>
        <v>207045</v>
      </c>
      <c r="F6" s="74"/>
    </row>
    <row r="7">
      <c r="A7" s="75" t="s">
        <v>42</v>
      </c>
      <c r="B7" s="76" t="s">
        <v>43</v>
      </c>
      <c r="C7" s="77"/>
      <c r="D7" s="87"/>
      <c r="E7" s="113"/>
    </row>
    <row r="8">
      <c r="A8" s="79"/>
      <c r="B8" s="76" t="s">
        <v>49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44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47</v>
      </c>
      <c r="B10" s="76" t="s">
        <v>48</v>
      </c>
      <c r="C10" s="116"/>
      <c r="D10" s="93">
        <v>350000.0</v>
      </c>
      <c r="E10" s="93">
        <f>C10*D10</f>
        <v>0</v>
      </c>
    </row>
    <row r="11">
      <c r="A11" s="79"/>
      <c r="B11" s="95" t="s">
        <v>94</v>
      </c>
      <c r="C11" s="77"/>
      <c r="D11" s="96"/>
      <c r="E11" s="93">
        <f>V67</f>
        <v>0</v>
      </c>
    </row>
    <row r="12">
      <c r="A12" s="79"/>
      <c r="B12" s="95" t="s">
        <v>64</v>
      </c>
      <c r="C12" s="77"/>
      <c r="D12" s="96"/>
      <c r="E12" s="93">
        <f>C24</f>
        <v>0</v>
      </c>
    </row>
    <row r="13">
      <c r="A13" s="79"/>
      <c r="B13" s="76" t="s">
        <v>51</v>
      </c>
      <c r="C13" s="87"/>
      <c r="D13" s="87"/>
      <c r="E13" s="88">
        <v>0.0</v>
      </c>
    </row>
    <row r="14">
      <c r="A14" s="79"/>
      <c r="B14" s="76" t="s">
        <v>95</v>
      </c>
      <c r="C14" s="87"/>
      <c r="D14" s="87"/>
      <c r="E14" s="93">
        <f>C28</f>
        <v>0</v>
      </c>
    </row>
    <row r="15">
      <c r="A15" s="82"/>
      <c r="B15" s="83" t="s">
        <v>96</v>
      </c>
      <c r="C15" s="85"/>
      <c r="D15" s="85"/>
      <c r="E15" s="86">
        <f>sum(E10:E14)</f>
        <v>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56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6" t="s">
        <v>57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6" t="s">
        <v>58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6" t="s">
        <v>59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6" t="s">
        <v>60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6" t="s">
        <v>61</v>
      </c>
      <c r="C23" s="100">
        <f>O67</f>
        <v>0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6" t="s">
        <v>62</v>
      </c>
      <c r="C24" s="100">
        <f>P67</f>
        <v>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6" t="s">
        <v>63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6" t="s">
        <v>64</v>
      </c>
      <c r="C26" s="100">
        <f>R67</f>
        <v>0</v>
      </c>
      <c r="D26" s="99"/>
    </row>
    <row r="27">
      <c r="A27" s="99"/>
      <c r="B27" s="66" t="s">
        <v>65</v>
      </c>
      <c r="C27" s="100">
        <f>F67</f>
        <v>0</v>
      </c>
      <c r="D27" s="99"/>
    </row>
    <row r="28">
      <c r="A28" s="99"/>
      <c r="B28" s="66" t="s">
        <v>66</v>
      </c>
      <c r="C28" s="100">
        <f>G67</f>
        <v>0</v>
      </c>
      <c r="D28" s="99"/>
    </row>
    <row r="29">
      <c r="A29" s="99"/>
      <c r="B29" s="66" t="s">
        <v>67</v>
      </c>
      <c r="C29" s="100">
        <f>I67</f>
        <v>0</v>
      </c>
      <c r="D29" s="99"/>
    </row>
    <row r="30">
      <c r="A30" s="99"/>
      <c r="B30" s="66" t="s">
        <v>97</v>
      </c>
      <c r="C30" s="100">
        <f>J67</f>
        <v>0</v>
      </c>
      <c r="D30" s="99"/>
    </row>
    <row r="31">
      <c r="A31" s="99"/>
      <c r="B31" s="66" t="s">
        <v>69</v>
      </c>
      <c r="C31" s="100">
        <f>L67</f>
        <v>0</v>
      </c>
      <c r="D31" s="99"/>
    </row>
    <row r="32">
      <c r="A32" s="99"/>
      <c r="B32" s="66" t="s">
        <v>70</v>
      </c>
      <c r="C32" s="100">
        <f>K67</f>
        <v>33.5</v>
      </c>
      <c r="D32" s="99"/>
    </row>
    <row r="33">
      <c r="A33" s="99"/>
      <c r="B33" s="66" t="s">
        <v>71</v>
      </c>
      <c r="C33" s="100">
        <v>0.0</v>
      </c>
      <c r="D33" s="99"/>
    </row>
    <row r="34">
      <c r="A34" s="99"/>
      <c r="B34" s="66" t="s">
        <v>72</v>
      </c>
      <c r="C34" s="100">
        <v>0.0</v>
      </c>
      <c r="D34" s="99"/>
    </row>
    <row r="37">
      <c r="B37" s="66" t="s">
        <v>73</v>
      </c>
      <c r="C37" s="66" t="s">
        <v>74</v>
      </c>
      <c r="D37" s="66" t="s">
        <v>75</v>
      </c>
      <c r="E37" s="66" t="s">
        <v>76</v>
      </c>
      <c r="F37" s="72" t="s">
        <v>77</v>
      </c>
      <c r="G37" s="72" t="s">
        <v>78</v>
      </c>
      <c r="H37" s="72" t="s">
        <v>79</v>
      </c>
      <c r="I37" s="72" t="s">
        <v>80</v>
      </c>
      <c r="J37" s="72" t="s">
        <v>81</v>
      </c>
      <c r="K37" s="72" t="s">
        <v>82</v>
      </c>
      <c r="L37" s="72" t="s">
        <v>69</v>
      </c>
      <c r="M37" s="72" t="s">
        <v>71</v>
      </c>
      <c r="N37" s="72" t="s">
        <v>83</v>
      </c>
      <c r="O37" s="72" t="s">
        <v>61</v>
      </c>
      <c r="P37" s="72" t="s">
        <v>85</v>
      </c>
      <c r="Q37" s="72" t="s">
        <v>86</v>
      </c>
      <c r="R37" s="72" t="s">
        <v>87</v>
      </c>
      <c r="S37" s="72" t="s">
        <v>88</v>
      </c>
      <c r="T37" s="72" t="s">
        <v>60</v>
      </c>
      <c r="U37" s="72" t="s">
        <v>89</v>
      </c>
      <c r="V37" s="72" t="s">
        <v>90</v>
      </c>
      <c r="W37" s="72" t="s">
        <v>91</v>
      </c>
    </row>
    <row r="38">
      <c r="B38" s="72" t="s">
        <v>15</v>
      </c>
      <c r="C38" s="67">
        <f>'Internal Summary'!C39</f>
        <v>33600</v>
      </c>
      <c r="D38" s="67" t="str">
        <f>'Internal Summary'!D39</f>
        <v/>
      </c>
      <c r="E38" s="67">
        <f>'Internal Summary'!E39</f>
        <v>2350</v>
      </c>
      <c r="F38" s="106"/>
      <c r="G38" s="67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0</v>
      </c>
      <c r="M38" s="67">
        <f t="shared" ref="M38:M66" si="3">K38-L38</f>
        <v>0</v>
      </c>
      <c r="N38" s="67">
        <f>M38*C38</f>
        <v>0</v>
      </c>
      <c r="O38" s="67">
        <f>'Dala Sales &amp; Deliveries'!L2</f>
        <v>0</v>
      </c>
      <c r="P38" s="67">
        <f t="shared" ref="P38:P66" si="4">O38*E38</f>
        <v>0</v>
      </c>
      <c r="Q38" s="67">
        <f>'External Delivery Fulfillment'!L2</f>
        <v>0</v>
      </c>
      <c r="R38" s="67">
        <f t="shared" ref="R38:R66" si="5">Q38*E38</f>
        <v>0</v>
      </c>
      <c r="S38" s="67">
        <f>'Forwarding From Client'!L2</f>
        <v>0</v>
      </c>
      <c r="T38" s="67">
        <f t="shared" ref="T38:T66" si="6">S38*E38</f>
        <v>0</v>
      </c>
      <c r="U38" s="67">
        <f>'Dala Restocking'!L2</f>
        <v>0</v>
      </c>
      <c r="V38" s="67">
        <f t="shared" ref="V38:V66" si="7">U38*D38</f>
        <v>0</v>
      </c>
      <c r="W38" s="67">
        <f>'Client Restocking'!L2</f>
        <v>0</v>
      </c>
    </row>
    <row r="39">
      <c r="B39" s="72" t="s">
        <v>20</v>
      </c>
      <c r="C39" s="67">
        <f>'Internal Summary'!C40</f>
        <v>30000</v>
      </c>
      <c r="D39" s="67" t="str">
        <f>'Internal Summary'!D40</f>
        <v/>
      </c>
      <c r="E39" s="67">
        <f>'Internal Summary'!E40</f>
        <v>2350</v>
      </c>
      <c r="F39" s="109"/>
      <c r="G39" s="67">
        <f t="shared" si="1"/>
        <v>0</v>
      </c>
      <c r="H39" s="109"/>
      <c r="I39" s="106"/>
      <c r="J39" s="109"/>
      <c r="K39" s="106">
        <v>0.0</v>
      </c>
      <c r="L39" s="111">
        <f t="shared" si="2"/>
        <v>0</v>
      </c>
      <c r="M39" s="67">
        <f t="shared" si="3"/>
        <v>0</v>
      </c>
      <c r="N39" s="67"/>
      <c r="O39" s="67">
        <f>'Dala Sales &amp; Deliveries'!L3</f>
        <v>0</v>
      </c>
      <c r="P39" s="67">
        <f t="shared" si="4"/>
        <v>0</v>
      </c>
      <c r="Q39" s="67">
        <f>'External Delivery Fulfillment'!L3</f>
        <v>0</v>
      </c>
      <c r="R39" s="67">
        <f t="shared" si="5"/>
        <v>0</v>
      </c>
      <c r="S39" s="67">
        <f>'Forwarding From Client'!L3</f>
        <v>0</v>
      </c>
      <c r="T39" s="67">
        <f t="shared" si="6"/>
        <v>0</v>
      </c>
      <c r="U39" s="67">
        <f>'Dala Restocking'!L3</f>
        <v>0</v>
      </c>
      <c r="V39" s="67">
        <f t="shared" si="7"/>
        <v>0</v>
      </c>
      <c r="W39" s="67">
        <f>'Client Restocking'!L3</f>
        <v>0</v>
      </c>
    </row>
    <row r="40">
      <c r="B40" s="67"/>
      <c r="C40" s="67" t="str">
        <f>'Internal Summary'!C41</f>
        <v/>
      </c>
      <c r="D40" s="67" t="str">
        <f>'Internal Summary'!D41</f>
        <v/>
      </c>
      <c r="E40" s="67" t="str">
        <f>'Internal Summary'!E41</f>
        <v/>
      </c>
      <c r="F40" s="109"/>
      <c r="G40" s="67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7">
        <f t="shared" si="3"/>
        <v>0</v>
      </c>
      <c r="N40" s="67"/>
      <c r="O40" s="67">
        <f>'Dala Sales &amp; Deliveries'!L4</f>
        <v>0</v>
      </c>
      <c r="P40" s="67">
        <f t="shared" si="4"/>
        <v>0</v>
      </c>
      <c r="Q40" s="67">
        <f>'External Delivery Fulfillment'!L4</f>
        <v>0</v>
      </c>
      <c r="R40" s="67">
        <f t="shared" si="5"/>
        <v>0</v>
      </c>
      <c r="S40" s="67">
        <f>'Forwarding From Client'!L4</f>
        <v>0</v>
      </c>
      <c r="T40" s="67">
        <f t="shared" si="6"/>
        <v>0</v>
      </c>
      <c r="U40" s="67">
        <f>'Dala Restocking'!L4</f>
        <v>0</v>
      </c>
      <c r="V40" s="67">
        <f t="shared" si="7"/>
        <v>0</v>
      </c>
      <c r="W40" s="67">
        <f>'Client Restocking'!L4</f>
        <v>0</v>
      </c>
    </row>
    <row r="41">
      <c r="B41" s="67"/>
      <c r="C41" s="67" t="str">
        <f>'Internal Summary'!C42</f>
        <v/>
      </c>
      <c r="D41" s="67" t="str">
        <f>'Internal Summary'!D42</f>
        <v/>
      </c>
      <c r="E41" s="67" t="str">
        <f>'Internal Summary'!E42</f>
        <v/>
      </c>
      <c r="F41" s="109"/>
      <c r="G41" s="67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7">
        <f t="shared" si="3"/>
        <v>0</v>
      </c>
      <c r="N41" s="67"/>
      <c r="O41" s="67">
        <f>'Dala Sales &amp; Deliveries'!L5</f>
        <v>0</v>
      </c>
      <c r="P41" s="67">
        <f t="shared" si="4"/>
        <v>0</v>
      </c>
      <c r="Q41" s="67">
        <f>'External Delivery Fulfillment'!L5</f>
        <v>0</v>
      </c>
      <c r="R41" s="67">
        <f t="shared" si="5"/>
        <v>0</v>
      </c>
      <c r="S41" s="67">
        <f>'Forwarding From Client'!L5</f>
        <v>0</v>
      </c>
      <c r="T41" s="67">
        <f t="shared" si="6"/>
        <v>0</v>
      </c>
      <c r="U41" s="67">
        <f>'Dala Restocking'!L5</f>
        <v>0</v>
      </c>
      <c r="V41" s="67">
        <f t="shared" si="7"/>
        <v>0</v>
      </c>
      <c r="W41" s="67">
        <f>'Client Restocking'!L5</f>
        <v>0</v>
      </c>
    </row>
    <row r="42">
      <c r="B42" s="67"/>
      <c r="C42" s="67" t="str">
        <f>'Internal Summary'!C43</f>
        <v/>
      </c>
      <c r="D42" s="67" t="str">
        <f>'Internal Summary'!D43</f>
        <v/>
      </c>
      <c r="E42" s="67" t="str">
        <f>'Internal Summary'!E43</f>
        <v/>
      </c>
      <c r="F42" s="109"/>
      <c r="G42" s="67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7">
        <f t="shared" si="3"/>
        <v>4.5</v>
      </c>
      <c r="N42" s="67"/>
      <c r="O42" s="67">
        <f>'Dala Sales &amp; Deliveries'!L6</f>
        <v>0</v>
      </c>
      <c r="P42" s="67">
        <f t="shared" si="4"/>
        <v>0</v>
      </c>
      <c r="Q42" s="67">
        <f>'External Delivery Fulfillment'!L6</f>
        <v>0</v>
      </c>
      <c r="R42" s="67">
        <f t="shared" si="5"/>
        <v>0</v>
      </c>
      <c r="S42" s="67">
        <f>'Forwarding From Client'!L6</f>
        <v>0</v>
      </c>
      <c r="T42" s="67">
        <f t="shared" si="6"/>
        <v>0</v>
      </c>
      <c r="U42" s="67">
        <f>'Dala Restocking'!L6</f>
        <v>0</v>
      </c>
      <c r="V42" s="67">
        <f t="shared" si="7"/>
        <v>0</v>
      </c>
      <c r="W42" s="67">
        <f>'Client Restocking'!L6</f>
        <v>0</v>
      </c>
    </row>
    <row r="43">
      <c r="B43" s="67"/>
      <c r="C43" s="67" t="str">
        <f>'Internal Summary'!C44</f>
        <v/>
      </c>
      <c r="D43" s="67" t="str">
        <f>'Internal Summary'!D44</f>
        <v/>
      </c>
      <c r="E43" s="67" t="str">
        <f>'Internal Summary'!E44</f>
        <v/>
      </c>
      <c r="F43" s="109"/>
      <c r="G43" s="67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7">
        <f t="shared" si="3"/>
        <v>2</v>
      </c>
      <c r="N43" s="67"/>
      <c r="O43" s="67">
        <f>'Dala Sales &amp; Deliveries'!L7</f>
        <v>0</v>
      </c>
      <c r="P43" s="67">
        <f t="shared" si="4"/>
        <v>0</v>
      </c>
      <c r="Q43" s="67">
        <f>'External Delivery Fulfillment'!L7</f>
        <v>0</v>
      </c>
      <c r="R43" s="67">
        <f t="shared" si="5"/>
        <v>0</v>
      </c>
      <c r="S43" s="67">
        <f>'Forwarding From Client'!L7</f>
        <v>0</v>
      </c>
      <c r="T43" s="67">
        <f t="shared" si="6"/>
        <v>0</v>
      </c>
      <c r="U43" s="67">
        <f>'Dala Restocking'!L7</f>
        <v>0</v>
      </c>
      <c r="V43" s="67">
        <f t="shared" si="7"/>
        <v>0</v>
      </c>
      <c r="W43" s="67">
        <f>'Client Restocking'!L7</f>
        <v>0</v>
      </c>
    </row>
    <row r="44">
      <c r="B44" s="67"/>
      <c r="C44" s="67" t="str">
        <f>'Internal Summary'!C45</f>
        <v/>
      </c>
      <c r="D44" s="67" t="str">
        <f>'Internal Summary'!D45</f>
        <v/>
      </c>
      <c r="E44" s="67" t="str">
        <f>'Internal Summary'!E45</f>
        <v/>
      </c>
      <c r="F44" s="109"/>
      <c r="G44" s="67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7">
        <f t="shared" si="3"/>
        <v>7</v>
      </c>
      <c r="N44" s="67"/>
      <c r="O44" s="67">
        <f>'Dala Sales &amp; Deliveries'!L8</f>
        <v>0</v>
      </c>
      <c r="P44" s="67">
        <f t="shared" si="4"/>
        <v>0</v>
      </c>
      <c r="Q44" s="67">
        <f>'External Delivery Fulfillment'!L8</f>
        <v>0</v>
      </c>
      <c r="R44" s="67">
        <f t="shared" si="5"/>
        <v>0</v>
      </c>
      <c r="S44" s="67">
        <f>'Forwarding From Client'!L8</f>
        <v>0</v>
      </c>
      <c r="T44" s="67">
        <f t="shared" si="6"/>
        <v>0</v>
      </c>
      <c r="U44" s="67">
        <f>'Dala Restocking'!L8</f>
        <v>0</v>
      </c>
      <c r="V44" s="67">
        <f t="shared" si="7"/>
        <v>0</v>
      </c>
      <c r="W44" s="67">
        <f>'Client Restocking'!L8</f>
        <v>0</v>
      </c>
    </row>
    <row r="45">
      <c r="B45" s="67"/>
      <c r="C45" s="67" t="str">
        <f>'Internal Summary'!C46</f>
        <v/>
      </c>
      <c r="D45" s="67" t="str">
        <f>'Internal Summary'!D46</f>
        <v/>
      </c>
      <c r="E45" s="67" t="str">
        <f>'Internal Summary'!E46</f>
        <v/>
      </c>
      <c r="F45" s="109"/>
      <c r="G45" s="67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7">
        <f t="shared" si="3"/>
        <v>4.5</v>
      </c>
      <c r="N45" s="67"/>
      <c r="O45" s="67">
        <f>'Dala Sales &amp; Deliveries'!L9</f>
        <v>0</v>
      </c>
      <c r="P45" s="67">
        <f t="shared" si="4"/>
        <v>0</v>
      </c>
      <c r="Q45" s="67">
        <f>'External Delivery Fulfillment'!L9</f>
        <v>0</v>
      </c>
      <c r="R45" s="67">
        <f t="shared" si="5"/>
        <v>0</v>
      </c>
      <c r="S45" s="67">
        <f>'Forwarding From Client'!L9</f>
        <v>0</v>
      </c>
      <c r="T45" s="67">
        <f t="shared" si="6"/>
        <v>0</v>
      </c>
      <c r="U45" s="67">
        <f>'Dala Restocking'!L9</f>
        <v>0</v>
      </c>
      <c r="V45" s="67">
        <f t="shared" si="7"/>
        <v>0</v>
      </c>
      <c r="W45" s="67">
        <f>'Client Restocking'!L9</f>
        <v>0</v>
      </c>
    </row>
    <row r="46">
      <c r="B46" s="67"/>
      <c r="C46" s="67" t="str">
        <f>'Internal Summary'!C47</f>
        <v/>
      </c>
      <c r="D46" s="67" t="str">
        <f>'Internal Summary'!D47</f>
        <v/>
      </c>
      <c r="E46" s="67" t="str">
        <f>'Internal Summary'!E47</f>
        <v/>
      </c>
      <c r="F46" s="109"/>
      <c r="G46" s="67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7">
        <f t="shared" si="3"/>
        <v>8.5</v>
      </c>
      <c r="N46" s="67"/>
      <c r="O46" s="67">
        <f>'Dala Sales &amp; Deliveries'!L10</f>
        <v>0</v>
      </c>
      <c r="P46" s="67">
        <f t="shared" si="4"/>
        <v>0</v>
      </c>
      <c r="Q46" s="67">
        <f>'External Delivery Fulfillment'!L10</f>
        <v>0</v>
      </c>
      <c r="R46" s="67">
        <f t="shared" si="5"/>
        <v>0</v>
      </c>
      <c r="S46" s="67">
        <f>'Forwarding From Client'!L10</f>
        <v>0</v>
      </c>
      <c r="T46" s="67">
        <f t="shared" si="6"/>
        <v>0</v>
      </c>
      <c r="U46" s="67">
        <f>'Dala Restocking'!L10</f>
        <v>0</v>
      </c>
      <c r="V46" s="67">
        <f t="shared" si="7"/>
        <v>0</v>
      </c>
      <c r="W46" s="67">
        <f>'Client Restocking'!L10</f>
        <v>0</v>
      </c>
    </row>
    <row r="47">
      <c r="B47" s="67"/>
      <c r="C47" s="67" t="str">
        <f>'Internal Summary'!C48</f>
        <v/>
      </c>
      <c r="D47" s="67" t="str">
        <f>'Internal Summary'!D48</f>
        <v/>
      </c>
      <c r="E47" s="67" t="str">
        <f>'Internal Summary'!E48</f>
        <v/>
      </c>
      <c r="F47" s="109"/>
      <c r="G47" s="67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7">
        <f t="shared" si="3"/>
        <v>7</v>
      </c>
      <c r="N47" s="67"/>
      <c r="O47" s="67">
        <f>'Dala Sales &amp; Deliveries'!L11</f>
        <v>0</v>
      </c>
      <c r="P47" s="67">
        <f t="shared" si="4"/>
        <v>0</v>
      </c>
      <c r="Q47" s="67">
        <f>'External Delivery Fulfillment'!L11</f>
        <v>0</v>
      </c>
      <c r="R47" s="67">
        <f t="shared" si="5"/>
        <v>0</v>
      </c>
      <c r="S47" s="67">
        <f>'Forwarding From Client'!L11</f>
        <v>0</v>
      </c>
      <c r="T47" s="67">
        <f t="shared" si="6"/>
        <v>0</v>
      </c>
      <c r="U47" s="67">
        <f>'Dala Restocking'!L11</f>
        <v>0</v>
      </c>
      <c r="V47" s="67">
        <f t="shared" si="7"/>
        <v>0</v>
      </c>
      <c r="W47" s="67">
        <f>'Client Restocking'!L11</f>
        <v>0</v>
      </c>
    </row>
    <row r="48">
      <c r="B48" s="67"/>
      <c r="C48" s="67" t="str">
        <f>'Internal Summary'!C49</f>
        <v/>
      </c>
      <c r="D48" s="67" t="str">
        <f>'Internal Summary'!D49</f>
        <v/>
      </c>
      <c r="E48" s="67" t="str">
        <f>'Internal Summary'!E49</f>
        <v/>
      </c>
      <c r="F48" s="109"/>
      <c r="G48" s="67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7">
        <f t="shared" si="3"/>
        <v>0</v>
      </c>
      <c r="N48" s="67"/>
      <c r="O48" s="67">
        <f>'Dala Sales &amp; Deliveries'!L12</f>
        <v>0</v>
      </c>
      <c r="P48" s="67">
        <f t="shared" si="4"/>
        <v>0</v>
      </c>
      <c r="Q48" s="67">
        <f>'External Delivery Fulfillment'!L12</f>
        <v>0</v>
      </c>
      <c r="R48" s="67">
        <f t="shared" si="5"/>
        <v>0</v>
      </c>
      <c r="S48" s="67">
        <f>'Forwarding From Client'!L12</f>
        <v>0</v>
      </c>
      <c r="T48" s="67">
        <f t="shared" si="6"/>
        <v>0</v>
      </c>
      <c r="U48" s="67">
        <f>'Dala Restocking'!L12</f>
        <v>0</v>
      </c>
      <c r="V48" s="67">
        <f t="shared" si="7"/>
        <v>0</v>
      </c>
      <c r="W48" s="67">
        <f>'Client Restocking'!L12</f>
        <v>0</v>
      </c>
    </row>
    <row r="49">
      <c r="B49" s="67"/>
      <c r="C49" s="67" t="str">
        <f>'Internal Summary'!C50</f>
        <v/>
      </c>
      <c r="D49" s="67" t="str">
        <f>'Internal Summary'!D50</f>
        <v/>
      </c>
      <c r="E49" s="67" t="str">
        <f>'Internal Summary'!E50</f>
        <v/>
      </c>
      <c r="F49" s="109"/>
      <c r="G49" s="67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7">
        <f t="shared" si="3"/>
        <v>0</v>
      </c>
      <c r="N49" s="67"/>
      <c r="O49" s="67">
        <f>'Dala Sales &amp; Deliveries'!L13</f>
        <v>0</v>
      </c>
      <c r="P49" s="67">
        <f t="shared" si="4"/>
        <v>0</v>
      </c>
      <c r="Q49" s="67">
        <f>'External Delivery Fulfillment'!L13</f>
        <v>0</v>
      </c>
      <c r="R49" s="67">
        <f t="shared" si="5"/>
        <v>0</v>
      </c>
      <c r="S49" s="67">
        <f>'Forwarding From Client'!L13</f>
        <v>0</v>
      </c>
      <c r="T49" s="67">
        <f t="shared" si="6"/>
        <v>0</v>
      </c>
      <c r="U49" s="67">
        <f>'Dala Restocking'!L13</f>
        <v>0</v>
      </c>
      <c r="V49" s="67">
        <f t="shared" si="7"/>
        <v>0</v>
      </c>
      <c r="W49" s="67">
        <f>'Client Restocking'!L13</f>
        <v>0</v>
      </c>
    </row>
    <row r="50">
      <c r="B50" s="67" t="str">
        <f>'Internal Summary'!B51</f>
        <v/>
      </c>
      <c r="C50" s="67" t="str">
        <f>'Internal Summary'!C51</f>
        <v/>
      </c>
      <c r="D50" s="67" t="str">
        <f>'Internal Summary'!D51</f>
        <v/>
      </c>
      <c r="E50" s="67" t="str">
        <f>'Internal Summary'!E51</f>
        <v/>
      </c>
      <c r="F50" s="109"/>
      <c r="G50" s="67">
        <f t="shared" si="1"/>
        <v>0</v>
      </c>
      <c r="H50" s="109"/>
      <c r="I50" s="109"/>
      <c r="J50" s="109"/>
      <c r="K50" s="109"/>
      <c r="L50" s="111">
        <f t="shared" si="2"/>
        <v>0</v>
      </c>
      <c r="M50" s="67">
        <f t="shared" si="3"/>
        <v>0</v>
      </c>
      <c r="N50" s="67"/>
      <c r="O50" s="67">
        <f>'Dala Sales &amp; Deliveries'!L14</f>
        <v>0</v>
      </c>
      <c r="P50" s="67">
        <f t="shared" si="4"/>
        <v>0</v>
      </c>
      <c r="Q50" s="67">
        <f>'External Delivery Fulfillment'!L14</f>
        <v>0</v>
      </c>
      <c r="R50" s="67">
        <f t="shared" si="5"/>
        <v>0</v>
      </c>
      <c r="S50" s="67">
        <f>'Forwarding From Client'!L14</f>
        <v>0</v>
      </c>
      <c r="T50" s="67">
        <f t="shared" si="6"/>
        <v>0</v>
      </c>
      <c r="U50" s="67">
        <f>'Dala Restocking'!L14</f>
        <v>0</v>
      </c>
      <c r="V50" s="67">
        <f t="shared" si="7"/>
        <v>0</v>
      </c>
      <c r="W50" s="67">
        <f>'Client Restocking'!L14</f>
        <v>0</v>
      </c>
    </row>
    <row r="51">
      <c r="B51" s="67" t="str">
        <f>'Internal Summary'!B52</f>
        <v/>
      </c>
      <c r="C51" s="67" t="str">
        <f>'Internal Summary'!C52</f>
        <v/>
      </c>
      <c r="D51" s="67" t="str">
        <f>'Internal Summary'!D52</f>
        <v/>
      </c>
      <c r="E51" s="67" t="str">
        <f>'Internal Summary'!E52</f>
        <v/>
      </c>
      <c r="F51" s="109"/>
      <c r="G51" s="67">
        <f t="shared" si="1"/>
        <v>0</v>
      </c>
      <c r="H51" s="109"/>
      <c r="I51" s="109"/>
      <c r="J51" s="109"/>
      <c r="K51" s="109"/>
      <c r="L51" s="111">
        <f t="shared" si="2"/>
        <v>0</v>
      </c>
      <c r="M51" s="67">
        <f t="shared" si="3"/>
        <v>0</v>
      </c>
      <c r="N51" s="67"/>
      <c r="O51" s="67">
        <f>'Dala Sales &amp; Deliveries'!L15</f>
        <v>0</v>
      </c>
      <c r="P51" s="67">
        <f t="shared" si="4"/>
        <v>0</v>
      </c>
      <c r="Q51" s="67">
        <f>'External Delivery Fulfillment'!L15</f>
        <v>0</v>
      </c>
      <c r="R51" s="67">
        <f t="shared" si="5"/>
        <v>0</v>
      </c>
      <c r="S51" s="67">
        <f>'Forwarding From Client'!L15</f>
        <v>0</v>
      </c>
      <c r="T51" s="67">
        <f t="shared" si="6"/>
        <v>0</v>
      </c>
      <c r="U51" s="67">
        <f>'Dala Restocking'!L15</f>
        <v>0</v>
      </c>
      <c r="V51" s="67">
        <f t="shared" si="7"/>
        <v>0</v>
      </c>
      <c r="W51" s="67">
        <f>'Client Restocking'!L15</f>
        <v>0</v>
      </c>
    </row>
    <row r="52">
      <c r="B52" s="67" t="str">
        <f>'Internal Summary'!B53</f>
        <v/>
      </c>
      <c r="C52" s="67" t="str">
        <f>'Internal Summary'!C53</f>
        <v/>
      </c>
      <c r="D52" s="67" t="str">
        <f>'Internal Summary'!D53</f>
        <v/>
      </c>
      <c r="E52" s="67" t="str">
        <f>'Internal Summary'!E53</f>
        <v/>
      </c>
      <c r="F52" s="109"/>
      <c r="G52" s="67">
        <f t="shared" si="1"/>
        <v>0</v>
      </c>
      <c r="H52" s="109"/>
      <c r="I52" s="109"/>
      <c r="J52" s="109"/>
      <c r="K52" s="109"/>
      <c r="L52" s="111">
        <f t="shared" si="2"/>
        <v>0</v>
      </c>
      <c r="M52" s="67">
        <f t="shared" si="3"/>
        <v>0</v>
      </c>
      <c r="N52" s="67"/>
      <c r="O52" s="67"/>
      <c r="P52" s="67">
        <f t="shared" si="4"/>
        <v>0</v>
      </c>
      <c r="Q52" s="67"/>
      <c r="R52" s="67">
        <f t="shared" si="5"/>
        <v>0</v>
      </c>
      <c r="S52" s="67" t="str">
        <f>'Forwarding From Client'!L16</f>
        <v/>
      </c>
      <c r="T52" s="67">
        <f t="shared" si="6"/>
        <v>0</v>
      </c>
      <c r="U52" s="67"/>
      <c r="V52" s="67">
        <f t="shared" si="7"/>
        <v>0</v>
      </c>
      <c r="W52" s="67"/>
    </row>
    <row r="53">
      <c r="B53" s="67" t="str">
        <f>'Internal Summary'!B54</f>
        <v/>
      </c>
      <c r="C53" s="67" t="str">
        <f>'Internal Summary'!C54</f>
        <v/>
      </c>
      <c r="D53" s="67" t="str">
        <f>'Internal Summary'!D54</f>
        <v/>
      </c>
      <c r="E53" s="67" t="str">
        <f>'Internal Summary'!E54</f>
        <v/>
      </c>
      <c r="F53" s="109"/>
      <c r="G53" s="67">
        <f t="shared" si="1"/>
        <v>0</v>
      </c>
      <c r="H53" s="109"/>
      <c r="I53" s="109"/>
      <c r="J53" s="109"/>
      <c r="K53" s="109"/>
      <c r="L53" s="111">
        <f t="shared" si="2"/>
        <v>0</v>
      </c>
      <c r="M53" s="67">
        <f t="shared" si="3"/>
        <v>0</v>
      </c>
      <c r="N53" s="67"/>
      <c r="O53" s="67"/>
      <c r="P53" s="67">
        <f t="shared" si="4"/>
        <v>0</v>
      </c>
      <c r="Q53" s="67"/>
      <c r="R53" s="67">
        <f t="shared" si="5"/>
        <v>0</v>
      </c>
      <c r="S53" s="67" t="str">
        <f>'Forwarding From Client'!L17</f>
        <v/>
      </c>
      <c r="T53" s="67">
        <f t="shared" si="6"/>
        <v>0</v>
      </c>
      <c r="U53" s="67"/>
      <c r="V53" s="67">
        <f t="shared" si="7"/>
        <v>0</v>
      </c>
      <c r="W53" s="67"/>
    </row>
    <row r="54">
      <c r="B54" s="67" t="str">
        <f>'Internal Summary'!B55</f>
        <v/>
      </c>
      <c r="C54" s="67" t="str">
        <f>'Internal Summary'!C55</f>
        <v/>
      </c>
      <c r="D54" s="67" t="str">
        <f>'Internal Summary'!D55</f>
        <v/>
      </c>
      <c r="E54" s="67" t="str">
        <f>'Internal Summary'!E55</f>
        <v/>
      </c>
      <c r="F54" s="109"/>
      <c r="G54" s="67">
        <f t="shared" si="1"/>
        <v>0</v>
      </c>
      <c r="H54" s="109"/>
      <c r="I54" s="109"/>
      <c r="J54" s="109"/>
      <c r="K54" s="109"/>
      <c r="L54" s="111">
        <f t="shared" si="2"/>
        <v>0</v>
      </c>
      <c r="M54" s="67">
        <f t="shared" si="3"/>
        <v>0</v>
      </c>
      <c r="N54" s="67"/>
      <c r="O54" s="67"/>
      <c r="P54" s="67">
        <f t="shared" si="4"/>
        <v>0</v>
      </c>
      <c r="Q54" s="67"/>
      <c r="R54" s="67">
        <f t="shared" si="5"/>
        <v>0</v>
      </c>
      <c r="S54" s="67" t="str">
        <f>'Forwarding From Client'!L18</f>
        <v/>
      </c>
      <c r="T54" s="67">
        <f t="shared" si="6"/>
        <v>0</v>
      </c>
      <c r="U54" s="67"/>
      <c r="V54" s="67">
        <f t="shared" si="7"/>
        <v>0</v>
      </c>
      <c r="W54" s="67"/>
    </row>
    <row r="55">
      <c r="B55" s="67" t="str">
        <f>'Internal Summary'!B56</f>
        <v/>
      </c>
      <c r="C55" s="67" t="str">
        <f>'Internal Summary'!C56</f>
        <v/>
      </c>
      <c r="D55" s="67" t="str">
        <f>'Internal Summary'!D56</f>
        <v/>
      </c>
      <c r="E55" s="67" t="str">
        <f>'Internal Summary'!E56</f>
        <v/>
      </c>
      <c r="F55" s="109"/>
      <c r="G55" s="67">
        <f t="shared" si="1"/>
        <v>0</v>
      </c>
      <c r="H55" s="109"/>
      <c r="I55" s="109"/>
      <c r="J55" s="109"/>
      <c r="K55" s="109"/>
      <c r="L55" s="111">
        <f t="shared" si="2"/>
        <v>0</v>
      </c>
      <c r="M55" s="67">
        <f t="shared" si="3"/>
        <v>0</v>
      </c>
      <c r="N55" s="67"/>
      <c r="O55" s="67"/>
      <c r="P55" s="67">
        <f t="shared" si="4"/>
        <v>0</v>
      </c>
      <c r="Q55" s="67"/>
      <c r="R55" s="67">
        <f t="shared" si="5"/>
        <v>0</v>
      </c>
      <c r="S55" s="67" t="str">
        <f>'Forwarding From Client'!L19</f>
        <v/>
      </c>
      <c r="T55" s="67">
        <f t="shared" si="6"/>
        <v>0</v>
      </c>
      <c r="U55" s="67"/>
      <c r="V55" s="67">
        <f t="shared" si="7"/>
        <v>0</v>
      </c>
      <c r="W55" s="67"/>
    </row>
    <row r="56">
      <c r="B56" s="67" t="str">
        <f>'Internal Summary'!B57</f>
        <v/>
      </c>
      <c r="C56" s="67" t="str">
        <f>'Internal Summary'!C57</f>
        <v/>
      </c>
      <c r="D56" s="67" t="str">
        <f>'Internal Summary'!D57</f>
        <v/>
      </c>
      <c r="E56" s="67" t="str">
        <f>'Internal Summary'!E57</f>
        <v/>
      </c>
      <c r="F56" s="109"/>
      <c r="G56" s="67">
        <f t="shared" si="1"/>
        <v>0</v>
      </c>
      <c r="H56" s="109"/>
      <c r="I56" s="109"/>
      <c r="J56" s="109"/>
      <c r="K56" s="109"/>
      <c r="L56" s="111">
        <f t="shared" si="2"/>
        <v>0</v>
      </c>
      <c r="M56" s="67">
        <f t="shared" si="3"/>
        <v>0</v>
      </c>
      <c r="N56" s="67"/>
      <c r="O56" s="67"/>
      <c r="P56" s="67">
        <f t="shared" si="4"/>
        <v>0</v>
      </c>
      <c r="Q56" s="67"/>
      <c r="R56" s="67">
        <f t="shared" si="5"/>
        <v>0</v>
      </c>
      <c r="S56" s="67" t="str">
        <f>'Forwarding From Client'!L20</f>
        <v/>
      </c>
      <c r="T56" s="67">
        <f t="shared" si="6"/>
        <v>0</v>
      </c>
      <c r="U56" s="67"/>
      <c r="V56" s="67">
        <f t="shared" si="7"/>
        <v>0</v>
      </c>
      <c r="W56" s="67"/>
    </row>
    <row r="57">
      <c r="B57" s="67" t="str">
        <f>'Internal Summary'!B58</f>
        <v/>
      </c>
      <c r="C57" s="67" t="str">
        <f>'Internal Summary'!C58</f>
        <v/>
      </c>
      <c r="D57" s="67" t="str">
        <f>'Internal Summary'!D58</f>
        <v/>
      </c>
      <c r="E57" s="67" t="str">
        <f>'Internal Summary'!E58</f>
        <v/>
      </c>
      <c r="F57" s="109"/>
      <c r="G57" s="67">
        <f t="shared" si="1"/>
        <v>0</v>
      </c>
      <c r="H57" s="109"/>
      <c r="I57" s="109"/>
      <c r="J57" s="109"/>
      <c r="K57" s="109"/>
      <c r="L57" s="111">
        <f t="shared" si="2"/>
        <v>0</v>
      </c>
      <c r="M57" s="67">
        <f t="shared" si="3"/>
        <v>0</v>
      </c>
      <c r="N57" s="67"/>
      <c r="O57" s="67"/>
      <c r="P57" s="67">
        <f t="shared" si="4"/>
        <v>0</v>
      </c>
      <c r="Q57" s="67"/>
      <c r="R57" s="67">
        <f t="shared" si="5"/>
        <v>0</v>
      </c>
      <c r="S57" s="67" t="str">
        <f>'Forwarding From Client'!L21</f>
        <v/>
      </c>
      <c r="T57" s="67">
        <f t="shared" si="6"/>
        <v>0</v>
      </c>
      <c r="U57" s="67"/>
      <c r="V57" s="67">
        <f t="shared" si="7"/>
        <v>0</v>
      </c>
      <c r="W57" s="67"/>
    </row>
    <row r="58">
      <c r="B58" s="67" t="str">
        <f>'Internal Summary'!B59</f>
        <v/>
      </c>
      <c r="C58" s="67" t="str">
        <f>'Internal Summary'!C59</f>
        <v/>
      </c>
      <c r="D58" s="67" t="str">
        <f>'Internal Summary'!D59</f>
        <v/>
      </c>
      <c r="E58" s="67" t="str">
        <f>'Internal Summary'!E59</f>
        <v/>
      </c>
      <c r="F58" s="109"/>
      <c r="G58" s="67">
        <f t="shared" si="1"/>
        <v>0</v>
      </c>
      <c r="H58" s="109"/>
      <c r="I58" s="109"/>
      <c r="J58" s="109"/>
      <c r="K58" s="109"/>
      <c r="L58" s="111">
        <f t="shared" si="2"/>
        <v>0</v>
      </c>
      <c r="M58" s="67">
        <f t="shared" si="3"/>
        <v>0</v>
      </c>
      <c r="N58" s="67"/>
      <c r="O58" s="67"/>
      <c r="P58" s="67">
        <f t="shared" si="4"/>
        <v>0</v>
      </c>
      <c r="Q58" s="67"/>
      <c r="R58" s="67">
        <f t="shared" si="5"/>
        <v>0</v>
      </c>
      <c r="S58" s="67" t="str">
        <f>'Forwarding From Client'!L22</f>
        <v/>
      </c>
      <c r="T58" s="67">
        <f t="shared" si="6"/>
        <v>0</v>
      </c>
      <c r="U58" s="67"/>
      <c r="V58" s="67">
        <f t="shared" si="7"/>
        <v>0</v>
      </c>
      <c r="W58" s="67"/>
    </row>
    <row r="59">
      <c r="B59" s="67" t="str">
        <f>'Internal Summary'!B60</f>
        <v/>
      </c>
      <c r="C59" s="67" t="str">
        <f>'Internal Summary'!C60</f>
        <v/>
      </c>
      <c r="D59" s="67" t="str">
        <f>'Internal Summary'!D60</f>
        <v/>
      </c>
      <c r="E59" s="67" t="str">
        <f>'Internal Summary'!E60</f>
        <v/>
      </c>
      <c r="F59" s="109"/>
      <c r="G59" s="67">
        <f t="shared" si="1"/>
        <v>0</v>
      </c>
      <c r="H59" s="109"/>
      <c r="I59" s="109"/>
      <c r="J59" s="109"/>
      <c r="K59" s="109"/>
      <c r="L59" s="111">
        <f t="shared" si="2"/>
        <v>0</v>
      </c>
      <c r="M59" s="67">
        <f t="shared" si="3"/>
        <v>0</v>
      </c>
      <c r="N59" s="67"/>
      <c r="O59" s="67"/>
      <c r="P59" s="67">
        <f t="shared" si="4"/>
        <v>0</v>
      </c>
      <c r="Q59" s="67"/>
      <c r="R59" s="67">
        <f t="shared" si="5"/>
        <v>0</v>
      </c>
      <c r="S59" s="67" t="str">
        <f>'Forwarding From Client'!L23</f>
        <v/>
      </c>
      <c r="T59" s="67">
        <f t="shared" si="6"/>
        <v>0</v>
      </c>
      <c r="U59" s="67"/>
      <c r="V59" s="67">
        <f t="shared" si="7"/>
        <v>0</v>
      </c>
      <c r="W59" s="67"/>
    </row>
    <row r="60">
      <c r="B60" s="67" t="str">
        <f>'Internal Summary'!B61</f>
        <v/>
      </c>
      <c r="C60" s="67" t="str">
        <f>'Internal Summary'!C61</f>
        <v/>
      </c>
      <c r="D60" s="67" t="str">
        <f>'Internal Summary'!D61</f>
        <v/>
      </c>
      <c r="E60" s="67" t="str">
        <f>'Internal Summary'!E61</f>
        <v/>
      </c>
      <c r="F60" s="109"/>
      <c r="G60" s="67">
        <f t="shared" si="1"/>
        <v>0</v>
      </c>
      <c r="H60" s="109"/>
      <c r="I60" s="109"/>
      <c r="J60" s="109"/>
      <c r="K60" s="109"/>
      <c r="L60" s="111">
        <f t="shared" si="2"/>
        <v>0</v>
      </c>
      <c r="M60" s="67">
        <f t="shared" si="3"/>
        <v>0</v>
      </c>
      <c r="N60" s="67"/>
      <c r="O60" s="67"/>
      <c r="P60" s="67">
        <f t="shared" si="4"/>
        <v>0</v>
      </c>
      <c r="Q60" s="67"/>
      <c r="R60" s="67">
        <f t="shared" si="5"/>
        <v>0</v>
      </c>
      <c r="S60" s="67" t="str">
        <f>'Forwarding From Client'!L24</f>
        <v/>
      </c>
      <c r="T60" s="67">
        <f t="shared" si="6"/>
        <v>0</v>
      </c>
      <c r="U60" s="67"/>
      <c r="V60" s="67">
        <f t="shared" si="7"/>
        <v>0</v>
      </c>
      <c r="W60" s="67"/>
    </row>
    <row r="61">
      <c r="B61" s="67" t="str">
        <f>'Internal Summary'!B62</f>
        <v/>
      </c>
      <c r="C61" s="67" t="str">
        <f>'Internal Summary'!C62</f>
        <v/>
      </c>
      <c r="D61" s="67" t="str">
        <f>'Internal Summary'!D62</f>
        <v/>
      </c>
      <c r="E61" s="67" t="str">
        <f>'Internal Summary'!E62</f>
        <v/>
      </c>
      <c r="F61" s="109"/>
      <c r="G61" s="67">
        <f t="shared" si="1"/>
        <v>0</v>
      </c>
      <c r="H61" s="109"/>
      <c r="I61" s="109"/>
      <c r="J61" s="109"/>
      <c r="K61" s="109"/>
      <c r="L61" s="111">
        <f t="shared" si="2"/>
        <v>0</v>
      </c>
      <c r="M61" s="67">
        <f t="shared" si="3"/>
        <v>0</v>
      </c>
      <c r="N61" s="67"/>
      <c r="O61" s="67"/>
      <c r="P61" s="67">
        <f t="shared" si="4"/>
        <v>0</v>
      </c>
      <c r="Q61" s="67"/>
      <c r="R61" s="67">
        <f t="shared" si="5"/>
        <v>0</v>
      </c>
      <c r="S61" s="67" t="str">
        <f>'Forwarding From Client'!L25</f>
        <v/>
      </c>
      <c r="T61" s="67">
        <f t="shared" si="6"/>
        <v>0</v>
      </c>
      <c r="U61" s="67"/>
      <c r="V61" s="67">
        <f t="shared" si="7"/>
        <v>0</v>
      </c>
      <c r="W61" s="67"/>
    </row>
    <row r="62">
      <c r="B62" s="67" t="str">
        <f>'Internal Summary'!B63</f>
        <v/>
      </c>
      <c r="C62" s="67" t="str">
        <f>'Internal Summary'!C63</f>
        <v/>
      </c>
      <c r="D62" s="67" t="str">
        <f>'Internal Summary'!D63</f>
        <v/>
      </c>
      <c r="E62" s="67" t="str">
        <f>'Internal Summary'!E63</f>
        <v/>
      </c>
      <c r="F62" s="109"/>
      <c r="G62" s="67">
        <f t="shared" si="1"/>
        <v>0</v>
      </c>
      <c r="H62" s="109"/>
      <c r="I62" s="109"/>
      <c r="J62" s="109"/>
      <c r="K62" s="109"/>
      <c r="L62" s="111">
        <f t="shared" si="2"/>
        <v>0</v>
      </c>
      <c r="M62" s="67">
        <f t="shared" si="3"/>
        <v>0</v>
      </c>
      <c r="N62" s="67"/>
      <c r="O62" s="67"/>
      <c r="P62" s="67">
        <f t="shared" si="4"/>
        <v>0</v>
      </c>
      <c r="Q62" s="67"/>
      <c r="R62" s="67">
        <f t="shared" si="5"/>
        <v>0</v>
      </c>
      <c r="S62" s="67" t="str">
        <f>'Forwarding From Client'!L26</f>
        <v/>
      </c>
      <c r="T62" s="67">
        <f t="shared" si="6"/>
        <v>0</v>
      </c>
      <c r="U62" s="67"/>
      <c r="V62" s="67">
        <f t="shared" si="7"/>
        <v>0</v>
      </c>
      <c r="W62" s="67"/>
    </row>
    <row r="63">
      <c r="B63" s="67" t="str">
        <f>'Internal Summary'!B64</f>
        <v/>
      </c>
      <c r="C63" s="67" t="str">
        <f>'Internal Summary'!C64</f>
        <v/>
      </c>
      <c r="D63" s="67" t="str">
        <f>'Internal Summary'!D64</f>
        <v/>
      </c>
      <c r="E63" s="67" t="str">
        <f>'Internal Summary'!E64</f>
        <v/>
      </c>
      <c r="F63" s="109"/>
      <c r="G63" s="67">
        <f t="shared" si="1"/>
        <v>0</v>
      </c>
      <c r="H63" s="109"/>
      <c r="I63" s="109"/>
      <c r="J63" s="109"/>
      <c r="K63" s="109"/>
      <c r="L63" s="111">
        <f t="shared" si="2"/>
        <v>0</v>
      </c>
      <c r="M63" s="67">
        <f t="shared" si="3"/>
        <v>0</v>
      </c>
      <c r="N63" s="67"/>
      <c r="O63" s="67"/>
      <c r="P63" s="67">
        <f t="shared" si="4"/>
        <v>0</v>
      </c>
      <c r="Q63" s="67"/>
      <c r="R63" s="67">
        <f t="shared" si="5"/>
        <v>0</v>
      </c>
      <c r="S63" s="67" t="str">
        <f>'Forwarding From Client'!L27</f>
        <v/>
      </c>
      <c r="T63" s="67">
        <f t="shared" si="6"/>
        <v>0</v>
      </c>
      <c r="U63" s="67"/>
      <c r="V63" s="67">
        <f t="shared" si="7"/>
        <v>0</v>
      </c>
      <c r="W63" s="67"/>
    </row>
    <row r="64">
      <c r="B64" s="67" t="str">
        <f>'Internal Summary'!B65</f>
        <v/>
      </c>
      <c r="C64" s="67" t="str">
        <f>'Internal Summary'!C65</f>
        <v/>
      </c>
      <c r="D64" s="67" t="str">
        <f>'Internal Summary'!D65</f>
        <v/>
      </c>
      <c r="E64" s="67" t="str">
        <f>'Internal Summary'!E65</f>
        <v/>
      </c>
      <c r="F64" s="109"/>
      <c r="G64" s="67">
        <f t="shared" si="1"/>
        <v>0</v>
      </c>
      <c r="H64" s="109"/>
      <c r="I64" s="109"/>
      <c r="J64" s="109"/>
      <c r="K64" s="109"/>
      <c r="L64" s="111">
        <f t="shared" si="2"/>
        <v>0</v>
      </c>
      <c r="M64" s="67">
        <f t="shared" si="3"/>
        <v>0</v>
      </c>
      <c r="N64" s="67"/>
      <c r="O64" s="67"/>
      <c r="P64" s="67">
        <f t="shared" si="4"/>
        <v>0</v>
      </c>
      <c r="Q64" s="67"/>
      <c r="R64" s="67">
        <f t="shared" si="5"/>
        <v>0</v>
      </c>
      <c r="S64" s="67" t="str">
        <f>'Forwarding From Client'!L28</f>
        <v/>
      </c>
      <c r="T64" s="67">
        <f t="shared" si="6"/>
        <v>0</v>
      </c>
      <c r="U64" s="67"/>
      <c r="V64" s="67">
        <f t="shared" si="7"/>
        <v>0</v>
      </c>
      <c r="W64" s="67"/>
    </row>
    <row r="65">
      <c r="B65" s="67" t="str">
        <f>'Internal Summary'!B66</f>
        <v/>
      </c>
      <c r="C65" s="67" t="str">
        <f>'Internal Summary'!C66</f>
        <v/>
      </c>
      <c r="D65" s="67" t="str">
        <f>'Internal Summary'!D66</f>
        <v/>
      </c>
      <c r="E65" s="67" t="str">
        <f>'Internal Summary'!E66</f>
        <v/>
      </c>
      <c r="F65" s="109"/>
      <c r="G65" s="67">
        <f t="shared" si="1"/>
        <v>0</v>
      </c>
      <c r="H65" s="109"/>
      <c r="I65" s="109"/>
      <c r="J65" s="109"/>
      <c r="K65" s="109"/>
      <c r="L65" s="111">
        <f t="shared" si="2"/>
        <v>0</v>
      </c>
      <c r="M65" s="67">
        <f t="shared" si="3"/>
        <v>0</v>
      </c>
      <c r="N65" s="67"/>
      <c r="O65" s="67"/>
      <c r="P65" s="67">
        <f t="shared" si="4"/>
        <v>0</v>
      </c>
      <c r="Q65" s="67"/>
      <c r="R65" s="67">
        <f t="shared" si="5"/>
        <v>0</v>
      </c>
      <c r="S65" s="67" t="str">
        <f>'Forwarding From Client'!L29</f>
        <v/>
      </c>
      <c r="T65" s="67">
        <f t="shared" si="6"/>
        <v>0</v>
      </c>
      <c r="U65" s="67"/>
      <c r="V65" s="67">
        <f t="shared" si="7"/>
        <v>0</v>
      </c>
      <c r="W65" s="67"/>
    </row>
    <row r="66">
      <c r="B66" s="67" t="str">
        <f>'Internal Summary'!B67</f>
        <v/>
      </c>
      <c r="C66" s="67" t="str">
        <f>'Internal Summary'!C67</f>
        <v/>
      </c>
      <c r="D66" s="67" t="str">
        <f>'Internal Summary'!D67</f>
        <v/>
      </c>
      <c r="E66" s="67" t="str">
        <f>'Internal Summary'!E67</f>
        <v/>
      </c>
      <c r="F66" s="109"/>
      <c r="G66" s="67">
        <f t="shared" si="1"/>
        <v>0</v>
      </c>
      <c r="H66" s="109"/>
      <c r="I66" s="109"/>
      <c r="J66" s="109"/>
      <c r="K66" s="109"/>
      <c r="L66" s="111">
        <f t="shared" si="2"/>
        <v>0</v>
      </c>
      <c r="M66" s="67">
        <f t="shared" si="3"/>
        <v>0</v>
      </c>
      <c r="N66" s="67"/>
      <c r="O66" s="67"/>
      <c r="P66" s="67">
        <f t="shared" si="4"/>
        <v>0</v>
      </c>
      <c r="Q66" s="67"/>
      <c r="R66" s="67">
        <f t="shared" si="5"/>
        <v>0</v>
      </c>
      <c r="S66" s="67" t="str">
        <f>'Forwarding From Client'!L30</f>
        <v/>
      </c>
      <c r="T66" s="67">
        <f t="shared" si="6"/>
        <v>0</v>
      </c>
      <c r="U66" s="67"/>
      <c r="V66" s="67">
        <f t="shared" si="7"/>
        <v>0</v>
      </c>
      <c r="W66" s="67"/>
    </row>
    <row r="67">
      <c r="B67" s="103" t="s">
        <v>92</v>
      </c>
      <c r="C67" s="103"/>
      <c r="D67" s="103"/>
      <c r="E67" s="67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0</v>
      </c>
      <c r="M67" s="111">
        <f t="shared" si="8"/>
        <v>33.5</v>
      </c>
      <c r="N67" s="67">
        <f t="shared" si="8"/>
        <v>0</v>
      </c>
      <c r="O67" s="67">
        <f t="shared" si="8"/>
        <v>0</v>
      </c>
      <c r="P67" s="67">
        <f t="shared" si="8"/>
        <v>0</v>
      </c>
      <c r="Q67" s="67">
        <f t="shared" si="8"/>
        <v>0</v>
      </c>
      <c r="R67" s="67">
        <f t="shared" si="8"/>
        <v>0</v>
      </c>
      <c r="S67" s="67">
        <f t="shared" si="8"/>
        <v>0</v>
      </c>
      <c r="T67" s="67">
        <f t="shared" si="8"/>
        <v>0</v>
      </c>
      <c r="U67" s="67">
        <f t="shared" si="8"/>
        <v>0</v>
      </c>
      <c r="V67" s="67">
        <f t="shared" si="8"/>
        <v>0</v>
      </c>
      <c r="W67" s="67">
        <f t="shared" si="8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