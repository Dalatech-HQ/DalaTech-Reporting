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<sst xmlns="http://schemas.openxmlformats.org/spreadsheetml/2006/main" count="319" uniqueCount="99">
  <si>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</si>
  <si>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</si>
  <si>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</si>
  <si>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</si>
  <si>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</si>
  <si>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</si>
  <si>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</si>
  <si>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</si>
  <si>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</si>
  <si>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</si>
  <si>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</si>
  <si>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</si>
  <si>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</si>
  <si>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</si>
  <si>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</si>
  <si>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</si>
  <si>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Primechem Solution</t>
  </si>
  <si>
    <t>Purchase Inv-Brand Partner</t>
  </si>
  <si>
    <t>Renees Supermarket, LEKKI CENTRAL MOSQUE</t>
  </si>
  <si>
    <t>Sales</t>
  </si>
  <si>
    <t>DT:002670</t>
  </si>
  <si>
    <t>Compramart Supermarket, MOBILE Rd.</t>
  </si>
  <si>
    <t>DT:002708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</si>
  <si>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</si>
  <si>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</si>
  <si>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</si>
  <si>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</si>
  <si>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</si>
  <si>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</si>
  <si>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</si>
  <si>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150g Primechem Kesteen Black Soap (48x) Total</t>
  </si>
  <si>
    <t>1.00 Total</t>
  </si>
  <si>
    <t xml:space="preserve">Units </t>
  </si>
  <si>
    <t>30.00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</si>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</sst>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9-24T00:00:00Z"/>
        <d v="2025-09-29T00:00:00Z"/>
        <m/>
      </sharedItems>
    </cacheField>
    <cacheField name="Particulars" numFmtId="0">
      <sharedItems containsBlank="1">
        <s v="Renees Supermarket, LEKKI CENTRAL MOSQU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s v="DT:002708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7800.0"/>
        <n v="31200.0"/>
        <m/>
      </sharedItems>
    </cacheField>
    <cacheField name="Total Value" numFmtId="4">
      <sharedItems containsSemiMixedTypes="0" containsString="0" containsNumber="1" containsInteger="1">
        <n v="7800.0"/>
        <n v="3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9-24T00:00:00Z"/>
        <d v="2025-09-29T00:00:00Z"/>
        <m/>
      </sharedItems>
    </cacheField>
    <cacheField name="Particulars" numFmtId="0">
      <sharedItems containsBlank="1">
        <s v="Renees Supermarket, LEKKI CENTRAL MOSQU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s v="DT:002708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7800.0"/>
        <n v="3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Primechem Solution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7.0"/>
        <m/>
      </sharedItems>
    </cacheField>
    <cacheField name="Quantity" numFmtId="4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93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2">
        <v>2127.0</v>
      </c>
      <c r="F3" s="16">
        <v>30.0</v>
      </c>
      <c r="G3" s="17">
        <v>936000.0</v>
      </c>
      <c r="H3" s="18"/>
      <c r="I3" s="19" t="str">
        <f>IFERROR(__xludf.DUMMYFUNCTION("IFERROR(
  FILTER($A$3:$G1844, LEN($A$3:$A1844), LOWER(TRIM($D$3:$D1844))=""sales""),
)"),"150g Primechem Kesteen Black Soap (48x)")</f>
        <v>150g Primechem Kesteen Black Soap (48x)</v>
      </c>
      <c r="J3" s="14">
        <f>IFERROR(__xludf.DUMMYFUNCTION("""COMPUTED_VALUE"""),45924.0)</f>
        <v>45924</v>
      </c>
      <c r="K3" s="15" t="str">
        <f>IFERROR(__xludf.DUMMYFUNCTION("""COMPUTED_VALUE"""),"Renees Supermarket, LEKKI CENTRAL MOSQUE")</f>
        <v>Renees Supermarket, LEKKI CENTRAL MOSQUE</v>
      </c>
      <c r="L3" s="15" t="str">
        <f>IFERROR(__xludf.DUMMYFUNCTION("""COMPUTED_VALUE"""),"Sales")</f>
        <v>Sales</v>
      </c>
      <c r="M3" s="2" t="str">
        <f>IFERROR(__xludf.DUMMYFUNCTION("""COMPUTED_VALUE"""),"DT:002670")</f>
        <v>DT:002670</v>
      </c>
      <c r="N3" s="16">
        <f>IFERROR(__xludf.DUMMYFUNCTION("""COMPUTED_VALUE"""),0.25)</f>
        <v>0.25</v>
      </c>
      <c r="O3" s="17">
        <f>IFERROR(__xludf.DUMMYFUNCTION("""COMPUTED_VALUE"""),7800.0)</f>
        <v>7800</v>
      </c>
      <c r="P3" s="7">
        <f t="shared" ref="P3:P44" si="1">SUMIF(M:M,M3,O:O)</f>
        <v>7800</v>
      </c>
      <c r="Q3" s="19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9" t="str">
        <f>IFERROR(__xludf.DUMMYFUNCTION("IFERROR(
  FILTER($A$3:$G1844, LEN($A$3:$A1844), LOWER(TRIM($D$3:$D1844))=""purchase inv-brand partner""),
)"),"150g Primechem Kesteen Black Soap (48x)")</f>
        <v>150g Primechem Kesteen Black Soap (48x)</v>
      </c>
      <c r="AH3" s="14">
        <f>IFERROR(__xludf.DUMMYFUNCTION("""COMPUTED_VALUE"""),45922.0)</f>
        <v>45922</v>
      </c>
      <c r="AI3" s="15" t="str">
        <f>IFERROR(__xludf.DUMMYFUNCTION("""COMPUTED_VALUE"""),"Primechem Solution")</f>
        <v>Primechem Solution</v>
      </c>
      <c r="AJ3" s="15" t="str">
        <f>IFERROR(__xludf.DUMMYFUNCTION("""COMPUTED_VALUE"""),"Purchase Inv-Brand Partner")</f>
        <v>Purchase Inv-Brand Partner</v>
      </c>
      <c r="AK3" s="2">
        <f>IFERROR(__xludf.DUMMYFUNCTION("""COMPUTED_VALUE"""),2127.0)</f>
        <v>2127</v>
      </c>
      <c r="AL3" s="22">
        <f>IFERROR(__xludf.DUMMYFUNCTION("""COMPUTED_VALUE"""),30.0)</f>
        <v>30</v>
      </c>
      <c r="AM3" s="23">
        <f>IFERROR(__xludf.DUMMYFUNCTION("""COMPUTED_VALUE"""),936000.0)</f>
        <v>936000</v>
      </c>
      <c r="AO3" s="24" t="str">
        <f>IFERROR(__xludf.DUMMYFUNCTION("IFERROR(
  FILTER($A$3:$G1844, LEN($A$3:$A1844), LOWER(TRIM($D$3:$D1844))=""purchase inv-dala""),
)"),"")</f>
        <v/>
      </c>
      <c r="AP3" s="14"/>
      <c r="AQ3" s="15"/>
      <c r="AR3" s="15"/>
      <c r="AS3" s="2"/>
      <c r="AT3" s="22"/>
      <c r="AU3" s="23"/>
    </row>
    <row r="4">
      <c r="A4" s="25" t="s">
        <v>15</v>
      </c>
      <c r="B4" s="14">
        <v>45924.0</v>
      </c>
      <c r="C4" s="15" t="s">
        <v>18</v>
      </c>
      <c r="D4" s="15" t="s">
        <v>19</v>
      </c>
      <c r="E4" s="2" t="s">
        <v>20</v>
      </c>
      <c r="F4" s="16">
        <v>0.25</v>
      </c>
      <c r="G4" s="17">
        <v>7800.0</v>
      </c>
      <c r="I4" s="19" t="str">
        <f>IFERROR(__xludf.DUMMYFUNCTION("""COMPUTED_VALUE"""),"150g Primechem Kesteen Black Soap (48x)")</f>
        <v>150g Primechem Kesteen Black Soap (48x)</v>
      </c>
      <c r="J4" s="14">
        <f>IFERROR(__xludf.DUMMYFUNCTION("""COMPUTED_VALUE"""),45929.0)</f>
        <v>45929</v>
      </c>
      <c r="K4" s="15" t="str">
        <f>IFERROR(__xludf.DUMMYFUNCTION("""COMPUTED_VALUE"""),"Compramart Supermarket, MOBILE Rd.")</f>
        <v>Compramart Supermarket, MOBILE Rd.</v>
      </c>
      <c r="L4" s="15" t="str">
        <f>IFERROR(__xludf.DUMMYFUNCTION("""COMPUTED_VALUE"""),"Sales")</f>
        <v>Sales</v>
      </c>
      <c r="M4" s="2" t="str">
        <f>IFERROR(__xludf.DUMMYFUNCTION("""COMPUTED_VALUE"""),"DT:002708")</f>
        <v>DT:002708</v>
      </c>
      <c r="N4" s="16">
        <f>IFERROR(__xludf.DUMMYFUNCTION("""COMPUTED_VALUE"""),1.0)</f>
        <v>1</v>
      </c>
      <c r="O4" s="17">
        <f>IFERROR(__xludf.DUMMYFUNCTION("""COMPUTED_VALUE"""),31200.0)</f>
        <v>31200</v>
      </c>
      <c r="P4" s="7">
        <f t="shared" si="1"/>
        <v>31200</v>
      </c>
      <c r="Q4" s="19"/>
      <c r="R4" s="14"/>
      <c r="S4" s="26"/>
      <c r="T4" s="15"/>
      <c r="U4" s="2"/>
      <c r="V4" s="27"/>
      <c r="W4" s="20"/>
      <c r="Y4" s="21"/>
      <c r="Z4" s="21"/>
      <c r="AA4" s="21"/>
      <c r="AB4" s="21"/>
      <c r="AC4" s="21"/>
      <c r="AD4" s="21"/>
      <c r="AE4" s="21"/>
      <c r="AF4" s="21"/>
      <c r="AG4" s="28"/>
      <c r="AH4" s="29"/>
      <c r="AI4" s="30"/>
      <c r="AJ4" s="30"/>
      <c r="AK4" s="31"/>
      <c r="AL4" s="32"/>
      <c r="AM4" s="33"/>
      <c r="AO4" s="24"/>
      <c r="AP4" s="14"/>
      <c r="AQ4" s="15"/>
      <c r="AR4" s="15"/>
      <c r="AS4" s="2"/>
      <c r="AT4" s="16"/>
      <c r="AU4" s="17"/>
    </row>
    <row r="5">
      <c r="A5" s="25" t="s">
        <v>15</v>
      </c>
      <c r="B5" s="14">
        <v>45929.0</v>
      </c>
      <c r="C5" s="15" t="s">
        <v>21</v>
      </c>
      <c r="D5" s="15" t="s">
        <v>19</v>
      </c>
      <c r="E5" s="2" t="s">
        <v>22</v>
      </c>
      <c r="F5" s="16">
        <v>1.0</v>
      </c>
      <c r="G5" s="17">
        <v>31200.0</v>
      </c>
      <c r="I5" s="28"/>
      <c r="J5" s="29"/>
      <c r="K5" s="30"/>
      <c r="L5" s="30"/>
      <c r="M5" s="31"/>
      <c r="N5" s="32"/>
      <c r="O5" s="33"/>
      <c r="P5" s="7">
        <f t="shared" si="1"/>
        <v>0</v>
      </c>
      <c r="Q5" s="19"/>
      <c r="R5" s="14"/>
      <c r="S5" s="15"/>
      <c r="T5" s="15"/>
      <c r="U5" s="2"/>
      <c r="V5" s="27"/>
      <c r="W5" s="20"/>
      <c r="Y5" s="21"/>
      <c r="Z5" s="21"/>
      <c r="AA5" s="21"/>
      <c r="AB5" s="21"/>
      <c r="AC5" s="21"/>
      <c r="AD5" s="21"/>
      <c r="AE5" s="21"/>
      <c r="AF5" s="21"/>
      <c r="AG5" s="28"/>
      <c r="AH5" s="29"/>
      <c r="AI5" s="30"/>
      <c r="AJ5" s="30"/>
      <c r="AK5" s="31"/>
      <c r="AL5" s="32"/>
      <c r="AM5" s="33"/>
      <c r="AO5" s="24"/>
      <c r="AP5" s="14"/>
      <c r="AQ5" s="15"/>
      <c r="AR5" s="15"/>
      <c r="AS5" s="2"/>
      <c r="AT5" s="16"/>
      <c r="AU5" s="17"/>
    </row>
    <row r="6">
      <c r="A6" s="28"/>
      <c r="B6" s="29"/>
      <c r="C6" s="30"/>
      <c r="D6" s="30"/>
      <c r="E6" s="31"/>
      <c r="F6" s="31"/>
      <c r="G6" s="33"/>
      <c r="I6" s="28"/>
      <c r="J6" s="29"/>
      <c r="K6" s="30"/>
      <c r="L6" s="30"/>
      <c r="M6" s="31"/>
      <c r="N6" s="31"/>
      <c r="O6" s="33"/>
      <c r="P6" s="7">
        <f t="shared" si="1"/>
        <v>0</v>
      </c>
      <c r="Q6" s="19"/>
      <c r="R6" s="14"/>
      <c r="S6" s="15"/>
      <c r="T6" s="15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28"/>
      <c r="AH6" s="29"/>
      <c r="AI6" s="30"/>
      <c r="AJ6" s="30"/>
      <c r="AK6" s="31"/>
      <c r="AL6" s="31"/>
      <c r="AM6" s="33"/>
      <c r="AO6" s="24"/>
      <c r="AP6" s="14"/>
      <c r="AQ6" s="15"/>
      <c r="AR6" s="15"/>
      <c r="AS6" s="2"/>
      <c r="AT6" s="16"/>
      <c r="AU6" s="17"/>
    </row>
    <row r="7">
      <c r="A7" s="28"/>
      <c r="B7" s="29"/>
      <c r="C7" s="30"/>
      <c r="D7" s="30"/>
      <c r="E7" s="31"/>
      <c r="F7" s="32"/>
      <c r="G7" s="33"/>
      <c r="I7" s="28"/>
      <c r="J7" s="29"/>
      <c r="K7" s="30"/>
      <c r="L7" s="30"/>
      <c r="M7" s="31"/>
      <c r="N7" s="32"/>
      <c r="O7" s="33"/>
      <c r="P7" s="7">
        <f t="shared" si="1"/>
        <v>0</v>
      </c>
      <c r="Q7" s="19"/>
      <c r="R7" s="14"/>
      <c r="S7" s="26"/>
      <c r="T7" s="15"/>
      <c r="U7" s="2"/>
      <c r="V7" s="27"/>
      <c r="W7" s="20"/>
      <c r="Y7" s="21"/>
      <c r="Z7" s="21"/>
      <c r="AA7" s="21"/>
      <c r="AB7" s="21"/>
      <c r="AC7" s="21"/>
      <c r="AD7" s="21"/>
      <c r="AE7" s="21"/>
      <c r="AF7" s="21"/>
      <c r="AG7" s="28"/>
      <c r="AH7" s="29"/>
      <c r="AI7" s="30"/>
      <c r="AJ7" s="30"/>
      <c r="AK7" s="31"/>
      <c r="AL7" s="32"/>
      <c r="AM7" s="33"/>
      <c r="AO7" s="24"/>
      <c r="AP7" s="14"/>
      <c r="AQ7" s="15"/>
      <c r="AR7" s="15"/>
      <c r="AS7" s="2"/>
      <c r="AT7" s="16"/>
      <c r="AU7" s="17"/>
    </row>
    <row r="8">
      <c r="A8" s="28"/>
      <c r="B8" s="29"/>
      <c r="C8" s="30"/>
      <c r="D8" s="30"/>
      <c r="E8" s="31"/>
      <c r="F8" s="32"/>
      <c r="G8" s="33"/>
      <c r="I8" s="28"/>
      <c r="J8" s="29"/>
      <c r="K8" s="30"/>
      <c r="L8" s="30"/>
      <c r="M8" s="31"/>
      <c r="N8" s="32"/>
      <c r="O8" s="33"/>
      <c r="P8" s="7">
        <f t="shared" si="1"/>
        <v>0</v>
      </c>
      <c r="Q8" s="19"/>
      <c r="R8" s="14"/>
      <c r="S8" s="15"/>
      <c r="T8" s="15"/>
      <c r="U8" s="2"/>
      <c r="V8" s="27"/>
      <c r="W8" s="20"/>
      <c r="Y8" s="21"/>
      <c r="Z8" s="21"/>
      <c r="AA8" s="21"/>
      <c r="AB8" s="21"/>
      <c r="AC8" s="21"/>
      <c r="AD8" s="21"/>
      <c r="AE8" s="21"/>
      <c r="AF8" s="21"/>
      <c r="AG8" s="28"/>
      <c r="AH8" s="29"/>
      <c r="AI8" s="30"/>
      <c r="AJ8" s="30"/>
      <c r="AK8" s="31"/>
      <c r="AL8" s="32"/>
      <c r="AM8" s="33"/>
      <c r="AP8" s="34"/>
      <c r="AU8" s="12"/>
    </row>
    <row r="9">
      <c r="A9" s="28"/>
      <c r="B9" s="29"/>
      <c r="C9" s="30"/>
      <c r="D9" s="30"/>
      <c r="E9" s="31"/>
      <c r="F9" s="32"/>
      <c r="G9" s="33"/>
      <c r="I9" s="28"/>
      <c r="J9" s="29"/>
      <c r="K9" s="30"/>
      <c r="L9" s="30"/>
      <c r="M9" s="31"/>
      <c r="N9" s="32"/>
      <c r="O9" s="33"/>
      <c r="P9" s="7">
        <f t="shared" si="1"/>
        <v>0</v>
      </c>
      <c r="Q9" s="19"/>
      <c r="R9" s="14"/>
      <c r="S9" s="15"/>
      <c r="T9" s="15"/>
      <c r="U9" s="2"/>
      <c r="V9" s="2"/>
      <c r="W9" s="20"/>
      <c r="AP9" s="34"/>
      <c r="AU9" s="12"/>
    </row>
    <row r="10">
      <c r="A10" s="28"/>
      <c r="B10" s="29"/>
      <c r="C10" s="30"/>
      <c r="D10" s="30"/>
      <c r="E10" s="31"/>
      <c r="F10" s="32"/>
      <c r="G10" s="33"/>
      <c r="I10" s="28"/>
      <c r="J10" s="29"/>
      <c r="K10" s="30"/>
      <c r="L10" s="30"/>
      <c r="M10" s="31"/>
      <c r="N10" s="32"/>
      <c r="O10" s="33"/>
      <c r="P10" s="7">
        <f t="shared" si="1"/>
        <v>0</v>
      </c>
      <c r="Q10" s="19"/>
      <c r="R10" s="14"/>
      <c r="S10" s="15"/>
      <c r="T10" s="15"/>
      <c r="U10" s="2"/>
      <c r="V10" s="27"/>
      <c r="W10" s="20"/>
      <c r="AP10" s="34"/>
      <c r="AU10" s="12"/>
    </row>
    <row r="11">
      <c r="A11" s="28"/>
      <c r="B11" s="29"/>
      <c r="C11" s="30"/>
      <c r="D11" s="30"/>
      <c r="E11" s="31"/>
      <c r="F11" s="32"/>
      <c r="G11" s="33"/>
      <c r="I11" s="28"/>
      <c r="J11" s="29"/>
      <c r="K11" s="30"/>
      <c r="L11" s="30"/>
      <c r="M11" s="31"/>
      <c r="N11" s="32"/>
      <c r="O11" s="33"/>
      <c r="P11" s="7">
        <f t="shared" si="1"/>
        <v>0</v>
      </c>
      <c r="Q11" s="19"/>
      <c r="R11" s="14"/>
      <c r="S11" s="15"/>
      <c r="T11" s="15"/>
      <c r="U11" s="2"/>
      <c r="V11" s="2"/>
      <c r="W11" s="20"/>
      <c r="AP11" s="34"/>
      <c r="AU11" s="12"/>
    </row>
    <row r="12">
      <c r="A12" s="28"/>
      <c r="B12" s="29"/>
      <c r="C12" s="30"/>
      <c r="D12" s="30"/>
      <c r="E12" s="31"/>
      <c r="F12" s="31"/>
      <c r="G12" s="33"/>
      <c r="I12" s="28"/>
      <c r="J12" s="29"/>
      <c r="K12" s="30"/>
      <c r="L12" s="30"/>
      <c r="M12" s="31"/>
      <c r="N12" s="31"/>
      <c r="O12" s="33"/>
      <c r="P12" s="7">
        <f t="shared" si="1"/>
        <v>0</v>
      </c>
      <c r="Q12" s="19"/>
      <c r="R12" s="14"/>
      <c r="S12" s="15"/>
      <c r="T12" s="15"/>
      <c r="U12" s="2"/>
      <c r="V12" s="27"/>
      <c r="W12" s="20"/>
      <c r="AP12" s="34"/>
      <c r="AU12" s="12"/>
    </row>
    <row r="13">
      <c r="A13" s="28"/>
      <c r="B13" s="29"/>
      <c r="C13" s="30"/>
      <c r="D13" s="30"/>
      <c r="E13" s="31"/>
      <c r="F13" s="32"/>
      <c r="G13" s="33"/>
      <c r="I13" s="28"/>
      <c r="J13" s="29"/>
      <c r="K13" s="30"/>
      <c r="L13" s="30"/>
      <c r="M13" s="31"/>
      <c r="N13" s="32"/>
      <c r="O13" s="33"/>
      <c r="P13" s="7">
        <f t="shared" si="1"/>
        <v>0</v>
      </c>
      <c r="Q13" s="19"/>
      <c r="R13" s="14"/>
      <c r="S13" s="26"/>
      <c r="T13" s="15"/>
      <c r="U13" s="2"/>
      <c r="V13" s="2"/>
      <c r="W13" s="20"/>
      <c r="AP13" s="34"/>
      <c r="AU13" s="12"/>
    </row>
    <row r="14">
      <c r="A14" s="28"/>
      <c r="B14" s="29"/>
      <c r="C14" s="30"/>
      <c r="D14" s="30"/>
      <c r="E14" s="31"/>
      <c r="F14" s="32"/>
      <c r="G14" s="33"/>
      <c r="I14" s="28"/>
      <c r="J14" s="29"/>
      <c r="K14" s="30"/>
      <c r="L14" s="30"/>
      <c r="M14" s="31"/>
      <c r="N14" s="32"/>
      <c r="O14" s="33"/>
      <c r="P14" s="7">
        <f t="shared" si="1"/>
        <v>0</v>
      </c>
      <c r="Q14" s="19"/>
      <c r="R14" s="14"/>
      <c r="S14" s="26"/>
      <c r="T14" s="15"/>
      <c r="U14" s="2"/>
      <c r="V14" s="27"/>
      <c r="W14" s="20"/>
      <c r="AP14" s="34"/>
      <c r="AU14" s="12"/>
    </row>
    <row r="15">
      <c r="A15" s="28"/>
      <c r="B15" s="29"/>
      <c r="C15" s="30"/>
      <c r="D15" s="30"/>
      <c r="E15" s="31"/>
      <c r="F15" s="31"/>
      <c r="G15" s="33"/>
      <c r="I15" s="28"/>
      <c r="J15" s="29"/>
      <c r="K15" s="30"/>
      <c r="L15" s="30"/>
      <c r="M15" s="31"/>
      <c r="N15" s="31"/>
      <c r="O15" s="33"/>
      <c r="P15" s="7">
        <f t="shared" si="1"/>
        <v>0</v>
      </c>
      <c r="Q15" s="19"/>
      <c r="R15" s="14"/>
      <c r="S15" s="15"/>
      <c r="T15" s="15"/>
      <c r="U15" s="2"/>
      <c r="V15" s="27"/>
      <c r="W15" s="20"/>
      <c r="AP15" s="34"/>
      <c r="AU15" s="12"/>
    </row>
    <row r="16">
      <c r="A16" s="28"/>
      <c r="B16" s="29"/>
      <c r="C16" s="30"/>
      <c r="D16" s="30"/>
      <c r="E16" s="31"/>
      <c r="F16" s="32"/>
      <c r="G16" s="33"/>
      <c r="I16" s="28"/>
      <c r="J16" s="29"/>
      <c r="K16" s="30"/>
      <c r="L16" s="30"/>
      <c r="M16" s="31"/>
      <c r="N16" s="32"/>
      <c r="O16" s="33"/>
      <c r="P16" s="7">
        <f t="shared" si="1"/>
        <v>0</v>
      </c>
      <c r="Q16" s="19"/>
      <c r="R16" s="14"/>
      <c r="S16" s="15"/>
      <c r="T16" s="15"/>
      <c r="U16" s="2"/>
      <c r="V16" s="27"/>
      <c r="W16" s="20"/>
      <c r="AP16" s="34"/>
      <c r="AU16" s="12"/>
    </row>
    <row r="17">
      <c r="A17" s="28"/>
      <c r="B17" s="29"/>
      <c r="C17" s="30"/>
      <c r="D17" s="30"/>
      <c r="E17" s="31"/>
      <c r="F17" s="31"/>
      <c r="G17" s="33"/>
      <c r="I17" s="28"/>
      <c r="J17" s="29"/>
      <c r="K17" s="30"/>
      <c r="L17" s="30"/>
      <c r="M17" s="31"/>
      <c r="N17" s="31"/>
      <c r="O17" s="33"/>
      <c r="P17" s="7">
        <f t="shared" si="1"/>
        <v>0</v>
      </c>
      <c r="Q17" s="19"/>
      <c r="R17" s="14"/>
      <c r="S17" s="15"/>
      <c r="T17" s="15"/>
      <c r="U17" s="2"/>
      <c r="V17" s="27"/>
      <c r="W17" s="20"/>
      <c r="AP17" s="34"/>
      <c r="AU17" s="12"/>
    </row>
    <row r="18">
      <c r="A18" s="28"/>
      <c r="B18" s="29"/>
      <c r="C18" s="30"/>
      <c r="D18" s="30"/>
      <c r="E18" s="31"/>
      <c r="F18" s="32"/>
      <c r="G18" s="33"/>
      <c r="I18" s="28"/>
      <c r="J18" s="29"/>
      <c r="K18" s="30"/>
      <c r="L18" s="30"/>
      <c r="M18" s="31"/>
      <c r="N18" s="32"/>
      <c r="O18" s="33"/>
      <c r="P18" s="7">
        <f t="shared" si="1"/>
        <v>0</v>
      </c>
      <c r="Q18" s="19"/>
      <c r="R18" s="14"/>
      <c r="S18" s="15"/>
      <c r="T18" s="15"/>
      <c r="U18" s="2"/>
      <c r="V18" s="27"/>
      <c r="W18" s="20"/>
      <c r="AP18" s="34"/>
      <c r="AU18" s="12"/>
    </row>
    <row r="19">
      <c r="A19" s="28"/>
      <c r="B19" s="29"/>
      <c r="C19" s="30"/>
      <c r="D19" s="30"/>
      <c r="E19" s="31"/>
      <c r="F19" s="31"/>
      <c r="G19" s="33"/>
      <c r="I19" s="28"/>
      <c r="J19" s="29"/>
      <c r="K19" s="30"/>
      <c r="L19" s="30"/>
      <c r="M19" s="31"/>
      <c r="N19" s="31"/>
      <c r="O19" s="33"/>
      <c r="P19" s="7">
        <f t="shared" si="1"/>
        <v>0</v>
      </c>
      <c r="Q19" s="19"/>
      <c r="R19" s="14"/>
      <c r="S19" s="15"/>
      <c r="T19" s="15"/>
      <c r="U19" s="2"/>
      <c r="V19" s="27"/>
      <c r="W19" s="20"/>
      <c r="AP19" s="34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19"/>
      <c r="R20" s="14"/>
      <c r="S20" s="15"/>
      <c r="T20" s="15"/>
      <c r="U20" s="2"/>
      <c r="V20" s="27"/>
      <c r="W20" s="20"/>
      <c r="AP20" s="34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19"/>
      <c r="R21" s="14"/>
      <c r="S21" s="15"/>
      <c r="T21" s="15"/>
      <c r="U21" s="2"/>
      <c r="V21" s="27"/>
      <c r="W21" s="20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19"/>
      <c r="R22" s="14"/>
      <c r="S22" s="26"/>
      <c r="T22" s="15"/>
      <c r="U22" s="2"/>
      <c r="V22" s="27"/>
      <c r="W22" s="20"/>
      <c r="AP22" s="34"/>
      <c r="AU22" s="12"/>
    </row>
    <row r="23">
      <c r="A23" s="24"/>
      <c r="B23" s="14"/>
      <c r="C23" s="15"/>
      <c r="D23" s="15"/>
      <c r="E23" s="2"/>
      <c r="F23" s="40"/>
      <c r="G23" s="23"/>
      <c r="I23" s="19"/>
      <c r="J23" s="14"/>
      <c r="K23" s="15"/>
      <c r="L23" s="15"/>
      <c r="M23" s="2"/>
      <c r="N23" s="40"/>
      <c r="O23" s="23"/>
      <c r="P23" s="7">
        <f t="shared" si="1"/>
        <v>0</v>
      </c>
      <c r="Q23" s="19"/>
      <c r="R23" s="14"/>
      <c r="S23" s="26"/>
      <c r="T23" s="15"/>
      <c r="U23" s="2"/>
      <c r="V23" s="27"/>
      <c r="W23" s="20"/>
      <c r="AP23" s="34"/>
      <c r="AU23" s="12"/>
    </row>
    <row r="24">
      <c r="A24" s="24"/>
      <c r="B24" s="14"/>
      <c r="C24" s="26"/>
      <c r="D24" s="15"/>
      <c r="E24" s="2"/>
      <c r="F24" s="27"/>
      <c r="G24" s="17"/>
      <c r="I24" s="19"/>
      <c r="J24" s="14"/>
      <c r="K24" s="26"/>
      <c r="L24" s="15"/>
      <c r="M24" s="2"/>
      <c r="N24" s="27"/>
      <c r="O24" s="17"/>
      <c r="P24" s="7">
        <f t="shared" si="1"/>
        <v>0</v>
      </c>
      <c r="Q24" s="19"/>
      <c r="R24" s="14"/>
      <c r="S24" s="26"/>
      <c r="T24" s="15"/>
      <c r="U24" s="2"/>
      <c r="V24" s="2"/>
      <c r="W24" s="20"/>
      <c r="AP24" s="34"/>
      <c r="AU24" s="12"/>
    </row>
    <row r="25">
      <c r="A25" s="24"/>
      <c r="B25" s="14"/>
      <c r="C25" s="15"/>
      <c r="D25" s="15"/>
      <c r="E25" s="2"/>
      <c r="F25" s="27"/>
      <c r="G25" s="17"/>
      <c r="I25" s="19"/>
      <c r="J25" s="14"/>
      <c r="K25" s="26"/>
      <c r="L25" s="15"/>
      <c r="M25" s="2"/>
      <c r="N25" s="27"/>
      <c r="O25" s="17"/>
      <c r="P25" s="7">
        <f t="shared" si="1"/>
        <v>0</v>
      </c>
      <c r="Q25" s="19"/>
      <c r="R25" s="14"/>
      <c r="S25" s="15"/>
      <c r="T25" s="15"/>
      <c r="U25" s="2"/>
      <c r="V25" s="27"/>
      <c r="W25" s="20"/>
      <c r="AP25" s="34"/>
      <c r="AU25" s="12"/>
    </row>
    <row r="26">
      <c r="A26" s="24"/>
      <c r="B26" s="14"/>
      <c r="C26" s="15"/>
      <c r="D26" s="15"/>
      <c r="E26" s="2"/>
      <c r="F26" s="27"/>
      <c r="G26" s="17"/>
      <c r="I26" s="19"/>
      <c r="J26" s="14"/>
      <c r="K26" s="26"/>
      <c r="L26" s="15"/>
      <c r="M26" s="2"/>
      <c r="N26" s="27"/>
      <c r="O26" s="17"/>
      <c r="P26" s="7">
        <f t="shared" si="1"/>
        <v>0</v>
      </c>
      <c r="Q26" s="19"/>
      <c r="R26" s="14"/>
      <c r="S26" s="15"/>
      <c r="T26" s="15"/>
      <c r="U26" s="2"/>
      <c r="V26" s="2"/>
      <c r="W26" s="20"/>
      <c r="AP26" s="34"/>
      <c r="AU26" s="12"/>
    </row>
    <row r="27">
      <c r="A27" s="24"/>
      <c r="B27" s="14"/>
      <c r="C27" s="15"/>
      <c r="D27" s="15"/>
      <c r="E27" s="2"/>
      <c r="F27" s="27"/>
      <c r="G27" s="17"/>
      <c r="I27" s="19"/>
      <c r="J27" s="14"/>
      <c r="K27" s="26"/>
      <c r="L27" s="15"/>
      <c r="M27" s="2"/>
      <c r="N27" s="27"/>
      <c r="O27" s="17"/>
      <c r="P27" s="7">
        <f t="shared" si="1"/>
        <v>0</v>
      </c>
      <c r="Q27" s="19"/>
      <c r="R27" s="14"/>
      <c r="S27" s="15"/>
      <c r="T27" s="15"/>
      <c r="U27" s="2"/>
      <c r="V27" s="27"/>
      <c r="W27" s="20"/>
      <c r="AP27" s="34"/>
      <c r="AU27" s="12"/>
    </row>
    <row r="28">
      <c r="A28" s="19"/>
      <c r="B28" s="14"/>
      <c r="C28" s="15"/>
      <c r="D28" s="15"/>
      <c r="E28" s="2"/>
      <c r="F28" s="27"/>
      <c r="G28" s="17"/>
      <c r="I28" s="19"/>
      <c r="J28" s="14"/>
      <c r="K28" s="15"/>
      <c r="L28" s="15"/>
      <c r="M28" s="2"/>
      <c r="N28" s="27"/>
      <c r="O28" s="17"/>
      <c r="P28" s="7">
        <f t="shared" si="1"/>
        <v>0</v>
      </c>
      <c r="Q28" s="19"/>
      <c r="R28" s="14"/>
      <c r="S28" s="15"/>
      <c r="T28" s="15"/>
      <c r="U28" s="2"/>
      <c r="V28" s="2"/>
      <c r="W28" s="20"/>
      <c r="AP28" s="34"/>
      <c r="AU28" s="12"/>
    </row>
    <row r="29">
      <c r="A29" s="19"/>
      <c r="B29" s="14"/>
      <c r="C29" s="26"/>
      <c r="D29" s="15"/>
      <c r="E29" s="2"/>
      <c r="F29" s="27"/>
      <c r="G29" s="17"/>
      <c r="I29" s="19"/>
      <c r="J29" s="14"/>
      <c r="K29" s="15"/>
      <c r="L29" s="15"/>
      <c r="M29" s="2"/>
      <c r="N29" s="27"/>
      <c r="O29" s="17"/>
      <c r="P29" s="7">
        <f t="shared" si="1"/>
        <v>0</v>
      </c>
      <c r="Q29" s="19"/>
      <c r="R29" s="14"/>
      <c r="S29" s="15"/>
      <c r="T29" s="15"/>
      <c r="U29" s="2"/>
      <c r="V29" s="27"/>
      <c r="W29" s="20"/>
      <c r="AP29" s="34"/>
      <c r="AU29" s="12"/>
    </row>
    <row r="30">
      <c r="A30" s="19"/>
      <c r="B30" s="14"/>
      <c r="C30" s="26"/>
      <c r="D30" s="15"/>
      <c r="E30" s="2"/>
      <c r="F30" s="27"/>
      <c r="G30" s="17"/>
      <c r="I30" s="19"/>
      <c r="J30" s="14"/>
      <c r="K30" s="26"/>
      <c r="L30" s="15"/>
      <c r="M30" s="2"/>
      <c r="N30" s="27"/>
      <c r="O30" s="17"/>
      <c r="P30" s="7">
        <f t="shared" si="1"/>
        <v>0</v>
      </c>
      <c r="Q30" s="19"/>
      <c r="R30" s="14"/>
      <c r="S30" s="15"/>
      <c r="T30" s="15"/>
      <c r="U30" s="2"/>
      <c r="V30" s="2"/>
      <c r="W30" s="20"/>
      <c r="AP30" s="34"/>
      <c r="AU30" s="12"/>
    </row>
    <row r="31">
      <c r="A31" s="19"/>
      <c r="B31" s="14"/>
      <c r="C31" s="26"/>
      <c r="D31" s="15"/>
      <c r="E31" s="2"/>
      <c r="F31" s="27"/>
      <c r="G31" s="17"/>
      <c r="I31" s="19"/>
      <c r="J31" s="14"/>
      <c r="K31" s="26"/>
      <c r="L31" s="15"/>
      <c r="M31" s="2"/>
      <c r="N31" s="27"/>
      <c r="O31" s="17"/>
      <c r="P31" s="7">
        <f t="shared" si="1"/>
        <v>0</v>
      </c>
      <c r="Q31" s="19"/>
      <c r="R31" s="14"/>
      <c r="S31" s="15"/>
      <c r="T31" s="15"/>
      <c r="U31" s="2"/>
      <c r="V31" s="27"/>
      <c r="W31" s="20"/>
      <c r="AP31" s="34"/>
      <c r="AU31" s="12"/>
    </row>
    <row r="32">
      <c r="A32" s="19"/>
      <c r="B32" s="14"/>
      <c r="C32" s="15"/>
      <c r="D32" s="15"/>
      <c r="E32" s="2"/>
      <c r="F32" s="27"/>
      <c r="G32" s="17"/>
      <c r="I32" s="19"/>
      <c r="J32" s="14"/>
      <c r="K32" s="26"/>
      <c r="L32" s="15"/>
      <c r="M32" s="2"/>
      <c r="N32" s="27"/>
      <c r="O32" s="17"/>
      <c r="P32" s="7">
        <f t="shared" si="1"/>
        <v>0</v>
      </c>
      <c r="Q32" s="19"/>
      <c r="R32" s="14"/>
      <c r="S32" s="15"/>
      <c r="T32" s="15"/>
      <c r="U32" s="2"/>
      <c r="V32" s="2"/>
      <c r="W32" s="20"/>
      <c r="AP32" s="34"/>
      <c r="AU32" s="12"/>
    </row>
    <row r="33">
      <c r="A33" s="19"/>
      <c r="B33" s="14"/>
      <c r="C33" s="15"/>
      <c r="D33" s="15"/>
      <c r="E33" s="2"/>
      <c r="F33" s="27"/>
      <c r="G33" s="17"/>
      <c r="I33" s="19"/>
      <c r="J33" s="14"/>
      <c r="K33" s="26"/>
      <c r="L33" s="15"/>
      <c r="M33" s="2"/>
      <c r="N33" s="27"/>
      <c r="O33" s="17"/>
      <c r="P33" s="7">
        <f t="shared" si="1"/>
        <v>0</v>
      </c>
      <c r="Q33" s="19"/>
      <c r="R33" s="14"/>
      <c r="S33" s="26"/>
      <c r="T33" s="15"/>
      <c r="U33" s="2"/>
      <c r="V33" s="27"/>
      <c r="W33" s="20"/>
      <c r="AP33" s="34"/>
      <c r="AU33" s="12"/>
    </row>
    <row r="34">
      <c r="A34" s="19"/>
      <c r="B34" s="14"/>
      <c r="C34" s="26"/>
      <c r="D34" s="15"/>
      <c r="E34" s="2"/>
      <c r="F34" s="27"/>
      <c r="G34" s="17"/>
      <c r="I34" s="19"/>
      <c r="J34" s="14"/>
      <c r="K34" s="26"/>
      <c r="L34" s="15"/>
      <c r="M34" s="2"/>
      <c r="N34" s="27"/>
      <c r="O34" s="17"/>
      <c r="P34" s="7">
        <f t="shared" si="1"/>
        <v>0</v>
      </c>
      <c r="Q34" s="19"/>
      <c r="R34" s="14"/>
      <c r="S34" s="26"/>
      <c r="T34" s="15"/>
      <c r="U34" s="2"/>
      <c r="V34" s="2"/>
      <c r="W34" s="20"/>
      <c r="AP34" s="34"/>
      <c r="AU34" s="12"/>
    </row>
    <row r="35">
      <c r="A35" s="19"/>
      <c r="B35" s="14"/>
      <c r="C35" s="26"/>
      <c r="D35" s="15"/>
      <c r="E35" s="2"/>
      <c r="F35" s="27"/>
      <c r="G35" s="17"/>
      <c r="I35" s="19"/>
      <c r="J35" s="14"/>
      <c r="K35" s="26"/>
      <c r="L35" s="15"/>
      <c r="M35" s="2"/>
      <c r="N35" s="27"/>
      <c r="O35" s="17"/>
      <c r="P35" s="7">
        <f t="shared" si="1"/>
        <v>0</v>
      </c>
      <c r="Q35" s="19"/>
      <c r="R35" s="14"/>
      <c r="S35" s="15"/>
      <c r="T35" s="15"/>
      <c r="U35" s="2"/>
      <c r="V35" s="27"/>
      <c r="W35" s="20"/>
      <c r="AP35" s="34"/>
      <c r="AU35" s="12"/>
    </row>
    <row r="36">
      <c r="A36" s="19"/>
      <c r="B36" s="14"/>
      <c r="C36" s="26"/>
      <c r="D36" s="15"/>
      <c r="E36" s="2"/>
      <c r="F36" s="27"/>
      <c r="G36" s="17"/>
      <c r="I36" s="19"/>
      <c r="J36" s="14"/>
      <c r="K36" s="26"/>
      <c r="L36" s="15"/>
      <c r="M36" s="2"/>
      <c r="N36" s="27"/>
      <c r="O36" s="17"/>
      <c r="P36" s="7">
        <f t="shared" si="1"/>
        <v>0</v>
      </c>
      <c r="Q36" s="19"/>
      <c r="R36" s="14"/>
      <c r="S36" s="15"/>
      <c r="T36" s="15"/>
      <c r="U36" s="2"/>
      <c r="V36" s="27"/>
      <c r="W36" s="20"/>
      <c r="AP36" s="34"/>
      <c r="AU36" s="12"/>
    </row>
    <row r="37">
      <c r="A37" s="19"/>
      <c r="B37" s="14"/>
      <c r="C37" s="26"/>
      <c r="D37" s="15"/>
      <c r="E37" s="2"/>
      <c r="F37" s="27"/>
      <c r="G37" s="17"/>
      <c r="I37" s="19"/>
      <c r="J37" s="14"/>
      <c r="K37" s="26"/>
      <c r="L37" s="15"/>
      <c r="M37" s="2"/>
      <c r="N37" s="27"/>
      <c r="O37" s="17"/>
      <c r="P37" s="7">
        <f t="shared" si="1"/>
        <v>0</v>
      </c>
      <c r="Q37" s="19"/>
      <c r="R37" s="14"/>
      <c r="S37" s="26"/>
      <c r="T37" s="15"/>
      <c r="U37" s="2"/>
      <c r="V37" s="27"/>
      <c r="W37" s="20"/>
      <c r="AP37" s="34"/>
      <c r="AU37" s="12"/>
    </row>
    <row r="38">
      <c r="A38" s="19"/>
      <c r="B38" s="14"/>
      <c r="C38" s="26"/>
      <c r="D38" s="15"/>
      <c r="E38" s="2"/>
      <c r="F38" s="27"/>
      <c r="G38" s="17"/>
      <c r="I38" s="19"/>
      <c r="J38" s="14"/>
      <c r="K38" s="26"/>
      <c r="L38" s="15"/>
      <c r="M38" s="2"/>
      <c r="N38" s="27"/>
      <c r="O38" s="17"/>
      <c r="P38" s="7">
        <f t="shared" si="1"/>
        <v>0</v>
      </c>
      <c r="Q38" s="19"/>
      <c r="R38" s="14"/>
      <c r="S38" s="15"/>
      <c r="T38" s="15"/>
      <c r="U38" s="2"/>
      <c r="V38" s="27"/>
      <c r="W38" s="20"/>
      <c r="AP38" s="34"/>
      <c r="AU38" s="12"/>
    </row>
    <row r="39">
      <c r="A39" s="19"/>
      <c r="B39" s="14"/>
      <c r="C39" s="26"/>
      <c r="D39" s="15"/>
      <c r="E39" s="2"/>
      <c r="F39" s="27"/>
      <c r="G39" s="17"/>
      <c r="J39" s="34"/>
      <c r="O39" s="12"/>
      <c r="P39" s="7">
        <f t="shared" si="1"/>
        <v>0</v>
      </c>
      <c r="Q39" s="19"/>
      <c r="R39" s="14"/>
      <c r="S39" s="15"/>
      <c r="T39" s="15"/>
      <c r="U39" s="2"/>
      <c r="V39" s="27"/>
      <c r="W39" s="20"/>
      <c r="AP39" s="34"/>
      <c r="AU39" s="12"/>
    </row>
    <row r="40">
      <c r="A40" s="19"/>
      <c r="B40" s="14"/>
      <c r="C40" s="26"/>
      <c r="D40" s="15"/>
      <c r="E40" s="2"/>
      <c r="F40" s="27"/>
      <c r="G40" s="17"/>
      <c r="J40" s="34"/>
      <c r="O40" s="12"/>
      <c r="P40" s="7">
        <f t="shared" si="1"/>
        <v>0</v>
      </c>
      <c r="Q40" s="19"/>
      <c r="R40" s="14"/>
      <c r="S40" s="15"/>
      <c r="T40" s="15"/>
      <c r="U40" s="2"/>
      <c r="V40" s="27"/>
      <c r="W40" s="20"/>
      <c r="AP40" s="34"/>
      <c r="AU40" s="12"/>
    </row>
    <row r="41">
      <c r="A41" s="19"/>
      <c r="B41" s="14"/>
      <c r="C41" s="26"/>
      <c r="D41" s="15"/>
      <c r="E41" s="2"/>
      <c r="F41" s="27"/>
      <c r="G41" s="17"/>
      <c r="J41" s="34"/>
      <c r="O41" s="12"/>
      <c r="P41" s="7">
        <f t="shared" si="1"/>
        <v>0</v>
      </c>
      <c r="Q41" s="19"/>
      <c r="R41" s="14"/>
      <c r="S41" s="26"/>
      <c r="T41" s="15"/>
      <c r="U41" s="2"/>
      <c r="V41" s="27"/>
      <c r="W41" s="20"/>
      <c r="AP41" s="34"/>
      <c r="AU41" s="12"/>
    </row>
    <row r="42">
      <c r="B42" s="34"/>
      <c r="G42" s="12"/>
      <c r="J42" s="34"/>
      <c r="O42" s="12"/>
      <c r="P42" s="7">
        <f t="shared" si="1"/>
        <v>0</v>
      </c>
      <c r="Q42" s="19"/>
      <c r="R42" s="14"/>
      <c r="S42" s="15"/>
      <c r="T42" s="15"/>
      <c r="U42" s="2"/>
      <c r="V42" s="27"/>
      <c r="W42" s="20"/>
      <c r="AP42" s="34"/>
      <c r="AU42" s="12"/>
    </row>
    <row r="43">
      <c r="B43" s="34"/>
      <c r="G43" s="12"/>
      <c r="J43" s="34"/>
      <c r="O43" s="12"/>
      <c r="P43" s="7">
        <f t="shared" si="1"/>
        <v>0</v>
      </c>
      <c r="Q43" s="21"/>
      <c r="R43" s="41"/>
      <c r="S43" s="42"/>
      <c r="T43" s="42"/>
      <c r="U43" s="43"/>
      <c r="V43" s="44"/>
      <c r="W43" s="45"/>
      <c r="AP43" s="34"/>
      <c r="AU43" s="12"/>
    </row>
    <row r="44">
      <c r="B44" s="34"/>
      <c r="G44" s="12"/>
      <c r="J44" s="34"/>
      <c r="O44" s="12"/>
      <c r="P44" s="7">
        <f t="shared" si="1"/>
        <v>0</v>
      </c>
      <c r="Q44" s="19"/>
      <c r="R44" s="14"/>
      <c r="S44" s="15"/>
      <c r="T44" s="15"/>
      <c r="U44" s="2"/>
      <c r="V44" s="2"/>
      <c r="W44" s="20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7">UNIQUE(AI2:AI590)</f>
        <v>Particulars</v>
      </c>
      <c r="AQ975" s="46" t="str">
        <f t="array" ref="AQ975:AQ976">UNIQUE(AQ2:AQ590)</f>
        <v>Particulars</v>
      </c>
    </row>
    <row r="976">
      <c r="P976" s="7"/>
      <c r="AI976" s="46" t="s">
        <v>16</v>
      </c>
      <c r="AQ976" s="46"/>
    </row>
    <row r="977">
      <c r="P977" s="7"/>
      <c r="AI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24</v>
      </c>
      <c r="I1" s="49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48" t="s">
        <v>27</v>
      </c>
      <c r="I2" s="49">
        <f t="array" ref="I2">(COUNTA(UNIQUE(C:C))-1)</f>
        <v>2</v>
      </c>
      <c r="K2" s="50" t="str">
        <f>'Internal Summary'!B40</f>
        <v>150g Primechem Kesteen Black Soap (48x)</v>
      </c>
      <c r="L2" s="49">
        <f t="shared" ref="L2:L13" si="1">sumif(D:D,K2,E:E)</f>
        <v>1.25</v>
      </c>
      <c r="M2" s="49">
        <f t="shared" ref="M2:M13" si="2">sumif(D:D,K2,F:F)</f>
        <v>39000</v>
      </c>
      <c r="N2" s="51"/>
    </row>
    <row r="3">
      <c r="H3" s="48" t="s">
        <v>28</v>
      </c>
      <c r="I3" s="49">
        <f>sum(F:F)</f>
        <v>39000</v>
      </c>
      <c r="K3" s="50" t="str">
        <f>'Internal Summary'!B41</f>
        <v/>
      </c>
      <c r="L3" s="49">
        <f t="shared" si="1"/>
        <v>0</v>
      </c>
      <c r="M3" s="49">
        <f t="shared" si="2"/>
        <v>0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4">
        <v>45758.0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1,200.00"/>
        <filter val="7,8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24</v>
      </c>
      <c r="I1" s="49">
        <f>countifs(B:B,"&lt;&gt;",F:F,"&lt;&gt;")-1</f>
        <v>0</v>
      </c>
      <c r="K1" s="50" t="s">
        <v>25</v>
      </c>
      <c r="L1" s="50" t="s">
        <v>26</v>
      </c>
      <c r="M1" s="50" t="s">
        <v>13</v>
      </c>
    </row>
    <row r="2">
      <c r="H2" s="48" t="s">
        <v>27</v>
      </c>
      <c r="I2" s="49">
        <f t="array" ref="I2">(COUNTA(UNIQUE(C:C))-1)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28</v>
      </c>
      <c r="I3" s="49">
        <f>sum(F:F)</f>
        <v>0</v>
      </c>
      <c r="K3" s="50" t="str">
        <f>'Internal Summary'!B41</f>
        <v/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24</v>
      </c>
      <c r="I1" s="49">
        <f>countifs(B:B,"&lt;&gt;",F:F,"&lt;&gt;")-1</f>
        <v>0</v>
      </c>
      <c r="K1" s="50" t="s">
        <v>25</v>
      </c>
      <c r="L1" s="50" t="s">
        <v>32</v>
      </c>
      <c r="M1" s="50" t="s">
        <v>13</v>
      </c>
    </row>
    <row r="2">
      <c r="H2" s="48" t="s">
        <v>27</v>
      </c>
      <c r="I2" s="49">
        <f t="array" ref="I2">(COUNTA(UNIQUE(C:C))-1)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  <c r="M2" s="18">
        <f t="shared" ref="M2:M13" si="2">sumif(D:D,K2,F:F)</f>
        <v>0</v>
      </c>
    </row>
    <row r="3">
      <c r="H3" s="48" t="s">
        <v>28</v>
      </c>
      <c r="I3" s="49">
        <f>sum(F:F)</f>
        <v>0</v>
      </c>
      <c r="K3" s="50" t="str">
        <f>'Internal Summary'!B41</f>
        <v/>
      </c>
      <c r="L3" s="49">
        <f t="shared" si="1"/>
        <v>0</v>
      </c>
      <c r="M3" s="18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18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18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18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8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8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8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8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8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8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24</v>
      </c>
      <c r="I1" s="49">
        <f>countifs(B:B,"&lt;&gt;",F:F,"&lt;&gt;")-1</f>
        <v>0</v>
      </c>
      <c r="K1" s="50" t="s">
        <v>25</v>
      </c>
      <c r="L1" s="50" t="s">
        <v>26</v>
      </c>
    </row>
    <row r="2">
      <c r="H2" s="48" t="s">
        <v>27</v>
      </c>
      <c r="I2" s="49">
        <f t="array" ref="I2">(COUNTA(UNIQUE(C:C,,0))-1)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</row>
    <row r="3">
      <c r="H3" s="48" t="s">
        <v>28</v>
      </c>
      <c r="I3" s="49">
        <f>sum(F:F)</f>
        <v>0</v>
      </c>
      <c r="K3" s="50" t="str">
        <f>'Internal Summary'!B41</f>
        <v/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24</v>
      </c>
      <c r="I1" s="49">
        <f>countifs(B:B,"&lt;&gt;",F:F,"&lt;&gt;")-1</f>
        <v>1</v>
      </c>
      <c r="K1" s="50" t="s">
        <v>25</v>
      </c>
      <c r="L1" s="50" t="s">
        <v>26</v>
      </c>
    </row>
    <row r="2">
      <c r="H2" s="48" t="s">
        <v>27</v>
      </c>
      <c r="I2" s="49">
        <f t="array" ref="I2">(COUNTA(UNIQUE(C:C,,0))-1)</f>
        <v>1</v>
      </c>
      <c r="K2" s="50" t="str">
        <f>'Internal Summary'!B40</f>
        <v>150g Primechem Kesteen Black Soap (48x)</v>
      </c>
      <c r="L2" s="49">
        <f t="shared" ref="L2:L13" si="1">sumif(D:D,K2,E:E)</f>
        <v>30</v>
      </c>
    </row>
    <row r="3">
      <c r="H3" s="48" t="s">
        <v>28</v>
      </c>
      <c r="I3" s="49">
        <f>sum(F:F)</f>
        <v>936000</v>
      </c>
      <c r="K3" s="50" t="str">
        <f>'Internal Summary'!B41</f>
        <v/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8" t="s">
        <v>34</v>
      </c>
      <c r="C1" s="48" t="s">
        <v>26</v>
      </c>
      <c r="D1" s="48" t="s">
        <v>35</v>
      </c>
      <c r="E1" s="48" t="s">
        <v>36</v>
      </c>
      <c r="F1" s="54"/>
    </row>
    <row r="2">
      <c r="A2" s="55" t="s">
        <v>37</v>
      </c>
      <c r="B2" s="56" t="s">
        <v>24</v>
      </c>
      <c r="C2" s="57"/>
      <c r="D2" s="57"/>
      <c r="E2" s="58">
        <f>'Dala Sales &amp; Deliveries'!I1+'External Delivery Fulfillment'!I1</f>
        <v>2</v>
      </c>
      <c r="F2" s="54"/>
    </row>
    <row r="3">
      <c r="A3" s="59"/>
      <c r="B3" s="56" t="s">
        <v>38</v>
      </c>
      <c r="C3" s="57"/>
      <c r="D3" s="57"/>
      <c r="E3" s="56">
        <f>'Raw Data'!AW2</f>
        <v>2</v>
      </c>
      <c r="F3" s="54"/>
    </row>
    <row r="4">
      <c r="B4" s="60" t="s">
        <v>39</v>
      </c>
      <c r="C4" s="54"/>
      <c r="D4" s="54"/>
      <c r="E4" s="61">
        <f>'Dala Sales &amp; Deliveries'!I3</f>
        <v>39000</v>
      </c>
      <c r="F4" s="54"/>
    </row>
    <row r="5">
      <c r="B5" s="60" t="s">
        <v>40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41</v>
      </c>
      <c r="C6" s="64"/>
      <c r="D6" s="65"/>
      <c r="E6" s="66">
        <v>0.0</v>
      </c>
      <c r="F6" s="54"/>
    </row>
    <row r="7">
      <c r="A7" s="67"/>
      <c r="B7" s="68" t="s">
        <v>42</v>
      </c>
      <c r="C7" s="69"/>
      <c r="D7" s="70"/>
      <c r="E7" s="71">
        <f>sum(E4:E6)</f>
        <v>39000</v>
      </c>
      <c r="F7" s="54"/>
    </row>
    <row r="8">
      <c r="A8" s="55" t="s">
        <v>43</v>
      </c>
      <c r="B8" s="56" t="s">
        <v>44</v>
      </c>
      <c r="C8" s="57"/>
      <c r="D8" s="72"/>
      <c r="E8" s="73"/>
    </row>
    <row r="9">
      <c r="A9" s="67"/>
      <c r="B9" s="68" t="s">
        <v>45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46</v>
      </c>
      <c r="B10" s="68" t="s">
        <v>47</v>
      </c>
      <c r="C10" s="69"/>
      <c r="D10" s="70"/>
      <c r="E10" s="71">
        <f>E7-E8-E9</f>
        <v>39000</v>
      </c>
    </row>
    <row r="11">
      <c r="A11" s="55" t="s">
        <v>48</v>
      </c>
      <c r="B11" s="56" t="s">
        <v>49</v>
      </c>
      <c r="C11" s="76">
        <v>1.0</v>
      </c>
      <c r="D11" s="77">
        <v>0.0</v>
      </c>
      <c r="E11" s="77">
        <f>C11*D11</f>
        <v>0</v>
      </c>
    </row>
    <row r="12">
      <c r="A12" s="59"/>
      <c r="B12" s="56" t="s">
        <v>45</v>
      </c>
      <c r="C12" s="78"/>
      <c r="D12" s="72"/>
      <c r="E12" s="77">
        <f>E10*C9</f>
        <v>3900</v>
      </c>
    </row>
    <row r="13">
      <c r="A13" s="59"/>
      <c r="B13" s="63" t="s">
        <v>50</v>
      </c>
      <c r="C13" s="57"/>
      <c r="D13" s="79" t="s">
        <v>51</v>
      </c>
      <c r="E13" s="77">
        <f>E10*5%</f>
        <v>1950</v>
      </c>
    </row>
    <row r="14">
      <c r="A14" s="59"/>
      <c r="B14" s="56" t="s">
        <v>52</v>
      </c>
      <c r="C14" s="72"/>
      <c r="D14" s="72"/>
      <c r="E14" s="80">
        <v>0.0</v>
      </c>
    </row>
    <row r="15">
      <c r="A15" s="59"/>
      <c r="B15" s="56" t="s">
        <v>53</v>
      </c>
      <c r="C15" s="72"/>
      <c r="D15" s="72"/>
      <c r="E15" s="77">
        <f>C30</f>
        <v>0</v>
      </c>
    </row>
    <row r="16">
      <c r="A16" s="67"/>
      <c r="B16" s="68" t="s">
        <v>54</v>
      </c>
      <c r="C16" s="70"/>
      <c r="D16" s="70"/>
      <c r="E16" s="71">
        <f>sum(E11:E15)</f>
        <v>5850</v>
      </c>
      <c r="H16" s="1"/>
      <c r="I16" s="1"/>
    </row>
    <row r="17">
      <c r="A17" s="75" t="s">
        <v>55</v>
      </c>
      <c r="B17" s="68" t="s">
        <v>56</v>
      </c>
      <c r="C17" s="70"/>
      <c r="D17" s="70"/>
      <c r="E17" s="71">
        <f>E10-E16+C36</f>
        <v>33150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57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8" t="s">
        <v>58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8" t="s">
        <v>59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8" t="s">
        <v>60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8" t="s">
        <v>61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8" t="s">
        <v>62</v>
      </c>
      <c r="C25" s="82">
        <f>67</f>
        <v>67</v>
      </c>
      <c r="H25" s="1"/>
      <c r="I25" s="1"/>
    </row>
    <row r="26">
      <c r="A26" s="65"/>
      <c r="B26" s="48" t="s">
        <v>63</v>
      </c>
      <c r="C26" s="85">
        <f>P69</f>
        <v>0</v>
      </c>
      <c r="H26" s="1"/>
      <c r="I26" s="1"/>
    </row>
    <row r="27">
      <c r="A27" s="65"/>
      <c r="B27" s="48" t="s">
        <v>64</v>
      </c>
      <c r="C27" s="49">
        <f>Q69</f>
        <v>0</v>
      </c>
      <c r="H27" s="1"/>
      <c r="I27" s="1"/>
    </row>
    <row r="28">
      <c r="A28" s="65"/>
      <c r="B28" s="48" t="s">
        <v>65</v>
      </c>
      <c r="C28" s="49">
        <f>R69</f>
        <v>0</v>
      </c>
      <c r="H28" s="1"/>
      <c r="I28" s="1"/>
    </row>
    <row r="29">
      <c r="A29" s="65"/>
      <c r="B29" s="48" t="s">
        <v>66</v>
      </c>
      <c r="C29" s="82">
        <f>F69</f>
        <v>0</v>
      </c>
      <c r="D29" s="65"/>
      <c r="H29" s="1"/>
      <c r="I29" s="1"/>
    </row>
    <row r="30">
      <c r="A30" s="65"/>
      <c r="B30" s="48" t="s">
        <v>67</v>
      </c>
      <c r="C30" s="82">
        <f>G69</f>
        <v>0</v>
      </c>
      <c r="D30" s="65"/>
      <c r="H30" s="1"/>
      <c r="I30" s="1"/>
    </row>
    <row r="31">
      <c r="A31" s="65"/>
      <c r="B31" s="48" t="s">
        <v>68</v>
      </c>
      <c r="C31" s="82">
        <f>I69</f>
        <v>0</v>
      </c>
      <c r="D31" s="65"/>
      <c r="H31" s="1"/>
      <c r="I31" s="1"/>
    </row>
    <row r="32">
      <c r="A32" s="65"/>
      <c r="B32" s="48" t="s">
        <v>69</v>
      </c>
      <c r="C32" s="82">
        <f>J69</f>
        <v>0</v>
      </c>
      <c r="D32" s="65"/>
      <c r="H32" s="1"/>
      <c r="I32" s="1"/>
    </row>
    <row r="33">
      <c r="B33" s="48" t="s">
        <v>70</v>
      </c>
      <c r="C33" s="82">
        <v>0.0</v>
      </c>
    </row>
    <row r="34">
      <c r="B34" s="48" t="s">
        <v>71</v>
      </c>
      <c r="C34" s="49">
        <f>K69</f>
        <v>0</v>
      </c>
    </row>
    <row r="35">
      <c r="B35" s="48" t="s">
        <v>72</v>
      </c>
      <c r="C35" s="82">
        <v>0.0</v>
      </c>
    </row>
    <row r="36">
      <c r="B36" s="48" t="s">
        <v>73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74</v>
      </c>
      <c r="C39" s="48" t="s">
        <v>75</v>
      </c>
      <c r="D39" s="48" t="s">
        <v>76</v>
      </c>
      <c r="E39" s="48" t="s">
        <v>77</v>
      </c>
      <c r="F39" s="50" t="s">
        <v>78</v>
      </c>
      <c r="G39" s="50" t="s">
        <v>79</v>
      </c>
      <c r="H39" s="50" t="s">
        <v>80</v>
      </c>
      <c r="I39" s="50" t="s">
        <v>81</v>
      </c>
      <c r="J39" s="50" t="s">
        <v>82</v>
      </c>
      <c r="K39" s="50" t="s">
        <v>83</v>
      </c>
      <c r="L39" s="50" t="s">
        <v>70</v>
      </c>
      <c r="M39" s="50" t="s">
        <v>72</v>
      </c>
      <c r="N39" s="50" t="s">
        <v>84</v>
      </c>
      <c r="O39" s="50" t="s">
        <v>85</v>
      </c>
      <c r="P39" s="50" t="s">
        <v>86</v>
      </c>
      <c r="Q39" s="50" t="s">
        <v>87</v>
      </c>
      <c r="R39" s="50" t="s">
        <v>88</v>
      </c>
      <c r="S39" s="50" t="s">
        <v>89</v>
      </c>
      <c r="T39" s="50" t="s">
        <v>61</v>
      </c>
      <c r="U39" s="50" t="s">
        <v>90</v>
      </c>
      <c r="V39" s="50" t="s">
        <v>91</v>
      </c>
      <c r="W39" s="50" t="s">
        <v>92</v>
      </c>
    </row>
    <row r="40">
      <c r="B40" s="86" t="s">
        <v>15</v>
      </c>
      <c r="C40" s="87"/>
      <c r="D40" s="86"/>
      <c r="E40" s="87"/>
      <c r="F40" s="86"/>
      <c r="G40" s="18">
        <f t="shared" ref="G40:G68" si="1">F40*C40</f>
        <v>0</v>
      </c>
      <c r="H40" s="86"/>
      <c r="I40" s="86"/>
      <c r="J40" s="86"/>
      <c r="K40" s="86"/>
      <c r="L40" s="85">
        <f t="shared" ref="L40:L68" si="2">H40+U40+W40-O40-Q40-I40-J40</f>
        <v>28.75</v>
      </c>
      <c r="M40" s="49">
        <f t="shared" ref="M40:M68" si="3">K40-L40</f>
        <v>-28.75</v>
      </c>
      <c r="N40" s="18">
        <f t="shared" ref="N40:N68" si="4">M40*C40</f>
        <v>0</v>
      </c>
      <c r="O40" s="49">
        <f>'Dala Sales &amp; Deliveries'!L2</f>
        <v>1.25</v>
      </c>
      <c r="P40" s="18">
        <f t="shared" ref="P40:P68" si="5">O40*E40</f>
        <v>0</v>
      </c>
      <c r="Q40" s="49">
        <f>'External Delivery Fulfillment'!L2</f>
        <v>0</v>
      </c>
      <c r="R40" s="18">
        <f t="shared" ref="R40:R68" si="6">Q40*E40</f>
        <v>0</v>
      </c>
      <c r="S40" s="49">
        <f>'Forwarding From Client'!L2</f>
        <v>0</v>
      </c>
      <c r="T40" s="18">
        <f t="shared" ref="T40:T68" si="7">S40*E40</f>
        <v>0</v>
      </c>
      <c r="U40" s="49">
        <f>'Dala Restocking'!L2</f>
        <v>0</v>
      </c>
      <c r="V40" s="18">
        <f t="shared" ref="V40:V68" si="8">U40*D40</f>
        <v>0</v>
      </c>
      <c r="W40" s="49">
        <f>'Client Restocking'!L2</f>
        <v>30</v>
      </c>
    </row>
    <row r="41">
      <c r="B41" s="86"/>
      <c r="C41" s="87"/>
      <c r="D41" s="86"/>
      <c r="E41" s="87"/>
      <c r="F41" s="88"/>
      <c r="G41" s="18">
        <f t="shared" si="1"/>
        <v>0</v>
      </c>
      <c r="H41" s="86"/>
      <c r="I41" s="86"/>
      <c r="J41" s="88"/>
      <c r="K41" s="86"/>
      <c r="L41" s="85">
        <f t="shared" si="2"/>
        <v>0</v>
      </c>
      <c r="M41" s="49">
        <f t="shared" si="3"/>
        <v>0</v>
      </c>
      <c r="N41" s="18">
        <f t="shared" si="4"/>
        <v>0</v>
      </c>
      <c r="O41" s="49">
        <f>'Dala Sales &amp; Deliveries'!L3</f>
        <v>0</v>
      </c>
      <c r="P41" s="18">
        <f t="shared" si="5"/>
        <v>0</v>
      </c>
      <c r="Q41" s="49">
        <f>'External Delivery Fulfillment'!L3</f>
        <v>0</v>
      </c>
      <c r="R41" s="18">
        <f t="shared" si="6"/>
        <v>0</v>
      </c>
      <c r="S41" s="49">
        <f>'Forwarding From Client'!L3</f>
        <v>0</v>
      </c>
      <c r="T41" s="18">
        <f t="shared" si="7"/>
        <v>0</v>
      </c>
      <c r="U41" s="49">
        <f>'Dala Restocking'!L3</f>
        <v>0</v>
      </c>
      <c r="V41" s="18">
        <f t="shared" si="8"/>
        <v>0</v>
      </c>
      <c r="W41" s="49">
        <f>'Client Restocking'!L3</f>
        <v>0</v>
      </c>
    </row>
    <row r="42">
      <c r="B42" s="86"/>
      <c r="C42" s="87"/>
      <c r="D42" s="86"/>
      <c r="E42" s="87"/>
      <c r="F42" s="88"/>
      <c r="G42" s="18">
        <f t="shared" si="1"/>
        <v>0</v>
      </c>
      <c r="H42" s="86"/>
      <c r="I42" s="86"/>
      <c r="J42" s="88"/>
      <c r="K42" s="86"/>
      <c r="L42" s="85">
        <f t="shared" si="2"/>
        <v>0</v>
      </c>
      <c r="M42" s="49">
        <f t="shared" si="3"/>
        <v>0</v>
      </c>
      <c r="N42" s="18">
        <f t="shared" si="4"/>
        <v>0</v>
      </c>
      <c r="O42" s="49">
        <f>'Dala Sales &amp; Deliveries'!L4</f>
        <v>0</v>
      </c>
      <c r="P42" s="18">
        <f t="shared" si="5"/>
        <v>0</v>
      </c>
      <c r="Q42" s="49">
        <f>'External Delivery Fulfillment'!L4</f>
        <v>0</v>
      </c>
      <c r="R42" s="18">
        <f t="shared" si="6"/>
        <v>0</v>
      </c>
      <c r="S42" s="49">
        <f>'Forwarding From Client'!L4</f>
        <v>0</v>
      </c>
      <c r="T42" s="18">
        <f t="shared" si="7"/>
        <v>0</v>
      </c>
      <c r="U42" s="49">
        <f>'Dala Restocking'!L4</f>
        <v>0</v>
      </c>
      <c r="V42" s="18">
        <f t="shared" si="8"/>
        <v>0</v>
      </c>
      <c r="W42" s="49">
        <f>'Client Restocking'!L4</f>
        <v>0</v>
      </c>
    </row>
    <row r="43">
      <c r="B43" s="86"/>
      <c r="C43" s="87"/>
      <c r="D43" s="86"/>
      <c r="E43" s="87"/>
      <c r="F43" s="88"/>
      <c r="G43" s="18">
        <f t="shared" si="1"/>
        <v>0</v>
      </c>
      <c r="H43" s="86"/>
      <c r="I43" s="86"/>
      <c r="J43" s="88"/>
      <c r="K43" s="88"/>
      <c r="L43" s="85">
        <f t="shared" si="2"/>
        <v>0</v>
      </c>
      <c r="M43" s="49">
        <f t="shared" si="3"/>
        <v>0</v>
      </c>
      <c r="N43" s="18">
        <f t="shared" si="4"/>
        <v>0</v>
      </c>
      <c r="O43" s="49">
        <f>'Dala Sales &amp; Deliveries'!L5</f>
        <v>0</v>
      </c>
      <c r="P43" s="18">
        <f t="shared" si="5"/>
        <v>0</v>
      </c>
      <c r="Q43" s="49">
        <f>'External Delivery Fulfillment'!L5</f>
        <v>0</v>
      </c>
      <c r="R43" s="18">
        <f t="shared" si="6"/>
        <v>0</v>
      </c>
      <c r="S43" s="49">
        <f>'Forwarding From Client'!L5</f>
        <v>0</v>
      </c>
      <c r="T43" s="18">
        <f t="shared" si="7"/>
        <v>0</v>
      </c>
      <c r="U43" s="49">
        <f>'Dala Restocking'!L5</f>
        <v>0</v>
      </c>
      <c r="V43" s="18">
        <f t="shared" si="8"/>
        <v>0</v>
      </c>
      <c r="W43" s="49">
        <f>'Client Restocking'!L5</f>
        <v>0</v>
      </c>
    </row>
    <row r="44">
      <c r="B44" s="86"/>
      <c r="C44" s="87"/>
      <c r="D44" s="86"/>
      <c r="E44" s="87"/>
      <c r="F44" s="88"/>
      <c r="G44" s="18">
        <f t="shared" si="1"/>
        <v>0</v>
      </c>
      <c r="H44" s="86"/>
      <c r="I44" s="86"/>
      <c r="J44" s="88"/>
      <c r="K44" s="88"/>
      <c r="L44" s="85">
        <f t="shared" si="2"/>
        <v>0</v>
      </c>
      <c r="M44" s="49">
        <f t="shared" si="3"/>
        <v>0</v>
      </c>
      <c r="N44" s="18">
        <f t="shared" si="4"/>
        <v>0</v>
      </c>
      <c r="O44" s="49">
        <f>'Dala Sales &amp; Deliveries'!L6</f>
        <v>0</v>
      </c>
      <c r="P44" s="18">
        <f t="shared" si="5"/>
        <v>0</v>
      </c>
      <c r="Q44" s="49">
        <f>'External Delivery Fulfillment'!L6</f>
        <v>0</v>
      </c>
      <c r="R44" s="18">
        <f t="shared" si="6"/>
        <v>0</v>
      </c>
      <c r="S44" s="49">
        <f>'Forwarding From Client'!L6</f>
        <v>0</v>
      </c>
      <c r="T44" s="18">
        <f t="shared" si="7"/>
        <v>0</v>
      </c>
      <c r="U44" s="49">
        <f>'Dala Restocking'!L6</f>
        <v>0</v>
      </c>
      <c r="V44" s="18">
        <f t="shared" si="8"/>
        <v>0</v>
      </c>
      <c r="W44" s="49">
        <f>'Client Restocking'!L6</f>
        <v>0</v>
      </c>
    </row>
    <row r="45">
      <c r="B45" s="86"/>
      <c r="C45" s="87"/>
      <c r="D45" s="86"/>
      <c r="E45" s="87"/>
      <c r="F45" s="88"/>
      <c r="G45" s="18">
        <f t="shared" si="1"/>
        <v>0</v>
      </c>
      <c r="H45" s="88"/>
      <c r="I45" s="88"/>
      <c r="J45" s="88"/>
      <c r="K45" s="88"/>
      <c r="L45" s="85">
        <f t="shared" si="2"/>
        <v>0</v>
      </c>
      <c r="M45" s="49">
        <f t="shared" si="3"/>
        <v>0</v>
      </c>
      <c r="N45" s="18">
        <f t="shared" si="4"/>
        <v>0</v>
      </c>
      <c r="O45" s="49">
        <f>'Dala Sales &amp; Deliveries'!L7</f>
        <v>0</v>
      </c>
      <c r="P45" s="18">
        <f t="shared" si="5"/>
        <v>0</v>
      </c>
      <c r="Q45" s="49">
        <f>'External Delivery Fulfillment'!L7</f>
        <v>0</v>
      </c>
      <c r="R45" s="18">
        <f t="shared" si="6"/>
        <v>0</v>
      </c>
      <c r="S45" s="49">
        <f>'Forwarding From Client'!L7</f>
        <v>0</v>
      </c>
      <c r="T45" s="18">
        <f t="shared" si="7"/>
        <v>0</v>
      </c>
      <c r="U45" s="49">
        <f>'Dala Restocking'!L7</f>
        <v>0</v>
      </c>
      <c r="V45" s="18">
        <f t="shared" si="8"/>
        <v>0</v>
      </c>
      <c r="W45" s="49">
        <f>'Client Restocking'!L7</f>
        <v>0</v>
      </c>
    </row>
    <row r="46">
      <c r="B46" s="86"/>
      <c r="C46" s="87"/>
      <c r="D46" s="86"/>
      <c r="E46" s="87"/>
      <c r="F46" s="88"/>
      <c r="G46" s="18">
        <f t="shared" si="1"/>
        <v>0</v>
      </c>
      <c r="H46" s="88"/>
      <c r="I46" s="88"/>
      <c r="J46" s="88"/>
      <c r="K46" s="88"/>
      <c r="L46" s="85">
        <f t="shared" si="2"/>
        <v>0</v>
      </c>
      <c r="M46" s="49">
        <f t="shared" si="3"/>
        <v>0</v>
      </c>
      <c r="N46" s="18">
        <f t="shared" si="4"/>
        <v>0</v>
      </c>
      <c r="O46" s="49">
        <f>'Dala Sales &amp; Deliveries'!L8</f>
        <v>0</v>
      </c>
      <c r="P46" s="18">
        <f t="shared" si="5"/>
        <v>0</v>
      </c>
      <c r="Q46" s="49">
        <f>'External Delivery Fulfillment'!L8</f>
        <v>0</v>
      </c>
      <c r="R46" s="18">
        <f t="shared" si="6"/>
        <v>0</v>
      </c>
      <c r="S46" s="49">
        <f>'Forwarding From Client'!L8</f>
        <v>0</v>
      </c>
      <c r="T46" s="18">
        <f t="shared" si="7"/>
        <v>0</v>
      </c>
      <c r="U46" s="49">
        <f>'Dala Restocking'!L8</f>
        <v>0</v>
      </c>
      <c r="V46" s="18">
        <f t="shared" si="8"/>
        <v>0</v>
      </c>
      <c r="W46" s="49">
        <f>'Client Restocking'!L8</f>
        <v>0</v>
      </c>
    </row>
    <row r="47">
      <c r="B47" s="86"/>
      <c r="C47" s="87"/>
      <c r="D47" s="86"/>
      <c r="E47" s="87"/>
      <c r="F47" s="88"/>
      <c r="G47" s="18">
        <f t="shared" si="1"/>
        <v>0</v>
      </c>
      <c r="H47" s="88"/>
      <c r="I47" s="88"/>
      <c r="J47" s="88"/>
      <c r="K47" s="88"/>
      <c r="L47" s="85">
        <f t="shared" si="2"/>
        <v>0</v>
      </c>
      <c r="M47" s="49">
        <f t="shared" si="3"/>
        <v>0</v>
      </c>
      <c r="N47" s="18">
        <f t="shared" si="4"/>
        <v>0</v>
      </c>
      <c r="O47" s="49">
        <f>'Dala Sales &amp; Deliveries'!L9</f>
        <v>0</v>
      </c>
      <c r="P47" s="18">
        <f t="shared" si="5"/>
        <v>0</v>
      </c>
      <c r="Q47" s="49">
        <f>'External Delivery Fulfillment'!L9</f>
        <v>0</v>
      </c>
      <c r="R47" s="18">
        <f t="shared" si="6"/>
        <v>0</v>
      </c>
      <c r="S47" s="49">
        <f>'Forwarding From Client'!L9</f>
        <v>0</v>
      </c>
      <c r="T47" s="18">
        <f t="shared" si="7"/>
        <v>0</v>
      </c>
      <c r="U47" s="49">
        <f>'Dala Restocking'!L9</f>
        <v>0</v>
      </c>
      <c r="V47" s="18">
        <f t="shared" si="8"/>
        <v>0</v>
      </c>
      <c r="W47" s="49">
        <f>'Client Restocking'!L9</f>
        <v>0</v>
      </c>
    </row>
    <row r="48">
      <c r="B48" s="86"/>
      <c r="C48" s="87"/>
      <c r="D48" s="86"/>
      <c r="E48" s="87"/>
      <c r="F48" s="88"/>
      <c r="G48" s="18">
        <f t="shared" si="1"/>
        <v>0</v>
      </c>
      <c r="H48" s="88"/>
      <c r="I48" s="88"/>
      <c r="J48" s="88"/>
      <c r="K48" s="88"/>
      <c r="L48" s="85">
        <f t="shared" si="2"/>
        <v>0</v>
      </c>
      <c r="M48" s="49">
        <f t="shared" si="3"/>
        <v>0</v>
      </c>
      <c r="N48" s="18">
        <f t="shared" si="4"/>
        <v>0</v>
      </c>
      <c r="O48" s="49">
        <f>'Dala Sales &amp; Deliveries'!L10</f>
        <v>0</v>
      </c>
      <c r="P48" s="18">
        <f t="shared" si="5"/>
        <v>0</v>
      </c>
      <c r="Q48" s="49">
        <f>'External Delivery Fulfillment'!L10</f>
        <v>0</v>
      </c>
      <c r="R48" s="18">
        <f t="shared" si="6"/>
        <v>0</v>
      </c>
      <c r="S48" s="49">
        <f>'Forwarding From Client'!L10</f>
        <v>0</v>
      </c>
      <c r="T48" s="18">
        <f t="shared" si="7"/>
        <v>0</v>
      </c>
      <c r="U48" s="49">
        <f>'Dala Restocking'!L10</f>
        <v>0</v>
      </c>
      <c r="V48" s="18">
        <f t="shared" si="8"/>
        <v>0</v>
      </c>
      <c r="W48" s="49">
        <f>'Client Restocking'!L10</f>
        <v>0</v>
      </c>
    </row>
    <row r="49">
      <c r="B49" s="86"/>
      <c r="C49" s="87"/>
      <c r="D49" s="86"/>
      <c r="E49" s="87"/>
      <c r="F49" s="88"/>
      <c r="G49" s="18">
        <f t="shared" si="1"/>
        <v>0</v>
      </c>
      <c r="H49" s="88"/>
      <c r="I49" s="88"/>
      <c r="J49" s="88"/>
      <c r="K49" s="88"/>
      <c r="L49" s="85">
        <f t="shared" si="2"/>
        <v>0</v>
      </c>
      <c r="M49" s="49">
        <f t="shared" si="3"/>
        <v>0</v>
      </c>
      <c r="N49" s="18">
        <f t="shared" si="4"/>
        <v>0</v>
      </c>
      <c r="O49" s="49">
        <f>'Dala Sales &amp; Deliveries'!L11</f>
        <v>0</v>
      </c>
      <c r="P49" s="18">
        <f t="shared" si="5"/>
        <v>0</v>
      </c>
      <c r="Q49" s="49">
        <f>'External Delivery Fulfillment'!L11</f>
        <v>0</v>
      </c>
      <c r="R49" s="18">
        <f t="shared" si="6"/>
        <v>0</v>
      </c>
      <c r="S49" s="49">
        <f>'Forwarding From Client'!L11</f>
        <v>0</v>
      </c>
      <c r="T49" s="18">
        <f t="shared" si="7"/>
        <v>0</v>
      </c>
      <c r="U49" s="49">
        <f>'Dala Restocking'!L11</f>
        <v>0</v>
      </c>
      <c r="V49" s="18">
        <f t="shared" si="8"/>
        <v>0</v>
      </c>
      <c r="W49" s="49">
        <f>'Client Restocking'!L11</f>
        <v>0</v>
      </c>
    </row>
    <row r="50">
      <c r="B50" s="86"/>
      <c r="C50" s="87"/>
      <c r="D50" s="86"/>
      <c r="E50" s="87"/>
      <c r="F50" s="88"/>
      <c r="G50" s="18">
        <f t="shared" si="1"/>
        <v>0</v>
      </c>
      <c r="H50" s="88"/>
      <c r="I50" s="88"/>
      <c r="J50" s="88"/>
      <c r="K50" s="88"/>
      <c r="L50" s="85">
        <f t="shared" si="2"/>
        <v>0</v>
      </c>
      <c r="M50" s="49">
        <f t="shared" si="3"/>
        <v>0</v>
      </c>
      <c r="N50" s="18">
        <f t="shared" si="4"/>
        <v>0</v>
      </c>
      <c r="O50" s="49">
        <f>'Dala Sales &amp; Deliveries'!L12</f>
        <v>0</v>
      </c>
      <c r="P50" s="18">
        <f t="shared" si="5"/>
        <v>0</v>
      </c>
      <c r="Q50" s="49">
        <f>'External Delivery Fulfillment'!L12</f>
        <v>0</v>
      </c>
      <c r="R50" s="18">
        <f t="shared" si="6"/>
        <v>0</v>
      </c>
      <c r="S50" s="49">
        <f>'Forwarding From Client'!L12</f>
        <v>0</v>
      </c>
      <c r="T50" s="18">
        <f t="shared" si="7"/>
        <v>0</v>
      </c>
      <c r="U50" s="49">
        <f>'Dala Restocking'!L12</f>
        <v>0</v>
      </c>
      <c r="V50" s="18">
        <f t="shared" si="8"/>
        <v>0</v>
      </c>
      <c r="W50" s="49">
        <f>'Client Restocking'!L12</f>
        <v>0</v>
      </c>
    </row>
    <row r="51">
      <c r="B51" s="86"/>
      <c r="C51" s="87"/>
      <c r="D51" s="86"/>
      <c r="E51" s="87"/>
      <c r="F51" s="88"/>
      <c r="G51" s="18">
        <f t="shared" si="1"/>
        <v>0</v>
      </c>
      <c r="H51" s="88"/>
      <c r="I51" s="88"/>
      <c r="J51" s="88"/>
      <c r="K51" s="88"/>
      <c r="L51" s="85">
        <f t="shared" si="2"/>
        <v>0</v>
      </c>
      <c r="M51" s="49">
        <f t="shared" si="3"/>
        <v>0</v>
      </c>
      <c r="N51" s="18">
        <f t="shared" si="4"/>
        <v>0</v>
      </c>
      <c r="O51" s="49">
        <f>'Dala Sales &amp; Deliveries'!L13</f>
        <v>0</v>
      </c>
      <c r="P51" s="18">
        <f t="shared" si="5"/>
        <v>0</v>
      </c>
      <c r="Q51" s="49">
        <f>'External Delivery Fulfillment'!L13</f>
        <v>0</v>
      </c>
      <c r="R51" s="18">
        <f t="shared" si="6"/>
        <v>0</v>
      </c>
      <c r="S51" s="49">
        <f>'Forwarding From Client'!L13</f>
        <v>0</v>
      </c>
      <c r="T51" s="18">
        <f t="shared" si="7"/>
        <v>0</v>
      </c>
      <c r="U51" s="49">
        <f>'Dala Restocking'!L13</f>
        <v>0</v>
      </c>
      <c r="V51" s="18">
        <f t="shared" si="8"/>
        <v>0</v>
      </c>
      <c r="W51" s="49">
        <f>'Client Restocking'!L13</f>
        <v>0</v>
      </c>
    </row>
    <row r="52">
      <c r="B52" s="88"/>
      <c r="C52" s="88"/>
      <c r="D52" s="88"/>
      <c r="E52" s="88"/>
      <c r="F52" s="88"/>
      <c r="G52" s="18">
        <f t="shared" si="1"/>
        <v>0</v>
      </c>
      <c r="H52" s="88"/>
      <c r="I52" s="88"/>
      <c r="J52" s="88"/>
      <c r="K52" s="88"/>
      <c r="L52" s="50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8"/>
      <c r="C53" s="88"/>
      <c r="D53" s="88"/>
      <c r="E53" s="88"/>
      <c r="F53" s="88"/>
      <c r="G53" s="18">
        <f t="shared" si="1"/>
        <v>0</v>
      </c>
      <c r="H53" s="88"/>
      <c r="I53" s="88"/>
      <c r="J53" s="88"/>
      <c r="K53" s="88"/>
      <c r="L53" s="50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8"/>
      <c r="C54" s="88"/>
      <c r="D54" s="88"/>
      <c r="E54" s="88"/>
      <c r="F54" s="88"/>
      <c r="G54" s="18">
        <f t="shared" si="1"/>
        <v>0</v>
      </c>
      <c r="H54" s="88"/>
      <c r="I54" s="88"/>
      <c r="J54" s="88"/>
      <c r="K54" s="88"/>
      <c r="L54" s="50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8"/>
      <c r="C55" s="88"/>
      <c r="D55" s="88"/>
      <c r="E55" s="88"/>
      <c r="F55" s="88"/>
      <c r="G55" s="18">
        <f t="shared" si="1"/>
        <v>0</v>
      </c>
      <c r="H55" s="88"/>
      <c r="I55" s="88"/>
      <c r="J55" s="88"/>
      <c r="K55" s="88"/>
      <c r="L55" s="50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8"/>
      <c r="C56" s="88"/>
      <c r="D56" s="88"/>
      <c r="E56" s="88"/>
      <c r="F56" s="88"/>
      <c r="G56" s="18">
        <f t="shared" si="1"/>
        <v>0</v>
      </c>
      <c r="H56" s="88"/>
      <c r="I56" s="88"/>
      <c r="J56" s="88"/>
      <c r="K56" s="88"/>
      <c r="L56" s="50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8"/>
      <c r="C57" s="88"/>
      <c r="D57" s="88"/>
      <c r="E57" s="88"/>
      <c r="F57" s="88"/>
      <c r="G57" s="18">
        <f t="shared" si="1"/>
        <v>0</v>
      </c>
      <c r="H57" s="88"/>
      <c r="I57" s="88"/>
      <c r="J57" s="88"/>
      <c r="K57" s="88"/>
      <c r="L57" s="50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8"/>
      <c r="C58" s="88"/>
      <c r="D58" s="88"/>
      <c r="E58" s="88"/>
      <c r="F58" s="88"/>
      <c r="G58" s="18">
        <f t="shared" si="1"/>
        <v>0</v>
      </c>
      <c r="H58" s="88"/>
      <c r="I58" s="88"/>
      <c r="J58" s="88"/>
      <c r="K58" s="88"/>
      <c r="L58" s="50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8"/>
      <c r="C59" s="88"/>
      <c r="D59" s="88"/>
      <c r="E59" s="88"/>
      <c r="F59" s="88"/>
      <c r="G59" s="18">
        <f t="shared" si="1"/>
        <v>0</v>
      </c>
      <c r="H59" s="88"/>
      <c r="I59" s="88"/>
      <c r="J59" s="88"/>
      <c r="K59" s="88"/>
      <c r="L59" s="50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8"/>
      <c r="C60" s="88"/>
      <c r="D60" s="88"/>
      <c r="E60" s="88"/>
      <c r="F60" s="88"/>
      <c r="G60" s="18">
        <f t="shared" si="1"/>
        <v>0</v>
      </c>
      <c r="H60" s="88"/>
      <c r="I60" s="88"/>
      <c r="J60" s="88"/>
      <c r="K60" s="88"/>
      <c r="L60" s="50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8"/>
      <c r="C61" s="88"/>
      <c r="D61" s="88"/>
      <c r="E61" s="88"/>
      <c r="F61" s="88"/>
      <c r="G61" s="18">
        <f t="shared" si="1"/>
        <v>0</v>
      </c>
      <c r="H61" s="88"/>
      <c r="I61" s="88"/>
      <c r="J61" s="88"/>
      <c r="K61" s="88"/>
      <c r="L61" s="50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8"/>
      <c r="C62" s="88"/>
      <c r="D62" s="88"/>
      <c r="E62" s="88"/>
      <c r="F62" s="88"/>
      <c r="G62" s="18">
        <f t="shared" si="1"/>
        <v>0</v>
      </c>
      <c r="H62" s="88"/>
      <c r="I62" s="88"/>
      <c r="J62" s="88"/>
      <c r="K62" s="88"/>
      <c r="L62" s="50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8"/>
      <c r="C63" s="88"/>
      <c r="D63" s="88"/>
      <c r="E63" s="88"/>
      <c r="F63" s="88"/>
      <c r="G63" s="18">
        <f t="shared" si="1"/>
        <v>0</v>
      </c>
      <c r="H63" s="88"/>
      <c r="I63" s="88"/>
      <c r="J63" s="88"/>
      <c r="K63" s="88"/>
      <c r="L63" s="50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8"/>
      <c r="C64" s="88"/>
      <c r="D64" s="88"/>
      <c r="E64" s="88"/>
      <c r="F64" s="88"/>
      <c r="G64" s="18">
        <f t="shared" si="1"/>
        <v>0</v>
      </c>
      <c r="H64" s="88"/>
      <c r="I64" s="88"/>
      <c r="J64" s="88"/>
      <c r="K64" s="88"/>
      <c r="L64" s="50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8"/>
      <c r="C65" s="88"/>
      <c r="D65" s="88"/>
      <c r="E65" s="88"/>
      <c r="F65" s="88"/>
      <c r="G65" s="18">
        <f t="shared" si="1"/>
        <v>0</v>
      </c>
      <c r="H65" s="88"/>
      <c r="I65" s="88"/>
      <c r="J65" s="88"/>
      <c r="K65" s="88"/>
      <c r="L65" s="50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8"/>
      <c r="C66" s="88"/>
      <c r="D66" s="88"/>
      <c r="E66" s="88"/>
      <c r="F66" s="88"/>
      <c r="G66" s="18">
        <f t="shared" si="1"/>
        <v>0</v>
      </c>
      <c r="H66" s="88"/>
      <c r="I66" s="88"/>
      <c r="J66" s="88"/>
      <c r="K66" s="88"/>
      <c r="L66" s="50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8"/>
      <c r="C67" s="88"/>
      <c r="D67" s="88"/>
      <c r="E67" s="88"/>
      <c r="F67" s="88"/>
      <c r="G67" s="18">
        <f t="shared" si="1"/>
        <v>0</v>
      </c>
      <c r="H67" s="88"/>
      <c r="I67" s="88"/>
      <c r="J67" s="88"/>
      <c r="K67" s="88"/>
      <c r="L67" s="50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8"/>
      <c r="C68" s="88"/>
      <c r="D68" s="88"/>
      <c r="E68" s="88"/>
      <c r="F68" s="88"/>
      <c r="G68" s="18">
        <f t="shared" si="1"/>
        <v>0</v>
      </c>
      <c r="H68" s="88"/>
      <c r="I68" s="88"/>
      <c r="J68" s="88"/>
      <c r="K68" s="88"/>
      <c r="L68" s="50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0" t="s">
        <v>93</v>
      </c>
      <c r="C69" s="50"/>
      <c r="D69" s="50"/>
      <c r="E69" s="18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49">
        <f t="shared" si="9"/>
        <v>28.75</v>
      </c>
      <c r="M69" s="49">
        <f t="shared" si="9"/>
        <v>-28.75</v>
      </c>
      <c r="N69" s="18">
        <f t="shared" si="9"/>
        <v>0</v>
      </c>
      <c r="O69" s="49">
        <f t="shared" si="9"/>
        <v>1.25</v>
      </c>
      <c r="P69" s="18">
        <f t="shared" si="9"/>
        <v>0</v>
      </c>
      <c r="Q69" s="49">
        <f t="shared" si="9"/>
        <v>0</v>
      </c>
      <c r="R69" s="18">
        <f t="shared" si="9"/>
        <v>0</v>
      </c>
      <c r="S69" s="49">
        <f t="shared" si="9"/>
        <v>0</v>
      </c>
      <c r="T69" s="18">
        <f t="shared" si="9"/>
        <v>0</v>
      </c>
      <c r="U69" s="49">
        <f t="shared" si="9"/>
        <v>0</v>
      </c>
      <c r="V69" s="18">
        <f t="shared" si="9"/>
        <v>0</v>
      </c>
      <c r="W69" s="49">
        <f t="shared" si="9"/>
        <v>30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8" t="s">
        <v>34</v>
      </c>
      <c r="C1" s="48" t="s">
        <v>26</v>
      </c>
      <c r="D1" s="48" t="s">
        <v>35</v>
      </c>
      <c r="E1" s="48" t="s">
        <v>36</v>
      </c>
      <c r="F1" s="54"/>
    </row>
    <row r="2">
      <c r="A2" s="55" t="s">
        <v>37</v>
      </c>
      <c r="B2" s="56" t="s">
        <v>24</v>
      </c>
      <c r="C2" s="57"/>
      <c r="D2" s="57"/>
      <c r="E2" s="58">
        <f>'Dala Sales &amp; Deliveries'!I1+'External Delivery Fulfillment'!I1+'Forwarding From Client'!I1</f>
        <v>2</v>
      </c>
      <c r="F2" s="54"/>
    </row>
    <row r="3">
      <c r="A3" s="59"/>
      <c r="B3" s="56" t="s">
        <v>38</v>
      </c>
      <c r="C3" s="57"/>
      <c r="D3" s="57"/>
      <c r="E3" s="58">
        <f>'Raw Data'!AW2</f>
        <v>2</v>
      </c>
      <c r="F3" s="54"/>
    </row>
    <row r="4">
      <c r="B4" s="60" t="s">
        <v>39</v>
      </c>
      <c r="C4" s="54"/>
      <c r="D4" s="54"/>
      <c r="E4" s="61">
        <f>'Dala Sales &amp; Deliveries'!I3</f>
        <v>39000</v>
      </c>
      <c r="F4" s="54"/>
    </row>
    <row r="5">
      <c r="B5" s="60" t="s">
        <v>95</v>
      </c>
      <c r="C5" s="54"/>
      <c r="D5" s="54"/>
      <c r="E5" s="61">
        <f>E4*1.075-E4</f>
        <v>2925</v>
      </c>
      <c r="F5" s="54"/>
    </row>
    <row r="6">
      <c r="A6" s="67"/>
      <c r="B6" s="68" t="s">
        <v>42</v>
      </c>
      <c r="C6" s="69"/>
      <c r="D6" s="70"/>
      <c r="E6" s="71">
        <f>sum(E4:E5)</f>
        <v>41925</v>
      </c>
      <c r="F6" s="54"/>
    </row>
    <row r="7">
      <c r="A7" s="55" t="s">
        <v>43</v>
      </c>
      <c r="B7" s="56" t="s">
        <v>44</v>
      </c>
      <c r="C7" s="57"/>
      <c r="D7" s="72"/>
      <c r="E7" s="73"/>
    </row>
    <row r="8">
      <c r="A8" s="59"/>
      <c r="B8" s="56" t="s">
        <v>50</v>
      </c>
      <c r="C8" s="90">
        <v>0.06</v>
      </c>
      <c r="D8" s="72"/>
      <c r="E8" s="77">
        <f>E7*(C8+100%)-E7</f>
        <v>0</v>
      </c>
      <c r="K8" s="7"/>
      <c r="L8" s="7"/>
      <c r="M8" s="7"/>
      <c r="N8" s="7"/>
    </row>
    <row r="9">
      <c r="A9" s="67"/>
      <c r="B9" s="68" t="s">
        <v>45</v>
      </c>
      <c r="C9" s="74">
        <v>0.1</v>
      </c>
      <c r="D9" s="70"/>
      <c r="E9" s="71">
        <f>E7*(C9+100%)-E7</f>
        <v>0</v>
      </c>
      <c r="K9" s="7"/>
      <c r="L9" s="7"/>
      <c r="M9" s="7"/>
      <c r="N9" s="7"/>
    </row>
    <row r="10">
      <c r="A10" s="55" t="s">
        <v>48</v>
      </c>
      <c r="B10" s="56" t="s">
        <v>49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96</v>
      </c>
      <c r="C11" s="57"/>
      <c r="D11" s="79"/>
      <c r="E11" s="77">
        <f>V67</f>
        <v>0</v>
      </c>
    </row>
    <row r="12">
      <c r="A12" s="59"/>
      <c r="B12" s="63" t="s">
        <v>65</v>
      </c>
      <c r="C12" s="57"/>
      <c r="D12" s="79"/>
      <c r="E12" s="77">
        <f>R67</f>
        <v>0</v>
      </c>
    </row>
    <row r="13">
      <c r="A13" s="59"/>
      <c r="B13" s="56" t="s">
        <v>52</v>
      </c>
      <c r="C13" s="72"/>
      <c r="D13" s="72"/>
      <c r="E13" s="91">
        <v>0.0</v>
      </c>
    </row>
    <row r="14">
      <c r="A14" s="59"/>
      <c r="B14" s="56" t="s">
        <v>53</v>
      </c>
      <c r="C14" s="72"/>
      <c r="D14" s="72"/>
      <c r="E14" s="77">
        <f>C28</f>
        <v>0</v>
      </c>
    </row>
    <row r="15">
      <c r="A15" s="67"/>
      <c r="B15" s="68" t="s">
        <v>97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57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8" t="s">
        <v>58</v>
      </c>
      <c r="C19" s="82">
        <f>U67</f>
        <v>0</v>
      </c>
      <c r="D19" s="65"/>
      <c r="H19" s="92"/>
      <c r="I19" s="83"/>
      <c r="J19" s="83"/>
      <c r="K19" s="83"/>
      <c r="L19" s="83"/>
      <c r="M19" s="84"/>
      <c r="N19" s="81"/>
      <c r="O19" s="81"/>
    </row>
    <row r="20">
      <c r="A20" s="65"/>
      <c r="B20" s="48" t="s">
        <v>59</v>
      </c>
      <c r="C20" s="82">
        <f>V67</f>
        <v>0</v>
      </c>
      <c r="D20" s="65"/>
      <c r="H20" s="92"/>
      <c r="I20" s="83"/>
      <c r="J20" s="83"/>
      <c r="K20" s="83"/>
      <c r="L20" s="83"/>
      <c r="M20" s="84"/>
      <c r="N20" s="81"/>
      <c r="O20" s="81"/>
    </row>
    <row r="21">
      <c r="A21" s="65"/>
      <c r="B21" s="48" t="s">
        <v>60</v>
      </c>
      <c r="C21" s="82">
        <f>S67</f>
        <v>0</v>
      </c>
      <c r="D21" s="65"/>
      <c r="H21" s="92"/>
      <c r="I21" s="83"/>
      <c r="J21" s="83"/>
      <c r="K21" s="83"/>
      <c r="L21" s="83"/>
      <c r="M21" s="84"/>
      <c r="N21" s="81"/>
      <c r="O21" s="81"/>
    </row>
    <row r="22">
      <c r="A22" s="65"/>
      <c r="B22" s="48" t="s">
        <v>61</v>
      </c>
      <c r="C22" s="82">
        <f>T67</f>
        <v>0</v>
      </c>
      <c r="D22" s="65"/>
      <c r="H22" s="92"/>
      <c r="I22" s="83"/>
      <c r="J22" s="83"/>
      <c r="K22" s="83"/>
      <c r="L22" s="83"/>
      <c r="M22" s="84"/>
      <c r="N22" s="81"/>
      <c r="O22" s="81"/>
    </row>
    <row r="23">
      <c r="A23" s="65"/>
      <c r="B23" s="48" t="s">
        <v>62</v>
      </c>
      <c r="C23" s="82">
        <f>O67</f>
        <v>1.25</v>
      </c>
      <c r="D23" s="65"/>
      <c r="H23" s="92"/>
      <c r="I23" s="83"/>
      <c r="J23" s="83"/>
      <c r="K23" s="83"/>
      <c r="L23" s="83"/>
      <c r="M23" s="84"/>
      <c r="N23" s="81"/>
      <c r="O23" s="81"/>
    </row>
    <row r="24">
      <c r="A24" s="65"/>
      <c r="B24" s="48" t="s">
        <v>63</v>
      </c>
      <c r="C24" s="82">
        <f>P67</f>
        <v>0</v>
      </c>
      <c r="D24" s="65"/>
      <c r="H24" s="92"/>
      <c r="I24" s="83"/>
      <c r="J24" s="83"/>
      <c r="K24" s="83"/>
      <c r="L24" s="83"/>
      <c r="M24" s="84"/>
      <c r="N24" s="81"/>
      <c r="O24" s="81"/>
    </row>
    <row r="25">
      <c r="A25" s="65"/>
      <c r="B25" s="48" t="s">
        <v>64</v>
      </c>
      <c r="C25" s="82">
        <f>Q67</f>
        <v>0</v>
      </c>
      <c r="D25" s="65"/>
      <c r="H25" s="92"/>
      <c r="I25" s="83"/>
      <c r="J25" s="83"/>
      <c r="K25" s="83"/>
      <c r="L25" s="83"/>
      <c r="M25" s="84"/>
      <c r="N25" s="81"/>
      <c r="O25" s="81"/>
    </row>
    <row r="26">
      <c r="A26" s="65"/>
      <c r="B26" s="48" t="s">
        <v>65</v>
      </c>
      <c r="C26" s="82">
        <f>R67</f>
        <v>0</v>
      </c>
      <c r="D26" s="65"/>
    </row>
    <row r="27">
      <c r="A27" s="65"/>
      <c r="B27" s="48" t="s">
        <v>66</v>
      </c>
      <c r="C27" s="82">
        <f>F67</f>
        <v>0</v>
      </c>
      <c r="D27" s="65"/>
    </row>
    <row r="28">
      <c r="A28" s="65"/>
      <c r="B28" s="48" t="s">
        <v>67</v>
      </c>
      <c r="C28" s="82">
        <f>G67</f>
        <v>0</v>
      </c>
      <c r="D28" s="65"/>
    </row>
    <row r="29">
      <c r="A29" s="65"/>
      <c r="B29" s="48" t="s">
        <v>68</v>
      </c>
      <c r="C29" s="82">
        <f>I67</f>
        <v>0</v>
      </c>
      <c r="D29" s="65"/>
    </row>
    <row r="30">
      <c r="A30" s="65"/>
      <c r="B30" s="48" t="s">
        <v>98</v>
      </c>
      <c r="C30" s="82">
        <f>J67</f>
        <v>0</v>
      </c>
      <c r="D30" s="65"/>
    </row>
    <row r="31">
      <c r="A31" s="65"/>
      <c r="B31" s="48" t="s">
        <v>70</v>
      </c>
      <c r="C31" s="82">
        <f>L67</f>
        <v>28.75</v>
      </c>
      <c r="D31" s="65"/>
    </row>
    <row r="32">
      <c r="A32" s="65"/>
      <c r="B32" s="48" t="s">
        <v>71</v>
      </c>
      <c r="C32" s="82">
        <f>K67</f>
        <v>0</v>
      </c>
      <c r="D32" s="65"/>
    </row>
    <row r="33">
      <c r="A33" s="65"/>
      <c r="B33" s="48" t="s">
        <v>72</v>
      </c>
      <c r="C33" s="82">
        <v>0.0</v>
      </c>
      <c r="D33" s="65"/>
    </row>
    <row r="34">
      <c r="A34" s="65"/>
      <c r="B34" s="48" t="s">
        <v>73</v>
      </c>
      <c r="C34" s="82">
        <v>0.0</v>
      </c>
      <c r="D34" s="65"/>
    </row>
    <row r="36">
      <c r="A36" s="93"/>
    </row>
    <row r="37">
      <c r="A37" s="79"/>
      <c r="B37" s="94" t="s">
        <v>74</v>
      </c>
      <c r="C37" s="48" t="s">
        <v>75</v>
      </c>
      <c r="D37" s="48" t="s">
        <v>76</v>
      </c>
      <c r="E37" s="48" t="s">
        <v>77</v>
      </c>
      <c r="F37" s="50" t="s">
        <v>78</v>
      </c>
      <c r="G37" s="50" t="s">
        <v>79</v>
      </c>
      <c r="H37" s="50" t="s">
        <v>80</v>
      </c>
      <c r="I37" s="50" t="s">
        <v>81</v>
      </c>
      <c r="J37" s="50" t="s">
        <v>82</v>
      </c>
      <c r="K37" s="50" t="s">
        <v>83</v>
      </c>
      <c r="L37" s="50" t="s">
        <v>70</v>
      </c>
      <c r="M37" s="50" t="s">
        <v>72</v>
      </c>
      <c r="N37" s="50" t="s">
        <v>84</v>
      </c>
      <c r="O37" s="50" t="s">
        <v>62</v>
      </c>
      <c r="P37" s="50" t="s">
        <v>86</v>
      </c>
      <c r="Q37" s="50" t="s">
        <v>87</v>
      </c>
      <c r="R37" s="50" t="s">
        <v>88</v>
      </c>
      <c r="S37" s="50" t="s">
        <v>89</v>
      </c>
      <c r="T37" s="50" t="s">
        <v>61</v>
      </c>
      <c r="U37" s="50" t="s">
        <v>90</v>
      </c>
      <c r="V37" s="50" t="s">
        <v>91</v>
      </c>
      <c r="W37" s="50" t="s">
        <v>92</v>
      </c>
    </row>
    <row r="38">
      <c r="A38" s="95"/>
      <c r="B38" s="96" t="str">
        <f>'Internal Summary'!B40</f>
        <v>150g Primechem Kesteen Black Soap (48x)</v>
      </c>
      <c r="C38" s="49" t="str">
        <f>'Internal Summary'!C40</f>
        <v/>
      </c>
      <c r="D38" s="49" t="str">
        <f>'Internal Summary'!D40</f>
        <v/>
      </c>
      <c r="E38" s="49" t="str">
        <f>'Internal Summary'!E40</f>
        <v/>
      </c>
      <c r="F38" s="87"/>
      <c r="G38" s="49">
        <f t="shared" ref="G38:G66" si="1">F38*C38</f>
        <v>0</v>
      </c>
      <c r="H38" s="87"/>
      <c r="I38" s="87"/>
      <c r="J38" s="87"/>
      <c r="K38" s="97" t="str">
        <f>'Internal Summary'!K40</f>
        <v/>
      </c>
      <c r="L38" s="98">
        <f t="shared" ref="L38:L66" si="2">H38+U38+W38-O38-Q38-I38-J38</f>
        <v>28.75</v>
      </c>
      <c r="M38" s="49">
        <f t="shared" ref="M38:M66" si="3">K38-L38</f>
        <v>-28.75</v>
      </c>
      <c r="N38" s="49">
        <f t="shared" ref="N38:N66" si="4">M38*C38</f>
        <v>0</v>
      </c>
      <c r="O38" s="49">
        <f>'Dala Sales &amp; Deliveries'!L2</f>
        <v>1.25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30</v>
      </c>
    </row>
    <row r="39">
      <c r="A39" s="95"/>
      <c r="B39" s="96" t="str">
        <f>'Internal Summary'!B41</f>
        <v/>
      </c>
      <c r="C39" s="49" t="str">
        <f>'Internal Summary'!C41</f>
        <v/>
      </c>
      <c r="D39" s="49" t="str">
        <f>'Internal Summary'!D41</f>
        <v/>
      </c>
      <c r="E39" s="49" t="str">
        <f>'Internal Summary'!E41</f>
        <v/>
      </c>
      <c r="F39" s="99"/>
      <c r="G39" s="49">
        <f t="shared" si="1"/>
        <v>0</v>
      </c>
      <c r="H39" s="99"/>
      <c r="I39" s="87"/>
      <c r="J39" s="99"/>
      <c r="K39" s="97" t="str">
        <f>'Internal Summary'!K41</f>
        <v/>
      </c>
      <c r="L39" s="98">
        <f t="shared" si="2"/>
        <v>0</v>
      </c>
      <c r="M39" s="49">
        <f t="shared" si="3"/>
        <v>0</v>
      </c>
      <c r="N39" s="49">
        <f t="shared" si="4"/>
        <v>0</v>
      </c>
      <c r="O39" s="49">
        <f>'Dala Sales &amp; Deliveries'!L3</f>
        <v>0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95"/>
      <c r="B40" s="96" t="str">
        <f>'Internal Summary'!B42</f>
        <v/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99"/>
      <c r="G40" s="49">
        <f t="shared" si="1"/>
        <v>0</v>
      </c>
      <c r="H40" s="99"/>
      <c r="I40" s="87"/>
      <c r="J40" s="99"/>
      <c r="K40" s="97" t="str">
        <f>'Internal Summary'!K42</f>
        <v/>
      </c>
      <c r="L40" s="98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5"/>
      <c r="B41" s="96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99"/>
      <c r="G41" s="49">
        <f t="shared" si="1"/>
        <v>0</v>
      </c>
      <c r="H41" s="99"/>
      <c r="I41" s="87"/>
      <c r="J41" s="99"/>
      <c r="K41" s="97" t="str">
        <f>'Internal Summary'!K43</f>
        <v/>
      </c>
      <c r="L41" s="98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5"/>
      <c r="B42" s="96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99"/>
      <c r="G42" s="49">
        <f t="shared" si="1"/>
        <v>0</v>
      </c>
      <c r="H42" s="99"/>
      <c r="I42" s="99"/>
      <c r="J42" s="99"/>
      <c r="K42" s="87"/>
      <c r="L42" s="98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5"/>
      <c r="B43" s="96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99"/>
      <c r="G43" s="49">
        <f t="shared" si="1"/>
        <v>0</v>
      </c>
      <c r="H43" s="99"/>
      <c r="I43" s="99"/>
      <c r="J43" s="99"/>
      <c r="K43" s="87"/>
      <c r="L43" s="98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5"/>
      <c r="B44" s="96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99"/>
      <c r="G44" s="49">
        <f t="shared" si="1"/>
        <v>0</v>
      </c>
      <c r="H44" s="99"/>
      <c r="I44" s="99"/>
      <c r="J44" s="99"/>
      <c r="K44" s="87"/>
      <c r="L44" s="98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5"/>
      <c r="B45" s="96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99"/>
      <c r="G45" s="49">
        <f t="shared" si="1"/>
        <v>0</v>
      </c>
      <c r="H45" s="99"/>
      <c r="I45" s="99"/>
      <c r="J45" s="99"/>
      <c r="K45" s="87"/>
      <c r="L45" s="98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5"/>
      <c r="B46" s="96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99"/>
      <c r="G46" s="49">
        <f t="shared" si="1"/>
        <v>0</v>
      </c>
      <c r="H46" s="99"/>
      <c r="I46" s="99"/>
      <c r="J46" s="99"/>
      <c r="K46" s="87"/>
      <c r="L46" s="98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5"/>
      <c r="B47" s="96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99"/>
      <c r="G47" s="49">
        <f t="shared" si="1"/>
        <v>0</v>
      </c>
      <c r="H47" s="99"/>
      <c r="I47" s="99"/>
      <c r="J47" s="99"/>
      <c r="K47" s="87"/>
      <c r="L47" s="98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5"/>
      <c r="B48" s="96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99"/>
      <c r="G48" s="49">
        <f t="shared" si="1"/>
        <v>0</v>
      </c>
      <c r="H48" s="99"/>
      <c r="I48" s="99"/>
      <c r="J48" s="99"/>
      <c r="K48" s="87"/>
      <c r="L48" s="98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5"/>
      <c r="B49" s="96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99"/>
      <c r="G49" s="49">
        <f t="shared" si="1"/>
        <v>0</v>
      </c>
      <c r="H49" s="99"/>
      <c r="I49" s="99"/>
      <c r="J49" s="99"/>
      <c r="K49" s="87"/>
      <c r="L49" s="98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18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99"/>
      <c r="G50" s="49">
        <f t="shared" si="1"/>
        <v>0</v>
      </c>
      <c r="H50" s="99"/>
      <c r="I50" s="99"/>
      <c r="J50" s="99"/>
      <c r="K50" s="99"/>
      <c r="L50" s="98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18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99"/>
      <c r="G51" s="49">
        <f t="shared" si="1"/>
        <v>0</v>
      </c>
      <c r="H51" s="99"/>
      <c r="I51" s="99"/>
      <c r="J51" s="99"/>
      <c r="K51" s="99"/>
      <c r="L51" s="98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18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99"/>
      <c r="G52" s="49">
        <f t="shared" si="1"/>
        <v>0</v>
      </c>
      <c r="H52" s="99"/>
      <c r="I52" s="99"/>
      <c r="J52" s="99"/>
      <c r="K52" s="99"/>
      <c r="L52" s="98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18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99"/>
      <c r="G53" s="49">
        <f t="shared" si="1"/>
        <v>0</v>
      </c>
      <c r="H53" s="99"/>
      <c r="I53" s="99"/>
      <c r="J53" s="99"/>
      <c r="K53" s="99"/>
      <c r="L53" s="98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18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99"/>
      <c r="G54" s="49">
        <f t="shared" si="1"/>
        <v>0</v>
      </c>
      <c r="H54" s="99"/>
      <c r="I54" s="99"/>
      <c r="J54" s="99"/>
      <c r="K54" s="99"/>
      <c r="L54" s="98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18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99"/>
      <c r="G55" s="49">
        <f t="shared" si="1"/>
        <v>0</v>
      </c>
      <c r="H55" s="99"/>
      <c r="I55" s="99"/>
      <c r="J55" s="99"/>
      <c r="K55" s="99"/>
      <c r="L55" s="98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18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99"/>
      <c r="G56" s="49">
        <f t="shared" si="1"/>
        <v>0</v>
      </c>
      <c r="H56" s="99"/>
      <c r="I56" s="99"/>
      <c r="J56" s="99"/>
      <c r="K56" s="99"/>
      <c r="L56" s="98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18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99"/>
      <c r="G57" s="49">
        <f t="shared" si="1"/>
        <v>0</v>
      </c>
      <c r="H57" s="99"/>
      <c r="I57" s="99"/>
      <c r="J57" s="99"/>
      <c r="K57" s="99"/>
      <c r="L57" s="98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18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99"/>
      <c r="G58" s="49">
        <f t="shared" si="1"/>
        <v>0</v>
      </c>
      <c r="H58" s="99"/>
      <c r="I58" s="99"/>
      <c r="J58" s="99"/>
      <c r="K58" s="99"/>
      <c r="L58" s="98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18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99"/>
      <c r="G59" s="49">
        <f t="shared" si="1"/>
        <v>0</v>
      </c>
      <c r="H59" s="99"/>
      <c r="I59" s="99"/>
      <c r="J59" s="99"/>
      <c r="K59" s="99"/>
      <c r="L59" s="98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18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99"/>
      <c r="G60" s="49">
        <f t="shared" si="1"/>
        <v>0</v>
      </c>
      <c r="H60" s="99"/>
      <c r="I60" s="99"/>
      <c r="J60" s="99"/>
      <c r="K60" s="99"/>
      <c r="L60" s="98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18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99"/>
      <c r="G61" s="49">
        <f t="shared" si="1"/>
        <v>0</v>
      </c>
      <c r="H61" s="99"/>
      <c r="I61" s="99"/>
      <c r="J61" s="99"/>
      <c r="K61" s="99"/>
      <c r="L61" s="98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18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99"/>
      <c r="G62" s="49">
        <f t="shared" si="1"/>
        <v>0</v>
      </c>
      <c r="H62" s="99"/>
      <c r="I62" s="99"/>
      <c r="J62" s="99"/>
      <c r="K62" s="99"/>
      <c r="L62" s="98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18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99"/>
      <c r="G63" s="49">
        <f t="shared" si="1"/>
        <v>0</v>
      </c>
      <c r="H63" s="99"/>
      <c r="I63" s="99"/>
      <c r="J63" s="99"/>
      <c r="K63" s="99"/>
      <c r="L63" s="98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18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99"/>
      <c r="G64" s="49">
        <f t="shared" si="1"/>
        <v>0</v>
      </c>
      <c r="H64" s="99"/>
      <c r="I64" s="99"/>
      <c r="J64" s="99"/>
      <c r="K64" s="99"/>
      <c r="L64" s="98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18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99"/>
      <c r="G65" s="49">
        <f t="shared" si="1"/>
        <v>0</v>
      </c>
      <c r="H65" s="99"/>
      <c r="I65" s="99"/>
      <c r="J65" s="99"/>
      <c r="K65" s="99"/>
      <c r="L65" s="98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18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99"/>
      <c r="G66" s="49">
        <f t="shared" si="1"/>
        <v>0</v>
      </c>
      <c r="H66" s="99"/>
      <c r="I66" s="99"/>
      <c r="J66" s="99"/>
      <c r="K66" s="99"/>
      <c r="L66" s="98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93</v>
      </c>
      <c r="C67" s="85"/>
      <c r="D67" s="85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0</v>
      </c>
      <c r="L67" s="98">
        <f t="shared" si="9"/>
        <v>28.75</v>
      </c>
      <c r="M67" s="49">
        <f t="shared" si="9"/>
        <v>-28.75</v>
      </c>
      <c r="N67" s="49">
        <f t="shared" si="9"/>
        <v>0</v>
      </c>
      <c r="O67" s="49">
        <f t="shared" si="9"/>
        <v>1.25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30</v>
      </c>
    </row>
    <row r="68">
      <c r="C68" s="6" t="s">
        <v>94</v>
      </c>
      <c r="D68" s="6" t="s">
        <v>94</v>
      </c>
      <c r="E68" s="6" t="s">
        <v>94</v>
      </c>
      <c r="F68" s="6" t="s">
        <v>94</v>
      </c>
      <c r="G68" s="6"/>
      <c r="H68" s="6" t="s">
        <v>94</v>
      </c>
      <c r="I68" s="6" t="s">
        <v>94</v>
      </c>
      <c r="J68" s="6" t="s">
        <v>94</v>
      </c>
      <c r="K68" s="6" t="s">
        <v>94</v>
      </c>
      <c r="L68" s="6" t="s">
        <v>94</v>
      </c>
      <c r="M68" s="6"/>
      <c r="N68" s="6" t="s">
        <v>94</v>
      </c>
      <c r="O68" s="6" t="s">
        <v>94</v>
      </c>
      <c r="P68" s="6" t="s">
        <v>94</v>
      </c>
      <c r="Q68" s="6" t="s">
        <v>94</v>
      </c>
      <c r="R68" s="6" t="s">
        <v>94</v>
      </c>
      <c r="S68" s="6"/>
      <c r="T68" s="6"/>
      <c r="U68" s="6" t="s">
        <v>94</v>
      </c>
      <c r="V68" s="6" t="s">
        <v>94</v>
      </c>
      <c r="W68" s="6" t="s">
        <v>94</v>
      </c>
    </row>
  </sheetData>
  <drawing r:id="rId1"/>
</worksheet>
</file>