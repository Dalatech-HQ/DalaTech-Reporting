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Data'!$A$2:$G$36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<sst xmlns="http://schemas.openxmlformats.org/spreadsheetml/2006/main" count="561" uniqueCount="139">
  <si>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</si>
  <si>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</si>
  <si>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</si>
  <si>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</si>
  <si>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</si>
  <si>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</si>
  <si>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</si>
  <si>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</si>
  <si>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</si>
  <si>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</si>
  <si>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</si>
  <si>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</si>
  <si>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</si>
  <si>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</si>
  <si>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</si>
  <si>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Atun 120g Peppersoup Spice (12x)</t>
  </si>
  <si>
    <t>Atun Foods</t>
  </si>
  <si>
    <t>Purchase Inv-Dala</t>
  </si>
  <si>
    <t>K &amp; P Supermarket</t>
  </si>
  <si>
    <t>Sales</t>
  </si>
  <si>
    <t>DT:002377</t>
  </si>
  <si>
    <t>Ozzy Supermarket, VICTORY PARK EST.</t>
  </si>
  <si>
    <t>DT:002387</t>
  </si>
  <si>
    <t>Jendol Supermarket, ALAKUKO</t>
  </si>
  <si>
    <t>DT:002407</t>
  </si>
  <si>
    <t>Limitless Mart, LEKKI</t>
  </si>
  <si>
    <t>DT:002415</t>
  </si>
  <si>
    <t>Jendol Supermarket, EGBEDA</t>
  </si>
  <si>
    <t>DT:002438</t>
  </si>
  <si>
    <t>Zomain Supermarket, JAKANDE Gate</t>
  </si>
  <si>
    <t>DT:002449</t>
  </si>
  <si>
    <t>Pharm Affair</t>
  </si>
  <si>
    <t>DT:002463</t>
  </si>
  <si>
    <t>Teewell Superstore</t>
  </si>
  <si>
    <t>DT:002467</t>
  </si>
  <si>
    <t>Compramart Supermarket, MOBILE Rd.</t>
  </si>
  <si>
    <t>DT:002492</t>
  </si>
  <si>
    <t>Priviledge Superstore</t>
  </si>
  <si>
    <t>DT:002502</t>
  </si>
  <si>
    <t>Moneyworth Supermarket, IJUSHAGA</t>
  </si>
  <si>
    <t>DT:002505</t>
  </si>
  <si>
    <t>Ozzy Supermarket, mobile road</t>
  </si>
  <si>
    <t>DT:002520</t>
  </si>
  <si>
    <t>Renees Supermarket, IKOYI</t>
  </si>
  <si>
    <t>DT:002525</t>
  </si>
  <si>
    <t>Renees Supermarket, FREEDOM WAY</t>
  </si>
  <si>
    <t>DT:002536</t>
  </si>
  <si>
    <t>DT:002553</t>
  </si>
  <si>
    <t>DT:002665</t>
  </si>
  <si>
    <t>DT:002717</t>
  </si>
  <si>
    <t>Atun 1.5litre Palm Oil (6x)</t>
  </si>
  <si>
    <t>Texon Supermarket, OGUDU</t>
  </si>
  <si>
    <t>DT:002471</t>
  </si>
  <si>
    <t>Renees Supermarket, LEKKI CENTRAL MOSQUE</t>
  </si>
  <si>
    <t>DT:002539</t>
  </si>
  <si>
    <t>DT:002570</t>
  </si>
  <si>
    <t>Skymart Supermarket, LANGBASA</t>
  </si>
  <si>
    <t>DT:002627</t>
  </si>
  <si>
    <t>DT:002689</t>
  </si>
  <si>
    <t>Prestige Superstore, IPAJA</t>
  </si>
  <si>
    <t>DT:002694</t>
  </si>
  <si>
    <t>Prestige Superstore, IYANA ISHASHI</t>
  </si>
  <si>
    <t>DT:002712</t>
  </si>
  <si>
    <t>Prestige Superstore, IGANDO</t>
  </si>
  <si>
    <t>DT:002713</t>
  </si>
  <si>
    <t>Atun 3kg Yellow Garri (4x)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</si>
  <si>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</si>
  <si>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</si>
  <si>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</si>
  <si>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</si>
  <si>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</si>
  <si>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</si>
  <si>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</si>
  <si>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20 Total</t>
  </si>
  <si>
    <t>Atun 120g Peppersoup Spice (12x)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</si>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</sst>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  <font>
      <color theme="1"/>
      <name val="Arial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6" numFmtId="0" xfId="0" applyAlignment="1" applyBorder="1" applyFill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vertical="top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2" fontId="2" numFmtId="4" xfId="0" applyAlignment="1" applyBorder="1" applyFont="1" applyNumberForma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4" numFmtId="165" xfId="0" applyAlignment="1" applyFont="1" applyNumberFormat="1">
      <alignment readingOrder="0"/>
    </xf>
    <xf borderId="8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horizontal="right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0" fillId="0" fontId="4" numFmtId="0" xfId="0" applyFon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5" xfId="0" applyFont="1" applyNumberFormat="1"/>
    <xf borderId="5" fillId="0" fontId="4" numFmtId="0" xfId="0" applyBorder="1" applyFont="1"/>
    <xf borderId="0" fillId="0" fontId="7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10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5" fillId="0" fontId="8" numFmtId="4" xfId="0" applyAlignment="1" applyBorder="1" applyFont="1" applyNumberFormat="1">
      <alignment horizontal="right" vertical="bottom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5" fillId="0" fontId="11" numFmtId="4" xfId="0" applyAlignment="1" applyBorder="1" applyFont="1" applyNumberFormat="1">
      <alignment horizontal="right" vertical="bottom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0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9" numFmtId="0" xfId="0" applyAlignment="1" applyFont="1">
      <alignment vertical="bottom"/>
    </xf>
    <xf borderId="0" fillId="0" fontId="12" numFmtId="0" xfId="0" applyAlignment="1" applyFont="1">
      <alignment horizontal="center" readingOrder="0" shrinkToFit="0" vertical="top" wrapText="0"/>
    </xf>
    <xf borderId="13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13" fillId="0" fontId="4" numFmtId="0" xfId="0" applyBorder="1" applyFont="1"/>
    <xf borderId="5" fillId="4" fontId="4" numFmtId="4" xfId="0" applyBorder="1" applyFont="1" applyNumberFormat="1"/>
    <xf borderId="5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Atun 120g Peppersoup Spice (12x)"/>
        <s v="Atun 1.5litre Palm Oil (6x)"/>
        <s v="Atun 3kg Yellow Garri (4x)"/>
        <m/>
      </sharedItems>
    </cacheField>
    <cacheField name="Date" numFmtId="164">
      <sharedItems containsDate="1" containsString="0" containsBlank="1">
        <d v="2025-09-01T00:00:00Z"/>
        <d v="2025-09-02T00:00:00Z"/>
        <d v="2025-09-03T00:00:00Z"/>
        <d v="2025-09-04T00:00:00Z"/>
        <d v="2025-09-05T00:00:00Z"/>
        <d v="2025-09-06T00:00:00Z"/>
        <d v="2025-09-11T00:00:00Z"/>
        <d v="2025-09-12T00:00:00Z"/>
        <d v="2025-09-13T00:00:00Z"/>
        <d v="2025-09-24T00:00:00Z"/>
        <d v="2025-09-30T00:00:00Z"/>
        <d v="2025-09-16T00:00:00Z"/>
        <d v="2025-09-22T00:00:00Z"/>
        <d v="2025-09-26T00:00:00Z"/>
        <m/>
      </sharedItems>
    </cacheField>
    <cacheField name="Particulars" numFmtId="0">
      <sharedItems containsBlank="1">
        <s v="K &amp; P Supermarket"/>
        <s v="Ozzy Supermarket, VICTORY PARK EST."/>
        <s v="Jendol Supermarket, ALAKUKO"/>
        <s v="Limitless Mart, LEKKI"/>
        <s v="Jendol Supermarket, EGBEDA"/>
        <s v="Zomain Supermarket, JAKANDE Gate"/>
        <s v="Pharm Affair"/>
        <s v="Teewell Superstore"/>
        <s v="Compramart Supermarket, MOBILE Rd."/>
        <s v="Priviledge Superstore"/>
        <s v="Moneyworth Supermarket, IJUSHAGA"/>
        <s v="Ozzy Supermarket, mobile road"/>
        <s v="Renees Supermarket, IKOYI"/>
        <s v="Renees Supermarket, FREEDOM WAY"/>
        <s v="Texon Supermarket, OGUDU"/>
        <s v="Renees Supermarket, LEKKI CENTRAL MOSQUE"/>
        <s v="Skymart Supermarket, LANGBASA"/>
        <s v="Prestige Superstore, IPAJA"/>
        <s v="Prestige Superstore, IYANA ISHASHI"/>
        <s v="Prestige Superstore, IGAN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377"/>
        <s v="DT:002387"/>
        <s v="DT:002407"/>
        <s v="DT:002415"/>
        <s v="DT:002438"/>
        <s v="DT:002449"/>
        <s v="DT:002463"/>
        <s v="DT:002467"/>
        <s v="DT:002492"/>
        <s v="DT:002502"/>
        <s v="DT:002505"/>
        <s v="DT:002520"/>
        <s v="DT:002525"/>
        <s v="DT:002536"/>
        <s v="DT:002553"/>
        <s v="DT:002665"/>
        <s v="DT:002717"/>
        <s v="DT:002471"/>
        <s v="DT:002539"/>
        <s v="DT:002570"/>
        <s v="DT:002627"/>
        <s v="DT:002689"/>
        <s v="DT:002694"/>
        <s v="DT:002712"/>
        <s v="DT:002713"/>
        <m/>
      </sharedItems>
    </cacheField>
    <cacheField name="Quantity" numFmtId="0">
      <sharedItems containsString="0" containsBlank="1" containsNumber="1">
        <n v="1.0"/>
        <n v="0.5"/>
        <n v="0.25"/>
        <n v="2.0"/>
        <n v="0.75"/>
        <m/>
      </sharedItems>
    </cacheField>
    <cacheField name="Value" numFmtId="4">
      <sharedItems containsString="0" containsBlank="1" containsNumber="1">
        <n v="33488.37"/>
        <n v="16744.19"/>
        <n v="8372.09"/>
        <n v="66976.74"/>
        <n v="27906.98"/>
        <n v="13953.49"/>
        <n v="22325.58"/>
        <n v="11162.79"/>
        <m/>
      </sharedItems>
    </cacheField>
    <cacheField name="Total Value" numFmtId="4">
      <sharedItems containsString="0" containsBlank="1" containsNumber="1">
        <n v="33488.37"/>
        <n v="83720.93000000001"/>
        <n v="16744.19"/>
        <n v="30697.68"/>
        <n v="33488.38"/>
        <n v="41860.47"/>
        <n v="8372.09"/>
        <n v="61395.350000000006"/>
        <n v="66976.74"/>
        <n v="13953.49"/>
        <n v="27906.98"/>
        <n v="50232.56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Atun 120g Peppersoup Spice (12x)"/>
        <s v="Atun 1.5litre Palm Oil (6x)"/>
        <s v="Atun 3kg Yellow Garri (4x)"/>
        <m/>
      </sharedItems>
    </cacheField>
    <cacheField name="Date" numFmtId="164">
      <sharedItems containsDate="1" containsString="0" containsBlank="1">
        <d v="2025-09-01T00:00:00Z"/>
        <d v="2025-09-02T00:00:00Z"/>
        <d v="2025-09-03T00:00:00Z"/>
        <d v="2025-09-04T00:00:00Z"/>
        <d v="2025-09-05T00:00:00Z"/>
        <d v="2025-09-06T00:00:00Z"/>
        <d v="2025-09-11T00:00:00Z"/>
        <d v="2025-09-12T00:00:00Z"/>
        <d v="2025-09-13T00:00:00Z"/>
        <d v="2025-09-24T00:00:00Z"/>
        <d v="2025-09-30T00:00:00Z"/>
        <d v="2025-09-16T00:00:00Z"/>
        <d v="2025-09-22T00:00:00Z"/>
        <d v="2025-09-26T00:00:00Z"/>
        <m/>
      </sharedItems>
    </cacheField>
    <cacheField name="Particulars" numFmtId="0">
      <sharedItems containsBlank="1">
        <s v="K &amp; P Supermarket"/>
        <s v="Ozzy Supermarket, VICTORY PARK EST."/>
        <s v="Jendol Supermarket, ALAKUKO"/>
        <s v="Limitless Mart, LEKKI"/>
        <s v="Jendol Supermarket, EGBEDA"/>
        <s v="Zomain Supermarket, JAKANDE Gate"/>
        <s v="Pharm Affair"/>
        <s v="Teewell Superstore"/>
        <s v="Compramart Supermarket, MOBILE Rd."/>
        <s v="Priviledge Superstore"/>
        <s v="Moneyworth Supermarket, IJUSHAGA"/>
        <s v="Ozzy Supermarket, mobile road"/>
        <s v="Renees Supermarket, IKOYI"/>
        <s v="Renees Supermarket, FREEDOM WAY"/>
        <s v="Texon Supermarket, OGUDU"/>
        <s v="Renees Supermarket, LEKKI CENTRAL MOSQUE"/>
        <s v="Skymart Supermarket, LANGBASA"/>
        <s v="Prestige Superstore, IPAJA"/>
        <s v="Prestige Superstore, IYANA ISHASHI"/>
        <s v="Prestige Superstore, IGAN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377"/>
        <s v="DT:002387"/>
        <s v="DT:002407"/>
        <s v="DT:002415"/>
        <s v="DT:002438"/>
        <s v="DT:002449"/>
        <s v="DT:002463"/>
        <s v="DT:002467"/>
        <s v="DT:002492"/>
        <s v="DT:002502"/>
        <s v="DT:002505"/>
        <s v="DT:002520"/>
        <s v="DT:002525"/>
        <s v="DT:002536"/>
        <s v="DT:002553"/>
        <s v="DT:002665"/>
        <s v="DT:002717"/>
        <s v="DT:002471"/>
        <s v="DT:002539"/>
        <s v="DT:002570"/>
        <s v="DT:002627"/>
        <s v="DT:002689"/>
        <s v="DT:002694"/>
        <s v="DT:002712"/>
        <s v="DT:002713"/>
        <m/>
      </sharedItems>
    </cacheField>
    <cacheField name="Quantity" numFmtId="0">
      <sharedItems containsString="0" containsBlank="1" containsNumber="1">
        <n v="1.0"/>
        <n v="0.5"/>
        <n v="0.25"/>
        <n v="2.0"/>
        <n v="0.75"/>
        <m/>
      </sharedItems>
    </cacheField>
    <cacheField name="Value" numFmtId="4">
      <sharedItems containsString="0" containsBlank="1" containsNumber="1">
        <n v="33488.37"/>
        <n v="16744.19"/>
        <n v="8372.09"/>
        <n v="66976.74"/>
        <n v="27906.98"/>
        <n v="13953.49"/>
        <n v="22325.58"/>
        <n v="11162.79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Blank="1">
        <s v="Atun 120g Peppersoup Spice (12x)"/>
        <m/>
      </sharedItems>
    </cacheField>
    <cacheField name="Date" numFmtId="164">
      <sharedItems containsDate="1" containsString="0" containsBlank="1">
        <d v="2025-09-20T00:00:00Z"/>
        <m/>
      </sharedItems>
    </cacheField>
    <cacheField name="Particulars" numFmtId="0">
      <sharedItems containsBlank="1">
        <s v="Atun Foods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32.0"/>
        <m/>
      </sharedItems>
    </cacheField>
    <cacheField name="Quantity" numFmtId="0">
      <sharedItems containsString="0" containsBlank="1" containsNumber="1" containsInteger="1">
        <n v="20.0"/>
        <m/>
      </sharedItems>
    </cacheField>
    <cacheField name="Value" numFmtId="4">
      <sharedItems containsString="0" containsBlank="1" containsNumber="1">
        <n v="669767.4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7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14"/>
        <item x="0"/>
        <item x="1"/>
        <item x="2"/>
        <item x="3"/>
        <item x="4"/>
        <item x="5"/>
        <item x="6"/>
        <item x="7"/>
        <item x="8"/>
        <item x="11"/>
        <item x="12"/>
        <item x="9"/>
        <item x="13"/>
        <item x="10"/>
      </items>
    </pivotField>
    <pivotField name="Particulars" axis="axisRow" compact="0" outline="0" multipleItemSelectionAllowed="1" showAll="0" sortType="ascending" defaultSubtotal="0">
      <items>
        <item x="20"/>
        <item x="8"/>
        <item x="2"/>
        <item x="4"/>
        <item x="0"/>
        <item x="3"/>
        <item x="10"/>
        <item x="11"/>
        <item x="1"/>
        <item x="6"/>
        <item x="19"/>
        <item x="17"/>
        <item x="18"/>
        <item x="9"/>
        <item x="13"/>
        <item x="12"/>
        <item x="15"/>
        <item x="16"/>
        <item x="7"/>
        <item x="14"/>
        <item x="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5"/>
        <item x="0"/>
        <item x="1"/>
        <item x="2"/>
        <item x="3"/>
        <item x="4"/>
        <item x="5"/>
        <item x="6"/>
        <item x="7"/>
        <item x="17"/>
        <item x="8"/>
        <item x="9"/>
        <item x="10"/>
        <item x="11"/>
        <item x="12"/>
        <item x="13"/>
        <item x="18"/>
        <item x="14"/>
        <item x="19"/>
        <item x="20"/>
        <item x="15"/>
        <item x="21"/>
        <item x="22"/>
        <item x="23"/>
        <item x="24"/>
        <item x="16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otal Value" axis="axisRow" compact="0" numFmtId="4" outline="0" multipleItemSelectionAllowed="1" showAll="0" sortType="ascending">
      <items>
        <item x="13"/>
        <item x="12"/>
        <item x="6"/>
        <item x="9"/>
        <item x="2"/>
        <item x="10"/>
        <item x="3"/>
        <item x="0"/>
        <item x="4"/>
        <item x="5"/>
        <item x="11"/>
        <item x="7"/>
        <item x="8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48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Date" axis="axisRow" compact="0" numFmtId="164" outline="0" multipleItemSelectionAllowed="1" showAll="0" sortType="ascending" defaultSubtotal="0">
      <items>
        <item x="14"/>
        <item x="0"/>
        <item x="1"/>
        <item x="2"/>
        <item x="3"/>
        <item x="4"/>
        <item x="5"/>
        <item x="6"/>
        <item x="7"/>
        <item x="8"/>
        <item x="11"/>
        <item x="12"/>
        <item x="9"/>
        <item x="13"/>
        <item x="10"/>
      </items>
    </pivotField>
    <pivotField name="Particulars" axis="axisRow" compact="0" outline="0" multipleItemSelectionAllowed="1" showAll="0" sortType="ascending" defaultSubtotal="0">
      <items>
        <item x="20"/>
        <item x="8"/>
        <item x="2"/>
        <item x="4"/>
        <item x="0"/>
        <item x="3"/>
        <item x="10"/>
        <item x="11"/>
        <item x="1"/>
        <item x="6"/>
        <item x="19"/>
        <item x="17"/>
        <item x="18"/>
        <item x="9"/>
        <item x="13"/>
        <item x="12"/>
        <item x="15"/>
        <item x="16"/>
        <item x="7"/>
        <item x="14"/>
        <item x="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5"/>
        <item x="0"/>
        <item x="1"/>
        <item x="2"/>
        <item x="3"/>
        <item x="4"/>
        <item x="5"/>
        <item x="6"/>
        <item x="7"/>
        <item x="17"/>
        <item x="8"/>
        <item x="9"/>
        <item x="10"/>
        <item x="11"/>
        <item x="12"/>
        <item x="13"/>
        <item x="18"/>
        <item x="14"/>
        <item x="19"/>
        <item x="20"/>
        <item x="15"/>
        <item x="21"/>
        <item x="22"/>
        <item x="23"/>
        <item x="24"/>
        <item x="16"/>
      </items>
    </pivotField>
    <pivotField name="Quantity" axis="axisRow" compact="0" outline="0" multipleItemSelectionAllowed="1" showAll="0" sortType="ascending" defaultSubtotal="0">
      <items>
        <item x="5"/>
        <item x="2"/>
        <item x="1"/>
        <item x="4"/>
        <item x="0"/>
        <item x="3"/>
      </items>
    </pivotField>
    <pivotField name="Value" axis="axisRow" compact="0" numFmtId="4" outline="0" multipleItemSelectionAllowed="1" showAll="0" sortType="ascending">
      <items>
        <item x="8"/>
        <item x="2"/>
        <item x="7"/>
        <item x="5"/>
        <item x="1"/>
        <item x="6"/>
        <item x="4"/>
        <item x="0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3.88"/>
    <col customWidth="1" min="10" max="10" width="8.63"/>
    <col customWidth="1" min="11" max="11" width="26.63"/>
    <col customWidth="1" min="12" max="12" width="7.25"/>
    <col customWidth="1" min="13" max="13" width="8.25"/>
    <col customWidth="1" min="14" max="14" width="7.0"/>
    <col customWidth="1" min="15" max="15" width="7.63"/>
    <col customWidth="1" min="33" max="33" width="33.88"/>
    <col customWidth="1" min="35" max="35" width="20.38"/>
    <col customWidth="1" min="41" max="41" width="33.88"/>
    <col customWidth="1" min="42" max="42" width="8.63"/>
    <col customWidth="1" min="43" max="43" width="20.38"/>
    <col customWidth="1" min="44" max="44" width="14.0"/>
    <col customWidth="1" min="45" max="45" width="6.38"/>
    <col customWidth="1" min="46" max="46" width="6.63"/>
    <col customWidth="1" min="47" max="47" width="8.5"/>
  </cols>
  <sheetData>
    <row r="1">
      <c r="A1" s="1" t="s">
        <v>0</v>
      </c>
      <c r="B1" s="2"/>
      <c r="C1" s="3"/>
      <c r="D1" s="4"/>
      <c r="E1" s="5"/>
      <c r="F1" s="5"/>
      <c r="G1" s="6"/>
      <c r="I1" s="7" t="s">
        <v>1</v>
      </c>
      <c r="N1" s="8"/>
      <c r="P1" s="8"/>
      <c r="Q1" s="7" t="s">
        <v>2</v>
      </c>
      <c r="Y1" s="7" t="s">
        <v>3</v>
      </c>
      <c r="AF1" s="7"/>
      <c r="AG1" s="7" t="s">
        <v>4</v>
      </c>
      <c r="AO1" s="7" t="s">
        <v>5</v>
      </c>
      <c r="AW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4" t="s">
        <v>13</v>
      </c>
      <c r="I2" s="1" t="s">
        <v>7</v>
      </c>
      <c r="J2" s="12" t="s">
        <v>8</v>
      </c>
      <c r="K2" s="10" t="s">
        <v>9</v>
      </c>
      <c r="L2" s="11" t="s">
        <v>10</v>
      </c>
      <c r="M2" s="12" t="s">
        <v>11</v>
      </c>
      <c r="N2" s="15" t="s">
        <v>12</v>
      </c>
      <c r="O2" s="14" t="s">
        <v>13</v>
      </c>
      <c r="P2" s="16" t="s">
        <v>14</v>
      </c>
      <c r="Q2" s="1" t="s">
        <v>7</v>
      </c>
      <c r="R2" s="12" t="s">
        <v>8</v>
      </c>
      <c r="S2" s="10" t="s">
        <v>9</v>
      </c>
      <c r="T2" s="11" t="s">
        <v>10</v>
      </c>
      <c r="U2" s="12" t="s">
        <v>11</v>
      </c>
      <c r="V2" s="14" t="s">
        <v>12</v>
      </c>
      <c r="W2" s="14" t="s">
        <v>13</v>
      </c>
      <c r="Y2" s="1" t="s">
        <v>7</v>
      </c>
      <c r="Z2" s="12" t="s">
        <v>8</v>
      </c>
      <c r="AA2" s="10" t="s">
        <v>9</v>
      </c>
      <c r="AB2" s="11" t="s">
        <v>10</v>
      </c>
      <c r="AC2" s="12" t="s">
        <v>11</v>
      </c>
      <c r="AD2" s="14" t="s">
        <v>12</v>
      </c>
      <c r="AE2" s="14" t="s">
        <v>13</v>
      </c>
      <c r="AF2" s="1"/>
      <c r="AG2" s="1" t="s">
        <v>7</v>
      </c>
      <c r="AH2" s="12" t="s">
        <v>8</v>
      </c>
      <c r="AI2" s="10" t="s">
        <v>9</v>
      </c>
      <c r="AJ2" s="11" t="s">
        <v>10</v>
      </c>
      <c r="AK2" s="12" t="s">
        <v>11</v>
      </c>
      <c r="AL2" s="14" t="s">
        <v>12</v>
      </c>
      <c r="AM2" s="14" t="s">
        <v>13</v>
      </c>
      <c r="AN2" s="6"/>
      <c r="AO2" s="1" t="s">
        <v>7</v>
      </c>
      <c r="AP2" s="12" t="s">
        <v>8</v>
      </c>
      <c r="AQ2" s="10" t="s">
        <v>9</v>
      </c>
      <c r="AR2" s="11" t="s">
        <v>10</v>
      </c>
      <c r="AS2" s="12" t="s">
        <v>11</v>
      </c>
      <c r="AT2" s="14" t="s">
        <v>12</v>
      </c>
      <c r="AU2" s="14" t="s">
        <v>13</v>
      </c>
      <c r="AV2" s="6"/>
      <c r="AW2" s="6">
        <f t="array" ref="AW2">counta(unique(C:C))-2</f>
        <v>20</v>
      </c>
    </row>
    <row r="3">
      <c r="A3" s="17" t="s">
        <v>15</v>
      </c>
      <c r="B3" s="2">
        <v>45920.0</v>
      </c>
      <c r="C3" s="18" t="s">
        <v>16</v>
      </c>
      <c r="D3" s="18" t="s">
        <v>17</v>
      </c>
      <c r="E3" s="5">
        <v>2132.0</v>
      </c>
      <c r="F3" s="19">
        <v>20.0</v>
      </c>
      <c r="G3" s="20">
        <v>669767.4</v>
      </c>
      <c r="H3" s="21"/>
      <c r="I3" s="22" t="str">
        <f>IFERROR(__xludf.DUMMYFUNCTION("IFERROR(
  FILTER($A$3:$G1844, LEN($A$3:$A1844), LOWER(TRIM($D$3:$D1844))=""sales""),
)"),"Atun 120g Peppersoup Spice (12x)")</f>
        <v>Atun 120g Peppersoup Spice (12x)</v>
      </c>
      <c r="J3" s="2">
        <f>IFERROR(__xludf.DUMMYFUNCTION("""COMPUTED_VALUE"""),45901.0)</f>
        <v>45901</v>
      </c>
      <c r="K3" s="18" t="str">
        <f>IFERROR(__xludf.DUMMYFUNCTION("""COMPUTED_VALUE"""),"K &amp; P Supermarket")</f>
        <v>K &amp; P Supermarket</v>
      </c>
      <c r="L3" s="18" t="str">
        <f>IFERROR(__xludf.DUMMYFUNCTION("""COMPUTED_VALUE"""),"Sales")</f>
        <v>Sales</v>
      </c>
      <c r="M3" s="5" t="str">
        <f>IFERROR(__xludf.DUMMYFUNCTION("""COMPUTED_VALUE"""),"DT:002377")</f>
        <v>DT:002377</v>
      </c>
      <c r="N3" s="19">
        <f>IFERROR(__xludf.DUMMYFUNCTION("""COMPUTED_VALUE"""),1.0)</f>
        <v>1</v>
      </c>
      <c r="O3" s="20">
        <f>IFERROR(__xludf.DUMMYFUNCTION("""COMPUTED_VALUE"""),33488.37)</f>
        <v>33488.37</v>
      </c>
      <c r="P3" s="8">
        <f t="shared" ref="P3:P72" si="1">sumif(M:M,M3,O:O)</f>
        <v>33488.37</v>
      </c>
      <c r="Q3" s="22" t="str">
        <f>IFERROR(__xludf.DUMMYFUNCTION("IFERROR(
  FILTER($A$3:$G1844, LEN($A$3:$A1844), REGEXMATCH(LOWER(TRIM($D$3:$D1844)), ""\bjournal\b"")),
)
"),"")</f>
        <v/>
      </c>
      <c r="R3" s="23"/>
      <c r="S3" s="18"/>
      <c r="T3" s="18"/>
      <c r="U3" s="5"/>
      <c r="V3" s="5"/>
      <c r="W3" s="24"/>
      <c r="Y3" s="25"/>
      <c r="Z3" s="25"/>
      <c r="AA3" s="25"/>
      <c r="AB3" s="25"/>
      <c r="AC3" s="25"/>
      <c r="AD3" s="25"/>
      <c r="AE3" s="25"/>
      <c r="AF3" s="25"/>
      <c r="AG3" s="26" t="str">
        <f>IFERROR(__xludf.DUMMYFUNCTION("IFERROR(
  FILTER($A$3:$G1844, LEN($A$3:$A1844), LOWER(TRIM($D$3:$D1844))=""purchase inv-brand partner""),
)
"),"")</f>
        <v/>
      </c>
      <c r="AH3" s="27"/>
      <c r="AI3" s="28"/>
      <c r="AJ3" s="29"/>
      <c r="AK3" s="30"/>
      <c r="AL3" s="30"/>
      <c r="AM3" s="31"/>
      <c r="AO3" s="22" t="str">
        <f>IFERROR(__xludf.DUMMYFUNCTION("IFERROR(
  FILTER($A$3:$G1844, LEN($A$3:$A1844), LOWER(TRIM($D$3:$D1844))=""purchase inv-dala""),
)"),"Atun 120g Peppersoup Spice (12x)")</f>
        <v>Atun 120g Peppersoup Spice (12x)</v>
      </c>
      <c r="AP3" s="2">
        <f>IFERROR(__xludf.DUMMYFUNCTION("""COMPUTED_VALUE"""),45920.0)</f>
        <v>45920</v>
      </c>
      <c r="AQ3" s="18" t="str">
        <f>IFERROR(__xludf.DUMMYFUNCTION("""COMPUTED_VALUE"""),"Atun Foods")</f>
        <v>Atun Foods</v>
      </c>
      <c r="AR3" s="18" t="str">
        <f>IFERROR(__xludf.DUMMYFUNCTION("""COMPUTED_VALUE"""),"Purchase Inv-Dala")</f>
        <v>Purchase Inv-Dala</v>
      </c>
      <c r="AS3" s="5">
        <f>IFERROR(__xludf.DUMMYFUNCTION("""COMPUTED_VALUE"""),2132.0)</f>
        <v>2132</v>
      </c>
      <c r="AT3" s="19">
        <f>IFERROR(__xludf.DUMMYFUNCTION("""COMPUTED_VALUE"""),20.0)</f>
        <v>20</v>
      </c>
      <c r="AU3" s="20">
        <f>IFERROR(__xludf.DUMMYFUNCTION("""COMPUTED_VALUE"""),669767.4)</f>
        <v>669767.4</v>
      </c>
    </row>
    <row r="4">
      <c r="A4" s="32" t="s">
        <v>15</v>
      </c>
      <c r="B4" s="2">
        <v>45901.0</v>
      </c>
      <c r="C4" s="18" t="s">
        <v>18</v>
      </c>
      <c r="D4" s="18" t="s">
        <v>19</v>
      </c>
      <c r="E4" s="5" t="s">
        <v>20</v>
      </c>
      <c r="F4" s="19">
        <v>1.0</v>
      </c>
      <c r="G4" s="20">
        <v>33488.37</v>
      </c>
      <c r="H4" s="30"/>
      <c r="I4" s="22" t="str">
        <f>IFERROR(__xludf.DUMMYFUNCTION("""COMPUTED_VALUE"""),"Atun 120g Peppersoup Spice (12x)")</f>
        <v>Atun 120g Peppersoup Spice (12x)</v>
      </c>
      <c r="J4" s="2">
        <f>IFERROR(__xludf.DUMMYFUNCTION("""COMPUTED_VALUE"""),45902.0)</f>
        <v>45902</v>
      </c>
      <c r="K4" s="18" t="str">
        <f>IFERROR(__xludf.DUMMYFUNCTION("""COMPUTED_VALUE"""),"Ozzy Supermarket, VICTORY PARK EST.")</f>
        <v>Ozzy Supermarket, VICTORY PARK EST.</v>
      </c>
      <c r="L4" s="18" t="str">
        <f>IFERROR(__xludf.DUMMYFUNCTION("""COMPUTED_VALUE"""),"Sales")</f>
        <v>Sales</v>
      </c>
      <c r="M4" s="5" t="str">
        <f>IFERROR(__xludf.DUMMYFUNCTION("""COMPUTED_VALUE"""),"DT:002387")</f>
        <v>DT:002387</v>
      </c>
      <c r="N4" s="33">
        <f>IFERROR(__xludf.DUMMYFUNCTION("""COMPUTED_VALUE"""),1.0)</f>
        <v>1</v>
      </c>
      <c r="O4" s="20">
        <f>IFERROR(__xludf.DUMMYFUNCTION("""COMPUTED_VALUE"""),33488.37)</f>
        <v>33488.37</v>
      </c>
      <c r="P4" s="8">
        <f t="shared" si="1"/>
        <v>83720.93</v>
      </c>
      <c r="Q4" s="22"/>
      <c r="R4" s="23"/>
      <c r="S4" s="34"/>
      <c r="T4" s="18"/>
      <c r="U4" s="5"/>
      <c r="V4" s="19"/>
      <c r="W4" s="24"/>
      <c r="Y4" s="25"/>
      <c r="Z4" s="25"/>
      <c r="AA4" s="25"/>
      <c r="AB4" s="25"/>
      <c r="AC4" s="25"/>
      <c r="AD4" s="25"/>
      <c r="AE4" s="25"/>
      <c r="AF4" s="25"/>
      <c r="AG4" s="26"/>
      <c r="AH4" s="27"/>
      <c r="AI4" s="29"/>
      <c r="AJ4" s="29"/>
      <c r="AK4" s="30"/>
      <c r="AL4" s="30"/>
      <c r="AM4" s="31"/>
      <c r="AO4" s="26"/>
      <c r="AP4" s="27"/>
      <c r="AQ4" s="29"/>
      <c r="AR4" s="29"/>
      <c r="AS4" s="30"/>
      <c r="AT4" s="35"/>
      <c r="AU4" s="31"/>
    </row>
    <row r="5">
      <c r="A5" s="32" t="s">
        <v>15</v>
      </c>
      <c r="B5" s="2">
        <v>45902.0</v>
      </c>
      <c r="C5" s="18" t="s">
        <v>21</v>
      </c>
      <c r="D5" s="18" t="s">
        <v>19</v>
      </c>
      <c r="E5" s="5" t="s">
        <v>22</v>
      </c>
      <c r="F5" s="33">
        <v>1.0</v>
      </c>
      <c r="G5" s="20">
        <v>33488.37</v>
      </c>
      <c r="H5" s="21"/>
      <c r="I5" s="22" t="str">
        <f>IFERROR(__xludf.DUMMYFUNCTION("""COMPUTED_VALUE"""),"Atun 120g Peppersoup Spice (12x)")</f>
        <v>Atun 120g Peppersoup Spice (12x)</v>
      </c>
      <c r="J5" s="2">
        <f>IFERROR(__xludf.DUMMYFUNCTION("""COMPUTED_VALUE"""),45903.0)</f>
        <v>45903</v>
      </c>
      <c r="K5" s="18" t="str">
        <f>IFERROR(__xludf.DUMMYFUNCTION("""COMPUTED_VALUE"""),"Jendol Supermarket, ALAKUKO")</f>
        <v>Jendol Supermarket, ALAKUKO</v>
      </c>
      <c r="L5" s="18" t="str">
        <f>IFERROR(__xludf.DUMMYFUNCTION("""COMPUTED_VALUE"""),"Sales")</f>
        <v>Sales</v>
      </c>
      <c r="M5" s="5" t="str">
        <f>IFERROR(__xludf.DUMMYFUNCTION("""COMPUTED_VALUE"""),"DT:002407")</f>
        <v>DT:002407</v>
      </c>
      <c r="N5" s="33">
        <f>IFERROR(__xludf.DUMMYFUNCTION("""COMPUTED_VALUE"""),0.5)</f>
        <v>0.5</v>
      </c>
      <c r="O5" s="20">
        <f>IFERROR(__xludf.DUMMYFUNCTION("""COMPUTED_VALUE"""),16744.19)</f>
        <v>16744.19</v>
      </c>
      <c r="P5" s="8">
        <f t="shared" si="1"/>
        <v>16744.19</v>
      </c>
      <c r="Q5" s="22"/>
      <c r="R5" s="23"/>
      <c r="S5" s="18"/>
      <c r="T5" s="18"/>
      <c r="U5" s="5"/>
      <c r="V5" s="19"/>
      <c r="W5" s="24"/>
      <c r="Y5" s="25"/>
      <c r="Z5" s="25"/>
      <c r="AA5" s="25"/>
      <c r="AB5" s="25"/>
      <c r="AC5" s="25"/>
      <c r="AD5" s="25"/>
      <c r="AE5" s="25"/>
      <c r="AF5" s="25"/>
      <c r="AG5" s="22"/>
      <c r="AH5" s="23"/>
      <c r="AI5" s="18"/>
      <c r="AJ5" s="18"/>
      <c r="AK5" s="5"/>
      <c r="AL5" s="19"/>
      <c r="AM5" s="20"/>
      <c r="AO5" s="36"/>
      <c r="AP5" s="37"/>
      <c r="AQ5" s="38"/>
      <c r="AR5" s="38"/>
      <c r="AS5" s="39"/>
      <c r="AT5" s="40"/>
      <c r="AU5" s="41"/>
    </row>
    <row r="6">
      <c r="A6" s="32" t="s">
        <v>15</v>
      </c>
      <c r="B6" s="2">
        <v>45903.0</v>
      </c>
      <c r="C6" s="18" t="s">
        <v>23</v>
      </c>
      <c r="D6" s="18" t="s">
        <v>19</v>
      </c>
      <c r="E6" s="5" t="s">
        <v>24</v>
      </c>
      <c r="F6" s="33">
        <v>0.5</v>
      </c>
      <c r="G6" s="20">
        <v>16744.19</v>
      </c>
      <c r="H6" s="30"/>
      <c r="I6" s="22" t="str">
        <f>IFERROR(__xludf.DUMMYFUNCTION("""COMPUTED_VALUE"""),"Atun 120g Peppersoup Spice (12x)")</f>
        <v>Atun 120g Peppersoup Spice (12x)</v>
      </c>
      <c r="J6" s="2">
        <f>IFERROR(__xludf.DUMMYFUNCTION("""COMPUTED_VALUE"""),45904.0)</f>
        <v>45904</v>
      </c>
      <c r="K6" s="18" t="str">
        <f>IFERROR(__xludf.DUMMYFUNCTION("""COMPUTED_VALUE"""),"Limitless Mart, LEKKI")</f>
        <v>Limitless Mart, LEKKI</v>
      </c>
      <c r="L6" s="18" t="str">
        <f>IFERROR(__xludf.DUMMYFUNCTION("""COMPUTED_VALUE"""),"Sales")</f>
        <v>Sales</v>
      </c>
      <c r="M6" s="5" t="str">
        <f>IFERROR(__xludf.DUMMYFUNCTION("""COMPUTED_VALUE"""),"DT:002415")</f>
        <v>DT:002415</v>
      </c>
      <c r="N6" s="33">
        <f>IFERROR(__xludf.DUMMYFUNCTION("""COMPUTED_VALUE"""),1.0)</f>
        <v>1</v>
      </c>
      <c r="O6" s="20">
        <f>IFERROR(__xludf.DUMMYFUNCTION("""COMPUTED_VALUE"""),33488.37)</f>
        <v>33488.37</v>
      </c>
      <c r="P6" s="8">
        <f t="shared" si="1"/>
        <v>33488.37</v>
      </c>
      <c r="Q6" s="22"/>
      <c r="R6" s="23"/>
      <c r="S6" s="18"/>
      <c r="T6" s="18"/>
      <c r="U6" s="5"/>
      <c r="V6" s="5"/>
      <c r="W6" s="24"/>
      <c r="Y6" s="25"/>
      <c r="Z6" s="25"/>
      <c r="AA6" s="25"/>
      <c r="AB6" s="25"/>
      <c r="AC6" s="25"/>
      <c r="AD6" s="25"/>
      <c r="AE6" s="25"/>
      <c r="AF6" s="25"/>
      <c r="AG6" s="22"/>
      <c r="AH6" s="23"/>
      <c r="AI6" s="18"/>
      <c r="AJ6" s="18"/>
      <c r="AK6" s="5"/>
      <c r="AL6" s="19"/>
      <c r="AM6" s="20"/>
      <c r="AO6" s="42"/>
      <c r="AP6" s="23"/>
      <c r="AQ6" s="18"/>
      <c r="AR6" s="18"/>
      <c r="AS6" s="5"/>
      <c r="AT6" s="33"/>
      <c r="AU6" s="20"/>
    </row>
    <row r="7">
      <c r="A7" s="32" t="s">
        <v>15</v>
      </c>
      <c r="B7" s="2">
        <v>45904.0</v>
      </c>
      <c r="C7" s="18" t="s">
        <v>25</v>
      </c>
      <c r="D7" s="18" t="s">
        <v>19</v>
      </c>
      <c r="E7" s="5" t="s">
        <v>26</v>
      </c>
      <c r="F7" s="33">
        <v>1.0</v>
      </c>
      <c r="G7" s="20">
        <v>33488.37</v>
      </c>
      <c r="I7" s="22" t="str">
        <f>IFERROR(__xludf.DUMMYFUNCTION("""COMPUTED_VALUE"""),"Atun 120g Peppersoup Spice (12x)")</f>
        <v>Atun 120g Peppersoup Spice (12x)</v>
      </c>
      <c r="J7" s="2">
        <f>IFERROR(__xludf.DUMMYFUNCTION("""COMPUTED_VALUE"""),45905.0)</f>
        <v>45905</v>
      </c>
      <c r="K7" s="18" t="str">
        <f>IFERROR(__xludf.DUMMYFUNCTION("""COMPUTED_VALUE"""),"Jendol Supermarket, EGBEDA")</f>
        <v>Jendol Supermarket, EGBEDA</v>
      </c>
      <c r="L7" s="18" t="str">
        <f>IFERROR(__xludf.DUMMYFUNCTION("""COMPUTED_VALUE"""),"Sales")</f>
        <v>Sales</v>
      </c>
      <c r="M7" s="5" t="str">
        <f>IFERROR(__xludf.DUMMYFUNCTION("""COMPUTED_VALUE"""),"DT:002438")</f>
        <v>DT:002438</v>
      </c>
      <c r="N7" s="33">
        <f>IFERROR(__xludf.DUMMYFUNCTION("""COMPUTED_VALUE"""),0.5)</f>
        <v>0.5</v>
      </c>
      <c r="O7" s="20">
        <f>IFERROR(__xludf.DUMMYFUNCTION("""COMPUTED_VALUE"""),16744.19)</f>
        <v>16744.19</v>
      </c>
      <c r="P7" s="8">
        <f t="shared" si="1"/>
        <v>16744.19</v>
      </c>
      <c r="Q7" s="22"/>
      <c r="R7" s="23"/>
      <c r="S7" s="34"/>
      <c r="T7" s="18"/>
      <c r="U7" s="5"/>
      <c r="V7" s="19"/>
      <c r="W7" s="24"/>
      <c r="Y7" s="25"/>
      <c r="Z7" s="25"/>
      <c r="AA7" s="25"/>
      <c r="AB7" s="25"/>
      <c r="AC7" s="25"/>
      <c r="AD7" s="25"/>
      <c r="AE7" s="25"/>
      <c r="AF7" s="25"/>
      <c r="AG7" s="22"/>
      <c r="AH7" s="23"/>
      <c r="AI7" s="18"/>
      <c r="AJ7" s="18"/>
      <c r="AK7" s="5"/>
      <c r="AL7" s="5"/>
      <c r="AM7" s="24"/>
      <c r="AO7" s="42"/>
      <c r="AP7" s="23"/>
      <c r="AQ7" s="18"/>
      <c r="AR7" s="18"/>
      <c r="AS7" s="5"/>
      <c r="AT7" s="33"/>
      <c r="AU7" s="20"/>
    </row>
    <row r="8">
      <c r="A8" s="32" t="s">
        <v>15</v>
      </c>
      <c r="B8" s="2">
        <v>45905.0</v>
      </c>
      <c r="C8" s="18" t="s">
        <v>27</v>
      </c>
      <c r="D8" s="18" t="s">
        <v>19</v>
      </c>
      <c r="E8" s="5" t="s">
        <v>28</v>
      </c>
      <c r="F8" s="33">
        <v>0.5</v>
      </c>
      <c r="G8" s="20">
        <v>16744.19</v>
      </c>
      <c r="I8" s="22" t="str">
        <f>IFERROR(__xludf.DUMMYFUNCTION("""COMPUTED_VALUE"""),"Atun 120g Peppersoup Spice (12x)")</f>
        <v>Atun 120g Peppersoup Spice (12x)</v>
      </c>
      <c r="J8" s="2">
        <f>IFERROR(__xludf.DUMMYFUNCTION("""COMPUTED_VALUE"""),45905.0)</f>
        <v>45905</v>
      </c>
      <c r="K8" s="18" t="str">
        <f>IFERROR(__xludf.DUMMYFUNCTION("""COMPUTED_VALUE"""),"Zomain Supermarket, JAKANDE Gate")</f>
        <v>Zomain Supermarket, JAKANDE Gate</v>
      </c>
      <c r="L8" s="18" t="str">
        <f>IFERROR(__xludf.DUMMYFUNCTION("""COMPUTED_VALUE"""),"Sales")</f>
        <v>Sales</v>
      </c>
      <c r="M8" s="5" t="str">
        <f>IFERROR(__xludf.DUMMYFUNCTION("""COMPUTED_VALUE"""),"DT:002449")</f>
        <v>DT:002449</v>
      </c>
      <c r="N8" s="33">
        <f>IFERROR(__xludf.DUMMYFUNCTION("""COMPUTED_VALUE"""),0.5)</f>
        <v>0.5</v>
      </c>
      <c r="O8" s="20">
        <f>IFERROR(__xludf.DUMMYFUNCTION("""COMPUTED_VALUE"""),16744.19)</f>
        <v>16744.19</v>
      </c>
      <c r="P8" s="8">
        <f t="shared" si="1"/>
        <v>30697.68</v>
      </c>
      <c r="Q8" s="22"/>
      <c r="R8" s="23"/>
      <c r="S8" s="18"/>
      <c r="T8" s="18"/>
      <c r="U8" s="5"/>
      <c r="V8" s="19"/>
      <c r="W8" s="24"/>
      <c r="Y8" s="25"/>
      <c r="Z8" s="25"/>
      <c r="AA8" s="25"/>
      <c r="AB8" s="25"/>
      <c r="AC8" s="25"/>
      <c r="AD8" s="25"/>
      <c r="AE8" s="25"/>
      <c r="AF8" s="25"/>
      <c r="AG8" s="22"/>
      <c r="AH8" s="23"/>
      <c r="AI8" s="18"/>
      <c r="AJ8" s="18"/>
      <c r="AK8" s="5"/>
      <c r="AL8" s="19"/>
      <c r="AM8" s="24"/>
      <c r="AP8" s="43"/>
      <c r="AU8" s="16"/>
    </row>
    <row r="9">
      <c r="A9" s="32" t="s">
        <v>15</v>
      </c>
      <c r="B9" s="2">
        <v>45905.0</v>
      </c>
      <c r="C9" s="18" t="s">
        <v>29</v>
      </c>
      <c r="D9" s="18" t="s">
        <v>19</v>
      </c>
      <c r="E9" s="5" t="s">
        <v>30</v>
      </c>
      <c r="F9" s="33">
        <v>0.5</v>
      </c>
      <c r="G9" s="20">
        <v>16744.19</v>
      </c>
      <c r="I9" s="22" t="str">
        <f>IFERROR(__xludf.DUMMYFUNCTION("""COMPUTED_VALUE"""),"Atun 120g Peppersoup Spice (12x)")</f>
        <v>Atun 120g Peppersoup Spice (12x)</v>
      </c>
      <c r="J9" s="2">
        <f>IFERROR(__xludf.DUMMYFUNCTION("""COMPUTED_VALUE"""),45906.0)</f>
        <v>45906</v>
      </c>
      <c r="K9" s="18" t="str">
        <f>IFERROR(__xludf.DUMMYFUNCTION("""COMPUTED_VALUE"""),"Pharm Affair")</f>
        <v>Pharm Affair</v>
      </c>
      <c r="L9" s="18" t="str">
        <f>IFERROR(__xludf.DUMMYFUNCTION("""COMPUTED_VALUE"""),"Sales")</f>
        <v>Sales</v>
      </c>
      <c r="M9" s="5" t="str">
        <f>IFERROR(__xludf.DUMMYFUNCTION("""COMPUTED_VALUE"""),"DT:002463")</f>
        <v>DT:002463</v>
      </c>
      <c r="N9" s="33">
        <f>IFERROR(__xludf.DUMMYFUNCTION("""COMPUTED_VALUE"""),0.5)</f>
        <v>0.5</v>
      </c>
      <c r="O9" s="20">
        <f>IFERROR(__xludf.DUMMYFUNCTION("""COMPUTED_VALUE"""),16744.19)</f>
        <v>16744.19</v>
      </c>
      <c r="P9" s="8">
        <f t="shared" si="1"/>
        <v>33488.38</v>
      </c>
      <c r="Q9" s="22"/>
      <c r="R9" s="23"/>
      <c r="S9" s="18"/>
      <c r="T9" s="18"/>
      <c r="U9" s="5"/>
      <c r="V9" s="5"/>
      <c r="W9" s="24"/>
      <c r="AP9" s="43"/>
      <c r="AU9" s="16"/>
    </row>
    <row r="10">
      <c r="A10" s="32" t="s">
        <v>15</v>
      </c>
      <c r="B10" s="2">
        <v>45906.0</v>
      </c>
      <c r="C10" s="18" t="s">
        <v>31</v>
      </c>
      <c r="D10" s="18" t="s">
        <v>19</v>
      </c>
      <c r="E10" s="5" t="s">
        <v>32</v>
      </c>
      <c r="F10" s="33">
        <v>0.5</v>
      </c>
      <c r="G10" s="20">
        <v>16744.19</v>
      </c>
      <c r="I10" s="22" t="str">
        <f>IFERROR(__xludf.DUMMYFUNCTION("""COMPUTED_VALUE"""),"Atun 120g Peppersoup Spice (12x)")</f>
        <v>Atun 120g Peppersoup Spice (12x)</v>
      </c>
      <c r="J10" s="2">
        <f>IFERROR(__xludf.DUMMYFUNCTION("""COMPUTED_VALUE"""),45906.0)</f>
        <v>45906</v>
      </c>
      <c r="K10" s="18" t="str">
        <f>IFERROR(__xludf.DUMMYFUNCTION("""COMPUTED_VALUE"""),"Teewell Superstore")</f>
        <v>Teewell Superstore</v>
      </c>
      <c r="L10" s="18" t="str">
        <f>IFERROR(__xludf.DUMMYFUNCTION("""COMPUTED_VALUE"""),"Sales")</f>
        <v>Sales</v>
      </c>
      <c r="M10" s="5" t="str">
        <f>IFERROR(__xludf.DUMMYFUNCTION("""COMPUTED_VALUE"""),"DT:002467")</f>
        <v>DT:002467</v>
      </c>
      <c r="N10" s="33">
        <f>IFERROR(__xludf.DUMMYFUNCTION("""COMPUTED_VALUE"""),0.5)</f>
        <v>0.5</v>
      </c>
      <c r="O10" s="20">
        <f>IFERROR(__xludf.DUMMYFUNCTION("""COMPUTED_VALUE"""),16744.19)</f>
        <v>16744.19</v>
      </c>
      <c r="P10" s="8">
        <f t="shared" si="1"/>
        <v>41860.47</v>
      </c>
      <c r="Q10" s="22"/>
      <c r="R10" s="23"/>
      <c r="S10" s="18"/>
      <c r="T10" s="18"/>
      <c r="U10" s="5"/>
      <c r="V10" s="19"/>
      <c r="W10" s="24"/>
      <c r="AP10" s="43"/>
      <c r="AU10" s="16"/>
    </row>
    <row r="11">
      <c r="A11" s="32" t="s">
        <v>15</v>
      </c>
      <c r="B11" s="2">
        <v>45906.0</v>
      </c>
      <c r="C11" s="18" t="s">
        <v>33</v>
      </c>
      <c r="D11" s="18" t="s">
        <v>19</v>
      </c>
      <c r="E11" s="5" t="s">
        <v>34</v>
      </c>
      <c r="F11" s="33">
        <v>0.5</v>
      </c>
      <c r="G11" s="20">
        <v>16744.19</v>
      </c>
      <c r="I11" s="22" t="str">
        <f>IFERROR(__xludf.DUMMYFUNCTION("""COMPUTED_VALUE"""),"Atun 120g Peppersoup Spice (12x)")</f>
        <v>Atun 120g Peppersoup Spice (12x)</v>
      </c>
      <c r="J11" s="2">
        <f>IFERROR(__xludf.DUMMYFUNCTION("""COMPUTED_VALUE"""),45911.0)</f>
        <v>45911</v>
      </c>
      <c r="K11" s="18" t="str">
        <f>IFERROR(__xludf.DUMMYFUNCTION("""COMPUTED_VALUE"""),"Compramart Supermarket, MOBILE Rd.")</f>
        <v>Compramart Supermarket, MOBILE Rd.</v>
      </c>
      <c r="L11" s="18" t="str">
        <f>IFERROR(__xludf.DUMMYFUNCTION("""COMPUTED_VALUE"""),"Sales")</f>
        <v>Sales</v>
      </c>
      <c r="M11" s="5" t="str">
        <f>IFERROR(__xludf.DUMMYFUNCTION("""COMPUTED_VALUE"""),"DT:002492")</f>
        <v>DT:002492</v>
      </c>
      <c r="N11" s="33">
        <f>IFERROR(__xludf.DUMMYFUNCTION("""COMPUTED_VALUE"""),1.0)</f>
        <v>1</v>
      </c>
      <c r="O11" s="20">
        <f>IFERROR(__xludf.DUMMYFUNCTION("""COMPUTED_VALUE"""),33488.37)</f>
        <v>33488.37</v>
      </c>
      <c r="P11" s="8">
        <f t="shared" si="1"/>
        <v>33488.37</v>
      </c>
      <c r="Q11" s="22"/>
      <c r="R11" s="23"/>
      <c r="S11" s="18"/>
      <c r="T11" s="18"/>
      <c r="U11" s="5"/>
      <c r="V11" s="5"/>
      <c r="W11" s="24"/>
      <c r="AP11" s="43"/>
      <c r="AU11" s="16"/>
    </row>
    <row r="12">
      <c r="A12" s="32" t="s">
        <v>15</v>
      </c>
      <c r="B12" s="2">
        <v>45911.0</v>
      </c>
      <c r="C12" s="18" t="s">
        <v>35</v>
      </c>
      <c r="D12" s="18" t="s">
        <v>19</v>
      </c>
      <c r="E12" s="5" t="s">
        <v>36</v>
      </c>
      <c r="F12" s="33">
        <v>1.0</v>
      </c>
      <c r="G12" s="20">
        <v>33488.37</v>
      </c>
      <c r="I12" s="22" t="str">
        <f>IFERROR(__xludf.DUMMYFUNCTION("""COMPUTED_VALUE"""),"Atun 120g Peppersoup Spice (12x)")</f>
        <v>Atun 120g Peppersoup Spice (12x)</v>
      </c>
      <c r="J12" s="2">
        <f>IFERROR(__xludf.DUMMYFUNCTION("""COMPUTED_VALUE"""),45911.0)</f>
        <v>45911</v>
      </c>
      <c r="K12" s="18" t="str">
        <f>IFERROR(__xludf.DUMMYFUNCTION("""COMPUTED_VALUE"""),"Priviledge Superstore")</f>
        <v>Priviledge Superstore</v>
      </c>
      <c r="L12" s="18" t="str">
        <f>IFERROR(__xludf.DUMMYFUNCTION("""COMPUTED_VALUE"""),"Sales")</f>
        <v>Sales</v>
      </c>
      <c r="M12" s="5" t="str">
        <f>IFERROR(__xludf.DUMMYFUNCTION("""COMPUTED_VALUE"""),"DT:002502")</f>
        <v>DT:002502</v>
      </c>
      <c r="N12" s="33">
        <f>IFERROR(__xludf.DUMMYFUNCTION("""COMPUTED_VALUE"""),0.5)</f>
        <v>0.5</v>
      </c>
      <c r="O12" s="20">
        <f>IFERROR(__xludf.DUMMYFUNCTION("""COMPUTED_VALUE"""),16744.19)</f>
        <v>16744.19</v>
      </c>
      <c r="P12" s="8">
        <f t="shared" si="1"/>
        <v>16744.19</v>
      </c>
      <c r="Q12" s="22"/>
      <c r="R12" s="23"/>
      <c r="S12" s="18"/>
      <c r="T12" s="18"/>
      <c r="U12" s="5"/>
      <c r="V12" s="19"/>
      <c r="W12" s="24"/>
      <c r="AP12" s="43"/>
      <c r="AU12" s="16"/>
    </row>
    <row r="13">
      <c r="A13" s="32" t="s">
        <v>15</v>
      </c>
      <c r="B13" s="2">
        <v>45911.0</v>
      </c>
      <c r="C13" s="18" t="s">
        <v>37</v>
      </c>
      <c r="D13" s="18" t="s">
        <v>19</v>
      </c>
      <c r="E13" s="5" t="s">
        <v>38</v>
      </c>
      <c r="F13" s="33">
        <v>0.5</v>
      </c>
      <c r="G13" s="20">
        <v>16744.19</v>
      </c>
      <c r="I13" s="22" t="str">
        <f>IFERROR(__xludf.DUMMYFUNCTION("""COMPUTED_VALUE"""),"Atun 120g Peppersoup Spice (12x)")</f>
        <v>Atun 120g Peppersoup Spice (12x)</v>
      </c>
      <c r="J13" s="2">
        <f>IFERROR(__xludf.DUMMYFUNCTION("""COMPUTED_VALUE"""),45911.0)</f>
        <v>45911</v>
      </c>
      <c r="K13" s="18" t="str">
        <f>IFERROR(__xludf.DUMMYFUNCTION("""COMPUTED_VALUE"""),"Moneyworth Supermarket, IJUSHAGA")</f>
        <v>Moneyworth Supermarket, IJUSHAGA</v>
      </c>
      <c r="L13" s="18" t="str">
        <f>IFERROR(__xludf.DUMMYFUNCTION("""COMPUTED_VALUE"""),"Sales")</f>
        <v>Sales</v>
      </c>
      <c r="M13" s="5" t="str">
        <f>IFERROR(__xludf.DUMMYFUNCTION("""COMPUTED_VALUE"""),"DT:002505")</f>
        <v>DT:002505</v>
      </c>
      <c r="N13" s="33">
        <f>IFERROR(__xludf.DUMMYFUNCTION("""COMPUTED_VALUE"""),0.25)</f>
        <v>0.25</v>
      </c>
      <c r="O13" s="20">
        <f>IFERROR(__xludf.DUMMYFUNCTION("""COMPUTED_VALUE"""),8372.09)</f>
        <v>8372.09</v>
      </c>
      <c r="P13" s="8">
        <f t="shared" si="1"/>
        <v>8372.09</v>
      </c>
      <c r="Q13" s="22"/>
      <c r="R13" s="23"/>
      <c r="S13" s="34"/>
      <c r="T13" s="18"/>
      <c r="U13" s="5"/>
      <c r="V13" s="5"/>
      <c r="W13" s="24"/>
      <c r="AP13" s="43"/>
      <c r="AU13" s="16"/>
    </row>
    <row r="14">
      <c r="A14" s="32" t="s">
        <v>15</v>
      </c>
      <c r="B14" s="2">
        <v>45911.0</v>
      </c>
      <c r="C14" s="18" t="s">
        <v>39</v>
      </c>
      <c r="D14" s="18" t="s">
        <v>19</v>
      </c>
      <c r="E14" s="5" t="s">
        <v>40</v>
      </c>
      <c r="F14" s="33">
        <v>0.25</v>
      </c>
      <c r="G14" s="20">
        <v>8372.09</v>
      </c>
      <c r="I14" s="22" t="str">
        <f>IFERROR(__xludf.DUMMYFUNCTION("""COMPUTED_VALUE"""),"Atun 120g Peppersoup Spice (12x)")</f>
        <v>Atun 120g Peppersoup Spice (12x)</v>
      </c>
      <c r="J14" s="2">
        <f>IFERROR(__xludf.DUMMYFUNCTION("""COMPUTED_VALUE"""),45911.0)</f>
        <v>45911</v>
      </c>
      <c r="K14" s="18" t="str">
        <f>IFERROR(__xludf.DUMMYFUNCTION("""COMPUTED_VALUE"""),"Ozzy Supermarket, mobile road")</f>
        <v>Ozzy Supermarket, mobile road</v>
      </c>
      <c r="L14" s="18" t="str">
        <f>IFERROR(__xludf.DUMMYFUNCTION("""COMPUTED_VALUE"""),"Sales")</f>
        <v>Sales</v>
      </c>
      <c r="M14" s="5" t="str">
        <f>IFERROR(__xludf.DUMMYFUNCTION("""COMPUTED_VALUE"""),"DT:002520")</f>
        <v>DT:002520</v>
      </c>
      <c r="N14" s="44">
        <f>IFERROR(__xludf.DUMMYFUNCTION("""COMPUTED_VALUE"""),1.0)</f>
        <v>1</v>
      </c>
      <c r="O14" s="45">
        <f>IFERROR(__xludf.DUMMYFUNCTION("""COMPUTED_VALUE"""),33488.37)</f>
        <v>33488.37</v>
      </c>
      <c r="P14" s="8">
        <f t="shared" si="1"/>
        <v>61395.35</v>
      </c>
      <c r="Q14" s="22"/>
      <c r="R14" s="23"/>
      <c r="S14" s="34"/>
      <c r="T14" s="18"/>
      <c r="U14" s="5"/>
      <c r="V14" s="19"/>
      <c r="W14" s="24"/>
      <c r="AP14" s="43"/>
      <c r="AU14" s="16"/>
    </row>
    <row r="15">
      <c r="A15" s="32" t="s">
        <v>15</v>
      </c>
      <c r="B15" s="2">
        <v>45911.0</v>
      </c>
      <c r="C15" s="18" t="s">
        <v>41</v>
      </c>
      <c r="D15" s="18" t="s">
        <v>19</v>
      </c>
      <c r="E15" s="5" t="s">
        <v>42</v>
      </c>
      <c r="F15" s="19">
        <v>1.0</v>
      </c>
      <c r="G15" s="20">
        <v>33488.37</v>
      </c>
      <c r="I15" s="22" t="str">
        <f>IFERROR(__xludf.DUMMYFUNCTION("""COMPUTED_VALUE"""),"Atun 120g Peppersoup Spice (12x)")</f>
        <v>Atun 120g Peppersoup Spice (12x)</v>
      </c>
      <c r="J15" s="2">
        <f>IFERROR(__xludf.DUMMYFUNCTION("""COMPUTED_VALUE"""),45912.0)</f>
        <v>45912</v>
      </c>
      <c r="K15" s="18" t="str">
        <f>IFERROR(__xludf.DUMMYFUNCTION("""COMPUTED_VALUE"""),"Renees Supermarket, IKOYI")</f>
        <v>Renees Supermarket, IKOYI</v>
      </c>
      <c r="L15" s="18" t="str">
        <f>IFERROR(__xludf.DUMMYFUNCTION("""COMPUTED_VALUE"""),"Sales")</f>
        <v>Sales</v>
      </c>
      <c r="M15" s="5" t="str">
        <f>IFERROR(__xludf.DUMMYFUNCTION("""COMPUTED_VALUE"""),"DT:002525")</f>
        <v>DT:002525</v>
      </c>
      <c r="N15" s="19">
        <f>IFERROR(__xludf.DUMMYFUNCTION("""COMPUTED_VALUE"""),1.0)</f>
        <v>1</v>
      </c>
      <c r="O15" s="20">
        <f>IFERROR(__xludf.DUMMYFUNCTION("""COMPUTED_VALUE"""),33488.37)</f>
        <v>33488.37</v>
      </c>
      <c r="P15" s="8">
        <f t="shared" si="1"/>
        <v>33488.37</v>
      </c>
      <c r="Q15" s="22"/>
      <c r="R15" s="23"/>
      <c r="S15" s="18"/>
      <c r="T15" s="18"/>
      <c r="U15" s="5"/>
      <c r="V15" s="19"/>
      <c r="W15" s="24"/>
      <c r="AP15" s="43"/>
      <c r="AU15" s="16"/>
    </row>
    <row r="16">
      <c r="A16" s="32" t="s">
        <v>15</v>
      </c>
      <c r="B16" s="2">
        <v>45912.0</v>
      </c>
      <c r="C16" s="18" t="s">
        <v>43</v>
      </c>
      <c r="D16" s="18" t="s">
        <v>19</v>
      </c>
      <c r="E16" s="5" t="s">
        <v>44</v>
      </c>
      <c r="F16" s="19">
        <v>1.0</v>
      </c>
      <c r="G16" s="20">
        <v>33488.37</v>
      </c>
      <c r="I16" s="22" t="str">
        <f>IFERROR(__xludf.DUMMYFUNCTION("""COMPUTED_VALUE"""),"Atun 120g Peppersoup Spice (12x)")</f>
        <v>Atun 120g Peppersoup Spice (12x)</v>
      </c>
      <c r="J16" s="2">
        <f>IFERROR(__xludf.DUMMYFUNCTION("""COMPUTED_VALUE"""),45912.0)</f>
        <v>45912</v>
      </c>
      <c r="K16" s="18" t="str">
        <f>IFERROR(__xludf.DUMMYFUNCTION("""COMPUTED_VALUE"""),"Renees Supermarket, FREEDOM WAY")</f>
        <v>Renees Supermarket, FREEDOM WAY</v>
      </c>
      <c r="L16" s="18" t="str">
        <f>IFERROR(__xludf.DUMMYFUNCTION("""COMPUTED_VALUE"""),"Sales")</f>
        <v>Sales</v>
      </c>
      <c r="M16" s="5" t="str">
        <f>IFERROR(__xludf.DUMMYFUNCTION("""COMPUTED_VALUE"""),"DT:002536")</f>
        <v>DT:002536</v>
      </c>
      <c r="N16" s="19">
        <f>IFERROR(__xludf.DUMMYFUNCTION("""COMPUTED_VALUE"""),2.0)</f>
        <v>2</v>
      </c>
      <c r="O16" s="20">
        <f>IFERROR(__xludf.DUMMYFUNCTION("""COMPUTED_VALUE"""),66976.74)</f>
        <v>66976.74</v>
      </c>
      <c r="P16" s="8">
        <f t="shared" si="1"/>
        <v>66976.74</v>
      </c>
      <c r="Q16" s="22"/>
      <c r="R16" s="23"/>
      <c r="S16" s="18"/>
      <c r="T16" s="18"/>
      <c r="U16" s="5"/>
      <c r="V16" s="19"/>
      <c r="W16" s="24"/>
      <c r="AP16" s="43"/>
      <c r="AU16" s="16"/>
    </row>
    <row r="17">
      <c r="A17" s="32" t="s">
        <v>15</v>
      </c>
      <c r="B17" s="2">
        <v>45912.0</v>
      </c>
      <c r="C17" s="18" t="s">
        <v>45</v>
      </c>
      <c r="D17" s="18" t="s">
        <v>19</v>
      </c>
      <c r="E17" s="5" t="s">
        <v>46</v>
      </c>
      <c r="F17" s="19">
        <v>2.0</v>
      </c>
      <c r="G17" s="20">
        <v>66976.74</v>
      </c>
      <c r="I17" s="22" t="str">
        <f>IFERROR(__xludf.DUMMYFUNCTION("""COMPUTED_VALUE"""),"Atun 120g Peppersoup Spice (12x)")</f>
        <v>Atun 120g Peppersoup Spice (12x)</v>
      </c>
      <c r="J17" s="2">
        <f>IFERROR(__xludf.DUMMYFUNCTION("""COMPUTED_VALUE"""),45913.0)</f>
        <v>45913</v>
      </c>
      <c r="K17" s="18" t="str">
        <f>IFERROR(__xludf.DUMMYFUNCTION("""COMPUTED_VALUE"""),"Jendol Supermarket, EGBEDA")</f>
        <v>Jendol Supermarket, EGBEDA</v>
      </c>
      <c r="L17" s="18" t="str">
        <f>IFERROR(__xludf.DUMMYFUNCTION("""COMPUTED_VALUE"""),"Sales")</f>
        <v>Sales</v>
      </c>
      <c r="M17" s="5" t="str">
        <f>IFERROR(__xludf.DUMMYFUNCTION("""COMPUTED_VALUE"""),"DT:002553")</f>
        <v>DT:002553</v>
      </c>
      <c r="N17" s="19">
        <f>IFERROR(__xludf.DUMMYFUNCTION("""COMPUTED_VALUE"""),0.5)</f>
        <v>0.5</v>
      </c>
      <c r="O17" s="20">
        <f>IFERROR(__xludf.DUMMYFUNCTION("""COMPUTED_VALUE"""),16744.19)</f>
        <v>16744.19</v>
      </c>
      <c r="P17" s="8">
        <f t="shared" si="1"/>
        <v>16744.19</v>
      </c>
      <c r="Q17" s="22"/>
      <c r="R17" s="23"/>
      <c r="S17" s="18"/>
      <c r="T17" s="18"/>
      <c r="U17" s="5"/>
      <c r="V17" s="19"/>
      <c r="W17" s="24"/>
      <c r="AP17" s="43"/>
      <c r="AU17" s="16"/>
    </row>
    <row r="18">
      <c r="A18" s="32" t="s">
        <v>15</v>
      </c>
      <c r="B18" s="2">
        <v>45913.0</v>
      </c>
      <c r="C18" s="18" t="s">
        <v>27</v>
      </c>
      <c r="D18" s="18" t="s">
        <v>19</v>
      </c>
      <c r="E18" s="5" t="s">
        <v>47</v>
      </c>
      <c r="F18" s="19">
        <v>0.5</v>
      </c>
      <c r="G18" s="20">
        <v>16744.19</v>
      </c>
      <c r="I18" s="22" t="str">
        <f>IFERROR(__xludf.DUMMYFUNCTION("""COMPUTED_VALUE"""),"Atun 120g Peppersoup Spice (12x)")</f>
        <v>Atun 120g Peppersoup Spice (12x)</v>
      </c>
      <c r="J18" s="2">
        <f>IFERROR(__xludf.DUMMYFUNCTION("""COMPUTED_VALUE"""),45924.0)</f>
        <v>45924</v>
      </c>
      <c r="K18" s="18" t="str">
        <f>IFERROR(__xludf.DUMMYFUNCTION("""COMPUTED_VALUE"""),"Renees Supermarket, FREEDOM WAY")</f>
        <v>Renees Supermarket, FREEDOM WAY</v>
      </c>
      <c r="L18" s="18" t="str">
        <f>IFERROR(__xludf.DUMMYFUNCTION("""COMPUTED_VALUE"""),"Sales")</f>
        <v>Sales</v>
      </c>
      <c r="M18" s="5" t="str">
        <f>IFERROR(__xludf.DUMMYFUNCTION("""COMPUTED_VALUE"""),"DT:002665")</f>
        <v>DT:002665</v>
      </c>
      <c r="N18" s="19">
        <f>IFERROR(__xludf.DUMMYFUNCTION("""COMPUTED_VALUE"""),2.0)</f>
        <v>2</v>
      </c>
      <c r="O18" s="20">
        <f>IFERROR(__xludf.DUMMYFUNCTION("""COMPUTED_VALUE"""),66976.74)</f>
        <v>66976.74</v>
      </c>
      <c r="P18" s="8">
        <f t="shared" si="1"/>
        <v>66976.74</v>
      </c>
      <c r="Q18" s="22"/>
      <c r="R18" s="23"/>
      <c r="S18" s="18"/>
      <c r="T18" s="18"/>
      <c r="U18" s="5"/>
      <c r="V18" s="19"/>
      <c r="W18" s="24"/>
      <c r="AP18" s="43"/>
      <c r="AU18" s="16"/>
    </row>
    <row r="19">
      <c r="A19" s="32" t="s">
        <v>15</v>
      </c>
      <c r="B19" s="2">
        <v>45924.0</v>
      </c>
      <c r="C19" s="18" t="s">
        <v>45</v>
      </c>
      <c r="D19" s="18" t="s">
        <v>19</v>
      </c>
      <c r="E19" s="5" t="s">
        <v>48</v>
      </c>
      <c r="F19" s="19">
        <v>2.0</v>
      </c>
      <c r="G19" s="20">
        <v>66976.74</v>
      </c>
      <c r="I19" s="22" t="str">
        <f>IFERROR(__xludf.DUMMYFUNCTION("""COMPUTED_VALUE"""),"Atun 120g Peppersoup Spice (12x)")</f>
        <v>Atun 120g Peppersoup Spice (12x)</v>
      </c>
      <c r="J19" s="2">
        <f>IFERROR(__xludf.DUMMYFUNCTION("""COMPUTED_VALUE"""),45930.0)</f>
        <v>45930</v>
      </c>
      <c r="K19" s="18" t="str">
        <f>IFERROR(__xludf.DUMMYFUNCTION("""COMPUTED_VALUE"""),"Jendol Supermarket, EGBEDA")</f>
        <v>Jendol Supermarket, EGBEDA</v>
      </c>
      <c r="L19" s="18" t="str">
        <f>IFERROR(__xludf.DUMMYFUNCTION("""COMPUTED_VALUE"""),"Sales")</f>
        <v>Sales</v>
      </c>
      <c r="M19" s="5" t="str">
        <f>IFERROR(__xludf.DUMMYFUNCTION("""COMPUTED_VALUE"""),"DT:002717")</f>
        <v>DT:002717</v>
      </c>
      <c r="N19" s="19">
        <f>IFERROR(__xludf.DUMMYFUNCTION("""COMPUTED_VALUE"""),0.5)</f>
        <v>0.5</v>
      </c>
      <c r="O19" s="20">
        <f>IFERROR(__xludf.DUMMYFUNCTION("""COMPUTED_VALUE"""),16744.19)</f>
        <v>16744.19</v>
      </c>
      <c r="P19" s="8">
        <f t="shared" si="1"/>
        <v>16744.19</v>
      </c>
      <c r="Q19" s="22"/>
      <c r="R19" s="23"/>
      <c r="S19" s="18"/>
      <c r="T19" s="18"/>
      <c r="U19" s="5"/>
      <c r="V19" s="19"/>
      <c r="W19" s="24"/>
      <c r="AP19" s="43"/>
      <c r="AU19" s="16"/>
    </row>
    <row r="20">
      <c r="A20" s="32" t="s">
        <v>15</v>
      </c>
      <c r="B20" s="2">
        <v>45930.0</v>
      </c>
      <c r="C20" s="18" t="s">
        <v>27</v>
      </c>
      <c r="D20" s="18" t="s">
        <v>19</v>
      </c>
      <c r="E20" s="5" t="s">
        <v>49</v>
      </c>
      <c r="F20" s="19">
        <v>0.5</v>
      </c>
      <c r="G20" s="20">
        <v>16744.19</v>
      </c>
      <c r="I20" s="22" t="str">
        <f>IFERROR(__xludf.DUMMYFUNCTION("""COMPUTED_VALUE"""),"Atun 1.5litre Palm Oil (6x)")</f>
        <v>Atun 1.5litre Palm Oil (6x)</v>
      </c>
      <c r="J20" s="2">
        <f>IFERROR(__xludf.DUMMYFUNCTION("""COMPUTED_VALUE"""),45902.0)</f>
        <v>45902</v>
      </c>
      <c r="K20" s="18" t="str">
        <f>IFERROR(__xludf.DUMMYFUNCTION("""COMPUTED_VALUE"""),"Ozzy Supermarket, VICTORY PARK EST.")</f>
        <v>Ozzy Supermarket, VICTORY PARK EST.</v>
      </c>
      <c r="L20" s="18" t="str">
        <f>IFERROR(__xludf.DUMMYFUNCTION("""COMPUTED_VALUE"""),"Sales")</f>
        <v>Sales</v>
      </c>
      <c r="M20" s="5" t="str">
        <f>IFERROR(__xludf.DUMMYFUNCTION("""COMPUTED_VALUE"""),"DT:002387")</f>
        <v>DT:002387</v>
      </c>
      <c r="N20" s="19">
        <f>IFERROR(__xludf.DUMMYFUNCTION("""COMPUTED_VALUE"""),1.0)</f>
        <v>1</v>
      </c>
      <c r="O20" s="20">
        <f>IFERROR(__xludf.DUMMYFUNCTION("""COMPUTED_VALUE"""),27906.98)</f>
        <v>27906.98</v>
      </c>
      <c r="P20" s="8">
        <f t="shared" si="1"/>
        <v>83720.93</v>
      </c>
      <c r="Q20" s="22"/>
      <c r="R20" s="23"/>
      <c r="S20" s="18"/>
      <c r="T20" s="18"/>
      <c r="U20" s="5"/>
      <c r="V20" s="19"/>
      <c r="W20" s="24"/>
      <c r="AP20" s="43"/>
      <c r="AU20" s="16"/>
    </row>
    <row r="21">
      <c r="A21" s="32" t="s">
        <v>50</v>
      </c>
      <c r="B21" s="2">
        <v>45902.0</v>
      </c>
      <c r="C21" s="18" t="s">
        <v>21</v>
      </c>
      <c r="D21" s="18" t="s">
        <v>19</v>
      </c>
      <c r="E21" s="5" t="s">
        <v>22</v>
      </c>
      <c r="F21" s="19">
        <v>1.0</v>
      </c>
      <c r="G21" s="20">
        <v>27906.98</v>
      </c>
      <c r="I21" s="22" t="str">
        <f>IFERROR(__xludf.DUMMYFUNCTION("""COMPUTED_VALUE"""),"Atun 1.5litre Palm Oil (6x)")</f>
        <v>Atun 1.5litre Palm Oil (6x)</v>
      </c>
      <c r="J21" s="2">
        <f>IFERROR(__xludf.DUMMYFUNCTION("""COMPUTED_VALUE"""),45905.0)</f>
        <v>45905</v>
      </c>
      <c r="K21" s="18" t="str">
        <f>IFERROR(__xludf.DUMMYFUNCTION("""COMPUTED_VALUE"""),"Zomain Supermarket, JAKANDE Gate")</f>
        <v>Zomain Supermarket, JAKANDE Gate</v>
      </c>
      <c r="L21" s="18" t="str">
        <f>IFERROR(__xludf.DUMMYFUNCTION("""COMPUTED_VALUE"""),"Sales")</f>
        <v>Sales</v>
      </c>
      <c r="M21" s="5" t="str">
        <f>IFERROR(__xludf.DUMMYFUNCTION("""COMPUTED_VALUE"""),"DT:002449")</f>
        <v>DT:002449</v>
      </c>
      <c r="N21" s="19">
        <f>IFERROR(__xludf.DUMMYFUNCTION("""COMPUTED_VALUE"""),0.5)</f>
        <v>0.5</v>
      </c>
      <c r="O21" s="20">
        <f>IFERROR(__xludf.DUMMYFUNCTION("""COMPUTED_VALUE"""),13953.49)</f>
        <v>13953.49</v>
      </c>
      <c r="P21" s="8">
        <f t="shared" si="1"/>
        <v>30697.68</v>
      </c>
      <c r="Q21" s="22"/>
      <c r="R21" s="23"/>
      <c r="S21" s="18"/>
      <c r="T21" s="18"/>
      <c r="U21" s="5"/>
      <c r="V21" s="19"/>
      <c r="W21" s="24"/>
      <c r="AP21" s="43"/>
      <c r="AU21" s="16"/>
    </row>
    <row r="22">
      <c r="A22" s="32" t="s">
        <v>50</v>
      </c>
      <c r="B22" s="2">
        <v>45905.0</v>
      </c>
      <c r="C22" s="18" t="s">
        <v>29</v>
      </c>
      <c r="D22" s="18" t="s">
        <v>19</v>
      </c>
      <c r="E22" s="5" t="s">
        <v>30</v>
      </c>
      <c r="F22" s="19">
        <v>0.5</v>
      </c>
      <c r="G22" s="20">
        <v>13953.49</v>
      </c>
      <c r="I22" s="22" t="str">
        <f>IFERROR(__xludf.DUMMYFUNCTION("""COMPUTED_VALUE"""),"Atun 1.5litre Palm Oil (6x)")</f>
        <v>Atun 1.5litre Palm Oil (6x)</v>
      </c>
      <c r="J22" s="2">
        <f>IFERROR(__xludf.DUMMYFUNCTION("""COMPUTED_VALUE"""),45906.0)</f>
        <v>45906</v>
      </c>
      <c r="K22" s="18" t="str">
        <f>IFERROR(__xludf.DUMMYFUNCTION("""COMPUTED_VALUE"""),"Teewell Superstore")</f>
        <v>Teewell Superstore</v>
      </c>
      <c r="L22" s="18" t="str">
        <f>IFERROR(__xludf.DUMMYFUNCTION("""COMPUTED_VALUE"""),"Sales")</f>
        <v>Sales</v>
      </c>
      <c r="M22" s="5" t="str">
        <f>IFERROR(__xludf.DUMMYFUNCTION("""COMPUTED_VALUE"""),"DT:002467")</f>
        <v>DT:002467</v>
      </c>
      <c r="N22" s="19">
        <f>IFERROR(__xludf.DUMMYFUNCTION("""COMPUTED_VALUE"""),0.5)</f>
        <v>0.5</v>
      </c>
      <c r="O22" s="20">
        <f>IFERROR(__xludf.DUMMYFUNCTION("""COMPUTED_VALUE"""),13953.49)</f>
        <v>13953.49</v>
      </c>
      <c r="P22" s="8">
        <f t="shared" si="1"/>
        <v>41860.47</v>
      </c>
      <c r="Q22" s="22"/>
      <c r="R22" s="23"/>
      <c r="S22" s="34"/>
      <c r="T22" s="18"/>
      <c r="U22" s="5"/>
      <c r="V22" s="19"/>
      <c r="W22" s="24"/>
      <c r="AP22" s="43"/>
      <c r="AU22" s="16"/>
    </row>
    <row r="23">
      <c r="A23" s="32" t="s">
        <v>50</v>
      </c>
      <c r="B23" s="2">
        <v>45906.0</v>
      </c>
      <c r="C23" s="18" t="s">
        <v>33</v>
      </c>
      <c r="D23" s="18" t="s">
        <v>19</v>
      </c>
      <c r="E23" s="5" t="s">
        <v>34</v>
      </c>
      <c r="F23" s="19">
        <v>0.5</v>
      </c>
      <c r="G23" s="20">
        <v>13953.49</v>
      </c>
      <c r="I23" s="22" t="str">
        <f>IFERROR(__xludf.DUMMYFUNCTION("""COMPUTED_VALUE"""),"Atun 1.5litre Palm Oil (6x)")</f>
        <v>Atun 1.5litre Palm Oil (6x)</v>
      </c>
      <c r="J23" s="2">
        <f>IFERROR(__xludf.DUMMYFUNCTION("""COMPUTED_VALUE"""),45906.0)</f>
        <v>45906</v>
      </c>
      <c r="K23" s="18" t="str">
        <f>IFERROR(__xludf.DUMMYFUNCTION("""COMPUTED_VALUE"""),"Texon Supermarket, OGUDU")</f>
        <v>Texon Supermarket, OGUDU</v>
      </c>
      <c r="L23" s="18" t="str">
        <f>IFERROR(__xludf.DUMMYFUNCTION("""COMPUTED_VALUE"""),"Sales")</f>
        <v>Sales</v>
      </c>
      <c r="M23" s="5" t="str">
        <f>IFERROR(__xludf.DUMMYFUNCTION("""COMPUTED_VALUE"""),"DT:002471")</f>
        <v>DT:002471</v>
      </c>
      <c r="N23" s="19">
        <f>IFERROR(__xludf.DUMMYFUNCTION("""COMPUTED_VALUE"""),0.5)</f>
        <v>0.5</v>
      </c>
      <c r="O23" s="20">
        <f>IFERROR(__xludf.DUMMYFUNCTION("""COMPUTED_VALUE"""),13953.49)</f>
        <v>13953.49</v>
      </c>
      <c r="P23" s="8">
        <f t="shared" si="1"/>
        <v>13953.49</v>
      </c>
      <c r="Q23" s="22"/>
      <c r="R23" s="23"/>
      <c r="S23" s="34"/>
      <c r="T23" s="18"/>
      <c r="U23" s="5"/>
      <c r="V23" s="19"/>
      <c r="W23" s="24"/>
      <c r="AP23" s="43"/>
      <c r="AU23" s="16"/>
    </row>
    <row r="24">
      <c r="A24" s="32" t="s">
        <v>50</v>
      </c>
      <c r="B24" s="2">
        <v>45906.0</v>
      </c>
      <c r="C24" s="18" t="s">
        <v>51</v>
      </c>
      <c r="D24" s="18" t="s">
        <v>19</v>
      </c>
      <c r="E24" s="5" t="s">
        <v>52</v>
      </c>
      <c r="F24" s="19">
        <v>0.5</v>
      </c>
      <c r="G24" s="20">
        <v>13953.49</v>
      </c>
      <c r="I24" s="22" t="str">
        <f>IFERROR(__xludf.DUMMYFUNCTION("""COMPUTED_VALUE"""),"Atun 1.5litre Palm Oil (6x)")</f>
        <v>Atun 1.5litre Palm Oil (6x)</v>
      </c>
      <c r="J24" s="2">
        <f>IFERROR(__xludf.DUMMYFUNCTION("""COMPUTED_VALUE"""),45911.0)</f>
        <v>45911</v>
      </c>
      <c r="K24" s="18" t="str">
        <f>IFERROR(__xludf.DUMMYFUNCTION("""COMPUTED_VALUE"""),"Ozzy Supermarket, mobile road")</f>
        <v>Ozzy Supermarket, mobile road</v>
      </c>
      <c r="L24" s="18" t="str">
        <f>IFERROR(__xludf.DUMMYFUNCTION("""COMPUTED_VALUE"""),"Sales")</f>
        <v>Sales</v>
      </c>
      <c r="M24" s="5" t="str">
        <f>IFERROR(__xludf.DUMMYFUNCTION("""COMPUTED_VALUE"""),"DT:002520")</f>
        <v>DT:002520</v>
      </c>
      <c r="N24" s="19">
        <f>IFERROR(__xludf.DUMMYFUNCTION("""COMPUTED_VALUE"""),1.0)</f>
        <v>1</v>
      </c>
      <c r="O24" s="20">
        <f>IFERROR(__xludf.DUMMYFUNCTION("""COMPUTED_VALUE"""),27906.98)</f>
        <v>27906.98</v>
      </c>
      <c r="P24" s="8">
        <f t="shared" si="1"/>
        <v>61395.35</v>
      </c>
      <c r="Q24" s="22"/>
      <c r="R24" s="23"/>
      <c r="S24" s="34"/>
      <c r="T24" s="18"/>
      <c r="U24" s="5"/>
      <c r="V24" s="5"/>
      <c r="W24" s="24"/>
      <c r="AP24" s="43"/>
      <c r="AU24" s="16"/>
    </row>
    <row r="25">
      <c r="A25" s="32" t="s">
        <v>50</v>
      </c>
      <c r="B25" s="2">
        <v>45911.0</v>
      </c>
      <c r="C25" s="18" t="s">
        <v>41</v>
      </c>
      <c r="D25" s="18" t="s">
        <v>19</v>
      </c>
      <c r="E25" s="5" t="s">
        <v>42</v>
      </c>
      <c r="F25" s="19">
        <v>1.0</v>
      </c>
      <c r="G25" s="20">
        <v>27906.98</v>
      </c>
      <c r="I25" s="22" t="str">
        <f>IFERROR(__xludf.DUMMYFUNCTION("""COMPUTED_VALUE"""),"Atun 1.5litre Palm Oil (6x)")</f>
        <v>Atun 1.5litre Palm Oil (6x)</v>
      </c>
      <c r="J25" s="2">
        <f>IFERROR(__xludf.DUMMYFUNCTION("""COMPUTED_VALUE"""),45912.0)</f>
        <v>45912</v>
      </c>
      <c r="K25" s="18" t="str">
        <f>IFERROR(__xludf.DUMMYFUNCTION("""COMPUTED_VALUE"""),"Renees Supermarket, LEKKI CENTRAL MOSQUE")</f>
        <v>Renees Supermarket, LEKKI CENTRAL MOSQUE</v>
      </c>
      <c r="L25" s="18" t="str">
        <f>IFERROR(__xludf.DUMMYFUNCTION("""COMPUTED_VALUE"""),"Sales")</f>
        <v>Sales</v>
      </c>
      <c r="M25" s="5" t="str">
        <f>IFERROR(__xludf.DUMMYFUNCTION("""COMPUTED_VALUE"""),"DT:002539")</f>
        <v>DT:002539</v>
      </c>
      <c r="N25" s="19">
        <f>IFERROR(__xludf.DUMMYFUNCTION("""COMPUTED_VALUE"""),1.0)</f>
        <v>1</v>
      </c>
      <c r="O25" s="20">
        <f>IFERROR(__xludf.DUMMYFUNCTION("""COMPUTED_VALUE"""),27906.98)</f>
        <v>27906.98</v>
      </c>
      <c r="P25" s="8">
        <f t="shared" si="1"/>
        <v>27906.98</v>
      </c>
      <c r="Q25" s="22"/>
      <c r="R25" s="23"/>
      <c r="S25" s="18"/>
      <c r="T25" s="18"/>
      <c r="U25" s="5"/>
      <c r="V25" s="19"/>
      <c r="W25" s="24"/>
      <c r="AP25" s="43"/>
      <c r="AU25" s="16"/>
    </row>
    <row r="26">
      <c r="A26" s="32" t="s">
        <v>50</v>
      </c>
      <c r="B26" s="2">
        <v>45912.0</v>
      </c>
      <c r="C26" s="18" t="s">
        <v>53</v>
      </c>
      <c r="D26" s="18" t="s">
        <v>19</v>
      </c>
      <c r="E26" s="5" t="s">
        <v>54</v>
      </c>
      <c r="F26" s="19">
        <v>1.0</v>
      </c>
      <c r="G26" s="20">
        <v>27906.98</v>
      </c>
      <c r="I26" s="22" t="str">
        <f>IFERROR(__xludf.DUMMYFUNCTION("""COMPUTED_VALUE"""),"Atun 1.5litre Palm Oil (6x)")</f>
        <v>Atun 1.5litre Palm Oil (6x)</v>
      </c>
      <c r="J26" s="2">
        <f>IFERROR(__xludf.DUMMYFUNCTION("""COMPUTED_VALUE"""),45916.0)</f>
        <v>45916</v>
      </c>
      <c r="K26" s="18" t="str">
        <f>IFERROR(__xludf.DUMMYFUNCTION("""COMPUTED_VALUE"""),"Ozzy Supermarket, VICTORY PARK EST.")</f>
        <v>Ozzy Supermarket, VICTORY PARK EST.</v>
      </c>
      <c r="L26" s="18" t="str">
        <f>IFERROR(__xludf.DUMMYFUNCTION("""COMPUTED_VALUE"""),"Sales")</f>
        <v>Sales</v>
      </c>
      <c r="M26" s="5" t="str">
        <f>IFERROR(__xludf.DUMMYFUNCTION("""COMPUTED_VALUE"""),"DT:002570")</f>
        <v>DT:002570</v>
      </c>
      <c r="N26" s="19">
        <f>IFERROR(__xludf.DUMMYFUNCTION("""COMPUTED_VALUE"""),1.0)</f>
        <v>1</v>
      </c>
      <c r="O26" s="20">
        <f>IFERROR(__xludf.DUMMYFUNCTION("""COMPUTED_VALUE"""),27906.98)</f>
        <v>27906.98</v>
      </c>
      <c r="P26" s="8">
        <f t="shared" si="1"/>
        <v>50232.56</v>
      </c>
      <c r="Q26" s="22"/>
      <c r="R26" s="23"/>
      <c r="S26" s="18"/>
      <c r="T26" s="18"/>
      <c r="U26" s="5"/>
      <c r="V26" s="5"/>
      <c r="W26" s="24"/>
      <c r="AP26" s="43"/>
      <c r="AU26" s="16"/>
    </row>
    <row r="27">
      <c r="A27" s="32" t="s">
        <v>50</v>
      </c>
      <c r="B27" s="2">
        <v>45916.0</v>
      </c>
      <c r="C27" s="18" t="s">
        <v>21</v>
      </c>
      <c r="D27" s="18" t="s">
        <v>19</v>
      </c>
      <c r="E27" s="5" t="s">
        <v>55</v>
      </c>
      <c r="F27" s="19">
        <v>1.0</v>
      </c>
      <c r="G27" s="20">
        <v>27906.98</v>
      </c>
      <c r="I27" s="22" t="str">
        <f>IFERROR(__xludf.DUMMYFUNCTION("""COMPUTED_VALUE"""),"Atun 1.5litre Palm Oil (6x)")</f>
        <v>Atun 1.5litre Palm Oil (6x)</v>
      </c>
      <c r="J27" s="2">
        <f>IFERROR(__xludf.DUMMYFUNCTION("""COMPUTED_VALUE"""),45922.0)</f>
        <v>45922</v>
      </c>
      <c r="K27" s="18" t="str">
        <f>IFERROR(__xludf.DUMMYFUNCTION("""COMPUTED_VALUE"""),"Skymart Supermarket, LANGBASA")</f>
        <v>Skymart Supermarket, LANGBASA</v>
      </c>
      <c r="L27" s="18" t="str">
        <f>IFERROR(__xludf.DUMMYFUNCTION("""COMPUTED_VALUE"""),"Sales")</f>
        <v>Sales</v>
      </c>
      <c r="M27" s="5" t="str">
        <f>IFERROR(__xludf.DUMMYFUNCTION("""COMPUTED_VALUE"""),"DT:002627")</f>
        <v>DT:002627</v>
      </c>
      <c r="N27" s="19">
        <f>IFERROR(__xludf.DUMMYFUNCTION("""COMPUTED_VALUE"""),1.0)</f>
        <v>1</v>
      </c>
      <c r="O27" s="20">
        <f>IFERROR(__xludf.DUMMYFUNCTION("""COMPUTED_VALUE"""),27906.98)</f>
        <v>27906.98</v>
      </c>
      <c r="P27" s="8">
        <f t="shared" si="1"/>
        <v>27906.98</v>
      </c>
      <c r="Q27" s="22"/>
      <c r="R27" s="23"/>
      <c r="S27" s="18"/>
      <c r="T27" s="18"/>
      <c r="U27" s="5"/>
      <c r="V27" s="19"/>
      <c r="W27" s="24"/>
      <c r="AP27" s="43"/>
      <c r="AU27" s="16"/>
    </row>
    <row r="28">
      <c r="A28" s="32" t="s">
        <v>50</v>
      </c>
      <c r="B28" s="2">
        <v>45922.0</v>
      </c>
      <c r="C28" s="18" t="s">
        <v>56</v>
      </c>
      <c r="D28" s="18" t="s">
        <v>19</v>
      </c>
      <c r="E28" s="5" t="s">
        <v>57</v>
      </c>
      <c r="F28" s="19">
        <v>1.0</v>
      </c>
      <c r="G28" s="20">
        <v>27906.98</v>
      </c>
      <c r="I28" s="22" t="str">
        <f>IFERROR(__xludf.DUMMYFUNCTION("""COMPUTED_VALUE"""),"Atun 1.5litre Palm Oil (6x)")</f>
        <v>Atun 1.5litre Palm Oil (6x)</v>
      </c>
      <c r="J28" s="2">
        <f>IFERROR(__xludf.DUMMYFUNCTION("""COMPUTED_VALUE"""),45926.0)</f>
        <v>45926</v>
      </c>
      <c r="K28" s="18" t="str">
        <f>IFERROR(__xludf.DUMMYFUNCTION("""COMPUTED_VALUE"""),"Ozzy Supermarket, mobile road")</f>
        <v>Ozzy Supermarket, mobile road</v>
      </c>
      <c r="L28" s="18" t="str">
        <f>IFERROR(__xludf.DUMMYFUNCTION("""COMPUTED_VALUE"""),"Sales")</f>
        <v>Sales</v>
      </c>
      <c r="M28" s="5" t="str">
        <f>IFERROR(__xludf.DUMMYFUNCTION("""COMPUTED_VALUE"""),"DT:002689")</f>
        <v>DT:002689</v>
      </c>
      <c r="N28" s="19">
        <f>IFERROR(__xludf.DUMMYFUNCTION("""COMPUTED_VALUE"""),1.0)</f>
        <v>1</v>
      </c>
      <c r="O28" s="20">
        <f>IFERROR(__xludf.DUMMYFUNCTION("""COMPUTED_VALUE"""),27906.98)</f>
        <v>27906.98</v>
      </c>
      <c r="P28" s="8">
        <f t="shared" si="1"/>
        <v>27906.98</v>
      </c>
      <c r="Q28" s="22"/>
      <c r="R28" s="23"/>
      <c r="S28" s="18"/>
      <c r="T28" s="18"/>
      <c r="U28" s="5"/>
      <c r="V28" s="5"/>
      <c r="W28" s="24"/>
      <c r="AP28" s="43"/>
      <c r="AU28" s="16"/>
    </row>
    <row r="29">
      <c r="A29" s="32" t="s">
        <v>50</v>
      </c>
      <c r="B29" s="2">
        <v>45926.0</v>
      </c>
      <c r="C29" s="18" t="s">
        <v>41</v>
      </c>
      <c r="D29" s="18" t="s">
        <v>19</v>
      </c>
      <c r="E29" s="5" t="s">
        <v>58</v>
      </c>
      <c r="F29" s="19">
        <v>1.0</v>
      </c>
      <c r="G29" s="20">
        <v>27906.98</v>
      </c>
      <c r="I29" s="22" t="str">
        <f>IFERROR(__xludf.DUMMYFUNCTION("""COMPUTED_VALUE"""),"Atun 1.5litre Palm Oil (6x)")</f>
        <v>Atun 1.5litre Palm Oil (6x)</v>
      </c>
      <c r="J29" s="2">
        <f>IFERROR(__xludf.DUMMYFUNCTION("""COMPUTED_VALUE"""),45926.0)</f>
        <v>45926</v>
      </c>
      <c r="K29" s="18" t="str">
        <f>IFERROR(__xludf.DUMMYFUNCTION("""COMPUTED_VALUE"""),"Prestige Superstore, IPAJA")</f>
        <v>Prestige Superstore, IPAJA</v>
      </c>
      <c r="L29" s="18" t="str">
        <f>IFERROR(__xludf.DUMMYFUNCTION("""COMPUTED_VALUE"""),"Sales")</f>
        <v>Sales</v>
      </c>
      <c r="M29" s="5" t="str">
        <f>IFERROR(__xludf.DUMMYFUNCTION("""COMPUTED_VALUE"""),"DT:002694")</f>
        <v>DT:002694</v>
      </c>
      <c r="N29" s="5">
        <f>IFERROR(__xludf.DUMMYFUNCTION("""COMPUTED_VALUE"""),1.0)</f>
        <v>1</v>
      </c>
      <c r="O29" s="20">
        <f>IFERROR(__xludf.DUMMYFUNCTION("""COMPUTED_VALUE"""),27906.98)</f>
        <v>27906.98</v>
      </c>
      <c r="P29" s="8">
        <f t="shared" si="1"/>
        <v>27906.98</v>
      </c>
      <c r="Q29" s="22"/>
      <c r="R29" s="23"/>
      <c r="S29" s="18"/>
      <c r="T29" s="18"/>
      <c r="U29" s="5"/>
      <c r="V29" s="19"/>
      <c r="W29" s="24"/>
      <c r="AP29" s="43"/>
      <c r="AU29" s="16"/>
    </row>
    <row r="30">
      <c r="A30" s="32" t="s">
        <v>50</v>
      </c>
      <c r="B30" s="2">
        <v>45926.0</v>
      </c>
      <c r="C30" s="18" t="s">
        <v>59</v>
      </c>
      <c r="D30" s="18" t="s">
        <v>19</v>
      </c>
      <c r="E30" s="5" t="s">
        <v>60</v>
      </c>
      <c r="F30" s="19">
        <v>1.0</v>
      </c>
      <c r="G30" s="20">
        <v>27906.98</v>
      </c>
      <c r="I30" s="22" t="str">
        <f>IFERROR(__xludf.DUMMYFUNCTION("""COMPUTED_VALUE"""),"Atun 1.5litre Palm Oil (6x)")</f>
        <v>Atun 1.5litre Palm Oil (6x)</v>
      </c>
      <c r="J30" s="2">
        <f>IFERROR(__xludf.DUMMYFUNCTION("""COMPUTED_VALUE"""),45930.0)</f>
        <v>45930</v>
      </c>
      <c r="K30" s="18" t="str">
        <f>IFERROR(__xludf.DUMMYFUNCTION("""COMPUTED_VALUE"""),"Prestige Superstore, IYANA ISHASHI")</f>
        <v>Prestige Superstore, IYANA ISHASHI</v>
      </c>
      <c r="L30" s="18" t="str">
        <f>IFERROR(__xludf.DUMMYFUNCTION("""COMPUTED_VALUE"""),"Sales")</f>
        <v>Sales</v>
      </c>
      <c r="M30" s="5" t="str">
        <f>IFERROR(__xludf.DUMMYFUNCTION("""COMPUTED_VALUE"""),"DT:002712")</f>
        <v>DT:002712</v>
      </c>
      <c r="N30" s="19">
        <f>IFERROR(__xludf.DUMMYFUNCTION("""COMPUTED_VALUE"""),1.0)</f>
        <v>1</v>
      </c>
      <c r="O30" s="20">
        <f>IFERROR(__xludf.DUMMYFUNCTION("""COMPUTED_VALUE"""),27906.98)</f>
        <v>27906.98</v>
      </c>
      <c r="P30" s="8">
        <f t="shared" si="1"/>
        <v>27906.98</v>
      </c>
      <c r="Q30" s="22"/>
      <c r="R30" s="23"/>
      <c r="S30" s="18"/>
      <c r="T30" s="18"/>
      <c r="U30" s="5"/>
      <c r="V30" s="5"/>
      <c r="W30" s="24"/>
      <c r="AP30" s="43"/>
      <c r="AU30" s="16"/>
    </row>
    <row r="31">
      <c r="A31" s="32" t="s">
        <v>50</v>
      </c>
      <c r="B31" s="2">
        <v>45930.0</v>
      </c>
      <c r="C31" s="18" t="s">
        <v>61</v>
      </c>
      <c r="D31" s="18" t="s">
        <v>19</v>
      </c>
      <c r="E31" s="5" t="s">
        <v>62</v>
      </c>
      <c r="F31" s="19">
        <v>1.0</v>
      </c>
      <c r="G31" s="20">
        <v>27906.98</v>
      </c>
      <c r="I31" s="22" t="str">
        <f>IFERROR(__xludf.DUMMYFUNCTION("""COMPUTED_VALUE"""),"Atun 1.5litre Palm Oil (6x)")</f>
        <v>Atun 1.5litre Palm Oil (6x)</v>
      </c>
      <c r="J31" s="2">
        <f>IFERROR(__xludf.DUMMYFUNCTION("""COMPUTED_VALUE"""),45930.0)</f>
        <v>45930</v>
      </c>
      <c r="K31" s="18" t="str">
        <f>IFERROR(__xludf.DUMMYFUNCTION("""COMPUTED_VALUE"""),"Prestige Superstore, IGANDO")</f>
        <v>Prestige Superstore, IGANDO</v>
      </c>
      <c r="L31" s="18" t="str">
        <f>IFERROR(__xludf.DUMMYFUNCTION("""COMPUTED_VALUE"""),"Sales")</f>
        <v>Sales</v>
      </c>
      <c r="M31" s="5" t="str">
        <f>IFERROR(__xludf.DUMMYFUNCTION("""COMPUTED_VALUE"""),"DT:002713")</f>
        <v>DT:002713</v>
      </c>
      <c r="N31" s="19">
        <f>IFERROR(__xludf.DUMMYFUNCTION("""COMPUTED_VALUE"""),1.0)</f>
        <v>1</v>
      </c>
      <c r="O31" s="20">
        <f>IFERROR(__xludf.DUMMYFUNCTION("""COMPUTED_VALUE"""),27906.98)</f>
        <v>27906.98</v>
      </c>
      <c r="P31" s="8">
        <f t="shared" si="1"/>
        <v>27906.98</v>
      </c>
      <c r="Q31" s="22"/>
      <c r="R31" s="23"/>
      <c r="S31" s="18"/>
      <c r="T31" s="18"/>
      <c r="U31" s="5"/>
      <c r="V31" s="19"/>
      <c r="W31" s="24"/>
      <c r="AP31" s="43"/>
      <c r="AU31" s="16"/>
    </row>
    <row r="32">
      <c r="A32" s="32" t="s">
        <v>50</v>
      </c>
      <c r="B32" s="2">
        <v>45930.0</v>
      </c>
      <c r="C32" s="18" t="s">
        <v>63</v>
      </c>
      <c r="D32" s="18" t="s">
        <v>19</v>
      </c>
      <c r="E32" s="5" t="s">
        <v>64</v>
      </c>
      <c r="F32" s="19">
        <v>1.0</v>
      </c>
      <c r="G32" s="20">
        <v>27906.98</v>
      </c>
      <c r="I32" s="22" t="str">
        <f>IFERROR(__xludf.DUMMYFUNCTION("""COMPUTED_VALUE"""),"Atun 3kg Yellow Garri (4x)")</f>
        <v>Atun 3kg Yellow Garri (4x)</v>
      </c>
      <c r="J32" s="2">
        <f>IFERROR(__xludf.DUMMYFUNCTION("""COMPUTED_VALUE"""),45902.0)</f>
        <v>45902</v>
      </c>
      <c r="K32" s="18" t="str">
        <f>IFERROR(__xludf.DUMMYFUNCTION("""COMPUTED_VALUE"""),"Ozzy Supermarket, VICTORY PARK EST.")</f>
        <v>Ozzy Supermarket, VICTORY PARK EST.</v>
      </c>
      <c r="L32" s="18" t="str">
        <f>IFERROR(__xludf.DUMMYFUNCTION("""COMPUTED_VALUE"""),"Sales")</f>
        <v>Sales</v>
      </c>
      <c r="M32" s="5" t="str">
        <f>IFERROR(__xludf.DUMMYFUNCTION("""COMPUTED_VALUE"""),"DT:002387")</f>
        <v>DT:002387</v>
      </c>
      <c r="N32" s="19">
        <f>IFERROR(__xludf.DUMMYFUNCTION("""COMPUTED_VALUE"""),1.0)</f>
        <v>1</v>
      </c>
      <c r="O32" s="20">
        <f>IFERROR(__xludf.DUMMYFUNCTION("""COMPUTED_VALUE"""),22325.58)</f>
        <v>22325.58</v>
      </c>
      <c r="P32" s="8">
        <f t="shared" si="1"/>
        <v>83720.93</v>
      </c>
      <c r="Q32" s="22"/>
      <c r="R32" s="23"/>
      <c r="S32" s="18"/>
      <c r="T32" s="18"/>
      <c r="U32" s="5"/>
      <c r="V32" s="5"/>
      <c r="W32" s="24"/>
      <c r="AP32" s="43"/>
      <c r="AU32" s="16"/>
    </row>
    <row r="33">
      <c r="A33" s="32" t="s">
        <v>65</v>
      </c>
      <c r="B33" s="2">
        <v>45902.0</v>
      </c>
      <c r="C33" s="18" t="s">
        <v>21</v>
      </c>
      <c r="D33" s="18" t="s">
        <v>19</v>
      </c>
      <c r="E33" s="5" t="s">
        <v>22</v>
      </c>
      <c r="F33" s="19">
        <v>1.0</v>
      </c>
      <c r="G33" s="20">
        <v>22325.58</v>
      </c>
      <c r="I33" s="22" t="str">
        <f>IFERROR(__xludf.DUMMYFUNCTION("""COMPUTED_VALUE"""),"Atun 3kg Yellow Garri (4x)")</f>
        <v>Atun 3kg Yellow Garri (4x)</v>
      </c>
      <c r="J33" s="2">
        <f>IFERROR(__xludf.DUMMYFUNCTION("""COMPUTED_VALUE"""),45906.0)</f>
        <v>45906</v>
      </c>
      <c r="K33" s="18" t="str">
        <f>IFERROR(__xludf.DUMMYFUNCTION("""COMPUTED_VALUE"""),"Pharm Affair")</f>
        <v>Pharm Affair</v>
      </c>
      <c r="L33" s="18" t="str">
        <f>IFERROR(__xludf.DUMMYFUNCTION("""COMPUTED_VALUE"""),"Sales")</f>
        <v>Sales</v>
      </c>
      <c r="M33" s="5" t="str">
        <f>IFERROR(__xludf.DUMMYFUNCTION("""COMPUTED_VALUE"""),"DT:002463")</f>
        <v>DT:002463</v>
      </c>
      <c r="N33" s="19">
        <f>IFERROR(__xludf.DUMMYFUNCTION("""COMPUTED_VALUE"""),0.75)</f>
        <v>0.75</v>
      </c>
      <c r="O33" s="20">
        <f>IFERROR(__xludf.DUMMYFUNCTION("""COMPUTED_VALUE"""),16744.19)</f>
        <v>16744.19</v>
      </c>
      <c r="P33" s="8">
        <f t="shared" si="1"/>
        <v>33488.38</v>
      </c>
      <c r="Q33" s="22"/>
      <c r="R33" s="23"/>
      <c r="S33" s="34"/>
      <c r="T33" s="18"/>
      <c r="U33" s="5"/>
      <c r="V33" s="19"/>
      <c r="W33" s="24"/>
      <c r="AP33" s="43"/>
      <c r="AU33" s="16"/>
    </row>
    <row r="34">
      <c r="A34" s="32" t="s">
        <v>65</v>
      </c>
      <c r="B34" s="2">
        <v>45906.0</v>
      </c>
      <c r="C34" s="18" t="s">
        <v>31</v>
      </c>
      <c r="D34" s="18" t="s">
        <v>19</v>
      </c>
      <c r="E34" s="5" t="s">
        <v>32</v>
      </c>
      <c r="F34" s="19">
        <v>0.75</v>
      </c>
      <c r="G34" s="20">
        <v>16744.19</v>
      </c>
      <c r="I34" s="22" t="str">
        <f>IFERROR(__xludf.DUMMYFUNCTION("""COMPUTED_VALUE"""),"Atun 3kg Yellow Garri (4x)")</f>
        <v>Atun 3kg Yellow Garri (4x)</v>
      </c>
      <c r="J34" s="2">
        <f>IFERROR(__xludf.DUMMYFUNCTION("""COMPUTED_VALUE"""),45906.0)</f>
        <v>45906</v>
      </c>
      <c r="K34" s="18" t="str">
        <f>IFERROR(__xludf.DUMMYFUNCTION("""COMPUTED_VALUE"""),"Teewell Superstore")</f>
        <v>Teewell Superstore</v>
      </c>
      <c r="L34" s="18" t="str">
        <f>IFERROR(__xludf.DUMMYFUNCTION("""COMPUTED_VALUE"""),"Sales")</f>
        <v>Sales</v>
      </c>
      <c r="M34" s="5" t="str">
        <f>IFERROR(__xludf.DUMMYFUNCTION("""COMPUTED_VALUE"""),"DT:002467")</f>
        <v>DT:002467</v>
      </c>
      <c r="N34" s="19">
        <f>IFERROR(__xludf.DUMMYFUNCTION("""COMPUTED_VALUE"""),0.5)</f>
        <v>0.5</v>
      </c>
      <c r="O34" s="20">
        <f>IFERROR(__xludf.DUMMYFUNCTION("""COMPUTED_VALUE"""),11162.79)</f>
        <v>11162.79</v>
      </c>
      <c r="P34" s="8">
        <f t="shared" si="1"/>
        <v>41860.47</v>
      </c>
      <c r="Q34" s="22"/>
      <c r="R34" s="23"/>
      <c r="S34" s="34"/>
      <c r="T34" s="18"/>
      <c r="U34" s="5"/>
      <c r="V34" s="5"/>
      <c r="W34" s="24"/>
      <c r="AP34" s="43"/>
      <c r="AU34" s="16"/>
    </row>
    <row r="35">
      <c r="A35" s="32" t="s">
        <v>65</v>
      </c>
      <c r="B35" s="2">
        <v>45906.0</v>
      </c>
      <c r="C35" s="18" t="s">
        <v>33</v>
      </c>
      <c r="D35" s="18" t="s">
        <v>19</v>
      </c>
      <c r="E35" s="5" t="s">
        <v>34</v>
      </c>
      <c r="F35" s="19">
        <v>0.5</v>
      </c>
      <c r="G35" s="20">
        <v>11162.79</v>
      </c>
      <c r="I35" s="22" t="str">
        <f>IFERROR(__xludf.DUMMYFUNCTION("""COMPUTED_VALUE"""),"Atun 3kg Yellow Garri (4x)")</f>
        <v>Atun 3kg Yellow Garri (4x)</v>
      </c>
      <c r="J35" s="2">
        <f>IFERROR(__xludf.DUMMYFUNCTION("""COMPUTED_VALUE"""),45916.0)</f>
        <v>45916</v>
      </c>
      <c r="K35" s="18" t="str">
        <f>IFERROR(__xludf.DUMMYFUNCTION("""COMPUTED_VALUE"""),"Ozzy Supermarket, VICTORY PARK EST.")</f>
        <v>Ozzy Supermarket, VICTORY PARK EST.</v>
      </c>
      <c r="L35" s="18" t="str">
        <f>IFERROR(__xludf.DUMMYFUNCTION("""COMPUTED_VALUE"""),"Sales")</f>
        <v>Sales</v>
      </c>
      <c r="M35" s="5" t="str">
        <f>IFERROR(__xludf.DUMMYFUNCTION("""COMPUTED_VALUE"""),"DT:002570")</f>
        <v>DT:002570</v>
      </c>
      <c r="N35" s="19">
        <f>IFERROR(__xludf.DUMMYFUNCTION("""COMPUTED_VALUE"""),1.0)</f>
        <v>1</v>
      </c>
      <c r="O35" s="20">
        <f>IFERROR(__xludf.DUMMYFUNCTION("""COMPUTED_VALUE"""),22325.58)</f>
        <v>22325.58</v>
      </c>
      <c r="P35" s="8">
        <f t="shared" si="1"/>
        <v>50232.56</v>
      </c>
      <c r="Q35" s="22"/>
      <c r="R35" s="23"/>
      <c r="S35" s="18"/>
      <c r="T35" s="18"/>
      <c r="U35" s="5"/>
      <c r="V35" s="19"/>
      <c r="W35" s="24"/>
      <c r="AP35" s="43"/>
      <c r="AU35" s="16"/>
    </row>
    <row r="36">
      <c r="A36" s="32" t="s">
        <v>65</v>
      </c>
      <c r="B36" s="2">
        <v>45916.0</v>
      </c>
      <c r="C36" s="18" t="s">
        <v>21</v>
      </c>
      <c r="D36" s="18" t="s">
        <v>19</v>
      </c>
      <c r="E36" s="5" t="s">
        <v>55</v>
      </c>
      <c r="F36" s="19">
        <v>1.0</v>
      </c>
      <c r="G36" s="20">
        <v>22325.58</v>
      </c>
      <c r="I36" s="22"/>
      <c r="J36" s="23"/>
      <c r="K36" s="34"/>
      <c r="L36" s="18"/>
      <c r="M36" s="5"/>
      <c r="N36" s="33"/>
      <c r="O36" s="20"/>
      <c r="P36" s="8">
        <f t="shared" si="1"/>
        <v>0</v>
      </c>
      <c r="Q36" s="22"/>
      <c r="R36" s="23"/>
      <c r="S36" s="18"/>
      <c r="T36" s="18"/>
      <c r="U36" s="5"/>
      <c r="V36" s="19"/>
      <c r="W36" s="24"/>
      <c r="AP36" s="43"/>
      <c r="AU36" s="16"/>
    </row>
    <row r="37">
      <c r="A37" s="22"/>
      <c r="B37" s="2"/>
      <c r="C37" s="34"/>
      <c r="D37" s="18"/>
      <c r="E37" s="5"/>
      <c r="F37" s="19"/>
      <c r="G37" s="20"/>
      <c r="I37" s="22"/>
      <c r="J37" s="23"/>
      <c r="K37" s="34"/>
      <c r="L37" s="18"/>
      <c r="M37" s="5"/>
      <c r="N37" s="33"/>
      <c r="O37" s="20"/>
      <c r="P37" s="8">
        <f t="shared" si="1"/>
        <v>0</v>
      </c>
      <c r="Q37" s="22"/>
      <c r="R37" s="23"/>
      <c r="S37" s="34"/>
      <c r="T37" s="18"/>
      <c r="U37" s="5"/>
      <c r="V37" s="19"/>
      <c r="W37" s="24"/>
      <c r="AP37" s="43"/>
      <c r="AU37" s="16"/>
    </row>
    <row r="38">
      <c r="A38" s="22"/>
      <c r="B38" s="2"/>
      <c r="C38" s="34"/>
      <c r="D38" s="18"/>
      <c r="E38" s="5"/>
      <c r="F38" s="19"/>
      <c r="G38" s="20"/>
      <c r="I38" s="22"/>
      <c r="J38" s="23"/>
      <c r="K38" s="34"/>
      <c r="L38" s="18"/>
      <c r="M38" s="5"/>
      <c r="N38" s="33"/>
      <c r="O38" s="20"/>
      <c r="P38" s="8">
        <f t="shared" si="1"/>
        <v>0</v>
      </c>
      <c r="Q38" s="22"/>
      <c r="R38" s="23"/>
      <c r="S38" s="18"/>
      <c r="T38" s="18"/>
      <c r="U38" s="5"/>
      <c r="V38" s="19"/>
      <c r="W38" s="24"/>
      <c r="AP38" s="43"/>
      <c r="AU38" s="16"/>
    </row>
    <row r="39">
      <c r="A39" s="22"/>
      <c r="B39" s="2"/>
      <c r="C39" s="34"/>
      <c r="D39" s="18"/>
      <c r="E39" s="5"/>
      <c r="F39" s="19"/>
      <c r="G39" s="20"/>
      <c r="J39" s="43"/>
      <c r="N39" s="8"/>
      <c r="O39" s="16"/>
      <c r="P39" s="8">
        <f t="shared" si="1"/>
        <v>0</v>
      </c>
      <c r="Q39" s="22"/>
      <c r="R39" s="23"/>
      <c r="S39" s="18"/>
      <c r="T39" s="18"/>
      <c r="U39" s="5"/>
      <c r="V39" s="19"/>
      <c r="W39" s="24"/>
      <c r="AP39" s="43"/>
      <c r="AU39" s="16"/>
    </row>
    <row r="40">
      <c r="A40" s="22"/>
      <c r="B40" s="2"/>
      <c r="C40" s="34"/>
      <c r="D40" s="18"/>
      <c r="E40" s="5"/>
      <c r="F40" s="19"/>
      <c r="G40" s="20"/>
      <c r="J40" s="43"/>
      <c r="N40" s="8"/>
      <c r="O40" s="16"/>
      <c r="P40" s="8">
        <f t="shared" si="1"/>
        <v>0</v>
      </c>
      <c r="Q40" s="22"/>
      <c r="R40" s="23"/>
      <c r="S40" s="18"/>
      <c r="T40" s="18"/>
      <c r="U40" s="5"/>
      <c r="V40" s="19"/>
      <c r="W40" s="24"/>
      <c r="AP40" s="43"/>
      <c r="AU40" s="16"/>
    </row>
    <row r="41">
      <c r="A41" s="22"/>
      <c r="B41" s="2"/>
      <c r="C41" s="34"/>
      <c r="D41" s="18"/>
      <c r="E41" s="5"/>
      <c r="F41" s="19"/>
      <c r="G41" s="20"/>
      <c r="J41" s="43"/>
      <c r="N41" s="8"/>
      <c r="O41" s="16"/>
      <c r="P41" s="8">
        <f t="shared" si="1"/>
        <v>0</v>
      </c>
      <c r="Q41" s="22"/>
      <c r="R41" s="23"/>
      <c r="S41" s="34"/>
      <c r="T41" s="18"/>
      <c r="U41" s="5"/>
      <c r="V41" s="19"/>
      <c r="W41" s="24"/>
      <c r="AP41" s="43"/>
      <c r="AU41" s="16"/>
    </row>
    <row r="42">
      <c r="B42" s="46"/>
      <c r="E42" s="47"/>
      <c r="F42" s="47"/>
      <c r="G42" s="16"/>
      <c r="J42" s="43"/>
      <c r="N42" s="8"/>
      <c r="O42" s="16"/>
      <c r="P42" s="8">
        <f t="shared" si="1"/>
        <v>0</v>
      </c>
      <c r="Q42" s="22"/>
      <c r="R42" s="23"/>
      <c r="S42" s="18"/>
      <c r="T42" s="18"/>
      <c r="U42" s="5"/>
      <c r="V42" s="19"/>
      <c r="W42" s="24"/>
      <c r="AP42" s="43"/>
      <c r="AU42" s="16"/>
    </row>
    <row r="43">
      <c r="B43" s="46"/>
      <c r="E43" s="47"/>
      <c r="F43" s="47"/>
      <c r="G43" s="16"/>
      <c r="J43" s="43"/>
      <c r="N43" s="8"/>
      <c r="O43" s="16"/>
      <c r="P43" s="8">
        <f t="shared" si="1"/>
        <v>0</v>
      </c>
      <c r="Q43" s="25"/>
      <c r="R43" s="48"/>
      <c r="S43" s="49"/>
      <c r="T43" s="49"/>
      <c r="U43" s="50"/>
      <c r="V43" s="51"/>
      <c r="W43" s="52"/>
      <c r="AP43" s="43"/>
      <c r="AU43" s="16"/>
    </row>
    <row r="44">
      <c r="B44" s="46"/>
      <c r="E44" s="47"/>
      <c r="F44" s="47"/>
      <c r="G44" s="16"/>
      <c r="J44" s="43"/>
      <c r="N44" s="8"/>
      <c r="O44" s="16"/>
      <c r="P44" s="8">
        <f t="shared" si="1"/>
        <v>0</v>
      </c>
      <c r="Q44" s="22"/>
      <c r="R44" s="23"/>
      <c r="S44" s="18"/>
      <c r="T44" s="18"/>
      <c r="U44" s="5"/>
      <c r="V44" s="5"/>
      <c r="W44" s="24"/>
      <c r="AP44" s="43"/>
      <c r="AU44" s="16"/>
    </row>
    <row r="45">
      <c r="B45" s="46"/>
      <c r="E45" s="47"/>
      <c r="F45" s="47"/>
      <c r="G45" s="16"/>
      <c r="J45" s="43"/>
      <c r="N45" s="8"/>
      <c r="O45" s="16"/>
      <c r="P45" s="8">
        <f t="shared" si="1"/>
        <v>0</v>
      </c>
      <c r="AP45" s="43"/>
      <c r="AU45" s="16"/>
    </row>
    <row r="46">
      <c r="B46" s="46"/>
      <c r="E46" s="47"/>
      <c r="F46" s="47"/>
      <c r="G46" s="16"/>
      <c r="J46" s="43"/>
      <c r="N46" s="8"/>
      <c r="O46" s="16"/>
      <c r="P46" s="8">
        <f t="shared" si="1"/>
        <v>0</v>
      </c>
      <c r="AP46" s="43"/>
      <c r="AU46" s="16"/>
    </row>
    <row r="47">
      <c r="B47" s="46"/>
      <c r="E47" s="47"/>
      <c r="F47" s="47"/>
      <c r="G47" s="16"/>
      <c r="J47" s="43"/>
      <c r="N47" s="8"/>
      <c r="O47" s="16"/>
      <c r="P47" s="8">
        <f t="shared" si="1"/>
        <v>0</v>
      </c>
      <c r="AP47" s="43"/>
      <c r="AU47" s="16"/>
    </row>
    <row r="48">
      <c r="B48" s="46"/>
      <c r="E48" s="47"/>
      <c r="F48" s="47"/>
      <c r="G48" s="16"/>
      <c r="J48" s="43"/>
      <c r="N48" s="8"/>
      <c r="O48" s="16"/>
      <c r="P48" s="8">
        <f t="shared" si="1"/>
        <v>0</v>
      </c>
      <c r="AP48" s="43"/>
      <c r="AU48" s="16"/>
    </row>
    <row r="49">
      <c r="B49" s="46"/>
      <c r="E49" s="47"/>
      <c r="F49" s="47"/>
      <c r="G49" s="16"/>
      <c r="J49" s="43"/>
      <c r="N49" s="8"/>
      <c r="O49" s="16"/>
      <c r="P49" s="8">
        <f t="shared" si="1"/>
        <v>0</v>
      </c>
      <c r="AP49" s="43"/>
      <c r="AU49" s="16"/>
    </row>
    <row r="50">
      <c r="B50" s="46"/>
      <c r="E50" s="47"/>
      <c r="F50" s="47"/>
      <c r="G50" s="16"/>
      <c r="J50" s="43"/>
      <c r="N50" s="8"/>
      <c r="O50" s="16"/>
      <c r="P50" s="8">
        <f t="shared" si="1"/>
        <v>0</v>
      </c>
      <c r="AP50" s="43"/>
      <c r="AU50" s="16"/>
    </row>
    <row r="51">
      <c r="B51" s="46"/>
      <c r="E51" s="47"/>
      <c r="F51" s="47"/>
      <c r="G51" s="16"/>
      <c r="J51" s="43"/>
      <c r="N51" s="8"/>
      <c r="O51" s="16"/>
      <c r="P51" s="8">
        <f t="shared" si="1"/>
        <v>0</v>
      </c>
      <c r="AP51" s="43"/>
      <c r="AU51" s="16"/>
    </row>
    <row r="52">
      <c r="B52" s="46"/>
      <c r="E52" s="47"/>
      <c r="F52" s="47"/>
      <c r="G52" s="16"/>
      <c r="J52" s="43"/>
      <c r="N52" s="8"/>
      <c r="O52" s="16"/>
      <c r="P52" s="8">
        <f t="shared" si="1"/>
        <v>0</v>
      </c>
      <c r="AP52" s="43"/>
      <c r="AU52" s="16"/>
    </row>
    <row r="53">
      <c r="B53" s="46"/>
      <c r="E53" s="47"/>
      <c r="F53" s="47"/>
      <c r="G53" s="16"/>
      <c r="J53" s="43"/>
      <c r="N53" s="8"/>
      <c r="O53" s="16"/>
      <c r="P53" s="8">
        <f t="shared" si="1"/>
        <v>0</v>
      </c>
      <c r="AP53" s="43"/>
      <c r="AU53" s="16"/>
    </row>
    <row r="54">
      <c r="B54" s="46"/>
      <c r="E54" s="47"/>
      <c r="F54" s="47"/>
      <c r="G54" s="16"/>
      <c r="J54" s="43"/>
      <c r="N54" s="8"/>
      <c r="O54" s="16"/>
      <c r="P54" s="8">
        <f t="shared" si="1"/>
        <v>0</v>
      </c>
      <c r="AP54" s="43"/>
    </row>
    <row r="55">
      <c r="B55" s="46"/>
      <c r="E55" s="47"/>
      <c r="F55" s="47"/>
      <c r="G55" s="16"/>
      <c r="J55" s="43"/>
      <c r="N55" s="8"/>
      <c r="O55" s="16"/>
      <c r="P55" s="8">
        <f t="shared" si="1"/>
        <v>0</v>
      </c>
      <c r="AP55" s="43"/>
    </row>
    <row r="56">
      <c r="B56" s="46"/>
      <c r="E56" s="47"/>
      <c r="F56" s="47"/>
      <c r="G56" s="16"/>
      <c r="J56" s="43"/>
      <c r="N56" s="8"/>
      <c r="O56" s="16"/>
      <c r="P56" s="8">
        <f t="shared" si="1"/>
        <v>0</v>
      </c>
      <c r="AP56" s="43"/>
    </row>
    <row r="57">
      <c r="B57" s="46"/>
      <c r="E57" s="47"/>
      <c r="F57" s="47"/>
      <c r="G57" s="16"/>
      <c r="J57" s="43"/>
      <c r="N57" s="8"/>
      <c r="O57" s="16"/>
      <c r="P57" s="8">
        <f t="shared" si="1"/>
        <v>0</v>
      </c>
      <c r="AP57" s="43"/>
    </row>
    <row r="58">
      <c r="B58" s="46"/>
      <c r="E58" s="47"/>
      <c r="F58" s="47"/>
      <c r="G58" s="16"/>
      <c r="J58" s="43"/>
      <c r="N58" s="8"/>
      <c r="O58" s="16"/>
      <c r="P58" s="8">
        <f t="shared" si="1"/>
        <v>0</v>
      </c>
      <c r="AP58" s="43"/>
    </row>
    <row r="59">
      <c r="B59" s="46"/>
      <c r="E59" s="47"/>
      <c r="F59" s="47"/>
      <c r="G59" s="16"/>
      <c r="J59" s="43"/>
      <c r="N59" s="8"/>
      <c r="O59" s="16"/>
      <c r="P59" s="8">
        <f t="shared" si="1"/>
        <v>0</v>
      </c>
      <c r="AP59" s="43"/>
    </row>
    <row r="60">
      <c r="B60" s="46"/>
      <c r="E60" s="47"/>
      <c r="F60" s="47"/>
      <c r="G60" s="16"/>
      <c r="J60" s="43"/>
      <c r="N60" s="8"/>
      <c r="O60" s="16"/>
      <c r="P60" s="8">
        <f t="shared" si="1"/>
        <v>0</v>
      </c>
      <c r="AP60" s="43"/>
    </row>
    <row r="61">
      <c r="B61" s="46"/>
      <c r="E61" s="47"/>
      <c r="F61" s="47"/>
      <c r="G61" s="16"/>
      <c r="J61" s="43"/>
      <c r="N61" s="8"/>
      <c r="O61" s="16"/>
      <c r="P61" s="8">
        <f t="shared" si="1"/>
        <v>0</v>
      </c>
      <c r="AP61" s="43"/>
    </row>
    <row r="62">
      <c r="B62" s="46"/>
      <c r="E62" s="47"/>
      <c r="F62" s="47"/>
      <c r="G62" s="16"/>
      <c r="J62" s="43"/>
      <c r="N62" s="8"/>
      <c r="O62" s="16"/>
      <c r="P62" s="8">
        <f t="shared" si="1"/>
        <v>0</v>
      </c>
      <c r="AP62" s="43"/>
    </row>
    <row r="63">
      <c r="B63" s="46"/>
      <c r="E63" s="47"/>
      <c r="F63" s="47"/>
      <c r="G63" s="16"/>
      <c r="J63" s="43"/>
      <c r="N63" s="8"/>
      <c r="O63" s="16"/>
      <c r="P63" s="8">
        <f t="shared" si="1"/>
        <v>0</v>
      </c>
      <c r="AP63" s="43"/>
    </row>
    <row r="64">
      <c r="B64" s="46"/>
      <c r="E64" s="47"/>
      <c r="F64" s="47"/>
      <c r="G64" s="16"/>
      <c r="J64" s="43"/>
      <c r="N64" s="8"/>
      <c r="O64" s="16"/>
      <c r="P64" s="8">
        <f t="shared" si="1"/>
        <v>0</v>
      </c>
      <c r="AP64" s="43"/>
    </row>
    <row r="65">
      <c r="B65" s="46"/>
      <c r="E65" s="47"/>
      <c r="F65" s="47"/>
      <c r="G65" s="16"/>
      <c r="J65" s="43"/>
      <c r="N65" s="8"/>
      <c r="O65" s="16"/>
      <c r="P65" s="8">
        <f t="shared" si="1"/>
        <v>0</v>
      </c>
      <c r="AP65" s="43"/>
    </row>
    <row r="66">
      <c r="B66" s="46"/>
      <c r="E66" s="47"/>
      <c r="F66" s="47"/>
      <c r="G66" s="16"/>
      <c r="J66" s="43"/>
      <c r="N66" s="8"/>
      <c r="O66" s="16"/>
      <c r="P66" s="8">
        <f t="shared" si="1"/>
        <v>0</v>
      </c>
      <c r="AP66" s="43"/>
    </row>
    <row r="67">
      <c r="B67" s="46"/>
      <c r="E67" s="47"/>
      <c r="F67" s="47"/>
      <c r="G67" s="16"/>
      <c r="J67" s="43"/>
      <c r="N67" s="8"/>
      <c r="O67" s="16"/>
      <c r="P67" s="8">
        <f t="shared" si="1"/>
        <v>0</v>
      </c>
      <c r="AP67" s="43"/>
    </row>
    <row r="68">
      <c r="B68" s="46"/>
      <c r="E68" s="47"/>
      <c r="F68" s="47"/>
      <c r="G68" s="16"/>
      <c r="J68" s="43"/>
      <c r="N68" s="8"/>
      <c r="O68" s="16"/>
      <c r="P68" s="8">
        <f t="shared" si="1"/>
        <v>0</v>
      </c>
      <c r="AP68" s="43"/>
    </row>
    <row r="69">
      <c r="B69" s="46"/>
      <c r="E69" s="47"/>
      <c r="F69" s="47"/>
      <c r="G69" s="16"/>
      <c r="J69" s="43"/>
      <c r="N69" s="8"/>
      <c r="O69" s="16"/>
      <c r="P69" s="8">
        <f t="shared" si="1"/>
        <v>0</v>
      </c>
      <c r="AP69" s="43"/>
    </row>
    <row r="70">
      <c r="B70" s="46"/>
      <c r="E70" s="47"/>
      <c r="F70" s="47"/>
      <c r="G70" s="16"/>
      <c r="J70" s="43"/>
      <c r="N70" s="8"/>
      <c r="O70" s="16"/>
      <c r="P70" s="8">
        <f t="shared" si="1"/>
        <v>0</v>
      </c>
      <c r="AP70" s="43"/>
    </row>
    <row r="71">
      <c r="B71" s="46"/>
      <c r="E71" s="47"/>
      <c r="F71" s="47"/>
      <c r="G71" s="16"/>
      <c r="J71" s="43"/>
      <c r="N71" s="8"/>
      <c r="O71" s="16"/>
      <c r="P71" s="8">
        <f t="shared" si="1"/>
        <v>0</v>
      </c>
      <c r="AP71" s="43"/>
    </row>
    <row r="72">
      <c r="B72" s="46"/>
      <c r="E72" s="47"/>
      <c r="F72" s="47"/>
      <c r="G72" s="16"/>
      <c r="J72" s="43"/>
      <c r="N72" s="8"/>
      <c r="O72" s="16"/>
      <c r="P72" s="8">
        <f t="shared" si="1"/>
        <v>0</v>
      </c>
      <c r="AP72" s="43"/>
    </row>
    <row r="73">
      <c r="B73" s="46"/>
      <c r="E73" s="47"/>
      <c r="F73" s="47"/>
      <c r="G73" s="16"/>
      <c r="J73" s="43"/>
      <c r="N73" s="8"/>
      <c r="O73" s="16"/>
      <c r="P73" s="8"/>
      <c r="AP73" s="43"/>
    </row>
    <row r="74">
      <c r="B74" s="46"/>
      <c r="E74" s="47"/>
      <c r="F74" s="47"/>
      <c r="G74" s="16"/>
      <c r="J74" s="43"/>
      <c r="N74" s="8"/>
      <c r="O74" s="16"/>
      <c r="P74" s="8"/>
      <c r="AP74" s="43"/>
    </row>
    <row r="75">
      <c r="B75" s="46"/>
      <c r="E75" s="47"/>
      <c r="F75" s="47"/>
      <c r="G75" s="16"/>
      <c r="J75" s="43"/>
      <c r="N75" s="8"/>
      <c r="O75" s="16"/>
      <c r="P75" s="8"/>
      <c r="AP75" s="43"/>
    </row>
    <row r="76">
      <c r="B76" s="46"/>
      <c r="E76" s="47"/>
      <c r="F76" s="47"/>
      <c r="G76" s="16"/>
      <c r="J76" s="43"/>
      <c r="N76" s="8"/>
      <c r="O76" s="16"/>
      <c r="P76" s="8"/>
      <c r="AP76" s="43"/>
    </row>
    <row r="77">
      <c r="B77" s="46"/>
      <c r="E77" s="47"/>
      <c r="F77" s="47"/>
      <c r="G77" s="16"/>
      <c r="J77" s="43"/>
      <c r="N77" s="8"/>
      <c r="O77" s="16"/>
      <c r="P77" s="8"/>
      <c r="AP77" s="43"/>
    </row>
    <row r="78">
      <c r="B78" s="46"/>
      <c r="E78" s="47"/>
      <c r="F78" s="47"/>
      <c r="G78" s="16"/>
      <c r="J78" s="43"/>
      <c r="N78" s="8"/>
      <c r="O78" s="16"/>
      <c r="P78" s="8"/>
      <c r="AP78" s="43"/>
    </row>
    <row r="79">
      <c r="B79" s="46"/>
      <c r="E79" s="47"/>
      <c r="F79" s="47"/>
      <c r="G79" s="16"/>
      <c r="J79" s="43"/>
      <c r="N79" s="8"/>
      <c r="O79" s="16"/>
      <c r="P79" s="8"/>
      <c r="AP79" s="43"/>
    </row>
    <row r="80">
      <c r="B80" s="46"/>
      <c r="E80" s="47"/>
      <c r="F80" s="47"/>
      <c r="G80" s="16"/>
      <c r="J80" s="43"/>
      <c r="N80" s="8"/>
      <c r="O80" s="16"/>
      <c r="P80" s="8"/>
      <c r="AP80" s="43"/>
    </row>
    <row r="81">
      <c r="B81" s="46"/>
      <c r="E81" s="47"/>
      <c r="F81" s="47"/>
      <c r="G81" s="16"/>
      <c r="J81" s="43"/>
      <c r="N81" s="8"/>
      <c r="O81" s="16"/>
      <c r="P81" s="8"/>
      <c r="AP81" s="43"/>
    </row>
    <row r="82">
      <c r="B82" s="46"/>
      <c r="E82" s="47"/>
      <c r="F82" s="47"/>
      <c r="G82" s="16"/>
      <c r="J82" s="43"/>
      <c r="N82" s="8"/>
      <c r="O82" s="16"/>
      <c r="P82" s="8"/>
      <c r="AP82" s="43"/>
    </row>
    <row r="83">
      <c r="B83" s="46"/>
      <c r="E83" s="47"/>
      <c r="F83" s="47"/>
      <c r="G83" s="16"/>
      <c r="J83" s="43"/>
      <c r="N83" s="8"/>
      <c r="O83" s="16"/>
      <c r="P83" s="8"/>
      <c r="AP83" s="43"/>
    </row>
    <row r="84">
      <c r="B84" s="46"/>
      <c r="E84" s="47"/>
      <c r="F84" s="47"/>
      <c r="G84" s="16"/>
      <c r="J84" s="43"/>
      <c r="N84" s="8"/>
      <c r="O84" s="16"/>
      <c r="P84" s="8"/>
      <c r="AP84" s="43"/>
    </row>
    <row r="85">
      <c r="B85" s="46"/>
      <c r="E85" s="47"/>
      <c r="F85" s="47"/>
      <c r="G85" s="16"/>
      <c r="J85" s="43"/>
      <c r="N85" s="8"/>
      <c r="O85" s="16"/>
      <c r="P85" s="8"/>
      <c r="AP85" s="43"/>
    </row>
    <row r="86">
      <c r="B86" s="46"/>
      <c r="E86" s="47"/>
      <c r="F86" s="47"/>
      <c r="G86" s="16"/>
      <c r="J86" s="43"/>
      <c r="N86" s="8"/>
      <c r="O86" s="16"/>
      <c r="P86" s="8"/>
      <c r="AP86" s="43"/>
    </row>
    <row r="87">
      <c r="B87" s="46"/>
      <c r="E87" s="47"/>
      <c r="F87" s="47"/>
      <c r="G87" s="16"/>
      <c r="J87" s="43"/>
      <c r="N87" s="8"/>
      <c r="O87" s="16"/>
      <c r="P87" s="8"/>
      <c r="AP87" s="43"/>
    </row>
    <row r="88">
      <c r="B88" s="46"/>
      <c r="E88" s="47"/>
      <c r="F88" s="47"/>
      <c r="G88" s="16"/>
      <c r="J88" s="43"/>
      <c r="N88" s="8"/>
      <c r="O88" s="16"/>
      <c r="P88" s="8"/>
      <c r="AP88" s="43"/>
    </row>
    <row r="89">
      <c r="B89" s="46"/>
      <c r="E89" s="47"/>
      <c r="F89" s="47"/>
      <c r="G89" s="16"/>
      <c r="J89" s="43"/>
      <c r="N89" s="8"/>
      <c r="O89" s="16"/>
      <c r="P89" s="8"/>
      <c r="AP89" s="43"/>
    </row>
    <row r="90">
      <c r="B90" s="46"/>
      <c r="E90" s="47"/>
      <c r="F90" s="47"/>
      <c r="G90" s="16"/>
      <c r="J90" s="43"/>
      <c r="N90" s="8"/>
      <c r="O90" s="16"/>
      <c r="P90" s="8"/>
      <c r="AP90" s="43"/>
    </row>
    <row r="91">
      <c r="B91" s="46"/>
      <c r="E91" s="47"/>
      <c r="F91" s="47"/>
      <c r="G91" s="16"/>
      <c r="J91" s="43"/>
      <c r="N91" s="8"/>
      <c r="O91" s="16"/>
      <c r="P91" s="8"/>
      <c r="AP91" s="43"/>
    </row>
    <row r="92">
      <c r="B92" s="46"/>
      <c r="E92" s="47"/>
      <c r="F92" s="47"/>
      <c r="G92" s="16"/>
      <c r="J92" s="43"/>
      <c r="N92" s="8"/>
      <c r="O92" s="16"/>
      <c r="P92" s="8"/>
      <c r="AP92" s="43"/>
    </row>
    <row r="93">
      <c r="B93" s="46"/>
      <c r="E93" s="47"/>
      <c r="F93" s="47"/>
      <c r="G93" s="16"/>
      <c r="J93" s="43"/>
      <c r="N93" s="8"/>
      <c r="O93" s="16"/>
      <c r="P93" s="8"/>
      <c r="AP93" s="43"/>
    </row>
    <row r="94">
      <c r="B94" s="46"/>
      <c r="E94" s="47"/>
      <c r="F94" s="47"/>
      <c r="G94" s="16"/>
      <c r="J94" s="43"/>
      <c r="N94" s="8"/>
      <c r="O94" s="16"/>
      <c r="P94" s="8"/>
      <c r="AP94" s="43"/>
    </row>
    <row r="95">
      <c r="B95" s="46"/>
      <c r="E95" s="47"/>
      <c r="F95" s="47"/>
      <c r="G95" s="16"/>
      <c r="J95" s="43"/>
      <c r="N95" s="8"/>
      <c r="O95" s="16"/>
      <c r="P95" s="8"/>
      <c r="AP95" s="43"/>
    </row>
    <row r="96">
      <c r="B96" s="46"/>
      <c r="E96" s="47"/>
      <c r="F96" s="47"/>
      <c r="G96" s="16"/>
      <c r="J96" s="43"/>
      <c r="N96" s="8"/>
      <c r="O96" s="16"/>
      <c r="P96" s="8"/>
      <c r="AP96" s="43"/>
    </row>
    <row r="97">
      <c r="B97" s="46"/>
      <c r="E97" s="47"/>
      <c r="F97" s="47"/>
      <c r="G97" s="16"/>
      <c r="J97" s="43"/>
      <c r="N97" s="8"/>
      <c r="O97" s="16"/>
      <c r="P97" s="8"/>
      <c r="AP97" s="43"/>
    </row>
    <row r="98">
      <c r="B98" s="46"/>
      <c r="E98" s="47"/>
      <c r="F98" s="47"/>
      <c r="G98" s="16"/>
      <c r="J98" s="43"/>
      <c r="N98" s="8"/>
      <c r="O98" s="16"/>
      <c r="P98" s="8"/>
      <c r="AP98" s="43"/>
    </row>
    <row r="99">
      <c r="B99" s="46"/>
      <c r="E99" s="47"/>
      <c r="F99" s="47"/>
      <c r="G99" s="16"/>
      <c r="J99" s="43"/>
      <c r="N99" s="8"/>
      <c r="O99" s="16"/>
      <c r="P99" s="8"/>
      <c r="AP99" s="43"/>
    </row>
    <row r="100">
      <c r="B100" s="46"/>
      <c r="E100" s="47"/>
      <c r="F100" s="47"/>
      <c r="G100" s="16"/>
      <c r="J100" s="43"/>
      <c r="N100" s="8"/>
      <c r="O100" s="16"/>
      <c r="P100" s="8"/>
      <c r="AP100" s="43"/>
    </row>
    <row r="101">
      <c r="B101" s="46"/>
      <c r="E101" s="47"/>
      <c r="F101" s="47"/>
      <c r="G101" s="16"/>
      <c r="J101" s="43"/>
      <c r="N101" s="8"/>
      <c r="O101" s="16"/>
      <c r="P101" s="8"/>
      <c r="AP101" s="43"/>
    </row>
    <row r="102">
      <c r="B102" s="46"/>
      <c r="E102" s="47"/>
      <c r="F102" s="47"/>
      <c r="G102" s="16"/>
      <c r="J102" s="43"/>
      <c r="N102" s="8"/>
      <c r="O102" s="16"/>
      <c r="P102" s="8"/>
      <c r="AP102" s="43"/>
    </row>
    <row r="103">
      <c r="B103" s="46"/>
      <c r="E103" s="47"/>
      <c r="F103" s="47"/>
      <c r="G103" s="16"/>
      <c r="J103" s="43"/>
      <c r="N103" s="8"/>
      <c r="O103" s="16"/>
      <c r="P103" s="8"/>
      <c r="AP103" s="43"/>
    </row>
    <row r="104">
      <c r="B104" s="46"/>
      <c r="E104" s="47"/>
      <c r="F104" s="47"/>
      <c r="G104" s="16"/>
      <c r="J104" s="43"/>
      <c r="N104" s="8"/>
      <c r="O104" s="16"/>
      <c r="P104" s="8"/>
      <c r="AP104" s="43"/>
    </row>
    <row r="105">
      <c r="B105" s="46"/>
      <c r="E105" s="47"/>
      <c r="F105" s="47"/>
      <c r="G105" s="16"/>
      <c r="J105" s="43"/>
      <c r="N105" s="8"/>
      <c r="O105" s="16"/>
      <c r="P105" s="8"/>
      <c r="AP105" s="43"/>
    </row>
    <row r="106">
      <c r="B106" s="46"/>
      <c r="E106" s="47"/>
      <c r="F106" s="47"/>
      <c r="G106" s="16"/>
      <c r="J106" s="43"/>
      <c r="N106" s="8"/>
      <c r="O106" s="16"/>
      <c r="P106" s="8"/>
      <c r="AP106" s="43"/>
    </row>
    <row r="107">
      <c r="B107" s="46"/>
      <c r="E107" s="47"/>
      <c r="F107" s="47"/>
      <c r="G107" s="16"/>
      <c r="J107" s="43"/>
      <c r="N107" s="8"/>
      <c r="O107" s="16"/>
      <c r="P107" s="8"/>
      <c r="AP107" s="43"/>
    </row>
    <row r="108">
      <c r="B108" s="46"/>
      <c r="E108" s="47"/>
      <c r="F108" s="47"/>
      <c r="G108" s="16"/>
      <c r="J108" s="43"/>
      <c r="N108" s="8"/>
      <c r="O108" s="16"/>
      <c r="P108" s="8"/>
      <c r="AP108" s="43"/>
    </row>
    <row r="109">
      <c r="B109" s="46"/>
      <c r="E109" s="47"/>
      <c r="F109" s="47"/>
      <c r="G109" s="16"/>
      <c r="J109" s="43"/>
      <c r="N109" s="8"/>
      <c r="O109" s="16"/>
      <c r="P109" s="8"/>
      <c r="AP109" s="43"/>
    </row>
    <row r="110">
      <c r="B110" s="46"/>
      <c r="E110" s="47"/>
      <c r="F110" s="47"/>
      <c r="G110" s="16"/>
      <c r="J110" s="43"/>
      <c r="N110" s="8"/>
      <c r="O110" s="16"/>
      <c r="P110" s="8"/>
      <c r="AP110" s="43"/>
    </row>
    <row r="111">
      <c r="B111" s="46"/>
      <c r="E111" s="47"/>
      <c r="F111" s="47"/>
      <c r="G111" s="16"/>
      <c r="J111" s="43"/>
      <c r="N111" s="8"/>
      <c r="O111" s="16"/>
      <c r="P111" s="8"/>
      <c r="AP111" s="43"/>
    </row>
    <row r="112">
      <c r="B112" s="46"/>
      <c r="E112" s="47"/>
      <c r="F112" s="47"/>
      <c r="G112" s="16"/>
      <c r="J112" s="43"/>
      <c r="N112" s="8"/>
      <c r="O112" s="16"/>
      <c r="P112" s="8"/>
      <c r="AP112" s="43"/>
    </row>
    <row r="113">
      <c r="B113" s="46"/>
      <c r="E113" s="47"/>
      <c r="F113" s="47"/>
      <c r="G113" s="16"/>
      <c r="J113" s="43"/>
      <c r="N113" s="8"/>
      <c r="O113" s="16"/>
      <c r="P113" s="8"/>
      <c r="AP113" s="43"/>
    </row>
    <row r="114">
      <c r="B114" s="46"/>
      <c r="E114" s="47"/>
      <c r="F114" s="47"/>
      <c r="G114" s="16"/>
      <c r="J114" s="43"/>
      <c r="N114" s="8"/>
      <c r="O114" s="16"/>
      <c r="P114" s="8"/>
      <c r="AP114" s="43"/>
    </row>
    <row r="115">
      <c r="B115" s="46"/>
      <c r="E115" s="47"/>
      <c r="F115" s="47"/>
      <c r="G115" s="16"/>
      <c r="J115" s="43"/>
      <c r="N115" s="8"/>
      <c r="O115" s="16"/>
      <c r="P115" s="8"/>
      <c r="AP115" s="43"/>
    </row>
    <row r="116">
      <c r="B116" s="46"/>
      <c r="E116" s="47"/>
      <c r="F116" s="47"/>
      <c r="G116" s="16"/>
      <c r="J116" s="43"/>
      <c r="N116" s="8"/>
      <c r="O116" s="16"/>
      <c r="P116" s="8"/>
      <c r="AP116" s="43"/>
    </row>
    <row r="117">
      <c r="B117" s="46"/>
      <c r="E117" s="47"/>
      <c r="F117" s="47"/>
      <c r="G117" s="16"/>
      <c r="J117" s="43"/>
      <c r="N117" s="8"/>
      <c r="O117" s="16"/>
      <c r="P117" s="8"/>
      <c r="AP117" s="43"/>
    </row>
    <row r="118">
      <c r="B118" s="46"/>
      <c r="E118" s="47"/>
      <c r="F118" s="47"/>
      <c r="G118" s="16"/>
      <c r="J118" s="43"/>
      <c r="N118" s="8"/>
      <c r="O118" s="16"/>
      <c r="P118" s="8"/>
      <c r="AP118" s="43"/>
    </row>
    <row r="119">
      <c r="B119" s="46"/>
      <c r="E119" s="47"/>
      <c r="F119" s="47"/>
      <c r="G119" s="16"/>
      <c r="J119" s="43"/>
      <c r="N119" s="8"/>
      <c r="O119" s="16"/>
      <c r="P119" s="8"/>
      <c r="AP119" s="43"/>
    </row>
    <row r="120">
      <c r="B120" s="46"/>
      <c r="E120" s="47"/>
      <c r="F120" s="47"/>
      <c r="G120" s="16"/>
      <c r="J120" s="43"/>
      <c r="N120" s="8"/>
      <c r="O120" s="16"/>
      <c r="P120" s="8"/>
      <c r="AP120" s="43"/>
    </row>
    <row r="121">
      <c r="B121" s="46"/>
      <c r="E121" s="47"/>
      <c r="F121" s="47"/>
      <c r="G121" s="16"/>
      <c r="J121" s="43"/>
      <c r="N121" s="8"/>
      <c r="O121" s="16"/>
      <c r="P121" s="8"/>
      <c r="AP121" s="43"/>
    </row>
    <row r="122">
      <c r="B122" s="46"/>
      <c r="E122" s="47"/>
      <c r="F122" s="47"/>
      <c r="G122" s="16"/>
      <c r="J122" s="43"/>
      <c r="N122" s="8"/>
      <c r="O122" s="16"/>
      <c r="P122" s="8"/>
      <c r="AP122" s="43"/>
    </row>
    <row r="123">
      <c r="B123" s="46"/>
      <c r="E123" s="47"/>
      <c r="F123" s="47"/>
      <c r="G123" s="16"/>
      <c r="J123" s="43"/>
      <c r="N123" s="8"/>
      <c r="O123" s="16"/>
      <c r="P123" s="8"/>
      <c r="AP123" s="43"/>
    </row>
    <row r="124">
      <c r="B124" s="46"/>
      <c r="E124" s="47"/>
      <c r="F124" s="47"/>
      <c r="G124" s="16"/>
      <c r="J124" s="43"/>
      <c r="N124" s="8"/>
      <c r="O124" s="16"/>
      <c r="P124" s="8"/>
      <c r="AP124" s="43"/>
    </row>
    <row r="125">
      <c r="B125" s="46"/>
      <c r="E125" s="47"/>
      <c r="F125" s="47"/>
      <c r="G125" s="16"/>
      <c r="J125" s="43"/>
      <c r="N125" s="8"/>
      <c r="O125" s="16"/>
      <c r="P125" s="8"/>
      <c r="AP125" s="43"/>
    </row>
    <row r="126">
      <c r="B126" s="46"/>
      <c r="E126" s="47"/>
      <c r="F126" s="47"/>
      <c r="G126" s="16"/>
      <c r="J126" s="43"/>
      <c r="N126" s="8"/>
      <c r="O126" s="16"/>
      <c r="P126" s="8"/>
      <c r="AP126" s="43"/>
    </row>
    <row r="127">
      <c r="B127" s="46"/>
      <c r="E127" s="47"/>
      <c r="F127" s="47"/>
      <c r="G127" s="16"/>
      <c r="J127" s="43"/>
      <c r="N127" s="8"/>
      <c r="O127" s="16"/>
      <c r="P127" s="8"/>
      <c r="AP127" s="43"/>
    </row>
    <row r="128">
      <c r="B128" s="46"/>
      <c r="E128" s="47"/>
      <c r="F128" s="47"/>
      <c r="G128" s="16"/>
      <c r="J128" s="43"/>
      <c r="N128" s="8"/>
      <c r="O128" s="16"/>
      <c r="P128" s="8"/>
      <c r="AP128" s="43"/>
    </row>
    <row r="129">
      <c r="B129" s="46"/>
      <c r="E129" s="47"/>
      <c r="F129" s="47"/>
      <c r="G129" s="16"/>
      <c r="J129" s="43"/>
      <c r="N129" s="8"/>
      <c r="O129" s="16"/>
      <c r="P129" s="8"/>
      <c r="AP129" s="43"/>
    </row>
    <row r="130">
      <c r="B130" s="46"/>
      <c r="E130" s="47"/>
      <c r="F130" s="47"/>
      <c r="G130" s="16"/>
      <c r="J130" s="43"/>
      <c r="N130" s="8"/>
      <c r="O130" s="16"/>
      <c r="P130" s="8"/>
      <c r="AP130" s="43"/>
    </row>
    <row r="131">
      <c r="B131" s="46"/>
      <c r="E131" s="47"/>
      <c r="F131" s="47"/>
      <c r="G131" s="16"/>
      <c r="J131" s="43"/>
      <c r="N131" s="8"/>
      <c r="O131" s="16"/>
      <c r="P131" s="8"/>
      <c r="AP131" s="43"/>
    </row>
    <row r="132">
      <c r="B132" s="46"/>
      <c r="E132" s="47"/>
      <c r="F132" s="47"/>
      <c r="G132" s="16"/>
      <c r="J132" s="43"/>
      <c r="N132" s="8"/>
      <c r="O132" s="16"/>
      <c r="P132" s="8"/>
      <c r="AP132" s="43"/>
    </row>
    <row r="133">
      <c r="B133" s="46"/>
      <c r="E133" s="47"/>
      <c r="F133" s="47"/>
      <c r="G133" s="16"/>
      <c r="J133" s="43"/>
      <c r="N133" s="8"/>
      <c r="O133" s="16"/>
      <c r="P133" s="8"/>
      <c r="AP133" s="43"/>
    </row>
    <row r="134">
      <c r="B134" s="46"/>
      <c r="E134" s="47"/>
      <c r="F134" s="47"/>
      <c r="G134" s="16"/>
      <c r="J134" s="43"/>
      <c r="N134" s="8"/>
      <c r="O134" s="16"/>
      <c r="P134" s="8"/>
      <c r="AP134" s="43"/>
    </row>
    <row r="135">
      <c r="B135" s="46"/>
      <c r="E135" s="47"/>
      <c r="F135" s="47"/>
      <c r="G135" s="16"/>
      <c r="J135" s="43"/>
      <c r="N135" s="8"/>
      <c r="O135" s="16"/>
      <c r="P135" s="8"/>
      <c r="AP135" s="43"/>
    </row>
    <row r="136">
      <c r="B136" s="46"/>
      <c r="E136" s="47"/>
      <c r="F136" s="47"/>
      <c r="G136" s="16"/>
      <c r="J136" s="43"/>
      <c r="N136" s="8"/>
      <c r="O136" s="16"/>
      <c r="P136" s="8"/>
      <c r="AP136" s="43"/>
    </row>
    <row r="137">
      <c r="B137" s="46"/>
      <c r="E137" s="47"/>
      <c r="F137" s="47"/>
      <c r="G137" s="16"/>
      <c r="J137" s="43"/>
      <c r="N137" s="8"/>
      <c r="O137" s="16"/>
      <c r="P137" s="8"/>
      <c r="AP137" s="43"/>
    </row>
    <row r="138">
      <c r="B138" s="46"/>
      <c r="E138" s="47"/>
      <c r="F138" s="47"/>
      <c r="G138" s="16"/>
      <c r="J138" s="43"/>
      <c r="N138" s="8"/>
      <c r="O138" s="16"/>
      <c r="P138" s="8"/>
      <c r="AP138" s="43"/>
    </row>
    <row r="139">
      <c r="B139" s="46"/>
      <c r="E139" s="47"/>
      <c r="F139" s="47"/>
      <c r="G139" s="16"/>
      <c r="J139" s="43"/>
      <c r="N139" s="8"/>
      <c r="O139" s="16"/>
      <c r="P139" s="8"/>
      <c r="AP139" s="43"/>
    </row>
    <row r="140">
      <c r="B140" s="46"/>
      <c r="E140" s="47"/>
      <c r="F140" s="47"/>
      <c r="G140" s="16"/>
      <c r="J140" s="43"/>
      <c r="N140" s="8"/>
      <c r="O140" s="16"/>
      <c r="P140" s="8"/>
      <c r="AP140" s="43"/>
    </row>
    <row r="141">
      <c r="B141" s="46"/>
      <c r="E141" s="47"/>
      <c r="F141" s="47"/>
      <c r="G141" s="16"/>
      <c r="J141" s="43"/>
      <c r="N141" s="8"/>
      <c r="O141" s="16"/>
      <c r="P141" s="8"/>
      <c r="AP141" s="43"/>
    </row>
    <row r="142">
      <c r="B142" s="46"/>
      <c r="E142" s="47"/>
      <c r="F142" s="47"/>
      <c r="G142" s="16"/>
      <c r="J142" s="43"/>
      <c r="N142" s="8"/>
      <c r="O142" s="16"/>
      <c r="P142" s="8"/>
      <c r="AP142" s="43"/>
    </row>
    <row r="143">
      <c r="B143" s="46"/>
      <c r="E143" s="47"/>
      <c r="F143" s="47"/>
      <c r="G143" s="16"/>
      <c r="J143" s="43"/>
      <c r="N143" s="8"/>
      <c r="O143" s="16"/>
      <c r="P143" s="8"/>
      <c r="AP143" s="43"/>
    </row>
    <row r="144">
      <c r="B144" s="46"/>
      <c r="E144" s="47"/>
      <c r="F144" s="47"/>
      <c r="G144" s="16"/>
      <c r="J144" s="43"/>
      <c r="N144" s="8"/>
      <c r="O144" s="16"/>
      <c r="P144" s="8"/>
      <c r="AP144" s="43"/>
    </row>
    <row r="145">
      <c r="B145" s="46"/>
      <c r="E145" s="47"/>
      <c r="F145" s="47"/>
      <c r="G145" s="16"/>
      <c r="J145" s="43"/>
      <c r="N145" s="8"/>
      <c r="O145" s="16"/>
      <c r="P145" s="8"/>
      <c r="AP145" s="43"/>
    </row>
    <row r="146">
      <c r="B146" s="46"/>
      <c r="E146" s="47"/>
      <c r="F146" s="47"/>
      <c r="G146" s="16"/>
      <c r="J146" s="43"/>
      <c r="N146" s="8"/>
      <c r="O146" s="16"/>
      <c r="P146" s="8"/>
      <c r="AP146" s="43"/>
    </row>
    <row r="147">
      <c r="B147" s="46"/>
      <c r="E147" s="47"/>
      <c r="F147" s="47"/>
      <c r="G147" s="16"/>
      <c r="J147" s="43"/>
      <c r="N147" s="8"/>
      <c r="O147" s="16"/>
      <c r="P147" s="8"/>
      <c r="AP147" s="43"/>
    </row>
    <row r="148">
      <c r="B148" s="46"/>
      <c r="E148" s="47"/>
      <c r="F148" s="47"/>
      <c r="G148" s="16"/>
      <c r="J148" s="43"/>
      <c r="N148" s="8"/>
      <c r="O148" s="16"/>
      <c r="P148" s="8"/>
      <c r="AP148" s="43"/>
    </row>
    <row r="149">
      <c r="B149" s="46"/>
      <c r="E149" s="47"/>
      <c r="F149" s="47"/>
      <c r="G149" s="16"/>
      <c r="J149" s="43"/>
      <c r="N149" s="8"/>
      <c r="O149" s="16"/>
      <c r="P149" s="8"/>
      <c r="AP149" s="43"/>
    </row>
    <row r="150">
      <c r="B150" s="46"/>
      <c r="E150" s="47"/>
      <c r="F150" s="47"/>
      <c r="G150" s="16"/>
      <c r="J150" s="43"/>
      <c r="N150" s="8"/>
      <c r="O150" s="16"/>
      <c r="P150" s="8"/>
      <c r="AP150" s="43"/>
    </row>
    <row r="151">
      <c r="B151" s="46"/>
      <c r="E151" s="47"/>
      <c r="F151" s="47"/>
      <c r="G151" s="16"/>
      <c r="J151" s="43"/>
      <c r="N151" s="8"/>
      <c r="O151" s="16"/>
      <c r="P151" s="8"/>
      <c r="AP151" s="43"/>
    </row>
    <row r="152">
      <c r="B152" s="46"/>
      <c r="E152" s="47"/>
      <c r="F152" s="47"/>
      <c r="G152" s="16"/>
      <c r="J152" s="43"/>
      <c r="N152" s="8"/>
      <c r="O152" s="16"/>
      <c r="P152" s="8"/>
      <c r="AP152" s="43"/>
    </row>
    <row r="153">
      <c r="B153" s="46"/>
      <c r="E153" s="47"/>
      <c r="F153" s="47"/>
      <c r="G153" s="16"/>
      <c r="J153" s="43"/>
      <c r="N153" s="8"/>
      <c r="O153" s="16"/>
      <c r="P153" s="8"/>
      <c r="AP153" s="43"/>
    </row>
    <row r="154">
      <c r="B154" s="46"/>
      <c r="E154" s="47"/>
      <c r="F154" s="47"/>
      <c r="G154" s="16"/>
      <c r="J154" s="43"/>
      <c r="N154" s="8"/>
      <c r="O154" s="16"/>
      <c r="P154" s="8"/>
      <c r="AP154" s="43"/>
    </row>
    <row r="155">
      <c r="B155" s="46"/>
      <c r="E155" s="47"/>
      <c r="F155" s="47"/>
      <c r="G155" s="16"/>
      <c r="J155" s="43"/>
      <c r="N155" s="8"/>
      <c r="O155" s="16"/>
      <c r="P155" s="8"/>
      <c r="AP155" s="43"/>
    </row>
    <row r="156">
      <c r="B156" s="46"/>
      <c r="E156" s="47"/>
      <c r="F156" s="47"/>
      <c r="G156" s="16"/>
      <c r="J156" s="43"/>
      <c r="N156" s="8"/>
      <c r="O156" s="16"/>
      <c r="P156" s="8"/>
      <c r="AP156" s="43"/>
    </row>
    <row r="157">
      <c r="B157" s="46"/>
      <c r="E157" s="47"/>
      <c r="F157" s="47"/>
      <c r="G157" s="16"/>
      <c r="J157" s="43"/>
      <c r="N157" s="8"/>
      <c r="O157" s="16"/>
      <c r="P157" s="8"/>
      <c r="AP157" s="43"/>
    </row>
    <row r="158">
      <c r="B158" s="46"/>
      <c r="E158" s="47"/>
      <c r="F158" s="47"/>
      <c r="G158" s="16"/>
      <c r="J158" s="43"/>
      <c r="N158" s="8"/>
      <c r="O158" s="16"/>
      <c r="P158" s="8"/>
      <c r="AP158" s="43"/>
    </row>
    <row r="159">
      <c r="B159" s="46"/>
      <c r="E159" s="47"/>
      <c r="F159" s="47"/>
      <c r="G159" s="16"/>
      <c r="J159" s="43"/>
      <c r="N159" s="8"/>
      <c r="O159" s="16"/>
      <c r="P159" s="8"/>
      <c r="AP159" s="43"/>
    </row>
    <row r="160">
      <c r="B160" s="46"/>
      <c r="E160" s="47"/>
      <c r="F160" s="47"/>
      <c r="G160" s="16"/>
      <c r="J160" s="43"/>
      <c r="N160" s="8"/>
      <c r="O160" s="16"/>
      <c r="P160" s="8"/>
      <c r="AP160" s="43"/>
    </row>
    <row r="161">
      <c r="B161" s="46"/>
      <c r="E161" s="47"/>
      <c r="F161" s="47"/>
      <c r="G161" s="16"/>
      <c r="J161" s="43"/>
      <c r="N161" s="8"/>
      <c r="O161" s="16"/>
      <c r="P161" s="8"/>
      <c r="AP161" s="43"/>
    </row>
    <row r="162">
      <c r="B162" s="46"/>
      <c r="E162" s="47"/>
      <c r="F162" s="47"/>
      <c r="G162" s="16"/>
      <c r="J162" s="43"/>
      <c r="N162" s="8"/>
      <c r="O162" s="16"/>
      <c r="P162" s="8"/>
      <c r="AP162" s="43"/>
    </row>
    <row r="163">
      <c r="B163" s="46"/>
      <c r="E163" s="47"/>
      <c r="F163" s="47"/>
      <c r="G163" s="16"/>
      <c r="J163" s="43"/>
      <c r="N163" s="8"/>
      <c r="O163" s="16"/>
      <c r="P163" s="8"/>
      <c r="AP163" s="43"/>
    </row>
    <row r="164">
      <c r="B164" s="46"/>
      <c r="E164" s="47"/>
      <c r="F164" s="47"/>
      <c r="G164" s="16"/>
      <c r="J164" s="43"/>
      <c r="N164" s="8"/>
      <c r="O164" s="16"/>
      <c r="P164" s="8"/>
      <c r="AP164" s="43"/>
    </row>
    <row r="165">
      <c r="B165" s="46"/>
      <c r="E165" s="47"/>
      <c r="F165" s="47"/>
      <c r="G165" s="16"/>
      <c r="J165" s="43"/>
      <c r="N165" s="8"/>
      <c r="O165" s="16"/>
      <c r="P165" s="8"/>
      <c r="AP165" s="43"/>
    </row>
    <row r="166">
      <c r="B166" s="46"/>
      <c r="E166" s="47"/>
      <c r="F166" s="47"/>
      <c r="G166" s="16"/>
      <c r="J166" s="43"/>
      <c r="N166" s="8"/>
      <c r="O166" s="16"/>
      <c r="P166" s="8"/>
      <c r="AP166" s="43"/>
    </row>
    <row r="167">
      <c r="B167" s="46"/>
      <c r="E167" s="47"/>
      <c r="F167" s="47"/>
      <c r="G167" s="16"/>
      <c r="J167" s="43"/>
      <c r="N167" s="8"/>
      <c r="O167" s="16"/>
      <c r="P167" s="8"/>
      <c r="AP167" s="43"/>
    </row>
    <row r="168">
      <c r="B168" s="46"/>
      <c r="E168" s="47"/>
      <c r="F168" s="47"/>
      <c r="G168" s="16"/>
      <c r="J168" s="43"/>
      <c r="N168" s="8"/>
      <c r="O168" s="16"/>
      <c r="P168" s="8"/>
      <c r="AP168" s="43"/>
    </row>
    <row r="169">
      <c r="B169" s="46"/>
      <c r="E169" s="47"/>
      <c r="F169" s="47"/>
      <c r="G169" s="16"/>
      <c r="J169" s="43"/>
      <c r="N169" s="8"/>
      <c r="O169" s="16"/>
      <c r="P169" s="8"/>
      <c r="AP169" s="43"/>
    </row>
    <row r="170">
      <c r="B170" s="46"/>
      <c r="E170" s="47"/>
      <c r="F170" s="47"/>
      <c r="G170" s="16"/>
      <c r="J170" s="43"/>
      <c r="N170" s="8"/>
      <c r="O170" s="16"/>
      <c r="P170" s="8"/>
      <c r="AP170" s="43"/>
    </row>
    <row r="171">
      <c r="B171" s="46"/>
      <c r="E171" s="47"/>
      <c r="F171" s="47"/>
      <c r="G171" s="16"/>
      <c r="J171" s="43"/>
      <c r="N171" s="8"/>
      <c r="O171" s="16"/>
      <c r="P171" s="8"/>
      <c r="AP171" s="43"/>
    </row>
    <row r="172">
      <c r="B172" s="46"/>
      <c r="E172" s="47"/>
      <c r="F172" s="47"/>
      <c r="G172" s="16"/>
      <c r="J172" s="43"/>
      <c r="N172" s="8"/>
      <c r="O172" s="16"/>
      <c r="P172" s="8"/>
      <c r="AP172" s="43"/>
    </row>
    <row r="173">
      <c r="B173" s="46"/>
      <c r="E173" s="47"/>
      <c r="F173" s="47"/>
      <c r="G173" s="16"/>
      <c r="J173" s="43"/>
      <c r="N173" s="8"/>
      <c r="O173" s="16"/>
      <c r="P173" s="8"/>
      <c r="AP173" s="43"/>
    </row>
    <row r="174">
      <c r="B174" s="46"/>
      <c r="E174" s="47"/>
      <c r="F174" s="47"/>
      <c r="G174" s="16"/>
      <c r="J174" s="43"/>
      <c r="N174" s="8"/>
      <c r="O174" s="16"/>
      <c r="P174" s="8"/>
      <c r="AP174" s="43"/>
    </row>
    <row r="175">
      <c r="B175" s="46"/>
      <c r="E175" s="47"/>
      <c r="F175" s="47"/>
      <c r="G175" s="16"/>
      <c r="J175" s="43"/>
      <c r="N175" s="8"/>
      <c r="O175" s="16"/>
      <c r="P175" s="8"/>
      <c r="AP175" s="43"/>
    </row>
    <row r="176">
      <c r="B176" s="46"/>
      <c r="E176" s="47"/>
      <c r="F176" s="47"/>
      <c r="G176" s="16"/>
      <c r="J176" s="43"/>
      <c r="N176" s="8"/>
      <c r="O176" s="16"/>
      <c r="P176" s="8"/>
      <c r="AP176" s="43"/>
    </row>
    <row r="177">
      <c r="B177" s="46"/>
      <c r="E177" s="47"/>
      <c r="F177" s="47"/>
      <c r="G177" s="16"/>
      <c r="J177" s="43"/>
      <c r="N177" s="8"/>
      <c r="O177" s="16"/>
      <c r="P177" s="8"/>
      <c r="AP177" s="43"/>
    </row>
    <row r="178">
      <c r="B178" s="46"/>
      <c r="E178" s="47"/>
      <c r="F178" s="47"/>
      <c r="G178" s="16"/>
      <c r="J178" s="43"/>
      <c r="N178" s="8"/>
      <c r="O178" s="16"/>
      <c r="P178" s="8"/>
      <c r="AP178" s="43"/>
    </row>
    <row r="179">
      <c r="B179" s="46"/>
      <c r="E179" s="47"/>
      <c r="F179" s="47"/>
      <c r="G179" s="16"/>
      <c r="J179" s="43"/>
      <c r="N179" s="8"/>
      <c r="O179" s="16"/>
      <c r="P179" s="8"/>
      <c r="AP179" s="43"/>
    </row>
    <row r="180">
      <c r="B180" s="46"/>
      <c r="E180" s="47"/>
      <c r="F180" s="47"/>
      <c r="G180" s="16"/>
      <c r="J180" s="43"/>
      <c r="N180" s="8"/>
      <c r="O180" s="16"/>
      <c r="P180" s="8"/>
      <c r="AP180" s="43"/>
    </row>
    <row r="181">
      <c r="B181" s="46"/>
      <c r="E181" s="47"/>
      <c r="F181" s="47"/>
      <c r="G181" s="16"/>
      <c r="J181" s="43"/>
      <c r="N181" s="8"/>
      <c r="O181" s="16"/>
      <c r="P181" s="8"/>
      <c r="AP181" s="43"/>
    </row>
    <row r="182">
      <c r="B182" s="46"/>
      <c r="E182" s="47"/>
      <c r="F182" s="47"/>
      <c r="G182" s="16"/>
      <c r="J182" s="43"/>
      <c r="N182" s="8"/>
      <c r="O182" s="16"/>
      <c r="P182" s="8"/>
      <c r="AP182" s="43"/>
    </row>
    <row r="183">
      <c r="B183" s="46"/>
      <c r="E183" s="47"/>
      <c r="F183" s="47"/>
      <c r="G183" s="16"/>
      <c r="J183" s="43"/>
      <c r="N183" s="8"/>
      <c r="O183" s="16"/>
      <c r="P183" s="8"/>
      <c r="AP183" s="43"/>
    </row>
    <row r="184">
      <c r="B184" s="46"/>
      <c r="E184" s="47"/>
      <c r="F184" s="47"/>
      <c r="G184" s="16"/>
      <c r="J184" s="43"/>
      <c r="N184" s="8"/>
      <c r="O184" s="16"/>
      <c r="P184" s="8"/>
      <c r="AP184" s="43"/>
    </row>
    <row r="185">
      <c r="B185" s="46"/>
      <c r="E185" s="47"/>
      <c r="F185" s="47"/>
      <c r="G185" s="16"/>
      <c r="J185" s="43"/>
      <c r="N185" s="8"/>
      <c r="O185" s="16"/>
      <c r="P185" s="8"/>
      <c r="AP185" s="43"/>
    </row>
    <row r="186">
      <c r="B186" s="46"/>
      <c r="E186" s="47"/>
      <c r="F186" s="47"/>
      <c r="G186" s="16"/>
      <c r="J186" s="43"/>
      <c r="N186" s="8"/>
      <c r="O186" s="16"/>
      <c r="P186" s="8"/>
      <c r="AP186" s="43"/>
    </row>
    <row r="187">
      <c r="B187" s="46"/>
      <c r="E187" s="47"/>
      <c r="F187" s="47"/>
      <c r="G187" s="16"/>
      <c r="J187" s="43"/>
      <c r="N187" s="8"/>
      <c r="O187" s="16"/>
      <c r="P187" s="8"/>
      <c r="AP187" s="43"/>
    </row>
    <row r="188">
      <c r="B188" s="46"/>
      <c r="E188" s="47"/>
      <c r="F188" s="47"/>
      <c r="G188" s="16"/>
      <c r="J188" s="43"/>
      <c r="N188" s="8"/>
      <c r="O188" s="16"/>
      <c r="P188" s="8"/>
      <c r="AP188" s="43"/>
    </row>
    <row r="189">
      <c r="B189" s="46"/>
      <c r="E189" s="47"/>
      <c r="F189" s="47"/>
      <c r="G189" s="16"/>
      <c r="J189" s="43"/>
      <c r="N189" s="8"/>
      <c r="O189" s="16"/>
      <c r="P189" s="8"/>
      <c r="AP189" s="43"/>
    </row>
    <row r="190">
      <c r="B190" s="46"/>
      <c r="E190" s="47"/>
      <c r="F190" s="47"/>
      <c r="G190" s="16"/>
      <c r="J190" s="43"/>
      <c r="N190" s="8"/>
      <c r="O190" s="16"/>
      <c r="P190" s="8"/>
      <c r="AP190" s="43"/>
    </row>
    <row r="191">
      <c r="B191" s="46"/>
      <c r="E191" s="47"/>
      <c r="F191" s="47"/>
      <c r="G191" s="16"/>
      <c r="J191" s="43"/>
      <c r="N191" s="8"/>
      <c r="O191" s="16"/>
      <c r="P191" s="8"/>
      <c r="AP191" s="43"/>
    </row>
    <row r="192">
      <c r="B192" s="46"/>
      <c r="E192" s="47"/>
      <c r="F192" s="47"/>
      <c r="G192" s="16"/>
      <c r="J192" s="43"/>
      <c r="N192" s="8"/>
      <c r="O192" s="16"/>
      <c r="P192" s="8"/>
      <c r="AP192" s="43"/>
    </row>
    <row r="193">
      <c r="B193" s="46"/>
      <c r="E193" s="47"/>
      <c r="F193" s="47"/>
      <c r="G193" s="16"/>
      <c r="J193" s="43"/>
      <c r="N193" s="8"/>
      <c r="O193" s="16"/>
      <c r="P193" s="8"/>
      <c r="AP193" s="43"/>
    </row>
    <row r="194">
      <c r="B194" s="46"/>
      <c r="E194" s="47"/>
      <c r="F194" s="47"/>
      <c r="G194" s="16"/>
      <c r="J194" s="43"/>
      <c r="N194" s="8"/>
      <c r="O194" s="16"/>
      <c r="P194" s="8"/>
      <c r="AP194" s="43"/>
    </row>
    <row r="195">
      <c r="B195" s="46"/>
      <c r="E195" s="47"/>
      <c r="F195" s="47"/>
      <c r="G195" s="16"/>
      <c r="J195" s="43"/>
      <c r="N195" s="8"/>
      <c r="O195" s="16"/>
      <c r="P195" s="8"/>
      <c r="AP195" s="43"/>
    </row>
    <row r="196">
      <c r="B196" s="46"/>
      <c r="E196" s="47"/>
      <c r="F196" s="47"/>
      <c r="G196" s="16"/>
      <c r="J196" s="43"/>
      <c r="N196" s="8"/>
      <c r="O196" s="16"/>
      <c r="P196" s="8"/>
      <c r="AP196" s="43"/>
    </row>
    <row r="197">
      <c r="B197" s="46"/>
      <c r="E197" s="47"/>
      <c r="F197" s="47"/>
      <c r="G197" s="16"/>
      <c r="J197" s="43"/>
      <c r="N197" s="8"/>
      <c r="O197" s="16"/>
      <c r="P197" s="8"/>
      <c r="AP197" s="43"/>
    </row>
    <row r="198">
      <c r="B198" s="46"/>
      <c r="E198" s="47"/>
      <c r="F198" s="47"/>
      <c r="G198" s="16"/>
      <c r="J198" s="43"/>
      <c r="N198" s="8"/>
      <c r="O198" s="16"/>
      <c r="P198" s="8"/>
      <c r="AP198" s="43"/>
    </row>
    <row r="199">
      <c r="B199" s="46"/>
      <c r="E199" s="47"/>
      <c r="F199" s="47"/>
      <c r="G199" s="16"/>
      <c r="J199" s="43"/>
      <c r="N199" s="8"/>
      <c r="O199" s="16"/>
      <c r="P199" s="8"/>
      <c r="AP199" s="43"/>
    </row>
    <row r="200">
      <c r="B200" s="46"/>
      <c r="E200" s="47"/>
      <c r="F200" s="47"/>
      <c r="G200" s="16"/>
      <c r="J200" s="43"/>
      <c r="N200" s="8"/>
      <c r="O200" s="16"/>
      <c r="P200" s="8"/>
      <c r="AP200" s="43"/>
    </row>
    <row r="201">
      <c r="B201" s="46"/>
      <c r="E201" s="47"/>
      <c r="F201" s="47"/>
      <c r="G201" s="16"/>
      <c r="J201" s="43"/>
      <c r="N201" s="8"/>
      <c r="O201" s="16"/>
      <c r="P201" s="8"/>
      <c r="AP201" s="43"/>
    </row>
    <row r="202">
      <c r="B202" s="46"/>
      <c r="E202" s="47"/>
      <c r="F202" s="47"/>
      <c r="G202" s="16"/>
      <c r="J202" s="43"/>
      <c r="N202" s="8"/>
      <c r="O202" s="16"/>
      <c r="P202" s="8"/>
      <c r="AP202" s="43"/>
    </row>
    <row r="203">
      <c r="B203" s="46"/>
      <c r="E203" s="47"/>
      <c r="F203" s="47"/>
      <c r="G203" s="16"/>
      <c r="J203" s="43"/>
      <c r="N203" s="8"/>
      <c r="O203" s="16"/>
      <c r="P203" s="8"/>
      <c r="AP203" s="43"/>
    </row>
    <row r="204">
      <c r="B204" s="46"/>
      <c r="E204" s="47"/>
      <c r="F204" s="47"/>
      <c r="G204" s="16"/>
      <c r="J204" s="43"/>
      <c r="N204" s="8"/>
      <c r="O204" s="16"/>
      <c r="P204" s="8"/>
      <c r="AP204" s="43"/>
    </row>
    <row r="205">
      <c r="B205" s="46"/>
      <c r="E205" s="47"/>
      <c r="F205" s="47"/>
      <c r="G205" s="16"/>
      <c r="J205" s="43"/>
      <c r="N205" s="8"/>
      <c r="O205" s="16"/>
      <c r="P205" s="8"/>
      <c r="AP205" s="43"/>
    </row>
    <row r="206">
      <c r="B206" s="46"/>
      <c r="E206" s="47"/>
      <c r="F206" s="47"/>
      <c r="G206" s="16"/>
      <c r="J206" s="43"/>
      <c r="N206" s="8"/>
      <c r="O206" s="16"/>
      <c r="P206" s="8"/>
      <c r="AP206" s="43"/>
    </row>
    <row r="207">
      <c r="B207" s="46"/>
      <c r="E207" s="47"/>
      <c r="F207" s="47"/>
      <c r="G207" s="16"/>
      <c r="J207" s="43"/>
      <c r="N207" s="8"/>
      <c r="O207" s="16"/>
      <c r="P207" s="8"/>
      <c r="AP207" s="43"/>
    </row>
    <row r="208">
      <c r="B208" s="46"/>
      <c r="E208" s="47"/>
      <c r="F208" s="47"/>
      <c r="G208" s="16"/>
      <c r="J208" s="43"/>
      <c r="N208" s="8"/>
      <c r="O208" s="16"/>
      <c r="P208" s="8"/>
      <c r="AP208" s="43"/>
    </row>
    <row r="209">
      <c r="B209" s="46"/>
      <c r="E209" s="47"/>
      <c r="F209" s="47"/>
      <c r="G209" s="16"/>
      <c r="J209" s="43"/>
      <c r="N209" s="8"/>
      <c r="O209" s="16"/>
      <c r="P209" s="8"/>
      <c r="AP209" s="43"/>
    </row>
    <row r="210">
      <c r="B210" s="46"/>
      <c r="E210" s="47"/>
      <c r="F210" s="47"/>
      <c r="G210" s="16"/>
      <c r="J210" s="43"/>
      <c r="N210" s="8"/>
      <c r="O210" s="16"/>
      <c r="P210" s="8"/>
      <c r="AP210" s="43"/>
    </row>
    <row r="211">
      <c r="B211" s="46"/>
      <c r="E211" s="47"/>
      <c r="F211" s="47"/>
      <c r="G211" s="16"/>
      <c r="J211" s="43"/>
      <c r="N211" s="8"/>
      <c r="O211" s="16"/>
      <c r="P211" s="8"/>
      <c r="AP211" s="43"/>
    </row>
    <row r="212">
      <c r="B212" s="46"/>
      <c r="E212" s="47"/>
      <c r="F212" s="47"/>
      <c r="G212" s="16"/>
      <c r="J212" s="43"/>
      <c r="N212" s="8"/>
      <c r="O212" s="16"/>
      <c r="P212" s="8"/>
      <c r="AP212" s="43"/>
    </row>
    <row r="213">
      <c r="B213" s="46"/>
      <c r="E213" s="47"/>
      <c r="F213" s="47"/>
      <c r="G213" s="16"/>
      <c r="J213" s="43"/>
      <c r="N213" s="8"/>
      <c r="O213" s="16"/>
      <c r="P213" s="8"/>
      <c r="AP213" s="43"/>
    </row>
    <row r="214">
      <c r="B214" s="46"/>
      <c r="E214" s="47"/>
      <c r="F214" s="47"/>
      <c r="G214" s="16"/>
      <c r="J214" s="43"/>
      <c r="N214" s="8"/>
      <c r="O214" s="16"/>
      <c r="P214" s="8"/>
      <c r="AP214" s="43"/>
    </row>
    <row r="215">
      <c r="B215" s="46"/>
      <c r="E215" s="47"/>
      <c r="F215" s="47"/>
      <c r="G215" s="16"/>
      <c r="J215" s="43"/>
      <c r="N215" s="8"/>
      <c r="O215" s="16"/>
      <c r="P215" s="8"/>
      <c r="AP215" s="43"/>
    </row>
    <row r="216">
      <c r="B216" s="46"/>
      <c r="E216" s="47"/>
      <c r="F216" s="47"/>
      <c r="G216" s="16"/>
      <c r="J216" s="43"/>
      <c r="N216" s="8"/>
      <c r="O216" s="16"/>
      <c r="P216" s="8"/>
      <c r="AP216" s="43"/>
    </row>
    <row r="217">
      <c r="B217" s="46"/>
      <c r="E217" s="47"/>
      <c r="F217" s="47"/>
      <c r="G217" s="16"/>
      <c r="J217" s="43"/>
      <c r="N217" s="8"/>
      <c r="O217" s="16"/>
      <c r="P217" s="8"/>
      <c r="AP217" s="43"/>
    </row>
    <row r="218">
      <c r="B218" s="46"/>
      <c r="E218" s="47"/>
      <c r="F218" s="47"/>
      <c r="G218" s="16"/>
      <c r="J218" s="43"/>
      <c r="N218" s="8"/>
      <c r="O218" s="16"/>
      <c r="P218" s="8"/>
      <c r="AP218" s="43"/>
    </row>
    <row r="219">
      <c r="B219" s="46"/>
      <c r="E219" s="47"/>
      <c r="F219" s="47"/>
      <c r="G219" s="16"/>
      <c r="J219" s="43"/>
      <c r="N219" s="8"/>
      <c r="O219" s="16"/>
      <c r="P219" s="8"/>
      <c r="AP219" s="43"/>
    </row>
    <row r="220">
      <c r="B220" s="46"/>
      <c r="E220" s="47"/>
      <c r="F220" s="47"/>
      <c r="G220" s="16"/>
      <c r="J220" s="43"/>
      <c r="N220" s="8"/>
      <c r="O220" s="16"/>
      <c r="P220" s="8"/>
      <c r="AP220" s="43"/>
    </row>
    <row r="221">
      <c r="B221" s="46"/>
      <c r="E221" s="47"/>
      <c r="F221" s="47"/>
      <c r="G221" s="16"/>
      <c r="J221" s="43"/>
      <c r="N221" s="8"/>
      <c r="O221" s="16"/>
      <c r="P221" s="8"/>
      <c r="AP221" s="43"/>
    </row>
    <row r="222">
      <c r="B222" s="46"/>
      <c r="E222" s="47"/>
      <c r="F222" s="47"/>
      <c r="G222" s="16"/>
      <c r="J222" s="43"/>
      <c r="N222" s="8"/>
      <c r="O222" s="16"/>
      <c r="P222" s="8"/>
      <c r="AP222" s="43"/>
    </row>
    <row r="223">
      <c r="B223" s="46"/>
      <c r="E223" s="47"/>
      <c r="F223" s="47"/>
      <c r="G223" s="16"/>
      <c r="J223" s="43"/>
      <c r="N223" s="8"/>
      <c r="O223" s="16"/>
      <c r="P223" s="8"/>
      <c r="AP223" s="43"/>
    </row>
    <row r="224">
      <c r="B224" s="46"/>
      <c r="E224" s="47"/>
      <c r="F224" s="47"/>
      <c r="G224" s="16"/>
      <c r="J224" s="43"/>
      <c r="N224" s="8"/>
      <c r="O224" s="16"/>
      <c r="P224" s="8"/>
      <c r="AP224" s="43"/>
    </row>
    <row r="225">
      <c r="B225" s="46"/>
      <c r="E225" s="47"/>
      <c r="F225" s="47"/>
      <c r="G225" s="16"/>
      <c r="J225" s="43"/>
      <c r="N225" s="8"/>
      <c r="O225" s="16"/>
      <c r="P225" s="8"/>
      <c r="AP225" s="43"/>
    </row>
    <row r="226">
      <c r="B226" s="46"/>
      <c r="E226" s="47"/>
      <c r="F226" s="47"/>
      <c r="G226" s="16"/>
      <c r="J226" s="43"/>
      <c r="N226" s="8"/>
      <c r="O226" s="16"/>
      <c r="P226" s="8"/>
      <c r="AP226" s="43"/>
    </row>
    <row r="227">
      <c r="B227" s="46"/>
      <c r="E227" s="47"/>
      <c r="F227" s="47"/>
      <c r="G227" s="16"/>
      <c r="J227" s="43"/>
      <c r="N227" s="8"/>
      <c r="O227" s="16"/>
      <c r="P227" s="8"/>
      <c r="AP227" s="43"/>
    </row>
    <row r="228">
      <c r="B228" s="46"/>
      <c r="E228" s="47"/>
      <c r="F228" s="47"/>
      <c r="G228" s="16"/>
      <c r="J228" s="43"/>
      <c r="N228" s="8"/>
      <c r="O228" s="16"/>
      <c r="P228" s="8"/>
      <c r="AP228" s="43"/>
    </row>
    <row r="229">
      <c r="B229" s="46"/>
      <c r="E229" s="47"/>
      <c r="F229" s="47"/>
      <c r="G229" s="16"/>
      <c r="J229" s="43"/>
      <c r="N229" s="8"/>
      <c r="O229" s="16"/>
      <c r="P229" s="8"/>
      <c r="AP229" s="43"/>
    </row>
    <row r="230">
      <c r="B230" s="46"/>
      <c r="E230" s="47"/>
      <c r="F230" s="47"/>
      <c r="G230" s="16"/>
      <c r="J230" s="43"/>
      <c r="N230" s="8"/>
      <c r="O230" s="16"/>
      <c r="P230" s="8"/>
      <c r="AP230" s="43"/>
    </row>
    <row r="231">
      <c r="B231" s="46"/>
      <c r="E231" s="47"/>
      <c r="F231" s="47"/>
      <c r="G231" s="16"/>
      <c r="J231" s="43"/>
      <c r="N231" s="8"/>
      <c r="O231" s="16"/>
      <c r="P231" s="8"/>
      <c r="AP231" s="43"/>
    </row>
    <row r="232">
      <c r="B232" s="46"/>
      <c r="E232" s="47"/>
      <c r="F232" s="47"/>
      <c r="G232" s="16"/>
      <c r="J232" s="43"/>
      <c r="N232" s="8"/>
      <c r="O232" s="16"/>
      <c r="P232" s="8"/>
      <c r="AP232" s="43"/>
    </row>
    <row r="233">
      <c r="B233" s="46"/>
      <c r="E233" s="47"/>
      <c r="F233" s="47"/>
      <c r="G233" s="16"/>
      <c r="J233" s="43"/>
      <c r="N233" s="8"/>
      <c r="O233" s="16"/>
      <c r="P233" s="8"/>
      <c r="AP233" s="43"/>
    </row>
    <row r="234">
      <c r="B234" s="46"/>
      <c r="E234" s="47"/>
      <c r="F234" s="47"/>
      <c r="G234" s="16"/>
      <c r="J234" s="43"/>
      <c r="N234" s="8"/>
      <c r="O234" s="16"/>
      <c r="P234" s="8"/>
      <c r="AP234" s="43"/>
    </row>
    <row r="235">
      <c r="B235" s="46"/>
      <c r="E235" s="47"/>
      <c r="F235" s="47"/>
      <c r="G235" s="16"/>
      <c r="J235" s="43"/>
      <c r="N235" s="8"/>
      <c r="O235" s="16"/>
      <c r="P235" s="8"/>
      <c r="AP235" s="43"/>
    </row>
    <row r="236">
      <c r="B236" s="46"/>
      <c r="E236" s="47"/>
      <c r="F236" s="47"/>
      <c r="G236" s="16"/>
      <c r="J236" s="43"/>
      <c r="N236" s="8"/>
      <c r="O236" s="16"/>
      <c r="P236" s="8"/>
      <c r="AP236" s="43"/>
    </row>
    <row r="237">
      <c r="B237" s="46"/>
      <c r="E237" s="47"/>
      <c r="F237" s="47"/>
      <c r="G237" s="16"/>
      <c r="J237" s="43"/>
      <c r="N237" s="8"/>
      <c r="O237" s="16"/>
      <c r="P237" s="8"/>
      <c r="AP237" s="43"/>
    </row>
    <row r="238">
      <c r="B238" s="46"/>
      <c r="E238" s="47"/>
      <c r="F238" s="47"/>
      <c r="G238" s="16"/>
      <c r="J238" s="43"/>
      <c r="N238" s="8"/>
      <c r="O238" s="16"/>
      <c r="P238" s="8"/>
      <c r="AP238" s="43"/>
    </row>
    <row r="239">
      <c r="B239" s="46"/>
      <c r="E239" s="47"/>
      <c r="F239" s="47"/>
      <c r="G239" s="16"/>
      <c r="J239" s="43"/>
      <c r="N239" s="8"/>
      <c r="O239" s="16"/>
      <c r="P239" s="8"/>
      <c r="AP239" s="43"/>
    </row>
    <row r="240">
      <c r="B240" s="46"/>
      <c r="E240" s="47"/>
      <c r="F240" s="47"/>
      <c r="G240" s="16"/>
      <c r="J240" s="43"/>
      <c r="N240" s="8"/>
      <c r="O240" s="16"/>
      <c r="P240" s="8"/>
      <c r="AP240" s="43"/>
    </row>
    <row r="241">
      <c r="B241" s="46"/>
      <c r="E241" s="47"/>
      <c r="F241" s="47"/>
      <c r="G241" s="16"/>
      <c r="J241" s="43"/>
      <c r="N241" s="8"/>
      <c r="O241" s="16"/>
      <c r="P241" s="8"/>
      <c r="AP241" s="43"/>
    </row>
    <row r="242">
      <c r="B242" s="46"/>
      <c r="E242" s="47"/>
      <c r="F242" s="47"/>
      <c r="G242" s="16"/>
      <c r="J242" s="43"/>
      <c r="N242" s="8"/>
      <c r="O242" s="16"/>
      <c r="P242" s="8"/>
      <c r="AP242" s="43"/>
    </row>
    <row r="243">
      <c r="B243" s="46"/>
      <c r="E243" s="47"/>
      <c r="F243" s="47"/>
      <c r="G243" s="16"/>
      <c r="J243" s="43"/>
      <c r="N243" s="8"/>
      <c r="O243" s="16"/>
      <c r="P243" s="8"/>
      <c r="AP243" s="43"/>
    </row>
    <row r="244">
      <c r="B244" s="46"/>
      <c r="E244" s="47"/>
      <c r="F244" s="47"/>
      <c r="G244" s="16"/>
      <c r="J244" s="43"/>
      <c r="N244" s="8"/>
      <c r="O244" s="16"/>
      <c r="P244" s="8"/>
      <c r="AP244" s="43"/>
    </row>
    <row r="245">
      <c r="B245" s="46"/>
      <c r="E245" s="47"/>
      <c r="F245" s="47"/>
      <c r="G245" s="16"/>
      <c r="J245" s="43"/>
      <c r="N245" s="8"/>
      <c r="O245" s="16"/>
      <c r="P245" s="8"/>
      <c r="AP245" s="43"/>
    </row>
    <row r="246">
      <c r="B246" s="46"/>
      <c r="E246" s="47"/>
      <c r="F246" s="47"/>
      <c r="G246" s="16"/>
      <c r="J246" s="43"/>
      <c r="N246" s="8"/>
      <c r="O246" s="16"/>
      <c r="P246" s="8"/>
      <c r="AP246" s="43"/>
    </row>
    <row r="247">
      <c r="B247" s="46"/>
      <c r="E247" s="47"/>
      <c r="F247" s="47"/>
      <c r="G247" s="16"/>
      <c r="J247" s="43"/>
      <c r="N247" s="8"/>
      <c r="O247" s="16"/>
      <c r="P247" s="8"/>
      <c r="AP247" s="43"/>
    </row>
    <row r="248">
      <c r="B248" s="46"/>
      <c r="E248" s="47"/>
      <c r="F248" s="47"/>
      <c r="G248" s="16"/>
      <c r="J248" s="43"/>
      <c r="N248" s="8"/>
      <c r="O248" s="16"/>
      <c r="P248" s="8"/>
      <c r="AP248" s="43"/>
    </row>
    <row r="249">
      <c r="B249" s="46"/>
      <c r="E249" s="47"/>
      <c r="F249" s="47"/>
      <c r="G249" s="16"/>
      <c r="J249" s="43"/>
      <c r="N249" s="8"/>
      <c r="O249" s="16"/>
      <c r="P249" s="8"/>
      <c r="AP249" s="43"/>
    </row>
    <row r="250">
      <c r="B250" s="46"/>
      <c r="E250" s="47"/>
      <c r="F250" s="47"/>
      <c r="G250" s="16"/>
      <c r="J250" s="43"/>
      <c r="N250" s="8"/>
      <c r="O250" s="16"/>
      <c r="P250" s="8"/>
      <c r="AP250" s="43"/>
    </row>
    <row r="251">
      <c r="B251" s="46"/>
      <c r="E251" s="47"/>
      <c r="F251" s="47"/>
      <c r="G251" s="16"/>
      <c r="J251" s="43"/>
      <c r="N251" s="8"/>
      <c r="O251" s="16"/>
      <c r="P251" s="8"/>
      <c r="AP251" s="43"/>
    </row>
    <row r="252">
      <c r="B252" s="46"/>
      <c r="E252" s="47"/>
      <c r="F252" s="47"/>
      <c r="G252" s="16"/>
      <c r="J252" s="43"/>
      <c r="N252" s="8"/>
      <c r="O252" s="16"/>
      <c r="P252" s="8"/>
      <c r="AP252" s="43"/>
    </row>
    <row r="253">
      <c r="B253" s="46"/>
      <c r="E253" s="47"/>
      <c r="F253" s="47"/>
      <c r="G253" s="16"/>
      <c r="J253" s="43"/>
      <c r="N253" s="8"/>
      <c r="O253" s="16"/>
      <c r="P253" s="8"/>
      <c r="AP253" s="43"/>
    </row>
    <row r="254">
      <c r="B254" s="46"/>
      <c r="E254" s="47"/>
      <c r="F254" s="47"/>
      <c r="G254" s="16"/>
      <c r="J254" s="43"/>
      <c r="N254" s="8"/>
      <c r="O254" s="16"/>
      <c r="P254" s="8"/>
      <c r="AP254" s="43"/>
    </row>
    <row r="255">
      <c r="B255" s="46"/>
      <c r="E255" s="47"/>
      <c r="F255" s="47"/>
      <c r="G255" s="16"/>
      <c r="J255" s="43"/>
      <c r="N255" s="8"/>
      <c r="O255" s="16"/>
      <c r="P255" s="8"/>
      <c r="AP255" s="43"/>
    </row>
    <row r="256">
      <c r="B256" s="46"/>
      <c r="E256" s="47"/>
      <c r="F256" s="47"/>
      <c r="G256" s="16"/>
      <c r="J256" s="43"/>
      <c r="N256" s="8"/>
      <c r="O256" s="16"/>
      <c r="P256" s="8"/>
      <c r="AP256" s="43"/>
    </row>
    <row r="257">
      <c r="B257" s="46"/>
      <c r="E257" s="47"/>
      <c r="F257" s="47"/>
      <c r="G257" s="16"/>
      <c r="J257" s="43"/>
      <c r="N257" s="8"/>
      <c r="O257" s="16"/>
      <c r="P257" s="8"/>
      <c r="AP257" s="43"/>
    </row>
    <row r="258">
      <c r="B258" s="46"/>
      <c r="E258" s="47"/>
      <c r="F258" s="47"/>
      <c r="G258" s="16"/>
      <c r="J258" s="43"/>
      <c r="N258" s="8"/>
      <c r="O258" s="16"/>
      <c r="P258" s="8"/>
      <c r="AP258" s="43"/>
    </row>
    <row r="259">
      <c r="B259" s="46"/>
      <c r="E259" s="47"/>
      <c r="F259" s="47"/>
      <c r="G259" s="16"/>
      <c r="J259" s="43"/>
      <c r="N259" s="8"/>
      <c r="O259" s="16"/>
      <c r="P259" s="8"/>
      <c r="AP259" s="43"/>
    </row>
    <row r="260">
      <c r="B260" s="46"/>
      <c r="E260" s="47"/>
      <c r="F260" s="47"/>
      <c r="G260" s="16"/>
      <c r="J260" s="43"/>
      <c r="N260" s="8"/>
      <c r="O260" s="16"/>
      <c r="P260" s="8"/>
      <c r="AP260" s="43"/>
    </row>
    <row r="261">
      <c r="B261" s="46"/>
      <c r="E261" s="47"/>
      <c r="F261" s="47"/>
      <c r="G261" s="16"/>
      <c r="J261" s="43"/>
      <c r="N261" s="8"/>
      <c r="O261" s="16"/>
      <c r="P261" s="8"/>
      <c r="AP261" s="43"/>
    </row>
    <row r="262">
      <c r="B262" s="46"/>
      <c r="E262" s="47"/>
      <c r="F262" s="47"/>
      <c r="G262" s="16"/>
      <c r="J262" s="43"/>
      <c r="N262" s="8"/>
      <c r="O262" s="16"/>
      <c r="P262" s="8"/>
      <c r="AP262" s="43"/>
    </row>
    <row r="263">
      <c r="B263" s="46"/>
      <c r="E263" s="47"/>
      <c r="F263" s="47"/>
      <c r="G263" s="16"/>
      <c r="J263" s="43"/>
      <c r="N263" s="8"/>
      <c r="O263" s="16"/>
      <c r="P263" s="8"/>
      <c r="AP263" s="43"/>
    </row>
    <row r="264">
      <c r="B264" s="46"/>
      <c r="E264" s="47"/>
      <c r="F264" s="47"/>
      <c r="G264" s="16"/>
      <c r="J264" s="43"/>
      <c r="N264" s="8"/>
      <c r="O264" s="16"/>
      <c r="P264" s="8"/>
      <c r="AP264" s="43"/>
    </row>
    <row r="265">
      <c r="B265" s="46"/>
      <c r="E265" s="47"/>
      <c r="F265" s="47"/>
      <c r="G265" s="16"/>
      <c r="J265" s="43"/>
      <c r="N265" s="8"/>
      <c r="O265" s="16"/>
      <c r="P265" s="8"/>
      <c r="AP265" s="43"/>
    </row>
    <row r="266">
      <c r="B266" s="46"/>
      <c r="E266" s="47"/>
      <c r="F266" s="47"/>
      <c r="G266" s="16"/>
      <c r="J266" s="43"/>
      <c r="N266" s="8"/>
      <c r="O266" s="16"/>
      <c r="P266" s="8"/>
      <c r="AP266" s="43"/>
    </row>
    <row r="267">
      <c r="B267" s="46"/>
      <c r="E267" s="47"/>
      <c r="F267" s="47"/>
      <c r="G267" s="16"/>
      <c r="J267" s="43"/>
      <c r="N267" s="8"/>
      <c r="O267" s="16"/>
      <c r="P267" s="8"/>
      <c r="AP267" s="43"/>
    </row>
    <row r="268">
      <c r="B268" s="46"/>
      <c r="E268" s="47"/>
      <c r="F268" s="47"/>
      <c r="G268" s="16"/>
      <c r="J268" s="43"/>
      <c r="N268" s="8"/>
      <c r="O268" s="16"/>
      <c r="P268" s="8"/>
      <c r="AP268" s="43"/>
    </row>
    <row r="269">
      <c r="B269" s="46"/>
      <c r="E269" s="47"/>
      <c r="F269" s="47"/>
      <c r="G269" s="16"/>
      <c r="J269" s="43"/>
      <c r="N269" s="8"/>
      <c r="O269" s="16"/>
      <c r="P269" s="8"/>
      <c r="AP269" s="43"/>
    </row>
    <row r="270">
      <c r="B270" s="46"/>
      <c r="E270" s="47"/>
      <c r="F270" s="47"/>
      <c r="G270" s="16"/>
      <c r="J270" s="43"/>
      <c r="N270" s="8"/>
      <c r="O270" s="16"/>
      <c r="P270" s="8"/>
      <c r="AP270" s="43"/>
    </row>
    <row r="271">
      <c r="B271" s="46"/>
      <c r="E271" s="47"/>
      <c r="F271" s="47"/>
      <c r="G271" s="16"/>
      <c r="J271" s="43"/>
      <c r="N271" s="8"/>
      <c r="O271" s="16"/>
      <c r="P271" s="8"/>
      <c r="AP271" s="43"/>
    </row>
    <row r="272">
      <c r="B272" s="46"/>
      <c r="E272" s="47"/>
      <c r="F272" s="47"/>
      <c r="G272" s="16"/>
      <c r="J272" s="43"/>
      <c r="N272" s="8"/>
      <c r="O272" s="16"/>
      <c r="P272" s="8"/>
      <c r="AP272" s="43"/>
    </row>
    <row r="273">
      <c r="B273" s="46"/>
      <c r="E273" s="47"/>
      <c r="F273" s="47"/>
      <c r="G273" s="16"/>
      <c r="J273" s="43"/>
      <c r="N273" s="8"/>
      <c r="O273" s="16"/>
      <c r="P273" s="8"/>
      <c r="AP273" s="43"/>
    </row>
    <row r="274">
      <c r="B274" s="46"/>
      <c r="E274" s="47"/>
      <c r="F274" s="47"/>
      <c r="G274" s="16"/>
      <c r="J274" s="43"/>
      <c r="N274" s="8"/>
      <c r="O274" s="16"/>
      <c r="P274" s="8"/>
      <c r="AP274" s="43"/>
    </row>
    <row r="275">
      <c r="B275" s="46"/>
      <c r="E275" s="47"/>
      <c r="F275" s="47"/>
      <c r="G275" s="16"/>
      <c r="J275" s="43"/>
      <c r="N275" s="8"/>
      <c r="O275" s="16"/>
      <c r="P275" s="8"/>
      <c r="AP275" s="43"/>
    </row>
    <row r="276">
      <c r="B276" s="46"/>
      <c r="E276" s="47"/>
      <c r="F276" s="47"/>
      <c r="G276" s="16"/>
      <c r="J276" s="43"/>
      <c r="N276" s="8"/>
      <c r="O276" s="16"/>
      <c r="P276" s="8"/>
      <c r="AP276" s="43"/>
    </row>
    <row r="277">
      <c r="B277" s="46"/>
      <c r="E277" s="47"/>
      <c r="F277" s="47"/>
      <c r="G277" s="16"/>
      <c r="J277" s="43"/>
      <c r="N277" s="8"/>
      <c r="O277" s="16"/>
      <c r="P277" s="8"/>
      <c r="AP277" s="43"/>
    </row>
    <row r="278">
      <c r="B278" s="46"/>
      <c r="E278" s="47"/>
      <c r="F278" s="47"/>
      <c r="G278" s="16"/>
      <c r="J278" s="43"/>
      <c r="N278" s="8"/>
      <c r="O278" s="16"/>
      <c r="P278" s="8"/>
      <c r="AP278" s="43"/>
    </row>
    <row r="279">
      <c r="B279" s="46"/>
      <c r="E279" s="47"/>
      <c r="F279" s="47"/>
      <c r="G279" s="16"/>
      <c r="J279" s="43"/>
      <c r="N279" s="8"/>
      <c r="O279" s="16"/>
      <c r="P279" s="8"/>
      <c r="AP279" s="43"/>
    </row>
    <row r="280">
      <c r="B280" s="46"/>
      <c r="E280" s="47"/>
      <c r="F280" s="47"/>
      <c r="G280" s="16"/>
      <c r="J280" s="43"/>
      <c r="N280" s="8"/>
      <c r="O280" s="16"/>
      <c r="P280" s="8"/>
      <c r="AP280" s="43"/>
    </row>
    <row r="281">
      <c r="B281" s="46"/>
      <c r="E281" s="47"/>
      <c r="F281" s="47"/>
      <c r="G281" s="16"/>
      <c r="J281" s="43"/>
      <c r="N281" s="8"/>
      <c r="O281" s="16"/>
      <c r="P281" s="8"/>
      <c r="AP281" s="43"/>
    </row>
    <row r="282">
      <c r="B282" s="46"/>
      <c r="E282" s="47"/>
      <c r="F282" s="47"/>
      <c r="G282" s="16"/>
      <c r="J282" s="43"/>
      <c r="N282" s="8"/>
      <c r="O282" s="16"/>
      <c r="P282" s="8"/>
      <c r="AP282" s="43"/>
    </row>
    <row r="283">
      <c r="B283" s="46"/>
      <c r="E283" s="47"/>
      <c r="F283" s="47"/>
      <c r="G283" s="16"/>
      <c r="J283" s="43"/>
      <c r="N283" s="8"/>
      <c r="O283" s="16"/>
      <c r="P283" s="8"/>
      <c r="AP283" s="43"/>
    </row>
    <row r="284">
      <c r="B284" s="46"/>
      <c r="E284" s="47"/>
      <c r="F284" s="47"/>
      <c r="G284" s="16"/>
      <c r="J284" s="43"/>
      <c r="N284" s="8"/>
      <c r="O284" s="16"/>
      <c r="P284" s="8"/>
      <c r="AP284" s="43"/>
    </row>
    <row r="285">
      <c r="B285" s="46"/>
      <c r="E285" s="47"/>
      <c r="F285" s="47"/>
      <c r="G285" s="16"/>
      <c r="J285" s="43"/>
      <c r="N285" s="8"/>
      <c r="O285" s="16"/>
      <c r="P285" s="8"/>
      <c r="AP285" s="43"/>
    </row>
    <row r="286">
      <c r="B286" s="46"/>
      <c r="E286" s="47"/>
      <c r="F286" s="47"/>
      <c r="G286" s="16"/>
      <c r="J286" s="43"/>
      <c r="N286" s="8"/>
      <c r="O286" s="16"/>
      <c r="P286" s="8"/>
      <c r="AP286" s="43"/>
    </row>
    <row r="287">
      <c r="B287" s="46"/>
      <c r="E287" s="47"/>
      <c r="F287" s="47"/>
      <c r="G287" s="16"/>
      <c r="J287" s="43"/>
      <c r="N287" s="8"/>
      <c r="O287" s="16"/>
      <c r="P287" s="8"/>
      <c r="AP287" s="43"/>
    </row>
    <row r="288">
      <c r="B288" s="46"/>
      <c r="E288" s="47"/>
      <c r="F288" s="47"/>
      <c r="G288" s="16"/>
      <c r="J288" s="43"/>
      <c r="N288" s="8"/>
      <c r="O288" s="16"/>
      <c r="P288" s="8"/>
      <c r="AP288" s="43"/>
    </row>
    <row r="289">
      <c r="B289" s="46"/>
      <c r="E289" s="47"/>
      <c r="F289" s="47"/>
      <c r="G289" s="16"/>
      <c r="J289" s="43"/>
      <c r="N289" s="8"/>
      <c r="O289" s="16"/>
      <c r="P289" s="8"/>
      <c r="AP289" s="43"/>
    </row>
    <row r="290">
      <c r="B290" s="46"/>
      <c r="E290" s="47"/>
      <c r="F290" s="47"/>
      <c r="G290" s="16"/>
      <c r="J290" s="43"/>
      <c r="N290" s="8"/>
      <c r="O290" s="16"/>
      <c r="P290" s="8"/>
      <c r="AP290" s="43"/>
    </row>
    <row r="291">
      <c r="B291" s="46"/>
      <c r="E291" s="47"/>
      <c r="F291" s="47"/>
      <c r="G291" s="16"/>
      <c r="J291" s="43"/>
      <c r="N291" s="8"/>
      <c r="O291" s="16"/>
      <c r="P291" s="8"/>
      <c r="AP291" s="43"/>
    </row>
    <row r="292">
      <c r="B292" s="46"/>
      <c r="E292" s="47"/>
      <c r="F292" s="47"/>
      <c r="G292" s="16"/>
      <c r="J292" s="43"/>
      <c r="N292" s="8"/>
      <c r="O292" s="16"/>
      <c r="P292" s="8"/>
      <c r="AP292" s="43"/>
    </row>
    <row r="293">
      <c r="B293" s="46"/>
      <c r="E293" s="47"/>
      <c r="F293" s="47"/>
      <c r="G293" s="16"/>
      <c r="J293" s="43"/>
      <c r="N293" s="8"/>
      <c r="O293" s="16"/>
      <c r="P293" s="8"/>
      <c r="AP293" s="43"/>
    </row>
    <row r="294">
      <c r="B294" s="46"/>
      <c r="E294" s="47"/>
      <c r="F294" s="47"/>
      <c r="G294" s="16"/>
      <c r="J294" s="43"/>
      <c r="N294" s="8"/>
      <c r="O294" s="16"/>
      <c r="P294" s="8"/>
      <c r="AP294" s="43"/>
    </row>
    <row r="295">
      <c r="B295" s="46"/>
      <c r="E295" s="47"/>
      <c r="F295" s="47"/>
      <c r="G295" s="16"/>
      <c r="J295" s="43"/>
      <c r="N295" s="8"/>
      <c r="O295" s="16"/>
      <c r="P295" s="8"/>
      <c r="AP295" s="43"/>
    </row>
    <row r="296">
      <c r="B296" s="46"/>
      <c r="E296" s="47"/>
      <c r="F296" s="47"/>
      <c r="G296" s="16"/>
      <c r="J296" s="43"/>
      <c r="N296" s="8"/>
      <c r="O296" s="16"/>
      <c r="P296" s="8"/>
      <c r="AP296" s="43"/>
    </row>
    <row r="297">
      <c r="B297" s="46"/>
      <c r="E297" s="47"/>
      <c r="F297" s="47"/>
      <c r="G297" s="16"/>
      <c r="J297" s="43"/>
      <c r="N297" s="8"/>
      <c r="O297" s="16"/>
      <c r="P297" s="8"/>
      <c r="AP297" s="43"/>
    </row>
    <row r="298">
      <c r="B298" s="46"/>
      <c r="E298" s="47"/>
      <c r="F298" s="47"/>
      <c r="G298" s="16"/>
      <c r="J298" s="43"/>
      <c r="N298" s="8"/>
      <c r="O298" s="16"/>
      <c r="P298" s="8"/>
      <c r="AP298" s="43"/>
    </row>
    <row r="299">
      <c r="B299" s="46"/>
      <c r="E299" s="47"/>
      <c r="F299" s="47"/>
      <c r="G299" s="16"/>
      <c r="J299" s="43"/>
      <c r="N299" s="8"/>
      <c r="O299" s="16"/>
      <c r="P299" s="8"/>
      <c r="AP299" s="43"/>
    </row>
    <row r="300">
      <c r="B300" s="46"/>
      <c r="E300" s="47"/>
      <c r="F300" s="47"/>
      <c r="G300" s="16"/>
      <c r="J300" s="43"/>
      <c r="N300" s="8"/>
      <c r="O300" s="16"/>
      <c r="P300" s="8"/>
      <c r="AP300" s="43"/>
    </row>
    <row r="301">
      <c r="B301" s="46"/>
      <c r="E301" s="47"/>
      <c r="F301" s="47"/>
      <c r="G301" s="16"/>
      <c r="J301" s="43"/>
      <c r="N301" s="8"/>
      <c r="O301" s="16"/>
      <c r="P301" s="8"/>
      <c r="AP301" s="43"/>
    </row>
    <row r="302">
      <c r="B302" s="46"/>
      <c r="E302" s="47"/>
      <c r="F302" s="47"/>
      <c r="G302" s="16"/>
      <c r="J302" s="43"/>
      <c r="N302" s="8"/>
      <c r="O302" s="16"/>
      <c r="P302" s="8"/>
      <c r="AP302" s="43"/>
    </row>
    <row r="303">
      <c r="B303" s="46"/>
      <c r="E303" s="47"/>
      <c r="F303" s="47"/>
      <c r="G303" s="16"/>
      <c r="J303" s="43"/>
      <c r="N303" s="8"/>
      <c r="O303" s="16"/>
      <c r="P303" s="8"/>
      <c r="AP303" s="43"/>
    </row>
    <row r="304">
      <c r="B304" s="46"/>
      <c r="E304" s="47"/>
      <c r="F304" s="47"/>
      <c r="G304" s="16"/>
      <c r="J304" s="43"/>
      <c r="N304" s="8"/>
      <c r="O304" s="16"/>
      <c r="P304" s="8"/>
      <c r="AP304" s="43"/>
    </row>
    <row r="305">
      <c r="B305" s="46"/>
      <c r="E305" s="47"/>
      <c r="F305" s="47"/>
      <c r="G305" s="16"/>
      <c r="J305" s="43"/>
      <c r="N305" s="8"/>
      <c r="O305" s="16"/>
      <c r="P305" s="8"/>
      <c r="AP305" s="43"/>
    </row>
    <row r="306">
      <c r="B306" s="46"/>
      <c r="E306" s="47"/>
      <c r="F306" s="47"/>
      <c r="G306" s="16"/>
      <c r="J306" s="43"/>
      <c r="N306" s="8"/>
      <c r="O306" s="16"/>
      <c r="P306" s="8"/>
      <c r="AP306" s="43"/>
    </row>
    <row r="307">
      <c r="B307" s="46"/>
      <c r="E307" s="47"/>
      <c r="F307" s="47"/>
      <c r="G307" s="16"/>
      <c r="J307" s="43"/>
      <c r="N307" s="8"/>
      <c r="O307" s="16"/>
      <c r="P307" s="8"/>
      <c r="AP307" s="43"/>
    </row>
    <row r="308">
      <c r="B308" s="46"/>
      <c r="E308" s="47"/>
      <c r="F308" s="47"/>
      <c r="G308" s="16"/>
      <c r="J308" s="43"/>
      <c r="N308" s="8"/>
      <c r="O308" s="16"/>
      <c r="P308" s="8"/>
      <c r="AP308" s="43"/>
    </row>
    <row r="309">
      <c r="B309" s="46"/>
      <c r="E309" s="47"/>
      <c r="F309" s="47"/>
      <c r="G309" s="16"/>
      <c r="J309" s="43"/>
      <c r="N309" s="8"/>
      <c r="O309" s="16"/>
      <c r="P309" s="8"/>
      <c r="AP309" s="43"/>
    </row>
    <row r="310">
      <c r="B310" s="46"/>
      <c r="E310" s="47"/>
      <c r="F310" s="47"/>
      <c r="G310" s="16"/>
      <c r="J310" s="43"/>
      <c r="N310" s="8"/>
      <c r="O310" s="16"/>
      <c r="P310" s="8"/>
      <c r="AP310" s="43"/>
    </row>
    <row r="311">
      <c r="B311" s="46"/>
      <c r="E311" s="47"/>
      <c r="F311" s="47"/>
      <c r="G311" s="16"/>
      <c r="J311" s="43"/>
      <c r="N311" s="8"/>
      <c r="O311" s="16"/>
      <c r="P311" s="8"/>
      <c r="AP311" s="43"/>
    </row>
    <row r="312">
      <c r="B312" s="46"/>
      <c r="E312" s="47"/>
      <c r="F312" s="47"/>
      <c r="G312" s="16"/>
      <c r="J312" s="43"/>
      <c r="N312" s="8"/>
      <c r="O312" s="16"/>
      <c r="P312" s="8"/>
      <c r="AP312" s="43"/>
    </row>
    <row r="313">
      <c r="B313" s="46"/>
      <c r="E313" s="47"/>
      <c r="F313" s="47"/>
      <c r="G313" s="16"/>
      <c r="J313" s="43"/>
      <c r="N313" s="8"/>
      <c r="O313" s="16"/>
      <c r="P313" s="8"/>
      <c r="AP313" s="43"/>
    </row>
    <row r="314">
      <c r="B314" s="46"/>
      <c r="E314" s="47"/>
      <c r="F314" s="47"/>
      <c r="G314" s="16"/>
      <c r="J314" s="43"/>
      <c r="N314" s="8"/>
      <c r="O314" s="16"/>
      <c r="P314" s="8"/>
      <c r="AP314" s="43"/>
    </row>
    <row r="315">
      <c r="B315" s="46"/>
      <c r="E315" s="47"/>
      <c r="F315" s="47"/>
      <c r="G315" s="16"/>
      <c r="J315" s="43"/>
      <c r="N315" s="8"/>
      <c r="O315" s="16"/>
      <c r="P315" s="8"/>
      <c r="AP315" s="43"/>
    </row>
    <row r="316">
      <c r="B316" s="46"/>
      <c r="E316" s="47"/>
      <c r="F316" s="47"/>
      <c r="G316" s="16"/>
      <c r="J316" s="43"/>
      <c r="N316" s="8"/>
      <c r="O316" s="16"/>
      <c r="P316" s="8"/>
      <c r="AP316" s="43"/>
    </row>
    <row r="317">
      <c r="B317" s="46"/>
      <c r="E317" s="47"/>
      <c r="F317" s="47"/>
      <c r="G317" s="16"/>
      <c r="J317" s="43"/>
      <c r="N317" s="8"/>
      <c r="O317" s="16"/>
      <c r="P317" s="8"/>
      <c r="AP317" s="43"/>
    </row>
    <row r="318">
      <c r="B318" s="46"/>
      <c r="E318" s="47"/>
      <c r="F318" s="47"/>
      <c r="G318" s="16"/>
      <c r="J318" s="43"/>
      <c r="N318" s="8"/>
      <c r="O318" s="16"/>
      <c r="P318" s="8"/>
      <c r="AP318" s="43"/>
    </row>
    <row r="319">
      <c r="B319" s="46"/>
      <c r="E319" s="47"/>
      <c r="F319" s="47"/>
      <c r="G319" s="16"/>
      <c r="J319" s="43"/>
      <c r="N319" s="8"/>
      <c r="O319" s="16"/>
      <c r="P319" s="8"/>
      <c r="AP319" s="43"/>
    </row>
    <row r="320">
      <c r="B320" s="46"/>
      <c r="E320" s="47"/>
      <c r="F320" s="47"/>
      <c r="G320" s="16"/>
      <c r="J320" s="43"/>
      <c r="N320" s="8"/>
      <c r="O320" s="16"/>
      <c r="P320" s="8"/>
      <c r="AP320" s="43"/>
    </row>
    <row r="321">
      <c r="B321" s="46"/>
      <c r="E321" s="47"/>
      <c r="F321" s="47"/>
      <c r="G321" s="16"/>
      <c r="J321" s="43"/>
      <c r="N321" s="8"/>
      <c r="O321" s="16"/>
      <c r="P321" s="8"/>
      <c r="AP321" s="43"/>
    </row>
    <row r="322">
      <c r="B322" s="46"/>
      <c r="E322" s="47"/>
      <c r="F322" s="47"/>
      <c r="G322" s="16"/>
      <c r="J322" s="43"/>
      <c r="N322" s="8"/>
      <c r="O322" s="16"/>
      <c r="P322" s="8"/>
      <c r="AP322" s="43"/>
    </row>
    <row r="323">
      <c r="B323" s="46"/>
      <c r="E323" s="47"/>
      <c r="F323" s="47"/>
      <c r="G323" s="16"/>
      <c r="J323" s="43"/>
      <c r="N323" s="8"/>
      <c r="O323" s="16"/>
      <c r="P323" s="8"/>
      <c r="AP323" s="43"/>
    </row>
    <row r="324">
      <c r="B324" s="46"/>
      <c r="E324" s="47"/>
      <c r="F324" s="47"/>
      <c r="G324" s="16"/>
      <c r="J324" s="43"/>
      <c r="N324" s="8"/>
      <c r="O324" s="16"/>
      <c r="P324" s="8"/>
      <c r="AP324" s="43"/>
    </row>
    <row r="325">
      <c r="B325" s="46"/>
      <c r="E325" s="47"/>
      <c r="F325" s="47"/>
      <c r="G325" s="16"/>
      <c r="J325" s="43"/>
      <c r="N325" s="8"/>
      <c r="O325" s="16"/>
      <c r="P325" s="8"/>
      <c r="AP325" s="43"/>
    </row>
    <row r="326">
      <c r="B326" s="46"/>
      <c r="E326" s="47"/>
      <c r="F326" s="47"/>
      <c r="G326" s="16"/>
      <c r="J326" s="43"/>
      <c r="N326" s="8"/>
      <c r="O326" s="16"/>
      <c r="P326" s="8"/>
      <c r="AP326" s="43"/>
    </row>
    <row r="327">
      <c r="B327" s="46"/>
      <c r="E327" s="47"/>
      <c r="F327" s="47"/>
      <c r="G327" s="16"/>
      <c r="J327" s="43"/>
      <c r="N327" s="8"/>
      <c r="O327" s="16"/>
      <c r="P327" s="8"/>
      <c r="AP327" s="43"/>
    </row>
    <row r="328">
      <c r="B328" s="46"/>
      <c r="E328" s="47"/>
      <c r="F328" s="47"/>
      <c r="G328" s="16"/>
      <c r="J328" s="43"/>
      <c r="N328" s="8"/>
      <c r="O328" s="16"/>
      <c r="P328" s="8"/>
      <c r="AP328" s="43"/>
    </row>
    <row r="329">
      <c r="B329" s="46"/>
      <c r="E329" s="47"/>
      <c r="F329" s="47"/>
      <c r="G329" s="16"/>
      <c r="J329" s="43"/>
      <c r="N329" s="8"/>
      <c r="O329" s="16"/>
      <c r="P329" s="8"/>
      <c r="AP329" s="43"/>
    </row>
    <row r="330">
      <c r="B330" s="46"/>
      <c r="E330" s="47"/>
      <c r="F330" s="47"/>
      <c r="G330" s="16"/>
      <c r="J330" s="43"/>
      <c r="N330" s="8"/>
      <c r="O330" s="16"/>
      <c r="P330" s="8"/>
      <c r="AP330" s="43"/>
    </row>
    <row r="331">
      <c r="B331" s="46"/>
      <c r="E331" s="47"/>
      <c r="F331" s="47"/>
      <c r="G331" s="16"/>
      <c r="J331" s="43"/>
      <c r="N331" s="8"/>
      <c r="O331" s="16"/>
      <c r="P331" s="8"/>
      <c r="AP331" s="43"/>
    </row>
    <row r="332">
      <c r="B332" s="46"/>
      <c r="E332" s="47"/>
      <c r="F332" s="47"/>
      <c r="G332" s="16"/>
      <c r="J332" s="43"/>
      <c r="N332" s="8"/>
      <c r="O332" s="16"/>
      <c r="P332" s="8"/>
      <c r="AP332" s="43"/>
    </row>
    <row r="333">
      <c r="B333" s="46"/>
      <c r="E333" s="47"/>
      <c r="F333" s="47"/>
      <c r="G333" s="16"/>
      <c r="J333" s="43"/>
      <c r="N333" s="8"/>
      <c r="O333" s="16"/>
      <c r="P333" s="8"/>
      <c r="AP333" s="43"/>
    </row>
    <row r="334">
      <c r="B334" s="46"/>
      <c r="E334" s="47"/>
      <c r="F334" s="47"/>
      <c r="G334" s="16"/>
      <c r="J334" s="43"/>
      <c r="N334" s="8"/>
      <c r="O334" s="16"/>
      <c r="P334" s="8"/>
      <c r="AP334" s="43"/>
    </row>
    <row r="335">
      <c r="B335" s="46"/>
      <c r="E335" s="47"/>
      <c r="F335" s="47"/>
      <c r="G335" s="16"/>
      <c r="J335" s="43"/>
      <c r="N335" s="8"/>
      <c r="O335" s="16"/>
      <c r="P335" s="8"/>
      <c r="AP335" s="43"/>
    </row>
    <row r="336">
      <c r="B336" s="46"/>
      <c r="E336" s="47"/>
      <c r="F336" s="47"/>
      <c r="G336" s="16"/>
      <c r="J336" s="43"/>
      <c r="N336" s="8"/>
      <c r="O336" s="16"/>
      <c r="P336" s="8"/>
      <c r="AP336" s="43"/>
    </row>
    <row r="337">
      <c r="B337" s="46"/>
      <c r="E337" s="47"/>
      <c r="F337" s="47"/>
      <c r="G337" s="16"/>
      <c r="J337" s="43"/>
      <c r="N337" s="8"/>
      <c r="O337" s="16"/>
      <c r="P337" s="8"/>
      <c r="AP337" s="43"/>
    </row>
    <row r="338">
      <c r="B338" s="46"/>
      <c r="E338" s="47"/>
      <c r="F338" s="47"/>
      <c r="G338" s="16"/>
      <c r="J338" s="43"/>
      <c r="N338" s="8"/>
      <c r="O338" s="16"/>
      <c r="P338" s="8"/>
      <c r="AP338" s="43"/>
    </row>
    <row r="339">
      <c r="B339" s="46"/>
      <c r="E339" s="47"/>
      <c r="F339" s="47"/>
      <c r="G339" s="16"/>
      <c r="J339" s="43"/>
      <c r="N339" s="8"/>
      <c r="O339" s="16"/>
      <c r="P339" s="8"/>
      <c r="AP339" s="43"/>
    </row>
    <row r="340">
      <c r="B340" s="46"/>
      <c r="E340" s="47"/>
      <c r="F340" s="47"/>
      <c r="G340" s="16"/>
      <c r="J340" s="43"/>
      <c r="N340" s="8"/>
      <c r="O340" s="16"/>
      <c r="P340" s="8"/>
      <c r="AP340" s="43"/>
    </row>
    <row r="341">
      <c r="B341" s="46"/>
      <c r="E341" s="47"/>
      <c r="F341" s="47"/>
      <c r="G341" s="16"/>
      <c r="J341" s="43"/>
      <c r="N341" s="8"/>
      <c r="O341" s="16"/>
      <c r="P341" s="8"/>
      <c r="AP341" s="43"/>
    </row>
    <row r="342">
      <c r="B342" s="46"/>
      <c r="E342" s="47"/>
      <c r="F342" s="47"/>
      <c r="G342" s="16"/>
      <c r="J342" s="43"/>
      <c r="N342" s="8"/>
      <c r="O342" s="16"/>
      <c r="P342" s="8"/>
      <c r="AP342" s="43"/>
    </row>
    <row r="343">
      <c r="B343" s="46"/>
      <c r="E343" s="47"/>
      <c r="F343" s="47"/>
      <c r="G343" s="16"/>
      <c r="J343" s="43"/>
      <c r="N343" s="8"/>
      <c r="O343" s="16"/>
      <c r="P343" s="8"/>
      <c r="AP343" s="43"/>
    </row>
    <row r="344">
      <c r="B344" s="46"/>
      <c r="E344" s="47"/>
      <c r="F344" s="47"/>
      <c r="G344" s="16"/>
      <c r="J344" s="43"/>
      <c r="N344" s="8"/>
      <c r="O344" s="16"/>
      <c r="P344" s="8"/>
      <c r="AP344" s="43"/>
    </row>
    <row r="345">
      <c r="B345" s="46"/>
      <c r="E345" s="47"/>
      <c r="F345" s="47"/>
      <c r="G345" s="16"/>
      <c r="J345" s="43"/>
      <c r="N345" s="8"/>
      <c r="O345" s="16"/>
      <c r="P345" s="8"/>
      <c r="AP345" s="43"/>
    </row>
    <row r="346">
      <c r="B346" s="46"/>
      <c r="E346" s="47"/>
      <c r="F346" s="47"/>
      <c r="G346" s="16"/>
      <c r="J346" s="43"/>
      <c r="N346" s="8"/>
      <c r="O346" s="16"/>
      <c r="P346" s="8"/>
      <c r="AP346" s="43"/>
    </row>
    <row r="347">
      <c r="B347" s="46"/>
      <c r="E347" s="47"/>
      <c r="F347" s="47"/>
      <c r="G347" s="16"/>
      <c r="J347" s="43"/>
      <c r="N347" s="8"/>
      <c r="O347" s="16"/>
      <c r="P347" s="8"/>
      <c r="AP347" s="43"/>
    </row>
    <row r="348">
      <c r="B348" s="46"/>
      <c r="E348" s="47"/>
      <c r="F348" s="47"/>
      <c r="G348" s="16"/>
      <c r="J348" s="43"/>
      <c r="N348" s="8"/>
      <c r="O348" s="16"/>
      <c r="P348" s="8"/>
      <c r="AP348" s="43"/>
    </row>
    <row r="349">
      <c r="B349" s="46"/>
      <c r="E349" s="47"/>
      <c r="F349" s="47"/>
      <c r="G349" s="16"/>
      <c r="J349" s="43"/>
      <c r="N349" s="8"/>
      <c r="O349" s="16"/>
      <c r="P349" s="8"/>
      <c r="AP349" s="43"/>
    </row>
    <row r="350">
      <c r="B350" s="46"/>
      <c r="E350" s="47"/>
      <c r="F350" s="47"/>
      <c r="G350" s="16"/>
      <c r="J350" s="43"/>
      <c r="N350" s="8"/>
      <c r="O350" s="16"/>
      <c r="P350" s="8"/>
      <c r="AP350" s="43"/>
    </row>
    <row r="351">
      <c r="B351" s="46"/>
      <c r="E351" s="47"/>
      <c r="F351" s="47"/>
      <c r="G351" s="16"/>
      <c r="J351" s="43"/>
      <c r="N351" s="8"/>
      <c r="O351" s="16"/>
      <c r="P351" s="8"/>
      <c r="AP351" s="43"/>
    </row>
    <row r="352">
      <c r="B352" s="46"/>
      <c r="E352" s="47"/>
      <c r="F352" s="47"/>
      <c r="G352" s="16"/>
      <c r="J352" s="43"/>
      <c r="N352" s="8"/>
      <c r="O352" s="16"/>
      <c r="P352" s="8"/>
      <c r="AP352" s="43"/>
    </row>
    <row r="353">
      <c r="B353" s="46"/>
      <c r="E353" s="47"/>
      <c r="F353" s="47"/>
      <c r="G353" s="16"/>
      <c r="J353" s="43"/>
      <c r="N353" s="8"/>
      <c r="O353" s="16"/>
      <c r="P353" s="8"/>
      <c r="AP353" s="43"/>
    </row>
    <row r="354">
      <c r="B354" s="46"/>
      <c r="E354" s="47"/>
      <c r="F354" s="47"/>
      <c r="G354" s="16"/>
      <c r="J354" s="43"/>
      <c r="N354" s="8"/>
      <c r="O354" s="16"/>
      <c r="P354" s="8"/>
      <c r="AP354" s="43"/>
    </row>
    <row r="355">
      <c r="B355" s="46"/>
      <c r="E355" s="47"/>
      <c r="F355" s="47"/>
      <c r="G355" s="16"/>
      <c r="J355" s="43"/>
      <c r="N355" s="8"/>
      <c r="O355" s="16"/>
      <c r="P355" s="8"/>
      <c r="AP355" s="43"/>
    </row>
    <row r="356">
      <c r="B356" s="46"/>
      <c r="E356" s="47"/>
      <c r="F356" s="47"/>
      <c r="G356" s="16"/>
      <c r="J356" s="43"/>
      <c r="N356" s="8"/>
      <c r="O356" s="16"/>
      <c r="P356" s="8"/>
      <c r="AP356" s="43"/>
    </row>
    <row r="357">
      <c r="B357" s="46"/>
      <c r="E357" s="47"/>
      <c r="F357" s="47"/>
      <c r="G357" s="16"/>
      <c r="J357" s="43"/>
      <c r="N357" s="8"/>
      <c r="O357" s="16"/>
      <c r="P357" s="8"/>
      <c r="AP357" s="43"/>
    </row>
    <row r="358">
      <c r="B358" s="46"/>
      <c r="E358" s="47"/>
      <c r="F358" s="47"/>
      <c r="G358" s="16"/>
      <c r="J358" s="43"/>
      <c r="N358" s="8"/>
      <c r="O358" s="16"/>
      <c r="P358" s="8"/>
      <c r="AP358" s="43"/>
    </row>
    <row r="359">
      <c r="B359" s="46"/>
      <c r="E359" s="47"/>
      <c r="F359" s="47"/>
      <c r="G359" s="16"/>
      <c r="J359" s="43"/>
      <c r="N359" s="8"/>
      <c r="O359" s="16"/>
      <c r="P359" s="8"/>
      <c r="AP359" s="43"/>
    </row>
    <row r="360">
      <c r="B360" s="46"/>
      <c r="E360" s="47"/>
      <c r="F360" s="47"/>
      <c r="G360" s="16"/>
      <c r="J360" s="43"/>
      <c r="N360" s="8"/>
      <c r="O360" s="16"/>
      <c r="P360" s="8"/>
      <c r="AP360" s="43"/>
    </row>
    <row r="361">
      <c r="B361" s="46"/>
      <c r="E361" s="47"/>
      <c r="F361" s="47"/>
      <c r="G361" s="16"/>
      <c r="J361" s="43"/>
      <c r="N361" s="8"/>
      <c r="O361" s="16"/>
      <c r="P361" s="8"/>
      <c r="AP361" s="43"/>
    </row>
    <row r="362">
      <c r="B362" s="46"/>
      <c r="E362" s="47"/>
      <c r="F362" s="47"/>
      <c r="G362" s="16"/>
      <c r="J362" s="43"/>
      <c r="N362" s="8"/>
      <c r="O362" s="16"/>
      <c r="P362" s="8"/>
      <c r="AP362" s="43"/>
    </row>
    <row r="363">
      <c r="B363" s="46"/>
      <c r="E363" s="47"/>
      <c r="F363" s="47"/>
      <c r="G363" s="16"/>
      <c r="J363" s="43"/>
      <c r="N363" s="8"/>
      <c r="O363" s="16"/>
      <c r="P363" s="8"/>
      <c r="AP363" s="43"/>
    </row>
    <row r="364">
      <c r="B364" s="46"/>
      <c r="E364" s="47"/>
      <c r="F364" s="47"/>
      <c r="G364" s="16"/>
      <c r="J364" s="43"/>
      <c r="N364" s="8"/>
      <c r="O364" s="16"/>
      <c r="P364" s="8"/>
      <c r="AP364" s="43"/>
    </row>
    <row r="365">
      <c r="B365" s="46"/>
      <c r="E365" s="47"/>
      <c r="F365" s="47"/>
      <c r="G365" s="16"/>
      <c r="J365" s="43"/>
      <c r="N365" s="8"/>
      <c r="O365" s="16"/>
      <c r="P365" s="8"/>
      <c r="AP365" s="43"/>
    </row>
    <row r="366">
      <c r="B366" s="46"/>
      <c r="E366" s="47"/>
      <c r="F366" s="47"/>
      <c r="G366" s="16"/>
      <c r="J366" s="43"/>
      <c r="N366" s="8"/>
      <c r="O366" s="16"/>
      <c r="P366" s="8"/>
      <c r="AP366" s="43"/>
    </row>
    <row r="367">
      <c r="B367" s="46"/>
      <c r="E367" s="47"/>
      <c r="F367" s="47"/>
      <c r="G367" s="16"/>
      <c r="J367" s="43"/>
      <c r="N367" s="8"/>
      <c r="O367" s="16"/>
      <c r="P367" s="8"/>
      <c r="AP367" s="43"/>
    </row>
    <row r="368">
      <c r="B368" s="46"/>
      <c r="E368" s="47"/>
      <c r="F368" s="47"/>
      <c r="G368" s="16"/>
      <c r="J368" s="43"/>
      <c r="N368" s="8"/>
      <c r="O368" s="16"/>
      <c r="P368" s="8"/>
      <c r="AP368" s="43"/>
    </row>
    <row r="369">
      <c r="B369" s="46"/>
      <c r="E369" s="47"/>
      <c r="F369" s="47"/>
      <c r="G369" s="16"/>
      <c r="J369" s="43"/>
      <c r="N369" s="8"/>
      <c r="O369" s="16"/>
      <c r="P369" s="8"/>
      <c r="AP369" s="43"/>
    </row>
    <row r="370">
      <c r="B370" s="46"/>
      <c r="E370" s="47"/>
      <c r="F370" s="47"/>
      <c r="G370" s="16"/>
      <c r="J370" s="43"/>
      <c r="N370" s="8"/>
      <c r="O370" s="16"/>
      <c r="P370" s="8"/>
      <c r="AP370" s="43"/>
    </row>
    <row r="371">
      <c r="B371" s="46"/>
      <c r="E371" s="47"/>
      <c r="F371" s="47"/>
      <c r="G371" s="16"/>
      <c r="J371" s="43"/>
      <c r="N371" s="8"/>
      <c r="O371" s="16"/>
      <c r="P371" s="8"/>
      <c r="AP371" s="43"/>
    </row>
    <row r="372">
      <c r="B372" s="46"/>
      <c r="E372" s="47"/>
      <c r="F372" s="47"/>
      <c r="G372" s="16"/>
      <c r="J372" s="43"/>
      <c r="N372" s="8"/>
      <c r="O372" s="16"/>
      <c r="P372" s="8"/>
      <c r="AP372" s="43"/>
    </row>
    <row r="373">
      <c r="B373" s="46"/>
      <c r="E373" s="47"/>
      <c r="F373" s="47"/>
      <c r="G373" s="16"/>
      <c r="J373" s="43"/>
      <c r="N373" s="8"/>
      <c r="O373" s="16"/>
      <c r="P373" s="8"/>
      <c r="AP373" s="43"/>
    </row>
    <row r="374">
      <c r="B374" s="46"/>
      <c r="E374" s="47"/>
      <c r="F374" s="47"/>
      <c r="G374" s="16"/>
      <c r="J374" s="43"/>
      <c r="N374" s="8"/>
      <c r="O374" s="16"/>
      <c r="P374" s="8"/>
      <c r="AP374" s="43"/>
    </row>
    <row r="375">
      <c r="B375" s="46"/>
      <c r="E375" s="47"/>
      <c r="F375" s="47"/>
      <c r="G375" s="16"/>
      <c r="J375" s="43"/>
      <c r="N375" s="8"/>
      <c r="O375" s="16"/>
      <c r="P375" s="8"/>
      <c r="AP375" s="43"/>
    </row>
    <row r="376">
      <c r="B376" s="46"/>
      <c r="E376" s="47"/>
      <c r="F376" s="47"/>
      <c r="G376" s="16"/>
      <c r="J376" s="43"/>
      <c r="N376" s="8"/>
      <c r="O376" s="16"/>
      <c r="P376" s="8"/>
      <c r="AP376" s="43"/>
    </row>
    <row r="377">
      <c r="B377" s="46"/>
      <c r="E377" s="47"/>
      <c r="F377" s="47"/>
      <c r="G377" s="16"/>
      <c r="J377" s="43"/>
      <c r="N377" s="8"/>
      <c r="O377" s="16"/>
      <c r="P377" s="8"/>
      <c r="AP377" s="43"/>
    </row>
    <row r="378">
      <c r="B378" s="46"/>
      <c r="E378" s="47"/>
      <c r="F378" s="47"/>
      <c r="G378" s="16"/>
      <c r="J378" s="43"/>
      <c r="N378" s="8"/>
      <c r="O378" s="16"/>
      <c r="P378" s="8"/>
      <c r="AP378" s="43"/>
    </row>
    <row r="379">
      <c r="B379" s="46"/>
      <c r="E379" s="47"/>
      <c r="F379" s="47"/>
      <c r="G379" s="16"/>
      <c r="J379" s="43"/>
      <c r="N379" s="8"/>
      <c r="O379" s="16"/>
      <c r="P379" s="8"/>
      <c r="AP379" s="43"/>
    </row>
    <row r="380">
      <c r="B380" s="46"/>
      <c r="E380" s="47"/>
      <c r="F380" s="47"/>
      <c r="G380" s="16"/>
      <c r="J380" s="43"/>
      <c r="N380" s="8"/>
      <c r="O380" s="16"/>
      <c r="P380" s="8"/>
      <c r="AP380" s="43"/>
    </row>
    <row r="381">
      <c r="B381" s="46"/>
      <c r="E381" s="47"/>
      <c r="F381" s="47"/>
      <c r="G381" s="16"/>
      <c r="J381" s="43"/>
      <c r="N381" s="8"/>
      <c r="O381" s="16"/>
      <c r="P381" s="8"/>
      <c r="AP381" s="43"/>
    </row>
    <row r="382">
      <c r="B382" s="46"/>
      <c r="E382" s="47"/>
      <c r="F382" s="47"/>
      <c r="G382" s="16"/>
      <c r="J382" s="43"/>
      <c r="N382" s="8"/>
      <c r="O382" s="16"/>
      <c r="P382" s="8"/>
      <c r="AP382" s="43"/>
    </row>
    <row r="383">
      <c r="B383" s="46"/>
      <c r="E383" s="47"/>
      <c r="F383" s="47"/>
      <c r="G383" s="16"/>
      <c r="J383" s="43"/>
      <c r="N383" s="8"/>
      <c r="O383" s="16"/>
      <c r="P383" s="8"/>
      <c r="AP383" s="43"/>
    </row>
    <row r="384">
      <c r="B384" s="46"/>
      <c r="E384" s="47"/>
      <c r="F384" s="47"/>
      <c r="G384" s="16"/>
      <c r="J384" s="43"/>
      <c r="N384" s="8"/>
      <c r="O384" s="16"/>
      <c r="P384" s="8"/>
      <c r="AP384" s="43"/>
    </row>
    <row r="385">
      <c r="B385" s="46"/>
      <c r="E385" s="47"/>
      <c r="F385" s="47"/>
      <c r="G385" s="16"/>
      <c r="J385" s="43"/>
      <c r="N385" s="8"/>
      <c r="O385" s="16"/>
      <c r="P385" s="8"/>
      <c r="AP385" s="43"/>
    </row>
    <row r="386">
      <c r="B386" s="46"/>
      <c r="E386" s="47"/>
      <c r="F386" s="47"/>
      <c r="G386" s="16"/>
      <c r="J386" s="43"/>
      <c r="N386" s="8"/>
      <c r="O386" s="16"/>
      <c r="P386" s="8"/>
      <c r="AP386" s="43"/>
    </row>
    <row r="387">
      <c r="B387" s="46"/>
      <c r="E387" s="47"/>
      <c r="F387" s="47"/>
      <c r="G387" s="16"/>
      <c r="J387" s="43"/>
      <c r="N387" s="8"/>
      <c r="O387" s="16"/>
      <c r="P387" s="8"/>
      <c r="AP387" s="43"/>
    </row>
    <row r="388">
      <c r="B388" s="46"/>
      <c r="E388" s="47"/>
      <c r="F388" s="47"/>
      <c r="G388" s="16"/>
      <c r="J388" s="43"/>
      <c r="N388" s="8"/>
      <c r="O388" s="16"/>
      <c r="P388" s="8"/>
      <c r="AP388" s="43"/>
    </row>
    <row r="389">
      <c r="B389" s="46"/>
      <c r="E389" s="47"/>
      <c r="F389" s="47"/>
      <c r="G389" s="16"/>
      <c r="J389" s="43"/>
      <c r="N389" s="8"/>
      <c r="O389" s="16"/>
      <c r="P389" s="8"/>
      <c r="AP389" s="43"/>
    </row>
    <row r="390">
      <c r="B390" s="46"/>
      <c r="E390" s="47"/>
      <c r="F390" s="47"/>
      <c r="G390" s="16"/>
      <c r="J390" s="43"/>
      <c r="N390" s="8"/>
      <c r="O390" s="16"/>
      <c r="P390" s="8"/>
      <c r="AP390" s="43"/>
    </row>
    <row r="391">
      <c r="B391" s="46"/>
      <c r="E391" s="47"/>
      <c r="F391" s="47"/>
      <c r="G391" s="16"/>
      <c r="J391" s="43"/>
      <c r="N391" s="8"/>
      <c r="O391" s="16"/>
      <c r="P391" s="8"/>
      <c r="AP391" s="43"/>
    </row>
    <row r="392">
      <c r="B392" s="46"/>
      <c r="E392" s="47"/>
      <c r="F392" s="47"/>
      <c r="G392" s="16"/>
      <c r="J392" s="43"/>
      <c r="N392" s="8"/>
      <c r="O392" s="16"/>
      <c r="P392" s="8"/>
      <c r="AP392" s="43"/>
    </row>
    <row r="393">
      <c r="B393" s="46"/>
      <c r="E393" s="47"/>
      <c r="F393" s="47"/>
      <c r="G393" s="16"/>
      <c r="J393" s="43"/>
      <c r="N393" s="8"/>
      <c r="O393" s="16"/>
      <c r="P393" s="8"/>
      <c r="AP393" s="43"/>
    </row>
    <row r="394">
      <c r="B394" s="46"/>
      <c r="E394" s="47"/>
      <c r="F394" s="47"/>
      <c r="G394" s="16"/>
      <c r="J394" s="43"/>
      <c r="N394" s="8"/>
      <c r="O394" s="16"/>
      <c r="P394" s="8"/>
      <c r="AP394" s="43"/>
    </row>
    <row r="395">
      <c r="B395" s="46"/>
      <c r="E395" s="47"/>
      <c r="F395" s="47"/>
      <c r="G395" s="16"/>
      <c r="J395" s="43"/>
      <c r="N395" s="8"/>
      <c r="O395" s="16"/>
      <c r="P395" s="8"/>
      <c r="AP395" s="43"/>
    </row>
    <row r="396">
      <c r="B396" s="46"/>
      <c r="E396" s="47"/>
      <c r="F396" s="47"/>
      <c r="G396" s="16"/>
      <c r="J396" s="43"/>
      <c r="N396" s="8"/>
      <c r="O396" s="16"/>
      <c r="P396" s="8"/>
      <c r="AP396" s="43"/>
    </row>
    <row r="397">
      <c r="B397" s="46"/>
      <c r="E397" s="47"/>
      <c r="F397" s="47"/>
      <c r="G397" s="16"/>
      <c r="J397" s="43"/>
      <c r="N397" s="8"/>
      <c r="O397" s="16"/>
      <c r="P397" s="8"/>
      <c r="AP397" s="43"/>
    </row>
    <row r="398">
      <c r="B398" s="46"/>
      <c r="E398" s="47"/>
      <c r="F398" s="47"/>
      <c r="G398" s="16"/>
      <c r="J398" s="43"/>
      <c r="N398" s="8"/>
      <c r="O398" s="16"/>
      <c r="P398" s="8"/>
      <c r="AP398" s="43"/>
    </row>
    <row r="399">
      <c r="B399" s="46"/>
      <c r="E399" s="47"/>
      <c r="F399" s="47"/>
      <c r="G399" s="16"/>
      <c r="J399" s="43"/>
      <c r="N399" s="8"/>
      <c r="O399" s="16"/>
      <c r="P399" s="8"/>
      <c r="AP399" s="43"/>
    </row>
    <row r="400">
      <c r="B400" s="46"/>
      <c r="E400" s="47"/>
      <c r="F400" s="47"/>
      <c r="G400" s="16"/>
      <c r="J400" s="43"/>
      <c r="N400" s="8"/>
      <c r="O400" s="16"/>
      <c r="P400" s="8"/>
      <c r="AP400" s="43"/>
    </row>
    <row r="401">
      <c r="B401" s="46"/>
      <c r="E401" s="47"/>
      <c r="F401" s="47"/>
      <c r="G401" s="16"/>
      <c r="J401" s="43"/>
      <c r="N401" s="8"/>
      <c r="O401" s="16"/>
      <c r="P401" s="8"/>
      <c r="AP401" s="43"/>
    </row>
    <row r="402">
      <c r="B402" s="46"/>
      <c r="E402" s="47"/>
      <c r="F402" s="47"/>
      <c r="G402" s="16"/>
      <c r="J402" s="43"/>
      <c r="N402" s="8"/>
      <c r="O402" s="16"/>
      <c r="P402" s="8"/>
      <c r="AP402" s="43"/>
    </row>
    <row r="403">
      <c r="B403" s="46"/>
      <c r="E403" s="47"/>
      <c r="F403" s="47"/>
      <c r="G403" s="16"/>
      <c r="J403" s="43"/>
      <c r="N403" s="8"/>
      <c r="O403" s="16"/>
      <c r="P403" s="8"/>
      <c r="AP403" s="43"/>
    </row>
    <row r="404">
      <c r="B404" s="46"/>
      <c r="E404" s="47"/>
      <c r="F404" s="47"/>
      <c r="G404" s="16"/>
      <c r="J404" s="43"/>
      <c r="N404" s="8"/>
      <c r="O404" s="16"/>
      <c r="P404" s="8"/>
      <c r="AP404" s="43"/>
    </row>
    <row r="405">
      <c r="B405" s="46"/>
      <c r="E405" s="47"/>
      <c r="F405" s="47"/>
      <c r="G405" s="16"/>
      <c r="J405" s="43"/>
      <c r="N405" s="8"/>
      <c r="O405" s="16"/>
      <c r="P405" s="8"/>
      <c r="AP405" s="43"/>
    </row>
    <row r="406">
      <c r="B406" s="46"/>
      <c r="E406" s="47"/>
      <c r="F406" s="47"/>
      <c r="G406" s="16"/>
      <c r="J406" s="43"/>
      <c r="N406" s="8"/>
      <c r="O406" s="16"/>
      <c r="P406" s="8"/>
      <c r="AP406" s="43"/>
    </row>
    <row r="407">
      <c r="B407" s="46"/>
      <c r="E407" s="47"/>
      <c r="F407" s="47"/>
      <c r="G407" s="16"/>
      <c r="J407" s="43"/>
      <c r="N407" s="8"/>
      <c r="O407" s="16"/>
      <c r="P407" s="8"/>
      <c r="AP407" s="43"/>
    </row>
    <row r="408">
      <c r="B408" s="46"/>
      <c r="E408" s="47"/>
      <c r="F408" s="47"/>
      <c r="G408" s="16"/>
      <c r="J408" s="43"/>
      <c r="N408" s="8"/>
      <c r="O408" s="16"/>
      <c r="P408" s="8"/>
      <c r="AP408" s="43"/>
    </row>
    <row r="409">
      <c r="B409" s="46"/>
      <c r="E409" s="47"/>
      <c r="F409" s="47"/>
      <c r="G409" s="16"/>
      <c r="J409" s="43"/>
      <c r="N409" s="8"/>
      <c r="O409" s="16"/>
      <c r="P409" s="8"/>
      <c r="AP409" s="43"/>
    </row>
    <row r="410">
      <c r="B410" s="46"/>
      <c r="E410" s="47"/>
      <c r="F410" s="47"/>
      <c r="G410" s="16"/>
      <c r="J410" s="43"/>
      <c r="N410" s="8"/>
      <c r="O410" s="16"/>
      <c r="P410" s="8"/>
      <c r="AP410" s="43"/>
    </row>
    <row r="411">
      <c r="B411" s="46"/>
      <c r="E411" s="47"/>
      <c r="F411" s="47"/>
      <c r="G411" s="16"/>
      <c r="J411" s="43"/>
      <c r="N411" s="8"/>
      <c r="O411" s="16"/>
      <c r="P411" s="8"/>
      <c r="AP411" s="43"/>
    </row>
    <row r="412">
      <c r="B412" s="46"/>
      <c r="E412" s="47"/>
      <c r="F412" s="47"/>
      <c r="G412" s="16"/>
      <c r="J412" s="43"/>
      <c r="N412" s="8"/>
      <c r="O412" s="16"/>
      <c r="P412" s="8"/>
      <c r="AP412" s="43"/>
    </row>
    <row r="413">
      <c r="B413" s="46"/>
      <c r="E413" s="47"/>
      <c r="F413" s="47"/>
      <c r="G413" s="16"/>
      <c r="J413" s="43"/>
      <c r="N413" s="8"/>
      <c r="O413" s="16"/>
      <c r="P413" s="8"/>
      <c r="AP413" s="43"/>
    </row>
    <row r="414">
      <c r="B414" s="46"/>
      <c r="E414" s="47"/>
      <c r="F414" s="47"/>
      <c r="G414" s="16"/>
      <c r="J414" s="43"/>
      <c r="N414" s="8"/>
      <c r="O414" s="16"/>
      <c r="P414" s="8"/>
      <c r="AP414" s="43"/>
    </row>
    <row r="415">
      <c r="B415" s="46"/>
      <c r="E415" s="47"/>
      <c r="F415" s="47"/>
      <c r="G415" s="16"/>
      <c r="J415" s="43"/>
      <c r="N415" s="8"/>
      <c r="O415" s="16"/>
      <c r="P415" s="8"/>
      <c r="AP415" s="43"/>
    </row>
    <row r="416">
      <c r="B416" s="46"/>
      <c r="E416" s="47"/>
      <c r="F416" s="47"/>
      <c r="G416" s="16"/>
      <c r="J416" s="43"/>
      <c r="N416" s="8"/>
      <c r="O416" s="16"/>
      <c r="P416" s="8"/>
      <c r="AP416" s="43"/>
    </row>
    <row r="417">
      <c r="B417" s="46"/>
      <c r="E417" s="47"/>
      <c r="F417" s="47"/>
      <c r="G417" s="16"/>
      <c r="J417" s="43"/>
      <c r="N417" s="8"/>
      <c r="O417" s="16"/>
      <c r="P417" s="8"/>
      <c r="AP417" s="43"/>
    </row>
    <row r="418">
      <c r="B418" s="46"/>
      <c r="E418" s="47"/>
      <c r="F418" s="47"/>
      <c r="G418" s="16"/>
      <c r="J418" s="43"/>
      <c r="N418" s="8"/>
      <c r="O418" s="16"/>
      <c r="P418" s="8"/>
      <c r="AP418" s="43"/>
    </row>
    <row r="419">
      <c r="B419" s="46"/>
      <c r="E419" s="47"/>
      <c r="F419" s="47"/>
      <c r="G419" s="16"/>
      <c r="J419" s="43"/>
      <c r="N419" s="8"/>
      <c r="O419" s="16"/>
      <c r="P419" s="8"/>
      <c r="AP419" s="43"/>
    </row>
    <row r="420">
      <c r="B420" s="46"/>
      <c r="E420" s="47"/>
      <c r="F420" s="47"/>
      <c r="G420" s="16"/>
      <c r="J420" s="43"/>
      <c r="N420" s="8"/>
      <c r="O420" s="16"/>
      <c r="P420" s="8"/>
      <c r="AP420" s="43"/>
    </row>
    <row r="421">
      <c r="B421" s="46"/>
      <c r="E421" s="47"/>
      <c r="F421" s="47"/>
      <c r="G421" s="16"/>
      <c r="J421" s="43"/>
      <c r="N421" s="8"/>
      <c r="O421" s="16"/>
      <c r="P421" s="8"/>
      <c r="AP421" s="43"/>
    </row>
    <row r="422">
      <c r="B422" s="46"/>
      <c r="E422" s="47"/>
      <c r="F422" s="47"/>
      <c r="G422" s="16"/>
      <c r="J422" s="43"/>
      <c r="N422" s="8"/>
      <c r="O422" s="16"/>
      <c r="P422" s="8"/>
      <c r="AP422" s="43"/>
    </row>
    <row r="423">
      <c r="B423" s="46"/>
      <c r="E423" s="47"/>
      <c r="F423" s="47"/>
      <c r="G423" s="16"/>
      <c r="J423" s="43"/>
      <c r="N423" s="8"/>
      <c r="O423" s="16"/>
      <c r="P423" s="8"/>
      <c r="AP423" s="43"/>
    </row>
    <row r="424">
      <c r="B424" s="46"/>
      <c r="E424" s="47"/>
      <c r="F424" s="47"/>
      <c r="G424" s="16"/>
      <c r="J424" s="43"/>
      <c r="N424" s="8"/>
      <c r="O424" s="16"/>
      <c r="P424" s="8"/>
      <c r="AP424" s="43"/>
    </row>
    <row r="425">
      <c r="B425" s="46"/>
      <c r="E425" s="47"/>
      <c r="F425" s="47"/>
      <c r="G425" s="16"/>
      <c r="J425" s="43"/>
      <c r="N425" s="8"/>
      <c r="O425" s="16"/>
      <c r="P425" s="8"/>
      <c r="AP425" s="43"/>
    </row>
    <row r="426">
      <c r="B426" s="46"/>
      <c r="E426" s="47"/>
      <c r="F426" s="47"/>
      <c r="G426" s="16"/>
      <c r="J426" s="43"/>
      <c r="N426" s="8"/>
      <c r="O426" s="16"/>
      <c r="P426" s="8"/>
      <c r="AP426" s="43"/>
    </row>
    <row r="427">
      <c r="B427" s="46"/>
      <c r="E427" s="47"/>
      <c r="F427" s="47"/>
      <c r="G427" s="16"/>
      <c r="J427" s="43"/>
      <c r="N427" s="8"/>
      <c r="O427" s="16"/>
      <c r="P427" s="8"/>
      <c r="AP427" s="43"/>
    </row>
    <row r="428">
      <c r="B428" s="46"/>
      <c r="E428" s="47"/>
      <c r="F428" s="47"/>
      <c r="G428" s="16"/>
      <c r="J428" s="43"/>
      <c r="N428" s="8"/>
      <c r="O428" s="16"/>
      <c r="P428" s="8"/>
      <c r="AP428" s="43"/>
    </row>
    <row r="429">
      <c r="B429" s="46"/>
      <c r="E429" s="47"/>
      <c r="F429" s="47"/>
      <c r="G429" s="16"/>
      <c r="J429" s="43"/>
      <c r="N429" s="8"/>
      <c r="O429" s="16"/>
      <c r="P429" s="8"/>
      <c r="AP429" s="43"/>
    </row>
    <row r="430">
      <c r="B430" s="46"/>
      <c r="E430" s="47"/>
      <c r="F430" s="47"/>
      <c r="G430" s="16"/>
      <c r="J430" s="43"/>
      <c r="N430" s="8"/>
      <c r="O430" s="16"/>
      <c r="P430" s="8"/>
      <c r="AP430" s="43"/>
    </row>
    <row r="431">
      <c r="B431" s="46"/>
      <c r="E431" s="47"/>
      <c r="F431" s="47"/>
      <c r="G431" s="16"/>
      <c r="J431" s="43"/>
      <c r="N431" s="8"/>
      <c r="O431" s="16"/>
      <c r="P431" s="8"/>
      <c r="AP431" s="43"/>
    </row>
    <row r="432">
      <c r="B432" s="46"/>
      <c r="E432" s="47"/>
      <c r="F432" s="47"/>
      <c r="G432" s="16"/>
      <c r="J432" s="43"/>
      <c r="N432" s="8"/>
      <c r="O432" s="16"/>
      <c r="P432" s="8"/>
      <c r="AP432" s="43"/>
    </row>
    <row r="433">
      <c r="B433" s="46"/>
      <c r="E433" s="47"/>
      <c r="F433" s="47"/>
      <c r="G433" s="16"/>
      <c r="J433" s="43"/>
      <c r="N433" s="8"/>
      <c r="O433" s="16"/>
      <c r="P433" s="8"/>
      <c r="AP433" s="43"/>
    </row>
    <row r="434">
      <c r="B434" s="46"/>
      <c r="E434" s="47"/>
      <c r="F434" s="47"/>
      <c r="G434" s="16"/>
      <c r="J434" s="43"/>
      <c r="N434" s="8"/>
      <c r="O434" s="16"/>
      <c r="P434" s="8"/>
      <c r="AP434" s="43"/>
    </row>
    <row r="435">
      <c r="B435" s="46"/>
      <c r="E435" s="47"/>
      <c r="F435" s="47"/>
      <c r="G435" s="16"/>
      <c r="J435" s="43"/>
      <c r="N435" s="8"/>
      <c r="O435" s="16"/>
      <c r="P435" s="8"/>
      <c r="AP435" s="43"/>
    </row>
    <row r="436">
      <c r="B436" s="46"/>
      <c r="E436" s="47"/>
      <c r="F436" s="47"/>
      <c r="G436" s="16"/>
      <c r="J436" s="43"/>
      <c r="N436" s="8"/>
      <c r="O436" s="16"/>
      <c r="P436" s="8"/>
      <c r="AP436" s="43"/>
    </row>
    <row r="437">
      <c r="B437" s="46"/>
      <c r="E437" s="47"/>
      <c r="F437" s="47"/>
      <c r="G437" s="16"/>
      <c r="J437" s="43"/>
      <c r="N437" s="8"/>
      <c r="O437" s="16"/>
      <c r="P437" s="8"/>
      <c r="AP437" s="43"/>
    </row>
    <row r="438">
      <c r="B438" s="46"/>
      <c r="E438" s="47"/>
      <c r="F438" s="47"/>
      <c r="G438" s="16"/>
      <c r="J438" s="43"/>
      <c r="N438" s="8"/>
      <c r="O438" s="16"/>
      <c r="P438" s="8"/>
      <c r="AP438" s="43"/>
    </row>
    <row r="439">
      <c r="B439" s="46"/>
      <c r="E439" s="47"/>
      <c r="F439" s="47"/>
      <c r="G439" s="16"/>
      <c r="J439" s="43"/>
      <c r="N439" s="8"/>
      <c r="O439" s="16"/>
      <c r="P439" s="8"/>
      <c r="AP439" s="43"/>
    </row>
    <row r="440">
      <c r="B440" s="46"/>
      <c r="E440" s="47"/>
      <c r="F440" s="47"/>
      <c r="G440" s="16"/>
      <c r="J440" s="43"/>
      <c r="N440" s="8"/>
      <c r="O440" s="16"/>
      <c r="P440" s="8"/>
      <c r="AP440" s="43"/>
    </row>
    <row r="441">
      <c r="B441" s="46"/>
      <c r="E441" s="47"/>
      <c r="F441" s="47"/>
      <c r="G441" s="16"/>
      <c r="J441" s="43"/>
      <c r="N441" s="8"/>
      <c r="O441" s="16"/>
      <c r="P441" s="8"/>
      <c r="AP441" s="43"/>
    </row>
    <row r="442">
      <c r="B442" s="46"/>
      <c r="E442" s="47"/>
      <c r="F442" s="47"/>
      <c r="G442" s="16"/>
      <c r="J442" s="43"/>
      <c r="N442" s="8"/>
      <c r="O442" s="16"/>
      <c r="P442" s="8"/>
      <c r="AP442" s="43"/>
    </row>
    <row r="443">
      <c r="B443" s="46"/>
      <c r="E443" s="47"/>
      <c r="F443" s="47"/>
      <c r="G443" s="16"/>
      <c r="J443" s="43"/>
      <c r="N443" s="8"/>
      <c r="O443" s="16"/>
      <c r="P443" s="8"/>
      <c r="AP443" s="43"/>
    </row>
    <row r="444">
      <c r="B444" s="46"/>
      <c r="E444" s="47"/>
      <c r="F444" s="47"/>
      <c r="G444" s="16"/>
      <c r="J444" s="43"/>
      <c r="N444" s="8"/>
      <c r="O444" s="16"/>
      <c r="P444" s="8"/>
      <c r="AP444" s="43"/>
    </row>
    <row r="445">
      <c r="B445" s="46"/>
      <c r="E445" s="47"/>
      <c r="F445" s="47"/>
      <c r="G445" s="16"/>
      <c r="J445" s="43"/>
      <c r="N445" s="8"/>
      <c r="O445" s="16"/>
      <c r="P445" s="8"/>
      <c r="AP445" s="43"/>
    </row>
    <row r="446">
      <c r="B446" s="46"/>
      <c r="E446" s="47"/>
      <c r="F446" s="47"/>
      <c r="G446" s="16"/>
      <c r="J446" s="43"/>
      <c r="N446" s="8"/>
      <c r="O446" s="16"/>
      <c r="P446" s="8"/>
      <c r="AP446" s="43"/>
    </row>
    <row r="447">
      <c r="B447" s="46"/>
      <c r="E447" s="47"/>
      <c r="F447" s="47"/>
      <c r="G447" s="16"/>
      <c r="J447" s="43"/>
      <c r="N447" s="8"/>
      <c r="O447" s="16"/>
      <c r="P447" s="8"/>
      <c r="AP447" s="43"/>
    </row>
    <row r="448">
      <c r="B448" s="46"/>
      <c r="E448" s="47"/>
      <c r="F448" s="47"/>
      <c r="G448" s="16"/>
      <c r="J448" s="43"/>
      <c r="N448" s="8"/>
      <c r="O448" s="16"/>
      <c r="P448" s="8"/>
      <c r="AP448" s="43"/>
    </row>
    <row r="449">
      <c r="B449" s="46"/>
      <c r="E449" s="47"/>
      <c r="F449" s="47"/>
      <c r="G449" s="16"/>
      <c r="J449" s="43"/>
      <c r="N449" s="8"/>
      <c r="O449" s="16"/>
      <c r="P449" s="8"/>
      <c r="AP449" s="43"/>
    </row>
    <row r="450">
      <c r="B450" s="46"/>
      <c r="E450" s="47"/>
      <c r="F450" s="47"/>
      <c r="G450" s="16"/>
      <c r="J450" s="43"/>
      <c r="N450" s="8"/>
      <c r="O450" s="16"/>
      <c r="P450" s="8"/>
      <c r="AP450" s="43"/>
    </row>
    <row r="451">
      <c r="B451" s="46"/>
      <c r="E451" s="47"/>
      <c r="F451" s="47"/>
      <c r="G451" s="16"/>
      <c r="J451" s="43"/>
      <c r="N451" s="8"/>
      <c r="O451" s="16"/>
      <c r="P451" s="8"/>
      <c r="AP451" s="43"/>
    </row>
    <row r="452">
      <c r="B452" s="46"/>
      <c r="E452" s="47"/>
      <c r="F452" s="47"/>
      <c r="G452" s="16"/>
      <c r="J452" s="43"/>
      <c r="N452" s="8"/>
      <c r="O452" s="16"/>
      <c r="P452" s="8"/>
      <c r="AP452" s="43"/>
    </row>
    <row r="453">
      <c r="B453" s="46"/>
      <c r="E453" s="47"/>
      <c r="F453" s="47"/>
      <c r="G453" s="16"/>
      <c r="J453" s="43"/>
      <c r="N453" s="8"/>
      <c r="O453" s="16"/>
      <c r="P453" s="8"/>
      <c r="AP453" s="43"/>
    </row>
    <row r="454">
      <c r="B454" s="46"/>
      <c r="E454" s="47"/>
      <c r="F454" s="47"/>
      <c r="G454" s="16"/>
      <c r="J454" s="43"/>
      <c r="N454" s="8"/>
      <c r="O454" s="16"/>
      <c r="P454" s="8"/>
      <c r="AP454" s="43"/>
    </row>
    <row r="455">
      <c r="B455" s="46"/>
      <c r="E455" s="47"/>
      <c r="F455" s="47"/>
      <c r="G455" s="16"/>
      <c r="J455" s="43"/>
      <c r="N455" s="8"/>
      <c r="O455" s="16"/>
      <c r="P455" s="8"/>
      <c r="AP455" s="43"/>
    </row>
    <row r="456">
      <c r="B456" s="46"/>
      <c r="E456" s="47"/>
      <c r="F456" s="47"/>
      <c r="G456" s="16"/>
      <c r="J456" s="43"/>
      <c r="N456" s="8"/>
      <c r="O456" s="16"/>
      <c r="P456" s="8"/>
      <c r="AP456" s="43"/>
    </row>
    <row r="457">
      <c r="B457" s="46"/>
      <c r="E457" s="47"/>
      <c r="F457" s="47"/>
      <c r="G457" s="16"/>
      <c r="J457" s="43"/>
      <c r="N457" s="8"/>
      <c r="O457" s="16"/>
      <c r="P457" s="8"/>
      <c r="AP457" s="43"/>
    </row>
    <row r="458">
      <c r="B458" s="46"/>
      <c r="E458" s="47"/>
      <c r="F458" s="47"/>
      <c r="G458" s="16"/>
      <c r="J458" s="43"/>
      <c r="N458" s="8"/>
      <c r="O458" s="16"/>
      <c r="P458" s="8"/>
      <c r="AP458" s="43"/>
    </row>
    <row r="459">
      <c r="B459" s="46"/>
      <c r="E459" s="47"/>
      <c r="F459" s="47"/>
      <c r="G459" s="16"/>
      <c r="J459" s="43"/>
      <c r="N459" s="8"/>
      <c r="O459" s="16"/>
      <c r="P459" s="8"/>
      <c r="AP459" s="43"/>
    </row>
    <row r="460">
      <c r="B460" s="46"/>
      <c r="E460" s="47"/>
      <c r="F460" s="47"/>
      <c r="G460" s="16"/>
      <c r="J460" s="43"/>
      <c r="N460" s="8"/>
      <c r="O460" s="16"/>
      <c r="P460" s="8"/>
      <c r="AP460" s="43"/>
    </row>
    <row r="461">
      <c r="B461" s="46"/>
      <c r="E461" s="47"/>
      <c r="F461" s="47"/>
      <c r="G461" s="16"/>
      <c r="J461" s="43"/>
      <c r="N461" s="8"/>
      <c r="O461" s="16"/>
      <c r="P461" s="8"/>
      <c r="AP461" s="43"/>
    </row>
    <row r="462">
      <c r="B462" s="46"/>
      <c r="E462" s="47"/>
      <c r="F462" s="47"/>
      <c r="G462" s="16"/>
      <c r="J462" s="43"/>
      <c r="N462" s="8"/>
      <c r="O462" s="16"/>
      <c r="P462" s="8"/>
      <c r="AP462" s="43"/>
    </row>
    <row r="463">
      <c r="B463" s="46"/>
      <c r="E463" s="47"/>
      <c r="F463" s="47"/>
      <c r="G463" s="16"/>
      <c r="J463" s="43"/>
      <c r="N463" s="8"/>
      <c r="O463" s="16"/>
      <c r="P463" s="8"/>
      <c r="AP463" s="43"/>
    </row>
    <row r="464">
      <c r="B464" s="46"/>
      <c r="E464" s="47"/>
      <c r="F464" s="47"/>
      <c r="G464" s="16"/>
      <c r="J464" s="43"/>
      <c r="N464" s="8"/>
      <c r="O464" s="16"/>
      <c r="P464" s="8"/>
      <c r="AP464" s="43"/>
    </row>
    <row r="465">
      <c r="B465" s="46"/>
      <c r="E465" s="47"/>
      <c r="F465" s="47"/>
      <c r="G465" s="16"/>
      <c r="J465" s="43"/>
      <c r="N465" s="8"/>
      <c r="O465" s="16"/>
      <c r="P465" s="8"/>
      <c r="AP465" s="43"/>
    </row>
    <row r="466">
      <c r="B466" s="46"/>
      <c r="E466" s="47"/>
      <c r="F466" s="47"/>
      <c r="G466" s="16"/>
      <c r="J466" s="43"/>
      <c r="N466" s="8"/>
      <c r="O466" s="16"/>
      <c r="P466" s="8"/>
      <c r="AP466" s="43"/>
    </row>
    <row r="467">
      <c r="B467" s="46"/>
      <c r="E467" s="47"/>
      <c r="F467" s="47"/>
      <c r="G467" s="16"/>
      <c r="J467" s="43"/>
      <c r="N467" s="8"/>
      <c r="O467" s="16"/>
      <c r="P467" s="8"/>
      <c r="AP467" s="43"/>
    </row>
    <row r="468">
      <c r="B468" s="46"/>
      <c r="E468" s="47"/>
      <c r="F468" s="47"/>
      <c r="G468" s="16"/>
      <c r="J468" s="43"/>
      <c r="N468" s="8"/>
      <c r="O468" s="16"/>
      <c r="P468" s="8"/>
      <c r="AP468" s="43"/>
    </row>
    <row r="469">
      <c r="B469" s="46"/>
      <c r="E469" s="47"/>
      <c r="F469" s="47"/>
      <c r="G469" s="16"/>
      <c r="J469" s="43"/>
      <c r="N469" s="8"/>
      <c r="O469" s="16"/>
      <c r="P469" s="8"/>
      <c r="AP469" s="43"/>
    </row>
    <row r="470">
      <c r="B470" s="46"/>
      <c r="E470" s="47"/>
      <c r="F470" s="47"/>
      <c r="G470" s="16"/>
      <c r="J470" s="43"/>
      <c r="N470" s="8"/>
      <c r="O470" s="16"/>
      <c r="P470" s="8"/>
      <c r="AP470" s="43"/>
    </row>
    <row r="471">
      <c r="B471" s="46"/>
      <c r="E471" s="47"/>
      <c r="F471" s="47"/>
      <c r="G471" s="16"/>
      <c r="J471" s="43"/>
      <c r="N471" s="8"/>
      <c r="O471" s="16"/>
      <c r="P471" s="8"/>
      <c r="AP471" s="43"/>
    </row>
    <row r="472">
      <c r="B472" s="46"/>
      <c r="E472" s="47"/>
      <c r="F472" s="47"/>
      <c r="G472" s="16"/>
      <c r="J472" s="43"/>
      <c r="N472" s="8"/>
      <c r="O472" s="16"/>
      <c r="P472" s="8"/>
      <c r="AP472" s="43"/>
    </row>
    <row r="473">
      <c r="B473" s="46"/>
      <c r="E473" s="47"/>
      <c r="F473" s="47"/>
      <c r="G473" s="16"/>
      <c r="J473" s="43"/>
      <c r="N473" s="8"/>
      <c r="O473" s="16"/>
      <c r="P473" s="8"/>
      <c r="AP473" s="43"/>
    </row>
    <row r="474">
      <c r="B474" s="46"/>
      <c r="E474" s="47"/>
      <c r="F474" s="47"/>
      <c r="G474" s="16"/>
      <c r="J474" s="43"/>
      <c r="N474" s="8"/>
      <c r="O474" s="16"/>
      <c r="P474" s="8"/>
      <c r="AP474" s="43"/>
    </row>
    <row r="475">
      <c r="B475" s="46"/>
      <c r="E475" s="47"/>
      <c r="F475" s="47"/>
      <c r="G475" s="16"/>
      <c r="J475" s="43"/>
      <c r="N475" s="8"/>
      <c r="O475" s="16"/>
      <c r="P475" s="8"/>
      <c r="AP475" s="43"/>
    </row>
    <row r="476">
      <c r="B476" s="46"/>
      <c r="E476" s="47"/>
      <c r="F476" s="47"/>
      <c r="G476" s="16"/>
      <c r="J476" s="43"/>
      <c r="N476" s="8"/>
      <c r="O476" s="16"/>
      <c r="P476" s="8"/>
      <c r="AP476" s="43"/>
    </row>
    <row r="477">
      <c r="B477" s="46"/>
      <c r="E477" s="47"/>
      <c r="F477" s="47"/>
      <c r="G477" s="16"/>
      <c r="J477" s="43"/>
      <c r="N477" s="8"/>
      <c r="O477" s="16"/>
      <c r="P477" s="8"/>
      <c r="AP477" s="43"/>
    </row>
    <row r="478">
      <c r="B478" s="46"/>
      <c r="E478" s="47"/>
      <c r="F478" s="47"/>
      <c r="G478" s="16"/>
      <c r="J478" s="43"/>
      <c r="N478" s="8"/>
      <c r="O478" s="16"/>
      <c r="P478" s="8"/>
      <c r="AP478" s="43"/>
    </row>
    <row r="479">
      <c r="B479" s="46"/>
      <c r="E479" s="47"/>
      <c r="F479" s="47"/>
      <c r="G479" s="16"/>
      <c r="J479" s="43"/>
      <c r="N479" s="8"/>
      <c r="O479" s="16"/>
      <c r="P479" s="8"/>
      <c r="AP479" s="43"/>
    </row>
    <row r="480">
      <c r="B480" s="46"/>
      <c r="E480" s="47"/>
      <c r="F480" s="47"/>
      <c r="G480" s="16"/>
      <c r="J480" s="43"/>
      <c r="N480" s="8"/>
      <c r="O480" s="16"/>
      <c r="P480" s="8"/>
      <c r="AP480" s="43"/>
    </row>
    <row r="481">
      <c r="B481" s="46"/>
      <c r="E481" s="47"/>
      <c r="F481" s="47"/>
      <c r="G481" s="16"/>
      <c r="J481" s="43"/>
      <c r="N481" s="8"/>
      <c r="O481" s="16"/>
      <c r="P481" s="8"/>
      <c r="AP481" s="43"/>
    </row>
    <row r="482">
      <c r="B482" s="46"/>
      <c r="E482" s="47"/>
      <c r="F482" s="47"/>
      <c r="G482" s="16"/>
      <c r="J482" s="43"/>
      <c r="N482" s="8"/>
      <c r="O482" s="16"/>
      <c r="P482" s="8"/>
      <c r="AP482" s="43"/>
    </row>
    <row r="483">
      <c r="B483" s="46"/>
      <c r="E483" s="47"/>
      <c r="F483" s="47"/>
      <c r="G483" s="16"/>
      <c r="J483" s="43"/>
      <c r="N483" s="8"/>
      <c r="O483" s="16"/>
      <c r="P483" s="8"/>
      <c r="AP483" s="43"/>
    </row>
    <row r="484">
      <c r="B484" s="46"/>
      <c r="E484" s="47"/>
      <c r="F484" s="47"/>
      <c r="G484" s="16"/>
      <c r="J484" s="43"/>
      <c r="N484" s="8"/>
      <c r="O484" s="16"/>
      <c r="P484" s="8"/>
      <c r="AP484" s="43"/>
    </row>
    <row r="485">
      <c r="B485" s="46"/>
      <c r="E485" s="47"/>
      <c r="F485" s="47"/>
      <c r="G485" s="16"/>
      <c r="J485" s="43"/>
      <c r="N485" s="8"/>
      <c r="O485" s="16"/>
      <c r="P485" s="8"/>
      <c r="AP485" s="43"/>
    </row>
    <row r="486">
      <c r="B486" s="46"/>
      <c r="E486" s="47"/>
      <c r="F486" s="47"/>
      <c r="G486" s="16"/>
      <c r="J486" s="43"/>
      <c r="N486" s="8"/>
      <c r="O486" s="16"/>
      <c r="P486" s="8"/>
      <c r="AP486" s="43"/>
    </row>
    <row r="487">
      <c r="B487" s="46"/>
      <c r="E487" s="47"/>
      <c r="F487" s="47"/>
      <c r="G487" s="16"/>
      <c r="J487" s="43"/>
      <c r="N487" s="8"/>
      <c r="O487" s="16"/>
      <c r="P487" s="8"/>
      <c r="AP487" s="43"/>
    </row>
    <row r="488">
      <c r="B488" s="46"/>
      <c r="E488" s="47"/>
      <c r="F488" s="47"/>
      <c r="G488" s="16"/>
      <c r="J488" s="43"/>
      <c r="N488" s="8"/>
      <c r="O488" s="16"/>
      <c r="P488" s="8"/>
      <c r="AP488" s="43"/>
    </row>
    <row r="489">
      <c r="B489" s="46"/>
      <c r="E489" s="47"/>
      <c r="F489" s="47"/>
      <c r="G489" s="16"/>
      <c r="J489" s="43"/>
      <c r="N489" s="8"/>
      <c r="O489" s="16"/>
      <c r="P489" s="8"/>
      <c r="AP489" s="43"/>
    </row>
    <row r="490">
      <c r="B490" s="46"/>
      <c r="E490" s="47"/>
      <c r="F490" s="47"/>
      <c r="G490" s="16"/>
      <c r="J490" s="43"/>
      <c r="N490" s="8"/>
      <c r="O490" s="16"/>
      <c r="P490" s="8"/>
      <c r="AP490" s="43"/>
    </row>
    <row r="491">
      <c r="B491" s="46"/>
      <c r="E491" s="47"/>
      <c r="F491" s="47"/>
      <c r="G491" s="16"/>
      <c r="J491" s="43"/>
      <c r="N491" s="8"/>
      <c r="O491" s="16"/>
      <c r="P491" s="8"/>
      <c r="AP491" s="43"/>
    </row>
    <row r="492">
      <c r="B492" s="46"/>
      <c r="E492" s="47"/>
      <c r="F492" s="47"/>
      <c r="G492" s="16"/>
      <c r="J492" s="43"/>
      <c r="N492" s="8"/>
      <c r="O492" s="16"/>
      <c r="P492" s="8"/>
      <c r="AP492" s="43"/>
    </row>
    <row r="493">
      <c r="B493" s="46"/>
      <c r="E493" s="47"/>
      <c r="F493" s="47"/>
      <c r="G493" s="16"/>
      <c r="J493" s="43"/>
      <c r="N493" s="8"/>
      <c r="O493" s="16"/>
      <c r="P493" s="8"/>
      <c r="AP493" s="43"/>
    </row>
    <row r="494">
      <c r="B494" s="46"/>
      <c r="E494" s="47"/>
      <c r="F494" s="47"/>
      <c r="G494" s="16"/>
      <c r="J494" s="43"/>
      <c r="N494" s="8"/>
      <c r="O494" s="16"/>
      <c r="P494" s="8"/>
      <c r="AP494" s="43"/>
    </row>
    <row r="495">
      <c r="B495" s="46"/>
      <c r="E495" s="47"/>
      <c r="F495" s="47"/>
      <c r="G495" s="16"/>
      <c r="J495" s="43"/>
      <c r="N495" s="8"/>
      <c r="O495" s="16"/>
      <c r="P495" s="8"/>
      <c r="AP495" s="43"/>
    </row>
    <row r="496">
      <c r="B496" s="46"/>
      <c r="E496" s="47"/>
      <c r="F496" s="47"/>
      <c r="G496" s="16"/>
      <c r="J496" s="43"/>
      <c r="N496" s="8"/>
      <c r="O496" s="16"/>
      <c r="P496" s="8"/>
      <c r="AP496" s="43"/>
    </row>
    <row r="497">
      <c r="B497" s="46"/>
      <c r="E497" s="47"/>
      <c r="F497" s="47"/>
      <c r="G497" s="16"/>
      <c r="J497" s="43"/>
      <c r="N497" s="8"/>
      <c r="O497" s="16"/>
      <c r="P497" s="8"/>
      <c r="AP497" s="43"/>
    </row>
    <row r="498">
      <c r="B498" s="46"/>
      <c r="E498" s="47"/>
      <c r="F498" s="47"/>
      <c r="G498" s="16"/>
      <c r="J498" s="43"/>
      <c r="N498" s="8"/>
      <c r="O498" s="16"/>
      <c r="P498" s="8"/>
      <c r="AP498" s="43"/>
    </row>
    <row r="499">
      <c r="B499" s="46"/>
      <c r="E499" s="47"/>
      <c r="F499" s="47"/>
      <c r="G499" s="16"/>
      <c r="J499" s="43"/>
      <c r="N499" s="8"/>
      <c r="O499" s="16"/>
      <c r="P499" s="8"/>
      <c r="AP499" s="43"/>
    </row>
    <row r="500">
      <c r="B500" s="46"/>
      <c r="E500" s="47"/>
      <c r="F500" s="47"/>
      <c r="G500" s="16"/>
      <c r="J500" s="43"/>
      <c r="N500" s="8"/>
      <c r="O500" s="16"/>
      <c r="P500" s="8"/>
      <c r="AP500" s="43"/>
    </row>
    <row r="501">
      <c r="B501" s="46"/>
      <c r="E501" s="47"/>
      <c r="F501" s="47"/>
      <c r="G501" s="16"/>
      <c r="J501" s="43"/>
      <c r="N501" s="8"/>
      <c r="O501" s="16"/>
      <c r="P501" s="8"/>
      <c r="AP501" s="43"/>
    </row>
    <row r="502">
      <c r="B502" s="46"/>
      <c r="E502" s="47"/>
      <c r="F502" s="47"/>
      <c r="G502" s="16"/>
      <c r="J502" s="43"/>
      <c r="N502" s="8"/>
      <c r="O502" s="16"/>
      <c r="P502" s="8"/>
      <c r="AP502" s="43"/>
    </row>
    <row r="503">
      <c r="B503" s="46"/>
      <c r="E503" s="47"/>
      <c r="F503" s="47"/>
      <c r="G503" s="16"/>
      <c r="J503" s="43"/>
      <c r="N503" s="8"/>
      <c r="O503" s="16"/>
      <c r="P503" s="8"/>
      <c r="AP503" s="43"/>
    </row>
    <row r="504">
      <c r="B504" s="46"/>
      <c r="E504" s="47"/>
      <c r="F504" s="47"/>
      <c r="G504" s="16"/>
      <c r="J504" s="43"/>
      <c r="N504" s="8"/>
      <c r="O504" s="16"/>
      <c r="P504" s="8"/>
      <c r="AP504" s="43"/>
    </row>
    <row r="505">
      <c r="B505" s="46"/>
      <c r="E505" s="47"/>
      <c r="F505" s="47"/>
      <c r="G505" s="16"/>
      <c r="J505" s="43"/>
      <c r="N505" s="8"/>
      <c r="O505" s="16"/>
      <c r="P505" s="8"/>
      <c r="AP505" s="43"/>
    </row>
    <row r="506">
      <c r="B506" s="46"/>
      <c r="E506" s="47"/>
      <c r="F506" s="47"/>
      <c r="G506" s="16"/>
      <c r="J506" s="43"/>
      <c r="N506" s="8"/>
      <c r="O506" s="16"/>
      <c r="P506" s="8"/>
      <c r="AP506" s="43"/>
    </row>
    <row r="507">
      <c r="B507" s="46"/>
      <c r="E507" s="47"/>
      <c r="F507" s="47"/>
      <c r="G507" s="16"/>
      <c r="J507" s="43"/>
      <c r="N507" s="8"/>
      <c r="O507" s="16"/>
      <c r="P507" s="8"/>
      <c r="AP507" s="43"/>
    </row>
    <row r="508">
      <c r="B508" s="46"/>
      <c r="E508" s="47"/>
      <c r="F508" s="47"/>
      <c r="G508" s="16"/>
      <c r="J508" s="43"/>
      <c r="N508" s="8"/>
      <c r="O508" s="16"/>
      <c r="P508" s="8"/>
      <c r="AP508" s="43"/>
    </row>
    <row r="509">
      <c r="B509" s="46"/>
      <c r="E509" s="47"/>
      <c r="F509" s="47"/>
      <c r="G509" s="16"/>
      <c r="J509" s="43"/>
      <c r="N509" s="8"/>
      <c r="O509" s="16"/>
      <c r="P509" s="8"/>
      <c r="AP509" s="43"/>
    </row>
    <row r="510">
      <c r="B510" s="46"/>
      <c r="E510" s="47"/>
      <c r="F510" s="47"/>
      <c r="G510" s="16"/>
      <c r="J510" s="43"/>
      <c r="N510" s="8"/>
      <c r="O510" s="16"/>
      <c r="P510" s="8"/>
      <c r="AP510" s="43"/>
    </row>
    <row r="511">
      <c r="B511" s="46"/>
      <c r="E511" s="47"/>
      <c r="F511" s="47"/>
      <c r="G511" s="16"/>
      <c r="J511" s="43"/>
      <c r="N511" s="8"/>
      <c r="O511" s="16"/>
      <c r="P511" s="8"/>
      <c r="AP511" s="43"/>
    </row>
    <row r="512">
      <c r="B512" s="46"/>
      <c r="E512" s="47"/>
      <c r="F512" s="47"/>
      <c r="G512" s="16"/>
      <c r="J512" s="43"/>
      <c r="N512" s="8"/>
      <c r="O512" s="16"/>
      <c r="P512" s="8"/>
      <c r="AP512" s="43"/>
    </row>
    <row r="513">
      <c r="B513" s="46"/>
      <c r="E513" s="47"/>
      <c r="F513" s="47"/>
      <c r="G513" s="16"/>
      <c r="J513" s="43"/>
      <c r="N513" s="8"/>
      <c r="O513" s="16"/>
      <c r="P513" s="8"/>
      <c r="AP513" s="43"/>
    </row>
    <row r="514">
      <c r="B514" s="46"/>
      <c r="E514" s="47"/>
      <c r="F514" s="47"/>
      <c r="G514" s="16"/>
      <c r="J514" s="43"/>
      <c r="N514" s="8"/>
      <c r="O514" s="16"/>
      <c r="P514" s="8"/>
      <c r="AP514" s="43"/>
    </row>
    <row r="515">
      <c r="B515" s="46"/>
      <c r="E515" s="47"/>
      <c r="F515" s="47"/>
      <c r="G515" s="16"/>
      <c r="J515" s="43"/>
      <c r="N515" s="8"/>
      <c r="O515" s="16"/>
      <c r="P515" s="8"/>
      <c r="AP515" s="43"/>
    </row>
    <row r="516">
      <c r="B516" s="46"/>
      <c r="E516" s="47"/>
      <c r="F516" s="47"/>
      <c r="G516" s="16"/>
      <c r="J516" s="43"/>
      <c r="N516" s="8"/>
      <c r="O516" s="16"/>
      <c r="P516" s="8"/>
      <c r="AP516" s="43"/>
    </row>
    <row r="517">
      <c r="B517" s="46"/>
      <c r="E517" s="47"/>
      <c r="F517" s="47"/>
      <c r="G517" s="16"/>
      <c r="J517" s="43"/>
      <c r="N517" s="8"/>
      <c r="O517" s="16"/>
      <c r="P517" s="8"/>
      <c r="AP517" s="43"/>
    </row>
    <row r="518">
      <c r="B518" s="46"/>
      <c r="E518" s="47"/>
      <c r="F518" s="47"/>
      <c r="G518" s="16"/>
      <c r="J518" s="43"/>
      <c r="N518" s="8"/>
      <c r="O518" s="16"/>
      <c r="P518" s="8"/>
    </row>
    <row r="519">
      <c r="B519" s="46"/>
      <c r="E519" s="47"/>
      <c r="F519" s="47"/>
      <c r="G519" s="16"/>
      <c r="J519" s="43"/>
      <c r="N519" s="8"/>
      <c r="O519" s="16"/>
      <c r="P519" s="8"/>
    </row>
    <row r="520">
      <c r="B520" s="46"/>
      <c r="E520" s="47"/>
      <c r="F520" s="47"/>
      <c r="G520" s="16"/>
      <c r="J520" s="43"/>
      <c r="N520" s="8"/>
      <c r="O520" s="16"/>
      <c r="P520" s="8"/>
    </row>
    <row r="521">
      <c r="B521" s="46"/>
      <c r="E521" s="47"/>
      <c r="F521" s="47"/>
      <c r="G521" s="16"/>
      <c r="J521" s="43"/>
      <c r="N521" s="8"/>
      <c r="O521" s="16"/>
      <c r="P521" s="8"/>
    </row>
    <row r="522">
      <c r="B522" s="46"/>
      <c r="E522" s="47"/>
      <c r="F522" s="47"/>
      <c r="G522" s="16"/>
      <c r="J522" s="43"/>
      <c r="N522" s="8"/>
      <c r="O522" s="16"/>
      <c r="P522" s="8"/>
    </row>
    <row r="523">
      <c r="B523" s="46"/>
      <c r="E523" s="47"/>
      <c r="F523" s="47"/>
      <c r="G523" s="16"/>
      <c r="J523" s="43"/>
      <c r="N523" s="8"/>
      <c r="O523" s="16"/>
      <c r="P523" s="8"/>
    </row>
    <row r="524">
      <c r="B524" s="46"/>
      <c r="E524" s="47"/>
      <c r="F524" s="47"/>
      <c r="G524" s="16"/>
      <c r="J524" s="43"/>
      <c r="N524" s="8"/>
      <c r="O524" s="16"/>
      <c r="P524" s="8"/>
    </row>
    <row r="525">
      <c r="B525" s="46"/>
      <c r="E525" s="47"/>
      <c r="F525" s="47"/>
      <c r="G525" s="16"/>
      <c r="J525" s="43"/>
      <c r="N525" s="8"/>
      <c r="O525" s="16"/>
      <c r="P525" s="8"/>
    </row>
    <row r="526">
      <c r="B526" s="46"/>
      <c r="E526" s="47"/>
      <c r="F526" s="47"/>
      <c r="G526" s="16"/>
      <c r="J526" s="43"/>
      <c r="N526" s="8"/>
      <c r="O526" s="16"/>
      <c r="P526" s="8"/>
    </row>
    <row r="527">
      <c r="B527" s="46"/>
      <c r="E527" s="47"/>
      <c r="F527" s="47"/>
      <c r="G527" s="16"/>
      <c r="J527" s="43"/>
      <c r="N527" s="8"/>
      <c r="O527" s="16"/>
      <c r="P527" s="8"/>
    </row>
    <row r="528">
      <c r="B528" s="46"/>
      <c r="E528" s="47"/>
      <c r="F528" s="47"/>
      <c r="G528" s="16"/>
      <c r="J528" s="43"/>
      <c r="N528" s="8"/>
      <c r="O528" s="16"/>
      <c r="P528" s="8"/>
    </row>
    <row r="529">
      <c r="B529" s="46"/>
      <c r="E529" s="47"/>
      <c r="F529" s="47"/>
      <c r="G529" s="16"/>
      <c r="J529" s="43"/>
      <c r="N529" s="8"/>
      <c r="O529" s="16"/>
      <c r="P529" s="8"/>
    </row>
    <row r="530">
      <c r="B530" s="46"/>
      <c r="E530" s="47"/>
      <c r="F530" s="47"/>
      <c r="G530" s="16"/>
      <c r="J530" s="43"/>
      <c r="N530" s="8"/>
      <c r="O530" s="16"/>
      <c r="P530" s="8"/>
    </row>
    <row r="531">
      <c r="B531" s="46"/>
      <c r="E531" s="47"/>
      <c r="F531" s="47"/>
      <c r="G531" s="16"/>
      <c r="J531" s="43"/>
      <c r="N531" s="8"/>
      <c r="O531" s="16"/>
      <c r="P531" s="8"/>
    </row>
    <row r="532">
      <c r="B532" s="46"/>
      <c r="E532" s="47"/>
      <c r="F532" s="47"/>
      <c r="G532" s="16"/>
      <c r="J532" s="43"/>
      <c r="N532" s="8"/>
      <c r="O532" s="16"/>
      <c r="P532" s="8"/>
    </row>
    <row r="533">
      <c r="B533" s="46"/>
      <c r="E533" s="47"/>
      <c r="F533" s="47"/>
      <c r="G533" s="16"/>
      <c r="J533" s="43"/>
      <c r="N533" s="8"/>
      <c r="O533" s="16"/>
      <c r="P533" s="8"/>
    </row>
    <row r="534">
      <c r="B534" s="46"/>
      <c r="E534" s="47"/>
      <c r="F534" s="47"/>
      <c r="G534" s="16"/>
      <c r="J534" s="43"/>
      <c r="N534" s="8"/>
      <c r="O534" s="16"/>
      <c r="P534" s="8"/>
    </row>
    <row r="535">
      <c r="B535" s="46"/>
      <c r="E535" s="47"/>
      <c r="F535" s="47"/>
      <c r="G535" s="16"/>
      <c r="J535" s="43"/>
      <c r="N535" s="8"/>
      <c r="O535" s="16"/>
      <c r="P535" s="8"/>
    </row>
    <row r="536">
      <c r="B536" s="46"/>
      <c r="E536" s="47"/>
      <c r="F536" s="47"/>
      <c r="G536" s="16"/>
      <c r="J536" s="43"/>
      <c r="N536" s="8"/>
      <c r="O536" s="16"/>
      <c r="P536" s="8"/>
    </row>
    <row r="537">
      <c r="B537" s="46"/>
      <c r="E537" s="47"/>
      <c r="F537" s="47"/>
      <c r="G537" s="16"/>
      <c r="J537" s="43"/>
      <c r="N537" s="8"/>
      <c r="O537" s="16"/>
      <c r="P537" s="8"/>
    </row>
    <row r="538">
      <c r="B538" s="46"/>
      <c r="E538" s="47"/>
      <c r="F538" s="47"/>
      <c r="G538" s="16"/>
      <c r="J538" s="43"/>
      <c r="N538" s="8"/>
      <c r="O538" s="16"/>
      <c r="P538" s="8"/>
    </row>
    <row r="539">
      <c r="B539" s="46"/>
      <c r="E539" s="47"/>
      <c r="F539" s="47"/>
      <c r="G539" s="16"/>
      <c r="J539" s="43"/>
      <c r="N539" s="8"/>
      <c r="O539" s="16"/>
      <c r="P539" s="8"/>
    </row>
    <row r="540">
      <c r="B540" s="46"/>
      <c r="E540" s="47"/>
      <c r="F540" s="47"/>
      <c r="G540" s="16"/>
      <c r="J540" s="43"/>
      <c r="N540" s="8"/>
      <c r="O540" s="16"/>
      <c r="P540" s="8"/>
    </row>
    <row r="541">
      <c r="B541" s="46"/>
      <c r="E541" s="47"/>
      <c r="F541" s="47"/>
      <c r="G541" s="16"/>
      <c r="J541" s="43"/>
      <c r="N541" s="8"/>
      <c r="O541" s="16"/>
      <c r="P541" s="8"/>
    </row>
    <row r="542">
      <c r="B542" s="46"/>
      <c r="E542" s="47"/>
      <c r="F542" s="47"/>
      <c r="G542" s="16"/>
      <c r="J542" s="43"/>
      <c r="N542" s="8"/>
      <c r="O542" s="16"/>
      <c r="P542" s="8"/>
    </row>
    <row r="543">
      <c r="B543" s="46"/>
      <c r="E543" s="47"/>
      <c r="F543" s="47"/>
      <c r="G543" s="16"/>
      <c r="J543" s="43"/>
      <c r="N543" s="8"/>
      <c r="O543" s="16"/>
      <c r="P543" s="8"/>
    </row>
    <row r="544">
      <c r="B544" s="46"/>
      <c r="E544" s="47"/>
      <c r="F544" s="47"/>
      <c r="G544" s="16"/>
      <c r="J544" s="43"/>
      <c r="N544" s="8"/>
      <c r="O544" s="16"/>
      <c r="P544" s="8"/>
    </row>
    <row r="545">
      <c r="B545" s="46"/>
      <c r="E545" s="47"/>
      <c r="F545" s="47"/>
      <c r="G545" s="16"/>
      <c r="J545" s="43"/>
      <c r="N545" s="8"/>
      <c r="O545" s="16"/>
      <c r="P545" s="8"/>
    </row>
    <row r="546">
      <c r="B546" s="46"/>
      <c r="E546" s="47"/>
      <c r="F546" s="47"/>
      <c r="G546" s="16"/>
      <c r="J546" s="43"/>
      <c r="N546" s="8"/>
      <c r="O546" s="16"/>
      <c r="P546" s="8"/>
    </row>
    <row r="547">
      <c r="B547" s="46"/>
      <c r="E547" s="47"/>
      <c r="F547" s="47"/>
      <c r="G547" s="16"/>
      <c r="J547" s="43"/>
      <c r="N547" s="8"/>
      <c r="O547" s="16"/>
      <c r="P547" s="8"/>
    </row>
    <row r="548">
      <c r="B548" s="46"/>
      <c r="E548" s="47"/>
      <c r="F548" s="47"/>
      <c r="G548" s="16"/>
      <c r="J548" s="43"/>
      <c r="N548" s="8"/>
      <c r="O548" s="16"/>
      <c r="P548" s="8"/>
    </row>
    <row r="549">
      <c r="B549" s="46"/>
      <c r="E549" s="47"/>
      <c r="F549" s="47"/>
      <c r="G549" s="16"/>
      <c r="J549" s="43"/>
      <c r="N549" s="8"/>
      <c r="O549" s="16"/>
      <c r="P549" s="8"/>
    </row>
    <row r="550">
      <c r="B550" s="46"/>
      <c r="E550" s="47"/>
      <c r="F550" s="47"/>
      <c r="G550" s="16"/>
      <c r="J550" s="43"/>
      <c r="N550" s="8"/>
      <c r="O550" s="16"/>
      <c r="P550" s="8"/>
    </row>
    <row r="551">
      <c r="B551" s="46"/>
      <c r="E551" s="47"/>
      <c r="F551" s="47"/>
      <c r="G551" s="16"/>
      <c r="J551" s="43"/>
      <c r="N551" s="8"/>
      <c r="O551" s="16"/>
      <c r="P551" s="8"/>
    </row>
    <row r="552">
      <c r="B552" s="46"/>
      <c r="E552" s="47"/>
      <c r="F552" s="47"/>
      <c r="G552" s="16"/>
      <c r="J552" s="43"/>
      <c r="N552" s="8"/>
      <c r="O552" s="16"/>
      <c r="P552" s="8"/>
    </row>
    <row r="553">
      <c r="B553" s="46"/>
      <c r="E553" s="47"/>
      <c r="F553" s="47"/>
      <c r="G553" s="16"/>
      <c r="J553" s="43"/>
      <c r="N553" s="8"/>
      <c r="O553" s="16"/>
      <c r="P553" s="8"/>
    </row>
    <row r="554">
      <c r="B554" s="46"/>
      <c r="E554" s="47"/>
      <c r="F554" s="47"/>
      <c r="G554" s="16"/>
      <c r="J554" s="43"/>
      <c r="N554" s="8"/>
      <c r="O554" s="16"/>
      <c r="P554" s="8"/>
    </row>
    <row r="555">
      <c r="B555" s="46"/>
      <c r="E555" s="47"/>
      <c r="F555" s="47"/>
      <c r="G555" s="16"/>
      <c r="J555" s="43"/>
      <c r="N555" s="8"/>
      <c r="O555" s="16"/>
      <c r="P555" s="8"/>
    </row>
    <row r="556">
      <c r="B556" s="46"/>
      <c r="E556" s="47"/>
      <c r="F556" s="47"/>
      <c r="G556" s="16"/>
      <c r="J556" s="43"/>
      <c r="N556" s="8"/>
      <c r="O556" s="16"/>
      <c r="P556" s="8"/>
    </row>
    <row r="557">
      <c r="B557" s="46"/>
      <c r="E557" s="47"/>
      <c r="F557" s="47"/>
      <c r="G557" s="16"/>
      <c r="J557" s="43"/>
      <c r="N557" s="8"/>
      <c r="O557" s="16"/>
      <c r="P557" s="8"/>
    </row>
    <row r="558">
      <c r="B558" s="46"/>
      <c r="E558" s="47"/>
      <c r="F558" s="47"/>
      <c r="G558" s="16"/>
      <c r="J558" s="43"/>
      <c r="N558" s="8"/>
      <c r="O558" s="16"/>
      <c r="P558" s="8"/>
    </row>
    <row r="559">
      <c r="B559" s="46"/>
      <c r="E559" s="47"/>
      <c r="F559" s="47"/>
      <c r="G559" s="16"/>
      <c r="J559" s="43"/>
      <c r="N559" s="8"/>
      <c r="O559" s="16"/>
      <c r="P559" s="8"/>
    </row>
    <row r="560">
      <c r="B560" s="46"/>
      <c r="E560" s="47"/>
      <c r="F560" s="47"/>
      <c r="G560" s="16"/>
      <c r="J560" s="43"/>
      <c r="N560" s="8"/>
      <c r="O560" s="16"/>
      <c r="P560" s="8"/>
    </row>
    <row r="561">
      <c r="B561" s="46"/>
      <c r="E561" s="47"/>
      <c r="F561" s="47"/>
      <c r="G561" s="16"/>
      <c r="J561" s="43"/>
      <c r="N561" s="8"/>
      <c r="O561" s="16"/>
      <c r="P561" s="8"/>
    </row>
    <row r="562">
      <c r="B562" s="46"/>
      <c r="E562" s="47"/>
      <c r="F562" s="47"/>
      <c r="G562" s="16"/>
      <c r="J562" s="43"/>
      <c r="N562" s="8"/>
      <c r="O562" s="16"/>
      <c r="P562" s="8"/>
    </row>
    <row r="563">
      <c r="B563" s="46"/>
      <c r="E563" s="47"/>
      <c r="F563" s="47"/>
      <c r="G563" s="16"/>
      <c r="J563" s="43"/>
      <c r="N563" s="8"/>
      <c r="O563" s="16"/>
      <c r="P563" s="8"/>
    </row>
    <row r="564">
      <c r="B564" s="46"/>
      <c r="E564" s="47"/>
      <c r="F564" s="47"/>
      <c r="G564" s="16"/>
      <c r="J564" s="43"/>
      <c r="N564" s="8"/>
      <c r="O564" s="16"/>
      <c r="P564" s="8"/>
    </row>
    <row r="565">
      <c r="B565" s="46"/>
      <c r="E565" s="47"/>
      <c r="F565" s="47"/>
      <c r="G565" s="16"/>
      <c r="J565" s="43"/>
      <c r="N565" s="8"/>
      <c r="O565" s="16"/>
      <c r="P565" s="8"/>
    </row>
    <row r="566">
      <c r="B566" s="46"/>
      <c r="E566" s="47"/>
      <c r="F566" s="47"/>
      <c r="G566" s="16"/>
      <c r="J566" s="43"/>
      <c r="N566" s="8"/>
      <c r="O566" s="16"/>
      <c r="P566" s="8"/>
    </row>
    <row r="567">
      <c r="B567" s="46"/>
      <c r="E567" s="47"/>
      <c r="F567" s="47"/>
      <c r="G567" s="16"/>
      <c r="J567" s="43"/>
      <c r="N567" s="8"/>
      <c r="O567" s="16"/>
      <c r="P567" s="8"/>
    </row>
    <row r="568">
      <c r="B568" s="46"/>
      <c r="E568" s="47"/>
      <c r="F568" s="47"/>
      <c r="G568" s="16"/>
      <c r="J568" s="43"/>
      <c r="N568" s="8"/>
      <c r="O568" s="16"/>
      <c r="P568" s="8"/>
    </row>
    <row r="569">
      <c r="B569" s="46"/>
      <c r="E569" s="47"/>
      <c r="F569" s="47"/>
      <c r="G569" s="16"/>
      <c r="J569" s="43"/>
      <c r="N569" s="8"/>
      <c r="O569" s="16"/>
      <c r="P569" s="8"/>
    </row>
    <row r="570">
      <c r="B570" s="46"/>
      <c r="E570" s="47"/>
      <c r="F570" s="47"/>
      <c r="G570" s="16"/>
      <c r="J570" s="43"/>
      <c r="N570" s="8"/>
      <c r="O570" s="16"/>
      <c r="P570" s="8"/>
    </row>
    <row r="571">
      <c r="B571" s="46"/>
      <c r="E571" s="47"/>
      <c r="F571" s="47"/>
      <c r="G571" s="16"/>
      <c r="J571" s="43"/>
      <c r="N571" s="8"/>
      <c r="O571" s="16"/>
      <c r="P571" s="8"/>
    </row>
    <row r="572">
      <c r="B572" s="46"/>
      <c r="E572" s="47"/>
      <c r="F572" s="47"/>
      <c r="G572" s="16"/>
      <c r="J572" s="43"/>
      <c r="N572" s="8"/>
      <c r="O572" s="16"/>
      <c r="P572" s="8"/>
    </row>
    <row r="573">
      <c r="B573" s="46"/>
      <c r="E573" s="47"/>
      <c r="F573" s="47"/>
      <c r="G573" s="16"/>
      <c r="J573" s="43"/>
      <c r="N573" s="8"/>
      <c r="O573" s="16"/>
      <c r="P573" s="8"/>
    </row>
    <row r="574">
      <c r="B574" s="46"/>
      <c r="E574" s="47"/>
      <c r="F574" s="47"/>
      <c r="G574" s="16"/>
      <c r="J574" s="43"/>
      <c r="N574" s="8"/>
      <c r="O574" s="16"/>
      <c r="P574" s="8"/>
    </row>
    <row r="575">
      <c r="B575" s="46"/>
      <c r="E575" s="47"/>
      <c r="F575" s="47"/>
      <c r="G575" s="16"/>
      <c r="J575" s="43"/>
      <c r="N575" s="8"/>
      <c r="O575" s="16"/>
      <c r="P575" s="8"/>
    </row>
    <row r="576">
      <c r="B576" s="46"/>
      <c r="E576" s="47"/>
      <c r="F576" s="47"/>
      <c r="G576" s="16"/>
      <c r="J576" s="43"/>
      <c r="N576" s="8"/>
      <c r="O576" s="16"/>
      <c r="P576" s="8"/>
    </row>
    <row r="577">
      <c r="B577" s="46"/>
      <c r="E577" s="47"/>
      <c r="F577" s="47"/>
      <c r="G577" s="16"/>
      <c r="J577" s="43"/>
      <c r="N577" s="8"/>
      <c r="O577" s="16"/>
      <c r="P577" s="8"/>
    </row>
    <row r="578">
      <c r="B578" s="46"/>
      <c r="E578" s="47"/>
      <c r="F578" s="47"/>
      <c r="G578" s="16"/>
      <c r="J578" s="43"/>
      <c r="N578" s="8"/>
      <c r="O578" s="16"/>
      <c r="P578" s="8"/>
    </row>
    <row r="579">
      <c r="B579" s="46"/>
      <c r="E579" s="47"/>
      <c r="F579" s="47"/>
      <c r="G579" s="16"/>
      <c r="J579" s="43"/>
      <c r="N579" s="8"/>
      <c r="O579" s="16"/>
      <c r="P579" s="8"/>
    </row>
    <row r="580">
      <c r="B580" s="46"/>
      <c r="E580" s="47"/>
      <c r="F580" s="47"/>
      <c r="G580" s="16"/>
      <c r="J580" s="43"/>
      <c r="N580" s="8"/>
      <c r="O580" s="16"/>
      <c r="P580" s="8"/>
    </row>
    <row r="581">
      <c r="B581" s="46"/>
      <c r="E581" s="47"/>
      <c r="F581" s="47"/>
      <c r="G581" s="16"/>
      <c r="J581" s="43"/>
      <c r="N581" s="8"/>
      <c r="O581" s="16"/>
      <c r="P581" s="8"/>
    </row>
    <row r="582">
      <c r="B582" s="46"/>
      <c r="E582" s="47"/>
      <c r="F582" s="47"/>
      <c r="G582" s="16"/>
      <c r="J582" s="43"/>
      <c r="N582" s="8"/>
      <c r="O582" s="16"/>
      <c r="P582" s="8"/>
    </row>
    <row r="583">
      <c r="B583" s="46"/>
      <c r="E583" s="47"/>
      <c r="F583" s="47"/>
      <c r="G583" s="16"/>
      <c r="J583" s="43"/>
      <c r="N583" s="8"/>
      <c r="O583" s="16"/>
      <c r="P583" s="8"/>
    </row>
    <row r="584">
      <c r="B584" s="46"/>
      <c r="E584" s="47"/>
      <c r="F584" s="47"/>
      <c r="G584" s="16"/>
      <c r="J584" s="43"/>
      <c r="N584" s="8"/>
      <c r="O584" s="16"/>
      <c r="P584" s="8"/>
    </row>
    <row r="585">
      <c r="B585" s="46"/>
      <c r="E585" s="47"/>
      <c r="F585" s="47"/>
      <c r="G585" s="16"/>
      <c r="J585" s="43"/>
      <c r="N585" s="8"/>
      <c r="O585" s="16"/>
      <c r="P585" s="8"/>
    </row>
    <row r="586">
      <c r="B586" s="46"/>
      <c r="E586" s="47"/>
      <c r="F586" s="47"/>
      <c r="G586" s="16"/>
      <c r="J586" s="43"/>
      <c r="N586" s="8"/>
      <c r="O586" s="16"/>
      <c r="P586" s="8"/>
    </row>
    <row r="587">
      <c r="B587" s="46"/>
      <c r="E587" s="47"/>
      <c r="F587" s="47"/>
      <c r="G587" s="16"/>
      <c r="J587" s="43"/>
      <c r="N587" s="8"/>
      <c r="O587" s="16"/>
      <c r="P587" s="8"/>
    </row>
    <row r="588">
      <c r="B588" s="46"/>
      <c r="E588" s="47"/>
      <c r="F588" s="47"/>
      <c r="G588" s="16"/>
      <c r="J588" s="43"/>
      <c r="N588" s="8"/>
      <c r="O588" s="16"/>
      <c r="P588" s="8"/>
    </row>
    <row r="589">
      <c r="B589" s="46"/>
      <c r="E589" s="47"/>
      <c r="F589" s="47"/>
      <c r="G589" s="16"/>
      <c r="J589" s="43"/>
      <c r="N589" s="8"/>
      <c r="O589" s="16"/>
      <c r="P589" s="8"/>
    </row>
    <row r="590">
      <c r="B590" s="46"/>
      <c r="E590" s="47"/>
      <c r="F590" s="47"/>
      <c r="G590" s="16"/>
      <c r="J590" s="43"/>
      <c r="N590" s="8"/>
      <c r="O590" s="16"/>
      <c r="P590" s="8"/>
    </row>
    <row r="591">
      <c r="B591" s="46"/>
      <c r="E591" s="47"/>
      <c r="F591" s="47"/>
      <c r="G591" s="16"/>
      <c r="J591" s="43"/>
      <c r="N591" s="8"/>
      <c r="O591" s="16"/>
      <c r="P591" s="8"/>
    </row>
    <row r="592">
      <c r="B592" s="46"/>
      <c r="E592" s="47"/>
      <c r="F592" s="47"/>
      <c r="G592" s="16"/>
      <c r="J592" s="43"/>
      <c r="N592" s="8"/>
      <c r="O592" s="16"/>
      <c r="P592" s="8"/>
    </row>
    <row r="593">
      <c r="B593" s="46"/>
      <c r="E593" s="47"/>
      <c r="F593" s="47"/>
      <c r="G593" s="16"/>
      <c r="J593" s="43"/>
      <c r="N593" s="8"/>
      <c r="O593" s="16"/>
      <c r="P593" s="8"/>
    </row>
    <row r="594">
      <c r="B594" s="46"/>
      <c r="E594" s="47"/>
      <c r="F594" s="47"/>
      <c r="G594" s="16"/>
      <c r="J594" s="43"/>
      <c r="N594" s="8"/>
      <c r="O594" s="16"/>
      <c r="P594" s="8"/>
    </row>
    <row r="595">
      <c r="B595" s="46"/>
      <c r="E595" s="47"/>
      <c r="F595" s="47"/>
      <c r="G595" s="16"/>
      <c r="J595" s="43"/>
      <c r="N595" s="8"/>
      <c r="O595" s="16"/>
      <c r="P595" s="8"/>
    </row>
    <row r="596">
      <c r="B596" s="46"/>
      <c r="E596" s="47"/>
      <c r="F596" s="47"/>
      <c r="G596" s="16"/>
      <c r="J596" s="43"/>
      <c r="N596" s="8"/>
      <c r="O596" s="16"/>
      <c r="P596" s="8"/>
    </row>
    <row r="597">
      <c r="B597" s="46"/>
      <c r="E597" s="47"/>
      <c r="F597" s="47"/>
      <c r="G597" s="16"/>
      <c r="J597" s="43"/>
      <c r="N597" s="8"/>
      <c r="O597" s="16"/>
      <c r="P597" s="8"/>
    </row>
    <row r="598">
      <c r="B598" s="46"/>
      <c r="E598" s="47"/>
      <c r="F598" s="47"/>
      <c r="G598" s="16"/>
      <c r="J598" s="43"/>
      <c r="N598" s="8"/>
      <c r="O598" s="16"/>
      <c r="P598" s="8"/>
    </row>
    <row r="599">
      <c r="B599" s="46"/>
      <c r="E599" s="47"/>
      <c r="F599" s="47"/>
      <c r="G599" s="16"/>
      <c r="J599" s="43"/>
      <c r="N599" s="8"/>
      <c r="O599" s="16"/>
      <c r="P599" s="8"/>
    </row>
    <row r="600">
      <c r="B600" s="46"/>
      <c r="E600" s="47"/>
      <c r="F600" s="47"/>
      <c r="G600" s="16"/>
      <c r="J600" s="43"/>
      <c r="N600" s="8"/>
      <c r="O600" s="16"/>
      <c r="P600" s="8"/>
    </row>
    <row r="601">
      <c r="B601" s="46"/>
      <c r="E601" s="47"/>
      <c r="F601" s="47"/>
      <c r="G601" s="16"/>
      <c r="J601" s="43"/>
      <c r="N601" s="8"/>
      <c r="O601" s="16"/>
      <c r="P601" s="8"/>
    </row>
    <row r="602">
      <c r="B602" s="46"/>
      <c r="E602" s="47"/>
      <c r="F602" s="47"/>
      <c r="G602" s="16"/>
      <c r="J602" s="43"/>
      <c r="N602" s="8"/>
      <c r="O602" s="16"/>
      <c r="P602" s="8"/>
    </row>
    <row r="603">
      <c r="B603" s="46"/>
      <c r="E603" s="47"/>
      <c r="F603" s="47"/>
      <c r="G603" s="16"/>
      <c r="J603" s="43"/>
      <c r="N603" s="8"/>
      <c r="O603" s="16"/>
      <c r="P603" s="8"/>
    </row>
    <row r="604">
      <c r="B604" s="46"/>
      <c r="E604" s="47"/>
      <c r="F604" s="47"/>
      <c r="G604" s="16"/>
      <c r="J604" s="43"/>
      <c r="N604" s="8"/>
      <c r="O604" s="16"/>
      <c r="P604" s="8"/>
    </row>
    <row r="605">
      <c r="B605" s="46"/>
      <c r="E605" s="47"/>
      <c r="F605" s="47"/>
      <c r="G605" s="16"/>
      <c r="J605" s="43"/>
      <c r="N605" s="8"/>
      <c r="O605" s="16"/>
      <c r="P605" s="8"/>
    </row>
    <row r="606">
      <c r="B606" s="46"/>
      <c r="E606" s="47"/>
      <c r="F606" s="47"/>
      <c r="G606" s="16"/>
      <c r="J606" s="43"/>
      <c r="N606" s="8"/>
      <c r="O606" s="16"/>
      <c r="P606" s="8"/>
    </row>
    <row r="607">
      <c r="B607" s="46"/>
      <c r="E607" s="47"/>
      <c r="F607" s="47"/>
      <c r="G607" s="16"/>
      <c r="J607" s="43"/>
      <c r="N607" s="8"/>
      <c r="O607" s="16"/>
      <c r="P607" s="8"/>
    </row>
    <row r="608">
      <c r="B608" s="46"/>
      <c r="E608" s="47"/>
      <c r="F608" s="47"/>
      <c r="G608" s="16"/>
      <c r="J608" s="43"/>
      <c r="N608" s="8"/>
      <c r="O608" s="16"/>
      <c r="P608" s="8"/>
    </row>
    <row r="609">
      <c r="B609" s="46"/>
      <c r="E609" s="47"/>
      <c r="F609" s="47"/>
      <c r="G609" s="16"/>
      <c r="J609" s="43"/>
      <c r="N609" s="8"/>
      <c r="O609" s="16"/>
      <c r="P609" s="8"/>
    </row>
    <row r="610">
      <c r="B610" s="46"/>
      <c r="E610" s="47"/>
      <c r="F610" s="47"/>
      <c r="G610" s="16"/>
      <c r="J610" s="43"/>
      <c r="N610" s="8"/>
      <c r="O610" s="16"/>
      <c r="P610" s="8"/>
    </row>
    <row r="611">
      <c r="B611" s="46"/>
      <c r="E611" s="47"/>
      <c r="F611" s="47"/>
      <c r="G611" s="16"/>
      <c r="J611" s="43"/>
      <c r="N611" s="8"/>
      <c r="O611" s="16"/>
      <c r="P611" s="8"/>
    </row>
    <row r="612">
      <c r="B612" s="46"/>
      <c r="E612" s="47"/>
      <c r="F612" s="47"/>
      <c r="G612" s="16"/>
      <c r="J612" s="43"/>
      <c r="N612" s="8"/>
      <c r="O612" s="16"/>
      <c r="P612" s="8"/>
    </row>
    <row r="613">
      <c r="B613" s="46"/>
      <c r="E613" s="47"/>
      <c r="F613" s="47"/>
      <c r="G613" s="16"/>
      <c r="J613" s="43"/>
      <c r="N613" s="8"/>
      <c r="O613" s="16"/>
      <c r="P613" s="8"/>
    </row>
    <row r="614">
      <c r="B614" s="46"/>
      <c r="E614" s="47"/>
      <c r="F614" s="47"/>
      <c r="G614" s="16"/>
      <c r="J614" s="43"/>
      <c r="N614" s="8"/>
      <c r="O614" s="16"/>
      <c r="P614" s="8"/>
    </row>
    <row r="615">
      <c r="B615" s="46"/>
      <c r="E615" s="47"/>
      <c r="F615" s="47"/>
      <c r="G615" s="16"/>
      <c r="J615" s="43"/>
      <c r="N615" s="8"/>
      <c r="O615" s="16"/>
      <c r="P615" s="8"/>
    </row>
    <row r="616">
      <c r="B616" s="46"/>
      <c r="E616" s="47"/>
      <c r="F616" s="47"/>
      <c r="G616" s="16"/>
      <c r="J616" s="43"/>
      <c r="N616" s="8"/>
      <c r="O616" s="16"/>
      <c r="P616" s="8"/>
    </row>
    <row r="617">
      <c r="B617" s="46"/>
      <c r="E617" s="47"/>
      <c r="F617" s="47"/>
      <c r="G617" s="16"/>
      <c r="J617" s="43"/>
      <c r="N617" s="8"/>
      <c r="O617" s="16"/>
      <c r="P617" s="8"/>
    </row>
    <row r="618">
      <c r="B618" s="46"/>
      <c r="E618" s="47"/>
      <c r="F618" s="47"/>
      <c r="G618" s="16"/>
      <c r="J618" s="43"/>
      <c r="N618" s="8"/>
      <c r="O618" s="16"/>
      <c r="P618" s="8"/>
    </row>
    <row r="619">
      <c r="B619" s="46"/>
      <c r="E619" s="47"/>
      <c r="F619" s="47"/>
      <c r="G619" s="16"/>
      <c r="J619" s="43"/>
      <c r="N619" s="8"/>
      <c r="O619" s="16"/>
      <c r="P619" s="8"/>
    </row>
    <row r="620">
      <c r="B620" s="46"/>
      <c r="E620" s="47"/>
      <c r="F620" s="47"/>
      <c r="G620" s="16"/>
      <c r="J620" s="43"/>
      <c r="N620" s="8"/>
      <c r="O620" s="16"/>
      <c r="P620" s="8"/>
    </row>
    <row r="621">
      <c r="B621" s="46"/>
      <c r="E621" s="47"/>
      <c r="F621" s="47"/>
      <c r="G621" s="16"/>
      <c r="J621" s="43"/>
      <c r="N621" s="8"/>
      <c r="O621" s="16"/>
      <c r="P621" s="8"/>
    </row>
    <row r="622">
      <c r="B622" s="46"/>
      <c r="E622" s="47"/>
      <c r="F622" s="47"/>
      <c r="G622" s="16"/>
      <c r="J622" s="43"/>
      <c r="N622" s="8"/>
      <c r="O622" s="16"/>
      <c r="P622" s="8"/>
    </row>
    <row r="623">
      <c r="B623" s="46"/>
      <c r="E623" s="47"/>
      <c r="F623" s="47"/>
      <c r="G623" s="16"/>
      <c r="J623" s="43"/>
      <c r="N623" s="8"/>
      <c r="O623" s="16"/>
      <c r="P623" s="8"/>
    </row>
    <row r="624">
      <c r="B624" s="46"/>
      <c r="E624" s="47"/>
      <c r="F624" s="47"/>
      <c r="G624" s="16"/>
      <c r="J624" s="43"/>
      <c r="N624" s="8"/>
      <c r="O624" s="16"/>
      <c r="P624" s="8"/>
    </row>
    <row r="625">
      <c r="B625" s="46"/>
      <c r="E625" s="47"/>
      <c r="F625" s="47"/>
      <c r="G625" s="16"/>
      <c r="J625" s="43"/>
      <c r="N625" s="8"/>
      <c r="O625" s="16"/>
      <c r="P625" s="8"/>
    </row>
    <row r="626">
      <c r="B626" s="46"/>
      <c r="E626" s="47"/>
      <c r="F626" s="47"/>
      <c r="G626" s="16"/>
      <c r="J626" s="43"/>
      <c r="N626" s="8"/>
      <c r="O626" s="16"/>
      <c r="P626" s="8"/>
    </row>
    <row r="627">
      <c r="B627" s="46"/>
      <c r="E627" s="47"/>
      <c r="F627" s="47"/>
      <c r="G627" s="16"/>
      <c r="J627" s="43"/>
      <c r="N627" s="8"/>
      <c r="O627" s="16"/>
      <c r="P627" s="8"/>
    </row>
    <row r="628">
      <c r="B628" s="46"/>
      <c r="E628" s="47"/>
      <c r="F628" s="47"/>
      <c r="G628" s="16"/>
      <c r="J628" s="43"/>
      <c r="N628" s="8"/>
      <c r="O628" s="16"/>
      <c r="P628" s="8"/>
    </row>
    <row r="629">
      <c r="B629" s="46"/>
      <c r="E629" s="47"/>
      <c r="F629" s="47"/>
      <c r="G629" s="16"/>
      <c r="J629" s="43"/>
      <c r="N629" s="8"/>
      <c r="O629" s="16"/>
      <c r="P629" s="8"/>
    </row>
    <row r="630">
      <c r="B630" s="46"/>
      <c r="E630" s="47"/>
      <c r="F630" s="47"/>
      <c r="G630" s="16"/>
      <c r="J630" s="43"/>
      <c r="N630" s="8"/>
      <c r="O630" s="16"/>
      <c r="P630" s="8"/>
    </row>
    <row r="631">
      <c r="B631" s="46"/>
      <c r="E631" s="47"/>
      <c r="F631" s="47"/>
      <c r="G631" s="16"/>
      <c r="J631" s="43"/>
      <c r="N631" s="8"/>
      <c r="O631" s="16"/>
      <c r="P631" s="8"/>
    </row>
    <row r="632">
      <c r="B632" s="46"/>
      <c r="E632" s="47"/>
      <c r="F632" s="47"/>
      <c r="G632" s="16"/>
      <c r="J632" s="43"/>
      <c r="N632" s="8"/>
      <c r="O632" s="16"/>
      <c r="P632" s="8"/>
    </row>
    <row r="633">
      <c r="B633" s="46"/>
      <c r="E633" s="47"/>
      <c r="F633" s="47"/>
      <c r="G633" s="16"/>
      <c r="J633" s="43"/>
      <c r="N633" s="8"/>
      <c r="O633" s="16"/>
      <c r="P633" s="8"/>
    </row>
    <row r="634">
      <c r="B634" s="46"/>
      <c r="E634" s="47"/>
      <c r="F634" s="47"/>
      <c r="G634" s="16"/>
      <c r="J634" s="43"/>
      <c r="N634" s="8"/>
      <c r="O634" s="16"/>
      <c r="P634" s="8"/>
    </row>
    <row r="635">
      <c r="B635" s="46"/>
      <c r="E635" s="47"/>
      <c r="F635" s="47"/>
      <c r="G635" s="16"/>
      <c r="J635" s="43"/>
      <c r="N635" s="8"/>
      <c r="O635" s="16"/>
      <c r="P635" s="8"/>
    </row>
    <row r="636">
      <c r="B636" s="46"/>
      <c r="E636" s="47"/>
      <c r="F636" s="47"/>
      <c r="G636" s="16"/>
      <c r="J636" s="43"/>
      <c r="N636" s="8"/>
      <c r="O636" s="16"/>
      <c r="P636" s="8"/>
    </row>
    <row r="637">
      <c r="B637" s="46"/>
      <c r="E637" s="47"/>
      <c r="F637" s="47"/>
      <c r="G637" s="16"/>
      <c r="J637" s="43"/>
      <c r="N637" s="8"/>
      <c r="O637" s="16"/>
      <c r="P637" s="8"/>
    </row>
    <row r="638">
      <c r="B638" s="46"/>
      <c r="E638" s="47"/>
      <c r="F638" s="47"/>
      <c r="G638" s="16"/>
      <c r="J638" s="43"/>
      <c r="N638" s="8"/>
      <c r="O638" s="16"/>
      <c r="P638" s="8"/>
    </row>
    <row r="639">
      <c r="B639" s="46"/>
      <c r="E639" s="47"/>
      <c r="F639" s="47"/>
      <c r="G639" s="16"/>
      <c r="J639" s="43"/>
      <c r="N639" s="8"/>
      <c r="O639" s="16"/>
      <c r="P639" s="8"/>
    </row>
    <row r="640">
      <c r="B640" s="46"/>
      <c r="E640" s="47"/>
      <c r="F640" s="47"/>
      <c r="G640" s="16"/>
      <c r="J640" s="43"/>
      <c r="N640" s="8"/>
      <c r="O640" s="16"/>
      <c r="P640" s="8"/>
    </row>
    <row r="641">
      <c r="B641" s="46"/>
      <c r="E641" s="47"/>
      <c r="F641" s="47"/>
      <c r="G641" s="16"/>
      <c r="J641" s="43"/>
      <c r="N641" s="8"/>
      <c r="O641" s="16"/>
      <c r="P641" s="8"/>
    </row>
    <row r="642">
      <c r="B642" s="46"/>
      <c r="E642" s="47"/>
      <c r="F642" s="47"/>
      <c r="G642" s="16"/>
      <c r="J642" s="43"/>
      <c r="N642" s="8"/>
      <c r="O642" s="16"/>
      <c r="P642" s="8"/>
    </row>
    <row r="643">
      <c r="B643" s="46"/>
      <c r="E643" s="47"/>
      <c r="F643" s="47"/>
      <c r="G643" s="16"/>
      <c r="J643" s="43"/>
      <c r="N643" s="8"/>
      <c r="O643" s="16"/>
      <c r="P643" s="8"/>
    </row>
    <row r="644">
      <c r="B644" s="46"/>
      <c r="E644" s="47"/>
      <c r="F644" s="47"/>
      <c r="G644" s="16"/>
      <c r="J644" s="43"/>
      <c r="N644" s="8"/>
      <c r="O644" s="16"/>
      <c r="P644" s="8"/>
    </row>
    <row r="645">
      <c r="B645" s="46"/>
      <c r="E645" s="47"/>
      <c r="F645" s="47"/>
      <c r="G645" s="16"/>
      <c r="J645" s="43"/>
      <c r="N645" s="8"/>
      <c r="O645" s="16"/>
      <c r="P645" s="8"/>
    </row>
    <row r="646">
      <c r="B646" s="46"/>
      <c r="E646" s="47"/>
      <c r="F646" s="47"/>
      <c r="G646" s="16"/>
      <c r="J646" s="43"/>
      <c r="N646" s="8"/>
      <c r="O646" s="16"/>
      <c r="P646" s="8"/>
    </row>
    <row r="647">
      <c r="B647" s="46"/>
      <c r="E647" s="47"/>
      <c r="F647" s="47"/>
      <c r="G647" s="16"/>
      <c r="J647" s="43"/>
      <c r="N647" s="8"/>
      <c r="O647" s="16"/>
      <c r="P647" s="8"/>
    </row>
    <row r="648">
      <c r="B648" s="46"/>
      <c r="E648" s="47"/>
      <c r="F648" s="47"/>
      <c r="G648" s="16"/>
      <c r="J648" s="43"/>
      <c r="N648" s="8"/>
      <c r="O648" s="16"/>
      <c r="P648" s="8"/>
    </row>
    <row r="649">
      <c r="B649" s="46"/>
      <c r="E649" s="47"/>
      <c r="F649" s="47"/>
      <c r="G649" s="16"/>
      <c r="J649" s="43"/>
      <c r="N649" s="8"/>
      <c r="O649" s="16"/>
      <c r="P649" s="8"/>
    </row>
    <row r="650">
      <c r="B650" s="46"/>
      <c r="E650" s="47"/>
      <c r="F650" s="47"/>
      <c r="G650" s="16"/>
      <c r="J650" s="43"/>
      <c r="N650" s="8"/>
      <c r="O650" s="16"/>
      <c r="P650" s="8"/>
    </row>
    <row r="651">
      <c r="B651" s="46"/>
      <c r="E651" s="47"/>
      <c r="F651" s="47"/>
      <c r="G651" s="16"/>
      <c r="J651" s="43"/>
      <c r="N651" s="8"/>
      <c r="O651" s="16"/>
      <c r="P651" s="8"/>
    </row>
    <row r="652">
      <c r="B652" s="46"/>
      <c r="E652" s="47"/>
      <c r="F652" s="47"/>
      <c r="G652" s="16"/>
      <c r="J652" s="43"/>
      <c r="N652" s="8"/>
      <c r="O652" s="16"/>
      <c r="P652" s="8"/>
    </row>
    <row r="653">
      <c r="B653" s="46"/>
      <c r="E653" s="47"/>
      <c r="F653" s="47"/>
      <c r="G653" s="16"/>
      <c r="J653" s="43"/>
      <c r="N653" s="8"/>
      <c r="O653" s="16"/>
      <c r="P653" s="8"/>
    </row>
    <row r="654">
      <c r="B654" s="46"/>
      <c r="E654" s="47"/>
      <c r="F654" s="47"/>
      <c r="G654" s="16"/>
      <c r="J654" s="43"/>
      <c r="N654" s="8"/>
      <c r="O654" s="16"/>
      <c r="P654" s="8"/>
    </row>
    <row r="655">
      <c r="B655" s="46"/>
      <c r="E655" s="47"/>
      <c r="F655" s="47"/>
      <c r="G655" s="16"/>
      <c r="J655" s="43"/>
      <c r="N655" s="8"/>
      <c r="O655" s="16"/>
      <c r="P655" s="8"/>
    </row>
    <row r="656">
      <c r="B656" s="46"/>
      <c r="E656" s="47"/>
      <c r="F656" s="47"/>
      <c r="G656" s="16"/>
      <c r="J656" s="43"/>
      <c r="N656" s="8"/>
      <c r="O656" s="16"/>
      <c r="P656" s="8"/>
    </row>
    <row r="657">
      <c r="B657" s="46"/>
      <c r="E657" s="47"/>
      <c r="F657" s="47"/>
      <c r="G657" s="16"/>
      <c r="J657" s="43"/>
      <c r="N657" s="8"/>
      <c r="O657" s="16"/>
      <c r="P657" s="8"/>
    </row>
    <row r="658">
      <c r="B658" s="46"/>
      <c r="E658" s="47"/>
      <c r="F658" s="47"/>
      <c r="G658" s="16"/>
      <c r="J658" s="43"/>
      <c r="N658" s="8"/>
      <c r="O658" s="16"/>
      <c r="P658" s="8"/>
    </row>
    <row r="659">
      <c r="B659" s="46"/>
      <c r="E659" s="47"/>
      <c r="F659" s="47"/>
      <c r="G659" s="16"/>
      <c r="J659" s="43"/>
      <c r="N659" s="8"/>
      <c r="O659" s="16"/>
      <c r="P659" s="8"/>
    </row>
    <row r="660">
      <c r="B660" s="46"/>
      <c r="E660" s="47"/>
      <c r="F660" s="47"/>
      <c r="G660" s="16"/>
      <c r="J660" s="43"/>
      <c r="N660" s="8"/>
      <c r="P660" s="8"/>
    </row>
    <row r="661">
      <c r="B661" s="46"/>
      <c r="E661" s="47"/>
      <c r="F661" s="47"/>
      <c r="G661" s="16"/>
      <c r="N661" s="8"/>
      <c r="P661" s="8"/>
    </row>
    <row r="662">
      <c r="B662" s="46"/>
      <c r="E662" s="47"/>
      <c r="F662" s="47"/>
      <c r="G662" s="16"/>
      <c r="N662" s="8"/>
      <c r="P662" s="8"/>
    </row>
    <row r="663">
      <c r="B663" s="46"/>
      <c r="E663" s="47"/>
      <c r="F663" s="47"/>
      <c r="G663" s="16"/>
      <c r="N663" s="8"/>
      <c r="P663" s="8"/>
    </row>
    <row r="664">
      <c r="B664" s="46"/>
      <c r="E664" s="47"/>
      <c r="F664" s="47"/>
      <c r="G664" s="16"/>
      <c r="N664" s="8"/>
      <c r="P664" s="8"/>
    </row>
    <row r="665">
      <c r="B665" s="46"/>
      <c r="E665" s="47"/>
      <c r="F665" s="47"/>
      <c r="G665" s="16"/>
      <c r="N665" s="8"/>
      <c r="P665" s="8"/>
    </row>
    <row r="666">
      <c r="B666" s="46"/>
      <c r="E666" s="47"/>
      <c r="F666" s="47"/>
      <c r="G666" s="16"/>
      <c r="N666" s="8"/>
      <c r="P666" s="8"/>
    </row>
    <row r="667">
      <c r="B667" s="46"/>
      <c r="E667" s="47"/>
      <c r="F667" s="47"/>
      <c r="G667" s="16"/>
      <c r="N667" s="8"/>
      <c r="P667" s="8"/>
    </row>
    <row r="668">
      <c r="B668" s="46"/>
      <c r="E668" s="47"/>
      <c r="F668" s="47"/>
      <c r="G668" s="16"/>
      <c r="N668" s="8"/>
      <c r="P668" s="8"/>
    </row>
    <row r="669">
      <c r="B669" s="46"/>
      <c r="E669" s="47"/>
      <c r="F669" s="47"/>
      <c r="G669" s="16"/>
      <c r="N669" s="8"/>
      <c r="P669" s="8"/>
    </row>
    <row r="670">
      <c r="B670" s="46"/>
      <c r="E670" s="47"/>
      <c r="F670" s="47"/>
      <c r="G670" s="16"/>
      <c r="N670" s="8"/>
      <c r="P670" s="8"/>
    </row>
    <row r="671">
      <c r="B671" s="46"/>
      <c r="E671" s="47"/>
      <c r="F671" s="47"/>
      <c r="G671" s="16"/>
      <c r="N671" s="8"/>
      <c r="P671" s="8"/>
    </row>
    <row r="672">
      <c r="B672" s="46"/>
      <c r="E672" s="47"/>
      <c r="F672" s="47"/>
      <c r="G672" s="16"/>
      <c r="N672" s="8"/>
      <c r="P672" s="8"/>
    </row>
    <row r="673">
      <c r="B673" s="46"/>
      <c r="E673" s="47"/>
      <c r="F673" s="47"/>
      <c r="G673" s="16"/>
      <c r="N673" s="8"/>
      <c r="P673" s="8"/>
    </row>
    <row r="674">
      <c r="B674" s="46"/>
      <c r="E674" s="47"/>
      <c r="F674" s="47"/>
      <c r="G674" s="16"/>
      <c r="N674" s="8"/>
      <c r="P674" s="8"/>
    </row>
    <row r="675">
      <c r="B675" s="46"/>
      <c r="E675" s="47"/>
      <c r="F675" s="47"/>
      <c r="G675" s="16"/>
      <c r="N675" s="8"/>
      <c r="P675" s="8"/>
    </row>
    <row r="676">
      <c r="B676" s="46"/>
      <c r="E676" s="47"/>
      <c r="F676" s="47"/>
      <c r="G676" s="16"/>
      <c r="N676" s="8"/>
      <c r="P676" s="8"/>
    </row>
    <row r="677">
      <c r="B677" s="46"/>
      <c r="E677" s="47"/>
      <c r="F677" s="47"/>
      <c r="G677" s="16"/>
      <c r="N677" s="8"/>
      <c r="P677" s="8"/>
    </row>
    <row r="678">
      <c r="B678" s="46"/>
      <c r="E678" s="47"/>
      <c r="F678" s="47"/>
      <c r="G678" s="16"/>
      <c r="N678" s="8"/>
      <c r="P678" s="8"/>
    </row>
    <row r="679">
      <c r="B679" s="46"/>
      <c r="E679" s="47"/>
      <c r="F679" s="47"/>
      <c r="G679" s="16"/>
      <c r="N679" s="8"/>
      <c r="P679" s="8"/>
    </row>
    <row r="680">
      <c r="B680" s="46"/>
      <c r="E680" s="47"/>
      <c r="F680" s="47"/>
      <c r="G680" s="16"/>
      <c r="N680" s="8"/>
      <c r="P680" s="8"/>
    </row>
    <row r="681">
      <c r="B681" s="46"/>
      <c r="E681" s="47"/>
      <c r="F681" s="47"/>
      <c r="G681" s="16"/>
      <c r="N681" s="8"/>
      <c r="P681" s="8"/>
    </row>
    <row r="682">
      <c r="B682" s="46"/>
      <c r="E682" s="47"/>
      <c r="F682" s="47"/>
      <c r="G682" s="16"/>
      <c r="N682" s="8"/>
      <c r="P682" s="8"/>
    </row>
    <row r="683">
      <c r="B683" s="46"/>
      <c r="E683" s="47"/>
      <c r="F683" s="47"/>
      <c r="G683" s="16"/>
      <c r="N683" s="8"/>
      <c r="P683" s="8"/>
    </row>
    <row r="684">
      <c r="B684" s="46"/>
      <c r="E684" s="47"/>
      <c r="F684" s="47"/>
      <c r="G684" s="16"/>
      <c r="N684" s="8"/>
      <c r="P684" s="8"/>
    </row>
    <row r="685">
      <c r="B685" s="46"/>
      <c r="E685" s="47"/>
      <c r="F685" s="47"/>
      <c r="G685" s="16"/>
      <c r="N685" s="8"/>
      <c r="P685" s="8"/>
    </row>
    <row r="686">
      <c r="B686" s="46"/>
      <c r="E686" s="47"/>
      <c r="F686" s="47"/>
      <c r="G686" s="16"/>
      <c r="N686" s="8"/>
      <c r="P686" s="8"/>
    </row>
    <row r="687">
      <c r="B687" s="46"/>
      <c r="E687" s="47"/>
      <c r="F687" s="47"/>
      <c r="G687" s="16"/>
      <c r="N687" s="8"/>
      <c r="P687" s="8"/>
    </row>
    <row r="688">
      <c r="B688" s="46"/>
      <c r="E688" s="47"/>
      <c r="F688" s="47"/>
      <c r="G688" s="16"/>
      <c r="N688" s="8"/>
      <c r="P688" s="8"/>
    </row>
    <row r="689">
      <c r="B689" s="46"/>
      <c r="E689" s="47"/>
      <c r="F689" s="47"/>
      <c r="G689" s="16"/>
      <c r="N689" s="8"/>
      <c r="P689" s="8"/>
    </row>
    <row r="690">
      <c r="B690" s="46"/>
      <c r="E690" s="47"/>
      <c r="F690" s="47"/>
      <c r="G690" s="16"/>
      <c r="N690" s="8"/>
      <c r="P690" s="8"/>
    </row>
    <row r="691">
      <c r="B691" s="46"/>
      <c r="E691" s="47"/>
      <c r="F691" s="47"/>
      <c r="G691" s="16"/>
      <c r="N691" s="8"/>
      <c r="P691" s="8"/>
    </row>
    <row r="692">
      <c r="B692" s="46"/>
      <c r="E692" s="47"/>
      <c r="F692" s="47"/>
      <c r="G692" s="16"/>
      <c r="N692" s="8"/>
      <c r="P692" s="8"/>
    </row>
    <row r="693">
      <c r="B693" s="46"/>
      <c r="E693" s="47"/>
      <c r="F693" s="47"/>
      <c r="G693" s="16"/>
      <c r="N693" s="8"/>
      <c r="P693" s="8"/>
    </row>
    <row r="694">
      <c r="B694" s="46"/>
      <c r="E694" s="47"/>
      <c r="F694" s="47"/>
      <c r="G694" s="16"/>
      <c r="N694" s="8"/>
      <c r="P694" s="8"/>
    </row>
    <row r="695">
      <c r="B695" s="46"/>
      <c r="E695" s="47"/>
      <c r="F695" s="47"/>
      <c r="G695" s="16"/>
      <c r="N695" s="8"/>
      <c r="P695" s="8"/>
    </row>
    <row r="696">
      <c r="B696" s="46"/>
      <c r="E696" s="47"/>
      <c r="F696" s="47"/>
      <c r="G696" s="16"/>
      <c r="N696" s="8"/>
      <c r="P696" s="8"/>
    </row>
    <row r="697">
      <c r="B697" s="46"/>
      <c r="E697" s="47"/>
      <c r="F697" s="47"/>
      <c r="G697" s="16"/>
      <c r="N697" s="8"/>
      <c r="P697" s="8"/>
    </row>
    <row r="698">
      <c r="B698" s="46"/>
      <c r="E698" s="47"/>
      <c r="F698" s="47"/>
      <c r="G698" s="16"/>
      <c r="N698" s="8"/>
      <c r="P698" s="8"/>
    </row>
    <row r="699">
      <c r="B699" s="46"/>
      <c r="E699" s="47"/>
      <c r="F699" s="47"/>
      <c r="G699" s="16"/>
      <c r="N699" s="8"/>
      <c r="P699" s="8"/>
    </row>
    <row r="700">
      <c r="B700" s="46"/>
      <c r="E700" s="47"/>
      <c r="F700" s="47"/>
      <c r="G700" s="16"/>
      <c r="N700" s="8"/>
      <c r="P700" s="8"/>
    </row>
    <row r="701">
      <c r="B701" s="46"/>
      <c r="E701" s="47"/>
      <c r="F701" s="47"/>
      <c r="G701" s="16"/>
      <c r="N701" s="8"/>
      <c r="P701" s="8"/>
    </row>
    <row r="702">
      <c r="B702" s="46"/>
      <c r="E702" s="47"/>
      <c r="F702" s="47"/>
      <c r="G702" s="16"/>
      <c r="N702" s="8"/>
      <c r="P702" s="8"/>
    </row>
    <row r="703">
      <c r="B703" s="46"/>
      <c r="E703" s="47"/>
      <c r="F703" s="47"/>
      <c r="G703" s="16"/>
      <c r="N703" s="8"/>
      <c r="P703" s="8"/>
    </row>
    <row r="704">
      <c r="B704" s="46"/>
      <c r="E704" s="47"/>
      <c r="F704" s="47"/>
      <c r="G704" s="16"/>
      <c r="N704" s="8"/>
      <c r="P704" s="8"/>
    </row>
    <row r="705">
      <c r="B705" s="46"/>
      <c r="E705" s="47"/>
      <c r="F705" s="47"/>
      <c r="G705" s="16"/>
      <c r="N705" s="8"/>
      <c r="P705" s="8"/>
    </row>
    <row r="706">
      <c r="B706" s="46"/>
      <c r="E706" s="47"/>
      <c r="F706" s="47"/>
      <c r="G706" s="16"/>
      <c r="N706" s="8"/>
      <c r="P706" s="8"/>
    </row>
    <row r="707">
      <c r="B707" s="46"/>
      <c r="E707" s="47"/>
      <c r="F707" s="47"/>
      <c r="G707" s="16"/>
      <c r="N707" s="8"/>
      <c r="P707" s="8"/>
    </row>
    <row r="708">
      <c r="B708" s="46"/>
      <c r="E708" s="47"/>
      <c r="F708" s="47"/>
      <c r="G708" s="16"/>
      <c r="N708" s="8"/>
      <c r="P708" s="8"/>
    </row>
    <row r="709">
      <c r="B709" s="46"/>
      <c r="E709" s="47"/>
      <c r="F709" s="47"/>
      <c r="G709" s="16"/>
      <c r="N709" s="8"/>
      <c r="P709" s="8"/>
    </row>
    <row r="710">
      <c r="B710" s="46"/>
      <c r="E710" s="47"/>
      <c r="F710" s="47"/>
      <c r="G710" s="16"/>
      <c r="N710" s="8"/>
      <c r="P710" s="8"/>
    </row>
    <row r="711">
      <c r="B711" s="46"/>
      <c r="E711" s="47"/>
      <c r="F711" s="47"/>
      <c r="G711" s="16"/>
      <c r="N711" s="8"/>
      <c r="P711" s="8"/>
    </row>
    <row r="712">
      <c r="B712" s="46"/>
      <c r="E712" s="47"/>
      <c r="F712" s="47"/>
      <c r="G712" s="16"/>
      <c r="N712" s="8"/>
      <c r="P712" s="8"/>
    </row>
    <row r="713">
      <c r="B713" s="46"/>
      <c r="E713" s="47"/>
      <c r="F713" s="47"/>
      <c r="G713" s="16"/>
      <c r="N713" s="8"/>
      <c r="P713" s="8"/>
    </row>
    <row r="714">
      <c r="B714" s="46"/>
      <c r="E714" s="47"/>
      <c r="F714" s="47"/>
      <c r="G714" s="16"/>
      <c r="N714" s="8"/>
      <c r="P714" s="8"/>
    </row>
    <row r="715">
      <c r="B715" s="46"/>
      <c r="E715" s="47"/>
      <c r="F715" s="47"/>
      <c r="N715" s="8"/>
      <c r="P715" s="8"/>
    </row>
    <row r="716">
      <c r="B716" s="46"/>
      <c r="E716" s="47"/>
      <c r="F716" s="47"/>
      <c r="N716" s="8"/>
      <c r="P716" s="8"/>
    </row>
    <row r="717">
      <c r="B717" s="46"/>
      <c r="E717" s="47"/>
      <c r="F717" s="47"/>
      <c r="N717" s="8"/>
      <c r="P717" s="8"/>
    </row>
    <row r="718">
      <c r="B718" s="46"/>
      <c r="E718" s="47"/>
      <c r="F718" s="47"/>
      <c r="N718" s="8"/>
      <c r="P718" s="8"/>
    </row>
    <row r="719">
      <c r="B719" s="46"/>
      <c r="E719" s="47"/>
      <c r="F719" s="47"/>
      <c r="N719" s="8"/>
      <c r="P719" s="8"/>
    </row>
    <row r="720">
      <c r="B720" s="46"/>
      <c r="E720" s="47"/>
      <c r="F720" s="47"/>
      <c r="N720" s="8"/>
      <c r="P720" s="8"/>
    </row>
    <row r="721">
      <c r="B721" s="46"/>
      <c r="E721" s="47"/>
      <c r="F721" s="47"/>
      <c r="N721" s="8"/>
      <c r="P721" s="8"/>
    </row>
    <row r="722">
      <c r="B722" s="46"/>
      <c r="E722" s="47"/>
      <c r="F722" s="47"/>
      <c r="N722" s="8"/>
      <c r="P722" s="8"/>
    </row>
    <row r="723">
      <c r="B723" s="46"/>
      <c r="E723" s="47"/>
      <c r="F723" s="47"/>
      <c r="N723" s="8"/>
      <c r="P723" s="8"/>
    </row>
    <row r="724">
      <c r="B724" s="46"/>
      <c r="E724" s="47"/>
      <c r="F724" s="47"/>
      <c r="N724" s="8"/>
      <c r="P724" s="8"/>
    </row>
    <row r="725">
      <c r="B725" s="46"/>
      <c r="E725" s="47"/>
      <c r="F725" s="47"/>
      <c r="N725" s="8"/>
      <c r="P725" s="8"/>
    </row>
    <row r="726">
      <c r="B726" s="46"/>
      <c r="E726" s="47"/>
      <c r="F726" s="47"/>
      <c r="N726" s="8"/>
      <c r="P726" s="8"/>
    </row>
    <row r="727">
      <c r="B727" s="46"/>
      <c r="E727" s="47"/>
      <c r="F727" s="47"/>
      <c r="N727" s="8"/>
      <c r="P727" s="8"/>
    </row>
    <row r="728">
      <c r="B728" s="53"/>
      <c r="E728" s="47"/>
      <c r="F728" s="47"/>
      <c r="N728" s="8"/>
      <c r="P728" s="8"/>
    </row>
    <row r="729">
      <c r="B729" s="53"/>
      <c r="E729" s="47"/>
      <c r="F729" s="47"/>
      <c r="N729" s="8"/>
      <c r="P729" s="8"/>
    </row>
    <row r="730">
      <c r="B730" s="53"/>
      <c r="E730" s="47"/>
      <c r="F730" s="47"/>
      <c r="N730" s="8"/>
      <c r="P730" s="8"/>
    </row>
    <row r="731">
      <c r="B731" s="53"/>
      <c r="E731" s="47"/>
      <c r="F731" s="47"/>
      <c r="N731" s="8"/>
      <c r="P731" s="8"/>
    </row>
    <row r="732">
      <c r="B732" s="53"/>
      <c r="E732" s="47"/>
      <c r="F732" s="47"/>
      <c r="N732" s="8"/>
      <c r="P732" s="8"/>
    </row>
    <row r="733">
      <c r="B733" s="53"/>
      <c r="E733" s="47"/>
      <c r="F733" s="47"/>
      <c r="N733" s="8"/>
      <c r="P733" s="8"/>
    </row>
    <row r="734">
      <c r="B734" s="53"/>
      <c r="E734" s="47"/>
      <c r="F734" s="47"/>
      <c r="N734" s="8"/>
      <c r="P734" s="8"/>
    </row>
    <row r="735">
      <c r="B735" s="53"/>
      <c r="E735" s="47"/>
      <c r="F735" s="47"/>
      <c r="N735" s="8"/>
      <c r="P735" s="8"/>
    </row>
    <row r="736">
      <c r="B736" s="53"/>
      <c r="E736" s="47"/>
      <c r="F736" s="47"/>
      <c r="N736" s="8"/>
      <c r="P736" s="8"/>
    </row>
    <row r="737">
      <c r="B737" s="53"/>
      <c r="E737" s="47"/>
      <c r="F737" s="47"/>
      <c r="N737" s="8"/>
      <c r="P737" s="8"/>
    </row>
    <row r="738">
      <c r="B738" s="53"/>
      <c r="E738" s="47"/>
      <c r="F738" s="47"/>
      <c r="N738" s="8"/>
      <c r="P738" s="8"/>
    </row>
    <row r="739">
      <c r="B739" s="53"/>
      <c r="E739" s="47"/>
      <c r="F739" s="47"/>
      <c r="N739" s="8"/>
      <c r="P739" s="8"/>
    </row>
    <row r="740">
      <c r="B740" s="53"/>
      <c r="E740" s="47"/>
      <c r="F740" s="47"/>
      <c r="N740" s="8"/>
      <c r="P740" s="8"/>
    </row>
    <row r="741">
      <c r="B741" s="53"/>
      <c r="E741" s="47"/>
      <c r="F741" s="47"/>
      <c r="N741" s="8"/>
      <c r="P741" s="8"/>
    </row>
    <row r="742">
      <c r="B742" s="53"/>
      <c r="E742" s="47"/>
      <c r="F742" s="47"/>
      <c r="N742" s="8"/>
      <c r="P742" s="8"/>
    </row>
    <row r="743">
      <c r="B743" s="53"/>
      <c r="E743" s="47"/>
      <c r="F743" s="47"/>
      <c r="N743" s="8"/>
      <c r="P743" s="8"/>
    </row>
    <row r="744">
      <c r="B744" s="53"/>
      <c r="E744" s="47"/>
      <c r="F744" s="47"/>
      <c r="N744" s="8"/>
      <c r="P744" s="8"/>
    </row>
    <row r="745">
      <c r="B745" s="53"/>
      <c r="E745" s="47"/>
      <c r="F745" s="47"/>
      <c r="N745" s="8"/>
      <c r="P745" s="8"/>
    </row>
    <row r="746">
      <c r="B746" s="53"/>
      <c r="E746" s="47"/>
      <c r="F746" s="47"/>
      <c r="N746" s="8"/>
      <c r="P746" s="8"/>
    </row>
    <row r="747">
      <c r="B747" s="53"/>
      <c r="E747" s="47"/>
      <c r="F747" s="47"/>
      <c r="N747" s="8"/>
      <c r="P747" s="8"/>
    </row>
    <row r="748">
      <c r="B748" s="53"/>
      <c r="E748" s="47"/>
      <c r="F748" s="47"/>
      <c r="N748" s="8"/>
      <c r="P748" s="8"/>
    </row>
    <row r="749">
      <c r="B749" s="53"/>
      <c r="E749" s="47"/>
      <c r="F749" s="47"/>
      <c r="N749" s="8"/>
      <c r="P749" s="8"/>
    </row>
    <row r="750">
      <c r="B750" s="53"/>
      <c r="E750" s="47"/>
      <c r="F750" s="47"/>
      <c r="N750" s="8"/>
      <c r="P750" s="8"/>
    </row>
    <row r="751">
      <c r="B751" s="53"/>
      <c r="E751" s="47"/>
      <c r="F751" s="47"/>
      <c r="N751" s="8"/>
      <c r="P751" s="8"/>
    </row>
    <row r="752">
      <c r="B752" s="53"/>
      <c r="E752" s="47"/>
      <c r="F752" s="47"/>
      <c r="N752" s="8"/>
      <c r="P752" s="8"/>
    </row>
    <row r="753">
      <c r="B753" s="53"/>
      <c r="E753" s="47"/>
      <c r="F753" s="47"/>
      <c r="N753" s="8"/>
      <c r="P753" s="8"/>
    </row>
    <row r="754">
      <c r="B754" s="53"/>
      <c r="E754" s="47"/>
      <c r="F754" s="47"/>
      <c r="N754" s="8"/>
      <c r="P754" s="8"/>
    </row>
    <row r="755">
      <c r="B755" s="53"/>
      <c r="E755" s="47"/>
      <c r="F755" s="47"/>
      <c r="N755" s="8"/>
      <c r="P755" s="8"/>
    </row>
    <row r="756">
      <c r="B756" s="53"/>
      <c r="E756" s="47"/>
      <c r="F756" s="47"/>
      <c r="N756" s="8"/>
      <c r="P756" s="8"/>
    </row>
    <row r="757">
      <c r="B757" s="53"/>
      <c r="E757" s="47"/>
      <c r="F757" s="47"/>
      <c r="N757" s="8"/>
      <c r="P757" s="8"/>
    </row>
    <row r="758">
      <c r="B758" s="53"/>
      <c r="E758" s="47"/>
      <c r="F758" s="47"/>
      <c r="N758" s="8"/>
      <c r="P758" s="8"/>
    </row>
    <row r="759">
      <c r="B759" s="53"/>
      <c r="E759" s="47"/>
      <c r="F759" s="47"/>
      <c r="N759" s="8"/>
      <c r="P759" s="8"/>
    </row>
    <row r="760">
      <c r="B760" s="53"/>
      <c r="E760" s="47"/>
      <c r="F760" s="47"/>
      <c r="N760" s="8"/>
      <c r="P760" s="8"/>
    </row>
    <row r="761">
      <c r="B761" s="53"/>
      <c r="E761" s="47"/>
      <c r="F761" s="47"/>
      <c r="N761" s="8"/>
      <c r="P761" s="8"/>
    </row>
    <row r="762">
      <c r="B762" s="53"/>
      <c r="E762" s="47"/>
      <c r="F762" s="47"/>
      <c r="N762" s="8"/>
      <c r="P762" s="8"/>
    </row>
    <row r="763">
      <c r="B763" s="53"/>
      <c r="E763" s="47"/>
      <c r="F763" s="47"/>
      <c r="N763" s="8"/>
      <c r="P763" s="8"/>
    </row>
    <row r="764">
      <c r="B764" s="53"/>
      <c r="E764" s="47"/>
      <c r="F764" s="47"/>
      <c r="N764" s="8"/>
      <c r="P764" s="8"/>
    </row>
    <row r="765">
      <c r="B765" s="53"/>
      <c r="E765" s="47"/>
      <c r="F765" s="47"/>
      <c r="N765" s="8"/>
      <c r="P765" s="8"/>
    </row>
    <row r="766">
      <c r="B766" s="53"/>
      <c r="E766" s="47"/>
      <c r="F766" s="47"/>
      <c r="N766" s="8"/>
      <c r="P766" s="8"/>
    </row>
    <row r="767">
      <c r="B767" s="53"/>
      <c r="E767" s="47"/>
      <c r="F767" s="47"/>
      <c r="N767" s="8"/>
      <c r="P767" s="8"/>
    </row>
    <row r="768">
      <c r="B768" s="53"/>
      <c r="E768" s="47"/>
      <c r="F768" s="47"/>
      <c r="N768" s="8"/>
      <c r="P768" s="8"/>
    </row>
    <row r="769">
      <c r="B769" s="53"/>
      <c r="E769" s="47"/>
      <c r="F769" s="47"/>
      <c r="N769" s="8"/>
      <c r="P769" s="8"/>
    </row>
    <row r="770">
      <c r="B770" s="53"/>
      <c r="E770" s="47"/>
      <c r="F770" s="47"/>
      <c r="N770" s="8"/>
      <c r="P770" s="8"/>
    </row>
    <row r="771">
      <c r="B771" s="53"/>
      <c r="E771" s="47"/>
      <c r="F771" s="47"/>
      <c r="N771" s="8"/>
      <c r="P771" s="8"/>
    </row>
    <row r="772">
      <c r="B772" s="53"/>
      <c r="E772" s="47"/>
      <c r="F772" s="47"/>
      <c r="N772" s="8"/>
      <c r="P772" s="8"/>
    </row>
    <row r="773">
      <c r="B773" s="53"/>
      <c r="E773" s="47"/>
      <c r="F773" s="47"/>
      <c r="N773" s="8"/>
      <c r="P773" s="8"/>
    </row>
    <row r="774">
      <c r="B774" s="53"/>
      <c r="E774" s="47"/>
      <c r="F774" s="47"/>
      <c r="N774" s="8"/>
      <c r="P774" s="8"/>
    </row>
    <row r="775">
      <c r="B775" s="53"/>
      <c r="E775" s="47"/>
      <c r="F775" s="47"/>
      <c r="N775" s="8"/>
      <c r="P775" s="8"/>
    </row>
    <row r="776">
      <c r="B776" s="53"/>
      <c r="E776" s="47"/>
      <c r="F776" s="47"/>
      <c r="N776" s="8"/>
      <c r="P776" s="8"/>
    </row>
    <row r="777">
      <c r="B777" s="53"/>
      <c r="E777" s="47"/>
      <c r="F777" s="47"/>
      <c r="N777" s="8"/>
      <c r="P777" s="8"/>
    </row>
    <row r="778">
      <c r="B778" s="53"/>
      <c r="E778" s="47"/>
      <c r="F778" s="47"/>
      <c r="N778" s="8"/>
      <c r="P778" s="8"/>
    </row>
    <row r="779">
      <c r="B779" s="53"/>
      <c r="E779" s="47"/>
      <c r="F779" s="47"/>
      <c r="N779" s="8"/>
      <c r="P779" s="8"/>
    </row>
    <row r="780">
      <c r="B780" s="53"/>
      <c r="E780" s="47"/>
      <c r="F780" s="47"/>
      <c r="N780" s="8"/>
      <c r="P780" s="8"/>
    </row>
    <row r="781">
      <c r="B781" s="53"/>
      <c r="E781" s="47"/>
      <c r="F781" s="47"/>
      <c r="N781" s="8"/>
      <c r="P781" s="8"/>
    </row>
    <row r="782">
      <c r="B782" s="53"/>
      <c r="E782" s="47"/>
      <c r="F782" s="47"/>
      <c r="N782" s="8"/>
      <c r="P782" s="8"/>
    </row>
    <row r="783">
      <c r="B783" s="53"/>
      <c r="E783" s="47"/>
      <c r="F783" s="47"/>
      <c r="N783" s="8"/>
      <c r="P783" s="8"/>
    </row>
    <row r="784">
      <c r="B784" s="53"/>
      <c r="E784" s="47"/>
      <c r="F784" s="47"/>
      <c r="N784" s="8"/>
      <c r="P784" s="8"/>
    </row>
    <row r="785">
      <c r="B785" s="53"/>
      <c r="E785" s="47"/>
      <c r="F785" s="47"/>
      <c r="N785" s="8"/>
      <c r="P785" s="8"/>
    </row>
    <row r="786">
      <c r="B786" s="53"/>
      <c r="E786" s="47"/>
      <c r="F786" s="47"/>
      <c r="N786" s="8"/>
      <c r="P786" s="8"/>
    </row>
    <row r="787">
      <c r="B787" s="53"/>
      <c r="E787" s="47"/>
      <c r="F787" s="47"/>
      <c r="N787" s="8"/>
      <c r="P787" s="8"/>
    </row>
    <row r="788">
      <c r="B788" s="53"/>
      <c r="E788" s="47"/>
      <c r="F788" s="47"/>
      <c r="N788" s="8"/>
      <c r="P788" s="8"/>
    </row>
    <row r="789">
      <c r="B789" s="53"/>
      <c r="E789" s="47"/>
      <c r="F789" s="47"/>
      <c r="N789" s="8"/>
      <c r="P789" s="8"/>
    </row>
    <row r="790">
      <c r="B790" s="53"/>
      <c r="E790" s="47"/>
      <c r="F790" s="47"/>
      <c r="N790" s="8"/>
      <c r="P790" s="8"/>
    </row>
    <row r="791">
      <c r="B791" s="53"/>
      <c r="E791" s="47"/>
      <c r="F791" s="47"/>
      <c r="N791" s="8"/>
      <c r="P791" s="8"/>
    </row>
    <row r="792">
      <c r="B792" s="53"/>
      <c r="E792" s="47"/>
      <c r="F792" s="47"/>
      <c r="N792" s="8"/>
      <c r="P792" s="8"/>
    </row>
    <row r="793">
      <c r="B793" s="53"/>
      <c r="E793" s="47"/>
      <c r="F793" s="47"/>
      <c r="N793" s="8"/>
      <c r="P793" s="8"/>
    </row>
    <row r="794">
      <c r="B794" s="53"/>
      <c r="E794" s="47"/>
      <c r="F794" s="47"/>
      <c r="N794" s="8"/>
      <c r="P794" s="8"/>
    </row>
    <row r="795">
      <c r="B795" s="53"/>
      <c r="E795" s="47"/>
      <c r="F795" s="47"/>
      <c r="N795" s="8"/>
      <c r="P795" s="8"/>
    </row>
    <row r="796">
      <c r="B796" s="53"/>
      <c r="E796" s="47"/>
      <c r="F796" s="47"/>
      <c r="N796" s="8"/>
      <c r="P796" s="8"/>
    </row>
    <row r="797">
      <c r="B797" s="53"/>
      <c r="E797" s="47"/>
      <c r="F797" s="47"/>
      <c r="N797" s="8"/>
      <c r="P797" s="8"/>
    </row>
    <row r="798">
      <c r="B798" s="53"/>
      <c r="E798" s="47"/>
      <c r="F798" s="47"/>
      <c r="N798" s="8"/>
      <c r="P798" s="8"/>
    </row>
    <row r="799">
      <c r="B799" s="53"/>
      <c r="E799" s="47"/>
      <c r="F799" s="47"/>
      <c r="N799" s="8"/>
      <c r="P799" s="8"/>
    </row>
    <row r="800">
      <c r="B800" s="53"/>
      <c r="E800" s="47"/>
      <c r="F800" s="47"/>
      <c r="N800" s="8"/>
      <c r="P800" s="8"/>
    </row>
    <row r="801">
      <c r="B801" s="53"/>
      <c r="E801" s="47"/>
      <c r="F801" s="47"/>
      <c r="N801" s="8"/>
      <c r="P801" s="8"/>
    </row>
    <row r="802">
      <c r="B802" s="53"/>
      <c r="E802" s="47"/>
      <c r="F802" s="47"/>
      <c r="N802" s="8"/>
      <c r="P802" s="8"/>
    </row>
    <row r="803">
      <c r="B803" s="53"/>
      <c r="E803" s="47"/>
      <c r="F803" s="47"/>
      <c r="N803" s="8"/>
      <c r="P803" s="8"/>
    </row>
    <row r="804">
      <c r="B804" s="53"/>
      <c r="E804" s="47"/>
      <c r="F804" s="47"/>
      <c r="N804" s="8"/>
      <c r="P804" s="8"/>
    </row>
    <row r="805">
      <c r="B805" s="53"/>
      <c r="E805" s="47"/>
      <c r="F805" s="47"/>
      <c r="N805" s="8"/>
      <c r="P805" s="8"/>
    </row>
    <row r="806">
      <c r="B806" s="53"/>
      <c r="E806" s="47"/>
      <c r="F806" s="47"/>
      <c r="N806" s="8"/>
      <c r="P806" s="8"/>
    </row>
    <row r="807">
      <c r="B807" s="53"/>
      <c r="E807" s="47"/>
      <c r="F807" s="47"/>
      <c r="N807" s="8"/>
      <c r="P807" s="8"/>
    </row>
    <row r="808">
      <c r="B808" s="53"/>
      <c r="E808" s="47"/>
      <c r="F808" s="47"/>
      <c r="N808" s="8"/>
      <c r="P808" s="8"/>
    </row>
    <row r="809">
      <c r="B809" s="53"/>
      <c r="E809" s="47"/>
      <c r="F809" s="47"/>
      <c r="N809" s="8"/>
      <c r="P809" s="8"/>
    </row>
    <row r="810">
      <c r="B810" s="53"/>
      <c r="E810" s="47"/>
      <c r="F810" s="47"/>
      <c r="N810" s="8"/>
      <c r="P810" s="8"/>
    </row>
    <row r="811">
      <c r="B811" s="53"/>
      <c r="E811" s="47"/>
      <c r="F811" s="47"/>
      <c r="N811" s="8"/>
      <c r="P811" s="8"/>
    </row>
    <row r="812">
      <c r="B812" s="53"/>
      <c r="E812" s="47"/>
      <c r="F812" s="47"/>
      <c r="N812" s="8"/>
      <c r="P812" s="8"/>
    </row>
    <row r="813">
      <c r="B813" s="53"/>
      <c r="E813" s="47"/>
      <c r="F813" s="47"/>
      <c r="N813" s="8"/>
      <c r="P813" s="8"/>
    </row>
    <row r="814">
      <c r="B814" s="53"/>
      <c r="E814" s="47"/>
      <c r="F814" s="47"/>
      <c r="N814" s="8"/>
      <c r="P814" s="8"/>
    </row>
    <row r="815">
      <c r="B815" s="53"/>
      <c r="E815" s="47"/>
      <c r="F815" s="47"/>
      <c r="N815" s="8"/>
      <c r="P815" s="8"/>
    </row>
    <row r="816">
      <c r="B816" s="53"/>
      <c r="E816" s="47"/>
      <c r="F816" s="47"/>
      <c r="N816" s="8"/>
      <c r="P816" s="8"/>
    </row>
    <row r="817">
      <c r="B817" s="53"/>
      <c r="E817" s="47"/>
      <c r="F817" s="47"/>
      <c r="N817" s="8"/>
      <c r="P817" s="8"/>
    </row>
    <row r="818">
      <c r="B818" s="53"/>
      <c r="E818" s="47"/>
      <c r="F818" s="47"/>
      <c r="N818" s="8"/>
      <c r="P818" s="8"/>
    </row>
    <row r="819">
      <c r="B819" s="53"/>
      <c r="E819" s="47"/>
      <c r="F819" s="47"/>
      <c r="N819" s="8"/>
      <c r="P819" s="8"/>
    </row>
    <row r="820">
      <c r="B820" s="53"/>
      <c r="E820" s="47"/>
      <c r="F820" s="47"/>
      <c r="N820" s="8"/>
      <c r="P820" s="8"/>
    </row>
    <row r="821">
      <c r="B821" s="53"/>
      <c r="E821" s="47"/>
      <c r="F821" s="47"/>
      <c r="N821" s="8"/>
      <c r="P821" s="8"/>
    </row>
    <row r="822">
      <c r="B822" s="53"/>
      <c r="E822" s="47"/>
      <c r="F822" s="47"/>
      <c r="N822" s="8"/>
      <c r="P822" s="8"/>
    </row>
    <row r="823">
      <c r="B823" s="53"/>
      <c r="E823" s="47"/>
      <c r="F823" s="47"/>
      <c r="N823" s="8"/>
      <c r="P823" s="8"/>
    </row>
    <row r="824">
      <c r="B824" s="53"/>
      <c r="E824" s="47"/>
      <c r="F824" s="47"/>
      <c r="N824" s="8"/>
      <c r="P824" s="8"/>
    </row>
    <row r="825">
      <c r="B825" s="53"/>
      <c r="E825" s="47"/>
      <c r="F825" s="47"/>
      <c r="N825" s="8"/>
      <c r="P825" s="8"/>
    </row>
    <row r="826">
      <c r="B826" s="53"/>
      <c r="E826" s="47"/>
      <c r="F826" s="47"/>
      <c r="N826" s="8"/>
      <c r="P826" s="8"/>
    </row>
    <row r="827">
      <c r="B827" s="53"/>
      <c r="E827" s="47"/>
      <c r="F827" s="47"/>
      <c r="N827" s="8"/>
      <c r="P827" s="8"/>
    </row>
    <row r="828">
      <c r="B828" s="53"/>
      <c r="E828" s="47"/>
      <c r="F828" s="47"/>
      <c r="N828" s="8"/>
      <c r="P828" s="8"/>
    </row>
    <row r="829">
      <c r="B829" s="53"/>
      <c r="E829" s="47"/>
      <c r="F829" s="47"/>
      <c r="N829" s="8"/>
      <c r="P829" s="8"/>
    </row>
    <row r="830">
      <c r="B830" s="53"/>
      <c r="E830" s="47"/>
      <c r="F830" s="47"/>
      <c r="N830" s="8"/>
      <c r="P830" s="8"/>
    </row>
    <row r="831">
      <c r="B831" s="53"/>
      <c r="E831" s="47"/>
      <c r="F831" s="47"/>
      <c r="N831" s="8"/>
      <c r="P831" s="8"/>
    </row>
    <row r="832">
      <c r="B832" s="53"/>
      <c r="E832" s="47"/>
      <c r="F832" s="47"/>
      <c r="N832" s="8"/>
      <c r="P832" s="8"/>
    </row>
    <row r="833">
      <c r="B833" s="53"/>
      <c r="E833" s="47"/>
      <c r="F833" s="47"/>
      <c r="N833" s="8"/>
      <c r="P833" s="8"/>
    </row>
    <row r="834">
      <c r="B834" s="53"/>
      <c r="E834" s="47"/>
      <c r="F834" s="47"/>
      <c r="N834" s="8"/>
      <c r="P834" s="8"/>
    </row>
    <row r="835">
      <c r="B835" s="53"/>
      <c r="E835" s="47"/>
      <c r="F835" s="47"/>
      <c r="N835" s="8"/>
      <c r="P835" s="8"/>
    </row>
    <row r="836">
      <c r="B836" s="53"/>
      <c r="E836" s="47"/>
      <c r="F836" s="47"/>
      <c r="N836" s="8"/>
      <c r="P836" s="8"/>
    </row>
    <row r="837">
      <c r="B837" s="53"/>
      <c r="E837" s="47"/>
      <c r="F837" s="47"/>
      <c r="N837" s="8"/>
      <c r="P837" s="8"/>
    </row>
    <row r="838">
      <c r="B838" s="53"/>
      <c r="E838" s="47"/>
      <c r="F838" s="47"/>
      <c r="N838" s="8"/>
      <c r="P838" s="8"/>
    </row>
    <row r="839">
      <c r="B839" s="53"/>
      <c r="E839" s="47"/>
      <c r="F839" s="47"/>
      <c r="N839" s="8"/>
      <c r="P839" s="8"/>
    </row>
    <row r="840">
      <c r="B840" s="53"/>
      <c r="E840" s="47"/>
      <c r="F840" s="47"/>
      <c r="N840" s="8"/>
      <c r="P840" s="8"/>
    </row>
    <row r="841">
      <c r="B841" s="53"/>
      <c r="E841" s="47"/>
      <c r="F841" s="47"/>
      <c r="N841" s="8"/>
      <c r="P841" s="8"/>
    </row>
    <row r="842">
      <c r="B842" s="53"/>
      <c r="E842" s="47"/>
      <c r="F842" s="47"/>
      <c r="N842" s="8"/>
      <c r="P842" s="8"/>
    </row>
    <row r="843">
      <c r="B843" s="53"/>
      <c r="E843" s="47"/>
      <c r="F843" s="47"/>
      <c r="N843" s="8"/>
      <c r="P843" s="8"/>
    </row>
    <row r="844">
      <c r="B844" s="53"/>
      <c r="E844" s="47"/>
      <c r="F844" s="47"/>
      <c r="N844" s="8"/>
      <c r="P844" s="8"/>
    </row>
    <row r="845">
      <c r="B845" s="53"/>
      <c r="E845" s="47"/>
      <c r="F845" s="47"/>
      <c r="N845" s="8"/>
      <c r="P845" s="8"/>
    </row>
    <row r="846">
      <c r="B846" s="53"/>
      <c r="E846" s="47"/>
      <c r="F846" s="47"/>
      <c r="N846" s="8"/>
      <c r="P846" s="8"/>
    </row>
    <row r="847">
      <c r="B847" s="53"/>
      <c r="E847" s="47"/>
      <c r="F847" s="47"/>
      <c r="N847" s="8"/>
      <c r="P847" s="8"/>
    </row>
    <row r="848">
      <c r="B848" s="53"/>
      <c r="E848" s="47"/>
      <c r="F848" s="47"/>
      <c r="N848" s="8"/>
      <c r="P848" s="8"/>
    </row>
    <row r="849">
      <c r="B849" s="53"/>
      <c r="E849" s="47"/>
      <c r="F849" s="47"/>
      <c r="N849" s="8"/>
      <c r="P849" s="8"/>
    </row>
    <row r="850">
      <c r="B850" s="53"/>
      <c r="E850" s="47"/>
      <c r="F850" s="47"/>
      <c r="N850" s="8"/>
      <c r="P850" s="8"/>
    </row>
    <row r="851">
      <c r="B851" s="53"/>
      <c r="E851" s="47"/>
      <c r="F851" s="47"/>
      <c r="N851" s="8"/>
      <c r="P851" s="8"/>
    </row>
    <row r="852">
      <c r="B852" s="53"/>
      <c r="E852" s="47"/>
      <c r="F852" s="47"/>
      <c r="N852" s="8"/>
      <c r="P852" s="8"/>
    </row>
    <row r="853">
      <c r="B853" s="53"/>
      <c r="E853" s="47"/>
      <c r="F853" s="47"/>
      <c r="N853" s="8"/>
      <c r="P853" s="8"/>
    </row>
    <row r="854">
      <c r="B854" s="53"/>
      <c r="E854" s="47"/>
      <c r="F854" s="47"/>
      <c r="N854" s="8"/>
      <c r="P854" s="8"/>
    </row>
    <row r="855">
      <c r="B855" s="53"/>
      <c r="E855" s="47"/>
      <c r="F855" s="47"/>
      <c r="N855" s="8"/>
      <c r="P855" s="8"/>
    </row>
    <row r="856">
      <c r="B856" s="53"/>
      <c r="E856" s="47"/>
      <c r="F856" s="47"/>
      <c r="N856" s="8"/>
      <c r="P856" s="8"/>
    </row>
    <row r="857">
      <c r="B857" s="53"/>
      <c r="E857" s="47"/>
      <c r="F857" s="47"/>
      <c r="N857" s="8"/>
      <c r="P857" s="8"/>
    </row>
    <row r="858">
      <c r="B858" s="53"/>
      <c r="E858" s="47"/>
      <c r="F858" s="47"/>
      <c r="N858" s="8"/>
      <c r="P858" s="8"/>
    </row>
    <row r="859">
      <c r="B859" s="53"/>
      <c r="E859" s="47"/>
      <c r="F859" s="47"/>
      <c r="N859" s="8"/>
      <c r="P859" s="8"/>
    </row>
    <row r="860">
      <c r="B860" s="53"/>
      <c r="E860" s="47"/>
      <c r="F860" s="47"/>
      <c r="N860" s="8"/>
      <c r="P860" s="8"/>
    </row>
    <row r="861">
      <c r="B861" s="53"/>
      <c r="E861" s="47"/>
      <c r="F861" s="47"/>
      <c r="N861" s="8"/>
      <c r="P861" s="8"/>
    </row>
    <row r="862">
      <c r="B862" s="53"/>
      <c r="E862" s="47"/>
      <c r="F862" s="47"/>
      <c r="N862" s="8"/>
      <c r="P862" s="8"/>
    </row>
    <row r="863">
      <c r="B863" s="53"/>
      <c r="E863" s="47"/>
      <c r="F863" s="47"/>
      <c r="N863" s="8"/>
      <c r="P863" s="8"/>
    </row>
    <row r="864">
      <c r="B864" s="53"/>
      <c r="E864" s="47"/>
      <c r="F864" s="47"/>
      <c r="N864" s="8"/>
      <c r="P864" s="8"/>
    </row>
    <row r="865">
      <c r="B865" s="53"/>
      <c r="E865" s="47"/>
      <c r="F865" s="47"/>
      <c r="N865" s="8"/>
      <c r="P865" s="8"/>
    </row>
    <row r="866">
      <c r="B866" s="53"/>
      <c r="E866" s="47"/>
      <c r="F866" s="47"/>
      <c r="N866" s="8"/>
      <c r="P866" s="8"/>
    </row>
    <row r="867">
      <c r="B867" s="53"/>
      <c r="E867" s="47"/>
      <c r="F867" s="47"/>
      <c r="N867" s="8"/>
      <c r="P867" s="8"/>
    </row>
    <row r="868">
      <c r="B868" s="53"/>
      <c r="E868" s="47"/>
      <c r="F868" s="47"/>
      <c r="N868" s="8"/>
      <c r="P868" s="8"/>
    </row>
    <row r="869">
      <c r="B869" s="53"/>
      <c r="E869" s="47"/>
      <c r="F869" s="47"/>
      <c r="N869" s="8"/>
      <c r="P869" s="8"/>
    </row>
    <row r="870">
      <c r="B870" s="53"/>
      <c r="E870" s="47"/>
      <c r="F870" s="47"/>
      <c r="N870" s="8"/>
      <c r="P870" s="8"/>
    </row>
    <row r="871">
      <c r="B871" s="53"/>
      <c r="E871" s="47"/>
      <c r="F871" s="47"/>
      <c r="N871" s="8"/>
      <c r="P871" s="8"/>
    </row>
    <row r="872">
      <c r="B872" s="53"/>
      <c r="E872" s="47"/>
      <c r="F872" s="47"/>
      <c r="N872" s="8"/>
      <c r="P872" s="8"/>
    </row>
    <row r="873">
      <c r="B873" s="53"/>
      <c r="E873" s="47"/>
      <c r="F873" s="47"/>
      <c r="N873" s="8"/>
      <c r="P873" s="8"/>
    </row>
    <row r="874">
      <c r="B874" s="53"/>
      <c r="E874" s="47"/>
      <c r="F874" s="47"/>
      <c r="N874" s="8"/>
      <c r="P874" s="8"/>
    </row>
    <row r="875">
      <c r="B875" s="53"/>
      <c r="E875" s="47"/>
      <c r="F875" s="47"/>
      <c r="N875" s="8"/>
      <c r="P875" s="8"/>
    </row>
    <row r="876">
      <c r="B876" s="53"/>
      <c r="E876" s="47"/>
      <c r="F876" s="47"/>
      <c r="N876" s="8"/>
      <c r="P876" s="8"/>
    </row>
    <row r="877">
      <c r="B877" s="53"/>
      <c r="E877" s="47"/>
      <c r="F877" s="47"/>
      <c r="N877" s="8"/>
      <c r="P877" s="8"/>
    </row>
    <row r="878">
      <c r="B878" s="53"/>
      <c r="E878" s="47"/>
      <c r="F878" s="47"/>
      <c r="N878" s="8"/>
      <c r="P878" s="8"/>
    </row>
    <row r="879">
      <c r="B879" s="53"/>
      <c r="E879" s="47"/>
      <c r="F879" s="47"/>
      <c r="N879" s="8"/>
      <c r="P879" s="8"/>
    </row>
    <row r="880">
      <c r="B880" s="53"/>
      <c r="E880" s="47"/>
      <c r="F880" s="47"/>
      <c r="N880" s="8"/>
      <c r="P880" s="8"/>
    </row>
    <row r="881">
      <c r="B881" s="53"/>
      <c r="E881" s="47"/>
      <c r="F881" s="47"/>
      <c r="N881" s="8"/>
      <c r="P881" s="8"/>
    </row>
    <row r="882">
      <c r="B882" s="53"/>
      <c r="E882" s="47"/>
      <c r="F882" s="47"/>
      <c r="N882" s="8"/>
      <c r="P882" s="8"/>
    </row>
    <row r="883">
      <c r="B883" s="53"/>
      <c r="E883" s="47"/>
      <c r="F883" s="47"/>
      <c r="N883" s="8"/>
      <c r="P883" s="8"/>
    </row>
    <row r="884">
      <c r="B884" s="53"/>
      <c r="E884" s="47"/>
      <c r="F884" s="47"/>
      <c r="N884" s="8"/>
      <c r="P884" s="8"/>
    </row>
    <row r="885">
      <c r="B885" s="53"/>
      <c r="E885" s="47"/>
      <c r="F885" s="47"/>
      <c r="N885" s="8"/>
      <c r="P885" s="8"/>
    </row>
    <row r="886">
      <c r="B886" s="53"/>
      <c r="E886" s="47"/>
      <c r="F886" s="47"/>
      <c r="N886" s="8"/>
      <c r="P886" s="8"/>
    </row>
    <row r="887">
      <c r="B887" s="53"/>
      <c r="E887" s="47"/>
      <c r="F887" s="47"/>
      <c r="N887" s="8"/>
      <c r="P887" s="8"/>
    </row>
    <row r="888">
      <c r="B888" s="53"/>
      <c r="E888" s="47"/>
      <c r="F888" s="47"/>
      <c r="N888" s="8"/>
      <c r="P888" s="8"/>
    </row>
    <row r="889">
      <c r="B889" s="53"/>
      <c r="E889" s="47"/>
      <c r="F889" s="47"/>
      <c r="N889" s="8"/>
      <c r="P889" s="8"/>
    </row>
    <row r="890">
      <c r="B890" s="53"/>
      <c r="E890" s="47"/>
      <c r="F890" s="47"/>
      <c r="N890" s="8"/>
      <c r="P890" s="8"/>
    </row>
    <row r="891">
      <c r="B891" s="53"/>
      <c r="E891" s="47"/>
      <c r="F891" s="47"/>
      <c r="N891" s="8"/>
      <c r="P891" s="8"/>
    </row>
    <row r="892">
      <c r="B892" s="53"/>
      <c r="E892" s="47"/>
      <c r="F892" s="47"/>
      <c r="N892" s="8"/>
      <c r="P892" s="8"/>
    </row>
    <row r="893">
      <c r="B893" s="53"/>
      <c r="E893" s="47"/>
      <c r="F893" s="47"/>
      <c r="N893" s="8"/>
      <c r="P893" s="8"/>
    </row>
    <row r="894">
      <c r="B894" s="53"/>
      <c r="E894" s="47"/>
      <c r="F894" s="47"/>
      <c r="N894" s="8"/>
      <c r="P894" s="8"/>
    </row>
    <row r="895">
      <c r="B895" s="53"/>
      <c r="E895" s="47"/>
      <c r="F895" s="47"/>
      <c r="N895" s="8"/>
      <c r="P895" s="8"/>
    </row>
    <row r="896">
      <c r="B896" s="53"/>
      <c r="E896" s="47"/>
      <c r="F896" s="47"/>
      <c r="N896" s="8"/>
      <c r="P896" s="8"/>
    </row>
    <row r="897">
      <c r="B897" s="53"/>
      <c r="E897" s="47"/>
      <c r="F897" s="47"/>
      <c r="N897" s="8"/>
      <c r="P897" s="8"/>
    </row>
    <row r="898">
      <c r="B898" s="53"/>
      <c r="E898" s="47"/>
      <c r="F898" s="47"/>
      <c r="N898" s="8"/>
      <c r="P898" s="8"/>
    </row>
    <row r="899">
      <c r="B899" s="53"/>
      <c r="E899" s="47"/>
      <c r="F899" s="47"/>
      <c r="N899" s="8"/>
      <c r="P899" s="8"/>
    </row>
    <row r="900">
      <c r="B900" s="53"/>
      <c r="E900" s="47"/>
      <c r="F900" s="47"/>
      <c r="N900" s="8"/>
      <c r="P900" s="8"/>
    </row>
    <row r="901">
      <c r="B901" s="53"/>
      <c r="E901" s="47"/>
      <c r="F901" s="47"/>
      <c r="N901" s="8"/>
      <c r="P901" s="8"/>
    </row>
    <row r="902">
      <c r="B902" s="53"/>
      <c r="E902" s="47"/>
      <c r="F902" s="47"/>
      <c r="N902" s="8"/>
      <c r="P902" s="8"/>
    </row>
    <row r="903">
      <c r="B903" s="53"/>
      <c r="E903" s="47"/>
      <c r="F903" s="47"/>
      <c r="N903" s="8"/>
      <c r="P903" s="8"/>
    </row>
    <row r="904">
      <c r="B904" s="53"/>
      <c r="E904" s="47"/>
      <c r="F904" s="47"/>
      <c r="N904" s="8"/>
      <c r="P904" s="8"/>
    </row>
    <row r="905">
      <c r="B905" s="53"/>
      <c r="E905" s="47"/>
      <c r="F905" s="47"/>
      <c r="N905" s="8"/>
      <c r="P905" s="8"/>
    </row>
    <row r="906">
      <c r="B906" s="53"/>
      <c r="E906" s="47"/>
      <c r="F906" s="47"/>
      <c r="N906" s="8"/>
      <c r="P906" s="8"/>
    </row>
    <row r="907">
      <c r="B907" s="53"/>
      <c r="E907" s="47"/>
      <c r="F907" s="47"/>
      <c r="N907" s="8"/>
      <c r="P907" s="8"/>
    </row>
    <row r="908">
      <c r="B908" s="53"/>
      <c r="E908" s="47"/>
      <c r="F908" s="47"/>
      <c r="N908" s="8"/>
      <c r="P908" s="8"/>
    </row>
    <row r="909">
      <c r="B909" s="53"/>
      <c r="E909" s="47"/>
      <c r="F909" s="47"/>
      <c r="N909" s="8"/>
      <c r="P909" s="8"/>
    </row>
    <row r="910">
      <c r="B910" s="53"/>
      <c r="E910" s="47"/>
      <c r="F910" s="47"/>
      <c r="N910" s="8"/>
      <c r="P910" s="8"/>
    </row>
    <row r="911">
      <c r="B911" s="53"/>
      <c r="E911" s="47"/>
      <c r="F911" s="47"/>
      <c r="N911" s="8"/>
      <c r="P911" s="8"/>
    </row>
    <row r="912">
      <c r="B912" s="53"/>
      <c r="E912" s="47"/>
      <c r="F912" s="47"/>
      <c r="N912" s="8"/>
      <c r="P912" s="8"/>
    </row>
    <row r="913">
      <c r="B913" s="53"/>
      <c r="E913" s="47"/>
      <c r="F913" s="47"/>
      <c r="N913" s="8"/>
      <c r="P913" s="8"/>
    </row>
    <row r="914">
      <c r="B914" s="53"/>
      <c r="E914" s="47"/>
      <c r="F914" s="47"/>
      <c r="N914" s="8"/>
      <c r="P914" s="8"/>
    </row>
    <row r="915">
      <c r="B915" s="53"/>
      <c r="E915" s="47"/>
      <c r="F915" s="47"/>
      <c r="N915" s="8"/>
      <c r="P915" s="8"/>
    </row>
    <row r="916">
      <c r="B916" s="53"/>
      <c r="E916" s="47"/>
      <c r="F916" s="47"/>
      <c r="N916" s="8"/>
      <c r="P916" s="8"/>
    </row>
    <row r="917">
      <c r="B917" s="53"/>
      <c r="E917" s="47"/>
      <c r="F917" s="47"/>
      <c r="N917" s="8"/>
      <c r="P917" s="8"/>
    </row>
    <row r="918">
      <c r="B918" s="53"/>
      <c r="E918" s="47"/>
      <c r="F918" s="47"/>
      <c r="N918" s="8"/>
      <c r="P918" s="8"/>
    </row>
    <row r="919">
      <c r="B919" s="53"/>
      <c r="E919" s="47"/>
      <c r="F919" s="47"/>
      <c r="N919" s="8"/>
      <c r="P919" s="8"/>
    </row>
    <row r="920">
      <c r="B920" s="53"/>
      <c r="E920" s="47"/>
      <c r="F920" s="47"/>
      <c r="N920" s="8"/>
      <c r="P920" s="8"/>
    </row>
    <row r="921">
      <c r="B921" s="53"/>
      <c r="E921" s="47"/>
      <c r="F921" s="47"/>
      <c r="N921" s="8"/>
      <c r="P921" s="8"/>
    </row>
    <row r="922">
      <c r="B922" s="53"/>
      <c r="E922" s="47"/>
      <c r="F922" s="47"/>
      <c r="N922" s="8"/>
      <c r="P922" s="8"/>
    </row>
    <row r="923">
      <c r="B923" s="53"/>
      <c r="E923" s="47"/>
      <c r="F923" s="47"/>
      <c r="N923" s="8"/>
      <c r="P923" s="8"/>
    </row>
    <row r="924">
      <c r="B924" s="53"/>
      <c r="E924" s="47"/>
      <c r="F924" s="47"/>
      <c r="N924" s="8"/>
      <c r="P924" s="8"/>
    </row>
    <row r="925">
      <c r="B925" s="53"/>
      <c r="E925" s="47"/>
      <c r="F925" s="47"/>
      <c r="N925" s="8"/>
      <c r="P925" s="8"/>
    </row>
    <row r="926">
      <c r="B926" s="53"/>
      <c r="E926" s="47"/>
      <c r="F926" s="47"/>
      <c r="N926" s="8"/>
      <c r="P926" s="8"/>
    </row>
    <row r="927">
      <c r="B927" s="53"/>
      <c r="E927" s="47"/>
      <c r="F927" s="47"/>
      <c r="N927" s="8"/>
      <c r="P927" s="8"/>
    </row>
    <row r="928">
      <c r="B928" s="53"/>
      <c r="E928" s="47"/>
      <c r="F928" s="47"/>
      <c r="N928" s="8"/>
      <c r="P928" s="8"/>
    </row>
    <row r="929">
      <c r="B929" s="53"/>
      <c r="E929" s="47"/>
      <c r="F929" s="47"/>
      <c r="N929" s="8"/>
      <c r="P929" s="8"/>
    </row>
    <row r="930">
      <c r="B930" s="53"/>
      <c r="E930" s="47"/>
      <c r="F930" s="47"/>
      <c r="N930" s="8"/>
      <c r="P930" s="8"/>
    </row>
    <row r="931">
      <c r="B931" s="53"/>
      <c r="E931" s="47"/>
      <c r="F931" s="47"/>
      <c r="N931" s="8"/>
      <c r="P931" s="8"/>
    </row>
    <row r="932">
      <c r="B932" s="53"/>
      <c r="E932" s="47"/>
      <c r="F932" s="47"/>
      <c r="N932" s="8"/>
      <c r="P932" s="8"/>
    </row>
    <row r="933">
      <c r="B933" s="53"/>
      <c r="E933" s="47"/>
      <c r="F933" s="47"/>
      <c r="N933" s="8"/>
      <c r="P933" s="8"/>
    </row>
    <row r="934">
      <c r="B934" s="53"/>
      <c r="E934" s="47"/>
      <c r="F934" s="47"/>
      <c r="N934" s="8"/>
      <c r="P934" s="8"/>
    </row>
    <row r="935">
      <c r="B935" s="53"/>
      <c r="E935" s="47"/>
      <c r="F935" s="47"/>
      <c r="N935" s="8"/>
      <c r="P935" s="8"/>
    </row>
    <row r="936">
      <c r="B936" s="53"/>
      <c r="E936" s="47"/>
      <c r="F936" s="47"/>
      <c r="N936" s="8"/>
      <c r="P936" s="8"/>
    </row>
    <row r="937">
      <c r="B937" s="53"/>
      <c r="E937" s="47"/>
      <c r="F937" s="47"/>
      <c r="N937" s="8"/>
      <c r="P937" s="8"/>
    </row>
    <row r="938">
      <c r="B938" s="53"/>
      <c r="E938" s="47"/>
      <c r="F938" s="47"/>
      <c r="N938" s="8"/>
      <c r="P938" s="8"/>
    </row>
    <row r="939">
      <c r="B939" s="53"/>
      <c r="E939" s="47"/>
      <c r="F939" s="47"/>
      <c r="N939" s="8"/>
      <c r="P939" s="8"/>
    </row>
    <row r="940">
      <c r="B940" s="53"/>
      <c r="E940" s="47"/>
      <c r="F940" s="47"/>
      <c r="N940" s="8"/>
      <c r="P940" s="8"/>
    </row>
    <row r="941">
      <c r="B941" s="53"/>
      <c r="E941" s="47"/>
      <c r="F941" s="47"/>
      <c r="N941" s="8"/>
      <c r="P941" s="8"/>
    </row>
    <row r="942">
      <c r="B942" s="53"/>
      <c r="E942" s="47"/>
      <c r="F942" s="47"/>
      <c r="N942" s="8"/>
      <c r="P942" s="8"/>
    </row>
    <row r="943">
      <c r="B943" s="53"/>
      <c r="E943" s="47"/>
      <c r="F943" s="47"/>
      <c r="N943" s="8"/>
      <c r="P943" s="8"/>
    </row>
    <row r="944">
      <c r="B944" s="53"/>
      <c r="E944" s="47"/>
      <c r="F944" s="47"/>
      <c r="N944" s="8"/>
      <c r="P944" s="8"/>
    </row>
    <row r="945">
      <c r="B945" s="53"/>
      <c r="E945" s="47"/>
      <c r="F945" s="47"/>
      <c r="N945" s="8"/>
      <c r="P945" s="8"/>
    </row>
    <row r="946">
      <c r="B946" s="53"/>
      <c r="E946" s="47"/>
      <c r="F946" s="47"/>
      <c r="N946" s="8"/>
      <c r="P946" s="8"/>
    </row>
    <row r="947">
      <c r="B947" s="53"/>
      <c r="E947" s="47"/>
      <c r="F947" s="47"/>
      <c r="N947" s="8"/>
      <c r="P947" s="8"/>
    </row>
    <row r="948">
      <c r="B948" s="53"/>
      <c r="E948" s="47"/>
      <c r="F948" s="47"/>
      <c r="N948" s="8"/>
      <c r="P948" s="8"/>
    </row>
    <row r="949">
      <c r="B949" s="53"/>
      <c r="E949" s="47"/>
      <c r="F949" s="47"/>
      <c r="N949" s="8"/>
      <c r="P949" s="8"/>
    </row>
    <row r="950">
      <c r="B950" s="53"/>
      <c r="E950" s="47"/>
      <c r="F950" s="47"/>
      <c r="N950" s="8"/>
      <c r="P950" s="8"/>
    </row>
    <row r="951">
      <c r="B951" s="53"/>
      <c r="E951" s="47"/>
      <c r="F951" s="47"/>
      <c r="N951" s="8"/>
      <c r="P951" s="8"/>
    </row>
    <row r="952">
      <c r="B952" s="53"/>
      <c r="E952" s="47"/>
      <c r="F952" s="47"/>
      <c r="N952" s="8"/>
      <c r="P952" s="8"/>
    </row>
    <row r="953">
      <c r="B953" s="53"/>
      <c r="E953" s="47"/>
      <c r="F953" s="47"/>
      <c r="N953" s="8"/>
      <c r="P953" s="8"/>
    </row>
    <row r="954">
      <c r="B954" s="53"/>
      <c r="E954" s="47"/>
      <c r="F954" s="47"/>
      <c r="N954" s="8"/>
      <c r="P954" s="8"/>
    </row>
    <row r="955">
      <c r="B955" s="53"/>
      <c r="E955" s="47"/>
      <c r="F955" s="47"/>
      <c r="N955" s="8"/>
      <c r="P955" s="8"/>
    </row>
    <row r="956">
      <c r="B956" s="53"/>
      <c r="E956" s="47"/>
      <c r="F956" s="47"/>
      <c r="N956" s="8"/>
      <c r="P956" s="8"/>
    </row>
    <row r="957">
      <c r="B957" s="53"/>
      <c r="E957" s="47"/>
      <c r="F957" s="47"/>
      <c r="N957" s="8"/>
      <c r="P957" s="8"/>
    </row>
    <row r="958">
      <c r="B958" s="53"/>
      <c r="E958" s="47"/>
      <c r="F958" s="47"/>
      <c r="N958" s="8"/>
      <c r="P958" s="8"/>
    </row>
    <row r="959">
      <c r="B959" s="53"/>
      <c r="E959" s="47"/>
      <c r="F959" s="47"/>
      <c r="N959" s="8"/>
      <c r="P959" s="8"/>
    </row>
    <row r="960">
      <c r="B960" s="53"/>
      <c r="E960" s="47"/>
      <c r="F960" s="47"/>
      <c r="N960" s="8"/>
      <c r="P960" s="8"/>
    </row>
    <row r="961">
      <c r="B961" s="53"/>
      <c r="E961" s="47"/>
      <c r="F961" s="47"/>
      <c r="N961" s="8"/>
      <c r="P961" s="8"/>
    </row>
    <row r="962">
      <c r="B962" s="53"/>
      <c r="E962" s="47"/>
      <c r="F962" s="47"/>
      <c r="N962" s="8"/>
      <c r="P962" s="8"/>
    </row>
    <row r="963">
      <c r="B963" s="53"/>
      <c r="E963" s="47"/>
      <c r="F963" s="47"/>
      <c r="N963" s="8"/>
      <c r="P963" s="8"/>
    </row>
    <row r="964">
      <c r="B964" s="53"/>
      <c r="E964" s="47"/>
      <c r="F964" s="47"/>
      <c r="N964" s="8"/>
      <c r="P964" s="8"/>
    </row>
    <row r="965">
      <c r="B965" s="53"/>
      <c r="E965" s="47"/>
      <c r="F965" s="47"/>
      <c r="N965" s="8"/>
      <c r="P965" s="8"/>
    </row>
    <row r="966">
      <c r="B966" s="53"/>
      <c r="E966" s="47"/>
      <c r="F966" s="47"/>
      <c r="N966" s="8"/>
      <c r="P966" s="8"/>
    </row>
    <row r="967">
      <c r="B967" s="53"/>
      <c r="E967" s="47"/>
      <c r="F967" s="47"/>
      <c r="N967" s="8"/>
      <c r="P967" s="8"/>
    </row>
    <row r="968">
      <c r="B968" s="53"/>
      <c r="E968" s="47"/>
      <c r="F968" s="47"/>
      <c r="N968" s="8"/>
      <c r="P968" s="8"/>
    </row>
    <row r="969">
      <c r="B969" s="53"/>
      <c r="E969" s="47"/>
      <c r="F969" s="47"/>
      <c r="N969" s="8"/>
      <c r="P969" s="8"/>
    </row>
    <row r="970">
      <c r="B970" s="53"/>
      <c r="E970" s="47"/>
      <c r="F970" s="47"/>
      <c r="N970" s="8"/>
      <c r="P970" s="8"/>
    </row>
    <row r="971">
      <c r="B971" s="53"/>
      <c r="E971" s="47"/>
      <c r="F971" s="47"/>
      <c r="N971" s="8"/>
      <c r="P971" s="8"/>
    </row>
    <row r="972">
      <c r="B972" s="53"/>
      <c r="E972" s="47"/>
      <c r="F972" s="47"/>
      <c r="N972" s="8"/>
      <c r="P972" s="8"/>
    </row>
    <row r="973">
      <c r="B973" s="53"/>
      <c r="E973" s="47"/>
      <c r="F973" s="47"/>
      <c r="N973" s="8"/>
      <c r="P973" s="8"/>
    </row>
    <row r="974">
      <c r="B974" s="53"/>
      <c r="E974" s="47"/>
      <c r="F974" s="47"/>
      <c r="N974" s="8"/>
      <c r="P974" s="8"/>
    </row>
    <row r="975">
      <c r="B975" s="53"/>
      <c r="E975" s="47"/>
      <c r="F975" s="47"/>
      <c r="N975" s="8"/>
      <c r="P975" s="8"/>
    </row>
    <row r="976">
      <c r="B976" s="53"/>
      <c r="E976" s="47"/>
      <c r="F976" s="47"/>
      <c r="N976" s="8"/>
      <c r="P976" s="8"/>
    </row>
    <row r="977">
      <c r="B977" s="53"/>
      <c r="E977" s="47"/>
      <c r="F977" s="47"/>
      <c r="N977" s="8"/>
      <c r="P977" s="8"/>
    </row>
    <row r="978">
      <c r="B978" s="53"/>
      <c r="E978" s="47"/>
      <c r="F978" s="47"/>
      <c r="N978" s="8"/>
      <c r="P978" s="8"/>
    </row>
    <row r="979">
      <c r="B979" s="53"/>
      <c r="E979" s="47"/>
      <c r="F979" s="47"/>
      <c r="N979" s="8"/>
      <c r="P979" s="8"/>
    </row>
    <row r="980">
      <c r="B980" s="53"/>
      <c r="E980" s="47"/>
      <c r="F980" s="47"/>
      <c r="N980" s="8"/>
      <c r="P980" s="8"/>
    </row>
    <row r="981">
      <c r="B981" s="53"/>
      <c r="E981" s="47"/>
      <c r="F981" s="47"/>
      <c r="N981" s="8"/>
      <c r="P981" s="8"/>
    </row>
    <row r="982">
      <c r="B982" s="53"/>
      <c r="E982" s="47"/>
      <c r="F982" s="47"/>
      <c r="N982" s="8"/>
      <c r="P982" s="8"/>
    </row>
    <row r="983">
      <c r="B983" s="53"/>
      <c r="E983" s="47"/>
      <c r="F983" s="47"/>
      <c r="N983" s="8"/>
      <c r="P983" s="8"/>
    </row>
    <row r="984">
      <c r="B984" s="53"/>
      <c r="E984" s="47"/>
      <c r="F984" s="47"/>
      <c r="N984" s="8"/>
      <c r="P984" s="8"/>
    </row>
    <row r="985">
      <c r="B985" s="53"/>
      <c r="E985" s="47"/>
      <c r="F985" s="47"/>
      <c r="N985" s="8"/>
      <c r="P985" s="8"/>
    </row>
    <row r="986">
      <c r="B986" s="53"/>
      <c r="E986" s="47"/>
      <c r="F986" s="47"/>
      <c r="N986" s="8"/>
      <c r="P986" s="8"/>
    </row>
    <row r="987">
      <c r="B987" s="53"/>
      <c r="E987" s="47"/>
      <c r="F987" s="47"/>
      <c r="N987" s="8"/>
      <c r="P987" s="8"/>
    </row>
    <row r="988">
      <c r="B988" s="53"/>
      <c r="E988" s="47"/>
      <c r="F988" s="47"/>
      <c r="N988" s="8"/>
      <c r="P988" s="8"/>
    </row>
    <row r="989">
      <c r="B989" s="53"/>
      <c r="E989" s="47"/>
      <c r="F989" s="47"/>
      <c r="N989" s="8"/>
      <c r="P989" s="8"/>
    </row>
    <row r="990">
      <c r="B990" s="53"/>
      <c r="E990" s="47"/>
      <c r="F990" s="47"/>
      <c r="N990" s="8"/>
      <c r="P990" s="8"/>
    </row>
    <row r="991">
      <c r="B991" s="53"/>
      <c r="E991" s="47"/>
      <c r="F991" s="47"/>
      <c r="N991" s="8"/>
      <c r="P991" s="8"/>
    </row>
    <row r="992">
      <c r="B992" s="53"/>
      <c r="E992" s="47"/>
      <c r="F992" s="47"/>
      <c r="N992" s="8"/>
      <c r="P992" s="8"/>
    </row>
    <row r="993">
      <c r="B993" s="53"/>
      <c r="E993" s="47"/>
      <c r="F993" s="47"/>
      <c r="N993" s="8"/>
      <c r="P993" s="8"/>
    </row>
    <row r="994">
      <c r="B994" s="53"/>
      <c r="E994" s="47"/>
      <c r="F994" s="47"/>
      <c r="N994" s="8"/>
      <c r="P994" s="8"/>
    </row>
    <row r="995">
      <c r="B995" s="53"/>
      <c r="E995" s="47"/>
      <c r="F995" s="47"/>
      <c r="N995" s="8"/>
      <c r="P995" s="8"/>
    </row>
    <row r="996">
      <c r="B996" s="53"/>
      <c r="E996" s="47"/>
      <c r="F996" s="47"/>
      <c r="N996" s="8"/>
      <c r="P996" s="8"/>
    </row>
    <row r="997">
      <c r="B997" s="53"/>
      <c r="E997" s="47"/>
      <c r="F997" s="47"/>
      <c r="N997" s="8"/>
      <c r="P997" s="8"/>
    </row>
    <row r="998">
      <c r="B998" s="53"/>
      <c r="E998" s="47"/>
      <c r="F998" s="47"/>
      <c r="N998" s="8"/>
      <c r="P998" s="8"/>
    </row>
    <row r="999">
      <c r="B999" s="53"/>
      <c r="E999" s="47"/>
      <c r="F999" s="47"/>
      <c r="N999" s="8"/>
      <c r="P999" s="8"/>
    </row>
    <row r="1000">
      <c r="B1000" s="53"/>
      <c r="E1000" s="47"/>
      <c r="F1000" s="47"/>
      <c r="N1000" s="8"/>
      <c r="P1000" s="8"/>
    </row>
    <row r="1001">
      <c r="B1001" s="53"/>
      <c r="E1001" s="47"/>
      <c r="F1001" s="47"/>
      <c r="N1001" s="8"/>
      <c r="P1001" s="8"/>
    </row>
    <row r="1002">
      <c r="B1002" s="53"/>
      <c r="E1002" s="47"/>
      <c r="F1002" s="47"/>
      <c r="N1002" s="8"/>
      <c r="P1002" s="8"/>
    </row>
    <row r="1003">
      <c r="B1003" s="53"/>
      <c r="E1003" s="47"/>
      <c r="F1003" s="47"/>
      <c r="N1003" s="8"/>
      <c r="P1003" s="8"/>
    </row>
    <row r="1004">
      <c r="B1004" s="53"/>
      <c r="E1004" s="47"/>
      <c r="F1004" s="47"/>
      <c r="N1004" s="8"/>
      <c r="P1004" s="8"/>
    </row>
    <row r="1005">
      <c r="B1005" s="53"/>
      <c r="E1005" s="47"/>
      <c r="F1005" s="47"/>
      <c r="N1005" s="8"/>
      <c r="P1005" s="8"/>
    </row>
    <row r="1006">
      <c r="B1006" s="53"/>
      <c r="E1006" s="47"/>
      <c r="F1006" s="47"/>
      <c r="N1006" s="8"/>
      <c r="P1006" s="8"/>
    </row>
    <row r="1007">
      <c r="B1007" s="53"/>
      <c r="E1007" s="47"/>
      <c r="F1007" s="47"/>
      <c r="N1007" s="8"/>
      <c r="P1007" s="8"/>
    </row>
    <row r="1008">
      <c r="B1008" s="53"/>
      <c r="E1008" s="47"/>
      <c r="F1008" s="47"/>
      <c r="N1008" s="8"/>
      <c r="P1008" s="8"/>
    </row>
    <row r="1009">
      <c r="B1009" s="53"/>
      <c r="E1009" s="47"/>
      <c r="F1009" s="47"/>
      <c r="N1009" s="8"/>
      <c r="P1009" s="8"/>
    </row>
    <row r="1010">
      <c r="B1010" s="53"/>
      <c r="E1010" s="47"/>
      <c r="F1010" s="47"/>
      <c r="N1010" s="8"/>
      <c r="P1010" s="8"/>
    </row>
    <row r="1011">
      <c r="B1011" s="53"/>
      <c r="E1011" s="47"/>
      <c r="F1011" s="47"/>
      <c r="N1011" s="8"/>
      <c r="P1011" s="8"/>
    </row>
    <row r="1012">
      <c r="B1012" s="53"/>
      <c r="E1012" s="47"/>
      <c r="F1012" s="47"/>
      <c r="N1012" s="8"/>
      <c r="P1012" s="8"/>
    </row>
    <row r="1013">
      <c r="B1013" s="53"/>
      <c r="E1013" s="47"/>
      <c r="F1013" s="47"/>
      <c r="N1013" s="8"/>
      <c r="P1013" s="8"/>
    </row>
    <row r="1014">
      <c r="B1014" s="53"/>
      <c r="E1014" s="47"/>
      <c r="F1014" s="47"/>
      <c r="N1014" s="8"/>
      <c r="P1014" s="8"/>
    </row>
    <row r="1015">
      <c r="B1015" s="53"/>
      <c r="E1015" s="47"/>
      <c r="F1015" s="47"/>
      <c r="N1015" s="8"/>
      <c r="P1015" s="8"/>
    </row>
    <row r="1016">
      <c r="B1016" s="53"/>
      <c r="E1016" s="47"/>
      <c r="F1016" s="47"/>
      <c r="N1016" s="8"/>
      <c r="P1016" s="8"/>
    </row>
    <row r="1017">
      <c r="B1017" s="53"/>
      <c r="E1017" s="47"/>
      <c r="F1017" s="47"/>
      <c r="N1017" s="8"/>
      <c r="P1017" s="8"/>
    </row>
    <row r="1018">
      <c r="B1018" s="53"/>
      <c r="E1018" s="47"/>
      <c r="F1018" s="47"/>
      <c r="N1018" s="8"/>
      <c r="P1018" s="8"/>
    </row>
    <row r="1019">
      <c r="B1019" s="53"/>
      <c r="E1019" s="47"/>
      <c r="F1019" s="47"/>
      <c r="N1019" s="8"/>
      <c r="P1019" s="8"/>
    </row>
    <row r="1020">
      <c r="B1020" s="53"/>
      <c r="E1020" s="47"/>
      <c r="F1020" s="47"/>
      <c r="N1020" s="8"/>
      <c r="P1020" s="8"/>
    </row>
    <row r="1021">
      <c r="B1021" s="53"/>
      <c r="E1021" s="47"/>
      <c r="F1021" s="47"/>
      <c r="N1021" s="8"/>
      <c r="P1021" s="8"/>
    </row>
    <row r="1022">
      <c r="B1022" s="53"/>
      <c r="E1022" s="47"/>
      <c r="F1022" s="47"/>
      <c r="N1022" s="8"/>
      <c r="P1022" s="8"/>
    </row>
    <row r="1023">
      <c r="B1023" s="53"/>
      <c r="E1023" s="47"/>
      <c r="F1023" s="47"/>
      <c r="N1023" s="8"/>
      <c r="P1023" s="8"/>
    </row>
    <row r="1024">
      <c r="B1024" s="53"/>
      <c r="E1024" s="47"/>
      <c r="F1024" s="47"/>
      <c r="N1024" s="8"/>
      <c r="P1024" s="8"/>
    </row>
    <row r="1025">
      <c r="B1025" s="53"/>
      <c r="E1025" s="47"/>
      <c r="F1025" s="47"/>
      <c r="N1025" s="8"/>
      <c r="P1025" s="8"/>
    </row>
    <row r="1026">
      <c r="B1026" s="53"/>
      <c r="E1026" s="47"/>
      <c r="F1026" s="47"/>
      <c r="N1026" s="8"/>
      <c r="P1026" s="8"/>
    </row>
    <row r="1027">
      <c r="B1027" s="53"/>
      <c r="E1027" s="47"/>
      <c r="F1027" s="47"/>
      <c r="N1027" s="8"/>
      <c r="P1027" s="8"/>
    </row>
    <row r="1028">
      <c r="B1028" s="53"/>
      <c r="E1028" s="47"/>
      <c r="F1028" s="47"/>
      <c r="N1028" s="8"/>
      <c r="P1028" s="8"/>
    </row>
    <row r="1029">
      <c r="B1029" s="53"/>
      <c r="E1029" s="47"/>
      <c r="F1029" s="47"/>
      <c r="N1029" s="8"/>
      <c r="P1029" s="8"/>
    </row>
    <row r="1030">
      <c r="B1030" s="53"/>
      <c r="E1030" s="47"/>
      <c r="F1030" s="47"/>
      <c r="N1030" s="8"/>
      <c r="P1030" s="8"/>
    </row>
    <row r="1031">
      <c r="B1031" s="53"/>
      <c r="E1031" s="47"/>
      <c r="F1031" s="47"/>
      <c r="N1031" s="8"/>
      <c r="P1031" s="8"/>
    </row>
    <row r="1032">
      <c r="B1032" s="53"/>
      <c r="E1032" s="47"/>
      <c r="F1032" s="47"/>
      <c r="N1032" s="8"/>
      <c r="P1032" s="8"/>
    </row>
    <row r="1033">
      <c r="B1033" s="53"/>
      <c r="E1033" s="47"/>
      <c r="F1033" s="47"/>
      <c r="N1033" s="8"/>
      <c r="P1033" s="8"/>
    </row>
    <row r="1034">
      <c r="B1034" s="53"/>
      <c r="E1034" s="47"/>
      <c r="F1034" s="47"/>
      <c r="N1034" s="8"/>
      <c r="P1034" s="8"/>
    </row>
    <row r="1035">
      <c r="B1035" s="53"/>
      <c r="E1035" s="47"/>
      <c r="F1035" s="47"/>
      <c r="N1035" s="8"/>
      <c r="P1035" s="8"/>
    </row>
    <row r="1036">
      <c r="B1036" s="53"/>
      <c r="E1036" s="47"/>
      <c r="F1036" s="47"/>
      <c r="N1036" s="8"/>
      <c r="P1036" s="8"/>
    </row>
    <row r="1037">
      <c r="B1037" s="53"/>
      <c r="E1037" s="47"/>
      <c r="F1037" s="47"/>
      <c r="N1037" s="8"/>
      <c r="P1037" s="8"/>
    </row>
    <row r="1038">
      <c r="B1038" s="53"/>
      <c r="E1038" s="47"/>
      <c r="F1038" s="47"/>
      <c r="N1038" s="8"/>
      <c r="P1038" s="8"/>
    </row>
    <row r="1039">
      <c r="B1039" s="53"/>
      <c r="E1039" s="47"/>
      <c r="F1039" s="47"/>
      <c r="N1039" s="8"/>
      <c r="P1039" s="8"/>
    </row>
    <row r="1040">
      <c r="B1040" s="53"/>
      <c r="E1040" s="47"/>
      <c r="F1040" s="47"/>
      <c r="N1040" s="8"/>
      <c r="P1040" s="8"/>
    </row>
    <row r="1041">
      <c r="B1041" s="53"/>
      <c r="E1041" s="47"/>
      <c r="F1041" s="47"/>
      <c r="N1041" s="8"/>
      <c r="P1041" s="8"/>
    </row>
    <row r="1042">
      <c r="B1042" s="53"/>
      <c r="E1042" s="47"/>
      <c r="F1042" s="47"/>
      <c r="N1042" s="8"/>
      <c r="P1042" s="8"/>
    </row>
    <row r="1043">
      <c r="B1043" s="53"/>
      <c r="E1043" s="47"/>
      <c r="F1043" s="47"/>
      <c r="N1043" s="8"/>
      <c r="P1043" s="8"/>
    </row>
    <row r="1044">
      <c r="B1044" s="53"/>
      <c r="E1044" s="47"/>
      <c r="F1044" s="47"/>
      <c r="N1044" s="8"/>
      <c r="P1044" s="8"/>
    </row>
    <row r="1045">
      <c r="B1045" s="53"/>
      <c r="E1045" s="47"/>
      <c r="F1045" s="47"/>
      <c r="N1045" s="8"/>
      <c r="P1045" s="8"/>
    </row>
    <row r="1046">
      <c r="B1046" s="53"/>
      <c r="E1046" s="47"/>
      <c r="F1046" s="47"/>
      <c r="N1046" s="8"/>
      <c r="P1046" s="8"/>
    </row>
    <row r="1047">
      <c r="B1047" s="53"/>
      <c r="E1047" s="47"/>
      <c r="F1047" s="47"/>
      <c r="N1047" s="8"/>
      <c r="P1047" s="8"/>
    </row>
    <row r="1048">
      <c r="B1048" s="53"/>
      <c r="E1048" s="47"/>
      <c r="F1048" s="47"/>
      <c r="N1048" s="8"/>
      <c r="P1048" s="8"/>
    </row>
    <row r="1049">
      <c r="B1049" s="53"/>
      <c r="E1049" s="47"/>
      <c r="F1049" s="47"/>
      <c r="N1049" s="8"/>
      <c r="P1049" s="8"/>
    </row>
    <row r="1050">
      <c r="B1050" s="53"/>
      <c r="E1050" s="47"/>
      <c r="F1050" s="47"/>
      <c r="N1050" s="8"/>
      <c r="P1050" s="8"/>
    </row>
    <row r="1051">
      <c r="B1051" s="53"/>
      <c r="E1051" s="47"/>
      <c r="F1051" s="47"/>
      <c r="N1051" s="8"/>
      <c r="P1051" s="8"/>
    </row>
    <row r="1052">
      <c r="B1052" s="53"/>
      <c r="E1052" s="47"/>
      <c r="F1052" s="47"/>
      <c r="N1052" s="8"/>
      <c r="P1052" s="8"/>
    </row>
    <row r="1053">
      <c r="B1053" s="53"/>
      <c r="E1053" s="47"/>
      <c r="F1053" s="47"/>
      <c r="N1053" s="8"/>
      <c r="P1053" s="8"/>
    </row>
    <row r="1054">
      <c r="B1054" s="53"/>
      <c r="E1054" s="47"/>
      <c r="F1054" s="47"/>
      <c r="N1054" s="8"/>
      <c r="P1054" s="8"/>
    </row>
    <row r="1055">
      <c r="B1055" s="53"/>
      <c r="E1055" s="47"/>
      <c r="F1055" s="47"/>
      <c r="N1055" s="8"/>
      <c r="P1055" s="8"/>
    </row>
    <row r="1056">
      <c r="B1056" s="53"/>
      <c r="E1056" s="47"/>
      <c r="F1056" s="47"/>
      <c r="N1056" s="8"/>
      <c r="P1056" s="8"/>
    </row>
    <row r="1057">
      <c r="B1057" s="53"/>
      <c r="E1057" s="47"/>
      <c r="F1057" s="47"/>
      <c r="N1057" s="8"/>
      <c r="P1057" s="8"/>
    </row>
    <row r="1058">
      <c r="B1058" s="53"/>
      <c r="E1058" s="47"/>
      <c r="F1058" s="47"/>
      <c r="N1058" s="8"/>
      <c r="P1058" s="8"/>
    </row>
    <row r="1059">
      <c r="B1059" s="53"/>
      <c r="E1059" s="47"/>
      <c r="F1059" s="47"/>
      <c r="N1059" s="8"/>
      <c r="P1059" s="8"/>
    </row>
    <row r="1060">
      <c r="B1060" s="53"/>
      <c r="E1060" s="47"/>
      <c r="F1060" s="47"/>
      <c r="N1060" s="8"/>
      <c r="P1060" s="8"/>
    </row>
    <row r="1061">
      <c r="B1061" s="53"/>
      <c r="E1061" s="47"/>
      <c r="F1061" s="47"/>
      <c r="N1061" s="8"/>
      <c r="P1061" s="8"/>
    </row>
    <row r="1062">
      <c r="B1062" s="53"/>
      <c r="E1062" s="47"/>
      <c r="F1062" s="47"/>
      <c r="N1062" s="8"/>
      <c r="P1062" s="8"/>
    </row>
    <row r="1063">
      <c r="B1063" s="53"/>
      <c r="E1063" s="47"/>
      <c r="F1063" s="47"/>
      <c r="N1063" s="8"/>
      <c r="P1063" s="8"/>
    </row>
    <row r="1064">
      <c r="B1064" s="53"/>
      <c r="E1064" s="47"/>
      <c r="F1064" s="47"/>
      <c r="N1064" s="8"/>
      <c r="P1064" s="8"/>
    </row>
    <row r="1065">
      <c r="B1065" s="53"/>
      <c r="E1065" s="47"/>
      <c r="F1065" s="47"/>
      <c r="N1065" s="8"/>
      <c r="P1065" s="8"/>
    </row>
    <row r="1066">
      <c r="B1066" s="53"/>
      <c r="E1066" s="47"/>
      <c r="F1066" s="47"/>
      <c r="N1066" s="8"/>
      <c r="P1066" s="8"/>
    </row>
    <row r="1067">
      <c r="B1067" s="53"/>
      <c r="E1067" s="47"/>
      <c r="F1067" s="47"/>
      <c r="N1067" s="8"/>
      <c r="P1067" s="8"/>
    </row>
    <row r="1068">
      <c r="B1068" s="53"/>
      <c r="E1068" s="47"/>
      <c r="F1068" s="47"/>
      <c r="N1068" s="8"/>
      <c r="P1068" s="8"/>
    </row>
    <row r="1069">
      <c r="B1069" s="53"/>
      <c r="E1069" s="47"/>
      <c r="F1069" s="47"/>
      <c r="N1069" s="8"/>
      <c r="P1069" s="8"/>
    </row>
    <row r="1070">
      <c r="B1070" s="53"/>
      <c r="E1070" s="47"/>
      <c r="F1070" s="47"/>
      <c r="N1070" s="8"/>
      <c r="P1070" s="8"/>
    </row>
    <row r="1071">
      <c r="B1071" s="53"/>
      <c r="E1071" s="47"/>
      <c r="F1071" s="47"/>
      <c r="N1071" s="8"/>
      <c r="P1071" s="8"/>
    </row>
    <row r="1072">
      <c r="B1072" s="53"/>
      <c r="E1072" s="47"/>
      <c r="F1072" s="47"/>
      <c r="N1072" s="8"/>
      <c r="P1072" s="8"/>
    </row>
    <row r="1073">
      <c r="B1073" s="53"/>
      <c r="E1073" s="47"/>
      <c r="F1073" s="47"/>
      <c r="N1073" s="8"/>
      <c r="P1073" s="8"/>
    </row>
    <row r="1074">
      <c r="B1074" s="53"/>
      <c r="E1074" s="47"/>
      <c r="F1074" s="47"/>
      <c r="N1074" s="8"/>
      <c r="P1074" s="8"/>
    </row>
    <row r="1075">
      <c r="B1075" s="53"/>
      <c r="E1075" s="47"/>
      <c r="F1075" s="47"/>
      <c r="N1075" s="8"/>
      <c r="P1075" s="8"/>
    </row>
    <row r="1076">
      <c r="B1076" s="53"/>
      <c r="E1076" s="47"/>
      <c r="F1076" s="47"/>
      <c r="N1076" s="8"/>
      <c r="P1076" s="8"/>
    </row>
    <row r="1077">
      <c r="B1077" s="53"/>
      <c r="E1077" s="47"/>
      <c r="F1077" s="47"/>
      <c r="N1077" s="8"/>
      <c r="P1077" s="8"/>
    </row>
    <row r="1078">
      <c r="B1078" s="53"/>
      <c r="E1078" s="47"/>
      <c r="F1078" s="47"/>
      <c r="N1078" s="8"/>
      <c r="P1078" s="8"/>
    </row>
    <row r="1079">
      <c r="B1079" s="53"/>
      <c r="E1079" s="47"/>
      <c r="F1079" s="47"/>
      <c r="N1079" s="8"/>
      <c r="P1079" s="8"/>
    </row>
    <row r="1080">
      <c r="B1080" s="53"/>
      <c r="E1080" s="47"/>
      <c r="F1080" s="47"/>
      <c r="N1080" s="8"/>
      <c r="P1080" s="8"/>
    </row>
    <row r="1081">
      <c r="B1081" s="53"/>
      <c r="E1081" s="47"/>
      <c r="F1081" s="47"/>
      <c r="N1081" s="8"/>
      <c r="P1081" s="8"/>
    </row>
    <row r="1082">
      <c r="B1082" s="53"/>
      <c r="E1082" s="47"/>
      <c r="F1082" s="47"/>
      <c r="N1082" s="8"/>
      <c r="P1082" s="8"/>
    </row>
    <row r="1083">
      <c r="B1083" s="53"/>
      <c r="E1083" s="47"/>
      <c r="F1083" s="47"/>
      <c r="N1083" s="8"/>
      <c r="P1083" s="8"/>
    </row>
    <row r="1084">
      <c r="B1084" s="53"/>
      <c r="E1084" s="47"/>
      <c r="F1084" s="47"/>
      <c r="N1084" s="8"/>
      <c r="P1084" s="8"/>
    </row>
    <row r="1085">
      <c r="B1085" s="53"/>
      <c r="E1085" s="47"/>
      <c r="F1085" s="47"/>
      <c r="N1085" s="8"/>
      <c r="P1085" s="8"/>
    </row>
    <row r="1086">
      <c r="B1086" s="53"/>
      <c r="E1086" s="47"/>
      <c r="F1086" s="47"/>
      <c r="N1086" s="8"/>
      <c r="P1086" s="8"/>
    </row>
    <row r="1087">
      <c r="B1087" s="53"/>
      <c r="E1087" s="47"/>
      <c r="F1087" s="47"/>
      <c r="N1087" s="8"/>
      <c r="P1087" s="8"/>
    </row>
    <row r="1088">
      <c r="B1088" s="53"/>
      <c r="E1088" s="47"/>
      <c r="F1088" s="47"/>
      <c r="N1088" s="8"/>
      <c r="P1088" s="8"/>
    </row>
    <row r="1089">
      <c r="B1089" s="53"/>
      <c r="E1089" s="47"/>
      <c r="F1089" s="47"/>
      <c r="N1089" s="8"/>
      <c r="P1089" s="8"/>
    </row>
    <row r="1090">
      <c r="B1090" s="53"/>
      <c r="E1090" s="47"/>
      <c r="F1090" s="47"/>
      <c r="N1090" s="8"/>
      <c r="P1090" s="8"/>
    </row>
    <row r="1091">
      <c r="B1091" s="53"/>
      <c r="E1091" s="47"/>
      <c r="F1091" s="47"/>
      <c r="N1091" s="8"/>
      <c r="P1091" s="8"/>
    </row>
    <row r="1092">
      <c r="B1092" s="53"/>
      <c r="E1092" s="47"/>
      <c r="F1092" s="47"/>
      <c r="N1092" s="8"/>
      <c r="P1092" s="8"/>
    </row>
    <row r="1093">
      <c r="B1093" s="53"/>
      <c r="E1093" s="47"/>
      <c r="F1093" s="47"/>
      <c r="N1093" s="8"/>
      <c r="P1093" s="8"/>
    </row>
    <row r="1094">
      <c r="B1094" s="53"/>
      <c r="E1094" s="47"/>
      <c r="F1094" s="47"/>
      <c r="N1094" s="8"/>
      <c r="P1094" s="8"/>
    </row>
    <row r="1095">
      <c r="B1095" s="53"/>
      <c r="E1095" s="47"/>
      <c r="F1095" s="47"/>
      <c r="N1095" s="8"/>
      <c r="P1095" s="8"/>
    </row>
    <row r="1096">
      <c r="B1096" s="53"/>
      <c r="E1096" s="47"/>
      <c r="F1096" s="47"/>
      <c r="N1096" s="8"/>
      <c r="P1096" s="8"/>
    </row>
    <row r="1097">
      <c r="B1097" s="53"/>
      <c r="E1097" s="47"/>
      <c r="F1097" s="47"/>
      <c r="N1097" s="8"/>
      <c r="P1097" s="8"/>
    </row>
    <row r="1098">
      <c r="B1098" s="53"/>
      <c r="E1098" s="47"/>
      <c r="F1098" s="47"/>
      <c r="N1098" s="8"/>
      <c r="P1098" s="8"/>
    </row>
    <row r="1099">
      <c r="B1099" s="53"/>
      <c r="E1099" s="47"/>
      <c r="F1099" s="47"/>
      <c r="N1099" s="8"/>
      <c r="P1099" s="8"/>
    </row>
    <row r="1100">
      <c r="B1100" s="53"/>
      <c r="E1100" s="47"/>
      <c r="F1100" s="47"/>
      <c r="N1100" s="8"/>
      <c r="P1100" s="8"/>
    </row>
    <row r="1101">
      <c r="B1101" s="53"/>
      <c r="E1101" s="47"/>
      <c r="F1101" s="47"/>
      <c r="N1101" s="8"/>
      <c r="P1101" s="8"/>
    </row>
    <row r="1102">
      <c r="B1102" s="53"/>
      <c r="E1102" s="47"/>
      <c r="F1102" s="47"/>
      <c r="N1102" s="8"/>
      <c r="P1102" s="8"/>
    </row>
    <row r="1103">
      <c r="B1103" s="53"/>
      <c r="E1103" s="47"/>
      <c r="F1103" s="47"/>
      <c r="N1103" s="8"/>
      <c r="P1103" s="8"/>
    </row>
    <row r="1104">
      <c r="B1104" s="53"/>
      <c r="E1104" s="47"/>
      <c r="F1104" s="47"/>
      <c r="N1104" s="8"/>
      <c r="P1104" s="8"/>
    </row>
    <row r="1105">
      <c r="B1105" s="53"/>
      <c r="E1105" s="47"/>
      <c r="F1105" s="47"/>
      <c r="N1105" s="8"/>
      <c r="P1105" s="8"/>
    </row>
    <row r="1106">
      <c r="B1106" s="53"/>
      <c r="E1106" s="47"/>
      <c r="F1106" s="47"/>
      <c r="N1106" s="8"/>
      <c r="P1106" s="8"/>
    </row>
    <row r="1107">
      <c r="B1107" s="53"/>
      <c r="E1107" s="47"/>
      <c r="F1107" s="47"/>
      <c r="N1107" s="8"/>
      <c r="P1107" s="8"/>
    </row>
    <row r="1108">
      <c r="B1108" s="53"/>
      <c r="E1108" s="47"/>
      <c r="F1108" s="47"/>
      <c r="N1108" s="8"/>
      <c r="P1108" s="8"/>
    </row>
    <row r="1109">
      <c r="B1109" s="53"/>
      <c r="E1109" s="47"/>
      <c r="F1109" s="47"/>
      <c r="N1109" s="8"/>
      <c r="P1109" s="8"/>
    </row>
    <row r="1110">
      <c r="B1110" s="53"/>
      <c r="E1110" s="47"/>
      <c r="F1110" s="47"/>
      <c r="N1110" s="8"/>
      <c r="P1110" s="8"/>
    </row>
    <row r="1111">
      <c r="B1111" s="53"/>
      <c r="E1111" s="47"/>
      <c r="F1111" s="47"/>
      <c r="N1111" s="8"/>
      <c r="P1111" s="8"/>
    </row>
    <row r="1112">
      <c r="B1112" s="53"/>
      <c r="E1112" s="47"/>
      <c r="F1112" s="47"/>
      <c r="N1112" s="8"/>
      <c r="P1112" s="8"/>
    </row>
    <row r="1113">
      <c r="B1113" s="53"/>
      <c r="E1113" s="47"/>
      <c r="F1113" s="47"/>
      <c r="N1113" s="8"/>
      <c r="P1113" s="8"/>
    </row>
    <row r="1114">
      <c r="B1114" s="53"/>
      <c r="E1114" s="47"/>
      <c r="F1114" s="47"/>
      <c r="N1114" s="8"/>
      <c r="P1114" s="8"/>
    </row>
    <row r="1115">
      <c r="B1115" s="53"/>
      <c r="E1115" s="47"/>
      <c r="F1115" s="47"/>
      <c r="N1115" s="8"/>
      <c r="P1115" s="8"/>
    </row>
    <row r="1116">
      <c r="B1116" s="53"/>
      <c r="E1116" s="47"/>
      <c r="F1116" s="47"/>
      <c r="N1116" s="8"/>
      <c r="P1116" s="8"/>
    </row>
    <row r="1117">
      <c r="B1117" s="53"/>
      <c r="E1117" s="47"/>
      <c r="F1117" s="47"/>
      <c r="N1117" s="8"/>
      <c r="P1117" s="8"/>
    </row>
    <row r="1118">
      <c r="B1118" s="53"/>
      <c r="E1118" s="47"/>
      <c r="F1118" s="47"/>
      <c r="N1118" s="8"/>
      <c r="P1118" s="8"/>
    </row>
    <row r="1119">
      <c r="B1119" s="53"/>
      <c r="E1119" s="47"/>
      <c r="F1119" s="47"/>
      <c r="N1119" s="8"/>
      <c r="P1119" s="8"/>
    </row>
    <row r="1120">
      <c r="B1120" s="53"/>
      <c r="E1120" s="47"/>
      <c r="F1120" s="47"/>
      <c r="N1120" s="8"/>
      <c r="P1120" s="8"/>
    </row>
    <row r="1121">
      <c r="B1121" s="53"/>
      <c r="E1121" s="47"/>
      <c r="F1121" s="47"/>
      <c r="N1121" s="8"/>
      <c r="P1121" s="8"/>
    </row>
    <row r="1122">
      <c r="B1122" s="53"/>
      <c r="E1122" s="47"/>
      <c r="F1122" s="47"/>
      <c r="N1122" s="8"/>
      <c r="P1122" s="8"/>
    </row>
    <row r="1123">
      <c r="B1123" s="53"/>
      <c r="E1123" s="47"/>
      <c r="F1123" s="47"/>
      <c r="N1123" s="8"/>
      <c r="P1123" s="8"/>
    </row>
    <row r="1124">
      <c r="B1124" s="53"/>
      <c r="E1124" s="47"/>
      <c r="F1124" s="47"/>
      <c r="N1124" s="8"/>
      <c r="P1124" s="8"/>
    </row>
    <row r="1125">
      <c r="B1125" s="53"/>
      <c r="E1125" s="47"/>
      <c r="F1125" s="47"/>
      <c r="N1125" s="8"/>
      <c r="P1125" s="8"/>
    </row>
    <row r="1126">
      <c r="B1126" s="53"/>
      <c r="E1126" s="47"/>
      <c r="F1126" s="47"/>
      <c r="N1126" s="8"/>
      <c r="P1126" s="8"/>
    </row>
    <row r="1127">
      <c r="B1127" s="53"/>
      <c r="E1127" s="47"/>
      <c r="F1127" s="47"/>
      <c r="N1127" s="8"/>
      <c r="P1127" s="8"/>
    </row>
    <row r="1128">
      <c r="B1128" s="53"/>
      <c r="E1128" s="47"/>
      <c r="F1128" s="47"/>
      <c r="N1128" s="8"/>
      <c r="P1128" s="8"/>
    </row>
    <row r="1129">
      <c r="B1129" s="53"/>
      <c r="E1129" s="47"/>
      <c r="F1129" s="47"/>
      <c r="N1129" s="8"/>
      <c r="P1129" s="8"/>
    </row>
    <row r="1130">
      <c r="B1130" s="53"/>
      <c r="E1130" s="47"/>
      <c r="F1130" s="47"/>
      <c r="N1130" s="8"/>
      <c r="P1130" s="8"/>
    </row>
    <row r="1131">
      <c r="B1131" s="53"/>
      <c r="E1131" s="47"/>
      <c r="F1131" s="47"/>
      <c r="N1131" s="8"/>
      <c r="P1131" s="8"/>
    </row>
    <row r="1132">
      <c r="B1132" s="53"/>
      <c r="E1132" s="47"/>
      <c r="F1132" s="47"/>
      <c r="N1132" s="8"/>
      <c r="P1132" s="8"/>
    </row>
    <row r="1133">
      <c r="B1133" s="53"/>
      <c r="E1133" s="47"/>
      <c r="F1133" s="47"/>
      <c r="N1133" s="8"/>
      <c r="P1133" s="8"/>
    </row>
    <row r="1134">
      <c r="B1134" s="53"/>
      <c r="E1134" s="47"/>
      <c r="F1134" s="47"/>
      <c r="N1134" s="8"/>
      <c r="P1134" s="8"/>
    </row>
    <row r="1135">
      <c r="B1135" s="53"/>
      <c r="E1135" s="47"/>
      <c r="F1135" s="47"/>
      <c r="N1135" s="8"/>
      <c r="P1135" s="8"/>
    </row>
    <row r="1136">
      <c r="B1136" s="53"/>
      <c r="E1136" s="47"/>
      <c r="F1136" s="47"/>
      <c r="N1136" s="8"/>
      <c r="P1136" s="8"/>
    </row>
    <row r="1137">
      <c r="B1137" s="53"/>
      <c r="E1137" s="47"/>
      <c r="F1137" s="47"/>
      <c r="N1137" s="8"/>
      <c r="P1137" s="8"/>
    </row>
    <row r="1138">
      <c r="B1138" s="53"/>
      <c r="E1138" s="47"/>
      <c r="F1138" s="47"/>
      <c r="N1138" s="8"/>
      <c r="P1138" s="8"/>
    </row>
    <row r="1139">
      <c r="B1139" s="53"/>
      <c r="E1139" s="47"/>
      <c r="F1139" s="47"/>
      <c r="N1139" s="8"/>
      <c r="P1139" s="8"/>
    </row>
    <row r="1140">
      <c r="B1140" s="53"/>
      <c r="E1140" s="47"/>
      <c r="F1140" s="47"/>
      <c r="N1140" s="8"/>
      <c r="P1140" s="8"/>
    </row>
    <row r="1141">
      <c r="B1141" s="53"/>
      <c r="E1141" s="47"/>
      <c r="F1141" s="47"/>
      <c r="N1141" s="8"/>
      <c r="P1141" s="8"/>
    </row>
    <row r="1142">
      <c r="B1142" s="53"/>
      <c r="E1142" s="47"/>
      <c r="F1142" s="47"/>
      <c r="N1142" s="8"/>
      <c r="P1142" s="8"/>
    </row>
    <row r="1143">
      <c r="B1143" s="53"/>
      <c r="E1143" s="47"/>
      <c r="F1143" s="47"/>
      <c r="N1143" s="8"/>
      <c r="P1143" s="8"/>
    </row>
    <row r="1144">
      <c r="B1144" s="53"/>
      <c r="E1144" s="47"/>
      <c r="F1144" s="47"/>
      <c r="N1144" s="8"/>
      <c r="P1144" s="8"/>
    </row>
    <row r="1145">
      <c r="B1145" s="53"/>
      <c r="E1145" s="47"/>
      <c r="F1145" s="47"/>
      <c r="N1145" s="8"/>
      <c r="P1145" s="8"/>
    </row>
    <row r="1146">
      <c r="B1146" s="53"/>
      <c r="E1146" s="47"/>
      <c r="F1146" s="47"/>
      <c r="N1146" s="8"/>
      <c r="P1146" s="8"/>
    </row>
    <row r="1147">
      <c r="B1147" s="53"/>
      <c r="E1147" s="47"/>
      <c r="F1147" s="47"/>
      <c r="N1147" s="8"/>
      <c r="P1147" s="8"/>
    </row>
    <row r="1148">
      <c r="B1148" s="53"/>
      <c r="E1148" s="47"/>
      <c r="F1148" s="47"/>
      <c r="N1148" s="8"/>
      <c r="P1148" s="8"/>
    </row>
    <row r="1149">
      <c r="B1149" s="53"/>
      <c r="E1149" s="47"/>
      <c r="F1149" s="47"/>
      <c r="N1149" s="8"/>
      <c r="P1149" s="8"/>
    </row>
    <row r="1150">
      <c r="B1150" s="53"/>
      <c r="E1150" s="47"/>
      <c r="F1150" s="47"/>
      <c r="N1150" s="8"/>
      <c r="P1150" s="8"/>
    </row>
    <row r="1151">
      <c r="B1151" s="53"/>
      <c r="E1151" s="47"/>
      <c r="F1151" s="47"/>
      <c r="N1151" s="8"/>
      <c r="P1151" s="8"/>
    </row>
    <row r="1152">
      <c r="B1152" s="53"/>
      <c r="E1152" s="47"/>
      <c r="F1152" s="47"/>
      <c r="N1152" s="8"/>
      <c r="P1152" s="8"/>
    </row>
    <row r="1153">
      <c r="B1153" s="53"/>
      <c r="E1153" s="47"/>
      <c r="F1153" s="47"/>
      <c r="N1153" s="8"/>
      <c r="P1153" s="8"/>
    </row>
    <row r="1154">
      <c r="B1154" s="53"/>
      <c r="E1154" s="47"/>
      <c r="F1154" s="47"/>
      <c r="N1154" s="8"/>
      <c r="P1154" s="8"/>
    </row>
    <row r="1155">
      <c r="B1155" s="53"/>
      <c r="E1155" s="47"/>
      <c r="F1155" s="47"/>
      <c r="N1155" s="8"/>
      <c r="P1155" s="8"/>
    </row>
    <row r="1156">
      <c r="B1156" s="53"/>
      <c r="E1156" s="47"/>
      <c r="F1156" s="47"/>
      <c r="N1156" s="8"/>
      <c r="P1156" s="8"/>
    </row>
    <row r="1157">
      <c r="B1157" s="53"/>
      <c r="E1157" s="47"/>
      <c r="F1157" s="47"/>
      <c r="N1157" s="8"/>
      <c r="P1157" s="8"/>
    </row>
    <row r="1158">
      <c r="B1158" s="53"/>
      <c r="E1158" s="47"/>
      <c r="F1158" s="47"/>
      <c r="N1158" s="8"/>
      <c r="P1158" s="8"/>
    </row>
    <row r="1159">
      <c r="B1159" s="53"/>
      <c r="E1159" s="47"/>
      <c r="F1159" s="47"/>
      <c r="N1159" s="8"/>
      <c r="P1159" s="8"/>
    </row>
    <row r="1160">
      <c r="B1160" s="53"/>
      <c r="E1160" s="47"/>
      <c r="F1160" s="47"/>
      <c r="N1160" s="8"/>
      <c r="P1160" s="8"/>
    </row>
    <row r="1161">
      <c r="B1161" s="53"/>
      <c r="E1161" s="47"/>
      <c r="F1161" s="47"/>
      <c r="N1161" s="8"/>
      <c r="P1161" s="8"/>
    </row>
    <row r="1162">
      <c r="B1162" s="53"/>
      <c r="E1162" s="47"/>
      <c r="F1162" s="47"/>
      <c r="N1162" s="8"/>
      <c r="P1162" s="8"/>
    </row>
    <row r="1163">
      <c r="B1163" s="53"/>
      <c r="E1163" s="47"/>
      <c r="F1163" s="47"/>
      <c r="N1163" s="8"/>
      <c r="P1163" s="8"/>
    </row>
    <row r="1164">
      <c r="B1164" s="53"/>
      <c r="E1164" s="47"/>
      <c r="F1164" s="47"/>
      <c r="N1164" s="8"/>
      <c r="P1164" s="8"/>
    </row>
    <row r="1165">
      <c r="B1165" s="53"/>
      <c r="E1165" s="47"/>
      <c r="F1165" s="47"/>
      <c r="N1165" s="8"/>
      <c r="P1165" s="8"/>
    </row>
    <row r="1166">
      <c r="B1166" s="53"/>
      <c r="E1166" s="47"/>
      <c r="F1166" s="47"/>
      <c r="N1166" s="8"/>
      <c r="P1166" s="8"/>
    </row>
    <row r="1167">
      <c r="B1167" s="53"/>
      <c r="E1167" s="47"/>
      <c r="F1167" s="47"/>
      <c r="N1167" s="8"/>
      <c r="P1167" s="8"/>
    </row>
    <row r="1168">
      <c r="B1168" s="53"/>
      <c r="E1168" s="47"/>
      <c r="F1168" s="47"/>
      <c r="N1168" s="8"/>
      <c r="P1168" s="8"/>
    </row>
    <row r="1169">
      <c r="B1169" s="53"/>
      <c r="E1169" s="47"/>
      <c r="F1169" s="47"/>
      <c r="N1169" s="8"/>
      <c r="P1169" s="8"/>
    </row>
    <row r="1170">
      <c r="B1170" s="53"/>
      <c r="E1170" s="47"/>
      <c r="F1170" s="47"/>
      <c r="N1170" s="8"/>
      <c r="P1170" s="8"/>
    </row>
    <row r="1171">
      <c r="B1171" s="53"/>
      <c r="E1171" s="47"/>
      <c r="F1171" s="47"/>
      <c r="N1171" s="8"/>
      <c r="P1171" s="8"/>
    </row>
    <row r="1172">
      <c r="B1172" s="53"/>
      <c r="E1172" s="47"/>
      <c r="F1172" s="47"/>
      <c r="N1172" s="8"/>
      <c r="P1172" s="8"/>
    </row>
    <row r="1173">
      <c r="B1173" s="53"/>
      <c r="E1173" s="47"/>
      <c r="F1173" s="47"/>
      <c r="N1173" s="8"/>
      <c r="P1173" s="8"/>
    </row>
    <row r="1174">
      <c r="B1174" s="53"/>
      <c r="E1174" s="47"/>
      <c r="F1174" s="47"/>
      <c r="N1174" s="8"/>
      <c r="P1174" s="8"/>
    </row>
    <row r="1175">
      <c r="B1175" s="53"/>
      <c r="E1175" s="47"/>
      <c r="F1175" s="47"/>
      <c r="N1175" s="8"/>
      <c r="P1175" s="8"/>
    </row>
    <row r="1176">
      <c r="B1176" s="53"/>
      <c r="E1176" s="47"/>
      <c r="F1176" s="47"/>
      <c r="N1176" s="8"/>
      <c r="P1176" s="8"/>
    </row>
    <row r="1177">
      <c r="B1177" s="53"/>
      <c r="E1177" s="47"/>
      <c r="F1177" s="47"/>
      <c r="N1177" s="8"/>
      <c r="P1177" s="8"/>
    </row>
    <row r="1178">
      <c r="B1178" s="53"/>
      <c r="E1178" s="47"/>
      <c r="F1178" s="47"/>
      <c r="N1178" s="8"/>
      <c r="P1178" s="8"/>
    </row>
    <row r="1179">
      <c r="B1179" s="53"/>
      <c r="E1179" s="47"/>
      <c r="F1179" s="47"/>
      <c r="N1179" s="8"/>
      <c r="P1179" s="8"/>
    </row>
    <row r="1180">
      <c r="B1180" s="53"/>
      <c r="E1180" s="47"/>
      <c r="F1180" s="47"/>
      <c r="N1180" s="8"/>
      <c r="P1180" s="8"/>
    </row>
    <row r="1181">
      <c r="B1181" s="53"/>
      <c r="E1181" s="47"/>
      <c r="F1181" s="47"/>
      <c r="N1181" s="8"/>
      <c r="P1181" s="8"/>
    </row>
    <row r="1182">
      <c r="B1182" s="53"/>
      <c r="E1182" s="47"/>
      <c r="F1182" s="47"/>
      <c r="N1182" s="8"/>
      <c r="P1182" s="8"/>
    </row>
    <row r="1183">
      <c r="B1183" s="53"/>
      <c r="E1183" s="47"/>
      <c r="F1183" s="47"/>
      <c r="N1183" s="8"/>
      <c r="P1183" s="8"/>
    </row>
    <row r="1184">
      <c r="B1184" s="53"/>
      <c r="E1184" s="47"/>
      <c r="F1184" s="47"/>
      <c r="N1184" s="8"/>
      <c r="P1184" s="8"/>
    </row>
    <row r="1185">
      <c r="B1185" s="53"/>
      <c r="E1185" s="47"/>
      <c r="F1185" s="47"/>
      <c r="N1185" s="8"/>
      <c r="P1185" s="8"/>
    </row>
    <row r="1186">
      <c r="B1186" s="53"/>
      <c r="E1186" s="47"/>
      <c r="F1186" s="47"/>
      <c r="N1186" s="8"/>
      <c r="P1186" s="8"/>
    </row>
    <row r="1187">
      <c r="B1187" s="53"/>
      <c r="E1187" s="47"/>
      <c r="F1187" s="47"/>
      <c r="N1187" s="8"/>
      <c r="P1187" s="8"/>
    </row>
    <row r="1188">
      <c r="B1188" s="53"/>
      <c r="E1188" s="47"/>
      <c r="F1188" s="47"/>
      <c r="N1188" s="8"/>
      <c r="P1188" s="8"/>
    </row>
    <row r="1189">
      <c r="B1189" s="53"/>
      <c r="E1189" s="47"/>
      <c r="F1189" s="47"/>
      <c r="N1189" s="8"/>
      <c r="P1189" s="8"/>
    </row>
    <row r="1190">
      <c r="B1190" s="53"/>
      <c r="E1190" s="47"/>
      <c r="F1190" s="47"/>
      <c r="N1190" s="8"/>
      <c r="P1190" s="8"/>
    </row>
    <row r="1191">
      <c r="B1191" s="53"/>
      <c r="E1191" s="47"/>
      <c r="F1191" s="47"/>
      <c r="N1191" s="8"/>
      <c r="P1191" s="8"/>
    </row>
    <row r="1192">
      <c r="B1192" s="53"/>
      <c r="E1192" s="47"/>
      <c r="F1192" s="47"/>
      <c r="N1192" s="8"/>
      <c r="P1192" s="8"/>
    </row>
    <row r="1193">
      <c r="B1193" s="53"/>
      <c r="E1193" s="47"/>
      <c r="F1193" s="47"/>
      <c r="N1193" s="8"/>
      <c r="P1193" s="8"/>
    </row>
    <row r="1194">
      <c r="B1194" s="53"/>
      <c r="E1194" s="47"/>
      <c r="F1194" s="47"/>
      <c r="N1194" s="8"/>
      <c r="P1194" s="8"/>
    </row>
    <row r="1195">
      <c r="B1195" s="53"/>
      <c r="E1195" s="47"/>
      <c r="F1195" s="47"/>
      <c r="N1195" s="8"/>
      <c r="P1195" s="8"/>
    </row>
    <row r="1196">
      <c r="B1196" s="53"/>
      <c r="E1196" s="47"/>
      <c r="F1196" s="47"/>
      <c r="N1196" s="8"/>
      <c r="P1196" s="8"/>
    </row>
    <row r="1197">
      <c r="B1197" s="53"/>
      <c r="E1197" s="47"/>
      <c r="F1197" s="47"/>
      <c r="N1197" s="8"/>
      <c r="P1197" s="8"/>
    </row>
    <row r="1198">
      <c r="B1198" s="53"/>
      <c r="E1198" s="47"/>
      <c r="F1198" s="47"/>
      <c r="N1198" s="8"/>
      <c r="P1198" s="8"/>
    </row>
    <row r="1199">
      <c r="B1199" s="53"/>
      <c r="E1199" s="47"/>
      <c r="F1199" s="47"/>
      <c r="N1199" s="8"/>
      <c r="P1199" s="8"/>
    </row>
    <row r="1200">
      <c r="B1200" s="53"/>
      <c r="E1200" s="47"/>
      <c r="F1200" s="47"/>
      <c r="N1200" s="8"/>
      <c r="P1200" s="8"/>
    </row>
    <row r="1201">
      <c r="B1201" s="53"/>
      <c r="E1201" s="47"/>
      <c r="F1201" s="47"/>
      <c r="N1201" s="8"/>
      <c r="P1201" s="8"/>
    </row>
    <row r="1202">
      <c r="B1202" s="53"/>
      <c r="E1202" s="47"/>
      <c r="F1202" s="47"/>
      <c r="N1202" s="8"/>
      <c r="P1202" s="8"/>
    </row>
    <row r="1203">
      <c r="B1203" s="53"/>
      <c r="E1203" s="47"/>
      <c r="F1203" s="47"/>
      <c r="N1203" s="8"/>
      <c r="P1203" s="8"/>
    </row>
    <row r="1204">
      <c r="B1204" s="53"/>
      <c r="E1204" s="47"/>
      <c r="F1204" s="47"/>
      <c r="N1204" s="8"/>
      <c r="P1204" s="8"/>
    </row>
    <row r="1205">
      <c r="B1205" s="53"/>
      <c r="E1205" s="47"/>
      <c r="F1205" s="47"/>
      <c r="N1205" s="8"/>
      <c r="P1205" s="8"/>
    </row>
    <row r="1206">
      <c r="B1206" s="53"/>
      <c r="E1206" s="47"/>
      <c r="F1206" s="47"/>
      <c r="N1206" s="8"/>
      <c r="P1206" s="8"/>
    </row>
    <row r="1207">
      <c r="B1207" s="53"/>
      <c r="E1207" s="47"/>
      <c r="F1207" s="47"/>
      <c r="N1207" s="8"/>
      <c r="P1207" s="8"/>
    </row>
    <row r="1208">
      <c r="B1208" s="53"/>
      <c r="E1208" s="47"/>
      <c r="F1208" s="47"/>
      <c r="N1208" s="8"/>
      <c r="P1208" s="8"/>
    </row>
    <row r="1209">
      <c r="B1209" s="53"/>
      <c r="E1209" s="47"/>
      <c r="F1209" s="47"/>
      <c r="N1209" s="8"/>
      <c r="P1209" s="8"/>
    </row>
    <row r="1210">
      <c r="B1210" s="53"/>
      <c r="E1210" s="47"/>
      <c r="F1210" s="47"/>
      <c r="N1210" s="8"/>
      <c r="P1210" s="8"/>
    </row>
    <row r="1211">
      <c r="B1211" s="53"/>
      <c r="E1211" s="47"/>
      <c r="F1211" s="47"/>
      <c r="N1211" s="8"/>
      <c r="P1211" s="8"/>
    </row>
    <row r="1212">
      <c r="B1212" s="53"/>
      <c r="E1212" s="47"/>
      <c r="F1212" s="47"/>
      <c r="N1212" s="8"/>
      <c r="P1212" s="8"/>
    </row>
    <row r="1213">
      <c r="B1213" s="53"/>
      <c r="E1213" s="47"/>
      <c r="F1213" s="47"/>
      <c r="N1213" s="8"/>
      <c r="P1213" s="8"/>
    </row>
    <row r="1214">
      <c r="B1214" s="53"/>
      <c r="E1214" s="47"/>
      <c r="F1214" s="47"/>
      <c r="N1214" s="8"/>
      <c r="P1214" s="8"/>
    </row>
    <row r="1215">
      <c r="B1215" s="53"/>
      <c r="E1215" s="47"/>
      <c r="F1215" s="47"/>
      <c r="N1215" s="8"/>
      <c r="P1215" s="8"/>
    </row>
    <row r="1216">
      <c r="B1216" s="53"/>
      <c r="E1216" s="47"/>
      <c r="F1216" s="47"/>
      <c r="N1216" s="8"/>
      <c r="P1216" s="8"/>
    </row>
    <row r="1217">
      <c r="B1217" s="53"/>
      <c r="E1217" s="47"/>
      <c r="F1217" s="47"/>
      <c r="N1217" s="8"/>
      <c r="P1217" s="8"/>
    </row>
    <row r="1218">
      <c r="B1218" s="53"/>
      <c r="E1218" s="47"/>
      <c r="F1218" s="47"/>
      <c r="N1218" s="8"/>
      <c r="P1218" s="8"/>
    </row>
    <row r="1219">
      <c r="B1219" s="53"/>
      <c r="E1219" s="47"/>
      <c r="F1219" s="47"/>
      <c r="N1219" s="8"/>
      <c r="P1219" s="8"/>
    </row>
    <row r="1220">
      <c r="B1220" s="53"/>
      <c r="E1220" s="47"/>
      <c r="F1220" s="47"/>
      <c r="N1220" s="8"/>
      <c r="P1220" s="8"/>
    </row>
    <row r="1221">
      <c r="B1221" s="53"/>
      <c r="E1221" s="47"/>
      <c r="F1221" s="47"/>
      <c r="N1221" s="8"/>
      <c r="P1221" s="8"/>
    </row>
    <row r="1222">
      <c r="B1222" s="53"/>
      <c r="E1222" s="47"/>
      <c r="F1222" s="47"/>
      <c r="N1222" s="8"/>
      <c r="P1222" s="8"/>
    </row>
    <row r="1223">
      <c r="B1223" s="53"/>
      <c r="E1223" s="47"/>
      <c r="F1223" s="47"/>
      <c r="N1223" s="8"/>
      <c r="P1223" s="8"/>
    </row>
    <row r="1224">
      <c r="B1224" s="53"/>
      <c r="E1224" s="47"/>
      <c r="F1224" s="47"/>
      <c r="N1224" s="8"/>
      <c r="P1224" s="8"/>
    </row>
    <row r="1225">
      <c r="B1225" s="53"/>
      <c r="E1225" s="47"/>
      <c r="F1225" s="47"/>
      <c r="N1225" s="8"/>
      <c r="P1225" s="8"/>
    </row>
    <row r="1226">
      <c r="B1226" s="53"/>
      <c r="E1226" s="47"/>
      <c r="F1226" s="47"/>
      <c r="N1226" s="8"/>
      <c r="P1226" s="8"/>
    </row>
    <row r="1227">
      <c r="B1227" s="53"/>
      <c r="E1227" s="47"/>
      <c r="F1227" s="47"/>
      <c r="N1227" s="8"/>
      <c r="P1227" s="8"/>
    </row>
    <row r="1228">
      <c r="B1228" s="53"/>
      <c r="E1228" s="47"/>
      <c r="F1228" s="47"/>
      <c r="N1228" s="8"/>
      <c r="P1228" s="8"/>
    </row>
    <row r="1229">
      <c r="B1229" s="53"/>
      <c r="E1229" s="47"/>
      <c r="F1229" s="47"/>
      <c r="N1229" s="8"/>
      <c r="P1229" s="8"/>
    </row>
    <row r="1230">
      <c r="B1230" s="53"/>
      <c r="E1230" s="47"/>
      <c r="F1230" s="47"/>
      <c r="N1230" s="8"/>
      <c r="P1230" s="8"/>
    </row>
    <row r="1231">
      <c r="B1231" s="53"/>
      <c r="E1231" s="47"/>
      <c r="F1231" s="47"/>
      <c r="N1231" s="8"/>
      <c r="P1231" s="8"/>
    </row>
    <row r="1232">
      <c r="B1232" s="53"/>
      <c r="E1232" s="47"/>
      <c r="F1232" s="47"/>
      <c r="N1232" s="8"/>
      <c r="P1232" s="8"/>
    </row>
    <row r="1233">
      <c r="B1233" s="53"/>
      <c r="E1233" s="47"/>
      <c r="F1233" s="47"/>
      <c r="N1233" s="8"/>
      <c r="P1233" s="8"/>
    </row>
    <row r="1234">
      <c r="B1234" s="53"/>
      <c r="E1234" s="47"/>
      <c r="F1234" s="47"/>
      <c r="N1234" s="8"/>
      <c r="P1234" s="8"/>
    </row>
    <row r="1235">
      <c r="B1235" s="53"/>
      <c r="E1235" s="47"/>
      <c r="F1235" s="47"/>
      <c r="N1235" s="8"/>
      <c r="P1235" s="8"/>
    </row>
    <row r="1236">
      <c r="B1236" s="53"/>
      <c r="E1236" s="47"/>
      <c r="F1236" s="47"/>
      <c r="N1236" s="8"/>
      <c r="P1236" s="8"/>
    </row>
    <row r="1237">
      <c r="B1237" s="53"/>
      <c r="E1237" s="47"/>
      <c r="F1237" s="47"/>
      <c r="N1237" s="8"/>
      <c r="P1237" s="8"/>
    </row>
    <row r="1238">
      <c r="B1238" s="53"/>
      <c r="E1238" s="47"/>
      <c r="F1238" s="47"/>
      <c r="N1238" s="8"/>
      <c r="P1238" s="8"/>
    </row>
    <row r="1239">
      <c r="B1239" s="53"/>
      <c r="E1239" s="47"/>
      <c r="F1239" s="47"/>
      <c r="N1239" s="8"/>
      <c r="P1239" s="8"/>
    </row>
    <row r="1240">
      <c r="B1240" s="53"/>
      <c r="E1240" s="47"/>
      <c r="F1240" s="47"/>
      <c r="N1240" s="8"/>
      <c r="P1240" s="8"/>
    </row>
    <row r="1241">
      <c r="B1241" s="53"/>
      <c r="E1241" s="47"/>
      <c r="F1241" s="47"/>
      <c r="N1241" s="8"/>
      <c r="P1241" s="8"/>
    </row>
    <row r="1242">
      <c r="B1242" s="53"/>
      <c r="E1242" s="47"/>
      <c r="F1242" s="47"/>
      <c r="N1242" s="8"/>
      <c r="P1242" s="8"/>
    </row>
    <row r="1243">
      <c r="B1243" s="53"/>
      <c r="E1243" s="47"/>
      <c r="F1243" s="47"/>
      <c r="N1243" s="8"/>
      <c r="P1243" s="8"/>
    </row>
    <row r="1244">
      <c r="B1244" s="53"/>
      <c r="E1244" s="47"/>
      <c r="F1244" s="47"/>
      <c r="N1244" s="8"/>
      <c r="P1244" s="8"/>
    </row>
    <row r="1245">
      <c r="B1245" s="53"/>
      <c r="E1245" s="47"/>
      <c r="F1245" s="47"/>
      <c r="N1245" s="8"/>
      <c r="P1245" s="8"/>
    </row>
    <row r="1246">
      <c r="B1246" s="53"/>
      <c r="E1246" s="47"/>
      <c r="F1246" s="47"/>
      <c r="N1246" s="8"/>
      <c r="P1246" s="8"/>
    </row>
    <row r="1247">
      <c r="B1247" s="53"/>
      <c r="E1247" s="47"/>
      <c r="F1247" s="47"/>
      <c r="N1247" s="8"/>
      <c r="P1247" s="8"/>
    </row>
    <row r="1248">
      <c r="B1248" s="53"/>
      <c r="E1248" s="47"/>
      <c r="F1248" s="47"/>
      <c r="N1248" s="8"/>
      <c r="P1248" s="8"/>
    </row>
    <row r="1249">
      <c r="B1249" s="53"/>
      <c r="E1249" s="47"/>
      <c r="F1249" s="47"/>
      <c r="N1249" s="8"/>
      <c r="P1249" s="8"/>
    </row>
    <row r="1250">
      <c r="B1250" s="53"/>
      <c r="E1250" s="47"/>
      <c r="F1250" s="47"/>
      <c r="N1250" s="8"/>
      <c r="P1250" s="8"/>
    </row>
    <row r="1251">
      <c r="B1251" s="53"/>
      <c r="E1251" s="47"/>
      <c r="F1251" s="47"/>
      <c r="N1251" s="8"/>
      <c r="P1251" s="8"/>
    </row>
    <row r="1252">
      <c r="B1252" s="53"/>
      <c r="E1252" s="47"/>
      <c r="F1252" s="47"/>
      <c r="N1252" s="8"/>
      <c r="P1252" s="8"/>
    </row>
    <row r="1253">
      <c r="B1253" s="53"/>
      <c r="E1253" s="47"/>
      <c r="F1253" s="47"/>
      <c r="N1253" s="8"/>
      <c r="P1253" s="8"/>
    </row>
    <row r="1254">
      <c r="B1254" s="53"/>
      <c r="E1254" s="47"/>
      <c r="F1254" s="47"/>
      <c r="N1254" s="8"/>
      <c r="P1254" s="8"/>
    </row>
    <row r="1255">
      <c r="B1255" s="53"/>
      <c r="E1255" s="47"/>
      <c r="F1255" s="47"/>
      <c r="N1255" s="8"/>
      <c r="P1255" s="8"/>
    </row>
    <row r="1256">
      <c r="B1256" s="53"/>
      <c r="E1256" s="47"/>
      <c r="F1256" s="47"/>
      <c r="N1256" s="8"/>
      <c r="P1256" s="8"/>
    </row>
    <row r="1257">
      <c r="B1257" s="53"/>
      <c r="E1257" s="47"/>
      <c r="F1257" s="47"/>
      <c r="N1257" s="8"/>
      <c r="P1257" s="8"/>
    </row>
    <row r="1258">
      <c r="B1258" s="53"/>
      <c r="E1258" s="47"/>
      <c r="F1258" s="47"/>
      <c r="N1258" s="8"/>
      <c r="P1258" s="8"/>
    </row>
    <row r="1259">
      <c r="B1259" s="53"/>
      <c r="E1259" s="47"/>
      <c r="F1259" s="47"/>
      <c r="N1259" s="8"/>
      <c r="P1259" s="8"/>
    </row>
    <row r="1260">
      <c r="B1260" s="53"/>
      <c r="E1260" s="47"/>
      <c r="F1260" s="47"/>
      <c r="N1260" s="8"/>
      <c r="P1260" s="8"/>
    </row>
    <row r="1261">
      <c r="B1261" s="53"/>
      <c r="E1261" s="47"/>
      <c r="F1261" s="47"/>
      <c r="N1261" s="8"/>
      <c r="P1261" s="8"/>
    </row>
    <row r="1262">
      <c r="B1262" s="53"/>
      <c r="E1262" s="47"/>
      <c r="F1262" s="47"/>
      <c r="N1262" s="8"/>
      <c r="P1262" s="8"/>
    </row>
    <row r="1263">
      <c r="B1263" s="53"/>
      <c r="E1263" s="47"/>
      <c r="F1263" s="47"/>
      <c r="N1263" s="8"/>
      <c r="P1263" s="8"/>
    </row>
    <row r="1264">
      <c r="B1264" s="53"/>
      <c r="E1264" s="47"/>
      <c r="F1264" s="47"/>
      <c r="N1264" s="8"/>
      <c r="P1264" s="8"/>
    </row>
    <row r="1265">
      <c r="B1265" s="53"/>
      <c r="E1265" s="47"/>
      <c r="F1265" s="47"/>
      <c r="N1265" s="8"/>
      <c r="P1265" s="8"/>
    </row>
    <row r="1266">
      <c r="B1266" s="53"/>
      <c r="E1266" s="47"/>
      <c r="F1266" s="47"/>
      <c r="N1266" s="8"/>
      <c r="P1266" s="8"/>
    </row>
    <row r="1267">
      <c r="B1267" s="53"/>
      <c r="E1267" s="47"/>
      <c r="F1267" s="47"/>
      <c r="N1267" s="8"/>
      <c r="P1267" s="8"/>
    </row>
    <row r="1268">
      <c r="B1268" s="53"/>
      <c r="E1268" s="47"/>
      <c r="F1268" s="47"/>
      <c r="N1268" s="8"/>
      <c r="P1268" s="8"/>
    </row>
    <row r="1269">
      <c r="B1269" s="53"/>
      <c r="E1269" s="47"/>
      <c r="F1269" s="47"/>
      <c r="N1269" s="8"/>
      <c r="P1269" s="8"/>
    </row>
    <row r="1270">
      <c r="B1270" s="53"/>
      <c r="E1270" s="47"/>
      <c r="F1270" s="47"/>
      <c r="N1270" s="8"/>
      <c r="P1270" s="8"/>
    </row>
    <row r="1271">
      <c r="B1271" s="53"/>
      <c r="E1271" s="47"/>
      <c r="F1271" s="47"/>
      <c r="N1271" s="8"/>
      <c r="P1271" s="8"/>
    </row>
    <row r="1272">
      <c r="B1272" s="53"/>
      <c r="E1272" s="47"/>
      <c r="F1272" s="47"/>
      <c r="N1272" s="8"/>
      <c r="P1272" s="8"/>
    </row>
    <row r="1273">
      <c r="B1273" s="53"/>
      <c r="E1273" s="47"/>
      <c r="F1273" s="47"/>
      <c r="N1273" s="8"/>
      <c r="P1273" s="8"/>
    </row>
    <row r="1274">
      <c r="B1274" s="53"/>
      <c r="E1274" s="47"/>
      <c r="F1274" s="47"/>
      <c r="N1274" s="8"/>
      <c r="P1274" s="8"/>
    </row>
    <row r="1275">
      <c r="B1275" s="53"/>
      <c r="E1275" s="47"/>
      <c r="F1275" s="47"/>
      <c r="N1275" s="8"/>
      <c r="P1275" s="8"/>
    </row>
    <row r="1276">
      <c r="B1276" s="53"/>
      <c r="E1276" s="47"/>
      <c r="F1276" s="47"/>
      <c r="N1276" s="8"/>
      <c r="P1276" s="8"/>
    </row>
    <row r="1277">
      <c r="B1277" s="53"/>
      <c r="E1277" s="47"/>
      <c r="F1277" s="47"/>
      <c r="N1277" s="8"/>
      <c r="P1277" s="8"/>
    </row>
    <row r="1278">
      <c r="B1278" s="53"/>
      <c r="E1278" s="47"/>
      <c r="F1278" s="47"/>
      <c r="N1278" s="8"/>
      <c r="P1278" s="8"/>
    </row>
    <row r="1279">
      <c r="B1279" s="53"/>
      <c r="E1279" s="47"/>
      <c r="F1279" s="47"/>
      <c r="N1279" s="8"/>
      <c r="P1279" s="8"/>
    </row>
    <row r="1280">
      <c r="B1280" s="53"/>
      <c r="E1280" s="47"/>
      <c r="F1280" s="47"/>
      <c r="N1280" s="8"/>
      <c r="P1280" s="8"/>
    </row>
    <row r="1281">
      <c r="B1281" s="53"/>
      <c r="E1281" s="47"/>
      <c r="F1281" s="47"/>
      <c r="N1281" s="8"/>
      <c r="P1281" s="8"/>
    </row>
    <row r="1282">
      <c r="B1282" s="53"/>
      <c r="E1282" s="47"/>
      <c r="F1282" s="47"/>
      <c r="N1282" s="8"/>
      <c r="P1282" s="8"/>
    </row>
    <row r="1283">
      <c r="B1283" s="53"/>
      <c r="E1283" s="47"/>
      <c r="F1283" s="47"/>
      <c r="N1283" s="8"/>
      <c r="P1283" s="8"/>
    </row>
    <row r="1284">
      <c r="B1284" s="53"/>
      <c r="E1284" s="47"/>
      <c r="F1284" s="47"/>
      <c r="N1284" s="8"/>
      <c r="P1284" s="8"/>
    </row>
    <row r="1285">
      <c r="B1285" s="53"/>
      <c r="E1285" s="47"/>
      <c r="F1285" s="47"/>
      <c r="N1285" s="8"/>
      <c r="P1285" s="8"/>
    </row>
    <row r="1286">
      <c r="B1286" s="53"/>
      <c r="E1286" s="47"/>
      <c r="F1286" s="47"/>
      <c r="N1286" s="8"/>
      <c r="P1286" s="8"/>
    </row>
    <row r="1287">
      <c r="B1287" s="53"/>
      <c r="E1287" s="47"/>
      <c r="F1287" s="47"/>
      <c r="N1287" s="8"/>
      <c r="P1287" s="8"/>
    </row>
    <row r="1288">
      <c r="B1288" s="53"/>
      <c r="E1288" s="47"/>
      <c r="F1288" s="47"/>
      <c r="N1288" s="8"/>
      <c r="P1288" s="8"/>
    </row>
    <row r="1289">
      <c r="B1289" s="53"/>
      <c r="E1289" s="47"/>
      <c r="F1289" s="47"/>
      <c r="N1289" s="8"/>
      <c r="P1289" s="8"/>
    </row>
    <row r="1290">
      <c r="B1290" s="53"/>
      <c r="E1290" s="47"/>
      <c r="F1290" s="47"/>
      <c r="N1290" s="8"/>
      <c r="P1290" s="8"/>
    </row>
    <row r="1291">
      <c r="B1291" s="53"/>
      <c r="E1291" s="47"/>
      <c r="F1291" s="47"/>
      <c r="N1291" s="8"/>
      <c r="P1291" s="8"/>
    </row>
    <row r="1292">
      <c r="B1292" s="53"/>
      <c r="E1292" s="47"/>
      <c r="F1292" s="47"/>
      <c r="N1292" s="8"/>
      <c r="P1292" s="8"/>
    </row>
    <row r="1293">
      <c r="B1293" s="53"/>
      <c r="E1293" s="47"/>
      <c r="F1293" s="47"/>
      <c r="N1293" s="8"/>
      <c r="P1293" s="8"/>
    </row>
    <row r="1294">
      <c r="B1294" s="53"/>
      <c r="E1294" s="47"/>
      <c r="F1294" s="47"/>
      <c r="N1294" s="8"/>
      <c r="P1294" s="8"/>
    </row>
    <row r="1295">
      <c r="B1295" s="53"/>
      <c r="E1295" s="47"/>
      <c r="F1295" s="47"/>
      <c r="N1295" s="8"/>
      <c r="P1295" s="8"/>
    </row>
    <row r="1296">
      <c r="B1296" s="53"/>
      <c r="E1296" s="47"/>
      <c r="F1296" s="47"/>
      <c r="N1296" s="8"/>
      <c r="P1296" s="8"/>
    </row>
    <row r="1297">
      <c r="B1297" s="53"/>
      <c r="E1297" s="47"/>
      <c r="F1297" s="47"/>
      <c r="N1297" s="8"/>
      <c r="P1297" s="8"/>
    </row>
    <row r="1298">
      <c r="B1298" s="53"/>
      <c r="E1298" s="47"/>
      <c r="F1298" s="47"/>
      <c r="N1298" s="8"/>
      <c r="P1298" s="8"/>
    </row>
    <row r="1299">
      <c r="B1299" s="53"/>
      <c r="E1299" s="47"/>
      <c r="F1299" s="47"/>
      <c r="N1299" s="8"/>
      <c r="P1299" s="8"/>
    </row>
    <row r="1300">
      <c r="B1300" s="53"/>
      <c r="E1300" s="47"/>
      <c r="F1300" s="47"/>
      <c r="N1300" s="8"/>
      <c r="P1300" s="8"/>
    </row>
    <row r="1301">
      <c r="B1301" s="53"/>
      <c r="E1301" s="47"/>
      <c r="F1301" s="47"/>
      <c r="N1301" s="8"/>
      <c r="P1301" s="8"/>
    </row>
    <row r="1302">
      <c r="B1302" s="53"/>
      <c r="E1302" s="47"/>
      <c r="F1302" s="47"/>
      <c r="N1302" s="8"/>
      <c r="P1302" s="8"/>
    </row>
    <row r="1303">
      <c r="B1303" s="53"/>
      <c r="E1303" s="47"/>
      <c r="F1303" s="47"/>
      <c r="N1303" s="8"/>
      <c r="P1303" s="8"/>
    </row>
    <row r="1304">
      <c r="B1304" s="53"/>
      <c r="E1304" s="47"/>
      <c r="F1304" s="47"/>
      <c r="N1304" s="8"/>
      <c r="P1304" s="8"/>
    </row>
    <row r="1305">
      <c r="B1305" s="53"/>
      <c r="E1305" s="47"/>
      <c r="F1305" s="47"/>
      <c r="N1305" s="8"/>
      <c r="P1305" s="8"/>
    </row>
    <row r="1306">
      <c r="B1306" s="53"/>
      <c r="E1306" s="47"/>
      <c r="F1306" s="47"/>
      <c r="N1306" s="8"/>
      <c r="P1306" s="8"/>
    </row>
    <row r="1307">
      <c r="B1307" s="53"/>
      <c r="E1307" s="47"/>
      <c r="F1307" s="47"/>
      <c r="N1307" s="8"/>
      <c r="P1307" s="8"/>
    </row>
    <row r="1308">
      <c r="B1308" s="53"/>
      <c r="E1308" s="47"/>
      <c r="F1308" s="47"/>
      <c r="N1308" s="8"/>
      <c r="P1308" s="8"/>
    </row>
    <row r="1309">
      <c r="B1309" s="53"/>
      <c r="E1309" s="47"/>
      <c r="F1309" s="47"/>
      <c r="N1309" s="8"/>
      <c r="P1309" s="8"/>
    </row>
    <row r="1310">
      <c r="B1310" s="53"/>
      <c r="E1310" s="47"/>
      <c r="F1310" s="47"/>
      <c r="N1310" s="8"/>
      <c r="P1310" s="8"/>
    </row>
    <row r="1311">
      <c r="B1311" s="53"/>
      <c r="E1311" s="47"/>
      <c r="F1311" s="47"/>
      <c r="N1311" s="8"/>
      <c r="P1311" s="8"/>
    </row>
    <row r="1312">
      <c r="B1312" s="53"/>
      <c r="E1312" s="47"/>
      <c r="F1312" s="47"/>
      <c r="N1312" s="8"/>
      <c r="P1312" s="8"/>
    </row>
    <row r="1313">
      <c r="B1313" s="53"/>
      <c r="E1313" s="47"/>
      <c r="F1313" s="47"/>
      <c r="N1313" s="8"/>
      <c r="P1313" s="8"/>
    </row>
    <row r="1314">
      <c r="B1314" s="53"/>
      <c r="E1314" s="47"/>
      <c r="F1314" s="47"/>
      <c r="N1314" s="8"/>
      <c r="P1314" s="8"/>
    </row>
    <row r="1315">
      <c r="B1315" s="53"/>
      <c r="E1315" s="47"/>
      <c r="F1315" s="47"/>
      <c r="N1315" s="8"/>
      <c r="P1315" s="8"/>
    </row>
    <row r="1316">
      <c r="B1316" s="53"/>
      <c r="E1316" s="47"/>
      <c r="F1316" s="47"/>
      <c r="N1316" s="8"/>
      <c r="P1316" s="8"/>
    </row>
    <row r="1317">
      <c r="B1317" s="53"/>
      <c r="E1317" s="47"/>
      <c r="F1317" s="47"/>
      <c r="N1317" s="8"/>
      <c r="P1317" s="8"/>
    </row>
    <row r="1318">
      <c r="B1318" s="53"/>
      <c r="E1318" s="47"/>
      <c r="F1318" s="47"/>
      <c r="N1318" s="8"/>
      <c r="P1318" s="8"/>
    </row>
    <row r="1319">
      <c r="B1319" s="53"/>
      <c r="E1319" s="47"/>
      <c r="F1319" s="47"/>
      <c r="N1319" s="8"/>
      <c r="P1319" s="8"/>
    </row>
    <row r="1320">
      <c r="B1320" s="53"/>
      <c r="E1320" s="47"/>
      <c r="F1320" s="47"/>
      <c r="N1320" s="8"/>
      <c r="P1320" s="8"/>
    </row>
    <row r="1321">
      <c r="B1321" s="53"/>
      <c r="E1321" s="47"/>
      <c r="F1321" s="47"/>
      <c r="N1321" s="8"/>
      <c r="P1321" s="8"/>
    </row>
    <row r="1322">
      <c r="B1322" s="53"/>
      <c r="E1322" s="47"/>
      <c r="F1322" s="47"/>
      <c r="N1322" s="8"/>
      <c r="P1322" s="8"/>
    </row>
    <row r="1323">
      <c r="B1323" s="53"/>
      <c r="E1323" s="47"/>
      <c r="F1323" s="47"/>
      <c r="N1323" s="8"/>
      <c r="P1323" s="8"/>
    </row>
    <row r="1324">
      <c r="B1324" s="53"/>
      <c r="E1324" s="47"/>
      <c r="F1324" s="47"/>
      <c r="N1324" s="8"/>
      <c r="P1324" s="8"/>
    </row>
    <row r="1325">
      <c r="B1325" s="53"/>
      <c r="E1325" s="47"/>
      <c r="F1325" s="47"/>
      <c r="N1325" s="8"/>
      <c r="P1325" s="8"/>
    </row>
    <row r="1326">
      <c r="B1326" s="53"/>
      <c r="E1326" s="47"/>
      <c r="F1326" s="47"/>
      <c r="N1326" s="8"/>
      <c r="P1326" s="8"/>
    </row>
    <row r="1327">
      <c r="B1327" s="53"/>
      <c r="E1327" s="47"/>
      <c r="F1327" s="47"/>
      <c r="N1327" s="8"/>
      <c r="P1327" s="8"/>
    </row>
    <row r="1328">
      <c r="B1328" s="53"/>
      <c r="E1328" s="47"/>
      <c r="F1328" s="47"/>
      <c r="N1328" s="8"/>
      <c r="P1328" s="8"/>
    </row>
    <row r="1329">
      <c r="B1329" s="53"/>
      <c r="E1329" s="47"/>
      <c r="F1329" s="47"/>
      <c r="N1329" s="8"/>
      <c r="P1329" s="8"/>
    </row>
    <row r="1330">
      <c r="B1330" s="53"/>
      <c r="E1330" s="47"/>
      <c r="F1330" s="47"/>
      <c r="N1330" s="8"/>
      <c r="P1330" s="8"/>
    </row>
    <row r="1331">
      <c r="B1331" s="53"/>
      <c r="E1331" s="47"/>
      <c r="F1331" s="47"/>
      <c r="N1331" s="8"/>
      <c r="P1331" s="8"/>
    </row>
    <row r="1332">
      <c r="B1332" s="53"/>
      <c r="E1332" s="47"/>
      <c r="F1332" s="47"/>
      <c r="N1332" s="8"/>
      <c r="P1332" s="8"/>
    </row>
    <row r="1333">
      <c r="B1333" s="53"/>
      <c r="E1333" s="47"/>
      <c r="F1333" s="47"/>
      <c r="N1333" s="8"/>
      <c r="P1333" s="8"/>
    </row>
    <row r="1334">
      <c r="B1334" s="53"/>
      <c r="E1334" s="47"/>
      <c r="F1334" s="47"/>
      <c r="N1334" s="8"/>
      <c r="P1334" s="8"/>
    </row>
    <row r="1335">
      <c r="B1335" s="53"/>
      <c r="E1335" s="47"/>
      <c r="F1335" s="47"/>
      <c r="N1335" s="8"/>
      <c r="P1335" s="8"/>
    </row>
    <row r="1336">
      <c r="B1336" s="53"/>
      <c r="E1336" s="47"/>
      <c r="F1336" s="47"/>
      <c r="N1336" s="8"/>
      <c r="P1336" s="8"/>
    </row>
    <row r="1337">
      <c r="B1337" s="53"/>
      <c r="E1337" s="47"/>
      <c r="F1337" s="47"/>
      <c r="N1337" s="8"/>
      <c r="P1337" s="8"/>
    </row>
    <row r="1338">
      <c r="B1338" s="53"/>
      <c r="E1338" s="47"/>
      <c r="F1338" s="47"/>
      <c r="N1338" s="8"/>
      <c r="P1338" s="8"/>
    </row>
    <row r="1339">
      <c r="B1339" s="53"/>
      <c r="E1339" s="47"/>
      <c r="F1339" s="47"/>
      <c r="N1339" s="8"/>
      <c r="P1339" s="8"/>
    </row>
    <row r="1340">
      <c r="B1340" s="53"/>
      <c r="E1340" s="47"/>
      <c r="F1340" s="47"/>
      <c r="N1340" s="8"/>
      <c r="P1340" s="8"/>
    </row>
    <row r="1341">
      <c r="B1341" s="53"/>
      <c r="E1341" s="47"/>
      <c r="F1341" s="47"/>
      <c r="N1341" s="8"/>
      <c r="P1341" s="8"/>
    </row>
    <row r="1342">
      <c r="B1342" s="53"/>
      <c r="E1342" s="47"/>
      <c r="F1342" s="47"/>
      <c r="N1342" s="8"/>
      <c r="P1342" s="8"/>
    </row>
    <row r="1343">
      <c r="B1343" s="53"/>
      <c r="E1343" s="47"/>
      <c r="F1343" s="47"/>
      <c r="N1343" s="8"/>
      <c r="P1343" s="8"/>
    </row>
    <row r="1344">
      <c r="B1344" s="53"/>
      <c r="E1344" s="47"/>
      <c r="F1344" s="47"/>
      <c r="N1344" s="8"/>
      <c r="P1344" s="8"/>
    </row>
    <row r="1345">
      <c r="B1345" s="53"/>
      <c r="E1345" s="47"/>
      <c r="F1345" s="47"/>
      <c r="N1345" s="8"/>
      <c r="P1345" s="8"/>
    </row>
    <row r="1346">
      <c r="B1346" s="53"/>
      <c r="E1346" s="47"/>
      <c r="F1346" s="47"/>
      <c r="N1346" s="8"/>
      <c r="P1346" s="8"/>
    </row>
    <row r="1347">
      <c r="B1347" s="53"/>
      <c r="E1347" s="47"/>
      <c r="F1347" s="47"/>
      <c r="N1347" s="8"/>
      <c r="P1347" s="8"/>
    </row>
    <row r="1348">
      <c r="B1348" s="53"/>
      <c r="E1348" s="47"/>
      <c r="F1348" s="47"/>
      <c r="N1348" s="8"/>
      <c r="P1348" s="8"/>
    </row>
    <row r="1349">
      <c r="B1349" s="53"/>
      <c r="E1349" s="47"/>
      <c r="F1349" s="47"/>
      <c r="N1349" s="8"/>
      <c r="P1349" s="8"/>
    </row>
    <row r="1350">
      <c r="B1350" s="53"/>
      <c r="E1350" s="47"/>
      <c r="F1350" s="47"/>
      <c r="N1350" s="8"/>
      <c r="P1350" s="8"/>
    </row>
    <row r="1351">
      <c r="B1351" s="53"/>
      <c r="E1351" s="47"/>
      <c r="F1351" s="47"/>
      <c r="N1351" s="8"/>
      <c r="P1351" s="8"/>
    </row>
    <row r="1352">
      <c r="B1352" s="53"/>
      <c r="E1352" s="47"/>
      <c r="F1352" s="47"/>
      <c r="N1352" s="8"/>
      <c r="P1352" s="8"/>
    </row>
    <row r="1353">
      <c r="B1353" s="53"/>
      <c r="E1353" s="47"/>
      <c r="F1353" s="47"/>
      <c r="N1353" s="8"/>
      <c r="P1353" s="8"/>
    </row>
    <row r="1354">
      <c r="B1354" s="53"/>
      <c r="E1354" s="47"/>
      <c r="F1354" s="47"/>
      <c r="N1354" s="8"/>
      <c r="P1354" s="8"/>
    </row>
    <row r="1355">
      <c r="B1355" s="53"/>
      <c r="E1355" s="47"/>
      <c r="F1355" s="47"/>
      <c r="N1355" s="8"/>
      <c r="P1355" s="8"/>
    </row>
    <row r="1356">
      <c r="B1356" s="53"/>
      <c r="E1356" s="47"/>
      <c r="F1356" s="47"/>
      <c r="N1356" s="8"/>
      <c r="P1356" s="8"/>
    </row>
    <row r="1357">
      <c r="B1357" s="53"/>
      <c r="E1357" s="47"/>
      <c r="F1357" s="47"/>
      <c r="N1357" s="8"/>
      <c r="P1357" s="8"/>
    </row>
    <row r="1358">
      <c r="B1358" s="53"/>
      <c r="E1358" s="47"/>
      <c r="F1358" s="47"/>
      <c r="N1358" s="8"/>
      <c r="P1358" s="8"/>
    </row>
    <row r="1359">
      <c r="B1359" s="53"/>
      <c r="E1359" s="47"/>
      <c r="F1359" s="47"/>
      <c r="N1359" s="8"/>
      <c r="P1359" s="8"/>
    </row>
    <row r="1360">
      <c r="B1360" s="53"/>
      <c r="E1360" s="47"/>
      <c r="F1360" s="47"/>
      <c r="N1360" s="8"/>
      <c r="P1360" s="8"/>
    </row>
    <row r="1361">
      <c r="B1361" s="53"/>
      <c r="E1361" s="47"/>
      <c r="F1361" s="47"/>
      <c r="N1361" s="8"/>
      <c r="P1361" s="8"/>
    </row>
    <row r="1362">
      <c r="B1362" s="53"/>
      <c r="E1362" s="47"/>
      <c r="F1362" s="47"/>
      <c r="N1362" s="8"/>
      <c r="P1362" s="8"/>
    </row>
    <row r="1363">
      <c r="B1363" s="53"/>
      <c r="E1363" s="47"/>
      <c r="F1363" s="47"/>
      <c r="N1363" s="8"/>
      <c r="P1363" s="8"/>
    </row>
    <row r="1364">
      <c r="B1364" s="53"/>
      <c r="E1364" s="47"/>
      <c r="F1364" s="47"/>
      <c r="N1364" s="8"/>
      <c r="P1364" s="8"/>
    </row>
    <row r="1365">
      <c r="B1365" s="53"/>
      <c r="E1365" s="47"/>
      <c r="F1365" s="47"/>
      <c r="N1365" s="8"/>
      <c r="P1365" s="8"/>
    </row>
    <row r="1366">
      <c r="B1366" s="53"/>
      <c r="E1366" s="47"/>
      <c r="F1366" s="47"/>
      <c r="N1366" s="8"/>
      <c r="P1366" s="8"/>
    </row>
    <row r="1367">
      <c r="B1367" s="53"/>
      <c r="E1367" s="47"/>
      <c r="F1367" s="47"/>
      <c r="N1367" s="8"/>
      <c r="P1367" s="8"/>
    </row>
    <row r="1368">
      <c r="B1368" s="53"/>
      <c r="E1368" s="47"/>
      <c r="F1368" s="47"/>
      <c r="N1368" s="8"/>
      <c r="P1368" s="8"/>
    </row>
    <row r="1369">
      <c r="B1369" s="53"/>
      <c r="E1369" s="47"/>
      <c r="F1369" s="47"/>
      <c r="N1369" s="8"/>
      <c r="P1369" s="8"/>
    </row>
    <row r="1370">
      <c r="B1370" s="53"/>
      <c r="E1370" s="47"/>
      <c r="F1370" s="47"/>
      <c r="N1370" s="8"/>
      <c r="P1370" s="8"/>
    </row>
    <row r="1371">
      <c r="B1371" s="53"/>
      <c r="E1371" s="47"/>
      <c r="F1371" s="47"/>
      <c r="N1371" s="8"/>
      <c r="P1371" s="8"/>
    </row>
    <row r="1372">
      <c r="B1372" s="53"/>
      <c r="E1372" s="47"/>
      <c r="F1372" s="47"/>
      <c r="N1372" s="8"/>
      <c r="P1372" s="8"/>
    </row>
    <row r="1373">
      <c r="B1373" s="53"/>
      <c r="E1373" s="47"/>
      <c r="F1373" s="47"/>
      <c r="N1373" s="8"/>
      <c r="P1373" s="8"/>
    </row>
    <row r="1374">
      <c r="B1374" s="53"/>
      <c r="E1374" s="47"/>
      <c r="F1374" s="47"/>
      <c r="N1374" s="8"/>
      <c r="P1374" s="8"/>
    </row>
    <row r="1375">
      <c r="B1375" s="53"/>
      <c r="E1375" s="47"/>
      <c r="F1375" s="47"/>
      <c r="N1375" s="8"/>
      <c r="P1375" s="8"/>
    </row>
    <row r="1376">
      <c r="B1376" s="53"/>
      <c r="E1376" s="47"/>
      <c r="F1376" s="47"/>
      <c r="N1376" s="8"/>
      <c r="P1376" s="8"/>
    </row>
    <row r="1377">
      <c r="B1377" s="53"/>
      <c r="E1377" s="47"/>
      <c r="F1377" s="47"/>
      <c r="N1377" s="8"/>
      <c r="P1377" s="8"/>
    </row>
    <row r="1378">
      <c r="B1378" s="53"/>
      <c r="E1378" s="47"/>
      <c r="F1378" s="47"/>
      <c r="N1378" s="8"/>
      <c r="P1378" s="8"/>
    </row>
    <row r="1379">
      <c r="B1379" s="53"/>
      <c r="E1379" s="47"/>
      <c r="F1379" s="47"/>
      <c r="N1379" s="8"/>
      <c r="P1379" s="8"/>
    </row>
    <row r="1380">
      <c r="B1380" s="53"/>
      <c r="E1380" s="47"/>
      <c r="F1380" s="47"/>
      <c r="N1380" s="8"/>
      <c r="P1380" s="8"/>
    </row>
    <row r="1381">
      <c r="B1381" s="53"/>
      <c r="E1381" s="47"/>
      <c r="F1381" s="47"/>
      <c r="N1381" s="8"/>
      <c r="P1381" s="8"/>
    </row>
    <row r="1382">
      <c r="B1382" s="53"/>
      <c r="E1382" s="47"/>
      <c r="F1382" s="47"/>
      <c r="N1382" s="8"/>
      <c r="P1382" s="8"/>
    </row>
    <row r="1383">
      <c r="B1383" s="53"/>
      <c r="E1383" s="47"/>
      <c r="F1383" s="47"/>
      <c r="N1383" s="8"/>
      <c r="P1383" s="8"/>
    </row>
    <row r="1384">
      <c r="B1384" s="53"/>
      <c r="E1384" s="47"/>
      <c r="F1384" s="47"/>
      <c r="N1384" s="8"/>
      <c r="P1384" s="8"/>
    </row>
    <row r="1385">
      <c r="B1385" s="53"/>
      <c r="E1385" s="47"/>
      <c r="F1385" s="47"/>
      <c r="N1385" s="8"/>
      <c r="P1385" s="8"/>
    </row>
    <row r="1386">
      <c r="B1386" s="53"/>
      <c r="E1386" s="47"/>
      <c r="F1386" s="47"/>
      <c r="N1386" s="8"/>
      <c r="P1386" s="8"/>
    </row>
    <row r="1387">
      <c r="B1387" s="53"/>
      <c r="E1387" s="47"/>
      <c r="F1387" s="47"/>
      <c r="N1387" s="8"/>
      <c r="P1387" s="8"/>
    </row>
    <row r="1388">
      <c r="B1388" s="53"/>
      <c r="E1388" s="47"/>
      <c r="F1388" s="47"/>
      <c r="N1388" s="8"/>
      <c r="P1388" s="8"/>
    </row>
    <row r="1389">
      <c r="B1389" s="53"/>
      <c r="E1389" s="47"/>
      <c r="F1389" s="47"/>
      <c r="N1389" s="8"/>
      <c r="P1389" s="8"/>
    </row>
    <row r="1390">
      <c r="B1390" s="53"/>
      <c r="E1390" s="47"/>
      <c r="F1390" s="47"/>
      <c r="N1390" s="8"/>
      <c r="P1390" s="8"/>
    </row>
    <row r="1391">
      <c r="B1391" s="53"/>
      <c r="E1391" s="47"/>
      <c r="F1391" s="47"/>
      <c r="N1391" s="8"/>
      <c r="P1391" s="8"/>
    </row>
    <row r="1392">
      <c r="B1392" s="53"/>
      <c r="E1392" s="47"/>
      <c r="F1392" s="47"/>
      <c r="N1392" s="8"/>
      <c r="P1392" s="8"/>
    </row>
    <row r="1393">
      <c r="B1393" s="53"/>
      <c r="E1393" s="47"/>
      <c r="F1393" s="47"/>
      <c r="N1393" s="8"/>
      <c r="P1393" s="8"/>
    </row>
    <row r="1394">
      <c r="B1394" s="53"/>
      <c r="E1394" s="47"/>
      <c r="F1394" s="47"/>
      <c r="N1394" s="8"/>
      <c r="P1394" s="8"/>
    </row>
    <row r="1395">
      <c r="B1395" s="53"/>
      <c r="E1395" s="47"/>
      <c r="F1395" s="47"/>
      <c r="N1395" s="8"/>
      <c r="P1395" s="8"/>
    </row>
    <row r="1396">
      <c r="B1396" s="53"/>
      <c r="E1396" s="47"/>
      <c r="F1396" s="47"/>
      <c r="N1396" s="8"/>
      <c r="P1396" s="8"/>
    </row>
    <row r="1397">
      <c r="B1397" s="53"/>
      <c r="E1397" s="47"/>
      <c r="F1397" s="47"/>
      <c r="N1397" s="8"/>
      <c r="P1397" s="8"/>
    </row>
    <row r="1398">
      <c r="B1398" s="53"/>
      <c r="E1398" s="47"/>
      <c r="F1398" s="47"/>
      <c r="N1398" s="8"/>
      <c r="P1398" s="8"/>
    </row>
    <row r="1399">
      <c r="B1399" s="53"/>
      <c r="E1399" s="47"/>
      <c r="F1399" s="47"/>
      <c r="N1399" s="8"/>
      <c r="P1399" s="8"/>
    </row>
    <row r="1400">
      <c r="B1400" s="53"/>
      <c r="E1400" s="47"/>
      <c r="F1400" s="47"/>
      <c r="N1400" s="8"/>
      <c r="P1400" s="8"/>
    </row>
    <row r="1401">
      <c r="B1401" s="53"/>
      <c r="E1401" s="47"/>
      <c r="F1401" s="47"/>
      <c r="N1401" s="8"/>
      <c r="P1401" s="8"/>
    </row>
    <row r="1402">
      <c r="B1402" s="53"/>
      <c r="E1402" s="47"/>
      <c r="F1402" s="47"/>
      <c r="N1402" s="8"/>
      <c r="P1402" s="8"/>
    </row>
    <row r="1403">
      <c r="B1403" s="53"/>
      <c r="E1403" s="47"/>
      <c r="F1403" s="47"/>
      <c r="N1403" s="8"/>
      <c r="P1403" s="8"/>
    </row>
    <row r="1404">
      <c r="B1404" s="53"/>
      <c r="E1404" s="47"/>
      <c r="F1404" s="47"/>
      <c r="N1404" s="8"/>
      <c r="P1404" s="8"/>
    </row>
    <row r="1405">
      <c r="B1405" s="53"/>
      <c r="E1405" s="47"/>
      <c r="F1405" s="47"/>
      <c r="N1405" s="8"/>
      <c r="P1405" s="8"/>
    </row>
    <row r="1406">
      <c r="B1406" s="53"/>
      <c r="E1406" s="47"/>
      <c r="F1406" s="47"/>
      <c r="N1406" s="8"/>
      <c r="P1406" s="8"/>
    </row>
    <row r="1407">
      <c r="B1407" s="53"/>
      <c r="E1407" s="47"/>
      <c r="F1407" s="47"/>
      <c r="N1407" s="8"/>
      <c r="P1407" s="8"/>
    </row>
    <row r="1408">
      <c r="B1408" s="53"/>
      <c r="E1408" s="47"/>
      <c r="F1408" s="47"/>
      <c r="N1408" s="8"/>
      <c r="P1408" s="8"/>
    </row>
    <row r="1409">
      <c r="B1409" s="53"/>
      <c r="E1409" s="47"/>
      <c r="F1409" s="47"/>
      <c r="N1409" s="8"/>
      <c r="P1409" s="8"/>
    </row>
    <row r="1410">
      <c r="B1410" s="53"/>
      <c r="E1410" s="47"/>
      <c r="F1410" s="47"/>
      <c r="N1410" s="8"/>
      <c r="P1410" s="8"/>
    </row>
    <row r="1411">
      <c r="B1411" s="53"/>
      <c r="E1411" s="47"/>
      <c r="F1411" s="47"/>
      <c r="N1411" s="8"/>
      <c r="P1411" s="8"/>
    </row>
    <row r="1412">
      <c r="B1412" s="53"/>
      <c r="E1412" s="47"/>
      <c r="F1412" s="47"/>
      <c r="N1412" s="8"/>
      <c r="P1412" s="8"/>
    </row>
    <row r="1413">
      <c r="B1413" s="53"/>
      <c r="E1413" s="47"/>
      <c r="F1413" s="47"/>
      <c r="N1413" s="8"/>
      <c r="P1413" s="8"/>
    </row>
    <row r="1414">
      <c r="B1414" s="53"/>
      <c r="E1414" s="47"/>
      <c r="F1414" s="47"/>
      <c r="N1414" s="8"/>
      <c r="P1414" s="8"/>
    </row>
    <row r="1415">
      <c r="B1415" s="53"/>
      <c r="E1415" s="47"/>
      <c r="F1415" s="47"/>
      <c r="N1415" s="8"/>
      <c r="P1415" s="8"/>
    </row>
    <row r="1416">
      <c r="B1416" s="53"/>
      <c r="E1416" s="47"/>
      <c r="F1416" s="47"/>
      <c r="N1416" s="8"/>
      <c r="P1416" s="8"/>
    </row>
    <row r="1417">
      <c r="B1417" s="53"/>
      <c r="E1417" s="47"/>
      <c r="F1417" s="47"/>
      <c r="N1417" s="8"/>
      <c r="P1417" s="8"/>
    </row>
    <row r="1418">
      <c r="B1418" s="53"/>
      <c r="E1418" s="47"/>
      <c r="F1418" s="47"/>
      <c r="N1418" s="8"/>
      <c r="P1418" s="8"/>
    </row>
    <row r="1419">
      <c r="B1419" s="53"/>
      <c r="E1419" s="47"/>
      <c r="F1419" s="47"/>
      <c r="N1419" s="8"/>
      <c r="P1419" s="8"/>
    </row>
    <row r="1420">
      <c r="B1420" s="53"/>
      <c r="E1420" s="47"/>
      <c r="F1420" s="47"/>
      <c r="N1420" s="8"/>
      <c r="P1420" s="8"/>
    </row>
    <row r="1421">
      <c r="B1421" s="53"/>
      <c r="E1421" s="47"/>
      <c r="F1421" s="47"/>
      <c r="N1421" s="8"/>
      <c r="P1421" s="8"/>
    </row>
    <row r="1422">
      <c r="B1422" s="53"/>
      <c r="E1422" s="47"/>
      <c r="F1422" s="47"/>
      <c r="N1422" s="8"/>
      <c r="P1422" s="8"/>
    </row>
    <row r="1423">
      <c r="B1423" s="53"/>
      <c r="E1423" s="47"/>
      <c r="F1423" s="47"/>
      <c r="N1423" s="8"/>
      <c r="P1423" s="8"/>
    </row>
    <row r="1424">
      <c r="B1424" s="53"/>
      <c r="E1424" s="47"/>
      <c r="F1424" s="47"/>
      <c r="N1424" s="8"/>
      <c r="P1424" s="8"/>
    </row>
    <row r="1425">
      <c r="B1425" s="53"/>
      <c r="E1425" s="47"/>
      <c r="F1425" s="47"/>
      <c r="N1425" s="8"/>
      <c r="P1425" s="8"/>
    </row>
    <row r="1426">
      <c r="B1426" s="53"/>
      <c r="E1426" s="47"/>
      <c r="F1426" s="47"/>
      <c r="N1426" s="8"/>
      <c r="P1426" s="8"/>
    </row>
    <row r="1427">
      <c r="B1427" s="53"/>
      <c r="E1427" s="47"/>
      <c r="F1427" s="47"/>
      <c r="N1427" s="8"/>
      <c r="P1427" s="8"/>
    </row>
    <row r="1428">
      <c r="B1428" s="53"/>
      <c r="E1428" s="47"/>
      <c r="F1428" s="47"/>
      <c r="N1428" s="8"/>
      <c r="P1428" s="8"/>
    </row>
    <row r="1429">
      <c r="B1429" s="53"/>
      <c r="E1429" s="47"/>
      <c r="F1429" s="47"/>
      <c r="N1429" s="8"/>
      <c r="P1429" s="8"/>
    </row>
    <row r="1430">
      <c r="B1430" s="53"/>
      <c r="E1430" s="47"/>
      <c r="F1430" s="47"/>
      <c r="N1430" s="8"/>
      <c r="P1430" s="8"/>
    </row>
    <row r="1431">
      <c r="B1431" s="53"/>
      <c r="E1431" s="47"/>
      <c r="F1431" s="47"/>
      <c r="N1431" s="8"/>
      <c r="P1431" s="8"/>
    </row>
    <row r="1432">
      <c r="B1432" s="53"/>
      <c r="E1432" s="47"/>
      <c r="F1432" s="47"/>
      <c r="N1432" s="8"/>
      <c r="P1432" s="8"/>
    </row>
    <row r="1433">
      <c r="B1433" s="53"/>
      <c r="E1433" s="47"/>
      <c r="F1433" s="47"/>
      <c r="N1433" s="8"/>
      <c r="P1433" s="8"/>
    </row>
    <row r="1434">
      <c r="B1434" s="53"/>
      <c r="E1434" s="47"/>
      <c r="F1434" s="47"/>
      <c r="N1434" s="8"/>
      <c r="P1434" s="8"/>
    </row>
    <row r="1435">
      <c r="B1435" s="53"/>
      <c r="E1435" s="47"/>
      <c r="F1435" s="47"/>
      <c r="N1435" s="8"/>
      <c r="P1435" s="8"/>
    </row>
    <row r="1436">
      <c r="B1436" s="53"/>
      <c r="E1436" s="47"/>
      <c r="F1436" s="47"/>
      <c r="N1436" s="8"/>
      <c r="P1436" s="8"/>
    </row>
    <row r="1437">
      <c r="B1437" s="53"/>
      <c r="E1437" s="47"/>
      <c r="F1437" s="47"/>
      <c r="N1437" s="8"/>
      <c r="P1437" s="8"/>
    </row>
    <row r="1438">
      <c r="B1438" s="53"/>
      <c r="E1438" s="47"/>
      <c r="F1438" s="47"/>
      <c r="N1438" s="8"/>
      <c r="P1438" s="8"/>
    </row>
    <row r="1439">
      <c r="B1439" s="53"/>
      <c r="E1439" s="47"/>
      <c r="F1439" s="47"/>
      <c r="N1439" s="8"/>
      <c r="P1439" s="8"/>
    </row>
    <row r="1440">
      <c r="B1440" s="53"/>
      <c r="E1440" s="47"/>
      <c r="F1440" s="47"/>
      <c r="N1440" s="8"/>
      <c r="P1440" s="8"/>
    </row>
    <row r="1441">
      <c r="B1441" s="53"/>
      <c r="E1441" s="47"/>
      <c r="F1441" s="47"/>
      <c r="N1441" s="8"/>
      <c r="P1441" s="8"/>
    </row>
    <row r="1442">
      <c r="B1442" s="53"/>
      <c r="E1442" s="47"/>
      <c r="F1442" s="47"/>
      <c r="N1442" s="8"/>
      <c r="P1442" s="8"/>
    </row>
    <row r="1443">
      <c r="B1443" s="53"/>
      <c r="E1443" s="47"/>
      <c r="F1443" s="47"/>
      <c r="N1443" s="8"/>
      <c r="P1443" s="8"/>
    </row>
    <row r="1444">
      <c r="B1444" s="53"/>
      <c r="E1444" s="47"/>
      <c r="F1444" s="47"/>
      <c r="N1444" s="8"/>
      <c r="P1444" s="8"/>
    </row>
    <row r="1445">
      <c r="B1445" s="53"/>
      <c r="E1445" s="47"/>
      <c r="F1445" s="47"/>
      <c r="N1445" s="8"/>
      <c r="P1445" s="8"/>
    </row>
    <row r="1446">
      <c r="B1446" s="53"/>
      <c r="E1446" s="47"/>
      <c r="F1446" s="47"/>
      <c r="N1446" s="8"/>
      <c r="P1446" s="8"/>
    </row>
    <row r="1447">
      <c r="B1447" s="53"/>
      <c r="E1447" s="47"/>
      <c r="F1447" s="47"/>
      <c r="N1447" s="8"/>
      <c r="P1447" s="8"/>
    </row>
    <row r="1448">
      <c r="B1448" s="53"/>
      <c r="E1448" s="47"/>
      <c r="F1448" s="47"/>
      <c r="N1448" s="8"/>
      <c r="P1448" s="8"/>
    </row>
    <row r="1449">
      <c r="B1449" s="53"/>
      <c r="E1449" s="47"/>
      <c r="F1449" s="47"/>
      <c r="N1449" s="8"/>
      <c r="P1449" s="8"/>
    </row>
    <row r="1450">
      <c r="B1450" s="53"/>
      <c r="E1450" s="47"/>
      <c r="F1450" s="47"/>
      <c r="N1450" s="8"/>
      <c r="P1450" s="8"/>
    </row>
    <row r="1451">
      <c r="B1451" s="53"/>
      <c r="E1451" s="47"/>
      <c r="F1451" s="47"/>
      <c r="N1451" s="8"/>
      <c r="P1451" s="8"/>
    </row>
    <row r="1452">
      <c r="B1452" s="53"/>
      <c r="E1452" s="47"/>
      <c r="F1452" s="47"/>
      <c r="N1452" s="8"/>
      <c r="P1452" s="8"/>
    </row>
    <row r="1453">
      <c r="B1453" s="53"/>
      <c r="E1453" s="47"/>
      <c r="F1453" s="47"/>
      <c r="N1453" s="8"/>
      <c r="P1453" s="8"/>
    </row>
    <row r="1454">
      <c r="B1454" s="53"/>
      <c r="E1454" s="47"/>
      <c r="F1454" s="47"/>
      <c r="N1454" s="8"/>
      <c r="P1454" s="8"/>
    </row>
    <row r="1455">
      <c r="B1455" s="53"/>
      <c r="E1455" s="47"/>
      <c r="F1455" s="47"/>
      <c r="N1455" s="8"/>
      <c r="P1455" s="8"/>
    </row>
    <row r="1456">
      <c r="B1456" s="53"/>
      <c r="E1456" s="47"/>
      <c r="F1456" s="47"/>
      <c r="N1456" s="8"/>
      <c r="P1456" s="8"/>
    </row>
    <row r="1457">
      <c r="B1457" s="53"/>
      <c r="E1457" s="47"/>
      <c r="F1457" s="47"/>
      <c r="N1457" s="8"/>
      <c r="P1457" s="8"/>
    </row>
    <row r="1458">
      <c r="B1458" s="53"/>
      <c r="E1458" s="47"/>
      <c r="F1458" s="47"/>
      <c r="N1458" s="8"/>
      <c r="P1458" s="8"/>
    </row>
    <row r="1459">
      <c r="B1459" s="53"/>
      <c r="E1459" s="47"/>
      <c r="F1459" s="47"/>
      <c r="N1459" s="8"/>
      <c r="P1459" s="8"/>
    </row>
    <row r="1460">
      <c r="B1460" s="53"/>
      <c r="E1460" s="47"/>
      <c r="F1460" s="47"/>
      <c r="N1460" s="8"/>
      <c r="P1460" s="8"/>
    </row>
    <row r="1461">
      <c r="B1461" s="53"/>
      <c r="E1461" s="47"/>
      <c r="F1461" s="47"/>
      <c r="N1461" s="8"/>
      <c r="P1461" s="8"/>
    </row>
    <row r="1462">
      <c r="B1462" s="53"/>
      <c r="E1462" s="47"/>
      <c r="F1462" s="47"/>
      <c r="N1462" s="8"/>
      <c r="P1462" s="8"/>
    </row>
    <row r="1463">
      <c r="B1463" s="53"/>
      <c r="E1463" s="47"/>
      <c r="F1463" s="47"/>
      <c r="N1463" s="8"/>
      <c r="P1463" s="8"/>
    </row>
    <row r="1464">
      <c r="B1464" s="53"/>
      <c r="E1464" s="47"/>
      <c r="F1464" s="47"/>
      <c r="N1464" s="8"/>
      <c r="P1464" s="8"/>
    </row>
    <row r="1465">
      <c r="B1465" s="53"/>
      <c r="E1465" s="47"/>
      <c r="F1465" s="47"/>
      <c r="N1465" s="8"/>
      <c r="P1465" s="8"/>
    </row>
    <row r="1466">
      <c r="B1466" s="53"/>
      <c r="E1466" s="47"/>
      <c r="F1466" s="47"/>
      <c r="N1466" s="8"/>
      <c r="P1466" s="8"/>
    </row>
    <row r="1467">
      <c r="B1467" s="53"/>
      <c r="E1467" s="47"/>
      <c r="F1467" s="47"/>
      <c r="N1467" s="8"/>
      <c r="P1467" s="8"/>
    </row>
    <row r="1468">
      <c r="B1468" s="53"/>
      <c r="E1468" s="47"/>
      <c r="F1468" s="47"/>
      <c r="N1468" s="8"/>
      <c r="P1468" s="8"/>
    </row>
    <row r="1469">
      <c r="B1469" s="53"/>
      <c r="E1469" s="47"/>
      <c r="F1469" s="47"/>
      <c r="N1469" s="8"/>
      <c r="P1469" s="8"/>
    </row>
    <row r="1470">
      <c r="B1470" s="53"/>
      <c r="E1470" s="47"/>
      <c r="F1470" s="47"/>
      <c r="N1470" s="8"/>
      <c r="P1470" s="8"/>
    </row>
    <row r="1471">
      <c r="B1471" s="53"/>
      <c r="E1471" s="47"/>
      <c r="F1471" s="47"/>
      <c r="N1471" s="8"/>
      <c r="P1471" s="8"/>
    </row>
    <row r="1472">
      <c r="B1472" s="53"/>
      <c r="E1472" s="47"/>
      <c r="F1472" s="47"/>
      <c r="N1472" s="8"/>
      <c r="P1472" s="8"/>
    </row>
    <row r="1473">
      <c r="B1473" s="53"/>
      <c r="E1473" s="47"/>
      <c r="F1473" s="47"/>
      <c r="N1473" s="8"/>
      <c r="P1473" s="8"/>
    </row>
    <row r="1474">
      <c r="B1474" s="53"/>
      <c r="E1474" s="47"/>
      <c r="F1474" s="47"/>
      <c r="N1474" s="8"/>
      <c r="P1474" s="8"/>
    </row>
    <row r="1475">
      <c r="B1475" s="53"/>
      <c r="E1475" s="47"/>
      <c r="F1475" s="47"/>
      <c r="N1475" s="8"/>
      <c r="P1475" s="8"/>
    </row>
    <row r="1476">
      <c r="B1476" s="53"/>
      <c r="E1476" s="47"/>
      <c r="F1476" s="47"/>
      <c r="N1476" s="8"/>
      <c r="P1476" s="8"/>
    </row>
    <row r="1477">
      <c r="B1477" s="53"/>
      <c r="E1477" s="47"/>
      <c r="F1477" s="47"/>
      <c r="N1477" s="8"/>
      <c r="P1477" s="8"/>
    </row>
    <row r="1478">
      <c r="B1478" s="53"/>
      <c r="E1478" s="47"/>
      <c r="F1478" s="47"/>
      <c r="N1478" s="8"/>
      <c r="P1478" s="8"/>
    </row>
    <row r="1479">
      <c r="B1479" s="53"/>
      <c r="E1479" s="47"/>
      <c r="F1479" s="47"/>
      <c r="N1479" s="8"/>
      <c r="P1479" s="8"/>
    </row>
    <row r="1480">
      <c r="B1480" s="53"/>
      <c r="E1480" s="47"/>
      <c r="F1480" s="47"/>
      <c r="N1480" s="8"/>
      <c r="P1480" s="8"/>
    </row>
    <row r="1481">
      <c r="B1481" s="53"/>
      <c r="E1481" s="47"/>
      <c r="F1481" s="47"/>
      <c r="N1481" s="8"/>
      <c r="P1481" s="8"/>
    </row>
    <row r="1482">
      <c r="B1482" s="53"/>
      <c r="E1482" s="47"/>
      <c r="F1482" s="47"/>
      <c r="N1482" s="8"/>
      <c r="P1482" s="8"/>
    </row>
    <row r="1483">
      <c r="B1483" s="53"/>
      <c r="E1483" s="47"/>
      <c r="F1483" s="47"/>
      <c r="N1483" s="8"/>
      <c r="P1483" s="8"/>
    </row>
    <row r="1484">
      <c r="B1484" s="53"/>
      <c r="E1484" s="47"/>
      <c r="F1484" s="47"/>
      <c r="N1484" s="8"/>
      <c r="P1484" s="8"/>
    </row>
    <row r="1485">
      <c r="B1485" s="53"/>
      <c r="E1485" s="47"/>
      <c r="F1485" s="47"/>
      <c r="N1485" s="8"/>
      <c r="P1485" s="8"/>
    </row>
    <row r="1486">
      <c r="B1486" s="53"/>
      <c r="E1486" s="47"/>
      <c r="F1486" s="47"/>
      <c r="N1486" s="8"/>
      <c r="P1486" s="8"/>
    </row>
    <row r="1487">
      <c r="B1487" s="53"/>
      <c r="E1487" s="47"/>
      <c r="F1487" s="47"/>
      <c r="N1487" s="8"/>
      <c r="P1487" s="8"/>
    </row>
    <row r="1488">
      <c r="B1488" s="53"/>
      <c r="E1488" s="47"/>
      <c r="F1488" s="47"/>
      <c r="N1488" s="8"/>
      <c r="P1488" s="8"/>
    </row>
    <row r="1489">
      <c r="B1489" s="53"/>
      <c r="E1489" s="47"/>
      <c r="F1489" s="47"/>
      <c r="N1489" s="8"/>
      <c r="P1489" s="8"/>
    </row>
    <row r="1490">
      <c r="B1490" s="53"/>
      <c r="E1490" s="47"/>
      <c r="F1490" s="47"/>
      <c r="N1490" s="8"/>
      <c r="P1490" s="8"/>
    </row>
    <row r="1491">
      <c r="B1491" s="53"/>
      <c r="E1491" s="47"/>
      <c r="F1491" s="47"/>
      <c r="N1491" s="8"/>
      <c r="P1491" s="8"/>
    </row>
    <row r="1492">
      <c r="B1492" s="53"/>
      <c r="E1492" s="47"/>
      <c r="F1492" s="47"/>
      <c r="N1492" s="8"/>
      <c r="P1492" s="8"/>
    </row>
    <row r="1493">
      <c r="B1493" s="53"/>
      <c r="E1493" s="47"/>
      <c r="F1493" s="47"/>
      <c r="N1493" s="8"/>
      <c r="P1493" s="8"/>
    </row>
    <row r="1494">
      <c r="B1494" s="53"/>
      <c r="E1494" s="47"/>
      <c r="F1494" s="47"/>
      <c r="N1494" s="8"/>
      <c r="P1494" s="8"/>
    </row>
    <row r="1495">
      <c r="B1495" s="53"/>
      <c r="E1495" s="47"/>
      <c r="F1495" s="47"/>
      <c r="N1495" s="8"/>
      <c r="P1495" s="8"/>
    </row>
    <row r="1496">
      <c r="B1496" s="53"/>
      <c r="E1496" s="47"/>
      <c r="F1496" s="47"/>
      <c r="N1496" s="8"/>
      <c r="P1496" s="8"/>
    </row>
    <row r="1497">
      <c r="B1497" s="53"/>
      <c r="E1497" s="47"/>
      <c r="F1497" s="47"/>
      <c r="N1497" s="8"/>
      <c r="P1497" s="8"/>
    </row>
    <row r="1498">
      <c r="B1498" s="53"/>
      <c r="E1498" s="47"/>
      <c r="F1498" s="47"/>
      <c r="N1498" s="8"/>
      <c r="P1498" s="8"/>
    </row>
    <row r="1499">
      <c r="B1499" s="53"/>
      <c r="E1499" s="47"/>
      <c r="F1499" s="47"/>
      <c r="N1499" s="8"/>
      <c r="P1499" s="8"/>
    </row>
    <row r="1500">
      <c r="B1500" s="53"/>
      <c r="E1500" s="47"/>
      <c r="F1500" s="47"/>
      <c r="N1500" s="8"/>
      <c r="P1500" s="8"/>
    </row>
    <row r="1501">
      <c r="B1501" s="53"/>
      <c r="E1501" s="47"/>
      <c r="F1501" s="47"/>
      <c r="N1501" s="8"/>
      <c r="P1501" s="8"/>
    </row>
    <row r="1502">
      <c r="B1502" s="53"/>
      <c r="E1502" s="47"/>
      <c r="F1502" s="47"/>
      <c r="N1502" s="8"/>
      <c r="P1502" s="8"/>
    </row>
    <row r="1503">
      <c r="B1503" s="53"/>
      <c r="E1503" s="47"/>
      <c r="F1503" s="47"/>
      <c r="N1503" s="8"/>
      <c r="P1503" s="8"/>
    </row>
    <row r="1504">
      <c r="B1504" s="53"/>
      <c r="E1504" s="47"/>
      <c r="F1504" s="47"/>
      <c r="N1504" s="8"/>
      <c r="P1504" s="8"/>
    </row>
    <row r="1505">
      <c r="B1505" s="53"/>
      <c r="E1505" s="47"/>
      <c r="F1505" s="47"/>
      <c r="N1505" s="8"/>
      <c r="P1505" s="8"/>
    </row>
    <row r="1506">
      <c r="B1506" s="53"/>
      <c r="E1506" s="47"/>
      <c r="F1506" s="47"/>
      <c r="N1506" s="8"/>
      <c r="P1506" s="8"/>
    </row>
    <row r="1507">
      <c r="B1507" s="53"/>
      <c r="E1507" s="47"/>
      <c r="F1507" s="47"/>
      <c r="N1507" s="8"/>
      <c r="P1507" s="8"/>
    </row>
    <row r="1508">
      <c r="B1508" s="53"/>
      <c r="E1508" s="47"/>
      <c r="F1508" s="47"/>
      <c r="N1508" s="8"/>
      <c r="P1508" s="8"/>
    </row>
    <row r="1509">
      <c r="B1509" s="53"/>
      <c r="E1509" s="47"/>
      <c r="F1509" s="47"/>
      <c r="N1509" s="8"/>
      <c r="P1509" s="8"/>
    </row>
    <row r="1510">
      <c r="B1510" s="53"/>
      <c r="E1510" s="47"/>
      <c r="F1510" s="47"/>
      <c r="N1510" s="8"/>
      <c r="P1510" s="8"/>
    </row>
    <row r="1511">
      <c r="B1511" s="53"/>
      <c r="E1511" s="47"/>
      <c r="F1511" s="47"/>
      <c r="N1511" s="8"/>
      <c r="P1511" s="8"/>
    </row>
    <row r="1512">
      <c r="B1512" s="53"/>
      <c r="E1512" s="47"/>
      <c r="F1512" s="47"/>
      <c r="N1512" s="8"/>
      <c r="P1512" s="8"/>
    </row>
    <row r="1513">
      <c r="B1513" s="53"/>
      <c r="E1513" s="47"/>
      <c r="F1513" s="47"/>
      <c r="N1513" s="8"/>
      <c r="P1513" s="8"/>
    </row>
    <row r="1514">
      <c r="B1514" s="53"/>
      <c r="E1514" s="47"/>
      <c r="F1514" s="47"/>
      <c r="N1514" s="8"/>
      <c r="P1514" s="8"/>
    </row>
    <row r="1515">
      <c r="B1515" s="53"/>
      <c r="E1515" s="47"/>
      <c r="F1515" s="47"/>
      <c r="N1515" s="8"/>
      <c r="P1515" s="8"/>
    </row>
    <row r="1516">
      <c r="B1516" s="53"/>
      <c r="E1516" s="47"/>
      <c r="F1516" s="47"/>
      <c r="N1516" s="8"/>
      <c r="P1516" s="8"/>
    </row>
    <row r="1517">
      <c r="B1517" s="53"/>
      <c r="E1517" s="47"/>
      <c r="F1517" s="47"/>
      <c r="N1517" s="8"/>
      <c r="P1517" s="8"/>
    </row>
    <row r="1518">
      <c r="B1518" s="53"/>
      <c r="E1518" s="47"/>
      <c r="F1518" s="47"/>
      <c r="N1518" s="8"/>
      <c r="P1518" s="8"/>
    </row>
    <row r="1519">
      <c r="B1519" s="53"/>
      <c r="E1519" s="47"/>
      <c r="F1519" s="47"/>
      <c r="N1519" s="8"/>
      <c r="P1519" s="8"/>
    </row>
    <row r="1520">
      <c r="B1520" s="53"/>
      <c r="E1520" s="47"/>
      <c r="F1520" s="47"/>
      <c r="N1520" s="8"/>
      <c r="P1520" s="8"/>
    </row>
    <row r="1521">
      <c r="B1521" s="53"/>
      <c r="E1521" s="47"/>
      <c r="F1521" s="47"/>
      <c r="N1521" s="8"/>
      <c r="P1521" s="8"/>
    </row>
    <row r="1522">
      <c r="B1522" s="53"/>
      <c r="E1522" s="47"/>
      <c r="F1522" s="47"/>
      <c r="N1522" s="8"/>
      <c r="P1522" s="8"/>
    </row>
    <row r="1523">
      <c r="B1523" s="53"/>
      <c r="E1523" s="47"/>
      <c r="F1523" s="47"/>
      <c r="N1523" s="8"/>
      <c r="P1523" s="8"/>
    </row>
    <row r="1524">
      <c r="B1524" s="53"/>
      <c r="E1524" s="47"/>
      <c r="F1524" s="47"/>
      <c r="N1524" s="8"/>
      <c r="P1524" s="8"/>
    </row>
    <row r="1525">
      <c r="B1525" s="53"/>
      <c r="E1525" s="47"/>
      <c r="F1525" s="47"/>
      <c r="N1525" s="8"/>
      <c r="P1525" s="8"/>
    </row>
    <row r="1526">
      <c r="B1526" s="53"/>
      <c r="E1526" s="47"/>
      <c r="F1526" s="47"/>
      <c r="N1526" s="8"/>
      <c r="P1526" s="8"/>
    </row>
    <row r="1527">
      <c r="B1527" s="53"/>
      <c r="E1527" s="47"/>
      <c r="F1527" s="47"/>
      <c r="N1527" s="8"/>
      <c r="P1527" s="8"/>
    </row>
    <row r="1528">
      <c r="B1528" s="53"/>
      <c r="E1528" s="47"/>
      <c r="F1528" s="47"/>
      <c r="N1528" s="8"/>
      <c r="P1528" s="8"/>
    </row>
    <row r="1529">
      <c r="B1529" s="53"/>
      <c r="E1529" s="47"/>
      <c r="F1529" s="47"/>
      <c r="N1529" s="8"/>
      <c r="P1529" s="8"/>
    </row>
    <row r="1530">
      <c r="B1530" s="53"/>
      <c r="E1530" s="47"/>
      <c r="F1530" s="47"/>
      <c r="N1530" s="8"/>
      <c r="P1530" s="8"/>
    </row>
    <row r="1531">
      <c r="B1531" s="53"/>
      <c r="E1531" s="47"/>
      <c r="F1531" s="47"/>
      <c r="N1531" s="8"/>
      <c r="P1531" s="8"/>
    </row>
    <row r="1532">
      <c r="B1532" s="53"/>
      <c r="E1532" s="47"/>
      <c r="F1532" s="47"/>
      <c r="N1532" s="8"/>
      <c r="P1532" s="8"/>
    </row>
    <row r="1533">
      <c r="B1533" s="53"/>
      <c r="E1533" s="47"/>
      <c r="F1533" s="47"/>
      <c r="N1533" s="8"/>
      <c r="P1533" s="8"/>
    </row>
    <row r="1534">
      <c r="B1534" s="53"/>
      <c r="E1534" s="47"/>
      <c r="F1534" s="47"/>
      <c r="N1534" s="8"/>
      <c r="P1534" s="8"/>
    </row>
    <row r="1535">
      <c r="B1535" s="53"/>
      <c r="E1535" s="47"/>
      <c r="F1535" s="47"/>
      <c r="N1535" s="8"/>
      <c r="P1535" s="8"/>
    </row>
    <row r="1536">
      <c r="B1536" s="53"/>
      <c r="E1536" s="47"/>
      <c r="F1536" s="47"/>
      <c r="N1536" s="8"/>
      <c r="P1536" s="8"/>
    </row>
    <row r="1537">
      <c r="B1537" s="53"/>
      <c r="E1537" s="47"/>
      <c r="F1537" s="47"/>
      <c r="N1537" s="8"/>
      <c r="P1537" s="8"/>
    </row>
    <row r="1538">
      <c r="B1538" s="53"/>
      <c r="E1538" s="47"/>
      <c r="F1538" s="47"/>
      <c r="N1538" s="8"/>
      <c r="P1538" s="8"/>
    </row>
    <row r="1539">
      <c r="B1539" s="53"/>
      <c r="E1539" s="47"/>
      <c r="F1539" s="47"/>
      <c r="N1539" s="8"/>
      <c r="P1539" s="8"/>
    </row>
    <row r="1540">
      <c r="B1540" s="53"/>
      <c r="E1540" s="47"/>
      <c r="F1540" s="47"/>
      <c r="N1540" s="8"/>
      <c r="P1540" s="8"/>
    </row>
    <row r="1541">
      <c r="B1541" s="53"/>
      <c r="E1541" s="47"/>
      <c r="F1541" s="47"/>
      <c r="N1541" s="8"/>
      <c r="P1541" s="8"/>
    </row>
    <row r="1542">
      <c r="B1542" s="53"/>
      <c r="E1542" s="47"/>
      <c r="F1542" s="47"/>
      <c r="N1542" s="8"/>
      <c r="P1542" s="8"/>
    </row>
    <row r="1543">
      <c r="B1543" s="53"/>
      <c r="E1543" s="47"/>
      <c r="F1543" s="47"/>
      <c r="N1543" s="8"/>
      <c r="P1543" s="8"/>
    </row>
    <row r="1544">
      <c r="B1544" s="53"/>
      <c r="E1544" s="47"/>
      <c r="F1544" s="47"/>
      <c r="N1544" s="8"/>
      <c r="P1544" s="8"/>
    </row>
    <row r="1545">
      <c r="B1545" s="53"/>
      <c r="E1545" s="47"/>
      <c r="F1545" s="47"/>
      <c r="N1545" s="8"/>
      <c r="P1545" s="8"/>
    </row>
    <row r="1546">
      <c r="B1546" s="53"/>
      <c r="E1546" s="47"/>
      <c r="F1546" s="47"/>
      <c r="N1546" s="8"/>
      <c r="P1546" s="8"/>
    </row>
    <row r="1547">
      <c r="B1547" s="53"/>
      <c r="E1547" s="47"/>
      <c r="F1547" s="47"/>
      <c r="N1547" s="8"/>
      <c r="P1547" s="8"/>
    </row>
    <row r="1548">
      <c r="B1548" s="53"/>
      <c r="E1548" s="47"/>
      <c r="F1548" s="47"/>
      <c r="N1548" s="8"/>
      <c r="P1548" s="8"/>
    </row>
    <row r="1549">
      <c r="B1549" s="53"/>
      <c r="E1549" s="47"/>
      <c r="F1549" s="47"/>
      <c r="N1549" s="8"/>
      <c r="P1549" s="8"/>
    </row>
    <row r="1550">
      <c r="B1550" s="53"/>
      <c r="E1550" s="47"/>
      <c r="F1550" s="47"/>
      <c r="N1550" s="8"/>
      <c r="P1550" s="8"/>
    </row>
    <row r="1551">
      <c r="B1551" s="53"/>
      <c r="E1551" s="47"/>
      <c r="F1551" s="47"/>
      <c r="N1551" s="8"/>
      <c r="P1551" s="8"/>
    </row>
    <row r="1552">
      <c r="B1552" s="53"/>
      <c r="E1552" s="47"/>
      <c r="F1552" s="47"/>
      <c r="N1552" s="8"/>
      <c r="P1552" s="8"/>
    </row>
    <row r="1553">
      <c r="B1553" s="53"/>
      <c r="E1553" s="47"/>
      <c r="F1553" s="47"/>
      <c r="N1553" s="8"/>
      <c r="P1553" s="8"/>
    </row>
    <row r="1554">
      <c r="B1554" s="53"/>
      <c r="E1554" s="47"/>
      <c r="F1554" s="47"/>
      <c r="N1554" s="8"/>
      <c r="P1554" s="8"/>
    </row>
    <row r="1555">
      <c r="B1555" s="53"/>
      <c r="E1555" s="47"/>
      <c r="F1555" s="47"/>
      <c r="N1555" s="8"/>
      <c r="P1555" s="8"/>
    </row>
    <row r="1556">
      <c r="B1556" s="53"/>
      <c r="E1556" s="47"/>
      <c r="F1556" s="47"/>
      <c r="N1556" s="8"/>
      <c r="P1556" s="8"/>
    </row>
    <row r="1557">
      <c r="B1557" s="53"/>
      <c r="E1557" s="47"/>
      <c r="F1557" s="47"/>
      <c r="N1557" s="8"/>
      <c r="P1557" s="8"/>
    </row>
    <row r="1558">
      <c r="B1558" s="53"/>
      <c r="E1558" s="47"/>
      <c r="F1558" s="47"/>
      <c r="N1558" s="8"/>
      <c r="P1558" s="8"/>
    </row>
    <row r="1559">
      <c r="B1559" s="53"/>
      <c r="E1559" s="47"/>
      <c r="F1559" s="47"/>
      <c r="N1559" s="8"/>
      <c r="P1559" s="8"/>
    </row>
    <row r="1560">
      <c r="B1560" s="53"/>
      <c r="E1560" s="47"/>
      <c r="F1560" s="47"/>
      <c r="N1560" s="8"/>
      <c r="P1560" s="8"/>
    </row>
    <row r="1561">
      <c r="B1561" s="53"/>
      <c r="E1561" s="47"/>
      <c r="F1561" s="47"/>
      <c r="N1561" s="8"/>
      <c r="P1561" s="8"/>
    </row>
    <row r="1562">
      <c r="B1562" s="53"/>
      <c r="E1562" s="47"/>
      <c r="F1562" s="47"/>
      <c r="N1562" s="8"/>
      <c r="P1562" s="8"/>
    </row>
    <row r="1563">
      <c r="B1563" s="53"/>
      <c r="E1563" s="47"/>
      <c r="F1563" s="47"/>
      <c r="N1563" s="8"/>
      <c r="P1563" s="8"/>
    </row>
    <row r="1564">
      <c r="B1564" s="53"/>
      <c r="E1564" s="47"/>
      <c r="F1564" s="47"/>
      <c r="N1564" s="8"/>
      <c r="P1564" s="8"/>
    </row>
    <row r="1565">
      <c r="B1565" s="53"/>
      <c r="E1565" s="47"/>
      <c r="F1565" s="47"/>
      <c r="N1565" s="8"/>
      <c r="P1565" s="8"/>
    </row>
    <row r="1566">
      <c r="B1566" s="53"/>
      <c r="E1566" s="47"/>
      <c r="F1566" s="47"/>
      <c r="N1566" s="8"/>
      <c r="P1566" s="8"/>
    </row>
    <row r="1567">
      <c r="B1567" s="53"/>
      <c r="E1567" s="47"/>
      <c r="F1567" s="47"/>
      <c r="N1567" s="8"/>
      <c r="P1567" s="8"/>
    </row>
    <row r="1568">
      <c r="B1568" s="53"/>
      <c r="E1568" s="47"/>
      <c r="F1568" s="47"/>
      <c r="N1568" s="8"/>
      <c r="P1568" s="8"/>
    </row>
    <row r="1569">
      <c r="B1569" s="53"/>
      <c r="E1569" s="47"/>
      <c r="F1569" s="47"/>
      <c r="N1569" s="8"/>
      <c r="P1569" s="8"/>
    </row>
    <row r="1570">
      <c r="B1570" s="53"/>
      <c r="E1570" s="47"/>
      <c r="F1570" s="47"/>
      <c r="N1570" s="8"/>
      <c r="P1570" s="8"/>
    </row>
    <row r="1571">
      <c r="B1571" s="53"/>
      <c r="E1571" s="47"/>
      <c r="F1571" s="47"/>
      <c r="N1571" s="8"/>
      <c r="P1571" s="8"/>
    </row>
    <row r="1572">
      <c r="B1572" s="53"/>
      <c r="E1572" s="47"/>
      <c r="F1572" s="47"/>
      <c r="N1572" s="8"/>
      <c r="P1572" s="8"/>
    </row>
    <row r="1573">
      <c r="B1573" s="53"/>
      <c r="E1573" s="47"/>
      <c r="F1573" s="47"/>
      <c r="N1573" s="8"/>
      <c r="P1573" s="8"/>
    </row>
    <row r="1574">
      <c r="B1574" s="53"/>
      <c r="E1574" s="47"/>
      <c r="F1574" s="47"/>
      <c r="N1574" s="8"/>
      <c r="P1574" s="8"/>
    </row>
    <row r="1575">
      <c r="B1575" s="53"/>
      <c r="E1575" s="47"/>
      <c r="F1575" s="47"/>
      <c r="N1575" s="8"/>
      <c r="P1575" s="8"/>
    </row>
    <row r="1576">
      <c r="B1576" s="53"/>
      <c r="E1576" s="47"/>
      <c r="F1576" s="47"/>
      <c r="N1576" s="8"/>
      <c r="P1576" s="8"/>
    </row>
    <row r="1577">
      <c r="B1577" s="53"/>
      <c r="E1577" s="47"/>
      <c r="F1577" s="47"/>
      <c r="N1577" s="8"/>
      <c r="P1577" s="8"/>
    </row>
    <row r="1578">
      <c r="B1578" s="53"/>
      <c r="E1578" s="47"/>
      <c r="F1578" s="47"/>
      <c r="N1578" s="8"/>
      <c r="P1578" s="8"/>
    </row>
    <row r="1579">
      <c r="B1579" s="53"/>
      <c r="E1579" s="47"/>
      <c r="F1579" s="47"/>
      <c r="N1579" s="8"/>
      <c r="P1579" s="8"/>
    </row>
    <row r="1580">
      <c r="B1580" s="53"/>
      <c r="E1580" s="47"/>
      <c r="F1580" s="47"/>
      <c r="N1580" s="8"/>
      <c r="P1580" s="8"/>
    </row>
    <row r="1581">
      <c r="B1581" s="53"/>
      <c r="E1581" s="47"/>
      <c r="F1581" s="47"/>
      <c r="N1581" s="8"/>
      <c r="P1581" s="8"/>
    </row>
    <row r="1582">
      <c r="B1582" s="53"/>
      <c r="E1582" s="47"/>
      <c r="F1582" s="47"/>
      <c r="N1582" s="8"/>
      <c r="P1582" s="8"/>
    </row>
    <row r="1583">
      <c r="B1583" s="53"/>
      <c r="E1583" s="47"/>
      <c r="F1583" s="47"/>
      <c r="N1583" s="8"/>
      <c r="P1583" s="8"/>
    </row>
    <row r="1584">
      <c r="B1584" s="53"/>
      <c r="E1584" s="47"/>
      <c r="F1584" s="47"/>
      <c r="N1584" s="8"/>
      <c r="P1584" s="8"/>
    </row>
    <row r="1585">
      <c r="B1585" s="53"/>
      <c r="E1585" s="47"/>
      <c r="F1585" s="47"/>
      <c r="N1585" s="8"/>
      <c r="P1585" s="8"/>
    </row>
    <row r="1586">
      <c r="B1586" s="53"/>
      <c r="E1586" s="47"/>
      <c r="F1586" s="47"/>
      <c r="N1586" s="8"/>
      <c r="P1586" s="8"/>
    </row>
    <row r="1587">
      <c r="B1587" s="53"/>
      <c r="E1587" s="47"/>
      <c r="F1587" s="47"/>
      <c r="N1587" s="8"/>
      <c r="P1587" s="8"/>
    </row>
    <row r="1588">
      <c r="B1588" s="53"/>
      <c r="E1588" s="47"/>
      <c r="F1588" s="47"/>
      <c r="N1588" s="8"/>
      <c r="P1588" s="8"/>
    </row>
    <row r="1589">
      <c r="B1589" s="53"/>
      <c r="E1589" s="47"/>
      <c r="F1589" s="47"/>
      <c r="N1589" s="8"/>
      <c r="P1589" s="8"/>
    </row>
    <row r="1590">
      <c r="B1590" s="53"/>
      <c r="E1590" s="47"/>
      <c r="F1590" s="47"/>
      <c r="N1590" s="8"/>
      <c r="P1590" s="8"/>
    </row>
    <row r="1591">
      <c r="B1591" s="53"/>
      <c r="E1591" s="47"/>
      <c r="F1591" s="47"/>
      <c r="N1591" s="8"/>
      <c r="P1591" s="8"/>
    </row>
    <row r="1592">
      <c r="B1592" s="53"/>
      <c r="E1592" s="47"/>
      <c r="F1592" s="47"/>
      <c r="N1592" s="8"/>
      <c r="P1592" s="8"/>
    </row>
    <row r="1593">
      <c r="B1593" s="53"/>
      <c r="E1593" s="47"/>
      <c r="F1593" s="47"/>
      <c r="N1593" s="8"/>
      <c r="P1593" s="8"/>
    </row>
    <row r="1594">
      <c r="B1594" s="53"/>
      <c r="E1594" s="47"/>
      <c r="F1594" s="47"/>
      <c r="N1594" s="8"/>
      <c r="P1594" s="8"/>
    </row>
    <row r="1595">
      <c r="B1595" s="53"/>
      <c r="E1595" s="47"/>
      <c r="F1595" s="47"/>
      <c r="N1595" s="8"/>
      <c r="P1595" s="8"/>
    </row>
    <row r="1596">
      <c r="B1596" s="53"/>
      <c r="E1596" s="47"/>
      <c r="F1596" s="47"/>
      <c r="N1596" s="8"/>
      <c r="P1596" s="8"/>
    </row>
    <row r="1597">
      <c r="B1597" s="53"/>
      <c r="E1597" s="47"/>
      <c r="F1597" s="47"/>
      <c r="N1597" s="8"/>
      <c r="P1597" s="8"/>
    </row>
    <row r="1598">
      <c r="B1598" s="53"/>
      <c r="E1598" s="47"/>
      <c r="F1598" s="47"/>
      <c r="N1598" s="8"/>
      <c r="P1598" s="8"/>
    </row>
    <row r="1599">
      <c r="B1599" s="53"/>
      <c r="E1599" s="47"/>
      <c r="F1599" s="47"/>
      <c r="N1599" s="8"/>
      <c r="P1599" s="8"/>
    </row>
    <row r="1600">
      <c r="B1600" s="53"/>
      <c r="E1600" s="47"/>
      <c r="F1600" s="47"/>
      <c r="N1600" s="8"/>
      <c r="P1600" s="8"/>
    </row>
    <row r="1601">
      <c r="B1601" s="53"/>
      <c r="E1601" s="47"/>
      <c r="F1601" s="47"/>
      <c r="N1601" s="8"/>
      <c r="P1601" s="8"/>
    </row>
    <row r="1602">
      <c r="B1602" s="53"/>
      <c r="E1602" s="47"/>
      <c r="F1602" s="47"/>
      <c r="N1602" s="8"/>
      <c r="P1602" s="8"/>
    </row>
    <row r="1603">
      <c r="B1603" s="53"/>
      <c r="E1603" s="47"/>
      <c r="F1603" s="47"/>
      <c r="N1603" s="8"/>
      <c r="P1603" s="8"/>
    </row>
    <row r="1604">
      <c r="B1604" s="53"/>
      <c r="E1604" s="47"/>
      <c r="F1604" s="47"/>
      <c r="N1604" s="8"/>
      <c r="P1604" s="8"/>
    </row>
    <row r="1605">
      <c r="B1605" s="53"/>
      <c r="E1605" s="47"/>
      <c r="F1605" s="47"/>
      <c r="N1605" s="8"/>
      <c r="P1605" s="8"/>
    </row>
    <row r="1606">
      <c r="B1606" s="53"/>
      <c r="E1606" s="47"/>
      <c r="F1606" s="47"/>
      <c r="N1606" s="8"/>
      <c r="P1606" s="8"/>
    </row>
    <row r="1607">
      <c r="B1607" s="53"/>
      <c r="E1607" s="47"/>
      <c r="F1607" s="47"/>
      <c r="N1607" s="8"/>
      <c r="P1607" s="8"/>
    </row>
    <row r="1608">
      <c r="B1608" s="53"/>
      <c r="E1608" s="47"/>
      <c r="F1608" s="47"/>
      <c r="N1608" s="8"/>
      <c r="P1608" s="8"/>
    </row>
    <row r="1609">
      <c r="B1609" s="53"/>
      <c r="E1609" s="47"/>
      <c r="F1609" s="47"/>
      <c r="N1609" s="8"/>
      <c r="P1609" s="8"/>
    </row>
    <row r="1610">
      <c r="B1610" s="53"/>
      <c r="E1610" s="47"/>
      <c r="F1610" s="47"/>
      <c r="N1610" s="8"/>
      <c r="P1610" s="8"/>
    </row>
    <row r="1611">
      <c r="B1611" s="53"/>
      <c r="E1611" s="47"/>
      <c r="F1611" s="47"/>
      <c r="N1611" s="8"/>
      <c r="P1611" s="8"/>
    </row>
    <row r="1612">
      <c r="B1612" s="53"/>
      <c r="E1612" s="47"/>
      <c r="F1612" s="47"/>
      <c r="N1612" s="8"/>
      <c r="P1612" s="8"/>
    </row>
    <row r="1613">
      <c r="B1613" s="53"/>
      <c r="E1613" s="47"/>
      <c r="F1613" s="47"/>
      <c r="N1613" s="8"/>
      <c r="P1613" s="8"/>
    </row>
    <row r="1614">
      <c r="B1614" s="53"/>
      <c r="E1614" s="47"/>
      <c r="F1614" s="47"/>
      <c r="N1614" s="8"/>
      <c r="P1614" s="8"/>
    </row>
    <row r="1615">
      <c r="B1615" s="53"/>
      <c r="E1615" s="47"/>
      <c r="F1615" s="47"/>
      <c r="N1615" s="8"/>
      <c r="P1615" s="8"/>
    </row>
    <row r="1616">
      <c r="B1616" s="53"/>
      <c r="E1616" s="47"/>
      <c r="F1616" s="47"/>
      <c r="N1616" s="8"/>
      <c r="P1616" s="8"/>
    </row>
    <row r="1617">
      <c r="B1617" s="53"/>
      <c r="E1617" s="47"/>
      <c r="F1617" s="47"/>
      <c r="N1617" s="8"/>
      <c r="P1617" s="8"/>
    </row>
    <row r="1618">
      <c r="B1618" s="53"/>
      <c r="E1618" s="47"/>
      <c r="F1618" s="47"/>
      <c r="N1618" s="8"/>
      <c r="P1618" s="8"/>
    </row>
    <row r="1619">
      <c r="B1619" s="53"/>
      <c r="E1619" s="47"/>
      <c r="F1619" s="47"/>
      <c r="N1619" s="8"/>
      <c r="P1619" s="8"/>
    </row>
    <row r="1620">
      <c r="B1620" s="53"/>
      <c r="E1620" s="47"/>
      <c r="F1620" s="47"/>
      <c r="N1620" s="8"/>
      <c r="P1620" s="8"/>
    </row>
    <row r="1621">
      <c r="B1621" s="53"/>
      <c r="E1621" s="47"/>
      <c r="F1621" s="47"/>
      <c r="N1621" s="8"/>
      <c r="P1621" s="8"/>
    </row>
    <row r="1622">
      <c r="B1622" s="53"/>
      <c r="E1622" s="47"/>
      <c r="F1622" s="47"/>
      <c r="N1622" s="8"/>
      <c r="P1622" s="8"/>
    </row>
    <row r="1623">
      <c r="B1623" s="53"/>
      <c r="E1623" s="47"/>
      <c r="F1623" s="47"/>
      <c r="N1623" s="8"/>
      <c r="P1623" s="8"/>
    </row>
    <row r="1624">
      <c r="B1624" s="53"/>
      <c r="E1624" s="47"/>
      <c r="F1624" s="47"/>
      <c r="N1624" s="8"/>
      <c r="P1624" s="8"/>
    </row>
    <row r="1625">
      <c r="B1625" s="53"/>
      <c r="E1625" s="47"/>
      <c r="F1625" s="47"/>
      <c r="N1625" s="8"/>
      <c r="P1625" s="8"/>
    </row>
    <row r="1626">
      <c r="B1626" s="53"/>
      <c r="E1626" s="47"/>
      <c r="F1626" s="47"/>
      <c r="N1626" s="8"/>
      <c r="P1626" s="8"/>
    </row>
    <row r="1627">
      <c r="B1627" s="53"/>
      <c r="E1627" s="47"/>
      <c r="F1627" s="47"/>
      <c r="N1627" s="8"/>
      <c r="P1627" s="8"/>
    </row>
    <row r="1628">
      <c r="B1628" s="53"/>
      <c r="E1628" s="47"/>
      <c r="F1628" s="47"/>
      <c r="N1628" s="8"/>
      <c r="P1628" s="8"/>
    </row>
    <row r="1629">
      <c r="B1629" s="53"/>
      <c r="E1629" s="47"/>
      <c r="F1629" s="47"/>
      <c r="N1629" s="8"/>
      <c r="P1629" s="8"/>
    </row>
    <row r="1630">
      <c r="B1630" s="53"/>
      <c r="E1630" s="47"/>
      <c r="F1630" s="47"/>
      <c r="N1630" s="8"/>
      <c r="P1630" s="8"/>
    </row>
    <row r="1631">
      <c r="B1631" s="53"/>
      <c r="E1631" s="47"/>
      <c r="F1631" s="47"/>
      <c r="N1631" s="8"/>
      <c r="P1631" s="8"/>
    </row>
    <row r="1632">
      <c r="B1632" s="53"/>
      <c r="E1632" s="47"/>
      <c r="F1632" s="47"/>
      <c r="N1632" s="8"/>
      <c r="P1632" s="8"/>
    </row>
    <row r="1633">
      <c r="B1633" s="53"/>
      <c r="E1633" s="47"/>
      <c r="F1633" s="47"/>
      <c r="N1633" s="8"/>
      <c r="P1633" s="8"/>
    </row>
    <row r="1634">
      <c r="B1634" s="53"/>
      <c r="E1634" s="47"/>
      <c r="F1634" s="47"/>
      <c r="N1634" s="8"/>
      <c r="P1634" s="8"/>
    </row>
    <row r="1635">
      <c r="B1635" s="53"/>
      <c r="E1635" s="47"/>
      <c r="F1635" s="47"/>
      <c r="N1635" s="8"/>
      <c r="P1635" s="8"/>
    </row>
    <row r="1636">
      <c r="B1636" s="53"/>
      <c r="E1636" s="47"/>
      <c r="F1636" s="47"/>
      <c r="N1636" s="8"/>
      <c r="P1636" s="8"/>
    </row>
    <row r="1637">
      <c r="B1637" s="53"/>
      <c r="E1637" s="47"/>
      <c r="F1637" s="47"/>
      <c r="N1637" s="8"/>
      <c r="P1637" s="8"/>
    </row>
    <row r="1638">
      <c r="B1638" s="53"/>
      <c r="E1638" s="47"/>
      <c r="F1638" s="47"/>
      <c r="N1638" s="8"/>
      <c r="P1638" s="8"/>
    </row>
    <row r="1639">
      <c r="B1639" s="53"/>
      <c r="E1639" s="47"/>
      <c r="F1639" s="47"/>
      <c r="N1639" s="8"/>
      <c r="P1639" s="8"/>
    </row>
    <row r="1640">
      <c r="B1640" s="53"/>
      <c r="E1640" s="47"/>
      <c r="F1640" s="47"/>
      <c r="N1640" s="8"/>
      <c r="P1640" s="8"/>
    </row>
    <row r="1641">
      <c r="B1641" s="53"/>
      <c r="E1641" s="47"/>
      <c r="F1641" s="47"/>
      <c r="N1641" s="8"/>
      <c r="P1641" s="8"/>
    </row>
    <row r="1642">
      <c r="B1642" s="53"/>
      <c r="E1642" s="47"/>
      <c r="F1642" s="47"/>
      <c r="N1642" s="8"/>
      <c r="P1642" s="8"/>
    </row>
    <row r="1643">
      <c r="B1643" s="53"/>
      <c r="E1643" s="47"/>
      <c r="F1643" s="47"/>
      <c r="N1643" s="8"/>
      <c r="P1643" s="8"/>
    </row>
    <row r="1644">
      <c r="B1644" s="53"/>
      <c r="E1644" s="47"/>
      <c r="F1644" s="47"/>
      <c r="N1644" s="8"/>
      <c r="P1644" s="8"/>
    </row>
    <row r="1645">
      <c r="B1645" s="53"/>
      <c r="E1645" s="47"/>
      <c r="F1645" s="47"/>
      <c r="N1645" s="8"/>
      <c r="P1645" s="8"/>
    </row>
    <row r="1646">
      <c r="B1646" s="53"/>
      <c r="E1646" s="47"/>
      <c r="F1646" s="47"/>
      <c r="N1646" s="8"/>
      <c r="P1646" s="8"/>
    </row>
    <row r="1647">
      <c r="B1647" s="53"/>
      <c r="E1647" s="47"/>
      <c r="F1647" s="47"/>
      <c r="N1647" s="8"/>
      <c r="P1647" s="8"/>
    </row>
    <row r="1648">
      <c r="B1648" s="53"/>
      <c r="E1648" s="47"/>
      <c r="F1648" s="47"/>
      <c r="N1648" s="8"/>
      <c r="P1648" s="8"/>
    </row>
    <row r="1649">
      <c r="B1649" s="53"/>
      <c r="E1649" s="47"/>
      <c r="F1649" s="47"/>
      <c r="N1649" s="8"/>
      <c r="P1649" s="8"/>
    </row>
    <row r="1650">
      <c r="B1650" s="53"/>
      <c r="E1650" s="47"/>
      <c r="F1650" s="47"/>
      <c r="N1650" s="8"/>
      <c r="P1650" s="8"/>
    </row>
    <row r="1651">
      <c r="B1651" s="53"/>
      <c r="E1651" s="47"/>
      <c r="F1651" s="47"/>
      <c r="N1651" s="8"/>
      <c r="P1651" s="8"/>
    </row>
    <row r="1652">
      <c r="B1652" s="53"/>
      <c r="E1652" s="47"/>
      <c r="F1652" s="47"/>
      <c r="N1652" s="8"/>
      <c r="P1652" s="8"/>
    </row>
    <row r="1653">
      <c r="B1653" s="53"/>
      <c r="E1653" s="47"/>
      <c r="F1653" s="47"/>
      <c r="N1653" s="8"/>
      <c r="P1653" s="8"/>
    </row>
    <row r="1654">
      <c r="B1654" s="53"/>
      <c r="E1654" s="47"/>
      <c r="F1654" s="47"/>
      <c r="N1654" s="8"/>
      <c r="P1654" s="8"/>
    </row>
    <row r="1655">
      <c r="B1655" s="53"/>
      <c r="E1655" s="47"/>
      <c r="F1655" s="47"/>
      <c r="N1655" s="8"/>
      <c r="P1655" s="8"/>
    </row>
    <row r="1656">
      <c r="B1656" s="53"/>
      <c r="E1656" s="47"/>
      <c r="F1656" s="47"/>
      <c r="N1656" s="8"/>
      <c r="P1656" s="8"/>
    </row>
    <row r="1657">
      <c r="B1657" s="53"/>
      <c r="E1657" s="47"/>
      <c r="F1657" s="47"/>
      <c r="N1657" s="8"/>
      <c r="P1657" s="8"/>
    </row>
    <row r="1658">
      <c r="B1658" s="53"/>
      <c r="E1658" s="47"/>
      <c r="F1658" s="47"/>
      <c r="N1658" s="8"/>
      <c r="P1658" s="8"/>
    </row>
    <row r="1659">
      <c r="B1659" s="53"/>
      <c r="E1659" s="47"/>
      <c r="F1659" s="47"/>
      <c r="N1659" s="8"/>
      <c r="P1659" s="8"/>
    </row>
    <row r="1660">
      <c r="B1660" s="53"/>
      <c r="E1660" s="47"/>
      <c r="F1660" s="47"/>
      <c r="N1660" s="8"/>
      <c r="P1660" s="8"/>
    </row>
    <row r="1661">
      <c r="B1661" s="53"/>
      <c r="E1661" s="47"/>
      <c r="F1661" s="47"/>
      <c r="N1661" s="8"/>
      <c r="P1661" s="8"/>
    </row>
    <row r="1662">
      <c r="B1662" s="53"/>
      <c r="E1662" s="47"/>
      <c r="F1662" s="47"/>
      <c r="N1662" s="8"/>
      <c r="P1662" s="8"/>
    </row>
    <row r="1663">
      <c r="B1663" s="53"/>
      <c r="E1663" s="47"/>
      <c r="F1663" s="47"/>
      <c r="N1663" s="8"/>
      <c r="P1663" s="8"/>
    </row>
    <row r="1664">
      <c r="B1664" s="53"/>
      <c r="E1664" s="47"/>
      <c r="F1664" s="47"/>
      <c r="N1664" s="8"/>
      <c r="P1664" s="8"/>
    </row>
    <row r="1665">
      <c r="B1665" s="53"/>
      <c r="E1665" s="47"/>
      <c r="F1665" s="47"/>
      <c r="N1665" s="8"/>
      <c r="P1665" s="8"/>
    </row>
    <row r="1666">
      <c r="B1666" s="53"/>
      <c r="E1666" s="47"/>
      <c r="F1666" s="47"/>
      <c r="N1666" s="8"/>
      <c r="P1666" s="8"/>
    </row>
    <row r="1667">
      <c r="B1667" s="53"/>
      <c r="E1667" s="47"/>
      <c r="F1667" s="47"/>
      <c r="N1667" s="8"/>
      <c r="P1667" s="8"/>
    </row>
    <row r="1668">
      <c r="B1668" s="53"/>
      <c r="E1668" s="47"/>
      <c r="F1668" s="47"/>
      <c r="N1668" s="8"/>
      <c r="P1668" s="8"/>
    </row>
    <row r="1669">
      <c r="B1669" s="53"/>
      <c r="E1669" s="47"/>
      <c r="F1669" s="47"/>
      <c r="N1669" s="8"/>
      <c r="P1669" s="8"/>
    </row>
    <row r="1670">
      <c r="B1670" s="53"/>
      <c r="E1670" s="47"/>
      <c r="F1670" s="47"/>
      <c r="N1670" s="8"/>
      <c r="P1670" s="8"/>
    </row>
    <row r="1671">
      <c r="B1671" s="53"/>
      <c r="E1671" s="47"/>
      <c r="F1671" s="47"/>
      <c r="N1671" s="8"/>
      <c r="P1671" s="8"/>
    </row>
    <row r="1672">
      <c r="B1672" s="53"/>
      <c r="E1672" s="47"/>
      <c r="F1672" s="47"/>
      <c r="N1672" s="8"/>
      <c r="P1672" s="8"/>
    </row>
    <row r="1673">
      <c r="B1673" s="53"/>
      <c r="E1673" s="47"/>
      <c r="F1673" s="47"/>
      <c r="N1673" s="8"/>
      <c r="P1673" s="8"/>
    </row>
    <row r="1674">
      <c r="B1674" s="53"/>
      <c r="E1674" s="47"/>
      <c r="F1674" s="47"/>
      <c r="N1674" s="8"/>
      <c r="P1674" s="8"/>
    </row>
    <row r="1675">
      <c r="B1675" s="53"/>
      <c r="E1675" s="47"/>
      <c r="F1675" s="47"/>
      <c r="N1675" s="8"/>
      <c r="P1675" s="8"/>
    </row>
    <row r="1676">
      <c r="B1676" s="53"/>
      <c r="E1676" s="47"/>
      <c r="F1676" s="47"/>
      <c r="N1676" s="8"/>
      <c r="P1676" s="8"/>
    </row>
    <row r="1677">
      <c r="B1677" s="53"/>
      <c r="E1677" s="47"/>
      <c r="F1677" s="47"/>
      <c r="N1677" s="8"/>
      <c r="P1677" s="8"/>
    </row>
    <row r="1678">
      <c r="B1678" s="53"/>
      <c r="E1678" s="47"/>
      <c r="F1678" s="47"/>
      <c r="N1678" s="8"/>
      <c r="P1678" s="8"/>
    </row>
    <row r="1679">
      <c r="B1679" s="53"/>
      <c r="E1679" s="47"/>
      <c r="F1679" s="47"/>
      <c r="N1679" s="8"/>
      <c r="P1679" s="8"/>
    </row>
    <row r="1680">
      <c r="B1680" s="53"/>
      <c r="E1680" s="47"/>
      <c r="F1680" s="47"/>
      <c r="N1680" s="8"/>
      <c r="P1680" s="8"/>
    </row>
    <row r="1681">
      <c r="B1681" s="53"/>
      <c r="E1681" s="47"/>
      <c r="F1681" s="47"/>
      <c r="N1681" s="8"/>
      <c r="P1681" s="8"/>
    </row>
    <row r="1682">
      <c r="B1682" s="53"/>
      <c r="E1682" s="47"/>
      <c r="F1682" s="47"/>
      <c r="N1682" s="8"/>
      <c r="P1682" s="8"/>
    </row>
    <row r="1683">
      <c r="B1683" s="53"/>
      <c r="E1683" s="47"/>
      <c r="F1683" s="47"/>
      <c r="N1683" s="8"/>
      <c r="P1683" s="8"/>
    </row>
    <row r="1684">
      <c r="B1684" s="53"/>
      <c r="E1684" s="47"/>
      <c r="F1684" s="47"/>
      <c r="N1684" s="8"/>
      <c r="P1684" s="8"/>
    </row>
    <row r="1685">
      <c r="B1685" s="53"/>
      <c r="E1685" s="47"/>
      <c r="F1685" s="47"/>
      <c r="N1685" s="8"/>
      <c r="P1685" s="8"/>
    </row>
    <row r="1686">
      <c r="B1686" s="53"/>
      <c r="E1686" s="47"/>
      <c r="F1686" s="47"/>
      <c r="N1686" s="8"/>
      <c r="P1686" s="8"/>
    </row>
    <row r="1687">
      <c r="B1687" s="53"/>
      <c r="E1687" s="47"/>
      <c r="F1687" s="47"/>
      <c r="N1687" s="8"/>
      <c r="P1687" s="8"/>
    </row>
    <row r="1688">
      <c r="B1688" s="53"/>
      <c r="E1688" s="47"/>
      <c r="F1688" s="47"/>
      <c r="N1688" s="8"/>
      <c r="P1688" s="8"/>
    </row>
    <row r="1689">
      <c r="B1689" s="53"/>
      <c r="E1689" s="47"/>
      <c r="F1689" s="47"/>
      <c r="N1689" s="8"/>
      <c r="P1689" s="8"/>
    </row>
    <row r="1690">
      <c r="B1690" s="53"/>
      <c r="E1690" s="47"/>
      <c r="F1690" s="47"/>
      <c r="N1690" s="8"/>
      <c r="P1690" s="8"/>
    </row>
    <row r="1691">
      <c r="B1691" s="53"/>
      <c r="E1691" s="47"/>
      <c r="F1691" s="47"/>
      <c r="N1691" s="8"/>
      <c r="P1691" s="8"/>
    </row>
    <row r="1692">
      <c r="B1692" s="53"/>
      <c r="E1692" s="47"/>
      <c r="F1692" s="47"/>
      <c r="N1692" s="8"/>
      <c r="P1692" s="8"/>
    </row>
    <row r="1693">
      <c r="B1693" s="53"/>
      <c r="E1693" s="47"/>
      <c r="F1693" s="47"/>
      <c r="N1693" s="8"/>
      <c r="P1693" s="8"/>
    </row>
    <row r="1694">
      <c r="B1694" s="53"/>
      <c r="E1694" s="47"/>
      <c r="F1694" s="47"/>
      <c r="N1694" s="8"/>
      <c r="P1694" s="8"/>
    </row>
    <row r="1695">
      <c r="B1695" s="53"/>
      <c r="E1695" s="47"/>
      <c r="F1695" s="47"/>
      <c r="N1695" s="8"/>
      <c r="P1695" s="8"/>
    </row>
    <row r="1696">
      <c r="B1696" s="53"/>
      <c r="E1696" s="47"/>
      <c r="F1696" s="47"/>
      <c r="N1696" s="8"/>
      <c r="P1696" s="8"/>
    </row>
    <row r="1697">
      <c r="B1697" s="53"/>
      <c r="E1697" s="47"/>
      <c r="F1697" s="47"/>
      <c r="N1697" s="8"/>
      <c r="P1697" s="8"/>
    </row>
    <row r="1698">
      <c r="B1698" s="53"/>
      <c r="E1698" s="47"/>
      <c r="F1698" s="47"/>
      <c r="N1698" s="8"/>
      <c r="P1698" s="8"/>
    </row>
    <row r="1699">
      <c r="B1699" s="53"/>
      <c r="E1699" s="47"/>
      <c r="F1699" s="47"/>
      <c r="N1699" s="8"/>
      <c r="P1699" s="8"/>
    </row>
    <row r="1700">
      <c r="B1700" s="53"/>
      <c r="E1700" s="47"/>
      <c r="F1700" s="47"/>
      <c r="N1700" s="8"/>
      <c r="P1700" s="8"/>
    </row>
    <row r="1701">
      <c r="B1701" s="53"/>
      <c r="E1701" s="47"/>
      <c r="F1701" s="47"/>
      <c r="N1701" s="8"/>
      <c r="P1701" s="8"/>
    </row>
    <row r="1702">
      <c r="B1702" s="53"/>
      <c r="E1702" s="47"/>
      <c r="F1702" s="47"/>
      <c r="N1702" s="8"/>
      <c r="P1702" s="8"/>
    </row>
    <row r="1703">
      <c r="B1703" s="53"/>
      <c r="E1703" s="47"/>
      <c r="F1703" s="47"/>
      <c r="N1703" s="8"/>
      <c r="P1703" s="8"/>
    </row>
    <row r="1704">
      <c r="B1704" s="53"/>
      <c r="E1704" s="47"/>
      <c r="F1704" s="47"/>
      <c r="N1704" s="8"/>
      <c r="P1704" s="8"/>
    </row>
    <row r="1705">
      <c r="B1705" s="53"/>
      <c r="E1705" s="47"/>
      <c r="F1705" s="47"/>
      <c r="N1705" s="8"/>
      <c r="P1705" s="8"/>
    </row>
    <row r="1706">
      <c r="B1706" s="53"/>
      <c r="E1706" s="47"/>
      <c r="F1706" s="47"/>
      <c r="N1706" s="8"/>
      <c r="P1706" s="8"/>
    </row>
    <row r="1707">
      <c r="B1707" s="53"/>
      <c r="E1707" s="47"/>
      <c r="F1707" s="47"/>
      <c r="N1707" s="8"/>
      <c r="P1707" s="8"/>
    </row>
    <row r="1708">
      <c r="B1708" s="53"/>
      <c r="E1708" s="47"/>
      <c r="F1708" s="47"/>
      <c r="N1708" s="8"/>
      <c r="P1708" s="8"/>
    </row>
    <row r="1709">
      <c r="B1709" s="53"/>
      <c r="E1709" s="47"/>
      <c r="F1709" s="47"/>
      <c r="N1709" s="8"/>
      <c r="P1709" s="8"/>
    </row>
    <row r="1710">
      <c r="B1710" s="53"/>
      <c r="E1710" s="47"/>
      <c r="F1710" s="47"/>
      <c r="N1710" s="8"/>
      <c r="P1710" s="8"/>
    </row>
    <row r="1711">
      <c r="B1711" s="53"/>
      <c r="E1711" s="47"/>
      <c r="F1711" s="47"/>
      <c r="N1711" s="8"/>
      <c r="P1711" s="8"/>
    </row>
    <row r="1712">
      <c r="B1712" s="53"/>
      <c r="E1712" s="47"/>
      <c r="F1712" s="47"/>
      <c r="N1712" s="8"/>
      <c r="P1712" s="8"/>
    </row>
    <row r="1713">
      <c r="B1713" s="53"/>
      <c r="E1713" s="47"/>
      <c r="F1713" s="47"/>
      <c r="N1713" s="8"/>
      <c r="P1713" s="8"/>
    </row>
    <row r="1714">
      <c r="B1714" s="53"/>
      <c r="E1714" s="47"/>
      <c r="F1714" s="47"/>
      <c r="N1714" s="8"/>
      <c r="P1714" s="8"/>
    </row>
    <row r="1715">
      <c r="B1715" s="53"/>
      <c r="E1715" s="47"/>
      <c r="F1715" s="47"/>
      <c r="N1715" s="8"/>
      <c r="P1715" s="8"/>
    </row>
    <row r="1716">
      <c r="B1716" s="53"/>
      <c r="E1716" s="47"/>
      <c r="F1716" s="47"/>
      <c r="N1716" s="8"/>
      <c r="P1716" s="8"/>
    </row>
    <row r="1717">
      <c r="B1717" s="53"/>
      <c r="E1717" s="47"/>
      <c r="F1717" s="47"/>
      <c r="N1717" s="8"/>
      <c r="P1717" s="8"/>
    </row>
    <row r="1718">
      <c r="B1718" s="53"/>
      <c r="E1718" s="47"/>
      <c r="F1718" s="47"/>
      <c r="N1718" s="8"/>
      <c r="P1718" s="8"/>
    </row>
    <row r="1719">
      <c r="B1719" s="53"/>
      <c r="E1719" s="47"/>
      <c r="F1719" s="47"/>
      <c r="N1719" s="8"/>
      <c r="P1719" s="8"/>
    </row>
    <row r="1720">
      <c r="B1720" s="53"/>
      <c r="E1720" s="47"/>
      <c r="F1720" s="47"/>
      <c r="N1720" s="8"/>
      <c r="P1720" s="8"/>
    </row>
    <row r="1721">
      <c r="B1721" s="53"/>
      <c r="E1721" s="47"/>
      <c r="F1721" s="47"/>
      <c r="N1721" s="8"/>
      <c r="P1721" s="8"/>
    </row>
    <row r="1722">
      <c r="B1722" s="53"/>
      <c r="E1722" s="47"/>
      <c r="F1722" s="47"/>
      <c r="N1722" s="8"/>
      <c r="P1722" s="8"/>
    </row>
    <row r="1723">
      <c r="B1723" s="53"/>
      <c r="E1723" s="47"/>
      <c r="F1723" s="47"/>
      <c r="N1723" s="8"/>
      <c r="P1723" s="8"/>
    </row>
    <row r="1724">
      <c r="B1724" s="53"/>
      <c r="E1724" s="47"/>
      <c r="F1724" s="47"/>
      <c r="N1724" s="8"/>
      <c r="P1724" s="8"/>
    </row>
    <row r="1725">
      <c r="B1725" s="53"/>
      <c r="E1725" s="47"/>
      <c r="F1725" s="47"/>
      <c r="N1725" s="8"/>
      <c r="P1725" s="8"/>
    </row>
    <row r="1726">
      <c r="B1726" s="53"/>
      <c r="E1726" s="47"/>
      <c r="F1726" s="47"/>
      <c r="N1726" s="8"/>
      <c r="P1726" s="8"/>
    </row>
    <row r="1727">
      <c r="B1727" s="53"/>
      <c r="E1727" s="47"/>
      <c r="F1727" s="47"/>
      <c r="N1727" s="8"/>
      <c r="P1727" s="8"/>
    </row>
    <row r="1728">
      <c r="B1728" s="53"/>
      <c r="E1728" s="47"/>
      <c r="F1728" s="47"/>
      <c r="N1728" s="8"/>
      <c r="P1728" s="8"/>
    </row>
    <row r="1729">
      <c r="B1729" s="53"/>
      <c r="E1729" s="47"/>
      <c r="F1729" s="47"/>
      <c r="N1729" s="8"/>
      <c r="P1729" s="8"/>
    </row>
    <row r="1730">
      <c r="B1730" s="53"/>
      <c r="E1730" s="47"/>
      <c r="F1730" s="47"/>
      <c r="N1730" s="8"/>
      <c r="P1730" s="8"/>
    </row>
    <row r="1731">
      <c r="B1731" s="53"/>
      <c r="E1731" s="47"/>
      <c r="F1731" s="47"/>
      <c r="N1731" s="8"/>
      <c r="P1731" s="8"/>
    </row>
    <row r="1732">
      <c r="B1732" s="53"/>
      <c r="E1732" s="47"/>
      <c r="F1732" s="47"/>
      <c r="N1732" s="8"/>
      <c r="P1732" s="8"/>
    </row>
    <row r="1733">
      <c r="B1733" s="53"/>
      <c r="E1733" s="47"/>
      <c r="F1733" s="47"/>
      <c r="N1733" s="8"/>
      <c r="P1733" s="8"/>
    </row>
    <row r="1734">
      <c r="B1734" s="53"/>
      <c r="E1734" s="47"/>
      <c r="F1734" s="47"/>
      <c r="N1734" s="8"/>
      <c r="P1734" s="8"/>
    </row>
    <row r="1735">
      <c r="B1735" s="53"/>
      <c r="E1735" s="47"/>
      <c r="F1735" s="47"/>
      <c r="N1735" s="8"/>
      <c r="P1735" s="8"/>
    </row>
    <row r="1736">
      <c r="B1736" s="53"/>
      <c r="E1736" s="47"/>
      <c r="F1736" s="47"/>
      <c r="N1736" s="8"/>
      <c r="P1736" s="8"/>
    </row>
    <row r="1737">
      <c r="B1737" s="53"/>
      <c r="E1737" s="47"/>
      <c r="F1737" s="47"/>
      <c r="N1737" s="8"/>
      <c r="P1737" s="8"/>
    </row>
    <row r="1738">
      <c r="B1738" s="53"/>
      <c r="E1738" s="47"/>
      <c r="F1738" s="47"/>
      <c r="N1738" s="8"/>
      <c r="P1738" s="8"/>
    </row>
    <row r="1739">
      <c r="B1739" s="53"/>
      <c r="E1739" s="47"/>
      <c r="F1739" s="47"/>
      <c r="N1739" s="8"/>
      <c r="P1739" s="8"/>
    </row>
    <row r="1740">
      <c r="B1740" s="53"/>
      <c r="E1740" s="47"/>
      <c r="F1740" s="47"/>
      <c r="N1740" s="8"/>
      <c r="P1740" s="8"/>
    </row>
    <row r="1741">
      <c r="B1741" s="53"/>
      <c r="E1741" s="47"/>
      <c r="F1741" s="47"/>
      <c r="N1741" s="8"/>
      <c r="P1741" s="8"/>
    </row>
    <row r="1742">
      <c r="B1742" s="53"/>
      <c r="E1742" s="47"/>
      <c r="F1742" s="47"/>
      <c r="N1742" s="8"/>
      <c r="P1742" s="8"/>
    </row>
    <row r="1743">
      <c r="B1743" s="53"/>
      <c r="E1743" s="47"/>
      <c r="F1743" s="47"/>
      <c r="N1743" s="8"/>
      <c r="P1743" s="8"/>
    </row>
    <row r="1744">
      <c r="B1744" s="53"/>
      <c r="E1744" s="47"/>
      <c r="F1744" s="47"/>
      <c r="N1744" s="8"/>
      <c r="P1744" s="8"/>
    </row>
    <row r="1745">
      <c r="B1745" s="53"/>
      <c r="E1745" s="47"/>
      <c r="F1745" s="47"/>
      <c r="N1745" s="8"/>
      <c r="P1745" s="8"/>
    </row>
    <row r="1746">
      <c r="B1746" s="53"/>
      <c r="E1746" s="47"/>
      <c r="F1746" s="47"/>
      <c r="N1746" s="8"/>
      <c r="P1746" s="8"/>
    </row>
    <row r="1747">
      <c r="B1747" s="53"/>
      <c r="E1747" s="47"/>
      <c r="F1747" s="47"/>
      <c r="N1747" s="8"/>
      <c r="P1747" s="8"/>
    </row>
    <row r="1748">
      <c r="B1748" s="53"/>
      <c r="E1748" s="47"/>
      <c r="F1748" s="47"/>
      <c r="N1748" s="8"/>
      <c r="P1748" s="8"/>
    </row>
    <row r="1749">
      <c r="B1749" s="53"/>
      <c r="E1749" s="47"/>
      <c r="F1749" s="47"/>
      <c r="N1749" s="8"/>
      <c r="P1749" s="8"/>
    </row>
    <row r="1750">
      <c r="B1750" s="53"/>
      <c r="E1750" s="47"/>
      <c r="F1750" s="47"/>
      <c r="N1750" s="8"/>
      <c r="P1750" s="8"/>
    </row>
    <row r="1751">
      <c r="B1751" s="53"/>
      <c r="E1751" s="47"/>
      <c r="F1751" s="47"/>
      <c r="N1751" s="8"/>
      <c r="P1751" s="8"/>
    </row>
    <row r="1752">
      <c r="B1752" s="53"/>
      <c r="E1752" s="47"/>
      <c r="F1752" s="47"/>
      <c r="N1752" s="8"/>
      <c r="P1752" s="8"/>
    </row>
    <row r="1753">
      <c r="B1753" s="53"/>
      <c r="E1753" s="47"/>
      <c r="F1753" s="47"/>
      <c r="N1753" s="8"/>
      <c r="P1753" s="8"/>
    </row>
    <row r="1754">
      <c r="B1754" s="53"/>
      <c r="E1754" s="47"/>
      <c r="F1754" s="47"/>
      <c r="N1754" s="8"/>
      <c r="P1754" s="8"/>
    </row>
    <row r="1755">
      <c r="B1755" s="53"/>
      <c r="E1755" s="47"/>
      <c r="F1755" s="47"/>
      <c r="N1755" s="8"/>
      <c r="P1755" s="8"/>
    </row>
    <row r="1756">
      <c r="B1756" s="53"/>
      <c r="E1756" s="47"/>
      <c r="F1756" s="47"/>
      <c r="N1756" s="8"/>
      <c r="P1756" s="8"/>
    </row>
    <row r="1757">
      <c r="B1757" s="53"/>
      <c r="E1757" s="47"/>
      <c r="F1757" s="47"/>
      <c r="N1757" s="8"/>
      <c r="P1757" s="8"/>
    </row>
    <row r="1758">
      <c r="B1758" s="53"/>
      <c r="E1758" s="47"/>
      <c r="F1758" s="47"/>
      <c r="N1758" s="8"/>
      <c r="P1758" s="8"/>
    </row>
    <row r="1759">
      <c r="B1759" s="53"/>
      <c r="E1759" s="47"/>
      <c r="F1759" s="47"/>
      <c r="N1759" s="8"/>
      <c r="P1759" s="8"/>
    </row>
    <row r="1760">
      <c r="B1760" s="53"/>
      <c r="E1760" s="47"/>
      <c r="F1760" s="47"/>
      <c r="N1760" s="8"/>
      <c r="P1760" s="8"/>
    </row>
    <row r="1761">
      <c r="B1761" s="53"/>
      <c r="E1761" s="47"/>
      <c r="F1761" s="47"/>
      <c r="N1761" s="8"/>
      <c r="P1761" s="8"/>
    </row>
    <row r="1762">
      <c r="B1762" s="53"/>
      <c r="E1762" s="47"/>
      <c r="F1762" s="47"/>
      <c r="N1762" s="8"/>
      <c r="P1762" s="8"/>
    </row>
    <row r="1763">
      <c r="B1763" s="53"/>
      <c r="E1763" s="47"/>
      <c r="F1763" s="47"/>
      <c r="N1763" s="8"/>
      <c r="P1763" s="8"/>
    </row>
    <row r="1764">
      <c r="B1764" s="53"/>
      <c r="E1764" s="47"/>
      <c r="F1764" s="47"/>
      <c r="N1764" s="8"/>
      <c r="P1764" s="8"/>
    </row>
    <row r="1765">
      <c r="B1765" s="53"/>
      <c r="E1765" s="47"/>
      <c r="F1765" s="47"/>
      <c r="N1765" s="8"/>
      <c r="P1765" s="8"/>
    </row>
    <row r="1766">
      <c r="B1766" s="53"/>
      <c r="E1766" s="47"/>
      <c r="F1766" s="47"/>
      <c r="N1766" s="8"/>
      <c r="P1766" s="8"/>
    </row>
    <row r="1767">
      <c r="B1767" s="53"/>
      <c r="E1767" s="47"/>
      <c r="F1767" s="47"/>
      <c r="N1767" s="8"/>
      <c r="P1767" s="8"/>
    </row>
    <row r="1768">
      <c r="B1768" s="53"/>
      <c r="E1768" s="47"/>
      <c r="F1768" s="47"/>
      <c r="N1768" s="8"/>
      <c r="P1768" s="8"/>
    </row>
    <row r="1769">
      <c r="B1769" s="53"/>
      <c r="E1769" s="47"/>
      <c r="F1769" s="47"/>
      <c r="N1769" s="8"/>
      <c r="P1769" s="8"/>
    </row>
    <row r="1770">
      <c r="B1770" s="53"/>
      <c r="E1770" s="47"/>
      <c r="F1770" s="47"/>
      <c r="N1770" s="8"/>
      <c r="P1770" s="8"/>
    </row>
    <row r="1771">
      <c r="B1771" s="53"/>
      <c r="E1771" s="47"/>
      <c r="F1771" s="47"/>
      <c r="N1771" s="8"/>
      <c r="P1771" s="8"/>
    </row>
    <row r="1772">
      <c r="B1772" s="53"/>
      <c r="E1772" s="47"/>
      <c r="F1772" s="47"/>
      <c r="N1772" s="8"/>
      <c r="P1772" s="8"/>
    </row>
    <row r="1773">
      <c r="B1773" s="53"/>
      <c r="E1773" s="47"/>
      <c r="F1773" s="47"/>
      <c r="N1773" s="8"/>
      <c r="P1773" s="8"/>
    </row>
    <row r="1774">
      <c r="B1774" s="53"/>
      <c r="E1774" s="47"/>
      <c r="F1774" s="47"/>
      <c r="N1774" s="8"/>
      <c r="P1774" s="8"/>
    </row>
    <row r="1775">
      <c r="B1775" s="53"/>
      <c r="E1775" s="47"/>
      <c r="F1775" s="47"/>
      <c r="N1775" s="8"/>
      <c r="P1775" s="8"/>
    </row>
    <row r="1776">
      <c r="B1776" s="53"/>
      <c r="E1776" s="47"/>
      <c r="F1776" s="47"/>
      <c r="N1776" s="8"/>
      <c r="P1776" s="8"/>
    </row>
    <row r="1777">
      <c r="B1777" s="53"/>
      <c r="E1777" s="47"/>
      <c r="F1777" s="47"/>
      <c r="N1777" s="8"/>
      <c r="P1777" s="8"/>
    </row>
    <row r="1778">
      <c r="B1778" s="53"/>
      <c r="E1778" s="47"/>
      <c r="F1778" s="47"/>
      <c r="N1778" s="8"/>
      <c r="P1778" s="8"/>
    </row>
    <row r="1779">
      <c r="B1779" s="53"/>
      <c r="E1779" s="47"/>
      <c r="F1779" s="47"/>
      <c r="N1779" s="8"/>
      <c r="P1779" s="8"/>
    </row>
    <row r="1780">
      <c r="B1780" s="53"/>
      <c r="E1780" s="47"/>
      <c r="F1780" s="47"/>
      <c r="N1780" s="8"/>
      <c r="P1780" s="8"/>
    </row>
    <row r="1781">
      <c r="B1781" s="53"/>
      <c r="E1781" s="47"/>
      <c r="F1781" s="47"/>
      <c r="N1781" s="8"/>
      <c r="P1781" s="8"/>
    </row>
    <row r="1782">
      <c r="B1782" s="53"/>
      <c r="E1782" s="47"/>
      <c r="F1782" s="47"/>
      <c r="N1782" s="8"/>
      <c r="P1782" s="8"/>
    </row>
    <row r="1783">
      <c r="B1783" s="53"/>
      <c r="E1783" s="47"/>
      <c r="F1783" s="47"/>
      <c r="N1783" s="8"/>
      <c r="P1783" s="8"/>
    </row>
    <row r="1784">
      <c r="B1784" s="53"/>
      <c r="E1784" s="47"/>
      <c r="F1784" s="47"/>
      <c r="N1784" s="8"/>
      <c r="P1784" s="8"/>
    </row>
    <row r="1785">
      <c r="B1785" s="53"/>
      <c r="E1785" s="47"/>
      <c r="F1785" s="47"/>
      <c r="N1785" s="8"/>
      <c r="P1785" s="8"/>
    </row>
    <row r="1786">
      <c r="B1786" s="53"/>
      <c r="E1786" s="47"/>
      <c r="F1786" s="47"/>
      <c r="N1786" s="8"/>
      <c r="P1786" s="8"/>
    </row>
    <row r="1787">
      <c r="B1787" s="53"/>
      <c r="E1787" s="47"/>
      <c r="F1787" s="47"/>
      <c r="N1787" s="8"/>
      <c r="P1787" s="8"/>
    </row>
    <row r="1788">
      <c r="B1788" s="53"/>
      <c r="E1788" s="47"/>
      <c r="F1788" s="47"/>
      <c r="N1788" s="8"/>
      <c r="P1788" s="8"/>
    </row>
    <row r="1789">
      <c r="B1789" s="53"/>
      <c r="E1789" s="47"/>
      <c r="F1789" s="47"/>
      <c r="N1789" s="8"/>
      <c r="P1789" s="8"/>
    </row>
    <row r="1790">
      <c r="B1790" s="53"/>
      <c r="E1790" s="47"/>
      <c r="F1790" s="47"/>
      <c r="N1790" s="8"/>
      <c r="P1790" s="8"/>
    </row>
    <row r="1791">
      <c r="B1791" s="53"/>
      <c r="E1791" s="47"/>
      <c r="F1791" s="47"/>
      <c r="N1791" s="8"/>
      <c r="P1791" s="8"/>
    </row>
    <row r="1792">
      <c r="B1792" s="53"/>
      <c r="E1792" s="47"/>
      <c r="F1792" s="47"/>
      <c r="N1792" s="8"/>
      <c r="P1792" s="8"/>
    </row>
    <row r="1793">
      <c r="B1793" s="53"/>
      <c r="E1793" s="47"/>
      <c r="F1793" s="47"/>
      <c r="N1793" s="8"/>
      <c r="P1793" s="8"/>
    </row>
    <row r="1794">
      <c r="B1794" s="53"/>
      <c r="E1794" s="47"/>
      <c r="F1794" s="47"/>
      <c r="N1794" s="8"/>
      <c r="P1794" s="8"/>
    </row>
    <row r="1795">
      <c r="B1795" s="53"/>
      <c r="E1795" s="47"/>
      <c r="F1795" s="47"/>
      <c r="N1795" s="8"/>
      <c r="P1795" s="8"/>
    </row>
    <row r="1796">
      <c r="B1796" s="53"/>
      <c r="E1796" s="47"/>
      <c r="F1796" s="47"/>
      <c r="N1796" s="8"/>
      <c r="P1796" s="8"/>
    </row>
    <row r="1797">
      <c r="B1797" s="53"/>
      <c r="E1797" s="47"/>
      <c r="F1797" s="47"/>
      <c r="N1797" s="8"/>
      <c r="P1797" s="8"/>
    </row>
    <row r="1798">
      <c r="B1798" s="53"/>
      <c r="E1798" s="47"/>
      <c r="F1798" s="47"/>
      <c r="N1798" s="8"/>
      <c r="P1798" s="8"/>
    </row>
    <row r="1799">
      <c r="B1799" s="53"/>
      <c r="E1799" s="47"/>
      <c r="F1799" s="47"/>
      <c r="N1799" s="8"/>
      <c r="P1799" s="8"/>
    </row>
    <row r="1800">
      <c r="B1800" s="53"/>
      <c r="E1800" s="47"/>
      <c r="F1800" s="47"/>
      <c r="N1800" s="8"/>
      <c r="P1800" s="8"/>
    </row>
    <row r="1801">
      <c r="B1801" s="53"/>
      <c r="E1801" s="47"/>
      <c r="F1801" s="47"/>
      <c r="N1801" s="8"/>
      <c r="P1801" s="8"/>
    </row>
    <row r="1802">
      <c r="B1802" s="53"/>
      <c r="E1802" s="47"/>
      <c r="F1802" s="47"/>
      <c r="N1802" s="8"/>
      <c r="P1802" s="8"/>
    </row>
    <row r="1803">
      <c r="B1803" s="53"/>
      <c r="E1803" s="47"/>
      <c r="F1803" s="47"/>
      <c r="N1803" s="8"/>
      <c r="P1803" s="8"/>
    </row>
    <row r="1804">
      <c r="B1804" s="53"/>
      <c r="E1804" s="47"/>
      <c r="F1804" s="47"/>
      <c r="N1804" s="8"/>
      <c r="P1804" s="8"/>
    </row>
    <row r="1805">
      <c r="B1805" s="53"/>
      <c r="E1805" s="47"/>
      <c r="F1805" s="47"/>
      <c r="N1805" s="8"/>
      <c r="P1805" s="8"/>
    </row>
    <row r="1806">
      <c r="B1806" s="53"/>
      <c r="E1806" s="47"/>
      <c r="F1806" s="47"/>
      <c r="N1806" s="8"/>
      <c r="P1806" s="8"/>
    </row>
    <row r="1807">
      <c r="B1807" s="53"/>
      <c r="E1807" s="47"/>
      <c r="F1807" s="47"/>
      <c r="N1807" s="8"/>
      <c r="P1807" s="8"/>
    </row>
    <row r="1808">
      <c r="B1808" s="53"/>
      <c r="E1808" s="47"/>
      <c r="F1808" s="47"/>
      <c r="N1808" s="8"/>
      <c r="P1808" s="8"/>
    </row>
    <row r="1809">
      <c r="B1809" s="53"/>
      <c r="E1809" s="47"/>
      <c r="F1809" s="47"/>
      <c r="N1809" s="8"/>
      <c r="P1809" s="8"/>
    </row>
    <row r="1810">
      <c r="B1810" s="53"/>
      <c r="E1810" s="47"/>
      <c r="F1810" s="47"/>
      <c r="N1810" s="8"/>
      <c r="P1810" s="8"/>
    </row>
    <row r="1811">
      <c r="B1811" s="53"/>
      <c r="E1811" s="47"/>
      <c r="F1811" s="47"/>
      <c r="N1811" s="8"/>
      <c r="P1811" s="8"/>
    </row>
    <row r="1812">
      <c r="B1812" s="53"/>
      <c r="E1812" s="47"/>
      <c r="F1812" s="47"/>
      <c r="N1812" s="8"/>
      <c r="P1812" s="8"/>
    </row>
    <row r="1813">
      <c r="B1813" s="53"/>
      <c r="E1813" s="47"/>
      <c r="F1813" s="47"/>
      <c r="N1813" s="8"/>
      <c r="P1813" s="8"/>
    </row>
    <row r="1814">
      <c r="B1814" s="53"/>
      <c r="E1814" s="47"/>
      <c r="F1814" s="47"/>
      <c r="N1814" s="8"/>
      <c r="P1814" s="8"/>
    </row>
    <row r="1815">
      <c r="B1815" s="53"/>
      <c r="E1815" s="47"/>
      <c r="F1815" s="47"/>
      <c r="N1815" s="8"/>
      <c r="P1815" s="8"/>
    </row>
    <row r="1816">
      <c r="B1816" s="53"/>
      <c r="E1816" s="47"/>
      <c r="F1816" s="47"/>
      <c r="N1816" s="8"/>
      <c r="P1816" s="8"/>
    </row>
    <row r="1817">
      <c r="B1817" s="53"/>
      <c r="E1817" s="47"/>
      <c r="F1817" s="47"/>
      <c r="N1817" s="8"/>
      <c r="P1817" s="8"/>
    </row>
    <row r="1818">
      <c r="B1818" s="53"/>
      <c r="E1818" s="47"/>
      <c r="F1818" s="47"/>
      <c r="N1818" s="8"/>
      <c r="P1818" s="8"/>
    </row>
    <row r="1819">
      <c r="B1819" s="53"/>
      <c r="E1819" s="47"/>
      <c r="F1819" s="47"/>
      <c r="N1819" s="8"/>
      <c r="P1819" s="8"/>
    </row>
    <row r="1820">
      <c r="B1820" s="53"/>
      <c r="E1820" s="47"/>
      <c r="F1820" s="47"/>
      <c r="N1820" s="8"/>
      <c r="P1820" s="8"/>
    </row>
    <row r="1821">
      <c r="B1821" s="53"/>
      <c r="E1821" s="47"/>
      <c r="F1821" s="47"/>
      <c r="N1821" s="8"/>
      <c r="P1821" s="8"/>
    </row>
    <row r="1822">
      <c r="B1822" s="53"/>
      <c r="E1822" s="47"/>
      <c r="F1822" s="47"/>
      <c r="N1822" s="8"/>
      <c r="P1822" s="8"/>
    </row>
    <row r="1823">
      <c r="B1823" s="53"/>
      <c r="E1823" s="47"/>
      <c r="F1823" s="47"/>
      <c r="N1823" s="8"/>
      <c r="P1823" s="8"/>
    </row>
    <row r="1824">
      <c r="B1824" s="53"/>
      <c r="E1824" s="47"/>
      <c r="F1824" s="47"/>
      <c r="N1824" s="8"/>
      <c r="P1824" s="8"/>
    </row>
    <row r="1825">
      <c r="B1825" s="53"/>
      <c r="E1825" s="47"/>
      <c r="F1825" s="47"/>
      <c r="N1825" s="8"/>
      <c r="P1825" s="8"/>
    </row>
    <row r="1826">
      <c r="B1826" s="53"/>
      <c r="E1826" s="47"/>
      <c r="F1826" s="47"/>
      <c r="N1826" s="8"/>
      <c r="P1826" s="8"/>
    </row>
    <row r="1827">
      <c r="B1827" s="53"/>
      <c r="E1827" s="47"/>
      <c r="F1827" s="47"/>
      <c r="N1827" s="8"/>
      <c r="P1827" s="8"/>
    </row>
    <row r="1828">
      <c r="B1828" s="53"/>
      <c r="E1828" s="47"/>
      <c r="F1828" s="47"/>
      <c r="N1828" s="8"/>
      <c r="P1828" s="8"/>
    </row>
    <row r="1829">
      <c r="B1829" s="53"/>
      <c r="E1829" s="47"/>
      <c r="F1829" s="47"/>
      <c r="N1829" s="8"/>
      <c r="P1829" s="8"/>
    </row>
    <row r="1830">
      <c r="B1830" s="53"/>
      <c r="E1830" s="47"/>
      <c r="F1830" s="47"/>
      <c r="N1830" s="8"/>
      <c r="P1830" s="8"/>
    </row>
    <row r="1831">
      <c r="B1831" s="53"/>
      <c r="E1831" s="47"/>
      <c r="F1831" s="47"/>
      <c r="N1831" s="8"/>
      <c r="P1831" s="8"/>
    </row>
    <row r="1832">
      <c r="B1832" s="53"/>
      <c r="E1832" s="47"/>
      <c r="F1832" s="47"/>
      <c r="N1832" s="8"/>
      <c r="P1832" s="8"/>
    </row>
    <row r="1833">
      <c r="B1833" s="53"/>
      <c r="E1833" s="47"/>
      <c r="F1833" s="47"/>
      <c r="N1833" s="8"/>
      <c r="P1833" s="8"/>
    </row>
    <row r="1834">
      <c r="B1834" s="53"/>
      <c r="E1834" s="47"/>
      <c r="F1834" s="47"/>
      <c r="N1834" s="8"/>
      <c r="P1834" s="8"/>
    </row>
    <row r="1835">
      <c r="B1835" s="53"/>
      <c r="E1835" s="47"/>
      <c r="F1835" s="47"/>
      <c r="N1835" s="8"/>
      <c r="P1835" s="8"/>
    </row>
    <row r="1836">
      <c r="B1836" s="53"/>
      <c r="E1836" s="47"/>
      <c r="F1836" s="47"/>
      <c r="N1836" s="8"/>
      <c r="P1836" s="8"/>
    </row>
    <row r="1837">
      <c r="B1837" s="53"/>
      <c r="E1837" s="47"/>
      <c r="F1837" s="47"/>
      <c r="N1837" s="8"/>
      <c r="P1837" s="8"/>
    </row>
    <row r="1838">
      <c r="B1838" s="53"/>
      <c r="E1838" s="47"/>
      <c r="F1838" s="47"/>
      <c r="N1838" s="8"/>
      <c r="P1838" s="8"/>
    </row>
    <row r="1839">
      <c r="B1839" s="53"/>
      <c r="E1839" s="47"/>
      <c r="F1839" s="47"/>
      <c r="N1839" s="8"/>
      <c r="P1839" s="8"/>
    </row>
    <row r="1840">
      <c r="B1840" s="53"/>
      <c r="E1840" s="47"/>
      <c r="F1840" s="47"/>
      <c r="N1840" s="8"/>
      <c r="P1840" s="8"/>
    </row>
    <row r="1841">
      <c r="B1841" s="53"/>
      <c r="E1841" s="47"/>
      <c r="F1841" s="47"/>
      <c r="N1841" s="8"/>
      <c r="P1841" s="8"/>
    </row>
    <row r="1842">
      <c r="B1842" s="53"/>
      <c r="E1842" s="47"/>
      <c r="F1842" s="47"/>
      <c r="N1842" s="8"/>
      <c r="P1842" s="8"/>
    </row>
    <row r="1843">
      <c r="B1843" s="53"/>
      <c r="E1843" s="47"/>
      <c r="F1843" s="47"/>
      <c r="N1843" s="8"/>
      <c r="P1843" s="8"/>
    </row>
    <row r="1844">
      <c r="B1844" s="53"/>
      <c r="E1844" s="47"/>
      <c r="F1844" s="47"/>
      <c r="N1844" s="8"/>
      <c r="P1844" s="8"/>
    </row>
  </sheetData>
  <autoFilter ref="$A$2:$G$36">
    <sortState ref="A2:G36">
      <sortCondition ref="D2:D36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5" t="s">
        <v>67</v>
      </c>
      <c r="I1" s="56">
        <f>countifs(B:B,"&lt;&gt;",F:F,"&lt;&gt;")-1</f>
        <v>25</v>
      </c>
      <c r="K1" s="7" t="s">
        <v>68</v>
      </c>
      <c r="L1" s="7" t="s">
        <v>69</v>
      </c>
      <c r="M1" s="7" t="s">
        <v>13</v>
      </c>
    </row>
    <row r="2">
      <c r="H2" s="55" t="s">
        <v>70</v>
      </c>
      <c r="I2" s="56">
        <f t="array" ref="I2">(COUNTA(UNIQUE(C:C))-1)</f>
        <v>20</v>
      </c>
      <c r="K2" s="57" t="str">
        <f>'Internal Summary'!B40</f>
        <v>Atun 1.5litre Palm Oil (6x)</v>
      </c>
      <c r="L2" s="56">
        <f t="shared" ref="L2:L13" si="1">sumif(D:D,K2,E:E)</f>
        <v>10.5</v>
      </c>
      <c r="M2" s="56">
        <f t="shared" ref="M2:M13" si="2">sumif(D:D,K2,F:F)</f>
        <v>293023.29</v>
      </c>
      <c r="N2" s="58"/>
    </row>
    <row r="3">
      <c r="H3" s="55" t="s">
        <v>71</v>
      </c>
      <c r="I3" s="56">
        <f>sum(F:F)</f>
        <v>842790.74</v>
      </c>
      <c r="K3" s="57" t="str">
        <f>'Internal Summary'!B41</f>
        <v>Atun 120g Peppersoup Spice (12x)</v>
      </c>
      <c r="L3" s="56">
        <f t="shared" si="1"/>
        <v>14.25</v>
      </c>
      <c r="M3" s="56">
        <f t="shared" si="2"/>
        <v>477209.31</v>
      </c>
      <c r="N3" s="58"/>
    </row>
    <row r="4">
      <c r="H4" s="1"/>
      <c r="K4" s="57" t="str">
        <f>'Internal Summary'!B42</f>
        <v>Atun 3kg Yellow Garri (4x)</v>
      </c>
      <c r="L4" s="56">
        <f t="shared" si="1"/>
        <v>3.25</v>
      </c>
      <c r="M4" s="56">
        <f t="shared" si="2"/>
        <v>72558.14</v>
      </c>
      <c r="N4" s="58"/>
    </row>
    <row r="5">
      <c r="H5" s="1"/>
      <c r="K5" s="57" t="str">
        <f>'Internal Summary'!B43</f>
        <v/>
      </c>
      <c r="L5" s="56">
        <f t="shared" si="1"/>
        <v>0</v>
      </c>
      <c r="M5" s="56">
        <f t="shared" si="2"/>
        <v>0</v>
      </c>
      <c r="N5" s="58"/>
    </row>
    <row r="6">
      <c r="K6" s="57" t="str">
        <f>'Internal Summary'!B44</f>
        <v/>
      </c>
      <c r="L6" s="56">
        <f t="shared" si="1"/>
        <v>0</v>
      </c>
      <c r="M6" s="56">
        <f t="shared" si="2"/>
        <v>0</v>
      </c>
    </row>
    <row r="7">
      <c r="K7" s="57" t="str">
        <f>'Internal Summary'!B45</f>
        <v/>
      </c>
      <c r="L7" s="56">
        <f t="shared" si="1"/>
        <v>0</v>
      </c>
      <c r="M7" s="56">
        <f t="shared" si="2"/>
        <v>0</v>
      </c>
    </row>
    <row r="8">
      <c r="K8" s="57" t="str">
        <f>'Internal Summary'!B46</f>
        <v/>
      </c>
      <c r="L8" s="56">
        <f t="shared" si="1"/>
        <v>0</v>
      </c>
      <c r="M8" s="56">
        <f t="shared" si="2"/>
        <v>0</v>
      </c>
    </row>
    <row r="9">
      <c r="K9" s="57" t="str">
        <f>'Internal Summary'!B47</f>
        <v/>
      </c>
      <c r="L9" s="56">
        <f t="shared" si="1"/>
        <v>0</v>
      </c>
      <c r="M9" s="56">
        <f t="shared" si="2"/>
        <v>0</v>
      </c>
    </row>
    <row r="10">
      <c r="K10" s="57" t="str">
        <f>'Internal Summary'!B48</f>
        <v/>
      </c>
      <c r="L10" s="56">
        <f t="shared" si="1"/>
        <v>0</v>
      </c>
      <c r="M10" s="56">
        <f t="shared" si="2"/>
        <v>0</v>
      </c>
    </row>
    <row r="11">
      <c r="K11" s="57" t="str">
        <f>'Internal Summary'!B49</f>
        <v/>
      </c>
      <c r="L11" s="56">
        <f t="shared" si="1"/>
        <v>0</v>
      </c>
      <c r="M11" s="56">
        <f t="shared" si="2"/>
        <v>0</v>
      </c>
    </row>
    <row r="12">
      <c r="A12" s="43">
        <v>45758.0</v>
      </c>
      <c r="K12" s="57" t="str">
        <f>'Internal Summary'!B50</f>
        <v/>
      </c>
      <c r="L12" s="56">
        <f t="shared" si="1"/>
        <v>0</v>
      </c>
      <c r="M12" s="56">
        <f t="shared" si="2"/>
        <v>0</v>
      </c>
    </row>
    <row r="13">
      <c r="K13" s="57" t="str">
        <f>'Internal Summary'!B51</f>
        <v/>
      </c>
      <c r="L13" s="56">
        <f t="shared" si="1"/>
        <v>0</v>
      </c>
      <c r="M13" s="56">
        <f t="shared" si="2"/>
        <v>0</v>
      </c>
    </row>
    <row r="14"/>
    <row r="15">
      <c r="I15" s="8"/>
    </row>
    <row r="16"/>
    <row r="17"/>
    <row r="18">
      <c r="I18" s="8"/>
    </row>
    <row r="19"/>
    <row r="20"/>
    <row r="21">
      <c r="I21" s="8"/>
    </row>
    <row r="22"/>
    <row r="23"/>
    <row r="24">
      <c r="I24" s="8"/>
    </row>
    <row r="25"/>
    <row r="26"/>
    <row r="27">
      <c r="I27" s="8"/>
    </row>
    <row r="28"/>
    <row r="29"/>
    <row r="30">
      <c r="I30" s="8"/>
    </row>
    <row r="31"/>
    <row r="32"/>
    <row r="33">
      <c r="I33" s="8"/>
    </row>
    <row r="34"/>
    <row r="35"/>
    <row r="36">
      <c r="I36" s="8"/>
    </row>
    <row r="37"/>
    <row r="38"/>
    <row r="39">
      <c r="I39" s="8"/>
    </row>
    <row r="40"/>
    <row r="41"/>
    <row r="42">
      <c r="I42" s="8"/>
    </row>
    <row r="43"/>
    <row r="44"/>
    <row r="45">
      <c r="I45" s="8"/>
    </row>
    <row r="46"/>
    <row r="47"/>
    <row r="48">
      <c r="I48" s="8"/>
    </row>
    <row r="51">
      <c r="I51" s="8"/>
    </row>
    <row r="54">
      <c r="I54" s="8"/>
    </row>
    <row r="57">
      <c r="I57" s="8"/>
    </row>
    <row r="60">
      <c r="I60" s="8"/>
    </row>
    <row r="63">
      <c r="I63" s="8"/>
    </row>
    <row r="66">
      <c r="I66" s="8"/>
    </row>
    <row r="69">
      <c r="I69" s="8"/>
    </row>
    <row r="72">
      <c r="I72" s="8"/>
    </row>
    <row r="75">
      <c r="I75" s="8"/>
    </row>
    <row r="78">
      <c r="I78" s="8"/>
    </row>
    <row r="81">
      <c r="I81" s="8"/>
    </row>
    <row r="84">
      <c r="I84" s="8"/>
    </row>
    <row r="87">
      <c r="I87" s="8"/>
    </row>
    <row r="90">
      <c r="I90" s="8"/>
    </row>
    <row r="93">
      <c r="I93" s="8"/>
    </row>
    <row r="96">
      <c r="I96" s="8"/>
    </row>
    <row r="99">
      <c r="I99" s="8"/>
    </row>
    <row r="102">
      <c r="I102" s="8"/>
    </row>
    <row r="105">
      <c r="I105" s="8"/>
    </row>
    <row r="108">
      <c r="I108" s="8"/>
    </row>
    <row r="111">
      <c r="I111" s="8"/>
    </row>
    <row r="114">
      <c r="I114" s="8"/>
    </row>
    <row r="117">
      <c r="I117" s="8"/>
    </row>
    <row r="120">
      <c r="I120" s="8"/>
    </row>
    <row r="123">
      <c r="I123" s="8"/>
    </row>
    <row r="126">
      <c r="I126" s="8"/>
    </row>
    <row r="129">
      <c r="I129" s="8"/>
    </row>
    <row r="132">
      <c r="I132" s="8"/>
    </row>
    <row r="135">
      <c r="I135" s="8"/>
    </row>
    <row r="138">
      <c r="I138" s="8"/>
    </row>
    <row r="141">
      <c r="I141" s="8"/>
    </row>
    <row r="144">
      <c r="I144" s="8"/>
    </row>
    <row r="147">
      <c r="I147" s="8"/>
    </row>
    <row r="150">
      <c r="I150" s="8"/>
    </row>
    <row r="153">
      <c r="I153" s="8"/>
    </row>
    <row r="156">
      <c r="I156" s="8"/>
    </row>
    <row r="159">
      <c r="I159" s="8"/>
    </row>
    <row r="162">
      <c r="I162" s="8"/>
    </row>
    <row r="165">
      <c r="I165" s="8"/>
    </row>
    <row r="168">
      <c r="I168" s="8"/>
    </row>
    <row r="171">
      <c r="I171" s="8"/>
    </row>
    <row r="174">
      <c r="I174" s="8"/>
    </row>
    <row r="177">
      <c r="I177" s="8"/>
    </row>
    <row r="180">
      <c r="I180" s="8"/>
    </row>
    <row r="183">
      <c r="I183" s="8"/>
    </row>
    <row r="186">
      <c r="I186" s="8"/>
    </row>
    <row r="189">
      <c r="I189" s="8"/>
    </row>
    <row r="192">
      <c r="I192" s="8"/>
    </row>
    <row r="195">
      <c r="I195" s="8"/>
    </row>
    <row r="198">
      <c r="I198" s="8"/>
    </row>
    <row r="201">
      <c r="I201" s="8"/>
    </row>
    <row r="204">
      <c r="I204" s="8"/>
    </row>
    <row r="207">
      <c r="I207" s="8"/>
    </row>
    <row r="210">
      <c r="I210" s="8"/>
    </row>
    <row r="213">
      <c r="I213" s="8"/>
    </row>
    <row r="216">
      <c r="I216" s="8"/>
    </row>
    <row r="219">
      <c r="I219" s="8"/>
    </row>
    <row r="222">
      <c r="I222" s="8"/>
    </row>
    <row r="225">
      <c r="I225" s="8"/>
    </row>
    <row r="228">
      <c r="I228" s="8"/>
    </row>
    <row r="231">
      <c r="I231" s="8"/>
    </row>
    <row r="234">
      <c r="I234" s="8"/>
    </row>
    <row r="237">
      <c r="I237" s="8"/>
    </row>
    <row r="240">
      <c r="I240" s="8"/>
    </row>
    <row r="243">
      <c r="I243" s="8"/>
    </row>
    <row r="318">
      <c r="I318" s="8"/>
    </row>
    <row r="321">
      <c r="I321" s="8"/>
    </row>
    <row r="324">
      <c r="I324" s="8"/>
    </row>
    <row r="327">
      <c r="I327" s="8"/>
    </row>
    <row r="330">
      <c r="I330" s="8"/>
    </row>
    <row r="333">
      <c r="I333" s="8"/>
    </row>
    <row r="336">
      <c r="I336" s="8"/>
    </row>
    <row r="339">
      <c r="I339" s="8"/>
    </row>
    <row r="342">
      <c r="I342" s="8"/>
    </row>
    <row r="345">
      <c r="I345" s="8"/>
    </row>
    <row r="348">
      <c r="I348" s="8"/>
    </row>
    <row r="351">
      <c r="I351" s="8"/>
    </row>
    <row r="354">
      <c r="I354" s="8"/>
    </row>
    <row r="357">
      <c r="I357" s="8"/>
    </row>
    <row r="360">
      <c r="I360" s="8"/>
    </row>
    <row r="363">
      <c r="I363" s="8"/>
    </row>
    <row r="366">
      <c r="I366" s="8"/>
    </row>
    <row r="369">
      <c r="I369" s="8"/>
    </row>
    <row r="372">
      <c r="I372" s="8"/>
    </row>
    <row r="375">
      <c r="I375" s="8"/>
    </row>
    <row r="378">
      <c r="I378" s="8"/>
    </row>
    <row r="381">
      <c r="I381" s="8"/>
    </row>
    <row r="384">
      <c r="I384" s="8"/>
    </row>
    <row r="387">
      <c r="I387" s="8"/>
    </row>
    <row r="390">
      <c r="I390" s="8"/>
    </row>
    <row r="393">
      <c r="I393" s="8"/>
    </row>
    <row r="396">
      <c r="I396" s="8"/>
    </row>
    <row r="399">
      <c r="I399" s="8"/>
    </row>
    <row r="402">
      <c r="I402" s="8"/>
    </row>
    <row r="405">
      <c r="I405" s="8"/>
    </row>
    <row r="408">
      <c r="I408" s="8"/>
    </row>
    <row r="411">
      <c r="I411" s="8"/>
    </row>
    <row r="414">
      <c r="I414" s="8"/>
    </row>
    <row r="417">
      <c r="I417" s="8"/>
    </row>
    <row r="420">
      <c r="I420" s="8"/>
    </row>
    <row r="423">
      <c r="I423" s="8"/>
    </row>
    <row r="426">
      <c r="I426" s="8"/>
    </row>
    <row r="429">
      <c r="I429" s="8"/>
    </row>
    <row r="432">
      <c r="I432" s="8"/>
    </row>
    <row r="435">
      <c r="I435" s="8"/>
    </row>
    <row r="438">
      <c r="I438" s="8"/>
    </row>
    <row r="441">
      <c r="I441" s="8"/>
    </row>
    <row r="444">
      <c r="I444" s="8"/>
    </row>
    <row r="447">
      <c r="I447" s="8"/>
    </row>
    <row r="450">
      <c r="I450" s="8"/>
    </row>
    <row r="453">
      <c r="I453" s="8"/>
    </row>
    <row r="456">
      <c r="I456" s="8"/>
    </row>
    <row r="459">
      <c r="I459" s="8"/>
    </row>
    <row r="462">
      <c r="I462" s="8"/>
    </row>
    <row r="465">
      <c r="I465" s="8"/>
    </row>
    <row r="468">
      <c r="I468" s="8"/>
    </row>
    <row r="471">
      <c r="I471" s="8"/>
    </row>
    <row r="474">
      <c r="I474" s="8"/>
    </row>
    <row r="477">
      <c r="I477" s="8"/>
    </row>
    <row r="480">
      <c r="I480" s="8"/>
    </row>
    <row r="483">
      <c r="I483" s="8"/>
    </row>
    <row r="486">
      <c r="I486" s="8"/>
    </row>
    <row r="489">
      <c r="I489" s="8"/>
    </row>
    <row r="492">
      <c r="I492" s="8"/>
    </row>
    <row r="495">
      <c r="I495" s="8"/>
    </row>
    <row r="498">
      <c r="I498" s="8"/>
    </row>
    <row r="501">
      <c r="I501" s="8"/>
    </row>
    <row r="504">
      <c r="I504" s="8"/>
    </row>
    <row r="507">
      <c r="I507" s="8"/>
    </row>
    <row r="510">
      <c r="I510" s="8"/>
    </row>
    <row r="513">
      <c r="I513" s="8"/>
    </row>
    <row r="516">
      <c r="I516" s="8"/>
    </row>
    <row r="519">
      <c r="I519" s="8"/>
    </row>
    <row r="522">
      <c r="I522" s="8"/>
    </row>
    <row r="525">
      <c r="I525" s="8"/>
    </row>
    <row r="528">
      <c r="I528" s="8"/>
    </row>
    <row r="531">
      <c r="I531" s="8"/>
    </row>
    <row r="534">
      <c r="I534" s="8"/>
    </row>
    <row r="537">
      <c r="I537" s="8"/>
    </row>
    <row r="540">
      <c r="I540" s="8"/>
    </row>
    <row r="543">
      <c r="I543" s="8"/>
    </row>
    <row r="546">
      <c r="I546" s="8"/>
    </row>
    <row r="549">
      <c r="I549" s="8"/>
    </row>
    <row r="552">
      <c r="I552" s="8"/>
    </row>
    <row r="555">
      <c r="I555" s="8"/>
    </row>
    <row r="558">
      <c r="I558" s="8"/>
    </row>
    <row r="561">
      <c r="I561" s="8"/>
    </row>
    <row r="564">
      <c r="I564" s="8"/>
    </row>
    <row r="567">
      <c r="I567" s="8"/>
    </row>
    <row r="570">
      <c r="I570" s="8"/>
    </row>
    <row r="573">
      <c r="I573" s="8"/>
    </row>
    <row r="576">
      <c r="I576" s="8"/>
    </row>
    <row r="579">
      <c r="I579" s="8"/>
    </row>
    <row r="582">
      <c r="I582" s="8"/>
    </row>
    <row r="585">
      <c r="I585" s="8"/>
    </row>
    <row r="588">
      <c r="I588" s="8"/>
    </row>
    <row r="591">
      <c r="I591" s="8"/>
    </row>
    <row r="594">
      <c r="I594" s="8"/>
    </row>
    <row r="597">
      <c r="I597" s="8"/>
    </row>
    <row r="600">
      <c r="I600" s="8"/>
    </row>
    <row r="603">
      <c r="I603" s="8"/>
    </row>
    <row r="606">
      <c r="I606" s="8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5" t="s">
        <v>67</v>
      </c>
      <c r="I1" s="56">
        <f>countifs(B:B,"&lt;&gt;",F:F,"&lt;&gt;")-1</f>
        <v>0</v>
      </c>
      <c r="K1" s="57" t="s">
        <v>68</v>
      </c>
      <c r="L1" s="57" t="s">
        <v>69</v>
      </c>
      <c r="M1" s="57" t="s">
        <v>13</v>
      </c>
    </row>
    <row r="2">
      <c r="H2" s="55" t="s">
        <v>70</v>
      </c>
      <c r="I2" s="56">
        <f t="array" ref="I2">(COUNTA(UNIQUE(C:C))-1)</f>
        <v>0</v>
      </c>
      <c r="K2" s="57" t="str">
        <f>'Internal Summary'!B40</f>
        <v>Atun 1.5litre Palm Oil (6x)</v>
      </c>
      <c r="L2" s="56">
        <f t="shared" ref="L2:L13" si="1">sumif(D:D,K2,E:E)</f>
        <v>0</v>
      </c>
      <c r="M2" s="56">
        <f t="shared" ref="M2:M13" si="2">sumif(D:D,K2,F:F)</f>
        <v>0</v>
      </c>
    </row>
    <row r="3">
      <c r="H3" s="55" t="s">
        <v>71</v>
      </c>
      <c r="I3" s="56">
        <f>sum(F:F)</f>
        <v>0</v>
      </c>
      <c r="K3" s="57" t="str">
        <f>'Internal Summary'!B41</f>
        <v>Atun 120g Peppersoup Spice (12x)</v>
      </c>
      <c r="L3" s="56">
        <f t="shared" si="1"/>
        <v>0</v>
      </c>
      <c r="M3" s="56">
        <f t="shared" si="2"/>
        <v>0</v>
      </c>
    </row>
    <row r="4">
      <c r="H4" s="1"/>
      <c r="K4" s="57" t="str">
        <f>'Internal Summary'!B42</f>
        <v>Atun 3kg Yellow Garri (4x)</v>
      </c>
      <c r="L4" s="56">
        <f t="shared" si="1"/>
        <v>0</v>
      </c>
      <c r="M4" s="56">
        <f t="shared" si="2"/>
        <v>0</v>
      </c>
    </row>
    <row r="5">
      <c r="H5" s="1"/>
      <c r="K5" s="57" t="str">
        <f>'Internal Summary'!B43</f>
        <v/>
      </c>
      <c r="L5" s="56">
        <f t="shared" si="1"/>
        <v>0</v>
      </c>
      <c r="M5" s="56">
        <f t="shared" si="2"/>
        <v>0</v>
      </c>
    </row>
    <row r="6">
      <c r="K6" s="57" t="str">
        <f>'Internal Summary'!B44</f>
        <v/>
      </c>
      <c r="L6" s="56">
        <f t="shared" si="1"/>
        <v>0</v>
      </c>
      <c r="M6" s="56">
        <f t="shared" si="2"/>
        <v>0</v>
      </c>
    </row>
    <row r="7">
      <c r="K7" s="57" t="str">
        <f>'Internal Summary'!B45</f>
        <v/>
      </c>
      <c r="L7" s="56">
        <f t="shared" si="1"/>
        <v>0</v>
      </c>
      <c r="M7" s="56">
        <f t="shared" si="2"/>
        <v>0</v>
      </c>
    </row>
    <row r="8">
      <c r="K8" s="57" t="str">
        <f>'Internal Summary'!B46</f>
        <v/>
      </c>
      <c r="L8" s="56">
        <f t="shared" si="1"/>
        <v>0</v>
      </c>
      <c r="M8" s="56">
        <f t="shared" si="2"/>
        <v>0</v>
      </c>
    </row>
    <row r="9">
      <c r="K9" s="57" t="str">
        <f>'Internal Summary'!B47</f>
        <v/>
      </c>
      <c r="L9" s="56">
        <f t="shared" si="1"/>
        <v>0</v>
      </c>
      <c r="M9" s="56">
        <f t="shared" si="2"/>
        <v>0</v>
      </c>
    </row>
    <row r="10">
      <c r="K10" s="57" t="str">
        <f>'Internal Summary'!B48</f>
        <v/>
      </c>
      <c r="L10" s="56">
        <f t="shared" si="1"/>
        <v>0</v>
      </c>
      <c r="M10" s="56">
        <f t="shared" si="2"/>
        <v>0</v>
      </c>
    </row>
    <row r="11">
      <c r="K11" s="57" t="str">
        <f>'Internal Summary'!B49</f>
        <v/>
      </c>
      <c r="L11" s="56">
        <f t="shared" si="1"/>
        <v>0</v>
      </c>
      <c r="M11" s="56">
        <f t="shared" si="2"/>
        <v>0</v>
      </c>
    </row>
    <row r="12">
      <c r="K12" s="57" t="str">
        <f>'Internal Summary'!B50</f>
        <v/>
      </c>
      <c r="L12" s="56">
        <f t="shared" si="1"/>
        <v>0</v>
      </c>
      <c r="M12" s="56">
        <f t="shared" si="2"/>
        <v>0</v>
      </c>
    </row>
    <row r="13">
      <c r="K13" s="57" t="str">
        <f>'Internal Summary'!B51</f>
        <v/>
      </c>
      <c r="L13" s="56">
        <f t="shared" si="1"/>
        <v>0</v>
      </c>
      <c r="M13" s="5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5" t="s">
        <v>67</v>
      </c>
      <c r="I1" s="56">
        <f>countifs(B:B,"&lt;&gt;",F:F,"&lt;&gt;")-1</f>
        <v>0</v>
      </c>
      <c r="K1" s="57" t="s">
        <v>68</v>
      </c>
      <c r="L1" s="57" t="s">
        <v>72</v>
      </c>
      <c r="M1" s="57" t="s">
        <v>13</v>
      </c>
    </row>
    <row r="2">
      <c r="H2" s="55" t="s">
        <v>70</v>
      </c>
      <c r="I2" s="56">
        <f t="array" ref="I2">(COUNTA(UNIQUE(C:C))-1)</f>
        <v>0</v>
      </c>
      <c r="K2" s="57" t="str">
        <f>'Internal Summary'!B40</f>
        <v>Atun 1.5litre Palm Oil (6x)</v>
      </c>
      <c r="L2" s="56">
        <f t="shared" ref="L2:L13" si="1">sumif(D:D,K2,E:E)</f>
        <v>0</v>
      </c>
      <c r="M2" s="60">
        <f t="shared" ref="M2:M13" si="2">sumif(D:D,K2,F:F)</f>
        <v>0</v>
      </c>
    </row>
    <row r="3">
      <c r="H3" s="55" t="s">
        <v>71</v>
      </c>
      <c r="I3" s="56">
        <f>sum(F:F)</f>
        <v>0</v>
      </c>
      <c r="K3" s="57" t="str">
        <f>'Internal Summary'!B41</f>
        <v>Atun 120g Peppersoup Spice (12x)</v>
      </c>
      <c r="L3" s="56">
        <f t="shared" si="1"/>
        <v>0</v>
      </c>
      <c r="M3" s="60">
        <f t="shared" si="2"/>
        <v>0</v>
      </c>
    </row>
    <row r="4">
      <c r="H4" s="1"/>
      <c r="K4" s="57" t="str">
        <f>'Internal Summary'!B42</f>
        <v>Atun 3kg Yellow Garri (4x)</v>
      </c>
      <c r="L4" s="56">
        <f t="shared" si="1"/>
        <v>0</v>
      </c>
      <c r="M4" s="60">
        <f t="shared" si="2"/>
        <v>0</v>
      </c>
    </row>
    <row r="5">
      <c r="H5" s="1"/>
      <c r="K5" s="57" t="str">
        <f>'Internal Summary'!B43</f>
        <v/>
      </c>
      <c r="L5" s="56">
        <f t="shared" si="1"/>
        <v>0</v>
      </c>
      <c r="M5" s="60">
        <f t="shared" si="2"/>
        <v>0</v>
      </c>
    </row>
    <row r="6">
      <c r="K6" s="57" t="str">
        <f>'Internal Summary'!B44</f>
        <v/>
      </c>
      <c r="L6" s="56">
        <f t="shared" si="1"/>
        <v>0</v>
      </c>
      <c r="M6" s="60">
        <f t="shared" si="2"/>
        <v>0</v>
      </c>
    </row>
    <row r="7">
      <c r="K7" s="57" t="str">
        <f>'Internal Summary'!B45</f>
        <v/>
      </c>
      <c r="L7" s="56">
        <f t="shared" si="1"/>
        <v>0</v>
      </c>
      <c r="M7" s="60">
        <f t="shared" si="2"/>
        <v>0</v>
      </c>
    </row>
    <row r="8">
      <c r="K8" s="57" t="str">
        <f>'Internal Summary'!B46</f>
        <v/>
      </c>
      <c r="L8" s="56">
        <f t="shared" si="1"/>
        <v>0</v>
      </c>
      <c r="M8" s="60">
        <f t="shared" si="2"/>
        <v>0</v>
      </c>
    </row>
    <row r="9">
      <c r="K9" s="57" t="str">
        <f>'Internal Summary'!B47</f>
        <v/>
      </c>
      <c r="L9" s="56">
        <f t="shared" si="1"/>
        <v>0</v>
      </c>
      <c r="M9" s="60">
        <f t="shared" si="2"/>
        <v>0</v>
      </c>
    </row>
    <row r="10">
      <c r="K10" s="57" t="str">
        <f>'Internal Summary'!B48</f>
        <v/>
      </c>
      <c r="L10" s="56">
        <f t="shared" si="1"/>
        <v>0</v>
      </c>
      <c r="M10" s="60">
        <f t="shared" si="2"/>
        <v>0</v>
      </c>
    </row>
    <row r="11">
      <c r="K11" s="57" t="str">
        <f>'Internal Summary'!B49</f>
        <v/>
      </c>
      <c r="L11" s="56">
        <f t="shared" si="1"/>
        <v>0</v>
      </c>
      <c r="M11" s="60">
        <f t="shared" si="2"/>
        <v>0</v>
      </c>
    </row>
    <row r="12">
      <c r="K12" s="57" t="str">
        <f>'Internal Summary'!B50</f>
        <v/>
      </c>
      <c r="L12" s="56">
        <f t="shared" si="1"/>
        <v>0</v>
      </c>
      <c r="M12" s="60">
        <f t="shared" si="2"/>
        <v>0</v>
      </c>
    </row>
    <row r="13">
      <c r="K13" s="57" t="str">
        <f>'Internal Summary'!B51</f>
        <v/>
      </c>
      <c r="L13" s="56">
        <f t="shared" si="1"/>
        <v>0</v>
      </c>
      <c r="M13" s="6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5" t="s">
        <v>67</v>
      </c>
      <c r="I1" s="56">
        <f>countifs(B:B,"&lt;&gt;",F:F,"&lt;&gt;")-1</f>
        <v>1</v>
      </c>
      <c r="K1" s="57" t="s">
        <v>68</v>
      </c>
      <c r="L1" s="57" t="s">
        <v>69</v>
      </c>
    </row>
    <row r="2">
      <c r="H2" s="55" t="s">
        <v>70</v>
      </c>
      <c r="I2" s="56">
        <f t="array" ref="I2">(COUNTA(UNIQUE(C:C,,0))-1)</f>
        <v>1</v>
      </c>
      <c r="K2" s="57" t="str">
        <f>'Internal Summary'!B40</f>
        <v>Atun 1.5litre Palm Oil (6x)</v>
      </c>
      <c r="L2" s="56">
        <f t="shared" ref="L2:L13" si="1">sumif(D:D,K2,E:E)</f>
        <v>0</v>
      </c>
    </row>
    <row r="3">
      <c r="H3" s="55" t="s">
        <v>71</v>
      </c>
      <c r="I3" s="56">
        <f>sum(F:F)</f>
        <v>669767.4</v>
      </c>
      <c r="K3" s="57" t="str">
        <f>'Internal Summary'!B41</f>
        <v>Atun 120g Peppersoup Spice (12x)</v>
      </c>
      <c r="L3" s="56">
        <f t="shared" si="1"/>
        <v>20</v>
      </c>
    </row>
    <row r="4">
      <c r="H4" s="1"/>
      <c r="K4" s="57" t="str">
        <f>'Internal Summary'!B42</f>
        <v>Atun 3kg Yellow Garri (4x)</v>
      </c>
      <c r="L4" s="56">
        <f t="shared" si="1"/>
        <v>0</v>
      </c>
    </row>
    <row r="5">
      <c r="H5" s="1"/>
      <c r="K5" s="57" t="str">
        <f>'Internal Summary'!B43</f>
        <v/>
      </c>
      <c r="L5" s="56">
        <f t="shared" si="1"/>
        <v>0</v>
      </c>
    </row>
    <row r="6">
      <c r="K6" s="57" t="str">
        <f>'Internal Summary'!B44</f>
        <v/>
      </c>
      <c r="L6" s="56">
        <f t="shared" si="1"/>
        <v>0</v>
      </c>
    </row>
    <row r="7">
      <c r="K7" s="57" t="str">
        <f>'Internal Summary'!B45</f>
        <v/>
      </c>
      <c r="L7" s="56">
        <f t="shared" si="1"/>
        <v>0</v>
      </c>
    </row>
    <row r="8">
      <c r="K8" s="57" t="str">
        <f>'Internal Summary'!B46</f>
        <v/>
      </c>
      <c r="L8" s="56">
        <f t="shared" si="1"/>
        <v>0</v>
      </c>
    </row>
    <row r="9">
      <c r="K9" s="57" t="str">
        <f>'Internal Summary'!B47</f>
        <v/>
      </c>
      <c r="L9" s="56">
        <f t="shared" si="1"/>
        <v>0</v>
      </c>
    </row>
    <row r="10">
      <c r="K10" s="57" t="str">
        <f>'Internal Summary'!B48</f>
        <v/>
      </c>
      <c r="L10" s="56">
        <f t="shared" si="1"/>
        <v>0</v>
      </c>
    </row>
    <row r="11">
      <c r="K11" s="57" t="str">
        <f>'Internal Summary'!B49</f>
        <v/>
      </c>
      <c r="L11" s="56">
        <f t="shared" si="1"/>
        <v>0</v>
      </c>
    </row>
    <row r="12">
      <c r="K12" s="57" t="str">
        <f>'Internal Summary'!B50</f>
        <v/>
      </c>
      <c r="L12" s="56">
        <f t="shared" si="1"/>
        <v>0</v>
      </c>
    </row>
    <row r="13">
      <c r="K13" s="57" t="str">
        <f>'Internal Summary'!B51</f>
        <v/>
      </c>
      <c r="L13" s="56">
        <f t="shared" si="1"/>
        <v>0</v>
      </c>
    </row>
    <row r="14"/>
    <row r="15"/>
    <row r="16"/>
    <row r="17"/>
    <row r="18"/>
    <row r="19"/>
    <row r="20"/>
    <row r="132" ht="14.25" customHeight="1"/>
    <row r="138">
      <c r="A138" s="61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5" t="s">
        <v>67</v>
      </c>
      <c r="I1" s="56">
        <f>countifs(B:B,"&lt;&gt;",F:F,"&lt;&gt;")-1</f>
        <v>0</v>
      </c>
      <c r="K1" s="57" t="s">
        <v>68</v>
      </c>
      <c r="L1" s="57" t="s">
        <v>69</v>
      </c>
    </row>
    <row r="2">
      <c r="H2" s="55" t="s">
        <v>70</v>
      </c>
      <c r="I2" s="56">
        <f t="array" ref="I2">(COUNTA(UNIQUE(C:C,,0))-1)</f>
        <v>0</v>
      </c>
      <c r="K2" s="57" t="str">
        <f>'Internal Summary'!B40</f>
        <v>Atun 1.5litre Palm Oil (6x)</v>
      </c>
      <c r="L2" s="56">
        <f t="shared" ref="L2:L13" si="1">sumif(D:D,K2,E:E)</f>
        <v>0</v>
      </c>
    </row>
    <row r="3">
      <c r="H3" s="55" t="s">
        <v>71</v>
      </c>
      <c r="I3" s="56">
        <f>sum(F:F)</f>
        <v>0</v>
      </c>
      <c r="K3" s="57" t="str">
        <f>'Internal Summary'!B41</f>
        <v>Atun 120g Peppersoup Spice (12x)</v>
      </c>
      <c r="L3" s="56">
        <f t="shared" si="1"/>
        <v>0</v>
      </c>
    </row>
    <row r="4">
      <c r="H4" s="1"/>
      <c r="K4" s="57" t="str">
        <f>'Internal Summary'!B42</f>
        <v>Atun 3kg Yellow Garri (4x)</v>
      </c>
      <c r="L4" s="56">
        <f t="shared" si="1"/>
        <v>0</v>
      </c>
    </row>
    <row r="5">
      <c r="H5" s="1"/>
      <c r="K5" s="57" t="str">
        <f>'Internal Summary'!B43</f>
        <v/>
      </c>
      <c r="L5" s="56">
        <f t="shared" si="1"/>
        <v>0</v>
      </c>
    </row>
    <row r="6">
      <c r="K6" s="57" t="str">
        <f>'Internal Summary'!B44</f>
        <v/>
      </c>
      <c r="L6" s="56">
        <f t="shared" si="1"/>
        <v>0</v>
      </c>
    </row>
    <row r="7">
      <c r="K7" s="57" t="str">
        <f>'Internal Summary'!B45</f>
        <v/>
      </c>
      <c r="L7" s="56">
        <f t="shared" si="1"/>
        <v>0</v>
      </c>
    </row>
    <row r="8">
      <c r="K8" s="57" t="str">
        <f>'Internal Summary'!B46</f>
        <v/>
      </c>
      <c r="L8" s="56">
        <f t="shared" si="1"/>
        <v>0</v>
      </c>
    </row>
    <row r="9">
      <c r="K9" s="57" t="str">
        <f>'Internal Summary'!B47</f>
        <v/>
      </c>
      <c r="L9" s="56">
        <f t="shared" si="1"/>
        <v>0</v>
      </c>
    </row>
    <row r="10">
      <c r="K10" s="57" t="str">
        <f>'Internal Summary'!B48</f>
        <v/>
      </c>
      <c r="L10" s="56">
        <f t="shared" si="1"/>
        <v>0</v>
      </c>
    </row>
    <row r="11">
      <c r="K11" s="57" t="str">
        <f>'Internal Summary'!B49</f>
        <v/>
      </c>
      <c r="L11" s="56">
        <f t="shared" si="1"/>
        <v>0</v>
      </c>
    </row>
    <row r="12">
      <c r="K12" s="57" t="str">
        <f>'Internal Summary'!B50</f>
        <v/>
      </c>
      <c r="L12" s="56">
        <f t="shared" si="1"/>
        <v>0</v>
      </c>
    </row>
    <row r="13">
      <c r="K13" s="57" t="str">
        <f>'Internal Summary'!B51</f>
        <v/>
      </c>
      <c r="L13" s="56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2"/>
      <c r="B1" s="55" t="s">
        <v>75</v>
      </c>
      <c r="C1" s="55" t="s">
        <v>69</v>
      </c>
      <c r="D1" s="55" t="s">
        <v>76</v>
      </c>
      <c r="E1" s="55" t="s">
        <v>77</v>
      </c>
      <c r="F1" s="63"/>
    </row>
    <row r="2">
      <c r="A2" s="64" t="s">
        <v>78</v>
      </c>
      <c r="B2" s="65" t="s">
        <v>67</v>
      </c>
      <c r="C2" s="66"/>
      <c r="D2" s="67"/>
      <c r="E2" s="68">
        <f>'Dala Sales &amp; Deliveries'!I1+'External Delivery Fulfillment'!I1</f>
        <v>25</v>
      </c>
      <c r="F2" s="63"/>
    </row>
    <row r="3">
      <c r="A3" s="69"/>
      <c r="B3" s="65" t="s">
        <v>79</v>
      </c>
      <c r="C3" s="66"/>
      <c r="D3" s="66"/>
      <c r="E3" s="65">
        <f>'Raw Data'!AW2</f>
        <v>20</v>
      </c>
      <c r="F3" s="63"/>
    </row>
    <row r="4">
      <c r="B4" s="70" t="s">
        <v>80</v>
      </c>
      <c r="C4" s="63"/>
      <c r="D4" s="71"/>
      <c r="E4" s="72">
        <f>'Dala Sales &amp; Deliveries'!I3</f>
        <v>842790.74</v>
      </c>
      <c r="F4" s="63"/>
    </row>
    <row r="5">
      <c r="B5" s="70" t="s">
        <v>81</v>
      </c>
      <c r="C5" s="63"/>
      <c r="D5" s="71"/>
      <c r="E5" s="72">
        <f>'External Delivery Fulfillment'!I3</f>
        <v>0</v>
      </c>
      <c r="F5" s="63"/>
    </row>
    <row r="6">
      <c r="A6" s="73"/>
      <c r="B6" s="74" t="s">
        <v>82</v>
      </c>
      <c r="C6" s="75"/>
      <c r="D6" s="66"/>
      <c r="E6" s="76">
        <f>E4*1.075-E4</f>
        <v>63209.3055</v>
      </c>
      <c r="F6" s="63"/>
    </row>
    <row r="7">
      <c r="A7" s="77"/>
      <c r="B7" s="78" t="s">
        <v>83</v>
      </c>
      <c r="C7" s="79"/>
      <c r="D7" s="79"/>
      <c r="E7" s="80">
        <f>sum(E4:E6)</f>
        <v>906000.0455</v>
      </c>
      <c r="F7" s="63"/>
    </row>
    <row r="8">
      <c r="A8" s="64" t="s">
        <v>84</v>
      </c>
      <c r="B8" s="65" t="s">
        <v>85</v>
      </c>
      <c r="C8" s="66"/>
      <c r="D8" s="81"/>
      <c r="E8" s="82"/>
    </row>
    <row r="9">
      <c r="A9" s="77"/>
      <c r="B9" s="78" t="s">
        <v>86</v>
      </c>
      <c r="C9" s="83">
        <v>0.22</v>
      </c>
      <c r="D9" s="84"/>
      <c r="E9" s="80">
        <f>E8*(C9+100%)-E8</f>
        <v>0</v>
      </c>
      <c r="K9" s="8"/>
      <c r="L9" s="8"/>
      <c r="M9" s="8"/>
    </row>
    <row r="10">
      <c r="A10" s="85" t="s">
        <v>87</v>
      </c>
      <c r="B10" s="78" t="s">
        <v>88</v>
      </c>
      <c r="C10" s="79"/>
      <c r="D10" s="84"/>
      <c r="E10" s="80">
        <f>E7-E8-E9</f>
        <v>906000.0455</v>
      </c>
    </row>
    <row r="11">
      <c r="A11" s="64" t="s">
        <v>89</v>
      </c>
      <c r="B11" s="65" t="s">
        <v>90</v>
      </c>
      <c r="C11" s="86"/>
      <c r="D11" s="87"/>
      <c r="E11" s="87">
        <f>C11*D11</f>
        <v>0</v>
      </c>
    </row>
    <row r="12">
      <c r="A12" s="69"/>
      <c r="B12" s="65" t="s">
        <v>86</v>
      </c>
      <c r="C12" s="88"/>
      <c r="D12" s="81"/>
      <c r="E12" s="87">
        <f>E10*C9</f>
        <v>199320.01</v>
      </c>
    </row>
    <row r="13">
      <c r="A13" s="69"/>
      <c r="B13" s="74" t="s">
        <v>91</v>
      </c>
      <c r="C13" s="66"/>
      <c r="D13" s="89" t="s">
        <v>92</v>
      </c>
      <c r="E13" s="87">
        <f>C22+C26</f>
        <v>87435</v>
      </c>
    </row>
    <row r="14">
      <c r="A14" s="69"/>
      <c r="B14" s="65" t="s">
        <v>93</v>
      </c>
      <c r="C14" s="81"/>
      <c r="D14" s="81"/>
      <c r="E14" s="90">
        <v>0.0</v>
      </c>
    </row>
    <row r="15">
      <c r="A15" s="69"/>
      <c r="B15" s="65" t="s">
        <v>94</v>
      </c>
      <c r="C15" s="81"/>
      <c r="D15" s="81"/>
      <c r="E15" s="87">
        <f>C30</f>
        <v>0</v>
      </c>
    </row>
    <row r="16">
      <c r="A16" s="77"/>
      <c r="B16" s="78" t="s">
        <v>95</v>
      </c>
      <c r="C16" s="84"/>
      <c r="D16" s="84"/>
      <c r="E16" s="80">
        <f>sum(E11:E15)</f>
        <v>286755.01</v>
      </c>
      <c r="H16" s="1"/>
      <c r="I16" s="1"/>
    </row>
    <row r="17">
      <c r="A17" s="85" t="s">
        <v>96</v>
      </c>
      <c r="B17" s="78" t="s">
        <v>97</v>
      </c>
      <c r="C17" s="84"/>
      <c r="D17" s="84"/>
      <c r="E17" s="80">
        <f>E10-E16+C36</f>
        <v>619245.0355</v>
      </c>
      <c r="H17" s="1"/>
      <c r="I17" s="76"/>
      <c r="J17" s="91"/>
      <c r="K17" s="91"/>
      <c r="L17" s="91"/>
      <c r="M17" s="91"/>
      <c r="N17" s="91"/>
    </row>
    <row r="18">
      <c r="A18" s="92"/>
      <c r="B18" s="92"/>
      <c r="C18" s="92"/>
      <c r="D18" s="92"/>
      <c r="E18" s="92"/>
      <c r="H18" s="1"/>
      <c r="I18" s="1"/>
      <c r="J18" s="91"/>
      <c r="K18" s="91"/>
      <c r="L18" s="91"/>
      <c r="M18" s="91"/>
      <c r="N18" s="91"/>
    </row>
    <row r="19">
      <c r="A19" s="1"/>
      <c r="B19" s="92"/>
      <c r="C19" s="92"/>
      <c r="D19" s="92"/>
      <c r="E19" s="92"/>
      <c r="H19" s="1"/>
      <c r="I19" s="1"/>
      <c r="J19" s="91"/>
      <c r="K19" s="91"/>
      <c r="L19" s="91"/>
      <c r="M19" s="91"/>
      <c r="N19" s="91"/>
    </row>
    <row r="20">
      <c r="A20" s="1" t="s">
        <v>98</v>
      </c>
      <c r="B20" s="92"/>
      <c r="C20" s="92"/>
      <c r="D20" s="92"/>
      <c r="E20" s="92"/>
      <c r="H20" s="1"/>
      <c r="I20" s="1"/>
      <c r="J20" s="91"/>
      <c r="K20" s="91"/>
      <c r="L20" s="91"/>
      <c r="M20" s="91"/>
      <c r="N20" s="91"/>
    </row>
    <row r="21">
      <c r="A21" s="92"/>
      <c r="B21" s="55" t="s">
        <v>99</v>
      </c>
      <c r="C21" s="93">
        <f>U69</f>
        <v>20</v>
      </c>
      <c r="H21" s="1"/>
      <c r="I21" s="1"/>
      <c r="J21" s="94"/>
      <c r="K21" s="94"/>
      <c r="L21" s="95"/>
      <c r="M21" s="91"/>
      <c r="N21" s="91"/>
    </row>
    <row r="22">
      <c r="A22" s="92"/>
      <c r="B22" s="55" t="s">
        <v>100</v>
      </c>
      <c r="C22" s="93">
        <f>V69</f>
        <v>30000</v>
      </c>
      <c r="H22" s="1"/>
      <c r="I22" s="1"/>
      <c r="J22" s="94"/>
      <c r="K22" s="94"/>
      <c r="L22" s="95"/>
      <c r="M22" s="91"/>
      <c r="N22" s="91"/>
    </row>
    <row r="23">
      <c r="A23" s="92"/>
      <c r="B23" s="55" t="s">
        <v>101</v>
      </c>
      <c r="C23" s="93">
        <f>S69</f>
        <v>0</v>
      </c>
      <c r="H23" s="1"/>
      <c r="I23" s="1"/>
      <c r="J23" s="94"/>
      <c r="K23" s="94"/>
      <c r="L23" s="95"/>
      <c r="M23" s="91"/>
      <c r="N23" s="91"/>
    </row>
    <row r="24">
      <c r="A24" s="92"/>
      <c r="B24" s="55" t="s">
        <v>102</v>
      </c>
      <c r="C24" s="93">
        <f>T69</f>
        <v>0</v>
      </c>
      <c r="H24" s="1"/>
      <c r="I24" s="76"/>
      <c r="J24" s="94"/>
      <c r="K24" s="94"/>
      <c r="L24" s="95"/>
      <c r="M24" s="91"/>
      <c r="N24" s="91"/>
    </row>
    <row r="25">
      <c r="A25" s="92"/>
      <c r="B25" s="55" t="s">
        <v>103</v>
      </c>
      <c r="C25" s="93">
        <f>67</f>
        <v>67</v>
      </c>
      <c r="H25" s="1"/>
      <c r="I25" s="1"/>
    </row>
    <row r="26">
      <c r="A26" s="92"/>
      <c r="B26" s="55" t="s">
        <v>104</v>
      </c>
      <c r="C26" s="96">
        <f>P69</f>
        <v>57435</v>
      </c>
      <c r="H26" s="1"/>
      <c r="I26" s="1"/>
    </row>
    <row r="27">
      <c r="A27" s="92"/>
      <c r="B27" s="55" t="s">
        <v>105</v>
      </c>
      <c r="C27" s="96">
        <f>Q69</f>
        <v>0</v>
      </c>
      <c r="H27" s="1"/>
      <c r="I27" s="1"/>
    </row>
    <row r="28">
      <c r="A28" s="92"/>
      <c r="B28" s="55" t="s">
        <v>106</v>
      </c>
      <c r="C28" s="96">
        <f>R69</f>
        <v>0</v>
      </c>
      <c r="H28" s="1"/>
      <c r="I28" s="1"/>
    </row>
    <row r="29">
      <c r="A29" s="92"/>
      <c r="B29" s="55" t="s">
        <v>107</v>
      </c>
      <c r="C29" s="93">
        <f>F69</f>
        <v>0</v>
      </c>
      <c r="D29" s="92"/>
      <c r="H29" s="1"/>
      <c r="I29" s="1"/>
    </row>
    <row r="30">
      <c r="A30" s="92"/>
      <c r="B30" s="55" t="s">
        <v>108</v>
      </c>
      <c r="C30" s="93">
        <v>0.0</v>
      </c>
      <c r="D30" s="92"/>
      <c r="H30" s="1"/>
      <c r="I30" s="1"/>
    </row>
    <row r="31">
      <c r="A31" s="92"/>
      <c r="B31" s="55" t="s">
        <v>109</v>
      </c>
      <c r="C31" s="93">
        <f>I69</f>
        <v>0</v>
      </c>
      <c r="D31" s="92"/>
      <c r="H31" s="1"/>
      <c r="I31" s="1"/>
    </row>
    <row r="32">
      <c r="A32" s="92"/>
      <c r="B32" s="55" t="s">
        <v>110</v>
      </c>
      <c r="C32" s="93">
        <v>0.0</v>
      </c>
      <c r="D32" s="92"/>
      <c r="H32" s="1"/>
      <c r="I32" s="1"/>
    </row>
    <row r="33">
      <c r="B33" s="55" t="s">
        <v>111</v>
      </c>
      <c r="C33" s="93">
        <f>L69</f>
        <v>-8</v>
      </c>
    </row>
    <row r="34">
      <c r="B34" s="55" t="s">
        <v>112</v>
      </c>
      <c r="C34" s="96">
        <f>K69</f>
        <v>51.5</v>
      </c>
    </row>
    <row r="35">
      <c r="B35" s="55" t="s">
        <v>113</v>
      </c>
      <c r="C35" s="93">
        <v>0.0</v>
      </c>
    </row>
    <row r="36">
      <c r="B36" s="55" t="s">
        <v>114</v>
      </c>
      <c r="C36" s="93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55" t="s">
        <v>115</v>
      </c>
      <c r="C39" s="55" t="s">
        <v>116</v>
      </c>
      <c r="D39" s="55" t="s">
        <v>117</v>
      </c>
      <c r="E39" s="55" t="s">
        <v>118</v>
      </c>
      <c r="F39" s="57" t="s">
        <v>119</v>
      </c>
      <c r="G39" s="57" t="s">
        <v>120</v>
      </c>
      <c r="H39" s="57" t="s">
        <v>121</v>
      </c>
      <c r="I39" s="57" t="s">
        <v>122</v>
      </c>
      <c r="J39" s="57" t="s">
        <v>123</v>
      </c>
      <c r="K39" s="57" t="s">
        <v>124</v>
      </c>
      <c r="L39" s="57" t="s">
        <v>111</v>
      </c>
      <c r="M39" s="57" t="s">
        <v>113</v>
      </c>
      <c r="N39" s="57" t="s">
        <v>125</v>
      </c>
      <c r="O39" s="57" t="s">
        <v>126</v>
      </c>
      <c r="P39" s="57" t="s">
        <v>127</v>
      </c>
      <c r="Q39" s="57" t="s">
        <v>128</v>
      </c>
      <c r="R39" s="57" t="s">
        <v>129</v>
      </c>
      <c r="S39" s="57" t="s">
        <v>130</v>
      </c>
      <c r="T39" s="57" t="s">
        <v>102</v>
      </c>
      <c r="U39" s="57" t="s">
        <v>131</v>
      </c>
      <c r="V39" s="57" t="s">
        <v>132</v>
      </c>
      <c r="W39" s="57" t="s">
        <v>133</v>
      </c>
    </row>
    <row r="40">
      <c r="B40" s="97" t="s">
        <v>50</v>
      </c>
      <c r="C40" s="98">
        <v>30000.0</v>
      </c>
      <c r="D40" s="97">
        <v>2150.0</v>
      </c>
      <c r="E40" s="98">
        <f t="shared" ref="E40:E42" si="1">C40*0.07</f>
        <v>2100</v>
      </c>
      <c r="F40" s="97"/>
      <c r="G40" s="60">
        <f t="shared" ref="G40:G68" si="2">F40*C40</f>
        <v>0</v>
      </c>
      <c r="H40" s="97"/>
      <c r="I40" s="97"/>
      <c r="J40" s="97"/>
      <c r="K40" s="97">
        <v>14.5</v>
      </c>
      <c r="L40" s="99">
        <f t="shared" ref="L40:L68" si="3">H40+U40+W40-O40-Q40-I40-J40</f>
        <v>-10.5</v>
      </c>
      <c r="M40" s="56">
        <f t="shared" ref="M40:M68" si="4">K40-L40</f>
        <v>25</v>
      </c>
      <c r="N40" s="60">
        <f t="shared" ref="N40:N68" si="5">M40*C40</f>
        <v>750000</v>
      </c>
      <c r="O40" s="56">
        <f>'Dala Sales &amp; Deliveries'!L2</f>
        <v>10.5</v>
      </c>
      <c r="P40" s="60">
        <f t="shared" ref="P40:P68" si="6">O40*E40</f>
        <v>22050</v>
      </c>
      <c r="Q40" s="56">
        <f>'External Delivery Fulfillment'!L2</f>
        <v>0</v>
      </c>
      <c r="R40" s="60">
        <f t="shared" ref="R40:R68" si="7">Q40*E40</f>
        <v>0</v>
      </c>
      <c r="S40" s="56">
        <f>'Forwarding From Client'!L2</f>
        <v>0</v>
      </c>
      <c r="T40" s="60">
        <f t="shared" ref="T40:T68" si="8">S40*E40</f>
        <v>0</v>
      </c>
      <c r="U40" s="56">
        <f>'Dala Restocking'!L2</f>
        <v>0</v>
      </c>
      <c r="V40" s="60">
        <f t="shared" ref="V40:V68" si="9">U40*D40</f>
        <v>0</v>
      </c>
      <c r="W40" s="56">
        <f>'Client Restocking'!L2</f>
        <v>0</v>
      </c>
    </row>
    <row r="41">
      <c r="B41" s="97" t="s">
        <v>15</v>
      </c>
      <c r="C41" s="98">
        <v>30000.0</v>
      </c>
      <c r="D41" s="97">
        <v>1500.0</v>
      </c>
      <c r="E41" s="98">
        <f t="shared" si="1"/>
        <v>2100</v>
      </c>
      <c r="F41" s="100"/>
      <c r="G41" s="60">
        <f t="shared" si="2"/>
        <v>0</v>
      </c>
      <c r="H41" s="97"/>
      <c r="I41" s="97"/>
      <c r="J41" s="100"/>
      <c r="K41" s="97">
        <v>11.0</v>
      </c>
      <c r="L41" s="99">
        <f t="shared" si="3"/>
        <v>5.75</v>
      </c>
      <c r="M41" s="56">
        <f t="shared" si="4"/>
        <v>5.25</v>
      </c>
      <c r="N41" s="60">
        <f t="shared" si="5"/>
        <v>157500</v>
      </c>
      <c r="O41" s="56">
        <f>'Dala Sales &amp; Deliveries'!L3</f>
        <v>14.25</v>
      </c>
      <c r="P41" s="60">
        <f t="shared" si="6"/>
        <v>29925</v>
      </c>
      <c r="Q41" s="56">
        <f>'External Delivery Fulfillment'!L3</f>
        <v>0</v>
      </c>
      <c r="R41" s="60">
        <f t="shared" si="7"/>
        <v>0</v>
      </c>
      <c r="S41" s="56">
        <f>'Forwarding From Client'!L3</f>
        <v>0</v>
      </c>
      <c r="T41" s="60">
        <f t="shared" si="8"/>
        <v>0</v>
      </c>
      <c r="U41" s="56">
        <f>'Dala Restocking'!L3</f>
        <v>20</v>
      </c>
      <c r="V41" s="60">
        <f t="shared" si="9"/>
        <v>30000</v>
      </c>
      <c r="W41" s="56">
        <f>'Client Restocking'!L3</f>
        <v>0</v>
      </c>
    </row>
    <row r="42">
      <c r="B42" s="97" t="s">
        <v>65</v>
      </c>
      <c r="C42" s="98">
        <v>24000.0</v>
      </c>
      <c r="D42" s="97">
        <v>1700.0</v>
      </c>
      <c r="E42" s="98">
        <f t="shared" si="1"/>
        <v>1680</v>
      </c>
      <c r="F42" s="100"/>
      <c r="G42" s="60">
        <f t="shared" si="2"/>
        <v>0</v>
      </c>
      <c r="H42" s="97"/>
      <c r="I42" s="97"/>
      <c r="J42" s="100"/>
      <c r="K42" s="97">
        <v>26.0</v>
      </c>
      <c r="L42" s="99">
        <f t="shared" si="3"/>
        <v>-3.25</v>
      </c>
      <c r="M42" s="56">
        <f t="shared" si="4"/>
        <v>29.25</v>
      </c>
      <c r="N42" s="60">
        <f t="shared" si="5"/>
        <v>702000</v>
      </c>
      <c r="O42" s="56">
        <f>'Dala Sales &amp; Deliveries'!L4</f>
        <v>3.25</v>
      </c>
      <c r="P42" s="60">
        <f t="shared" si="6"/>
        <v>5460</v>
      </c>
      <c r="Q42" s="56">
        <f>'External Delivery Fulfillment'!L4</f>
        <v>0</v>
      </c>
      <c r="R42" s="60">
        <f t="shared" si="7"/>
        <v>0</v>
      </c>
      <c r="S42" s="56">
        <f>'Forwarding From Client'!L4</f>
        <v>0</v>
      </c>
      <c r="T42" s="60">
        <f t="shared" si="8"/>
        <v>0</v>
      </c>
      <c r="U42" s="56">
        <f>'Dala Restocking'!L4</f>
        <v>0</v>
      </c>
      <c r="V42" s="60">
        <f t="shared" si="9"/>
        <v>0</v>
      </c>
      <c r="W42" s="56">
        <f>'Client Restocking'!L4</f>
        <v>0</v>
      </c>
    </row>
    <row r="43">
      <c r="B43" s="97"/>
      <c r="C43" s="98"/>
      <c r="D43" s="97"/>
      <c r="E43" s="98"/>
      <c r="F43" s="100"/>
      <c r="G43" s="60">
        <f t="shared" si="2"/>
        <v>0</v>
      </c>
      <c r="H43" s="97"/>
      <c r="I43" s="97"/>
      <c r="J43" s="100"/>
      <c r="K43" s="100"/>
      <c r="L43" s="99">
        <f t="shared" si="3"/>
        <v>0</v>
      </c>
      <c r="M43" s="56">
        <f t="shared" si="4"/>
        <v>0</v>
      </c>
      <c r="N43" s="60">
        <f t="shared" si="5"/>
        <v>0</v>
      </c>
      <c r="O43" s="56">
        <f>'Dala Sales &amp; Deliveries'!L5</f>
        <v>0</v>
      </c>
      <c r="P43" s="60">
        <f t="shared" si="6"/>
        <v>0</v>
      </c>
      <c r="Q43" s="56">
        <f>'External Delivery Fulfillment'!L5</f>
        <v>0</v>
      </c>
      <c r="R43" s="60">
        <f t="shared" si="7"/>
        <v>0</v>
      </c>
      <c r="S43" s="56">
        <f>'Forwarding From Client'!L5</f>
        <v>0</v>
      </c>
      <c r="T43" s="60">
        <f t="shared" si="8"/>
        <v>0</v>
      </c>
      <c r="U43" s="56">
        <f>'Dala Restocking'!L5</f>
        <v>0</v>
      </c>
      <c r="V43" s="60">
        <f t="shared" si="9"/>
        <v>0</v>
      </c>
      <c r="W43" s="56">
        <f>'Client Restocking'!L5</f>
        <v>0</v>
      </c>
    </row>
    <row r="44">
      <c r="B44" s="97"/>
      <c r="C44" s="98"/>
      <c r="D44" s="97"/>
      <c r="E44" s="98"/>
      <c r="F44" s="100"/>
      <c r="G44" s="60">
        <f t="shared" si="2"/>
        <v>0</v>
      </c>
      <c r="H44" s="97"/>
      <c r="I44" s="97"/>
      <c r="J44" s="100"/>
      <c r="K44" s="100"/>
      <c r="L44" s="99">
        <f t="shared" si="3"/>
        <v>0</v>
      </c>
      <c r="M44" s="56">
        <f t="shared" si="4"/>
        <v>0</v>
      </c>
      <c r="N44" s="60">
        <f t="shared" si="5"/>
        <v>0</v>
      </c>
      <c r="O44" s="56">
        <f>'Dala Sales &amp; Deliveries'!L6</f>
        <v>0</v>
      </c>
      <c r="P44" s="60">
        <f t="shared" si="6"/>
        <v>0</v>
      </c>
      <c r="Q44" s="56">
        <f>'External Delivery Fulfillment'!L6</f>
        <v>0</v>
      </c>
      <c r="R44" s="60">
        <f t="shared" si="7"/>
        <v>0</v>
      </c>
      <c r="S44" s="56">
        <f>'Forwarding From Client'!L6</f>
        <v>0</v>
      </c>
      <c r="T44" s="60">
        <f t="shared" si="8"/>
        <v>0</v>
      </c>
      <c r="U44" s="56">
        <f>'Dala Restocking'!L6</f>
        <v>0</v>
      </c>
      <c r="V44" s="60">
        <f t="shared" si="9"/>
        <v>0</v>
      </c>
      <c r="W44" s="56">
        <f>'Client Restocking'!L6</f>
        <v>0</v>
      </c>
    </row>
    <row r="45">
      <c r="B45" s="97"/>
      <c r="C45" s="98"/>
      <c r="D45" s="97"/>
      <c r="E45" s="98"/>
      <c r="F45" s="100"/>
      <c r="G45" s="60">
        <f t="shared" si="2"/>
        <v>0</v>
      </c>
      <c r="H45" s="100"/>
      <c r="I45" s="100"/>
      <c r="J45" s="100"/>
      <c r="K45" s="100"/>
      <c r="L45" s="99">
        <f t="shared" si="3"/>
        <v>0</v>
      </c>
      <c r="M45" s="56">
        <f t="shared" si="4"/>
        <v>0</v>
      </c>
      <c r="N45" s="60">
        <f t="shared" si="5"/>
        <v>0</v>
      </c>
      <c r="O45" s="56">
        <f>'Dala Sales &amp; Deliveries'!L7</f>
        <v>0</v>
      </c>
      <c r="P45" s="60">
        <f t="shared" si="6"/>
        <v>0</v>
      </c>
      <c r="Q45" s="56">
        <f>'External Delivery Fulfillment'!L7</f>
        <v>0</v>
      </c>
      <c r="R45" s="60">
        <f t="shared" si="7"/>
        <v>0</v>
      </c>
      <c r="S45" s="56">
        <f>'Forwarding From Client'!L7</f>
        <v>0</v>
      </c>
      <c r="T45" s="60">
        <f t="shared" si="8"/>
        <v>0</v>
      </c>
      <c r="U45" s="56">
        <f>'Dala Restocking'!L7</f>
        <v>0</v>
      </c>
      <c r="V45" s="60">
        <f t="shared" si="9"/>
        <v>0</v>
      </c>
      <c r="W45" s="56">
        <f>'Client Restocking'!L7</f>
        <v>0</v>
      </c>
    </row>
    <row r="46">
      <c r="B46" s="97"/>
      <c r="C46" s="98"/>
      <c r="D46" s="97"/>
      <c r="E46" s="98"/>
      <c r="F46" s="100"/>
      <c r="G46" s="60">
        <f t="shared" si="2"/>
        <v>0</v>
      </c>
      <c r="H46" s="100"/>
      <c r="I46" s="100"/>
      <c r="J46" s="100"/>
      <c r="K46" s="100"/>
      <c r="L46" s="99">
        <f t="shared" si="3"/>
        <v>0</v>
      </c>
      <c r="M46" s="56">
        <f t="shared" si="4"/>
        <v>0</v>
      </c>
      <c r="N46" s="60">
        <f t="shared" si="5"/>
        <v>0</v>
      </c>
      <c r="O46" s="56">
        <f>'Dala Sales &amp; Deliveries'!L8</f>
        <v>0</v>
      </c>
      <c r="P46" s="60">
        <f t="shared" si="6"/>
        <v>0</v>
      </c>
      <c r="Q46" s="56">
        <f>'External Delivery Fulfillment'!L8</f>
        <v>0</v>
      </c>
      <c r="R46" s="60">
        <f t="shared" si="7"/>
        <v>0</v>
      </c>
      <c r="S46" s="56">
        <f>'Forwarding From Client'!L8</f>
        <v>0</v>
      </c>
      <c r="T46" s="60">
        <f t="shared" si="8"/>
        <v>0</v>
      </c>
      <c r="U46" s="56">
        <f>'Dala Restocking'!L8</f>
        <v>0</v>
      </c>
      <c r="V46" s="60">
        <f t="shared" si="9"/>
        <v>0</v>
      </c>
      <c r="W46" s="56">
        <f>'Client Restocking'!L8</f>
        <v>0</v>
      </c>
    </row>
    <row r="47">
      <c r="B47" s="97"/>
      <c r="C47" s="98"/>
      <c r="D47" s="97"/>
      <c r="E47" s="98"/>
      <c r="F47" s="100"/>
      <c r="G47" s="60">
        <f t="shared" si="2"/>
        <v>0</v>
      </c>
      <c r="H47" s="100"/>
      <c r="I47" s="100"/>
      <c r="J47" s="100"/>
      <c r="K47" s="100"/>
      <c r="L47" s="99">
        <f t="shared" si="3"/>
        <v>0</v>
      </c>
      <c r="M47" s="56">
        <f t="shared" si="4"/>
        <v>0</v>
      </c>
      <c r="N47" s="60">
        <f t="shared" si="5"/>
        <v>0</v>
      </c>
      <c r="O47" s="56">
        <f>'Dala Sales &amp; Deliveries'!L9</f>
        <v>0</v>
      </c>
      <c r="P47" s="60">
        <f t="shared" si="6"/>
        <v>0</v>
      </c>
      <c r="Q47" s="56">
        <f>'External Delivery Fulfillment'!L9</f>
        <v>0</v>
      </c>
      <c r="R47" s="60">
        <f t="shared" si="7"/>
        <v>0</v>
      </c>
      <c r="S47" s="56">
        <f>'Forwarding From Client'!L9</f>
        <v>0</v>
      </c>
      <c r="T47" s="60">
        <f t="shared" si="8"/>
        <v>0</v>
      </c>
      <c r="U47" s="56">
        <f>'Dala Restocking'!L9</f>
        <v>0</v>
      </c>
      <c r="V47" s="60">
        <f t="shared" si="9"/>
        <v>0</v>
      </c>
      <c r="W47" s="56">
        <f>'Client Restocking'!L9</f>
        <v>0</v>
      </c>
    </row>
    <row r="48">
      <c r="B48" s="97"/>
      <c r="C48" s="98"/>
      <c r="D48" s="97"/>
      <c r="E48" s="98"/>
      <c r="F48" s="100"/>
      <c r="G48" s="60">
        <f t="shared" si="2"/>
        <v>0</v>
      </c>
      <c r="H48" s="100"/>
      <c r="I48" s="100"/>
      <c r="J48" s="100"/>
      <c r="K48" s="100"/>
      <c r="L48" s="99">
        <f t="shared" si="3"/>
        <v>0</v>
      </c>
      <c r="M48" s="56">
        <f t="shared" si="4"/>
        <v>0</v>
      </c>
      <c r="N48" s="60">
        <f t="shared" si="5"/>
        <v>0</v>
      </c>
      <c r="O48" s="56">
        <f>'Dala Sales &amp; Deliveries'!L10</f>
        <v>0</v>
      </c>
      <c r="P48" s="60">
        <f t="shared" si="6"/>
        <v>0</v>
      </c>
      <c r="Q48" s="56">
        <f>'External Delivery Fulfillment'!L10</f>
        <v>0</v>
      </c>
      <c r="R48" s="60">
        <f t="shared" si="7"/>
        <v>0</v>
      </c>
      <c r="S48" s="56">
        <f>'Forwarding From Client'!L10</f>
        <v>0</v>
      </c>
      <c r="T48" s="60">
        <f t="shared" si="8"/>
        <v>0</v>
      </c>
      <c r="U48" s="56">
        <f>'Dala Restocking'!L10</f>
        <v>0</v>
      </c>
      <c r="V48" s="60">
        <f t="shared" si="9"/>
        <v>0</v>
      </c>
      <c r="W48" s="56">
        <f>'Client Restocking'!L10</f>
        <v>0</v>
      </c>
    </row>
    <row r="49">
      <c r="B49" s="97"/>
      <c r="C49" s="98"/>
      <c r="D49" s="97"/>
      <c r="E49" s="98"/>
      <c r="F49" s="100"/>
      <c r="G49" s="60">
        <f t="shared" si="2"/>
        <v>0</v>
      </c>
      <c r="H49" s="100"/>
      <c r="I49" s="100"/>
      <c r="J49" s="100"/>
      <c r="K49" s="100"/>
      <c r="L49" s="99">
        <f t="shared" si="3"/>
        <v>0</v>
      </c>
      <c r="M49" s="56">
        <f t="shared" si="4"/>
        <v>0</v>
      </c>
      <c r="N49" s="60">
        <f t="shared" si="5"/>
        <v>0</v>
      </c>
      <c r="O49" s="56">
        <f>'Dala Sales &amp; Deliveries'!L11</f>
        <v>0</v>
      </c>
      <c r="P49" s="60">
        <f t="shared" si="6"/>
        <v>0</v>
      </c>
      <c r="Q49" s="56">
        <f>'External Delivery Fulfillment'!L11</f>
        <v>0</v>
      </c>
      <c r="R49" s="60">
        <f t="shared" si="7"/>
        <v>0</v>
      </c>
      <c r="S49" s="56">
        <f>'Forwarding From Client'!L11</f>
        <v>0</v>
      </c>
      <c r="T49" s="60">
        <f t="shared" si="8"/>
        <v>0</v>
      </c>
      <c r="U49" s="56">
        <f>'Dala Restocking'!L11</f>
        <v>0</v>
      </c>
      <c r="V49" s="60">
        <f t="shared" si="9"/>
        <v>0</v>
      </c>
      <c r="W49" s="56">
        <f>'Client Restocking'!L11</f>
        <v>0</v>
      </c>
    </row>
    <row r="50">
      <c r="B50" s="97"/>
      <c r="C50" s="98"/>
      <c r="D50" s="97"/>
      <c r="E50" s="98"/>
      <c r="F50" s="100"/>
      <c r="G50" s="60">
        <f t="shared" si="2"/>
        <v>0</v>
      </c>
      <c r="H50" s="100"/>
      <c r="I50" s="100"/>
      <c r="J50" s="100"/>
      <c r="K50" s="100"/>
      <c r="L50" s="99">
        <f t="shared" si="3"/>
        <v>0</v>
      </c>
      <c r="M50" s="56">
        <f t="shared" si="4"/>
        <v>0</v>
      </c>
      <c r="N50" s="60">
        <f t="shared" si="5"/>
        <v>0</v>
      </c>
      <c r="O50" s="56">
        <f>'Dala Sales &amp; Deliveries'!L12</f>
        <v>0</v>
      </c>
      <c r="P50" s="60">
        <f t="shared" si="6"/>
        <v>0</v>
      </c>
      <c r="Q50" s="56">
        <f>'External Delivery Fulfillment'!L12</f>
        <v>0</v>
      </c>
      <c r="R50" s="60">
        <f t="shared" si="7"/>
        <v>0</v>
      </c>
      <c r="S50" s="56">
        <f>'Forwarding From Client'!L12</f>
        <v>0</v>
      </c>
      <c r="T50" s="60">
        <f t="shared" si="8"/>
        <v>0</v>
      </c>
      <c r="U50" s="56">
        <f>'Dala Restocking'!L12</f>
        <v>0</v>
      </c>
      <c r="V50" s="60">
        <f t="shared" si="9"/>
        <v>0</v>
      </c>
      <c r="W50" s="56">
        <f>'Client Restocking'!L12</f>
        <v>0</v>
      </c>
    </row>
    <row r="51">
      <c r="B51" s="97"/>
      <c r="C51" s="98"/>
      <c r="D51" s="97"/>
      <c r="E51" s="98"/>
      <c r="F51" s="100"/>
      <c r="G51" s="60">
        <f t="shared" si="2"/>
        <v>0</v>
      </c>
      <c r="H51" s="100"/>
      <c r="I51" s="100"/>
      <c r="J51" s="100"/>
      <c r="K51" s="100"/>
      <c r="L51" s="99">
        <f t="shared" si="3"/>
        <v>0</v>
      </c>
      <c r="M51" s="56">
        <f t="shared" si="4"/>
        <v>0</v>
      </c>
      <c r="N51" s="60">
        <f t="shared" si="5"/>
        <v>0</v>
      </c>
      <c r="O51" s="56">
        <f>'Dala Sales &amp; Deliveries'!L13</f>
        <v>0</v>
      </c>
      <c r="P51" s="60">
        <f t="shared" si="6"/>
        <v>0</v>
      </c>
      <c r="Q51" s="56">
        <f>'External Delivery Fulfillment'!L13</f>
        <v>0</v>
      </c>
      <c r="R51" s="60">
        <f t="shared" si="7"/>
        <v>0</v>
      </c>
      <c r="S51" s="56">
        <f>'Forwarding From Client'!L13</f>
        <v>0</v>
      </c>
      <c r="T51" s="60">
        <f t="shared" si="8"/>
        <v>0</v>
      </c>
      <c r="U51" s="56">
        <f>'Dala Restocking'!L13</f>
        <v>0</v>
      </c>
      <c r="V51" s="60">
        <f t="shared" si="9"/>
        <v>0</v>
      </c>
      <c r="W51" s="56">
        <f>'Client Restocking'!L13</f>
        <v>0</v>
      </c>
    </row>
    <row r="52">
      <c r="B52" s="100"/>
      <c r="C52" s="100"/>
      <c r="D52" s="100"/>
      <c r="E52" s="100"/>
      <c r="F52" s="100"/>
      <c r="G52" s="60">
        <f t="shared" si="2"/>
        <v>0</v>
      </c>
      <c r="H52" s="100"/>
      <c r="I52" s="100"/>
      <c r="J52" s="100"/>
      <c r="K52" s="100"/>
      <c r="L52" s="57">
        <f t="shared" si="3"/>
        <v>0</v>
      </c>
      <c r="M52" s="60">
        <f t="shared" si="4"/>
        <v>0</v>
      </c>
      <c r="N52" s="60">
        <f t="shared" si="5"/>
        <v>0</v>
      </c>
      <c r="O52" s="60" t="str">
        <f>'Dala Sales &amp; Deliveries'!L14</f>
        <v/>
      </c>
      <c r="P52" s="60">
        <f t="shared" si="6"/>
        <v>0</v>
      </c>
      <c r="Q52" s="60" t="str">
        <f>'External Delivery Fulfillment'!L14</f>
        <v/>
      </c>
      <c r="R52" s="60">
        <f t="shared" si="7"/>
        <v>0</v>
      </c>
      <c r="S52" s="60" t="str">
        <f>'Forwarding From Client'!L14</f>
        <v/>
      </c>
      <c r="T52" s="60">
        <f t="shared" si="8"/>
        <v>0</v>
      </c>
      <c r="U52" s="60" t="str">
        <f>'Dala Restocking'!L14</f>
        <v/>
      </c>
      <c r="V52" s="60">
        <f t="shared" si="9"/>
        <v>0</v>
      </c>
      <c r="W52" s="60" t="str">
        <f>'Client Restocking'!L14</f>
        <v/>
      </c>
    </row>
    <row r="53">
      <c r="B53" s="100"/>
      <c r="C53" s="100"/>
      <c r="D53" s="100"/>
      <c r="E53" s="100"/>
      <c r="F53" s="100"/>
      <c r="G53" s="60">
        <f t="shared" si="2"/>
        <v>0</v>
      </c>
      <c r="H53" s="100"/>
      <c r="I53" s="100"/>
      <c r="J53" s="100"/>
      <c r="K53" s="100"/>
      <c r="L53" s="57">
        <f t="shared" si="3"/>
        <v>0</v>
      </c>
      <c r="M53" s="60">
        <f t="shared" si="4"/>
        <v>0</v>
      </c>
      <c r="N53" s="60">
        <f t="shared" si="5"/>
        <v>0</v>
      </c>
      <c r="O53" s="60" t="str">
        <f>'Dala Sales &amp; Deliveries'!L15</f>
        <v/>
      </c>
      <c r="P53" s="60">
        <f t="shared" si="6"/>
        <v>0</v>
      </c>
      <c r="Q53" s="60" t="str">
        <f>'External Delivery Fulfillment'!L15</f>
        <v/>
      </c>
      <c r="R53" s="60">
        <f t="shared" si="7"/>
        <v>0</v>
      </c>
      <c r="S53" s="60" t="str">
        <f>'Forwarding From Client'!L15</f>
        <v/>
      </c>
      <c r="T53" s="60">
        <f t="shared" si="8"/>
        <v>0</v>
      </c>
      <c r="U53" s="60" t="str">
        <f>'Dala Restocking'!L15</f>
        <v/>
      </c>
      <c r="V53" s="60">
        <f t="shared" si="9"/>
        <v>0</v>
      </c>
      <c r="W53" s="60" t="str">
        <f>'Client Restocking'!L15</f>
        <v/>
      </c>
    </row>
    <row r="54">
      <c r="B54" s="100"/>
      <c r="C54" s="100"/>
      <c r="D54" s="100"/>
      <c r="E54" s="100"/>
      <c r="F54" s="100"/>
      <c r="G54" s="60">
        <f t="shared" si="2"/>
        <v>0</v>
      </c>
      <c r="H54" s="100"/>
      <c r="I54" s="100"/>
      <c r="J54" s="100"/>
      <c r="K54" s="100"/>
      <c r="L54" s="57">
        <f t="shared" si="3"/>
        <v>0</v>
      </c>
      <c r="M54" s="60">
        <f t="shared" si="4"/>
        <v>0</v>
      </c>
      <c r="N54" s="60">
        <f t="shared" si="5"/>
        <v>0</v>
      </c>
      <c r="O54" s="60" t="str">
        <f>'Dala Sales &amp; Deliveries'!L16</f>
        <v/>
      </c>
      <c r="P54" s="60">
        <f t="shared" si="6"/>
        <v>0</v>
      </c>
      <c r="Q54" s="60" t="str">
        <f>'External Delivery Fulfillment'!L16</f>
        <v/>
      </c>
      <c r="R54" s="60">
        <f t="shared" si="7"/>
        <v>0</v>
      </c>
      <c r="S54" s="60" t="str">
        <f>'Forwarding From Client'!L16</f>
        <v/>
      </c>
      <c r="T54" s="60">
        <f t="shared" si="8"/>
        <v>0</v>
      </c>
      <c r="U54" s="60" t="str">
        <f>'Dala Restocking'!L16</f>
        <v/>
      </c>
      <c r="V54" s="60">
        <f t="shared" si="9"/>
        <v>0</v>
      </c>
      <c r="W54" s="60" t="str">
        <f>'Client Restocking'!L16</f>
        <v/>
      </c>
    </row>
    <row r="55">
      <c r="B55" s="100"/>
      <c r="C55" s="100"/>
      <c r="D55" s="100"/>
      <c r="E55" s="100"/>
      <c r="F55" s="100"/>
      <c r="G55" s="60">
        <f t="shared" si="2"/>
        <v>0</v>
      </c>
      <c r="H55" s="100"/>
      <c r="I55" s="100"/>
      <c r="J55" s="100"/>
      <c r="K55" s="100"/>
      <c r="L55" s="57">
        <f t="shared" si="3"/>
        <v>0</v>
      </c>
      <c r="M55" s="60">
        <f t="shared" si="4"/>
        <v>0</v>
      </c>
      <c r="N55" s="60">
        <f t="shared" si="5"/>
        <v>0</v>
      </c>
      <c r="O55" s="60" t="str">
        <f>'Dala Sales &amp; Deliveries'!L17</f>
        <v/>
      </c>
      <c r="P55" s="60">
        <f t="shared" si="6"/>
        <v>0</v>
      </c>
      <c r="Q55" s="60" t="str">
        <f>'External Delivery Fulfillment'!L17</f>
        <v/>
      </c>
      <c r="R55" s="60">
        <f t="shared" si="7"/>
        <v>0</v>
      </c>
      <c r="S55" s="60" t="str">
        <f>'Forwarding From Client'!L17</f>
        <v/>
      </c>
      <c r="T55" s="60">
        <f t="shared" si="8"/>
        <v>0</v>
      </c>
      <c r="U55" s="60" t="str">
        <f>'Dala Restocking'!L17</f>
        <v/>
      </c>
      <c r="V55" s="60">
        <f t="shared" si="9"/>
        <v>0</v>
      </c>
      <c r="W55" s="60" t="str">
        <f>'Client Restocking'!L17</f>
        <v/>
      </c>
    </row>
    <row r="56">
      <c r="B56" s="100"/>
      <c r="C56" s="100"/>
      <c r="D56" s="100"/>
      <c r="E56" s="100"/>
      <c r="F56" s="100"/>
      <c r="G56" s="60">
        <f t="shared" si="2"/>
        <v>0</v>
      </c>
      <c r="H56" s="100"/>
      <c r="I56" s="100"/>
      <c r="J56" s="100"/>
      <c r="K56" s="100"/>
      <c r="L56" s="57">
        <f t="shared" si="3"/>
        <v>0</v>
      </c>
      <c r="M56" s="60">
        <f t="shared" si="4"/>
        <v>0</v>
      </c>
      <c r="N56" s="60">
        <f t="shared" si="5"/>
        <v>0</v>
      </c>
      <c r="O56" s="60" t="str">
        <f>'Dala Sales &amp; Deliveries'!L18</f>
        <v/>
      </c>
      <c r="P56" s="60">
        <f t="shared" si="6"/>
        <v>0</v>
      </c>
      <c r="Q56" s="60" t="str">
        <f>'External Delivery Fulfillment'!L18</f>
        <v/>
      </c>
      <c r="R56" s="60">
        <f t="shared" si="7"/>
        <v>0</v>
      </c>
      <c r="S56" s="60" t="str">
        <f>'Forwarding From Client'!L18</f>
        <v/>
      </c>
      <c r="T56" s="60">
        <f t="shared" si="8"/>
        <v>0</v>
      </c>
      <c r="U56" s="60" t="str">
        <f>'Dala Restocking'!L18</f>
        <v/>
      </c>
      <c r="V56" s="60">
        <f t="shared" si="9"/>
        <v>0</v>
      </c>
      <c r="W56" s="60" t="str">
        <f>'Client Restocking'!L18</f>
        <v/>
      </c>
    </row>
    <row r="57">
      <c r="B57" s="100"/>
      <c r="C57" s="100"/>
      <c r="D57" s="100"/>
      <c r="E57" s="100"/>
      <c r="F57" s="100"/>
      <c r="G57" s="60">
        <f t="shared" si="2"/>
        <v>0</v>
      </c>
      <c r="H57" s="100"/>
      <c r="I57" s="100"/>
      <c r="J57" s="100"/>
      <c r="K57" s="100"/>
      <c r="L57" s="57">
        <f t="shared" si="3"/>
        <v>0</v>
      </c>
      <c r="M57" s="60">
        <f t="shared" si="4"/>
        <v>0</v>
      </c>
      <c r="N57" s="60">
        <f t="shared" si="5"/>
        <v>0</v>
      </c>
      <c r="O57" s="60" t="str">
        <f>'Dala Sales &amp; Deliveries'!L19</f>
        <v/>
      </c>
      <c r="P57" s="60">
        <f t="shared" si="6"/>
        <v>0</v>
      </c>
      <c r="Q57" s="60" t="str">
        <f>'External Delivery Fulfillment'!L19</f>
        <v/>
      </c>
      <c r="R57" s="60">
        <f t="shared" si="7"/>
        <v>0</v>
      </c>
      <c r="S57" s="60" t="str">
        <f>'Forwarding From Client'!L19</f>
        <v/>
      </c>
      <c r="T57" s="60">
        <f t="shared" si="8"/>
        <v>0</v>
      </c>
      <c r="U57" s="60" t="str">
        <f>'Dala Restocking'!L19</f>
        <v/>
      </c>
      <c r="V57" s="60">
        <f t="shared" si="9"/>
        <v>0</v>
      </c>
      <c r="W57" s="60" t="str">
        <f>'Client Restocking'!L19</f>
        <v/>
      </c>
    </row>
    <row r="58">
      <c r="B58" s="100"/>
      <c r="C58" s="100"/>
      <c r="D58" s="100"/>
      <c r="E58" s="100"/>
      <c r="F58" s="100"/>
      <c r="G58" s="60">
        <f t="shared" si="2"/>
        <v>0</v>
      </c>
      <c r="H58" s="100"/>
      <c r="I58" s="100"/>
      <c r="J58" s="100"/>
      <c r="K58" s="100"/>
      <c r="L58" s="57">
        <f t="shared" si="3"/>
        <v>0</v>
      </c>
      <c r="M58" s="60">
        <f t="shared" si="4"/>
        <v>0</v>
      </c>
      <c r="N58" s="60">
        <f t="shared" si="5"/>
        <v>0</v>
      </c>
      <c r="O58" s="60" t="str">
        <f>'Dala Sales &amp; Deliveries'!L20</f>
        <v/>
      </c>
      <c r="P58" s="60">
        <f t="shared" si="6"/>
        <v>0</v>
      </c>
      <c r="Q58" s="60" t="str">
        <f>'External Delivery Fulfillment'!L20</f>
        <v/>
      </c>
      <c r="R58" s="60">
        <f t="shared" si="7"/>
        <v>0</v>
      </c>
      <c r="S58" s="60" t="str">
        <f>'Forwarding From Client'!L20</f>
        <v/>
      </c>
      <c r="T58" s="60">
        <f t="shared" si="8"/>
        <v>0</v>
      </c>
      <c r="U58" s="60" t="str">
        <f>'Dala Restocking'!L20</f>
        <v/>
      </c>
      <c r="V58" s="60">
        <f t="shared" si="9"/>
        <v>0</v>
      </c>
      <c r="W58" s="60" t="str">
        <f>'Client Restocking'!L20</f>
        <v/>
      </c>
    </row>
    <row r="59">
      <c r="B59" s="100"/>
      <c r="C59" s="100"/>
      <c r="D59" s="100"/>
      <c r="E59" s="100"/>
      <c r="F59" s="100"/>
      <c r="G59" s="60">
        <f t="shared" si="2"/>
        <v>0</v>
      </c>
      <c r="H59" s="100"/>
      <c r="I59" s="100"/>
      <c r="J59" s="100"/>
      <c r="K59" s="100"/>
      <c r="L59" s="57">
        <f t="shared" si="3"/>
        <v>0</v>
      </c>
      <c r="M59" s="60">
        <f t="shared" si="4"/>
        <v>0</v>
      </c>
      <c r="N59" s="60">
        <f t="shared" si="5"/>
        <v>0</v>
      </c>
      <c r="O59" s="60" t="str">
        <f>'Dala Sales &amp; Deliveries'!L21</f>
        <v/>
      </c>
      <c r="P59" s="60">
        <f t="shared" si="6"/>
        <v>0</v>
      </c>
      <c r="Q59" s="60" t="str">
        <f>'External Delivery Fulfillment'!L21</f>
        <v/>
      </c>
      <c r="R59" s="60">
        <f t="shared" si="7"/>
        <v>0</v>
      </c>
      <c r="S59" s="60" t="str">
        <f>'Forwarding From Client'!L21</f>
        <v/>
      </c>
      <c r="T59" s="60">
        <f t="shared" si="8"/>
        <v>0</v>
      </c>
      <c r="U59" s="60" t="str">
        <f>'Dala Restocking'!L21</f>
        <v/>
      </c>
      <c r="V59" s="60">
        <f t="shared" si="9"/>
        <v>0</v>
      </c>
      <c r="W59" s="60" t="str">
        <f>'Client Restocking'!L21</f>
        <v/>
      </c>
    </row>
    <row r="60">
      <c r="B60" s="100"/>
      <c r="C60" s="100"/>
      <c r="D60" s="100"/>
      <c r="E60" s="100"/>
      <c r="F60" s="100"/>
      <c r="G60" s="60">
        <f t="shared" si="2"/>
        <v>0</v>
      </c>
      <c r="H60" s="100"/>
      <c r="I60" s="100"/>
      <c r="J60" s="100"/>
      <c r="K60" s="100"/>
      <c r="L60" s="57">
        <f t="shared" si="3"/>
        <v>0</v>
      </c>
      <c r="M60" s="60">
        <f t="shared" si="4"/>
        <v>0</v>
      </c>
      <c r="N60" s="60">
        <f t="shared" si="5"/>
        <v>0</v>
      </c>
      <c r="O60" s="60" t="str">
        <f>'Dala Sales &amp; Deliveries'!L22</f>
        <v/>
      </c>
      <c r="P60" s="60">
        <f t="shared" si="6"/>
        <v>0</v>
      </c>
      <c r="Q60" s="60" t="str">
        <f>'External Delivery Fulfillment'!L22</f>
        <v/>
      </c>
      <c r="R60" s="60">
        <f t="shared" si="7"/>
        <v>0</v>
      </c>
      <c r="S60" s="60" t="str">
        <f>'Forwarding From Client'!L22</f>
        <v/>
      </c>
      <c r="T60" s="60">
        <f t="shared" si="8"/>
        <v>0</v>
      </c>
      <c r="U60" s="60" t="str">
        <f>'Dala Restocking'!L22</f>
        <v/>
      </c>
      <c r="V60" s="60">
        <f t="shared" si="9"/>
        <v>0</v>
      </c>
      <c r="W60" s="60" t="str">
        <f>'Client Restocking'!L22</f>
        <v/>
      </c>
    </row>
    <row r="61">
      <c r="B61" s="100"/>
      <c r="C61" s="100"/>
      <c r="D61" s="100"/>
      <c r="E61" s="100"/>
      <c r="F61" s="100"/>
      <c r="G61" s="60">
        <f t="shared" si="2"/>
        <v>0</v>
      </c>
      <c r="H61" s="100"/>
      <c r="I61" s="100"/>
      <c r="J61" s="100"/>
      <c r="K61" s="100"/>
      <c r="L61" s="57">
        <f t="shared" si="3"/>
        <v>0</v>
      </c>
      <c r="M61" s="60">
        <f t="shared" si="4"/>
        <v>0</v>
      </c>
      <c r="N61" s="60">
        <f t="shared" si="5"/>
        <v>0</v>
      </c>
      <c r="O61" s="60" t="str">
        <f>'Dala Sales &amp; Deliveries'!L23</f>
        <v/>
      </c>
      <c r="P61" s="60">
        <f t="shared" si="6"/>
        <v>0</v>
      </c>
      <c r="Q61" s="60" t="str">
        <f>'External Delivery Fulfillment'!L23</f>
        <v/>
      </c>
      <c r="R61" s="60">
        <f t="shared" si="7"/>
        <v>0</v>
      </c>
      <c r="S61" s="60" t="str">
        <f>'Forwarding From Client'!L23</f>
        <v/>
      </c>
      <c r="T61" s="60">
        <f t="shared" si="8"/>
        <v>0</v>
      </c>
      <c r="U61" s="60" t="str">
        <f>'Dala Restocking'!L23</f>
        <v/>
      </c>
      <c r="V61" s="60">
        <f t="shared" si="9"/>
        <v>0</v>
      </c>
      <c r="W61" s="60" t="str">
        <f>'Client Restocking'!L23</f>
        <v/>
      </c>
    </row>
    <row r="62">
      <c r="B62" s="100"/>
      <c r="C62" s="100"/>
      <c r="D62" s="100"/>
      <c r="E62" s="100"/>
      <c r="F62" s="100"/>
      <c r="G62" s="60">
        <f t="shared" si="2"/>
        <v>0</v>
      </c>
      <c r="H62" s="100"/>
      <c r="I62" s="100"/>
      <c r="J62" s="100"/>
      <c r="K62" s="100"/>
      <c r="L62" s="57">
        <f t="shared" si="3"/>
        <v>0</v>
      </c>
      <c r="M62" s="60">
        <f t="shared" si="4"/>
        <v>0</v>
      </c>
      <c r="N62" s="60">
        <f t="shared" si="5"/>
        <v>0</v>
      </c>
      <c r="O62" s="60" t="str">
        <f>'Dala Sales &amp; Deliveries'!L24</f>
        <v/>
      </c>
      <c r="P62" s="60">
        <f t="shared" si="6"/>
        <v>0</v>
      </c>
      <c r="Q62" s="60" t="str">
        <f>'External Delivery Fulfillment'!L24</f>
        <v/>
      </c>
      <c r="R62" s="60">
        <f t="shared" si="7"/>
        <v>0</v>
      </c>
      <c r="S62" s="60" t="str">
        <f>'Forwarding From Client'!L24</f>
        <v/>
      </c>
      <c r="T62" s="60">
        <f t="shared" si="8"/>
        <v>0</v>
      </c>
      <c r="U62" s="60" t="str">
        <f>'Dala Restocking'!L24</f>
        <v/>
      </c>
      <c r="V62" s="60">
        <f t="shared" si="9"/>
        <v>0</v>
      </c>
      <c r="W62" s="60" t="str">
        <f>'Client Restocking'!L24</f>
        <v/>
      </c>
    </row>
    <row r="63">
      <c r="B63" s="100"/>
      <c r="C63" s="100"/>
      <c r="D63" s="100"/>
      <c r="E63" s="100"/>
      <c r="F63" s="100"/>
      <c r="G63" s="60">
        <f t="shared" si="2"/>
        <v>0</v>
      </c>
      <c r="H63" s="100"/>
      <c r="I63" s="100"/>
      <c r="J63" s="100"/>
      <c r="K63" s="100"/>
      <c r="L63" s="57">
        <f t="shared" si="3"/>
        <v>0</v>
      </c>
      <c r="M63" s="60">
        <f t="shared" si="4"/>
        <v>0</v>
      </c>
      <c r="N63" s="60">
        <f t="shared" si="5"/>
        <v>0</v>
      </c>
      <c r="O63" s="60" t="str">
        <f>'Dala Sales &amp; Deliveries'!L25</f>
        <v/>
      </c>
      <c r="P63" s="60">
        <f t="shared" si="6"/>
        <v>0</v>
      </c>
      <c r="Q63" s="60" t="str">
        <f>'External Delivery Fulfillment'!L25</f>
        <v/>
      </c>
      <c r="R63" s="60">
        <f t="shared" si="7"/>
        <v>0</v>
      </c>
      <c r="S63" s="60" t="str">
        <f>'Forwarding From Client'!L25</f>
        <v/>
      </c>
      <c r="T63" s="60">
        <f t="shared" si="8"/>
        <v>0</v>
      </c>
      <c r="U63" s="60" t="str">
        <f>'Dala Restocking'!L25</f>
        <v/>
      </c>
      <c r="V63" s="60">
        <f t="shared" si="9"/>
        <v>0</v>
      </c>
      <c r="W63" s="60" t="str">
        <f>'Client Restocking'!L25</f>
        <v/>
      </c>
    </row>
    <row r="64">
      <c r="B64" s="100"/>
      <c r="C64" s="100"/>
      <c r="D64" s="100"/>
      <c r="E64" s="100"/>
      <c r="F64" s="100"/>
      <c r="G64" s="60">
        <f t="shared" si="2"/>
        <v>0</v>
      </c>
      <c r="H64" s="100"/>
      <c r="I64" s="100"/>
      <c r="J64" s="100"/>
      <c r="K64" s="100"/>
      <c r="L64" s="57">
        <f t="shared" si="3"/>
        <v>0</v>
      </c>
      <c r="M64" s="60">
        <f t="shared" si="4"/>
        <v>0</v>
      </c>
      <c r="N64" s="60">
        <f t="shared" si="5"/>
        <v>0</v>
      </c>
      <c r="O64" s="60" t="str">
        <f>'Dala Sales &amp; Deliveries'!L26</f>
        <v/>
      </c>
      <c r="P64" s="60">
        <f t="shared" si="6"/>
        <v>0</v>
      </c>
      <c r="Q64" s="60" t="str">
        <f>'External Delivery Fulfillment'!L26</f>
        <v/>
      </c>
      <c r="R64" s="60">
        <f t="shared" si="7"/>
        <v>0</v>
      </c>
      <c r="S64" s="60" t="str">
        <f>'Forwarding From Client'!L26</f>
        <v/>
      </c>
      <c r="T64" s="60">
        <f t="shared" si="8"/>
        <v>0</v>
      </c>
      <c r="U64" s="60" t="str">
        <f>'Dala Restocking'!L26</f>
        <v/>
      </c>
      <c r="V64" s="60">
        <f t="shared" si="9"/>
        <v>0</v>
      </c>
      <c r="W64" s="60" t="str">
        <f>'Client Restocking'!L26</f>
        <v/>
      </c>
    </row>
    <row r="65">
      <c r="B65" s="100"/>
      <c r="C65" s="100"/>
      <c r="D65" s="100"/>
      <c r="E65" s="100"/>
      <c r="F65" s="100"/>
      <c r="G65" s="60">
        <f t="shared" si="2"/>
        <v>0</v>
      </c>
      <c r="H65" s="100"/>
      <c r="I65" s="100"/>
      <c r="J65" s="100"/>
      <c r="K65" s="100"/>
      <c r="L65" s="57">
        <f t="shared" si="3"/>
        <v>0</v>
      </c>
      <c r="M65" s="60">
        <f t="shared" si="4"/>
        <v>0</v>
      </c>
      <c r="N65" s="60">
        <f t="shared" si="5"/>
        <v>0</v>
      </c>
      <c r="O65" s="60" t="str">
        <f>'Dala Sales &amp; Deliveries'!L27</f>
        <v/>
      </c>
      <c r="P65" s="60">
        <f t="shared" si="6"/>
        <v>0</v>
      </c>
      <c r="Q65" s="60" t="str">
        <f>'External Delivery Fulfillment'!L27</f>
        <v/>
      </c>
      <c r="R65" s="60">
        <f t="shared" si="7"/>
        <v>0</v>
      </c>
      <c r="S65" s="60" t="str">
        <f>'Forwarding From Client'!L27</f>
        <v/>
      </c>
      <c r="T65" s="60">
        <f t="shared" si="8"/>
        <v>0</v>
      </c>
      <c r="U65" s="60" t="str">
        <f>'Dala Restocking'!L27</f>
        <v/>
      </c>
      <c r="V65" s="60">
        <f t="shared" si="9"/>
        <v>0</v>
      </c>
      <c r="W65" s="60" t="str">
        <f>'Client Restocking'!L27</f>
        <v/>
      </c>
    </row>
    <row r="66">
      <c r="B66" s="100"/>
      <c r="C66" s="100"/>
      <c r="D66" s="100"/>
      <c r="E66" s="100"/>
      <c r="F66" s="100"/>
      <c r="G66" s="60">
        <f t="shared" si="2"/>
        <v>0</v>
      </c>
      <c r="H66" s="100"/>
      <c r="I66" s="100"/>
      <c r="J66" s="100"/>
      <c r="K66" s="100"/>
      <c r="L66" s="57">
        <f t="shared" si="3"/>
        <v>0</v>
      </c>
      <c r="M66" s="60">
        <f t="shared" si="4"/>
        <v>0</v>
      </c>
      <c r="N66" s="60">
        <f t="shared" si="5"/>
        <v>0</v>
      </c>
      <c r="O66" s="60" t="str">
        <f>'Dala Sales &amp; Deliveries'!L28</f>
        <v/>
      </c>
      <c r="P66" s="60">
        <f t="shared" si="6"/>
        <v>0</v>
      </c>
      <c r="Q66" s="60" t="str">
        <f>'External Delivery Fulfillment'!L28</f>
        <v/>
      </c>
      <c r="R66" s="60">
        <f t="shared" si="7"/>
        <v>0</v>
      </c>
      <c r="S66" s="60" t="str">
        <f>'Forwarding From Client'!L28</f>
        <v/>
      </c>
      <c r="T66" s="60">
        <f t="shared" si="8"/>
        <v>0</v>
      </c>
      <c r="U66" s="60" t="str">
        <f>'Dala Restocking'!L28</f>
        <v/>
      </c>
      <c r="V66" s="60">
        <f t="shared" si="9"/>
        <v>0</v>
      </c>
      <c r="W66" s="60" t="str">
        <f>'Client Restocking'!L28</f>
        <v/>
      </c>
    </row>
    <row r="67">
      <c r="B67" s="100"/>
      <c r="C67" s="100"/>
      <c r="D67" s="100"/>
      <c r="E67" s="100"/>
      <c r="F67" s="100"/>
      <c r="G67" s="60">
        <f t="shared" si="2"/>
        <v>0</v>
      </c>
      <c r="H67" s="100"/>
      <c r="I67" s="100"/>
      <c r="J67" s="100"/>
      <c r="K67" s="100"/>
      <c r="L67" s="57">
        <f t="shared" si="3"/>
        <v>0</v>
      </c>
      <c r="M67" s="60">
        <f t="shared" si="4"/>
        <v>0</v>
      </c>
      <c r="N67" s="60">
        <f t="shared" si="5"/>
        <v>0</v>
      </c>
      <c r="O67" s="60" t="str">
        <f>'Dala Sales &amp; Deliveries'!L29</f>
        <v/>
      </c>
      <c r="P67" s="60">
        <f t="shared" si="6"/>
        <v>0</v>
      </c>
      <c r="Q67" s="60" t="str">
        <f>'External Delivery Fulfillment'!L29</f>
        <v/>
      </c>
      <c r="R67" s="60">
        <f t="shared" si="7"/>
        <v>0</v>
      </c>
      <c r="S67" s="60" t="str">
        <f>'Forwarding From Client'!L29</f>
        <v/>
      </c>
      <c r="T67" s="60">
        <f t="shared" si="8"/>
        <v>0</v>
      </c>
      <c r="U67" s="60" t="str">
        <f>'Dala Restocking'!L29</f>
        <v/>
      </c>
      <c r="V67" s="60">
        <f t="shared" si="9"/>
        <v>0</v>
      </c>
      <c r="W67" s="60" t="str">
        <f>'Client Restocking'!L29</f>
        <v/>
      </c>
    </row>
    <row r="68">
      <c r="B68" s="100"/>
      <c r="C68" s="100"/>
      <c r="D68" s="100"/>
      <c r="E68" s="100"/>
      <c r="F68" s="100"/>
      <c r="G68" s="60">
        <f t="shared" si="2"/>
        <v>0</v>
      </c>
      <c r="H68" s="100"/>
      <c r="I68" s="100"/>
      <c r="J68" s="100"/>
      <c r="K68" s="100"/>
      <c r="L68" s="57">
        <f t="shared" si="3"/>
        <v>0</v>
      </c>
      <c r="M68" s="60">
        <f t="shared" si="4"/>
        <v>0</v>
      </c>
      <c r="N68" s="60">
        <f t="shared" si="5"/>
        <v>0</v>
      </c>
      <c r="O68" s="60" t="str">
        <f>'Dala Sales &amp; Deliveries'!L30</f>
        <v/>
      </c>
      <c r="P68" s="60">
        <f t="shared" si="6"/>
        <v>0</v>
      </c>
      <c r="Q68" s="60" t="str">
        <f>'External Delivery Fulfillment'!L30</f>
        <v/>
      </c>
      <c r="R68" s="60">
        <f t="shared" si="7"/>
        <v>0</v>
      </c>
      <c r="S68" s="60" t="str">
        <f>'Forwarding From Client'!L30</f>
        <v/>
      </c>
      <c r="T68" s="60">
        <f t="shared" si="8"/>
        <v>0</v>
      </c>
      <c r="U68" s="60" t="str">
        <f>'Dala Restocking'!L30</f>
        <v/>
      </c>
      <c r="V68" s="60">
        <f t="shared" si="9"/>
        <v>0</v>
      </c>
      <c r="W68" s="60" t="str">
        <f>'Client Restocking'!L30</f>
        <v/>
      </c>
    </row>
    <row r="69">
      <c r="B69" s="57" t="s">
        <v>134</v>
      </c>
      <c r="C69" s="57"/>
      <c r="D69" s="57"/>
      <c r="E69" s="60"/>
      <c r="F69" s="101">
        <f t="shared" ref="F69:W69" si="10">sum(F40:F68)</f>
        <v>0</v>
      </c>
      <c r="G69" s="101">
        <f t="shared" si="10"/>
        <v>0</v>
      </c>
      <c r="H69" s="101">
        <f t="shared" si="10"/>
        <v>0</v>
      </c>
      <c r="I69" s="101">
        <f t="shared" si="10"/>
        <v>0</v>
      </c>
      <c r="J69" s="101">
        <f t="shared" si="10"/>
        <v>0</v>
      </c>
      <c r="K69" s="101">
        <f t="shared" si="10"/>
        <v>51.5</v>
      </c>
      <c r="L69" s="56">
        <f t="shared" si="10"/>
        <v>-8</v>
      </c>
      <c r="M69" s="56">
        <f t="shared" si="10"/>
        <v>59.5</v>
      </c>
      <c r="N69" s="60">
        <f t="shared" si="10"/>
        <v>1609500</v>
      </c>
      <c r="O69" s="56">
        <f t="shared" si="10"/>
        <v>28</v>
      </c>
      <c r="P69" s="60">
        <f t="shared" si="10"/>
        <v>57435</v>
      </c>
      <c r="Q69" s="56">
        <f t="shared" si="10"/>
        <v>0</v>
      </c>
      <c r="R69" s="60">
        <f t="shared" si="10"/>
        <v>0</v>
      </c>
      <c r="S69" s="56">
        <f t="shared" si="10"/>
        <v>0</v>
      </c>
      <c r="T69" s="60">
        <f t="shared" si="10"/>
        <v>0</v>
      </c>
      <c r="U69" s="56">
        <f t="shared" si="10"/>
        <v>20</v>
      </c>
      <c r="V69" s="60">
        <f t="shared" si="10"/>
        <v>30000</v>
      </c>
      <c r="W69" s="56">
        <f t="shared" si="10"/>
        <v>0</v>
      </c>
    </row>
    <row r="70">
      <c r="C70" s="7" t="s">
        <v>135</v>
      </c>
      <c r="D70" s="7" t="s">
        <v>135</v>
      </c>
      <c r="E70" s="7" t="s">
        <v>135</v>
      </c>
      <c r="F70" s="7" t="s">
        <v>135</v>
      </c>
      <c r="G70" s="7" t="s">
        <v>135</v>
      </c>
      <c r="H70" s="7" t="s">
        <v>135</v>
      </c>
      <c r="I70" s="7" t="s">
        <v>135</v>
      </c>
      <c r="J70" s="7" t="s">
        <v>135</v>
      </c>
      <c r="K70" s="7" t="s">
        <v>135</v>
      </c>
      <c r="L70" s="7" t="s">
        <v>135</v>
      </c>
      <c r="M70" s="7" t="s">
        <v>135</v>
      </c>
      <c r="N70" s="7" t="s">
        <v>135</v>
      </c>
      <c r="O70" s="7" t="s">
        <v>135</v>
      </c>
      <c r="P70" s="7" t="s">
        <v>135</v>
      </c>
      <c r="Q70" s="7" t="s">
        <v>135</v>
      </c>
      <c r="R70" s="7" t="s">
        <v>135</v>
      </c>
      <c r="S70" s="7" t="s">
        <v>135</v>
      </c>
      <c r="T70" s="7" t="s">
        <v>135</v>
      </c>
      <c r="U70" s="7" t="s">
        <v>135</v>
      </c>
      <c r="V70" s="7" t="s">
        <v>135</v>
      </c>
      <c r="W70" s="7" t="s">
        <v>135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62"/>
      <c r="B1" s="55" t="s">
        <v>75</v>
      </c>
      <c r="C1" s="55" t="s">
        <v>69</v>
      </c>
      <c r="D1" s="55" t="s">
        <v>76</v>
      </c>
      <c r="E1" s="55" t="s">
        <v>77</v>
      </c>
      <c r="F1" s="63"/>
    </row>
    <row r="2">
      <c r="A2" s="64" t="s">
        <v>78</v>
      </c>
      <c r="B2" s="65" t="s">
        <v>67</v>
      </c>
      <c r="C2" s="66"/>
      <c r="D2" s="66"/>
      <c r="E2" s="68">
        <f>'Dala Sales &amp; Deliveries'!I1+'External Delivery Fulfillment'!I1+'Forwarding From Client'!I1</f>
        <v>25</v>
      </c>
      <c r="F2" s="63"/>
    </row>
    <row r="3">
      <c r="A3" s="69"/>
      <c r="B3" s="65" t="s">
        <v>79</v>
      </c>
      <c r="C3" s="66"/>
      <c r="D3" s="66"/>
      <c r="E3" s="68">
        <f>'Raw Data'!AW2</f>
        <v>20</v>
      </c>
      <c r="F3" s="63"/>
    </row>
    <row r="4">
      <c r="B4" s="70" t="s">
        <v>80</v>
      </c>
      <c r="C4" s="63"/>
      <c r="D4" s="63"/>
      <c r="E4" s="72">
        <f>'Dala Sales &amp; Deliveries'!I3</f>
        <v>842790.74</v>
      </c>
      <c r="F4" s="63"/>
    </row>
    <row r="5">
      <c r="B5" s="74" t="s">
        <v>82</v>
      </c>
      <c r="C5" s="75"/>
      <c r="D5" s="66"/>
      <c r="E5" s="76">
        <f>E4*1.075-E4</f>
        <v>63209.3055</v>
      </c>
      <c r="F5" s="63"/>
    </row>
    <row r="6">
      <c r="A6" s="77"/>
      <c r="B6" s="78" t="s">
        <v>83</v>
      </c>
      <c r="C6" s="79"/>
      <c r="D6" s="84"/>
      <c r="E6" s="80">
        <f>sum(E4:E5)</f>
        <v>906000.0455</v>
      </c>
      <c r="F6" s="63"/>
    </row>
    <row r="7">
      <c r="A7" s="64" t="s">
        <v>84</v>
      </c>
      <c r="B7" s="65" t="s">
        <v>85</v>
      </c>
      <c r="C7" s="66"/>
      <c r="D7" s="81"/>
      <c r="E7" s="82"/>
    </row>
    <row r="8">
      <c r="A8" s="69"/>
      <c r="B8" s="65" t="s">
        <v>91</v>
      </c>
      <c r="C8" s="102"/>
      <c r="D8" s="81"/>
      <c r="E8" s="87">
        <f>E7*(C8+100%)-E7</f>
        <v>0</v>
      </c>
      <c r="K8" s="8"/>
      <c r="L8" s="8"/>
      <c r="M8" s="8"/>
      <c r="N8" s="8"/>
    </row>
    <row r="9">
      <c r="A9" s="77"/>
      <c r="B9" s="78" t="s">
        <v>86</v>
      </c>
      <c r="C9" s="83">
        <v>0.22</v>
      </c>
      <c r="D9" s="84"/>
      <c r="E9" s="80">
        <f>E7*(C9+100%)-E7</f>
        <v>0</v>
      </c>
      <c r="K9" s="8"/>
      <c r="L9" s="8"/>
      <c r="M9" s="8"/>
      <c r="N9" s="8"/>
    </row>
    <row r="10">
      <c r="A10" s="64" t="s">
        <v>89</v>
      </c>
      <c r="B10" s="65" t="s">
        <v>90</v>
      </c>
      <c r="C10" s="86">
        <v>1.0</v>
      </c>
      <c r="D10" s="87"/>
      <c r="E10" s="87">
        <f>C10*D10</f>
        <v>0</v>
      </c>
    </row>
    <row r="11">
      <c r="A11" s="69"/>
      <c r="B11" s="74" t="s">
        <v>136</v>
      </c>
      <c r="C11" s="66"/>
      <c r="D11" s="89"/>
      <c r="E11" s="87">
        <f>V67</f>
        <v>30000</v>
      </c>
    </row>
    <row r="12">
      <c r="A12" s="69"/>
      <c r="B12" s="74" t="s">
        <v>106</v>
      </c>
      <c r="C12" s="66"/>
      <c r="D12" s="89"/>
      <c r="E12" s="87">
        <f>R67</f>
        <v>0</v>
      </c>
    </row>
    <row r="13">
      <c r="A13" s="69"/>
      <c r="B13" s="65" t="s">
        <v>93</v>
      </c>
      <c r="C13" s="81"/>
      <c r="D13" s="81"/>
      <c r="E13" s="103">
        <v>0.0</v>
      </c>
    </row>
    <row r="14">
      <c r="A14" s="69"/>
      <c r="B14" s="65" t="s">
        <v>94</v>
      </c>
      <c r="C14" s="81"/>
      <c r="D14" s="81"/>
      <c r="E14" s="87">
        <f>C28</f>
        <v>0</v>
      </c>
    </row>
    <row r="15">
      <c r="A15" s="77"/>
      <c r="B15" s="78" t="s">
        <v>137</v>
      </c>
      <c r="C15" s="84"/>
      <c r="D15" s="84"/>
      <c r="E15" s="80">
        <f>sum(E10:E14)</f>
        <v>30000</v>
      </c>
    </row>
    <row r="16">
      <c r="A16" s="92"/>
      <c r="B16" s="92"/>
      <c r="C16" s="92"/>
      <c r="D16" s="92"/>
      <c r="E16" s="92"/>
      <c r="H16" s="91"/>
      <c r="I16" s="91"/>
      <c r="J16" s="91"/>
      <c r="K16" s="91"/>
      <c r="L16" s="91"/>
      <c r="M16" s="91"/>
      <c r="N16" s="91"/>
      <c r="O16" s="91"/>
    </row>
    <row r="17">
      <c r="A17" s="1"/>
      <c r="B17" s="92"/>
      <c r="C17" s="92"/>
      <c r="D17" s="92"/>
      <c r="E17" s="92"/>
      <c r="H17" s="91"/>
      <c r="I17" s="91"/>
      <c r="J17" s="91"/>
      <c r="K17" s="91"/>
      <c r="L17" s="91"/>
      <c r="M17" s="91"/>
      <c r="N17" s="91"/>
      <c r="O17" s="91"/>
    </row>
    <row r="18">
      <c r="A18" s="1" t="s">
        <v>98</v>
      </c>
      <c r="B18" s="92"/>
      <c r="C18" s="92"/>
      <c r="D18" s="92"/>
      <c r="E18" s="92"/>
      <c r="H18" s="91"/>
      <c r="I18" s="91"/>
      <c r="J18" s="91"/>
      <c r="K18" s="91"/>
      <c r="L18" s="91"/>
      <c r="M18" s="91"/>
      <c r="N18" s="91"/>
      <c r="O18" s="91"/>
    </row>
    <row r="19">
      <c r="A19" s="92"/>
      <c r="B19" s="55" t="s">
        <v>99</v>
      </c>
      <c r="C19" s="104">
        <f>U67</f>
        <v>20</v>
      </c>
      <c r="D19" s="92"/>
      <c r="H19" s="105"/>
      <c r="I19" s="94"/>
      <c r="J19" s="94"/>
      <c r="K19" s="94"/>
      <c r="L19" s="94"/>
      <c r="M19" s="95"/>
      <c r="N19" s="91"/>
      <c r="O19" s="91"/>
    </row>
    <row r="20">
      <c r="A20" s="92"/>
      <c r="B20" s="55" t="s">
        <v>100</v>
      </c>
      <c r="C20" s="104">
        <f>V67</f>
        <v>30000</v>
      </c>
      <c r="D20" s="92"/>
      <c r="H20" s="105"/>
      <c r="I20" s="94"/>
      <c r="J20" s="94"/>
      <c r="K20" s="94"/>
      <c r="L20" s="94"/>
      <c r="M20" s="95"/>
      <c r="N20" s="91"/>
      <c r="O20" s="91"/>
    </row>
    <row r="21">
      <c r="A21" s="92"/>
      <c r="B21" s="55" t="s">
        <v>101</v>
      </c>
      <c r="C21" s="104">
        <f>S67</f>
        <v>0</v>
      </c>
      <c r="D21" s="92"/>
      <c r="H21" s="105"/>
      <c r="I21" s="94"/>
      <c r="J21" s="94"/>
      <c r="K21" s="94"/>
      <c r="L21" s="94"/>
      <c r="M21" s="95"/>
      <c r="N21" s="91"/>
      <c r="O21" s="91"/>
    </row>
    <row r="22">
      <c r="A22" s="92"/>
      <c r="B22" s="55" t="s">
        <v>102</v>
      </c>
      <c r="C22" s="104">
        <f>T67</f>
        <v>0</v>
      </c>
      <c r="D22" s="92"/>
      <c r="H22" s="105"/>
      <c r="I22" s="94"/>
      <c r="J22" s="94"/>
      <c r="K22" s="94"/>
      <c r="L22" s="94"/>
      <c r="M22" s="95"/>
      <c r="N22" s="91"/>
      <c r="O22" s="91"/>
    </row>
    <row r="23">
      <c r="A23" s="92"/>
      <c r="B23" s="55" t="s">
        <v>103</v>
      </c>
      <c r="C23" s="104">
        <f>O67</f>
        <v>28</v>
      </c>
      <c r="D23" s="92"/>
      <c r="H23" s="105"/>
      <c r="I23" s="94"/>
      <c r="J23" s="94"/>
      <c r="K23" s="94"/>
      <c r="L23" s="94"/>
      <c r="M23" s="95"/>
      <c r="N23" s="91"/>
      <c r="O23" s="91"/>
    </row>
    <row r="24">
      <c r="A24" s="92"/>
      <c r="B24" s="55" t="s">
        <v>104</v>
      </c>
      <c r="C24" s="104">
        <f>P67</f>
        <v>57435</v>
      </c>
      <c r="D24" s="92"/>
      <c r="H24" s="105"/>
      <c r="I24" s="94"/>
      <c r="J24" s="94"/>
      <c r="K24" s="94"/>
      <c r="L24" s="94"/>
      <c r="M24" s="95"/>
      <c r="N24" s="91"/>
      <c r="O24" s="91"/>
    </row>
    <row r="25">
      <c r="A25" s="92"/>
      <c r="B25" s="55" t="s">
        <v>105</v>
      </c>
      <c r="C25" s="104">
        <f>Q67</f>
        <v>0</v>
      </c>
      <c r="D25" s="92"/>
      <c r="H25" s="105"/>
      <c r="I25" s="94"/>
      <c r="J25" s="94"/>
      <c r="K25" s="94"/>
      <c r="L25" s="94"/>
      <c r="M25" s="95"/>
      <c r="N25" s="91"/>
      <c r="O25" s="91"/>
    </row>
    <row r="26">
      <c r="A26" s="92"/>
      <c r="B26" s="55" t="s">
        <v>106</v>
      </c>
      <c r="C26" s="104">
        <f>R67</f>
        <v>0</v>
      </c>
      <c r="D26" s="92"/>
    </row>
    <row r="27">
      <c r="A27" s="92"/>
      <c r="B27" s="55" t="s">
        <v>107</v>
      </c>
      <c r="C27" s="104">
        <f>F67</f>
        <v>0</v>
      </c>
      <c r="D27" s="92"/>
    </row>
    <row r="28">
      <c r="A28" s="92"/>
      <c r="B28" s="55" t="s">
        <v>108</v>
      </c>
      <c r="C28" s="104">
        <f>G67</f>
        <v>0</v>
      </c>
      <c r="D28" s="92"/>
    </row>
    <row r="29">
      <c r="A29" s="92"/>
      <c r="B29" s="55" t="s">
        <v>109</v>
      </c>
      <c r="C29" s="104">
        <f>I67</f>
        <v>0</v>
      </c>
      <c r="D29" s="92"/>
    </row>
    <row r="30">
      <c r="A30" s="92"/>
      <c r="B30" s="55" t="s">
        <v>138</v>
      </c>
      <c r="C30" s="104">
        <f>J67</f>
        <v>0</v>
      </c>
      <c r="D30" s="92"/>
    </row>
    <row r="31">
      <c r="A31" s="92"/>
      <c r="B31" s="55" t="s">
        <v>111</v>
      </c>
      <c r="C31" s="104">
        <f>L67</f>
        <v>-8</v>
      </c>
      <c r="D31" s="92"/>
    </row>
    <row r="32">
      <c r="A32" s="92"/>
      <c r="B32" s="55" t="s">
        <v>112</v>
      </c>
      <c r="C32" s="104">
        <f>K67</f>
        <v>54.25</v>
      </c>
      <c r="D32" s="92"/>
    </row>
    <row r="33">
      <c r="A33" s="92"/>
      <c r="B33" s="55" t="s">
        <v>113</v>
      </c>
      <c r="C33" s="104">
        <f>M67</f>
        <v>62.25</v>
      </c>
      <c r="D33" s="92"/>
    </row>
    <row r="34">
      <c r="A34" s="92"/>
      <c r="B34" s="55" t="s">
        <v>114</v>
      </c>
      <c r="C34" s="104">
        <v>0.0</v>
      </c>
      <c r="D34" s="92"/>
    </row>
    <row r="36">
      <c r="A36" s="106"/>
    </row>
    <row r="37">
      <c r="A37" s="89"/>
      <c r="B37" s="107" t="s">
        <v>115</v>
      </c>
      <c r="C37" s="55" t="s">
        <v>116</v>
      </c>
      <c r="D37" s="55" t="s">
        <v>117</v>
      </c>
      <c r="E37" s="55" t="s">
        <v>118</v>
      </c>
      <c r="F37" s="57" t="s">
        <v>119</v>
      </c>
      <c r="G37" s="57" t="s">
        <v>120</v>
      </c>
      <c r="H37" s="57" t="s">
        <v>121</v>
      </c>
      <c r="I37" s="57" t="s">
        <v>122</v>
      </c>
      <c r="J37" s="57" t="s">
        <v>123</v>
      </c>
      <c r="K37" s="57" t="s">
        <v>124</v>
      </c>
      <c r="L37" s="57" t="s">
        <v>111</v>
      </c>
      <c r="M37" s="57" t="s">
        <v>113</v>
      </c>
      <c r="N37" s="57" t="s">
        <v>125</v>
      </c>
      <c r="O37" s="57" t="s">
        <v>103</v>
      </c>
      <c r="P37" s="57" t="s">
        <v>127</v>
      </c>
      <c r="Q37" s="57" t="s">
        <v>128</v>
      </c>
      <c r="R37" s="57" t="s">
        <v>129</v>
      </c>
      <c r="S37" s="57" t="s">
        <v>130</v>
      </c>
      <c r="T37" s="57" t="s">
        <v>102</v>
      </c>
      <c r="U37" s="57" t="s">
        <v>131</v>
      </c>
      <c r="V37" s="57" t="s">
        <v>132</v>
      </c>
      <c r="W37" s="57" t="s">
        <v>133</v>
      </c>
    </row>
    <row r="38">
      <c r="A38" s="108"/>
      <c r="B38" s="109" t="str">
        <f>'Internal Summary'!B40</f>
        <v>Atun 1.5litre Palm Oil (6x)</v>
      </c>
      <c r="C38" s="56">
        <f>'Internal Summary'!C40</f>
        <v>30000</v>
      </c>
      <c r="D38" s="56">
        <f>'Internal Summary'!D40</f>
        <v>2150</v>
      </c>
      <c r="E38" s="56">
        <f>'Internal Summary'!E40</f>
        <v>2100</v>
      </c>
      <c r="F38" s="98"/>
      <c r="G38" s="56">
        <f t="shared" ref="G38:G66" si="1">F38*C38</f>
        <v>0</v>
      </c>
      <c r="H38" s="98"/>
      <c r="I38" s="98"/>
      <c r="J38" s="98"/>
      <c r="K38" s="97">
        <v>18.5</v>
      </c>
      <c r="L38" s="110">
        <f t="shared" ref="L38:L66" si="2">H38+U38+W38-O38-Q38-I38-J38</f>
        <v>-10.5</v>
      </c>
      <c r="M38" s="56">
        <f t="shared" ref="M38:M66" si="3">K38-L38</f>
        <v>29</v>
      </c>
      <c r="N38" s="56">
        <f t="shared" ref="N38:N66" si="4">M38*C38</f>
        <v>870000</v>
      </c>
      <c r="O38" s="56">
        <f>'Dala Sales &amp; Deliveries'!L2</f>
        <v>10.5</v>
      </c>
      <c r="P38" s="56">
        <f t="shared" ref="P38:P66" si="5">O38*E38</f>
        <v>22050</v>
      </c>
      <c r="Q38" s="56">
        <f>'External Delivery Fulfillment'!L2</f>
        <v>0</v>
      </c>
      <c r="R38" s="56">
        <f t="shared" ref="R38:R66" si="6">Q38*E38</f>
        <v>0</v>
      </c>
      <c r="S38" s="56">
        <f>'Forwarding From Client'!L2</f>
        <v>0</v>
      </c>
      <c r="T38" s="56">
        <f t="shared" ref="T38:T66" si="7">S38*E38</f>
        <v>0</v>
      </c>
      <c r="U38" s="56">
        <f>'Dala Restocking'!L2</f>
        <v>0</v>
      </c>
      <c r="V38" s="56">
        <f t="shared" ref="V38:V66" si="8">U38*D38</f>
        <v>0</v>
      </c>
      <c r="W38" s="56">
        <f>'Client Restocking'!L2</f>
        <v>0</v>
      </c>
    </row>
    <row r="39">
      <c r="A39" s="108"/>
      <c r="B39" s="109" t="str">
        <f>'Internal Summary'!B41</f>
        <v>Atun 120g Peppersoup Spice (12x)</v>
      </c>
      <c r="C39" s="56">
        <f>'Internal Summary'!C41</f>
        <v>30000</v>
      </c>
      <c r="D39" s="56">
        <f>'Internal Summary'!D41</f>
        <v>1500</v>
      </c>
      <c r="E39" s="56">
        <f>'Internal Summary'!E41</f>
        <v>2100</v>
      </c>
      <c r="F39" s="111"/>
      <c r="G39" s="56">
        <f t="shared" si="1"/>
        <v>0</v>
      </c>
      <c r="H39" s="111"/>
      <c r="I39" s="98"/>
      <c r="J39" s="111"/>
      <c r="K39" s="97">
        <v>6.5</v>
      </c>
      <c r="L39" s="110">
        <f t="shared" si="2"/>
        <v>5.75</v>
      </c>
      <c r="M39" s="56">
        <f t="shared" si="3"/>
        <v>0.75</v>
      </c>
      <c r="N39" s="56">
        <f t="shared" si="4"/>
        <v>22500</v>
      </c>
      <c r="O39" s="56">
        <f>'Dala Sales &amp; Deliveries'!L3</f>
        <v>14.25</v>
      </c>
      <c r="P39" s="56">
        <f t="shared" si="5"/>
        <v>29925</v>
      </c>
      <c r="Q39" s="56">
        <f>'External Delivery Fulfillment'!L3</f>
        <v>0</v>
      </c>
      <c r="R39" s="56">
        <f t="shared" si="6"/>
        <v>0</v>
      </c>
      <c r="S39" s="56">
        <f>'Forwarding From Client'!L3</f>
        <v>0</v>
      </c>
      <c r="T39" s="56">
        <f t="shared" si="7"/>
        <v>0</v>
      </c>
      <c r="U39" s="56">
        <f>'Dala Restocking'!L3</f>
        <v>20</v>
      </c>
      <c r="V39" s="56">
        <f t="shared" si="8"/>
        <v>30000</v>
      </c>
      <c r="W39" s="56">
        <f>'Client Restocking'!L3</f>
        <v>0</v>
      </c>
    </row>
    <row r="40">
      <c r="A40" s="108"/>
      <c r="B40" s="109" t="str">
        <f>'Internal Summary'!B42</f>
        <v>Atun 3kg Yellow Garri (4x)</v>
      </c>
      <c r="C40" s="56">
        <f>'Internal Summary'!C42</f>
        <v>24000</v>
      </c>
      <c r="D40" s="56">
        <f>'Internal Summary'!D42</f>
        <v>1700</v>
      </c>
      <c r="E40" s="56">
        <f>'Internal Summary'!E42</f>
        <v>1680</v>
      </c>
      <c r="F40" s="111"/>
      <c r="G40" s="56">
        <f t="shared" si="1"/>
        <v>0</v>
      </c>
      <c r="H40" s="111"/>
      <c r="I40" s="98"/>
      <c r="J40" s="111"/>
      <c r="K40" s="97">
        <v>29.25</v>
      </c>
      <c r="L40" s="110">
        <f t="shared" si="2"/>
        <v>-3.25</v>
      </c>
      <c r="M40" s="56">
        <f t="shared" si="3"/>
        <v>32.5</v>
      </c>
      <c r="N40" s="56">
        <f t="shared" si="4"/>
        <v>780000</v>
      </c>
      <c r="O40" s="56">
        <f>'Dala Sales &amp; Deliveries'!L4</f>
        <v>3.25</v>
      </c>
      <c r="P40" s="56">
        <f t="shared" si="5"/>
        <v>5460</v>
      </c>
      <c r="Q40" s="56">
        <f>'External Delivery Fulfillment'!L4</f>
        <v>0</v>
      </c>
      <c r="R40" s="56">
        <f t="shared" si="6"/>
        <v>0</v>
      </c>
      <c r="S40" s="56">
        <f>'Forwarding From Client'!L4</f>
        <v>0</v>
      </c>
      <c r="T40" s="56">
        <f t="shared" si="7"/>
        <v>0</v>
      </c>
      <c r="U40" s="56">
        <f>'Dala Restocking'!L4</f>
        <v>0</v>
      </c>
      <c r="V40" s="56">
        <f t="shared" si="8"/>
        <v>0</v>
      </c>
      <c r="W40" s="56">
        <f>'Client Restocking'!L4</f>
        <v>0</v>
      </c>
    </row>
    <row r="41">
      <c r="A41" s="108"/>
      <c r="B41" s="109" t="str">
        <f>'Internal Summary'!B43</f>
        <v/>
      </c>
      <c r="C41" s="56" t="str">
        <f>'Internal Summary'!C43</f>
        <v/>
      </c>
      <c r="D41" s="56" t="str">
        <f>'Internal Summary'!D43</f>
        <v/>
      </c>
      <c r="E41" s="56" t="str">
        <f>'Internal Summary'!E43</f>
        <v/>
      </c>
      <c r="F41" s="111"/>
      <c r="G41" s="56">
        <f t="shared" si="1"/>
        <v>0</v>
      </c>
      <c r="H41" s="111"/>
      <c r="I41" s="98"/>
      <c r="J41" s="111"/>
      <c r="K41" s="100"/>
      <c r="L41" s="110">
        <f t="shared" si="2"/>
        <v>0</v>
      </c>
      <c r="M41" s="56">
        <f t="shared" si="3"/>
        <v>0</v>
      </c>
      <c r="N41" s="56">
        <f t="shared" si="4"/>
        <v>0</v>
      </c>
      <c r="O41" s="56">
        <f>'Dala Sales &amp; Deliveries'!L5</f>
        <v>0</v>
      </c>
      <c r="P41" s="56">
        <f t="shared" si="5"/>
        <v>0</v>
      </c>
      <c r="Q41" s="56">
        <f>'External Delivery Fulfillment'!L5</f>
        <v>0</v>
      </c>
      <c r="R41" s="56">
        <f t="shared" si="6"/>
        <v>0</v>
      </c>
      <c r="S41" s="56">
        <f>'Forwarding From Client'!L5</f>
        <v>0</v>
      </c>
      <c r="T41" s="56">
        <f t="shared" si="7"/>
        <v>0</v>
      </c>
      <c r="U41" s="56">
        <f>'Dala Restocking'!L5</f>
        <v>0</v>
      </c>
      <c r="V41" s="56">
        <f t="shared" si="8"/>
        <v>0</v>
      </c>
      <c r="W41" s="56">
        <f>'Client Restocking'!L5</f>
        <v>0</v>
      </c>
    </row>
    <row r="42">
      <c r="A42" s="108"/>
      <c r="B42" s="109" t="str">
        <f>'Internal Summary'!B44</f>
        <v/>
      </c>
      <c r="C42" s="56" t="str">
        <f>'Internal Summary'!C44</f>
        <v/>
      </c>
      <c r="D42" s="56" t="str">
        <f>'Internal Summary'!D44</f>
        <v/>
      </c>
      <c r="E42" s="56" t="str">
        <f>'Internal Summary'!E44</f>
        <v/>
      </c>
      <c r="F42" s="111"/>
      <c r="G42" s="56">
        <f t="shared" si="1"/>
        <v>0</v>
      </c>
      <c r="H42" s="111"/>
      <c r="I42" s="111"/>
      <c r="J42" s="111"/>
      <c r="K42" s="98"/>
      <c r="L42" s="110">
        <f t="shared" si="2"/>
        <v>0</v>
      </c>
      <c r="M42" s="56">
        <f t="shared" si="3"/>
        <v>0</v>
      </c>
      <c r="N42" s="56">
        <f t="shared" si="4"/>
        <v>0</v>
      </c>
      <c r="O42" s="56">
        <f>'Dala Sales &amp; Deliveries'!L6</f>
        <v>0</v>
      </c>
      <c r="P42" s="56">
        <f t="shared" si="5"/>
        <v>0</v>
      </c>
      <c r="Q42" s="56">
        <f>'External Delivery Fulfillment'!L6</f>
        <v>0</v>
      </c>
      <c r="R42" s="56">
        <f t="shared" si="6"/>
        <v>0</v>
      </c>
      <c r="S42" s="56">
        <f>'Forwarding From Client'!L6</f>
        <v>0</v>
      </c>
      <c r="T42" s="56">
        <f t="shared" si="7"/>
        <v>0</v>
      </c>
      <c r="U42" s="56">
        <f>'Dala Restocking'!L6</f>
        <v>0</v>
      </c>
      <c r="V42" s="56">
        <f t="shared" si="8"/>
        <v>0</v>
      </c>
      <c r="W42" s="56">
        <f>'Client Restocking'!L6</f>
        <v>0</v>
      </c>
    </row>
    <row r="43">
      <c r="A43" s="108"/>
      <c r="B43" s="109" t="str">
        <f>'Internal Summary'!B45</f>
        <v/>
      </c>
      <c r="C43" s="56" t="str">
        <f>'Internal Summary'!C45</f>
        <v/>
      </c>
      <c r="D43" s="56" t="str">
        <f>'Internal Summary'!D45</f>
        <v/>
      </c>
      <c r="E43" s="56" t="str">
        <f>'Internal Summary'!E45</f>
        <v/>
      </c>
      <c r="F43" s="111"/>
      <c r="G43" s="56">
        <f t="shared" si="1"/>
        <v>0</v>
      </c>
      <c r="H43" s="111"/>
      <c r="I43" s="111"/>
      <c r="J43" s="111"/>
      <c r="K43" s="98"/>
      <c r="L43" s="110">
        <f t="shared" si="2"/>
        <v>0</v>
      </c>
      <c r="M43" s="56">
        <f t="shared" si="3"/>
        <v>0</v>
      </c>
      <c r="N43" s="56">
        <f t="shared" si="4"/>
        <v>0</v>
      </c>
      <c r="O43" s="56">
        <f>'Dala Sales &amp; Deliveries'!L7</f>
        <v>0</v>
      </c>
      <c r="P43" s="56">
        <f t="shared" si="5"/>
        <v>0</v>
      </c>
      <c r="Q43" s="56">
        <f>'External Delivery Fulfillment'!L7</f>
        <v>0</v>
      </c>
      <c r="R43" s="56">
        <f t="shared" si="6"/>
        <v>0</v>
      </c>
      <c r="S43" s="56">
        <f>'Forwarding From Client'!L7</f>
        <v>0</v>
      </c>
      <c r="T43" s="56">
        <f t="shared" si="7"/>
        <v>0</v>
      </c>
      <c r="U43" s="56">
        <f>'Dala Restocking'!L7</f>
        <v>0</v>
      </c>
      <c r="V43" s="56">
        <f t="shared" si="8"/>
        <v>0</v>
      </c>
      <c r="W43" s="56">
        <f>'Client Restocking'!L7</f>
        <v>0</v>
      </c>
    </row>
    <row r="44">
      <c r="A44" s="108"/>
      <c r="B44" s="109" t="str">
        <f>'Internal Summary'!B46</f>
        <v/>
      </c>
      <c r="C44" s="56" t="str">
        <f>'Internal Summary'!C46</f>
        <v/>
      </c>
      <c r="D44" s="56" t="str">
        <f>'Internal Summary'!D46</f>
        <v/>
      </c>
      <c r="E44" s="56" t="str">
        <f>'Internal Summary'!E46</f>
        <v/>
      </c>
      <c r="F44" s="111"/>
      <c r="G44" s="56">
        <f t="shared" si="1"/>
        <v>0</v>
      </c>
      <c r="H44" s="111"/>
      <c r="I44" s="111"/>
      <c r="J44" s="111"/>
      <c r="K44" s="98"/>
      <c r="L44" s="110">
        <f t="shared" si="2"/>
        <v>0</v>
      </c>
      <c r="M44" s="56">
        <f t="shared" si="3"/>
        <v>0</v>
      </c>
      <c r="N44" s="56">
        <f t="shared" si="4"/>
        <v>0</v>
      </c>
      <c r="O44" s="56">
        <f>'Dala Sales &amp; Deliveries'!L8</f>
        <v>0</v>
      </c>
      <c r="P44" s="56">
        <f t="shared" si="5"/>
        <v>0</v>
      </c>
      <c r="Q44" s="56">
        <f>'External Delivery Fulfillment'!L8</f>
        <v>0</v>
      </c>
      <c r="R44" s="56">
        <f t="shared" si="6"/>
        <v>0</v>
      </c>
      <c r="S44" s="56">
        <f>'Forwarding From Client'!L8</f>
        <v>0</v>
      </c>
      <c r="T44" s="56">
        <f t="shared" si="7"/>
        <v>0</v>
      </c>
      <c r="U44" s="56">
        <f>'Dala Restocking'!L8</f>
        <v>0</v>
      </c>
      <c r="V44" s="56">
        <f t="shared" si="8"/>
        <v>0</v>
      </c>
      <c r="W44" s="56">
        <f>'Client Restocking'!L8</f>
        <v>0</v>
      </c>
    </row>
    <row r="45">
      <c r="A45" s="108"/>
      <c r="B45" s="109" t="str">
        <f>'Internal Summary'!B47</f>
        <v/>
      </c>
      <c r="C45" s="56" t="str">
        <f>'Internal Summary'!C47</f>
        <v/>
      </c>
      <c r="D45" s="56" t="str">
        <f>'Internal Summary'!D47</f>
        <v/>
      </c>
      <c r="E45" s="56" t="str">
        <f>'Internal Summary'!E47</f>
        <v/>
      </c>
      <c r="F45" s="111"/>
      <c r="G45" s="56">
        <f t="shared" si="1"/>
        <v>0</v>
      </c>
      <c r="H45" s="111"/>
      <c r="I45" s="111"/>
      <c r="J45" s="111"/>
      <c r="K45" s="98"/>
      <c r="L45" s="110">
        <f t="shared" si="2"/>
        <v>0</v>
      </c>
      <c r="M45" s="56">
        <f t="shared" si="3"/>
        <v>0</v>
      </c>
      <c r="N45" s="56">
        <f t="shared" si="4"/>
        <v>0</v>
      </c>
      <c r="O45" s="56">
        <f>'Dala Sales &amp; Deliveries'!L9</f>
        <v>0</v>
      </c>
      <c r="P45" s="56">
        <f t="shared" si="5"/>
        <v>0</v>
      </c>
      <c r="Q45" s="56">
        <f>'External Delivery Fulfillment'!L9</f>
        <v>0</v>
      </c>
      <c r="R45" s="56">
        <f t="shared" si="6"/>
        <v>0</v>
      </c>
      <c r="S45" s="56">
        <f>'Forwarding From Client'!L9</f>
        <v>0</v>
      </c>
      <c r="T45" s="56">
        <f t="shared" si="7"/>
        <v>0</v>
      </c>
      <c r="U45" s="56">
        <f>'Dala Restocking'!L9</f>
        <v>0</v>
      </c>
      <c r="V45" s="56">
        <f t="shared" si="8"/>
        <v>0</v>
      </c>
      <c r="W45" s="56">
        <f>'Client Restocking'!L9</f>
        <v>0</v>
      </c>
    </row>
    <row r="46">
      <c r="A46" s="108"/>
      <c r="B46" s="109" t="str">
        <f>'Internal Summary'!B48</f>
        <v/>
      </c>
      <c r="C46" s="56" t="str">
        <f>'Internal Summary'!C48</f>
        <v/>
      </c>
      <c r="D46" s="56" t="str">
        <f>'Internal Summary'!D48</f>
        <v/>
      </c>
      <c r="E46" s="56" t="str">
        <f>'Internal Summary'!E48</f>
        <v/>
      </c>
      <c r="F46" s="111"/>
      <c r="G46" s="56">
        <f t="shared" si="1"/>
        <v>0</v>
      </c>
      <c r="H46" s="111"/>
      <c r="I46" s="111"/>
      <c r="J46" s="111"/>
      <c r="K46" s="98"/>
      <c r="L46" s="110">
        <f t="shared" si="2"/>
        <v>0</v>
      </c>
      <c r="M46" s="56">
        <f t="shared" si="3"/>
        <v>0</v>
      </c>
      <c r="N46" s="56">
        <f t="shared" si="4"/>
        <v>0</v>
      </c>
      <c r="O46" s="56">
        <f>'Dala Sales &amp; Deliveries'!L10</f>
        <v>0</v>
      </c>
      <c r="P46" s="56">
        <f t="shared" si="5"/>
        <v>0</v>
      </c>
      <c r="Q46" s="56">
        <f>'External Delivery Fulfillment'!L10</f>
        <v>0</v>
      </c>
      <c r="R46" s="56">
        <f t="shared" si="6"/>
        <v>0</v>
      </c>
      <c r="S46" s="56">
        <f>'Forwarding From Client'!L10</f>
        <v>0</v>
      </c>
      <c r="T46" s="56">
        <f t="shared" si="7"/>
        <v>0</v>
      </c>
      <c r="U46" s="56">
        <f>'Dala Restocking'!L10</f>
        <v>0</v>
      </c>
      <c r="V46" s="56">
        <f t="shared" si="8"/>
        <v>0</v>
      </c>
      <c r="W46" s="56">
        <f>'Client Restocking'!L10</f>
        <v>0</v>
      </c>
    </row>
    <row r="47">
      <c r="A47" s="108"/>
      <c r="B47" s="109" t="str">
        <f>'Internal Summary'!B49</f>
        <v/>
      </c>
      <c r="C47" s="56" t="str">
        <f>'Internal Summary'!C49</f>
        <v/>
      </c>
      <c r="D47" s="56" t="str">
        <f>'Internal Summary'!D49</f>
        <v/>
      </c>
      <c r="E47" s="56" t="str">
        <f>'Internal Summary'!E49</f>
        <v/>
      </c>
      <c r="F47" s="111"/>
      <c r="G47" s="56">
        <f t="shared" si="1"/>
        <v>0</v>
      </c>
      <c r="H47" s="111"/>
      <c r="I47" s="111"/>
      <c r="J47" s="111"/>
      <c r="K47" s="98"/>
      <c r="L47" s="110">
        <f t="shared" si="2"/>
        <v>0</v>
      </c>
      <c r="M47" s="56">
        <f t="shared" si="3"/>
        <v>0</v>
      </c>
      <c r="N47" s="56">
        <f t="shared" si="4"/>
        <v>0</v>
      </c>
      <c r="O47" s="56">
        <f>'Dala Sales &amp; Deliveries'!L11</f>
        <v>0</v>
      </c>
      <c r="P47" s="56">
        <f t="shared" si="5"/>
        <v>0</v>
      </c>
      <c r="Q47" s="56">
        <f>'External Delivery Fulfillment'!L11</f>
        <v>0</v>
      </c>
      <c r="R47" s="56">
        <f t="shared" si="6"/>
        <v>0</v>
      </c>
      <c r="S47" s="56">
        <f>'Forwarding From Client'!L11</f>
        <v>0</v>
      </c>
      <c r="T47" s="56">
        <f t="shared" si="7"/>
        <v>0</v>
      </c>
      <c r="U47" s="56">
        <f>'Dala Restocking'!L11</f>
        <v>0</v>
      </c>
      <c r="V47" s="56">
        <f t="shared" si="8"/>
        <v>0</v>
      </c>
      <c r="W47" s="56">
        <f>'Client Restocking'!L11</f>
        <v>0</v>
      </c>
    </row>
    <row r="48">
      <c r="A48" s="108"/>
      <c r="B48" s="109" t="str">
        <f>'Internal Summary'!B50</f>
        <v/>
      </c>
      <c r="C48" s="56" t="str">
        <f>'Internal Summary'!C50</f>
        <v/>
      </c>
      <c r="D48" s="56" t="str">
        <f>'Internal Summary'!D50</f>
        <v/>
      </c>
      <c r="E48" s="56" t="str">
        <f>'Internal Summary'!E50</f>
        <v/>
      </c>
      <c r="F48" s="111"/>
      <c r="G48" s="56">
        <f t="shared" si="1"/>
        <v>0</v>
      </c>
      <c r="H48" s="111"/>
      <c r="I48" s="111"/>
      <c r="J48" s="111"/>
      <c r="K48" s="98"/>
      <c r="L48" s="110">
        <f t="shared" si="2"/>
        <v>0</v>
      </c>
      <c r="M48" s="56">
        <f t="shared" si="3"/>
        <v>0</v>
      </c>
      <c r="N48" s="56">
        <f t="shared" si="4"/>
        <v>0</v>
      </c>
      <c r="O48" s="56">
        <f>'Dala Sales &amp; Deliveries'!L12</f>
        <v>0</v>
      </c>
      <c r="P48" s="56">
        <f t="shared" si="5"/>
        <v>0</v>
      </c>
      <c r="Q48" s="56">
        <f>'External Delivery Fulfillment'!L12</f>
        <v>0</v>
      </c>
      <c r="R48" s="56">
        <f t="shared" si="6"/>
        <v>0</v>
      </c>
      <c r="S48" s="56">
        <f>'Forwarding From Client'!L12</f>
        <v>0</v>
      </c>
      <c r="T48" s="56">
        <f t="shared" si="7"/>
        <v>0</v>
      </c>
      <c r="U48" s="56">
        <f>'Dala Restocking'!L12</f>
        <v>0</v>
      </c>
      <c r="V48" s="56">
        <f t="shared" si="8"/>
        <v>0</v>
      </c>
      <c r="W48" s="56">
        <f>'Client Restocking'!L12</f>
        <v>0</v>
      </c>
    </row>
    <row r="49">
      <c r="A49" s="108"/>
      <c r="B49" s="109" t="str">
        <f>'Internal Summary'!B51</f>
        <v/>
      </c>
      <c r="C49" s="56" t="str">
        <f>'Internal Summary'!C51</f>
        <v/>
      </c>
      <c r="D49" s="56" t="str">
        <f>'Internal Summary'!D51</f>
        <v/>
      </c>
      <c r="E49" s="56" t="str">
        <f>'Internal Summary'!E51</f>
        <v/>
      </c>
      <c r="F49" s="111"/>
      <c r="G49" s="56">
        <f t="shared" si="1"/>
        <v>0</v>
      </c>
      <c r="H49" s="111"/>
      <c r="I49" s="111"/>
      <c r="J49" s="111"/>
      <c r="K49" s="98"/>
      <c r="L49" s="110">
        <f t="shared" si="2"/>
        <v>0</v>
      </c>
      <c r="M49" s="56">
        <f t="shared" si="3"/>
        <v>0</v>
      </c>
      <c r="N49" s="56">
        <f t="shared" si="4"/>
        <v>0</v>
      </c>
      <c r="O49" s="56">
        <f>'Dala Sales &amp; Deliveries'!L13</f>
        <v>0</v>
      </c>
      <c r="P49" s="56">
        <f t="shared" si="5"/>
        <v>0</v>
      </c>
      <c r="Q49" s="56">
        <f>'External Delivery Fulfillment'!L13</f>
        <v>0</v>
      </c>
      <c r="R49" s="56">
        <f t="shared" si="6"/>
        <v>0</v>
      </c>
      <c r="S49" s="56">
        <f>'Forwarding From Client'!L13</f>
        <v>0</v>
      </c>
      <c r="T49" s="56">
        <f t="shared" si="7"/>
        <v>0</v>
      </c>
      <c r="U49" s="56">
        <f>'Dala Restocking'!L13</f>
        <v>0</v>
      </c>
      <c r="V49" s="56">
        <f t="shared" si="8"/>
        <v>0</v>
      </c>
      <c r="W49" s="56">
        <f>'Client Restocking'!L13</f>
        <v>0</v>
      </c>
    </row>
    <row r="50">
      <c r="B50" s="60" t="str">
        <f>'Internal Summary'!B52</f>
        <v/>
      </c>
      <c r="C50" s="56" t="str">
        <f>'Internal Summary'!C52</f>
        <v/>
      </c>
      <c r="D50" s="56" t="str">
        <f>'Internal Summary'!D52</f>
        <v/>
      </c>
      <c r="E50" s="56" t="str">
        <f>'Internal Summary'!E52</f>
        <v/>
      </c>
      <c r="F50" s="111"/>
      <c r="G50" s="56">
        <f t="shared" si="1"/>
        <v>0</v>
      </c>
      <c r="H50" s="111"/>
      <c r="I50" s="111"/>
      <c r="J50" s="111"/>
      <c r="K50" s="111"/>
      <c r="L50" s="110">
        <f t="shared" si="2"/>
        <v>0</v>
      </c>
      <c r="M50" s="56">
        <f t="shared" si="3"/>
        <v>0</v>
      </c>
      <c r="N50" s="56">
        <f t="shared" si="4"/>
        <v>0</v>
      </c>
      <c r="O50" s="56" t="str">
        <f>'Dala Sales &amp; Deliveries'!L14</f>
        <v/>
      </c>
      <c r="P50" s="56">
        <f t="shared" si="5"/>
        <v>0</v>
      </c>
      <c r="Q50" s="56" t="str">
        <f>'External Delivery Fulfillment'!L14</f>
        <v/>
      </c>
      <c r="R50" s="56">
        <f t="shared" si="6"/>
        <v>0</v>
      </c>
      <c r="S50" s="56" t="str">
        <f>'Forwarding From Client'!L14</f>
        <v/>
      </c>
      <c r="T50" s="56">
        <f t="shared" si="7"/>
        <v>0</v>
      </c>
      <c r="U50" s="56" t="str">
        <f>'Dala Restocking'!L14</f>
        <v/>
      </c>
      <c r="V50" s="56">
        <f t="shared" si="8"/>
        <v>0</v>
      </c>
      <c r="W50" s="56" t="str">
        <f>'Client Restocking'!L14</f>
        <v/>
      </c>
    </row>
    <row r="51">
      <c r="B51" s="60" t="str">
        <f>'Internal Summary'!B53</f>
        <v/>
      </c>
      <c r="C51" s="56" t="str">
        <f>'Internal Summary'!C53</f>
        <v/>
      </c>
      <c r="D51" s="56" t="str">
        <f>'Internal Summary'!D53</f>
        <v/>
      </c>
      <c r="E51" s="56" t="str">
        <f>'Internal Summary'!E53</f>
        <v/>
      </c>
      <c r="F51" s="111"/>
      <c r="G51" s="56">
        <f t="shared" si="1"/>
        <v>0</v>
      </c>
      <c r="H51" s="111"/>
      <c r="I51" s="111"/>
      <c r="J51" s="111"/>
      <c r="K51" s="111"/>
      <c r="L51" s="110">
        <f t="shared" si="2"/>
        <v>0</v>
      </c>
      <c r="M51" s="56">
        <f t="shared" si="3"/>
        <v>0</v>
      </c>
      <c r="N51" s="56">
        <f t="shared" si="4"/>
        <v>0</v>
      </c>
      <c r="O51" s="56" t="str">
        <f>'Dala Sales &amp; Deliveries'!L15</f>
        <v/>
      </c>
      <c r="P51" s="56">
        <f t="shared" si="5"/>
        <v>0</v>
      </c>
      <c r="Q51" s="56" t="str">
        <f>'External Delivery Fulfillment'!L15</f>
        <v/>
      </c>
      <c r="R51" s="56">
        <f t="shared" si="6"/>
        <v>0</v>
      </c>
      <c r="S51" s="56" t="str">
        <f>'Forwarding From Client'!L15</f>
        <v/>
      </c>
      <c r="T51" s="56">
        <f t="shared" si="7"/>
        <v>0</v>
      </c>
      <c r="U51" s="56" t="str">
        <f>'Dala Restocking'!L15</f>
        <v/>
      </c>
      <c r="V51" s="56">
        <f t="shared" si="8"/>
        <v>0</v>
      </c>
      <c r="W51" s="56" t="str">
        <f>'Client Restocking'!L15</f>
        <v/>
      </c>
    </row>
    <row r="52">
      <c r="B52" s="60" t="str">
        <f>'Internal Summary'!B54</f>
        <v/>
      </c>
      <c r="C52" s="56" t="str">
        <f>'Internal Summary'!C54</f>
        <v/>
      </c>
      <c r="D52" s="56" t="str">
        <f>'Internal Summary'!D54</f>
        <v/>
      </c>
      <c r="E52" s="56" t="str">
        <f>'Internal Summary'!E54</f>
        <v/>
      </c>
      <c r="F52" s="111"/>
      <c r="G52" s="56">
        <f t="shared" si="1"/>
        <v>0</v>
      </c>
      <c r="H52" s="111"/>
      <c r="I52" s="111"/>
      <c r="J52" s="111"/>
      <c r="K52" s="111"/>
      <c r="L52" s="110">
        <f t="shared" si="2"/>
        <v>0</v>
      </c>
      <c r="M52" s="56">
        <f t="shared" si="3"/>
        <v>0</v>
      </c>
      <c r="N52" s="56">
        <f t="shared" si="4"/>
        <v>0</v>
      </c>
      <c r="O52" s="56" t="str">
        <f>'Dala Sales &amp; Deliveries'!L16</f>
        <v/>
      </c>
      <c r="P52" s="56">
        <f t="shared" si="5"/>
        <v>0</v>
      </c>
      <c r="Q52" s="56" t="str">
        <f>'External Delivery Fulfillment'!L16</f>
        <v/>
      </c>
      <c r="R52" s="56">
        <f t="shared" si="6"/>
        <v>0</v>
      </c>
      <c r="S52" s="56" t="str">
        <f>'Forwarding From Client'!L16</f>
        <v/>
      </c>
      <c r="T52" s="56">
        <f t="shared" si="7"/>
        <v>0</v>
      </c>
      <c r="U52" s="56" t="str">
        <f>'Dala Restocking'!L16</f>
        <v/>
      </c>
      <c r="V52" s="56">
        <f t="shared" si="8"/>
        <v>0</v>
      </c>
      <c r="W52" s="56" t="str">
        <f>'Client Restocking'!L16</f>
        <v/>
      </c>
    </row>
    <row r="53">
      <c r="B53" s="60" t="str">
        <f>'Internal Summary'!B55</f>
        <v/>
      </c>
      <c r="C53" s="56" t="str">
        <f>'Internal Summary'!C55</f>
        <v/>
      </c>
      <c r="D53" s="56" t="str">
        <f>'Internal Summary'!D55</f>
        <v/>
      </c>
      <c r="E53" s="56" t="str">
        <f>'Internal Summary'!E55</f>
        <v/>
      </c>
      <c r="F53" s="111"/>
      <c r="G53" s="56">
        <f t="shared" si="1"/>
        <v>0</v>
      </c>
      <c r="H53" s="111"/>
      <c r="I53" s="111"/>
      <c r="J53" s="111"/>
      <c r="K53" s="111"/>
      <c r="L53" s="110">
        <f t="shared" si="2"/>
        <v>0</v>
      </c>
      <c r="M53" s="56">
        <f t="shared" si="3"/>
        <v>0</v>
      </c>
      <c r="N53" s="56">
        <f t="shared" si="4"/>
        <v>0</v>
      </c>
      <c r="O53" s="56" t="str">
        <f>'Dala Sales &amp; Deliveries'!L17</f>
        <v/>
      </c>
      <c r="P53" s="56">
        <f t="shared" si="5"/>
        <v>0</v>
      </c>
      <c r="Q53" s="56" t="str">
        <f>'External Delivery Fulfillment'!L17</f>
        <v/>
      </c>
      <c r="R53" s="56">
        <f t="shared" si="6"/>
        <v>0</v>
      </c>
      <c r="S53" s="56" t="str">
        <f>'Forwarding From Client'!L17</f>
        <v/>
      </c>
      <c r="T53" s="56">
        <f t="shared" si="7"/>
        <v>0</v>
      </c>
      <c r="U53" s="56" t="str">
        <f>'Dala Restocking'!L17</f>
        <v/>
      </c>
      <c r="V53" s="56">
        <f t="shared" si="8"/>
        <v>0</v>
      </c>
      <c r="W53" s="56" t="str">
        <f>'Client Restocking'!L17</f>
        <v/>
      </c>
    </row>
    <row r="54">
      <c r="B54" s="60" t="str">
        <f>'Internal Summary'!B56</f>
        <v/>
      </c>
      <c r="C54" s="56" t="str">
        <f>'Internal Summary'!C56</f>
        <v/>
      </c>
      <c r="D54" s="56" t="str">
        <f>'Internal Summary'!D56</f>
        <v/>
      </c>
      <c r="E54" s="56" t="str">
        <f>'Internal Summary'!E56</f>
        <v/>
      </c>
      <c r="F54" s="111"/>
      <c r="G54" s="56">
        <f t="shared" si="1"/>
        <v>0</v>
      </c>
      <c r="H54" s="111"/>
      <c r="I54" s="111"/>
      <c r="J54" s="111"/>
      <c r="K54" s="111"/>
      <c r="L54" s="110">
        <f t="shared" si="2"/>
        <v>0</v>
      </c>
      <c r="M54" s="56">
        <f t="shared" si="3"/>
        <v>0</v>
      </c>
      <c r="N54" s="56">
        <f t="shared" si="4"/>
        <v>0</v>
      </c>
      <c r="O54" s="56" t="str">
        <f>'Dala Sales &amp; Deliveries'!L18</f>
        <v/>
      </c>
      <c r="P54" s="56">
        <f t="shared" si="5"/>
        <v>0</v>
      </c>
      <c r="Q54" s="56" t="str">
        <f>'External Delivery Fulfillment'!L18</f>
        <v/>
      </c>
      <c r="R54" s="56">
        <f t="shared" si="6"/>
        <v>0</v>
      </c>
      <c r="S54" s="56" t="str">
        <f>'Forwarding From Client'!L18</f>
        <v/>
      </c>
      <c r="T54" s="56">
        <f t="shared" si="7"/>
        <v>0</v>
      </c>
      <c r="U54" s="56" t="str">
        <f>'Dala Restocking'!L18</f>
        <v/>
      </c>
      <c r="V54" s="56">
        <f t="shared" si="8"/>
        <v>0</v>
      </c>
      <c r="W54" s="56" t="str">
        <f>'Client Restocking'!L18</f>
        <v/>
      </c>
    </row>
    <row r="55">
      <c r="B55" s="60" t="str">
        <f>'Internal Summary'!B57</f>
        <v/>
      </c>
      <c r="C55" s="56" t="str">
        <f>'Internal Summary'!C57</f>
        <v/>
      </c>
      <c r="D55" s="56" t="str">
        <f>'Internal Summary'!D57</f>
        <v/>
      </c>
      <c r="E55" s="56" t="str">
        <f>'Internal Summary'!E57</f>
        <v/>
      </c>
      <c r="F55" s="111"/>
      <c r="G55" s="56">
        <f t="shared" si="1"/>
        <v>0</v>
      </c>
      <c r="H55" s="111"/>
      <c r="I55" s="111"/>
      <c r="J55" s="111"/>
      <c r="K55" s="111"/>
      <c r="L55" s="110">
        <f t="shared" si="2"/>
        <v>0</v>
      </c>
      <c r="M55" s="56">
        <f t="shared" si="3"/>
        <v>0</v>
      </c>
      <c r="N55" s="56">
        <f t="shared" si="4"/>
        <v>0</v>
      </c>
      <c r="O55" s="56" t="str">
        <f>'Dala Sales &amp; Deliveries'!L19</f>
        <v/>
      </c>
      <c r="P55" s="56">
        <f t="shared" si="5"/>
        <v>0</v>
      </c>
      <c r="Q55" s="56" t="str">
        <f>'External Delivery Fulfillment'!L19</f>
        <v/>
      </c>
      <c r="R55" s="56">
        <f t="shared" si="6"/>
        <v>0</v>
      </c>
      <c r="S55" s="56" t="str">
        <f>'Forwarding From Client'!L19</f>
        <v/>
      </c>
      <c r="T55" s="56">
        <f t="shared" si="7"/>
        <v>0</v>
      </c>
      <c r="U55" s="56" t="str">
        <f>'Dala Restocking'!L19</f>
        <v/>
      </c>
      <c r="V55" s="56">
        <f t="shared" si="8"/>
        <v>0</v>
      </c>
      <c r="W55" s="56" t="str">
        <f>'Client Restocking'!L19</f>
        <v/>
      </c>
    </row>
    <row r="56">
      <c r="B56" s="60" t="str">
        <f>'Internal Summary'!B58</f>
        <v/>
      </c>
      <c r="C56" s="56" t="str">
        <f>'Internal Summary'!C58</f>
        <v/>
      </c>
      <c r="D56" s="56" t="str">
        <f>'Internal Summary'!D58</f>
        <v/>
      </c>
      <c r="E56" s="56" t="str">
        <f>'Internal Summary'!E58</f>
        <v/>
      </c>
      <c r="F56" s="111"/>
      <c r="G56" s="56">
        <f t="shared" si="1"/>
        <v>0</v>
      </c>
      <c r="H56" s="111"/>
      <c r="I56" s="111"/>
      <c r="J56" s="111"/>
      <c r="K56" s="111"/>
      <c r="L56" s="110">
        <f t="shared" si="2"/>
        <v>0</v>
      </c>
      <c r="M56" s="56">
        <f t="shared" si="3"/>
        <v>0</v>
      </c>
      <c r="N56" s="56">
        <f t="shared" si="4"/>
        <v>0</v>
      </c>
      <c r="O56" s="56" t="str">
        <f>'Dala Sales &amp; Deliveries'!L20</f>
        <v/>
      </c>
      <c r="P56" s="56">
        <f t="shared" si="5"/>
        <v>0</v>
      </c>
      <c r="Q56" s="56" t="str">
        <f>'External Delivery Fulfillment'!L20</f>
        <v/>
      </c>
      <c r="R56" s="56">
        <f t="shared" si="6"/>
        <v>0</v>
      </c>
      <c r="S56" s="56" t="str">
        <f>'Forwarding From Client'!L20</f>
        <v/>
      </c>
      <c r="T56" s="56">
        <f t="shared" si="7"/>
        <v>0</v>
      </c>
      <c r="U56" s="56" t="str">
        <f>'Dala Restocking'!L20</f>
        <v/>
      </c>
      <c r="V56" s="56">
        <f t="shared" si="8"/>
        <v>0</v>
      </c>
      <c r="W56" s="56" t="str">
        <f>'Client Restocking'!L20</f>
        <v/>
      </c>
    </row>
    <row r="57">
      <c r="B57" s="60" t="str">
        <f>'Internal Summary'!B59</f>
        <v/>
      </c>
      <c r="C57" s="56" t="str">
        <f>'Internal Summary'!C59</f>
        <v/>
      </c>
      <c r="D57" s="56" t="str">
        <f>'Internal Summary'!D59</f>
        <v/>
      </c>
      <c r="E57" s="56" t="str">
        <f>'Internal Summary'!E59</f>
        <v/>
      </c>
      <c r="F57" s="111"/>
      <c r="G57" s="56">
        <f t="shared" si="1"/>
        <v>0</v>
      </c>
      <c r="H57" s="111"/>
      <c r="I57" s="111"/>
      <c r="J57" s="111"/>
      <c r="K57" s="111"/>
      <c r="L57" s="110">
        <f t="shared" si="2"/>
        <v>0</v>
      </c>
      <c r="M57" s="56">
        <f t="shared" si="3"/>
        <v>0</v>
      </c>
      <c r="N57" s="56">
        <f t="shared" si="4"/>
        <v>0</v>
      </c>
      <c r="O57" s="56" t="str">
        <f>'Dala Sales &amp; Deliveries'!L21</f>
        <v/>
      </c>
      <c r="P57" s="56">
        <f t="shared" si="5"/>
        <v>0</v>
      </c>
      <c r="Q57" s="56" t="str">
        <f>'External Delivery Fulfillment'!L21</f>
        <v/>
      </c>
      <c r="R57" s="56">
        <f t="shared" si="6"/>
        <v>0</v>
      </c>
      <c r="S57" s="56" t="str">
        <f>'Forwarding From Client'!L21</f>
        <v/>
      </c>
      <c r="T57" s="56">
        <f t="shared" si="7"/>
        <v>0</v>
      </c>
      <c r="U57" s="56" t="str">
        <f>'Dala Restocking'!L21</f>
        <v/>
      </c>
      <c r="V57" s="56">
        <f t="shared" si="8"/>
        <v>0</v>
      </c>
      <c r="W57" s="56" t="str">
        <f>'Client Restocking'!L21</f>
        <v/>
      </c>
    </row>
    <row r="58">
      <c r="B58" s="60" t="str">
        <f>'Internal Summary'!B60</f>
        <v/>
      </c>
      <c r="C58" s="56" t="str">
        <f>'Internal Summary'!C60</f>
        <v/>
      </c>
      <c r="D58" s="56" t="str">
        <f>'Internal Summary'!D60</f>
        <v/>
      </c>
      <c r="E58" s="56" t="str">
        <f>'Internal Summary'!E60</f>
        <v/>
      </c>
      <c r="F58" s="111"/>
      <c r="G58" s="56">
        <f t="shared" si="1"/>
        <v>0</v>
      </c>
      <c r="H58" s="111"/>
      <c r="I58" s="111"/>
      <c r="J58" s="111"/>
      <c r="K58" s="111"/>
      <c r="L58" s="110">
        <f t="shared" si="2"/>
        <v>0</v>
      </c>
      <c r="M58" s="56">
        <f t="shared" si="3"/>
        <v>0</v>
      </c>
      <c r="N58" s="56">
        <f t="shared" si="4"/>
        <v>0</v>
      </c>
      <c r="O58" s="56" t="str">
        <f>'Dala Sales &amp; Deliveries'!L22</f>
        <v/>
      </c>
      <c r="P58" s="56">
        <f t="shared" si="5"/>
        <v>0</v>
      </c>
      <c r="Q58" s="56" t="str">
        <f>'External Delivery Fulfillment'!L22</f>
        <v/>
      </c>
      <c r="R58" s="56">
        <f t="shared" si="6"/>
        <v>0</v>
      </c>
      <c r="S58" s="56" t="str">
        <f>'Forwarding From Client'!L22</f>
        <v/>
      </c>
      <c r="T58" s="56">
        <f t="shared" si="7"/>
        <v>0</v>
      </c>
      <c r="U58" s="56" t="str">
        <f>'Dala Restocking'!L22</f>
        <v/>
      </c>
      <c r="V58" s="56">
        <f t="shared" si="8"/>
        <v>0</v>
      </c>
      <c r="W58" s="56" t="str">
        <f>'Client Restocking'!L22</f>
        <v/>
      </c>
    </row>
    <row r="59">
      <c r="B59" s="60" t="str">
        <f>'Internal Summary'!B61</f>
        <v/>
      </c>
      <c r="C59" s="56" t="str">
        <f>'Internal Summary'!C61</f>
        <v/>
      </c>
      <c r="D59" s="56" t="str">
        <f>'Internal Summary'!D61</f>
        <v/>
      </c>
      <c r="E59" s="56" t="str">
        <f>'Internal Summary'!E61</f>
        <v/>
      </c>
      <c r="F59" s="111"/>
      <c r="G59" s="56">
        <f t="shared" si="1"/>
        <v>0</v>
      </c>
      <c r="H59" s="111"/>
      <c r="I59" s="111"/>
      <c r="J59" s="111"/>
      <c r="K59" s="111"/>
      <c r="L59" s="110">
        <f t="shared" si="2"/>
        <v>0</v>
      </c>
      <c r="M59" s="56">
        <f t="shared" si="3"/>
        <v>0</v>
      </c>
      <c r="N59" s="56">
        <f t="shared" si="4"/>
        <v>0</v>
      </c>
      <c r="O59" s="56" t="str">
        <f>'Dala Sales &amp; Deliveries'!L23</f>
        <v/>
      </c>
      <c r="P59" s="56">
        <f t="shared" si="5"/>
        <v>0</v>
      </c>
      <c r="Q59" s="56" t="str">
        <f>'External Delivery Fulfillment'!L23</f>
        <v/>
      </c>
      <c r="R59" s="56">
        <f t="shared" si="6"/>
        <v>0</v>
      </c>
      <c r="S59" s="56" t="str">
        <f>'Forwarding From Client'!L23</f>
        <v/>
      </c>
      <c r="T59" s="56">
        <f t="shared" si="7"/>
        <v>0</v>
      </c>
      <c r="U59" s="56" t="str">
        <f>'Dala Restocking'!L23</f>
        <v/>
      </c>
      <c r="V59" s="56">
        <f t="shared" si="8"/>
        <v>0</v>
      </c>
      <c r="W59" s="56" t="str">
        <f>'Client Restocking'!L23</f>
        <v/>
      </c>
    </row>
    <row r="60">
      <c r="B60" s="60" t="str">
        <f>'Internal Summary'!B62</f>
        <v/>
      </c>
      <c r="C60" s="56" t="str">
        <f>'Internal Summary'!C62</f>
        <v/>
      </c>
      <c r="D60" s="56" t="str">
        <f>'Internal Summary'!D62</f>
        <v/>
      </c>
      <c r="E60" s="56" t="str">
        <f>'Internal Summary'!E62</f>
        <v/>
      </c>
      <c r="F60" s="111"/>
      <c r="G60" s="56">
        <f t="shared" si="1"/>
        <v>0</v>
      </c>
      <c r="H60" s="111"/>
      <c r="I60" s="111"/>
      <c r="J60" s="111"/>
      <c r="K60" s="111"/>
      <c r="L60" s="110">
        <f t="shared" si="2"/>
        <v>0</v>
      </c>
      <c r="M60" s="56">
        <f t="shared" si="3"/>
        <v>0</v>
      </c>
      <c r="N60" s="56">
        <f t="shared" si="4"/>
        <v>0</v>
      </c>
      <c r="O60" s="56" t="str">
        <f>'Dala Sales &amp; Deliveries'!L24</f>
        <v/>
      </c>
      <c r="P60" s="56">
        <f t="shared" si="5"/>
        <v>0</v>
      </c>
      <c r="Q60" s="56" t="str">
        <f>'External Delivery Fulfillment'!L24</f>
        <v/>
      </c>
      <c r="R60" s="56">
        <f t="shared" si="6"/>
        <v>0</v>
      </c>
      <c r="S60" s="56" t="str">
        <f>'Forwarding From Client'!L24</f>
        <v/>
      </c>
      <c r="T60" s="56">
        <f t="shared" si="7"/>
        <v>0</v>
      </c>
      <c r="U60" s="56" t="str">
        <f>'Dala Restocking'!L24</f>
        <v/>
      </c>
      <c r="V60" s="56">
        <f t="shared" si="8"/>
        <v>0</v>
      </c>
      <c r="W60" s="56" t="str">
        <f>'Client Restocking'!L24</f>
        <v/>
      </c>
    </row>
    <row r="61">
      <c r="B61" s="60" t="str">
        <f>'Internal Summary'!B63</f>
        <v/>
      </c>
      <c r="C61" s="56" t="str">
        <f>'Internal Summary'!C63</f>
        <v/>
      </c>
      <c r="D61" s="56" t="str">
        <f>'Internal Summary'!D63</f>
        <v/>
      </c>
      <c r="E61" s="56" t="str">
        <f>'Internal Summary'!E63</f>
        <v/>
      </c>
      <c r="F61" s="111"/>
      <c r="G61" s="56">
        <f t="shared" si="1"/>
        <v>0</v>
      </c>
      <c r="H61" s="111"/>
      <c r="I61" s="111"/>
      <c r="J61" s="111"/>
      <c r="K61" s="111"/>
      <c r="L61" s="110">
        <f t="shared" si="2"/>
        <v>0</v>
      </c>
      <c r="M61" s="56">
        <f t="shared" si="3"/>
        <v>0</v>
      </c>
      <c r="N61" s="56">
        <f t="shared" si="4"/>
        <v>0</v>
      </c>
      <c r="O61" s="56" t="str">
        <f>'Dala Sales &amp; Deliveries'!L25</f>
        <v/>
      </c>
      <c r="P61" s="56">
        <f t="shared" si="5"/>
        <v>0</v>
      </c>
      <c r="Q61" s="56" t="str">
        <f>'External Delivery Fulfillment'!L25</f>
        <v/>
      </c>
      <c r="R61" s="56">
        <f t="shared" si="6"/>
        <v>0</v>
      </c>
      <c r="S61" s="56" t="str">
        <f>'Forwarding From Client'!L25</f>
        <v/>
      </c>
      <c r="T61" s="56">
        <f t="shared" si="7"/>
        <v>0</v>
      </c>
      <c r="U61" s="56" t="str">
        <f>'Dala Restocking'!L25</f>
        <v/>
      </c>
      <c r="V61" s="56">
        <f t="shared" si="8"/>
        <v>0</v>
      </c>
      <c r="W61" s="56" t="str">
        <f>'Client Restocking'!L25</f>
        <v/>
      </c>
    </row>
    <row r="62">
      <c r="B62" s="60" t="str">
        <f>'Internal Summary'!B64</f>
        <v/>
      </c>
      <c r="C62" s="56" t="str">
        <f>'Internal Summary'!C64</f>
        <v/>
      </c>
      <c r="D62" s="56" t="str">
        <f>'Internal Summary'!D64</f>
        <v/>
      </c>
      <c r="E62" s="56" t="str">
        <f>'Internal Summary'!E64</f>
        <v/>
      </c>
      <c r="F62" s="111"/>
      <c r="G62" s="56">
        <f t="shared" si="1"/>
        <v>0</v>
      </c>
      <c r="H62" s="111"/>
      <c r="I62" s="111"/>
      <c r="J62" s="111"/>
      <c r="K62" s="111"/>
      <c r="L62" s="110">
        <f t="shared" si="2"/>
        <v>0</v>
      </c>
      <c r="M62" s="56">
        <f t="shared" si="3"/>
        <v>0</v>
      </c>
      <c r="N62" s="56">
        <f t="shared" si="4"/>
        <v>0</v>
      </c>
      <c r="O62" s="56" t="str">
        <f>'Dala Sales &amp; Deliveries'!L26</f>
        <v/>
      </c>
      <c r="P62" s="56">
        <f t="shared" si="5"/>
        <v>0</v>
      </c>
      <c r="Q62" s="56" t="str">
        <f>'External Delivery Fulfillment'!L26</f>
        <v/>
      </c>
      <c r="R62" s="56">
        <f t="shared" si="6"/>
        <v>0</v>
      </c>
      <c r="S62" s="56" t="str">
        <f>'Forwarding From Client'!L26</f>
        <v/>
      </c>
      <c r="T62" s="56">
        <f t="shared" si="7"/>
        <v>0</v>
      </c>
      <c r="U62" s="56" t="str">
        <f>'Dala Restocking'!L26</f>
        <v/>
      </c>
      <c r="V62" s="56">
        <f t="shared" si="8"/>
        <v>0</v>
      </c>
      <c r="W62" s="56" t="str">
        <f>'Client Restocking'!L26</f>
        <v/>
      </c>
    </row>
    <row r="63">
      <c r="B63" s="60" t="str">
        <f>'Internal Summary'!B65</f>
        <v/>
      </c>
      <c r="C63" s="56" t="str">
        <f>'Internal Summary'!C65</f>
        <v/>
      </c>
      <c r="D63" s="56" t="str">
        <f>'Internal Summary'!D65</f>
        <v/>
      </c>
      <c r="E63" s="56" t="str">
        <f>'Internal Summary'!E65</f>
        <v/>
      </c>
      <c r="F63" s="111"/>
      <c r="G63" s="56">
        <f t="shared" si="1"/>
        <v>0</v>
      </c>
      <c r="H63" s="111"/>
      <c r="I63" s="111"/>
      <c r="J63" s="111"/>
      <c r="K63" s="111"/>
      <c r="L63" s="110">
        <f t="shared" si="2"/>
        <v>0</v>
      </c>
      <c r="M63" s="56">
        <f t="shared" si="3"/>
        <v>0</v>
      </c>
      <c r="N63" s="56">
        <f t="shared" si="4"/>
        <v>0</v>
      </c>
      <c r="O63" s="56" t="str">
        <f>'Dala Sales &amp; Deliveries'!L27</f>
        <v/>
      </c>
      <c r="P63" s="56">
        <f t="shared" si="5"/>
        <v>0</v>
      </c>
      <c r="Q63" s="56" t="str">
        <f>'External Delivery Fulfillment'!L27</f>
        <v/>
      </c>
      <c r="R63" s="56">
        <f t="shared" si="6"/>
        <v>0</v>
      </c>
      <c r="S63" s="56" t="str">
        <f>'Forwarding From Client'!L27</f>
        <v/>
      </c>
      <c r="T63" s="56">
        <f t="shared" si="7"/>
        <v>0</v>
      </c>
      <c r="U63" s="56" t="str">
        <f>'Dala Restocking'!L27</f>
        <v/>
      </c>
      <c r="V63" s="56">
        <f t="shared" si="8"/>
        <v>0</v>
      </c>
      <c r="W63" s="56" t="str">
        <f>'Client Restocking'!L27</f>
        <v/>
      </c>
    </row>
    <row r="64">
      <c r="B64" s="60" t="str">
        <f>'Internal Summary'!B66</f>
        <v/>
      </c>
      <c r="C64" s="56" t="str">
        <f>'Internal Summary'!C66</f>
        <v/>
      </c>
      <c r="D64" s="56" t="str">
        <f>'Internal Summary'!D66</f>
        <v/>
      </c>
      <c r="E64" s="56" t="str">
        <f>'Internal Summary'!E66</f>
        <v/>
      </c>
      <c r="F64" s="111"/>
      <c r="G64" s="56">
        <f t="shared" si="1"/>
        <v>0</v>
      </c>
      <c r="H64" s="111"/>
      <c r="I64" s="111"/>
      <c r="J64" s="111"/>
      <c r="K64" s="111"/>
      <c r="L64" s="110">
        <f t="shared" si="2"/>
        <v>0</v>
      </c>
      <c r="M64" s="56">
        <f t="shared" si="3"/>
        <v>0</v>
      </c>
      <c r="N64" s="56">
        <f t="shared" si="4"/>
        <v>0</v>
      </c>
      <c r="O64" s="56" t="str">
        <f>'Dala Sales &amp; Deliveries'!L28</f>
        <v/>
      </c>
      <c r="P64" s="56">
        <f t="shared" si="5"/>
        <v>0</v>
      </c>
      <c r="Q64" s="56" t="str">
        <f>'External Delivery Fulfillment'!L28</f>
        <v/>
      </c>
      <c r="R64" s="56">
        <f t="shared" si="6"/>
        <v>0</v>
      </c>
      <c r="S64" s="56" t="str">
        <f>'Forwarding From Client'!L28</f>
        <v/>
      </c>
      <c r="T64" s="56">
        <f t="shared" si="7"/>
        <v>0</v>
      </c>
      <c r="U64" s="56" t="str">
        <f>'Dala Restocking'!L28</f>
        <v/>
      </c>
      <c r="V64" s="56">
        <f t="shared" si="8"/>
        <v>0</v>
      </c>
      <c r="W64" s="56" t="str">
        <f>'Client Restocking'!L28</f>
        <v/>
      </c>
    </row>
    <row r="65">
      <c r="B65" s="60" t="str">
        <f>'Internal Summary'!B67</f>
        <v/>
      </c>
      <c r="C65" s="56" t="str">
        <f>'Internal Summary'!C67</f>
        <v/>
      </c>
      <c r="D65" s="56" t="str">
        <f>'Internal Summary'!D67</f>
        <v/>
      </c>
      <c r="E65" s="56" t="str">
        <f>'Internal Summary'!E67</f>
        <v/>
      </c>
      <c r="F65" s="111"/>
      <c r="G65" s="56">
        <f t="shared" si="1"/>
        <v>0</v>
      </c>
      <c r="H65" s="111"/>
      <c r="I65" s="111"/>
      <c r="J65" s="111"/>
      <c r="K65" s="111"/>
      <c r="L65" s="110">
        <f t="shared" si="2"/>
        <v>0</v>
      </c>
      <c r="M65" s="56">
        <f t="shared" si="3"/>
        <v>0</v>
      </c>
      <c r="N65" s="56">
        <f t="shared" si="4"/>
        <v>0</v>
      </c>
      <c r="O65" s="56" t="str">
        <f>'Dala Sales &amp; Deliveries'!L29</f>
        <v/>
      </c>
      <c r="P65" s="56">
        <f t="shared" si="5"/>
        <v>0</v>
      </c>
      <c r="Q65" s="56" t="str">
        <f>'External Delivery Fulfillment'!L29</f>
        <v/>
      </c>
      <c r="R65" s="56">
        <f t="shared" si="6"/>
        <v>0</v>
      </c>
      <c r="S65" s="56" t="str">
        <f>'Forwarding From Client'!L29</f>
        <v/>
      </c>
      <c r="T65" s="56">
        <f t="shared" si="7"/>
        <v>0</v>
      </c>
      <c r="U65" s="56" t="str">
        <f>'Dala Restocking'!L29</f>
        <v/>
      </c>
      <c r="V65" s="56">
        <f t="shared" si="8"/>
        <v>0</v>
      </c>
      <c r="W65" s="56" t="str">
        <f>'Client Restocking'!L29</f>
        <v/>
      </c>
    </row>
    <row r="66">
      <c r="B66" s="60" t="str">
        <f>'Internal Summary'!B68</f>
        <v/>
      </c>
      <c r="C66" s="56" t="str">
        <f>'Internal Summary'!C68</f>
        <v/>
      </c>
      <c r="D66" s="56" t="str">
        <f>'Internal Summary'!D68</f>
        <v/>
      </c>
      <c r="E66" s="56" t="str">
        <f>'Internal Summary'!E68</f>
        <v/>
      </c>
      <c r="F66" s="111"/>
      <c r="G66" s="56">
        <f t="shared" si="1"/>
        <v>0</v>
      </c>
      <c r="H66" s="111"/>
      <c r="I66" s="111"/>
      <c r="J66" s="111"/>
      <c r="K66" s="111"/>
      <c r="L66" s="110">
        <f t="shared" si="2"/>
        <v>0</v>
      </c>
      <c r="M66" s="56">
        <f t="shared" si="3"/>
        <v>0</v>
      </c>
      <c r="N66" s="56">
        <f t="shared" si="4"/>
        <v>0</v>
      </c>
      <c r="O66" s="56" t="str">
        <f>'Dala Sales &amp; Deliveries'!L30</f>
        <v/>
      </c>
      <c r="P66" s="56">
        <f t="shared" si="5"/>
        <v>0</v>
      </c>
      <c r="Q66" s="56" t="str">
        <f>'External Delivery Fulfillment'!L30</f>
        <v/>
      </c>
      <c r="R66" s="56">
        <f t="shared" si="6"/>
        <v>0</v>
      </c>
      <c r="S66" s="56" t="str">
        <f>'Forwarding From Client'!L30</f>
        <v/>
      </c>
      <c r="T66" s="56">
        <f t="shared" si="7"/>
        <v>0</v>
      </c>
      <c r="U66" s="56" t="str">
        <f>'Dala Restocking'!L30</f>
        <v/>
      </c>
      <c r="V66" s="56">
        <f t="shared" si="8"/>
        <v>0</v>
      </c>
      <c r="W66" s="56" t="str">
        <f>'Client Restocking'!L30</f>
        <v/>
      </c>
    </row>
    <row r="67">
      <c r="B67" s="57" t="s">
        <v>134</v>
      </c>
      <c r="C67" s="99"/>
      <c r="D67" s="99"/>
      <c r="E67" s="110"/>
      <c r="F67" s="110">
        <f t="shared" ref="F67:W67" si="9">sum(F38:F66)</f>
        <v>0</v>
      </c>
      <c r="G67" s="110">
        <f t="shared" si="9"/>
        <v>0</v>
      </c>
      <c r="H67" s="110">
        <f t="shared" si="9"/>
        <v>0</v>
      </c>
      <c r="I67" s="110">
        <f t="shared" si="9"/>
        <v>0</v>
      </c>
      <c r="J67" s="110">
        <f t="shared" si="9"/>
        <v>0</v>
      </c>
      <c r="K67" s="110">
        <f t="shared" si="9"/>
        <v>54.25</v>
      </c>
      <c r="L67" s="110">
        <f t="shared" si="9"/>
        <v>-8</v>
      </c>
      <c r="M67" s="56">
        <f t="shared" si="9"/>
        <v>62.25</v>
      </c>
      <c r="N67" s="56">
        <f t="shared" si="9"/>
        <v>1672500</v>
      </c>
      <c r="O67" s="56">
        <f t="shared" si="9"/>
        <v>28</v>
      </c>
      <c r="P67" s="56">
        <f t="shared" si="9"/>
        <v>57435</v>
      </c>
      <c r="Q67" s="56">
        <f t="shared" si="9"/>
        <v>0</v>
      </c>
      <c r="R67" s="56">
        <f t="shared" si="9"/>
        <v>0</v>
      </c>
      <c r="S67" s="56">
        <f t="shared" si="9"/>
        <v>0</v>
      </c>
      <c r="T67" s="56">
        <f t="shared" si="9"/>
        <v>0</v>
      </c>
      <c r="U67" s="56">
        <f t="shared" si="9"/>
        <v>20</v>
      </c>
      <c r="V67" s="56">
        <f t="shared" si="9"/>
        <v>30000</v>
      </c>
      <c r="W67" s="56">
        <f t="shared" si="9"/>
        <v>0</v>
      </c>
    </row>
    <row r="68">
      <c r="C68" s="7" t="s">
        <v>135</v>
      </c>
      <c r="D68" s="7" t="s">
        <v>135</v>
      </c>
      <c r="E68" s="7" t="s">
        <v>135</v>
      </c>
      <c r="F68" s="7" t="s">
        <v>135</v>
      </c>
      <c r="G68" s="7"/>
      <c r="H68" s="7" t="s">
        <v>135</v>
      </c>
      <c r="I68" s="7" t="s">
        <v>135</v>
      </c>
      <c r="J68" s="7" t="s">
        <v>135</v>
      </c>
      <c r="K68" s="7" t="s">
        <v>135</v>
      </c>
      <c r="L68" s="7" t="s">
        <v>135</v>
      </c>
      <c r="M68" s="7"/>
      <c r="N68" s="7" t="s">
        <v>135</v>
      </c>
      <c r="O68" s="7" t="s">
        <v>135</v>
      </c>
      <c r="P68" s="7" t="s">
        <v>135</v>
      </c>
      <c r="Q68" s="7" t="s">
        <v>135</v>
      </c>
      <c r="R68" s="7" t="s">
        <v>135</v>
      </c>
      <c r="S68" s="7"/>
      <c r="T68" s="7"/>
      <c r="U68" s="7" t="s">
        <v>135</v>
      </c>
      <c r="V68" s="7" t="s">
        <v>135</v>
      </c>
      <c r="W68" s="7" t="s">
        <v>135</v>
      </c>
    </row>
  </sheetData>
  <drawing r:id="rId1"/>
</worksheet>
</file>