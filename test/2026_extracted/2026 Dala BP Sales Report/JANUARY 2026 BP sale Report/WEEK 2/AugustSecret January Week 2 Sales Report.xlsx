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Sheet10" sheetId="2" r:id="rId6"/>
    <sheet state="visible" name="Payment Advice" sheetId="3" r:id="rId7"/>
    <sheet state="visible" name="Dala Sales &amp; Deliveries" sheetId="4" r:id="rId8"/>
    <sheet state="visible" name="External Delivery Fulfillment" sheetId="5" r:id="rId9"/>
    <sheet state="visible" name="Forwarding From Client" sheetId="6" r:id="rId10"/>
    <sheet state="visible" name="Dala Restocking" sheetId="7" r:id="rId11"/>
    <sheet state="visible" name="Client Restocking" sheetId="8" r:id="rId12"/>
    <sheet state="visible" name="Internal Summary" sheetId="9" r:id="rId13"/>
  </sheets>
  <definedNames>
    <definedName hidden="1" localSheetId="5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<sst xmlns="http://schemas.openxmlformats.org/spreadsheetml/2006/main" count="480" uniqueCount="121">
  <si>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</si>
  <si>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</si>
  <si>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</si>
  <si>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</si>
  <si>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</si>
  <si>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</si>
  <si>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</si>
  <si>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</si>
  <si>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</si>
  <si>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</si>
  <si>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</si>
  <si>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</si>
  <si>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</si>
  <si>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</si>
  <si>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Vaue</t>
  </si>
  <si>
    <t>Jadens Fruitamil (12x)</t>
  </si>
  <si>
    <t>Prince Ebeano, JAKANDE</t>
  </si>
  <si>
    <t>Journal</t>
  </si>
  <si>
    <t>Jadens Mixagrain (12x)</t>
  </si>
  <si>
    <t>Jadens Nuttymeal (12x)</t>
  </si>
  <si>
    <t>Supersaver, OGUDU</t>
  </si>
  <si>
    <t>Jadens Fussy-Pops (12x)</t>
  </si>
  <si>
    <t>Home Affairs Supermarket, GBAGADA</t>
  </si>
  <si>
    <t>Health Rite</t>
  </si>
  <si>
    <t>Jendol Supermarket, AKASOLORI</t>
  </si>
  <si>
    <t>Jendol Supermarket, IJEDE</t>
  </si>
  <si>
    <t>Jendol Supermarket, OJUORE</t>
  </si>
  <si>
    <t>Blenco Supermarket, SANGOTEDO</t>
  </si>
  <si>
    <t>Prince Ebeano, OLOGOLO</t>
  </si>
  <si>
    <t>Jendol, IPAJA</t>
  </si>
  <si>
    <t>Jendol Supermarket, ISHERI</t>
  </si>
  <si>
    <t>Renee Supermarket, IKOYI</t>
  </si>
  <si>
    <t>Hutoos Supermarket, Ogba</t>
  </si>
  <si>
    <t>Sales</t>
  </si>
  <si>
    <t>DT:000083</t>
  </si>
  <si>
    <t>Reno Supermarket, EJIGBO</t>
  </si>
  <si>
    <t>DT:000098</t>
  </si>
  <si>
    <t>Reno Supermarket, COUNCIL</t>
  </si>
  <si>
    <t>DT:000155</t>
  </si>
  <si>
    <t>Twins Faja Supermarket, IKOTUN Road</t>
  </si>
  <si>
    <t>DT:000171</t>
  </si>
  <si>
    <t>Prestige Superstore, IGANDO</t>
  </si>
  <si>
    <t>DT:000173</t>
  </si>
  <si>
    <t>Ozzy Supermarket, VICTORY PARK EST.</t>
  </si>
  <si>
    <t>DT:000192</t>
  </si>
  <si>
    <t>Prime Mart Superstores, OKOKOMAIKO</t>
  </si>
  <si>
    <t>DT:000146</t>
  </si>
  <si>
    <t>Prime Mart Superstores, IYANA ISASHI</t>
  </si>
  <si>
    <t>DT:000143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</si>
  <si>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</si>
  <si>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</si>
  <si>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</si>
  <si>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</si>
  <si>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</si>
  <si>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</si>
  <si>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</si>
  <si>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AGS- Jadens Fruitamil (12x)</t>
  </si>
  <si>
    <t>AGS- Jadens Fussy-Pops (12x)</t>
  </si>
  <si>
    <t>AGS- Jadens Mixagrain (12x)</t>
  </si>
  <si>
    <t>AGS- Jadens Nuttymeal (12x)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</si>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</sst>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yy"/>
    <numFmt numFmtId="165" formatCode="dd-mm-yyyy"/>
    <numFmt numFmtId="166" formatCode="d/m/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1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5" numFmtId="0" xfId="0" applyAlignment="1" applyFont="1">
      <alignment readingOrder="0" shrinkToFit="0" vertical="top" wrapText="0"/>
    </xf>
    <xf borderId="0" fillId="0" fontId="4" numFmtId="0" xfId="0" applyFont="1"/>
    <xf borderId="0" fillId="0" fontId="4" numFmtId="164" xfId="0" applyFont="1" applyNumberForma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165" xfId="0" applyBorder="1" applyFont="1" applyNumberForma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8" numFmtId="4" xfId="0" applyAlignment="1" applyFont="1" applyNumberFormat="1">
      <alignment horizontal="right" vertical="bottom"/>
    </xf>
    <xf borderId="5" fillId="0" fontId="4" numFmtId="0" xfId="0" applyAlignment="1" applyBorder="1" applyFont="1">
      <alignment readingOrder="0"/>
    </xf>
    <xf borderId="5" fillId="0" fontId="4" numFmtId="165" xfId="0" applyAlignment="1" applyBorder="1" applyFont="1" applyNumberFormat="1">
      <alignment readingOrder="0"/>
    </xf>
    <xf borderId="5" fillId="0" fontId="4" numFmtId="0" xfId="0" applyBorder="1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10" fillId="0" fontId="9" numFmtId="4" xfId="0" applyAlignment="1" applyBorder="1" applyFont="1" applyNumberFormat="1">
      <alignment horizontal="right" vertical="bottom"/>
    </xf>
    <xf borderId="7" fillId="0" fontId="8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4" xfId="0" applyBorder="1" applyFont="1" applyNumberFormat="1"/>
    <xf borderId="5" fillId="3" fontId="4" numFmtId="165" xfId="0" applyAlignment="1" applyBorder="1" applyFont="1" applyNumberFormat="1">
      <alignment readingOrder="0"/>
    </xf>
    <xf borderId="5" fillId="3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Deliveries'!$K$2:$K$6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Fulfillment'!$K$2:$K$6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9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5">
      <sharedItems containsDate="1" containsString="0" containsBlank="1">
        <d v="2026-01-09T00:00:00Z"/>
        <d v="2026-01-14T00:00:00Z"/>
        <d v="2026-01-15T00:00:00Z"/>
        <d v="2026-01-13T00:00:00Z"/>
        <m/>
      </sharedItems>
    </cacheField>
    <cacheField name="Particulars" numFmtId="0">
      <sharedItems containsBlank="1">
        <s v="Hutoos Supermarket, Ogba"/>
        <s v="Reno Supermarket, EJIGBO"/>
        <s v="Reno Supermarket, COUNCIL"/>
        <s v="Twins Faja Supermarket, IKOTUN Road"/>
        <s v="Prestige Superstore, IGANDO"/>
        <s v="Ozzy Supermarket, VICTORY PARK EST."/>
        <s v="Prime Mart Superstores, OKOKOMAIKO"/>
        <s v="Prime Mart Superstores, IYANA ISASH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83"/>
        <s v="DT:000098"/>
        <s v="DT:000155"/>
        <s v="DT:000171"/>
        <s v="DT:000173"/>
        <s v="DT:000192"/>
        <s v="DT:000146"/>
        <s v="DT:000143"/>
        <m/>
      </sharedItems>
    </cacheField>
    <cacheField name="Quantity" numFmtId="0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30000.0"/>
        <n v="60000.0"/>
        <m/>
      </sharedItems>
    </cacheField>
    <cacheField name="Total Vaue" numFmtId="4">
      <sharedItems containsString="0" containsBlank="1" containsNumber="1" containsInteger="1">
        <n v="30000.0"/>
        <n v="90000.0"/>
        <n v="6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5">
      <sharedItems containsDate="1" containsString="0" containsBlank="1">
        <d v="2026-01-09T00:00:00Z"/>
        <d v="2026-01-14T00:00:00Z"/>
        <d v="2026-01-15T00:00:00Z"/>
        <d v="2026-01-13T00:00:00Z"/>
        <m/>
      </sharedItems>
    </cacheField>
    <cacheField name="Particulars" numFmtId="0">
      <sharedItems containsBlank="1">
        <s v="Hutoos Supermarket, Ogba"/>
        <s v="Reno Supermarket, EJIGBO"/>
        <s v="Reno Supermarket, COUNCIL"/>
        <s v="Twins Faja Supermarket, IKOTUN Road"/>
        <s v="Prestige Superstore, IGANDO"/>
        <s v="Ozzy Supermarket, VICTORY PARK EST."/>
        <s v="Prime Mart Superstores, OKOKOMAIKO"/>
        <s v="Prime Mart Superstores, IYANA ISASH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83"/>
        <s v="DT:000098"/>
        <s v="DT:000155"/>
        <s v="DT:000171"/>
        <s v="DT:000173"/>
        <s v="DT:000192"/>
        <s v="DT:000146"/>
        <s v="DT:000143"/>
        <m/>
      </sharedItems>
    </cacheField>
    <cacheField name="Quantity" numFmtId="0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30000.0"/>
        <n v="6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800" sheet="Raw Data"/>
  </cacheSource>
  <cacheFields>
    <cacheField name="item name" numFmtId="0">
      <sharedItems containsBlank="1">
        <s v="Jadens Fruitamil (12x)"/>
        <s v="Jadens Mixagrain (12x)"/>
        <s v="Jadens Nuttymeal (12x)"/>
        <s v="Jadens Fussy-Pops (12x)"/>
        <m/>
      </sharedItems>
    </cacheField>
    <cacheField name="Date" numFmtId="165">
      <sharedItems containsDate="1" containsString="0" containsBlank="1">
        <d v="2026-01-12T00:00:00Z"/>
        <d v="2026-01-13T00:00:00Z"/>
        <d v="2026-01-14T00:00:00Z"/>
        <d v="2026-01-15T00:00:00Z"/>
        <d v="2026-01-09T00:00:00Z"/>
        <m/>
      </sharedItems>
    </cacheField>
    <cacheField name="Particulars" numFmtId="0">
      <sharedItems containsBlank="1">
        <s v="Prince Ebeano, JAKANDE"/>
        <s v="Supersaver, OGUDU"/>
        <s v="Home Affairs Supermarket, GBAGADA"/>
        <s v="Health Rite"/>
        <s v="Jendol Supermarket, AKASOLORI"/>
        <s v="Jendol Supermarket, IJEDE"/>
        <s v="Jendol Supermarket, OJUORE"/>
        <s v="Blenco Supermarket, SANGOTEDO"/>
        <s v="Prince Ebeano, OLOGOLO"/>
        <s v="Jendol, IPAJA"/>
        <s v="Jendol Supermarket, ISHERI"/>
        <s v="Renee Supermarket, IKOYI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12.0"/>
        <n v="13.0"/>
        <n v="14.0"/>
        <n v="15.0"/>
        <n v="17.0"/>
        <n v="18.0"/>
        <n v="19.0"/>
        <n v="21.0"/>
        <n v="23.0"/>
        <n v="5.0"/>
        <n v="6.0"/>
        <n v="8.0"/>
        <m/>
      </sharedItems>
    </cacheField>
    <cacheField name="Quantity" numFmtId="0">
      <sharedItems containsString="0" containsBlank="1" containsNumber="1">
        <n v="2.0"/>
        <n v="1.0"/>
        <n v="0.5"/>
        <n v="3.0"/>
        <m/>
      </sharedItems>
    </cacheField>
    <cacheField name="Value" numFmtId="4">
      <sharedItems containsString="0" containsBlank="1" containsNumber="1" containsInteger="1">
        <n v="120000.0"/>
        <n v="60000.0"/>
        <n v="30000.0"/>
        <n v="180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0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5" outline="0" multipleItemSelectionAllowed="1" showAll="0" sortType="ascending" defaultSubtotal="0">
      <items>
        <item sd="0" x="4"/>
        <item x="0"/>
        <item x="3"/>
        <item x="1"/>
        <item x="2"/>
      </items>
    </pivotField>
    <pivotField name="Particulars" axis="axisRow" compact="0" outline="0" multipleItemSelectionAllowed="1" showAll="0" sortType="ascending" defaultSubtotal="0">
      <items>
        <item x="8"/>
        <item x="0"/>
        <item x="5"/>
        <item x="4"/>
        <item x="7"/>
        <item x="6"/>
        <item x="2"/>
        <item x="1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0"/>
        <item x="1"/>
        <item x="7"/>
        <item x="6"/>
        <item x="2"/>
        <item x="3"/>
        <item x="4"/>
        <item x="5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ue" axis="axisRow" compact="0" numFmtId="4" outline="0" multipleItemSelectionAllowed="1" showAll="0" sortType="ascending">
      <items>
        <item x="4"/>
        <item x="3"/>
        <item x="0"/>
        <item x="2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0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5" outline="0" multipleItemSelectionAllowed="1" showAll="0" sortType="ascending" defaultSubtotal="0">
      <items>
        <item x="4"/>
        <item x="0"/>
        <item x="3"/>
        <item x="1"/>
        <item x="2"/>
      </items>
    </pivotField>
    <pivotField name="Particulars" axis="axisRow" compact="0" outline="0" multipleItemSelectionAllowed="1" showAll="0" sortType="ascending" defaultSubtotal="0">
      <items>
        <item x="8"/>
        <item x="0"/>
        <item x="5"/>
        <item x="4"/>
        <item x="7"/>
        <item x="6"/>
        <item x="2"/>
        <item x="1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0"/>
        <item x="1"/>
        <item x="7"/>
        <item x="6"/>
        <item x="2"/>
        <item x="3"/>
        <item x="4"/>
        <item x="5"/>
      </items>
    </pivotField>
    <pivotField name="Quantity" axis="axisRow" compact="0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48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3"/>
        <item x="1"/>
        <item x="2"/>
      </items>
    </pivotField>
    <pivotField name="Date" axis="axisRow" compact="0" numFmtId="165" outline="0" multipleItemSelectionAllowed="1" showAll="0" sortType="ascending" defaultSubtotal="0">
      <items>
        <item x="5"/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12"/>
        <item x="7"/>
        <item x="3"/>
        <item x="2"/>
        <item x="4"/>
        <item x="5"/>
        <item x="10"/>
        <item x="6"/>
        <item x="9"/>
        <item x="0"/>
        <item x="8"/>
        <item x="11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2"/>
        <item x="9"/>
        <item x="10"/>
        <item x="11"/>
        <item x="0"/>
        <item x="1"/>
        <item x="2"/>
        <item x="3"/>
        <item x="4"/>
        <item x="5"/>
        <item x="6"/>
        <item x="7"/>
        <item x="8"/>
      </items>
    </pivotField>
    <pivotField name="Quantity" axis="axisRow" compact="0" outline="0" multipleItemSelectionAllowed="1" showAll="0" sortType="ascending" defaultSubtotal="0">
      <items>
        <item x="4"/>
        <item x="2"/>
        <item x="1"/>
        <item x="0"/>
        <item x="3"/>
      </items>
    </pivotField>
    <pivotField name="Value" axis="axisRow" compact="0" numFmtId="4" outline="0" multipleItemSelectionAllowed="1" showAll="0" sortType="ascending">
      <items>
        <item x="4"/>
        <item x="2"/>
        <item x="1"/>
        <item x="0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>
      <items>
        <item x="0"/>
        <item t="default"/>
      </items>
    </pivotField>
    <pivotField name="Quantity" axis="axisRow" compact="0" outline="0" multipleItemSelectionAllowed="1" showAll="0" sortType="ascending" defaultSubtotal="0">
      <items>
        <item sd="0"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11" t="s">
        <v>11</v>
      </c>
      <c r="F2" s="12" t="s">
        <v>12</v>
      </c>
      <c r="G2" s="12" t="s">
        <v>13</v>
      </c>
      <c r="I2" s="1" t="s">
        <v>7</v>
      </c>
      <c r="J2" s="11" t="s">
        <v>8</v>
      </c>
      <c r="K2" s="9" t="s">
        <v>9</v>
      </c>
      <c r="L2" s="10" t="s">
        <v>10</v>
      </c>
      <c r="M2" s="11" t="s">
        <v>11</v>
      </c>
      <c r="N2" s="12" t="s">
        <v>12</v>
      </c>
      <c r="O2" s="12" t="s">
        <v>13</v>
      </c>
      <c r="P2" s="7" t="s">
        <v>14</v>
      </c>
      <c r="R2" s="1" t="s">
        <v>7</v>
      </c>
      <c r="S2" s="11" t="s">
        <v>8</v>
      </c>
      <c r="T2" s="9" t="s">
        <v>9</v>
      </c>
      <c r="U2" s="10" t="s">
        <v>10</v>
      </c>
      <c r="V2" s="11" t="s">
        <v>11</v>
      </c>
      <c r="W2" s="12" t="s">
        <v>12</v>
      </c>
      <c r="X2" s="12" t="s">
        <v>13</v>
      </c>
      <c r="Z2" s="1" t="s">
        <v>7</v>
      </c>
      <c r="AA2" s="11" t="s">
        <v>8</v>
      </c>
      <c r="AB2" s="9" t="s">
        <v>9</v>
      </c>
      <c r="AC2" s="10" t="s">
        <v>10</v>
      </c>
      <c r="AD2" s="11" t="s">
        <v>11</v>
      </c>
      <c r="AE2" s="12" t="s">
        <v>12</v>
      </c>
      <c r="AF2" s="12" t="s">
        <v>13</v>
      </c>
      <c r="AG2" s="1"/>
      <c r="AH2" s="1" t="s">
        <v>7</v>
      </c>
      <c r="AI2" s="11" t="s">
        <v>8</v>
      </c>
      <c r="AJ2" s="9" t="s">
        <v>9</v>
      </c>
      <c r="AK2" s="10" t="s">
        <v>10</v>
      </c>
      <c r="AL2" s="11" t="s">
        <v>11</v>
      </c>
      <c r="AM2" s="12" t="s">
        <v>12</v>
      </c>
      <c r="AN2" s="12" t="s">
        <v>13</v>
      </c>
      <c r="AO2" s="6"/>
      <c r="AP2" s="1" t="s">
        <v>7</v>
      </c>
      <c r="AQ2" s="11" t="s">
        <v>8</v>
      </c>
      <c r="AR2" s="9" t="s">
        <v>9</v>
      </c>
      <c r="AS2" s="10" t="s">
        <v>10</v>
      </c>
      <c r="AT2" s="11" t="s">
        <v>11</v>
      </c>
      <c r="AU2" s="12" t="s">
        <v>12</v>
      </c>
      <c r="AV2" s="12" t="s">
        <v>13</v>
      </c>
      <c r="AW2" s="6"/>
      <c r="AX2" s="6">
        <f t="array" ref="AX2">counta(unique(C:C))-3</f>
        <v>18</v>
      </c>
    </row>
    <row r="3">
      <c r="A3" s="13" t="s">
        <v>15</v>
      </c>
      <c r="B3" s="8">
        <v>46034.0</v>
      </c>
      <c r="C3" s="14" t="s">
        <v>16</v>
      </c>
      <c r="D3" s="14" t="s">
        <v>17</v>
      </c>
      <c r="E3" s="11">
        <v>12.0</v>
      </c>
      <c r="F3" s="15">
        <v>2.0</v>
      </c>
      <c r="G3" s="16">
        <v>120000.0</v>
      </c>
      <c r="I3" s="17" t="str">
        <f>IFERROR(__xludf.DUMMYFUNCTION("IFERROR(
  FILTER($A$3:$G1002, LEN($A$3:$A1002), LOWER(TRIM($D$3:$D1002))=""sales""),
)"),"Jadens Fruitamil (12x)")</f>
        <v>Jadens Fruitamil (12x)</v>
      </c>
      <c r="J3" s="18">
        <f>IFERROR(__xludf.DUMMYFUNCTION("""COMPUTED_VALUE"""),46031.0)</f>
        <v>46031</v>
      </c>
      <c r="K3" s="19" t="str">
        <f>IFERROR(__xludf.DUMMYFUNCTION("""COMPUTED_VALUE"""),"Hutoos Supermarket, Ogba")</f>
        <v>Hutoos Supermarket, Ogba</v>
      </c>
      <c r="L3" s="19" t="str">
        <f>IFERROR(__xludf.DUMMYFUNCTION("""COMPUTED_VALUE"""),"Sales")</f>
        <v>Sales</v>
      </c>
      <c r="M3" s="5" t="str">
        <f>IFERROR(__xludf.DUMMYFUNCTION("""COMPUTED_VALUE"""),"DT:000083")</f>
        <v>DT:000083</v>
      </c>
      <c r="N3" s="20">
        <f>IFERROR(__xludf.DUMMYFUNCTION("""COMPUTED_VALUE"""),0.5)</f>
        <v>0.5</v>
      </c>
      <c r="O3" s="21">
        <f>IFERROR(__xludf.DUMMYFUNCTION("""COMPUTED_VALUE"""),30000.0)</f>
        <v>30000</v>
      </c>
      <c r="P3" s="22">
        <f t="shared" ref="P3:P174" si="1">sumif(M:M,M3,O:O)</f>
        <v>30000</v>
      </c>
      <c r="R3" s="17" t="str">
        <f>IFERROR(__xludf.DUMMYFUNCTION("IFERROR(
  FILTER($A$3:$G1002, LEN($A$3:$A1002), REGEXMATCH(LOWER(TRIM($D$3:$D1002)), ""\bjournal\b"")),
)
"),"Jadens Fruitamil (12x)")</f>
        <v>Jadens Fruitamil (12x)</v>
      </c>
      <c r="S3" s="18">
        <f>IFERROR(__xludf.DUMMYFUNCTION("""COMPUTED_VALUE"""),46034.0)</f>
        <v>46034</v>
      </c>
      <c r="T3" s="19" t="str">
        <f>IFERROR(__xludf.DUMMYFUNCTION("""COMPUTED_VALUE"""),"Prince Ebeano, JAKANDE")</f>
        <v>Prince Ebeano, JAKANDE</v>
      </c>
      <c r="U3" s="19" t="str">
        <f>IFERROR(__xludf.DUMMYFUNCTION("""COMPUTED_VALUE"""),"Journal")</f>
        <v>Journal</v>
      </c>
      <c r="V3" s="5">
        <f>IFERROR(__xludf.DUMMYFUNCTION("""COMPUTED_VALUE"""),12.0)</f>
        <v>12</v>
      </c>
      <c r="W3" s="20">
        <f>IFERROR(__xludf.DUMMYFUNCTION("""COMPUTED_VALUE"""),2.0)</f>
        <v>2</v>
      </c>
      <c r="X3" s="21">
        <f>IFERROR(__xludf.DUMMYFUNCTION("""COMPUTED_VALUE"""),120000.0)</f>
        <v>120000</v>
      </c>
      <c r="Z3" s="23"/>
      <c r="AA3" s="23"/>
      <c r="AB3" s="23"/>
      <c r="AC3" s="23"/>
      <c r="AD3" s="23"/>
      <c r="AE3" s="23"/>
      <c r="AF3" s="23"/>
      <c r="AG3" s="23"/>
      <c r="AH3" s="24" t="str">
        <f>IFERROR(__xludf.DUMMYFUNCTION("IFERROR(FILTER($A$3:$G1002, LEN($A$3:$A1002), LOWER(TRIM($D$3:$D1002))=""Inventory Supplied by Brands""),)"),"")</f>
        <v/>
      </c>
      <c r="AI3" s="18"/>
      <c r="AJ3" s="19"/>
      <c r="AK3" s="19"/>
      <c r="AL3" s="5"/>
      <c r="AM3" s="20"/>
      <c r="AN3" s="21"/>
      <c r="AP3" s="25" t="str">
        <f>IFERROR(__xludf.DUMMYFUNCTION("IFERROR(FILTER($A$3:$G1002, LEN($A$3:$A1002), LOWER(TRIM($D$3:$D1002))=""Inventory Pickup by Dala""),)
"),"")</f>
        <v/>
      </c>
      <c r="AQ3" s="26"/>
      <c r="AR3" s="27"/>
      <c r="AS3" s="27"/>
      <c r="AT3" s="28"/>
      <c r="AU3" s="28"/>
      <c r="AV3" s="29"/>
    </row>
    <row r="4">
      <c r="A4" s="13" t="s">
        <v>18</v>
      </c>
      <c r="B4" s="8">
        <v>46034.0</v>
      </c>
      <c r="C4" s="14" t="s">
        <v>16</v>
      </c>
      <c r="D4" s="14" t="s">
        <v>17</v>
      </c>
      <c r="E4" s="11">
        <v>12.0</v>
      </c>
      <c r="F4" s="15">
        <v>1.0</v>
      </c>
      <c r="G4" s="16">
        <v>60000.0</v>
      </c>
      <c r="I4" s="17" t="str">
        <f>IFERROR(__xludf.DUMMYFUNCTION("""COMPUTED_VALUE"""),"Jadens Fruitamil (12x)")</f>
        <v>Jadens Fruitamil (12x)</v>
      </c>
      <c r="J4" s="18">
        <f>IFERROR(__xludf.DUMMYFUNCTION("""COMPUTED_VALUE"""),46031.0)</f>
        <v>46031</v>
      </c>
      <c r="K4" s="19" t="str">
        <f>IFERROR(__xludf.DUMMYFUNCTION("""COMPUTED_VALUE"""),"Reno Supermarket, EJIGBO")</f>
        <v>Reno Supermarket, EJIGBO</v>
      </c>
      <c r="L4" s="19" t="str">
        <f>IFERROR(__xludf.DUMMYFUNCTION("""COMPUTED_VALUE"""),"Sales")</f>
        <v>Sales</v>
      </c>
      <c r="M4" s="5" t="str">
        <f>IFERROR(__xludf.DUMMYFUNCTION("""COMPUTED_VALUE"""),"DT:000098")</f>
        <v>DT:000098</v>
      </c>
      <c r="N4" s="20">
        <f>IFERROR(__xludf.DUMMYFUNCTION("""COMPUTED_VALUE"""),0.5)</f>
        <v>0.5</v>
      </c>
      <c r="O4" s="21">
        <f>IFERROR(__xludf.DUMMYFUNCTION("""COMPUTED_VALUE"""),30000.0)</f>
        <v>30000</v>
      </c>
      <c r="P4" s="22">
        <f t="shared" si="1"/>
        <v>90000</v>
      </c>
      <c r="R4" s="17" t="str">
        <f>IFERROR(__xludf.DUMMYFUNCTION("""COMPUTED_VALUE"""),"Jadens Mixagrain (12x)")</f>
        <v>Jadens Mixagrain (12x)</v>
      </c>
      <c r="S4" s="18">
        <f>IFERROR(__xludf.DUMMYFUNCTION("""COMPUTED_VALUE"""),46034.0)</f>
        <v>46034</v>
      </c>
      <c r="T4" s="19" t="str">
        <f>IFERROR(__xludf.DUMMYFUNCTION("""COMPUTED_VALUE"""),"Prince Ebeano, JAKANDE")</f>
        <v>Prince Ebeano, JAKANDE</v>
      </c>
      <c r="U4" s="19" t="str">
        <f>IFERROR(__xludf.DUMMYFUNCTION("""COMPUTED_VALUE"""),"Journal")</f>
        <v>Journal</v>
      </c>
      <c r="V4" s="5">
        <f>IFERROR(__xludf.DUMMYFUNCTION("""COMPUTED_VALUE"""),12.0)</f>
        <v>12</v>
      </c>
      <c r="W4" s="20">
        <f>IFERROR(__xludf.DUMMYFUNCTION("""COMPUTED_VALUE"""),1.0)</f>
        <v>1</v>
      </c>
      <c r="X4" s="21">
        <f>IFERROR(__xludf.DUMMYFUNCTION("""COMPUTED_VALUE"""),60000.0)</f>
        <v>60000</v>
      </c>
      <c r="Z4" s="23"/>
      <c r="AA4" s="23"/>
      <c r="AB4" s="23"/>
      <c r="AC4" s="23"/>
      <c r="AD4" s="23"/>
      <c r="AE4" s="23"/>
      <c r="AF4" s="23"/>
      <c r="AG4" s="23"/>
      <c r="AH4" s="17"/>
      <c r="AI4" s="18"/>
      <c r="AJ4" s="19"/>
      <c r="AK4" s="19"/>
      <c r="AL4" s="5"/>
      <c r="AM4" s="20"/>
      <c r="AN4" s="21"/>
    </row>
    <row r="5">
      <c r="A5" s="13" t="s">
        <v>19</v>
      </c>
      <c r="B5" s="8">
        <v>46034.0</v>
      </c>
      <c r="C5" s="14" t="s">
        <v>16</v>
      </c>
      <c r="D5" s="14" t="s">
        <v>17</v>
      </c>
      <c r="E5" s="11">
        <v>12.0</v>
      </c>
      <c r="F5" s="15">
        <v>1.0</v>
      </c>
      <c r="G5" s="16">
        <v>60000.0</v>
      </c>
      <c r="I5" s="17" t="str">
        <f>IFERROR(__xludf.DUMMYFUNCTION("""COMPUTED_VALUE"""),"Jadens Fruitamil (12x)")</f>
        <v>Jadens Fruitamil (12x)</v>
      </c>
      <c r="J5" s="18">
        <f>IFERROR(__xludf.DUMMYFUNCTION("""COMPUTED_VALUE"""),46036.0)</f>
        <v>46036</v>
      </c>
      <c r="K5" s="19" t="str">
        <f>IFERROR(__xludf.DUMMYFUNCTION("""COMPUTED_VALUE"""),"Reno Supermarket, COUNCIL")</f>
        <v>Reno Supermarket, COUNCIL</v>
      </c>
      <c r="L5" s="19" t="str">
        <f>IFERROR(__xludf.DUMMYFUNCTION("""COMPUTED_VALUE"""),"Sales")</f>
        <v>Sales</v>
      </c>
      <c r="M5" s="5" t="str">
        <f>IFERROR(__xludf.DUMMYFUNCTION("""COMPUTED_VALUE"""),"DT:000155")</f>
        <v>DT:000155</v>
      </c>
      <c r="N5" s="20">
        <f>IFERROR(__xludf.DUMMYFUNCTION("""COMPUTED_VALUE"""),0.5)</f>
        <v>0.5</v>
      </c>
      <c r="O5" s="21">
        <f>IFERROR(__xludf.DUMMYFUNCTION("""COMPUTED_VALUE"""),30000.0)</f>
        <v>30000</v>
      </c>
      <c r="P5" s="22">
        <f t="shared" si="1"/>
        <v>60000</v>
      </c>
      <c r="R5" s="17" t="str">
        <f>IFERROR(__xludf.DUMMYFUNCTION("""COMPUTED_VALUE"""),"Jadens Nuttymeal (12x)")</f>
        <v>Jadens Nuttymeal (12x)</v>
      </c>
      <c r="S5" s="18">
        <f>IFERROR(__xludf.DUMMYFUNCTION("""COMPUTED_VALUE"""),46034.0)</f>
        <v>46034</v>
      </c>
      <c r="T5" s="19" t="str">
        <f>IFERROR(__xludf.DUMMYFUNCTION("""COMPUTED_VALUE"""),"Prince Ebeano, JAKANDE")</f>
        <v>Prince Ebeano, JAKANDE</v>
      </c>
      <c r="U5" s="19" t="str">
        <f>IFERROR(__xludf.DUMMYFUNCTION("""COMPUTED_VALUE"""),"Journal")</f>
        <v>Journal</v>
      </c>
      <c r="V5" s="5">
        <f>IFERROR(__xludf.DUMMYFUNCTION("""COMPUTED_VALUE"""),12.0)</f>
        <v>12</v>
      </c>
      <c r="W5" s="20">
        <f>IFERROR(__xludf.DUMMYFUNCTION("""COMPUTED_VALUE"""),1.0)</f>
        <v>1</v>
      </c>
      <c r="X5" s="21">
        <f>IFERROR(__xludf.DUMMYFUNCTION("""COMPUTED_VALUE"""),60000.0)</f>
        <v>60000</v>
      </c>
      <c r="Z5" s="23"/>
      <c r="AA5" s="23"/>
      <c r="AB5" s="23"/>
      <c r="AC5" s="23"/>
      <c r="AD5" s="23"/>
      <c r="AE5" s="23"/>
      <c r="AF5" s="23"/>
      <c r="AG5" s="23"/>
      <c r="AH5" s="17"/>
      <c r="AI5" s="18"/>
      <c r="AJ5" s="19"/>
      <c r="AK5" s="19"/>
      <c r="AL5" s="5"/>
      <c r="AM5" s="20"/>
      <c r="AN5" s="21"/>
    </row>
    <row r="6">
      <c r="A6" s="13" t="s">
        <v>15</v>
      </c>
      <c r="B6" s="8">
        <v>46035.0</v>
      </c>
      <c r="C6" s="14" t="s">
        <v>20</v>
      </c>
      <c r="D6" s="14" t="s">
        <v>17</v>
      </c>
      <c r="E6" s="11">
        <v>13.0</v>
      </c>
      <c r="F6" s="15">
        <v>0.5</v>
      </c>
      <c r="G6" s="16">
        <v>30000.0</v>
      </c>
      <c r="I6" s="17" t="str">
        <f>IFERROR(__xludf.DUMMYFUNCTION("""COMPUTED_VALUE"""),"Jadens Fruitamil (12x)")</f>
        <v>Jadens Fruitamil (12x)</v>
      </c>
      <c r="J6" s="18">
        <f>IFERROR(__xludf.DUMMYFUNCTION("""COMPUTED_VALUE"""),46036.0)</f>
        <v>46036</v>
      </c>
      <c r="K6" s="19" t="str">
        <f>IFERROR(__xludf.DUMMYFUNCTION("""COMPUTED_VALUE"""),"Twins Faja Supermarket, IKOTUN Road")</f>
        <v>Twins Faja Supermarket, IKOTUN Road</v>
      </c>
      <c r="L6" s="19" t="str">
        <f>IFERROR(__xludf.DUMMYFUNCTION("""COMPUTED_VALUE"""),"Sales")</f>
        <v>Sales</v>
      </c>
      <c r="M6" s="5" t="str">
        <f>IFERROR(__xludf.DUMMYFUNCTION("""COMPUTED_VALUE"""),"DT:000171")</f>
        <v>DT:000171</v>
      </c>
      <c r="N6" s="20">
        <f>IFERROR(__xludf.DUMMYFUNCTION("""COMPUTED_VALUE"""),0.5)</f>
        <v>0.5</v>
      </c>
      <c r="O6" s="21">
        <f>IFERROR(__xludf.DUMMYFUNCTION("""COMPUTED_VALUE"""),30000.0)</f>
        <v>30000</v>
      </c>
      <c r="P6" s="22">
        <f t="shared" si="1"/>
        <v>90000</v>
      </c>
      <c r="R6" s="17" t="str">
        <f>IFERROR(__xludf.DUMMYFUNCTION("""COMPUTED_VALUE"""),"Jadens Fruitamil (12x)")</f>
        <v>Jadens Fruitamil (12x)</v>
      </c>
      <c r="S6" s="18">
        <f>IFERROR(__xludf.DUMMYFUNCTION("""COMPUTED_VALUE"""),46035.0)</f>
        <v>46035</v>
      </c>
      <c r="T6" s="19" t="str">
        <f>IFERROR(__xludf.DUMMYFUNCTION("""COMPUTED_VALUE"""),"Supersaver, OGUDU")</f>
        <v>Supersaver, OGUDU</v>
      </c>
      <c r="U6" s="19" t="str">
        <f>IFERROR(__xludf.DUMMYFUNCTION("""COMPUTED_VALUE"""),"Journal")</f>
        <v>Journal</v>
      </c>
      <c r="V6" s="5">
        <f>IFERROR(__xludf.DUMMYFUNCTION("""COMPUTED_VALUE"""),13.0)</f>
        <v>13</v>
      </c>
      <c r="W6" s="20">
        <f>IFERROR(__xludf.DUMMYFUNCTION("""COMPUTED_VALUE"""),0.5)</f>
        <v>0.5</v>
      </c>
      <c r="X6" s="21">
        <f>IFERROR(__xludf.DUMMYFUNCTION("""COMPUTED_VALUE"""),30000.0)</f>
        <v>30000</v>
      </c>
      <c r="Z6" s="23"/>
      <c r="AA6" s="23"/>
      <c r="AB6" s="23"/>
      <c r="AC6" s="23"/>
      <c r="AD6" s="23"/>
      <c r="AE6" s="23"/>
      <c r="AF6" s="23"/>
      <c r="AG6" s="23"/>
      <c r="AH6" s="17"/>
      <c r="AI6" s="18"/>
      <c r="AJ6" s="19"/>
      <c r="AK6" s="19"/>
      <c r="AL6" s="5"/>
      <c r="AM6" s="20"/>
      <c r="AN6" s="21"/>
    </row>
    <row r="7">
      <c r="A7" s="13" t="s">
        <v>21</v>
      </c>
      <c r="B7" s="8">
        <v>46035.0</v>
      </c>
      <c r="C7" s="14" t="s">
        <v>22</v>
      </c>
      <c r="D7" s="14" t="s">
        <v>17</v>
      </c>
      <c r="E7" s="11">
        <v>14.0</v>
      </c>
      <c r="F7" s="15">
        <v>0.5</v>
      </c>
      <c r="G7" s="16">
        <v>30000.0</v>
      </c>
      <c r="I7" s="17" t="str">
        <f>IFERROR(__xludf.DUMMYFUNCTION("""COMPUTED_VALUE"""),"Jadens Fruitamil (12x)")</f>
        <v>Jadens Fruitamil (12x)</v>
      </c>
      <c r="J7" s="18">
        <f>IFERROR(__xludf.DUMMYFUNCTION("""COMPUTED_VALUE"""),46036.0)</f>
        <v>46036</v>
      </c>
      <c r="K7" s="19" t="str">
        <f>IFERROR(__xludf.DUMMYFUNCTION("""COMPUTED_VALUE"""),"Prestige Superstore, IGANDO")</f>
        <v>Prestige Superstore, IGANDO</v>
      </c>
      <c r="L7" s="19" t="str">
        <f>IFERROR(__xludf.DUMMYFUNCTION("""COMPUTED_VALUE"""),"Sales")</f>
        <v>Sales</v>
      </c>
      <c r="M7" s="5" t="str">
        <f>IFERROR(__xludf.DUMMYFUNCTION("""COMPUTED_VALUE"""),"DT:000173")</f>
        <v>DT:000173</v>
      </c>
      <c r="N7" s="20">
        <f>IFERROR(__xludf.DUMMYFUNCTION("""COMPUTED_VALUE"""),0.5)</f>
        <v>0.5</v>
      </c>
      <c r="O7" s="21">
        <f>IFERROR(__xludf.DUMMYFUNCTION("""COMPUTED_VALUE"""),30000.0)</f>
        <v>30000</v>
      </c>
      <c r="P7" s="22">
        <f t="shared" si="1"/>
        <v>60000</v>
      </c>
      <c r="R7" s="17" t="str">
        <f>IFERROR(__xludf.DUMMYFUNCTION("""COMPUTED_VALUE"""),"Jadens Fussy-Pops (12x)")</f>
        <v>Jadens Fussy-Pops (12x)</v>
      </c>
      <c r="S7" s="18">
        <f>IFERROR(__xludf.DUMMYFUNCTION("""COMPUTED_VALUE"""),46035.0)</f>
        <v>46035</v>
      </c>
      <c r="T7" s="19" t="str">
        <f>IFERROR(__xludf.DUMMYFUNCTION("""COMPUTED_VALUE"""),"Home Affairs Supermarket, GBAGADA")</f>
        <v>Home Affairs Supermarket, GBAGADA</v>
      </c>
      <c r="U7" s="19" t="str">
        <f>IFERROR(__xludf.DUMMYFUNCTION("""COMPUTED_VALUE"""),"Journal")</f>
        <v>Journal</v>
      </c>
      <c r="V7" s="5">
        <f>IFERROR(__xludf.DUMMYFUNCTION("""COMPUTED_VALUE"""),14.0)</f>
        <v>14</v>
      </c>
      <c r="W7" s="20">
        <f>IFERROR(__xludf.DUMMYFUNCTION("""COMPUTED_VALUE"""),0.5)</f>
        <v>0.5</v>
      </c>
      <c r="X7" s="21">
        <f>IFERROR(__xludf.DUMMYFUNCTION("""COMPUTED_VALUE"""),30000.0)</f>
        <v>30000</v>
      </c>
      <c r="Z7" s="23"/>
      <c r="AA7" s="23"/>
      <c r="AB7" s="23"/>
      <c r="AC7" s="23"/>
      <c r="AD7" s="23"/>
      <c r="AE7" s="23"/>
      <c r="AF7" s="23"/>
      <c r="AG7" s="23"/>
      <c r="AH7" s="17"/>
      <c r="AI7" s="18"/>
      <c r="AJ7" s="19"/>
      <c r="AK7" s="19"/>
      <c r="AL7" s="5"/>
      <c r="AM7" s="20"/>
      <c r="AN7" s="21"/>
    </row>
    <row r="8">
      <c r="A8" s="13" t="s">
        <v>18</v>
      </c>
      <c r="B8" s="8">
        <v>46035.0</v>
      </c>
      <c r="C8" s="14" t="s">
        <v>22</v>
      </c>
      <c r="D8" s="14" t="s">
        <v>17</v>
      </c>
      <c r="E8" s="11">
        <v>14.0</v>
      </c>
      <c r="F8" s="15">
        <v>0.5</v>
      </c>
      <c r="G8" s="16">
        <v>30000.0</v>
      </c>
      <c r="I8" s="17" t="str">
        <f>IFERROR(__xludf.DUMMYFUNCTION("""COMPUTED_VALUE"""),"Jadens Fruitamil (12x)")</f>
        <v>Jadens Fruitamil (12x)</v>
      </c>
      <c r="J8" s="18">
        <f>IFERROR(__xludf.DUMMYFUNCTION("""COMPUTED_VALUE"""),46037.0)</f>
        <v>46037</v>
      </c>
      <c r="K8" s="19" t="str">
        <f>IFERROR(__xludf.DUMMYFUNCTION("""COMPUTED_VALUE"""),"Ozzy Supermarket, VICTORY PARK EST.")</f>
        <v>Ozzy Supermarket, VICTORY PARK EST.</v>
      </c>
      <c r="L8" s="19" t="str">
        <f>IFERROR(__xludf.DUMMYFUNCTION("""COMPUTED_VALUE"""),"Sales")</f>
        <v>Sales</v>
      </c>
      <c r="M8" s="5" t="str">
        <f>IFERROR(__xludf.DUMMYFUNCTION("""COMPUTED_VALUE"""),"DT:000192")</f>
        <v>DT:000192</v>
      </c>
      <c r="N8" s="20">
        <f>IFERROR(__xludf.DUMMYFUNCTION("""COMPUTED_VALUE"""),0.5)</f>
        <v>0.5</v>
      </c>
      <c r="O8" s="21">
        <f>IFERROR(__xludf.DUMMYFUNCTION("""COMPUTED_VALUE"""),30000.0)</f>
        <v>30000</v>
      </c>
      <c r="P8" s="22">
        <f t="shared" si="1"/>
        <v>90000</v>
      </c>
      <c r="R8" s="17" t="str">
        <f>IFERROR(__xludf.DUMMYFUNCTION("""COMPUTED_VALUE"""),"Jadens Mixagrain (12x)")</f>
        <v>Jadens Mixagrain (12x)</v>
      </c>
      <c r="S8" s="18">
        <f>IFERROR(__xludf.DUMMYFUNCTION("""COMPUTED_VALUE"""),46035.0)</f>
        <v>46035</v>
      </c>
      <c r="T8" s="19" t="str">
        <f>IFERROR(__xludf.DUMMYFUNCTION("""COMPUTED_VALUE"""),"Home Affairs Supermarket, GBAGADA")</f>
        <v>Home Affairs Supermarket, GBAGADA</v>
      </c>
      <c r="U8" s="19" t="str">
        <f>IFERROR(__xludf.DUMMYFUNCTION("""COMPUTED_VALUE"""),"Journal")</f>
        <v>Journal</v>
      </c>
      <c r="V8" s="5">
        <f>IFERROR(__xludf.DUMMYFUNCTION("""COMPUTED_VALUE"""),14.0)</f>
        <v>14</v>
      </c>
      <c r="W8" s="20">
        <f>IFERROR(__xludf.DUMMYFUNCTION("""COMPUTED_VALUE"""),0.5)</f>
        <v>0.5</v>
      </c>
      <c r="X8" s="21">
        <f>IFERROR(__xludf.DUMMYFUNCTION("""COMPUTED_VALUE"""),30000.0)</f>
        <v>30000</v>
      </c>
      <c r="Z8" s="23"/>
      <c r="AA8" s="23"/>
      <c r="AB8" s="23"/>
      <c r="AC8" s="23"/>
      <c r="AD8" s="23"/>
      <c r="AE8" s="23"/>
      <c r="AF8" s="23"/>
      <c r="AG8" s="23"/>
      <c r="AH8" s="17"/>
      <c r="AI8" s="18"/>
      <c r="AJ8" s="19"/>
      <c r="AK8" s="19"/>
      <c r="AL8" s="5"/>
      <c r="AM8" s="20"/>
      <c r="AN8" s="21"/>
    </row>
    <row r="9">
      <c r="A9" s="13" t="s">
        <v>19</v>
      </c>
      <c r="B9" s="8">
        <v>46035.0</v>
      </c>
      <c r="C9" s="14" t="s">
        <v>22</v>
      </c>
      <c r="D9" s="14" t="s">
        <v>17</v>
      </c>
      <c r="E9" s="11">
        <v>14.0</v>
      </c>
      <c r="F9" s="15">
        <v>0.5</v>
      </c>
      <c r="G9" s="16">
        <v>30000.0</v>
      </c>
      <c r="I9" s="17" t="str">
        <f>IFERROR(__xludf.DUMMYFUNCTION("""COMPUTED_VALUE"""),"Jadens Fussy-Pops (12x)")</f>
        <v>Jadens Fussy-Pops (12x)</v>
      </c>
      <c r="J9" s="18">
        <f>IFERROR(__xludf.DUMMYFUNCTION("""COMPUTED_VALUE"""),46031.0)</f>
        <v>46031</v>
      </c>
      <c r="K9" s="19" t="str">
        <f>IFERROR(__xludf.DUMMYFUNCTION("""COMPUTED_VALUE"""),"Reno Supermarket, EJIGBO")</f>
        <v>Reno Supermarket, EJIGBO</v>
      </c>
      <c r="L9" s="19" t="str">
        <f>IFERROR(__xludf.DUMMYFUNCTION("""COMPUTED_VALUE"""),"Sales")</f>
        <v>Sales</v>
      </c>
      <c r="M9" s="5" t="str">
        <f>IFERROR(__xludf.DUMMYFUNCTION("""COMPUTED_VALUE"""),"DT:000098")</f>
        <v>DT:000098</v>
      </c>
      <c r="N9" s="20">
        <f>IFERROR(__xludf.DUMMYFUNCTION("""COMPUTED_VALUE"""),0.5)</f>
        <v>0.5</v>
      </c>
      <c r="O9" s="21">
        <f>IFERROR(__xludf.DUMMYFUNCTION("""COMPUTED_VALUE"""),30000.0)</f>
        <v>30000</v>
      </c>
      <c r="P9" s="22">
        <f t="shared" si="1"/>
        <v>90000</v>
      </c>
      <c r="R9" s="17" t="str">
        <f>IFERROR(__xludf.DUMMYFUNCTION("""COMPUTED_VALUE"""),"Jadens Nuttymeal (12x)")</f>
        <v>Jadens Nuttymeal (12x)</v>
      </c>
      <c r="S9" s="18">
        <f>IFERROR(__xludf.DUMMYFUNCTION("""COMPUTED_VALUE"""),46035.0)</f>
        <v>46035</v>
      </c>
      <c r="T9" s="19" t="str">
        <f>IFERROR(__xludf.DUMMYFUNCTION("""COMPUTED_VALUE"""),"Home Affairs Supermarket, GBAGADA")</f>
        <v>Home Affairs Supermarket, GBAGADA</v>
      </c>
      <c r="U9" s="19" t="str">
        <f>IFERROR(__xludf.DUMMYFUNCTION("""COMPUTED_VALUE"""),"Journal")</f>
        <v>Journal</v>
      </c>
      <c r="V9" s="5">
        <f>IFERROR(__xludf.DUMMYFUNCTION("""COMPUTED_VALUE"""),14.0)</f>
        <v>14</v>
      </c>
      <c r="W9" s="20">
        <f>IFERROR(__xludf.DUMMYFUNCTION("""COMPUTED_VALUE"""),0.5)</f>
        <v>0.5</v>
      </c>
      <c r="X9" s="21">
        <f>IFERROR(__xludf.DUMMYFUNCTION("""COMPUTED_VALUE"""),30000.0)</f>
        <v>30000</v>
      </c>
      <c r="AH9" s="17"/>
      <c r="AI9" s="18"/>
      <c r="AJ9" s="19"/>
      <c r="AK9" s="19"/>
      <c r="AL9" s="5"/>
      <c r="AM9" s="20"/>
      <c r="AN9" s="21"/>
    </row>
    <row r="10">
      <c r="A10" s="13" t="s">
        <v>15</v>
      </c>
      <c r="B10" s="8">
        <v>46036.0</v>
      </c>
      <c r="C10" s="14" t="s">
        <v>23</v>
      </c>
      <c r="D10" s="14" t="s">
        <v>17</v>
      </c>
      <c r="E10" s="11">
        <v>15.0</v>
      </c>
      <c r="F10" s="15">
        <v>1.0</v>
      </c>
      <c r="G10" s="16">
        <v>60000.0</v>
      </c>
      <c r="I10" s="17" t="str">
        <f>IFERROR(__xludf.DUMMYFUNCTION("""COMPUTED_VALUE"""),"Jadens Mixagrain (12x)")</f>
        <v>Jadens Mixagrain (12x)</v>
      </c>
      <c r="J10" s="18">
        <f>IFERROR(__xludf.DUMMYFUNCTION("""COMPUTED_VALUE"""),46035.0)</f>
        <v>46035</v>
      </c>
      <c r="K10" s="19" t="str">
        <f>IFERROR(__xludf.DUMMYFUNCTION("""COMPUTED_VALUE"""),"Prime Mart Superstores, OKOKOMAIKO")</f>
        <v>Prime Mart Superstores, OKOKOMAIKO</v>
      </c>
      <c r="L10" s="19" t="str">
        <f>IFERROR(__xludf.DUMMYFUNCTION("""COMPUTED_VALUE"""),"Sales")</f>
        <v>Sales</v>
      </c>
      <c r="M10" s="5" t="str">
        <f>IFERROR(__xludf.DUMMYFUNCTION("""COMPUTED_VALUE"""),"DT:000146")</f>
        <v>DT:000146</v>
      </c>
      <c r="N10" s="20">
        <f>IFERROR(__xludf.DUMMYFUNCTION("""COMPUTED_VALUE"""),0.5)</f>
        <v>0.5</v>
      </c>
      <c r="O10" s="21">
        <f>IFERROR(__xludf.DUMMYFUNCTION("""COMPUTED_VALUE"""),30000.0)</f>
        <v>30000</v>
      </c>
      <c r="P10" s="22">
        <f t="shared" si="1"/>
        <v>30000</v>
      </c>
      <c r="R10" s="17" t="str">
        <f>IFERROR(__xludf.DUMMYFUNCTION("""COMPUTED_VALUE"""),"Jadens Fruitamil (12x)")</f>
        <v>Jadens Fruitamil (12x)</v>
      </c>
      <c r="S10" s="18">
        <f>IFERROR(__xludf.DUMMYFUNCTION("""COMPUTED_VALUE"""),46036.0)</f>
        <v>46036</v>
      </c>
      <c r="T10" s="19" t="str">
        <f>IFERROR(__xludf.DUMMYFUNCTION("""COMPUTED_VALUE"""),"Health Rite")</f>
        <v>Health Rite</v>
      </c>
      <c r="U10" s="19" t="str">
        <f>IFERROR(__xludf.DUMMYFUNCTION("""COMPUTED_VALUE"""),"Journal")</f>
        <v>Journal</v>
      </c>
      <c r="V10" s="5">
        <f>IFERROR(__xludf.DUMMYFUNCTION("""COMPUTED_VALUE"""),15.0)</f>
        <v>15</v>
      </c>
      <c r="W10" s="20">
        <f>IFERROR(__xludf.DUMMYFUNCTION("""COMPUTED_VALUE"""),1.0)</f>
        <v>1</v>
      </c>
      <c r="X10" s="21">
        <f>IFERROR(__xludf.DUMMYFUNCTION("""COMPUTED_VALUE"""),60000.0)</f>
        <v>60000</v>
      </c>
      <c r="AH10" s="25"/>
      <c r="AI10" s="30"/>
      <c r="AJ10" s="24"/>
      <c r="AK10" s="24"/>
      <c r="AL10" s="31"/>
      <c r="AM10" s="31"/>
      <c r="AN10" s="32"/>
    </row>
    <row r="11">
      <c r="A11" s="13" t="s">
        <v>21</v>
      </c>
      <c r="B11" s="8">
        <v>46036.0</v>
      </c>
      <c r="C11" s="14" t="s">
        <v>23</v>
      </c>
      <c r="D11" s="14" t="s">
        <v>17</v>
      </c>
      <c r="E11" s="11">
        <v>15.0</v>
      </c>
      <c r="F11" s="15">
        <v>1.0</v>
      </c>
      <c r="G11" s="16">
        <v>60000.0</v>
      </c>
      <c r="I11" s="17" t="str">
        <f>IFERROR(__xludf.DUMMYFUNCTION("""COMPUTED_VALUE"""),"Jadens Mixagrain (12x)")</f>
        <v>Jadens Mixagrain (12x)</v>
      </c>
      <c r="J11" s="18">
        <f>IFERROR(__xludf.DUMMYFUNCTION("""COMPUTED_VALUE"""),46036.0)</f>
        <v>46036</v>
      </c>
      <c r="K11" s="19" t="str">
        <f>IFERROR(__xludf.DUMMYFUNCTION("""COMPUTED_VALUE"""),"Twins Faja Supermarket, IKOTUN Road")</f>
        <v>Twins Faja Supermarket, IKOTUN Road</v>
      </c>
      <c r="L11" s="19" t="str">
        <f>IFERROR(__xludf.DUMMYFUNCTION("""COMPUTED_VALUE"""),"Sales")</f>
        <v>Sales</v>
      </c>
      <c r="M11" s="5" t="str">
        <f>IFERROR(__xludf.DUMMYFUNCTION("""COMPUTED_VALUE"""),"DT:000171")</f>
        <v>DT:000171</v>
      </c>
      <c r="N11" s="20">
        <f>IFERROR(__xludf.DUMMYFUNCTION("""COMPUTED_VALUE"""),0.5)</f>
        <v>0.5</v>
      </c>
      <c r="O11" s="21">
        <f>IFERROR(__xludf.DUMMYFUNCTION("""COMPUTED_VALUE"""),30000.0)</f>
        <v>30000</v>
      </c>
      <c r="P11" s="22">
        <f t="shared" si="1"/>
        <v>90000</v>
      </c>
      <c r="R11" s="17" t="str">
        <f>IFERROR(__xludf.DUMMYFUNCTION("""COMPUTED_VALUE"""),"Jadens Fussy-Pops (12x)")</f>
        <v>Jadens Fussy-Pops (12x)</v>
      </c>
      <c r="S11" s="18">
        <f>IFERROR(__xludf.DUMMYFUNCTION("""COMPUTED_VALUE"""),46036.0)</f>
        <v>46036</v>
      </c>
      <c r="T11" s="19" t="str">
        <f>IFERROR(__xludf.DUMMYFUNCTION("""COMPUTED_VALUE"""),"Health Rite")</f>
        <v>Health Rite</v>
      </c>
      <c r="U11" s="19" t="str">
        <f>IFERROR(__xludf.DUMMYFUNCTION("""COMPUTED_VALUE"""),"Journal")</f>
        <v>Journal</v>
      </c>
      <c r="V11" s="5">
        <f>IFERROR(__xludf.DUMMYFUNCTION("""COMPUTED_VALUE"""),15.0)</f>
        <v>15</v>
      </c>
      <c r="W11" s="20">
        <f>IFERROR(__xludf.DUMMYFUNCTION("""COMPUTED_VALUE"""),1.0)</f>
        <v>1</v>
      </c>
      <c r="X11" s="21">
        <f>IFERROR(__xludf.DUMMYFUNCTION("""COMPUTED_VALUE"""),60000.0)</f>
        <v>60000</v>
      </c>
      <c r="AH11" s="25"/>
      <c r="AI11" s="30"/>
      <c r="AJ11" s="24"/>
      <c r="AK11" s="24"/>
      <c r="AL11" s="31"/>
      <c r="AM11" s="31"/>
      <c r="AN11" s="32"/>
    </row>
    <row r="12">
      <c r="A12" s="13" t="s">
        <v>18</v>
      </c>
      <c r="B12" s="8">
        <v>46036.0</v>
      </c>
      <c r="C12" s="14" t="s">
        <v>23</v>
      </c>
      <c r="D12" s="14" t="s">
        <v>17</v>
      </c>
      <c r="E12" s="11">
        <v>15.0</v>
      </c>
      <c r="F12" s="15">
        <v>1.0</v>
      </c>
      <c r="G12" s="16">
        <v>60000.0</v>
      </c>
      <c r="I12" s="17" t="str">
        <f>IFERROR(__xludf.DUMMYFUNCTION("""COMPUTED_VALUE"""),"Jadens Nuttymeal (12x)")</f>
        <v>Jadens Nuttymeal (12x)</v>
      </c>
      <c r="J12" s="18">
        <f>IFERROR(__xludf.DUMMYFUNCTION("""COMPUTED_VALUE"""),46031.0)</f>
        <v>46031</v>
      </c>
      <c r="K12" s="19" t="str">
        <f>IFERROR(__xludf.DUMMYFUNCTION("""COMPUTED_VALUE"""),"Reno Supermarket, EJIGBO")</f>
        <v>Reno Supermarket, EJIGBO</v>
      </c>
      <c r="L12" s="19" t="str">
        <f>IFERROR(__xludf.DUMMYFUNCTION("""COMPUTED_VALUE"""),"Sales")</f>
        <v>Sales</v>
      </c>
      <c r="M12" s="5" t="str">
        <f>IFERROR(__xludf.DUMMYFUNCTION("""COMPUTED_VALUE"""),"DT:000098")</f>
        <v>DT:000098</v>
      </c>
      <c r="N12" s="20">
        <f>IFERROR(__xludf.DUMMYFUNCTION("""COMPUTED_VALUE"""),0.5)</f>
        <v>0.5</v>
      </c>
      <c r="O12" s="21">
        <f>IFERROR(__xludf.DUMMYFUNCTION("""COMPUTED_VALUE"""),30000.0)</f>
        <v>30000</v>
      </c>
      <c r="P12" s="22">
        <f t="shared" si="1"/>
        <v>90000</v>
      </c>
      <c r="R12" s="17" t="str">
        <f>IFERROR(__xludf.DUMMYFUNCTION("""COMPUTED_VALUE"""),"Jadens Mixagrain (12x)")</f>
        <v>Jadens Mixagrain (12x)</v>
      </c>
      <c r="S12" s="18">
        <f>IFERROR(__xludf.DUMMYFUNCTION("""COMPUTED_VALUE"""),46036.0)</f>
        <v>46036</v>
      </c>
      <c r="T12" s="19" t="str">
        <f>IFERROR(__xludf.DUMMYFUNCTION("""COMPUTED_VALUE"""),"Health Rite")</f>
        <v>Health Rite</v>
      </c>
      <c r="U12" s="19" t="str">
        <f>IFERROR(__xludf.DUMMYFUNCTION("""COMPUTED_VALUE"""),"Journal")</f>
        <v>Journal</v>
      </c>
      <c r="V12" s="5">
        <f>IFERROR(__xludf.DUMMYFUNCTION("""COMPUTED_VALUE"""),15.0)</f>
        <v>15</v>
      </c>
      <c r="W12" s="20">
        <f>IFERROR(__xludf.DUMMYFUNCTION("""COMPUTED_VALUE"""),1.0)</f>
        <v>1</v>
      </c>
      <c r="X12" s="21">
        <f>IFERROR(__xludf.DUMMYFUNCTION("""COMPUTED_VALUE"""),60000.0)</f>
        <v>60000</v>
      </c>
      <c r="AH12" s="33"/>
      <c r="AI12" s="26"/>
      <c r="AJ12" s="27"/>
      <c r="AK12" s="27"/>
      <c r="AL12" s="28"/>
      <c r="AM12" s="28"/>
      <c r="AN12" s="29"/>
    </row>
    <row r="13">
      <c r="A13" s="13" t="s">
        <v>19</v>
      </c>
      <c r="B13" s="8">
        <v>46036.0</v>
      </c>
      <c r="C13" s="14" t="s">
        <v>23</v>
      </c>
      <c r="D13" s="14" t="s">
        <v>17</v>
      </c>
      <c r="E13" s="11">
        <v>15.0</v>
      </c>
      <c r="F13" s="15">
        <v>1.0</v>
      </c>
      <c r="G13" s="16">
        <v>60000.0</v>
      </c>
      <c r="I13" s="17" t="str">
        <f>IFERROR(__xludf.DUMMYFUNCTION("""COMPUTED_VALUE"""),"Jadens Nuttymeal (12x)")</f>
        <v>Jadens Nuttymeal (12x)</v>
      </c>
      <c r="J13" s="18">
        <f>IFERROR(__xludf.DUMMYFUNCTION("""COMPUTED_VALUE"""),46035.0)</f>
        <v>46035</v>
      </c>
      <c r="K13" s="19" t="str">
        <f>IFERROR(__xludf.DUMMYFUNCTION("""COMPUTED_VALUE"""),"Prime Mart Superstores, IYANA ISASHI")</f>
        <v>Prime Mart Superstores, IYANA ISASHI</v>
      </c>
      <c r="L13" s="19" t="str">
        <f>IFERROR(__xludf.DUMMYFUNCTION("""COMPUTED_VALUE"""),"Sales")</f>
        <v>Sales</v>
      </c>
      <c r="M13" s="5" t="str">
        <f>IFERROR(__xludf.DUMMYFUNCTION("""COMPUTED_VALUE"""),"DT:000143")</f>
        <v>DT:000143</v>
      </c>
      <c r="N13" s="20">
        <f>IFERROR(__xludf.DUMMYFUNCTION("""COMPUTED_VALUE"""),0.5)</f>
        <v>0.5</v>
      </c>
      <c r="O13" s="21">
        <f>IFERROR(__xludf.DUMMYFUNCTION("""COMPUTED_VALUE"""),30000.0)</f>
        <v>30000</v>
      </c>
      <c r="P13" s="22">
        <f t="shared" si="1"/>
        <v>30000</v>
      </c>
      <c r="R13" s="17" t="str">
        <f>IFERROR(__xludf.DUMMYFUNCTION("""COMPUTED_VALUE"""),"Jadens Nuttymeal (12x)")</f>
        <v>Jadens Nuttymeal (12x)</v>
      </c>
      <c r="S13" s="18">
        <f>IFERROR(__xludf.DUMMYFUNCTION("""COMPUTED_VALUE"""),46036.0)</f>
        <v>46036</v>
      </c>
      <c r="T13" s="19" t="str">
        <f>IFERROR(__xludf.DUMMYFUNCTION("""COMPUTED_VALUE"""),"Health Rite")</f>
        <v>Health Rite</v>
      </c>
      <c r="U13" s="19" t="str">
        <f>IFERROR(__xludf.DUMMYFUNCTION("""COMPUTED_VALUE"""),"Journal")</f>
        <v>Journal</v>
      </c>
      <c r="V13" s="5">
        <f>IFERROR(__xludf.DUMMYFUNCTION("""COMPUTED_VALUE"""),15.0)</f>
        <v>15</v>
      </c>
      <c r="W13" s="20">
        <f>IFERROR(__xludf.DUMMYFUNCTION("""COMPUTED_VALUE"""),1.0)</f>
        <v>1</v>
      </c>
      <c r="X13" s="21">
        <f>IFERROR(__xludf.DUMMYFUNCTION("""COMPUTED_VALUE"""),60000.0)</f>
        <v>60000</v>
      </c>
      <c r="AH13" s="17"/>
      <c r="AI13" s="18"/>
      <c r="AJ13" s="19"/>
      <c r="AK13" s="19"/>
      <c r="AL13" s="5"/>
      <c r="AM13" s="20"/>
      <c r="AN13" s="21"/>
    </row>
    <row r="14">
      <c r="A14" s="13" t="s">
        <v>15</v>
      </c>
      <c r="B14" s="8">
        <v>46036.0</v>
      </c>
      <c r="C14" s="14" t="s">
        <v>24</v>
      </c>
      <c r="D14" s="14" t="s">
        <v>17</v>
      </c>
      <c r="E14" s="11">
        <v>17.0</v>
      </c>
      <c r="F14" s="15">
        <v>1.0</v>
      </c>
      <c r="G14" s="16">
        <v>60000.0</v>
      </c>
      <c r="I14" s="17" t="str">
        <f>IFERROR(__xludf.DUMMYFUNCTION("""COMPUTED_VALUE"""),"Jadens Nuttymeal (12x)")</f>
        <v>Jadens Nuttymeal (12x)</v>
      </c>
      <c r="J14" s="18">
        <f>IFERROR(__xludf.DUMMYFUNCTION("""COMPUTED_VALUE"""),46036.0)</f>
        <v>46036</v>
      </c>
      <c r="K14" s="19" t="str">
        <f>IFERROR(__xludf.DUMMYFUNCTION("""COMPUTED_VALUE"""),"Reno Supermarket, COUNCIL")</f>
        <v>Reno Supermarket, COUNCIL</v>
      </c>
      <c r="L14" s="19" t="str">
        <f>IFERROR(__xludf.DUMMYFUNCTION("""COMPUTED_VALUE"""),"Sales")</f>
        <v>Sales</v>
      </c>
      <c r="M14" s="5" t="str">
        <f>IFERROR(__xludf.DUMMYFUNCTION("""COMPUTED_VALUE"""),"DT:000155")</f>
        <v>DT:000155</v>
      </c>
      <c r="N14" s="20">
        <f>IFERROR(__xludf.DUMMYFUNCTION("""COMPUTED_VALUE"""),0.5)</f>
        <v>0.5</v>
      </c>
      <c r="O14" s="21">
        <f>IFERROR(__xludf.DUMMYFUNCTION("""COMPUTED_VALUE"""),30000.0)</f>
        <v>30000</v>
      </c>
      <c r="P14" s="22">
        <f t="shared" si="1"/>
        <v>60000</v>
      </c>
      <c r="R14" s="17" t="str">
        <f>IFERROR(__xludf.DUMMYFUNCTION("""COMPUTED_VALUE"""),"Jadens Fruitamil (12x)")</f>
        <v>Jadens Fruitamil (12x)</v>
      </c>
      <c r="S14" s="18">
        <f>IFERROR(__xludf.DUMMYFUNCTION("""COMPUTED_VALUE"""),46036.0)</f>
        <v>46036</v>
      </c>
      <c r="T14" s="19" t="str">
        <f>IFERROR(__xludf.DUMMYFUNCTION("""COMPUTED_VALUE"""),"Jendol Supermarket, AKASOLORI")</f>
        <v>Jendol Supermarket, AKASOLORI</v>
      </c>
      <c r="U14" s="19" t="str">
        <f>IFERROR(__xludf.DUMMYFUNCTION("""COMPUTED_VALUE"""),"Journal")</f>
        <v>Journal</v>
      </c>
      <c r="V14" s="5">
        <f>IFERROR(__xludf.DUMMYFUNCTION("""COMPUTED_VALUE"""),17.0)</f>
        <v>17</v>
      </c>
      <c r="W14" s="20">
        <f>IFERROR(__xludf.DUMMYFUNCTION("""COMPUTED_VALUE"""),1.0)</f>
        <v>1</v>
      </c>
      <c r="X14" s="21">
        <f>IFERROR(__xludf.DUMMYFUNCTION("""COMPUTED_VALUE"""),60000.0)</f>
        <v>60000</v>
      </c>
      <c r="AH14" s="17"/>
      <c r="AI14" s="18"/>
      <c r="AJ14" s="19"/>
      <c r="AK14" s="19"/>
      <c r="AL14" s="5"/>
      <c r="AM14" s="20"/>
      <c r="AN14" s="21"/>
    </row>
    <row r="15">
      <c r="A15" s="13" t="s">
        <v>21</v>
      </c>
      <c r="B15" s="8">
        <v>46036.0</v>
      </c>
      <c r="C15" s="14" t="s">
        <v>24</v>
      </c>
      <c r="D15" s="14" t="s">
        <v>17</v>
      </c>
      <c r="E15" s="11">
        <v>17.0</v>
      </c>
      <c r="F15" s="15">
        <v>1.0</v>
      </c>
      <c r="G15" s="16">
        <v>60000.0</v>
      </c>
      <c r="I15" s="17" t="str">
        <f>IFERROR(__xludf.DUMMYFUNCTION("""COMPUTED_VALUE"""),"Jadens Nuttymeal (12x)")</f>
        <v>Jadens Nuttymeal (12x)</v>
      </c>
      <c r="J15" s="18">
        <f>IFERROR(__xludf.DUMMYFUNCTION("""COMPUTED_VALUE"""),46036.0)</f>
        <v>46036</v>
      </c>
      <c r="K15" s="19" t="str">
        <f>IFERROR(__xludf.DUMMYFUNCTION("""COMPUTED_VALUE"""),"Twins Faja Supermarket, IKOTUN Road")</f>
        <v>Twins Faja Supermarket, IKOTUN Road</v>
      </c>
      <c r="L15" s="19" t="str">
        <f>IFERROR(__xludf.DUMMYFUNCTION("""COMPUTED_VALUE"""),"Sales")</f>
        <v>Sales</v>
      </c>
      <c r="M15" s="5" t="str">
        <f>IFERROR(__xludf.DUMMYFUNCTION("""COMPUTED_VALUE"""),"DT:000171")</f>
        <v>DT:000171</v>
      </c>
      <c r="N15" s="20">
        <f>IFERROR(__xludf.DUMMYFUNCTION("""COMPUTED_VALUE"""),0.5)</f>
        <v>0.5</v>
      </c>
      <c r="O15" s="21">
        <f>IFERROR(__xludf.DUMMYFUNCTION("""COMPUTED_VALUE"""),30000.0)</f>
        <v>30000</v>
      </c>
      <c r="P15" s="22">
        <f t="shared" si="1"/>
        <v>90000</v>
      </c>
      <c r="R15" s="17" t="str">
        <f>IFERROR(__xludf.DUMMYFUNCTION("""COMPUTED_VALUE"""),"Jadens Fussy-Pops (12x)")</f>
        <v>Jadens Fussy-Pops (12x)</v>
      </c>
      <c r="S15" s="18">
        <f>IFERROR(__xludf.DUMMYFUNCTION("""COMPUTED_VALUE"""),46036.0)</f>
        <v>46036</v>
      </c>
      <c r="T15" s="19" t="str">
        <f>IFERROR(__xludf.DUMMYFUNCTION("""COMPUTED_VALUE"""),"Jendol Supermarket, AKASOLORI")</f>
        <v>Jendol Supermarket, AKASOLORI</v>
      </c>
      <c r="U15" s="19" t="str">
        <f>IFERROR(__xludf.DUMMYFUNCTION("""COMPUTED_VALUE"""),"Journal")</f>
        <v>Journal</v>
      </c>
      <c r="V15" s="5">
        <f>IFERROR(__xludf.DUMMYFUNCTION("""COMPUTED_VALUE"""),17.0)</f>
        <v>17</v>
      </c>
      <c r="W15" s="20">
        <f>IFERROR(__xludf.DUMMYFUNCTION("""COMPUTED_VALUE"""),1.0)</f>
        <v>1</v>
      </c>
      <c r="X15" s="21">
        <f>IFERROR(__xludf.DUMMYFUNCTION("""COMPUTED_VALUE"""),60000.0)</f>
        <v>60000</v>
      </c>
      <c r="AH15" s="17"/>
      <c r="AI15" s="18"/>
      <c r="AJ15" s="19"/>
      <c r="AK15" s="19"/>
      <c r="AL15" s="5"/>
      <c r="AM15" s="20"/>
      <c r="AN15" s="21"/>
    </row>
    <row r="16">
      <c r="A16" s="13" t="s">
        <v>15</v>
      </c>
      <c r="B16" s="8">
        <v>46036.0</v>
      </c>
      <c r="C16" s="14" t="s">
        <v>25</v>
      </c>
      <c r="D16" s="14" t="s">
        <v>17</v>
      </c>
      <c r="E16" s="11">
        <v>18.0</v>
      </c>
      <c r="F16" s="15">
        <v>1.0</v>
      </c>
      <c r="G16" s="16">
        <v>60000.0</v>
      </c>
      <c r="I16" s="17" t="str">
        <f>IFERROR(__xludf.DUMMYFUNCTION("""COMPUTED_VALUE"""),"Jadens Nuttymeal (12x)")</f>
        <v>Jadens Nuttymeal (12x)</v>
      </c>
      <c r="J16" s="18">
        <f>IFERROR(__xludf.DUMMYFUNCTION("""COMPUTED_VALUE"""),46036.0)</f>
        <v>46036</v>
      </c>
      <c r="K16" s="19" t="str">
        <f>IFERROR(__xludf.DUMMYFUNCTION("""COMPUTED_VALUE"""),"Prestige Superstore, IGANDO")</f>
        <v>Prestige Superstore, IGANDO</v>
      </c>
      <c r="L16" s="19" t="str">
        <f>IFERROR(__xludf.DUMMYFUNCTION("""COMPUTED_VALUE"""),"Sales")</f>
        <v>Sales</v>
      </c>
      <c r="M16" s="5" t="str">
        <f>IFERROR(__xludf.DUMMYFUNCTION("""COMPUTED_VALUE"""),"DT:000173")</f>
        <v>DT:000173</v>
      </c>
      <c r="N16" s="20">
        <f>IFERROR(__xludf.DUMMYFUNCTION("""COMPUTED_VALUE"""),0.5)</f>
        <v>0.5</v>
      </c>
      <c r="O16" s="21">
        <f>IFERROR(__xludf.DUMMYFUNCTION("""COMPUTED_VALUE"""),30000.0)</f>
        <v>30000</v>
      </c>
      <c r="P16" s="22">
        <f t="shared" si="1"/>
        <v>60000</v>
      </c>
      <c r="R16" s="17" t="str">
        <f>IFERROR(__xludf.DUMMYFUNCTION("""COMPUTED_VALUE"""),"Jadens Fruitamil (12x)")</f>
        <v>Jadens Fruitamil (12x)</v>
      </c>
      <c r="S16" s="18">
        <f>IFERROR(__xludf.DUMMYFUNCTION("""COMPUTED_VALUE"""),46036.0)</f>
        <v>46036</v>
      </c>
      <c r="T16" s="19" t="str">
        <f>IFERROR(__xludf.DUMMYFUNCTION("""COMPUTED_VALUE"""),"Jendol Supermarket, IJEDE")</f>
        <v>Jendol Supermarket, IJEDE</v>
      </c>
      <c r="U16" s="19" t="str">
        <f>IFERROR(__xludf.DUMMYFUNCTION("""COMPUTED_VALUE"""),"Journal")</f>
        <v>Journal</v>
      </c>
      <c r="V16" s="5">
        <f>IFERROR(__xludf.DUMMYFUNCTION("""COMPUTED_VALUE"""),18.0)</f>
        <v>18</v>
      </c>
      <c r="W16" s="20">
        <f>IFERROR(__xludf.DUMMYFUNCTION("""COMPUTED_VALUE"""),1.0)</f>
        <v>1</v>
      </c>
      <c r="X16" s="21">
        <f>IFERROR(__xludf.DUMMYFUNCTION("""COMPUTED_VALUE"""),60000.0)</f>
        <v>60000</v>
      </c>
      <c r="AH16" s="17"/>
      <c r="AI16" s="18"/>
      <c r="AJ16" s="19"/>
      <c r="AK16" s="19"/>
      <c r="AL16" s="5"/>
      <c r="AM16" s="5"/>
      <c r="AN16" s="21"/>
    </row>
    <row r="17">
      <c r="A17" s="13" t="s">
        <v>21</v>
      </c>
      <c r="B17" s="8">
        <v>46036.0</v>
      </c>
      <c r="C17" s="14" t="s">
        <v>25</v>
      </c>
      <c r="D17" s="14" t="s">
        <v>17</v>
      </c>
      <c r="E17" s="11">
        <v>18.0</v>
      </c>
      <c r="F17" s="15">
        <v>1.0</v>
      </c>
      <c r="G17" s="16">
        <v>60000.0</v>
      </c>
      <c r="I17" s="17" t="str">
        <f>IFERROR(__xludf.DUMMYFUNCTION("""COMPUTED_VALUE"""),"Jadens Nuttymeal (12x)")</f>
        <v>Jadens Nuttymeal (12x)</v>
      </c>
      <c r="J17" s="18">
        <f>IFERROR(__xludf.DUMMYFUNCTION("""COMPUTED_VALUE"""),46037.0)</f>
        <v>46037</v>
      </c>
      <c r="K17" s="19" t="str">
        <f>IFERROR(__xludf.DUMMYFUNCTION("""COMPUTED_VALUE"""),"Ozzy Supermarket, VICTORY PARK EST.")</f>
        <v>Ozzy Supermarket, VICTORY PARK EST.</v>
      </c>
      <c r="L17" s="19" t="str">
        <f>IFERROR(__xludf.DUMMYFUNCTION("""COMPUTED_VALUE"""),"Sales")</f>
        <v>Sales</v>
      </c>
      <c r="M17" s="5" t="str">
        <f>IFERROR(__xludf.DUMMYFUNCTION("""COMPUTED_VALUE"""),"DT:000192")</f>
        <v>DT:000192</v>
      </c>
      <c r="N17" s="20">
        <f>IFERROR(__xludf.DUMMYFUNCTION("""COMPUTED_VALUE"""),1.0)</f>
        <v>1</v>
      </c>
      <c r="O17" s="21">
        <f>IFERROR(__xludf.DUMMYFUNCTION("""COMPUTED_VALUE"""),60000.0)</f>
        <v>60000</v>
      </c>
      <c r="P17" s="22">
        <f t="shared" si="1"/>
        <v>90000</v>
      </c>
      <c r="R17" s="17" t="str">
        <f>IFERROR(__xludf.DUMMYFUNCTION("""COMPUTED_VALUE"""),"Jadens Fussy-Pops (12x)")</f>
        <v>Jadens Fussy-Pops (12x)</v>
      </c>
      <c r="S17" s="18">
        <f>IFERROR(__xludf.DUMMYFUNCTION("""COMPUTED_VALUE"""),46036.0)</f>
        <v>46036</v>
      </c>
      <c r="T17" s="19" t="str">
        <f>IFERROR(__xludf.DUMMYFUNCTION("""COMPUTED_VALUE"""),"Jendol Supermarket, IJEDE")</f>
        <v>Jendol Supermarket, IJEDE</v>
      </c>
      <c r="U17" s="19" t="str">
        <f>IFERROR(__xludf.DUMMYFUNCTION("""COMPUTED_VALUE"""),"Journal")</f>
        <v>Journal</v>
      </c>
      <c r="V17" s="5">
        <f>IFERROR(__xludf.DUMMYFUNCTION("""COMPUTED_VALUE"""),18.0)</f>
        <v>18</v>
      </c>
      <c r="W17" s="20">
        <f>IFERROR(__xludf.DUMMYFUNCTION("""COMPUTED_VALUE"""),1.0)</f>
        <v>1</v>
      </c>
      <c r="X17" s="21">
        <f>IFERROR(__xludf.DUMMYFUNCTION("""COMPUTED_VALUE"""),60000.0)</f>
        <v>60000</v>
      </c>
      <c r="AH17" s="17"/>
      <c r="AI17" s="18"/>
      <c r="AJ17" s="19"/>
      <c r="AK17" s="19"/>
      <c r="AL17" s="5"/>
      <c r="AM17" s="20"/>
      <c r="AN17" s="21"/>
    </row>
    <row r="18">
      <c r="A18" s="13" t="s">
        <v>18</v>
      </c>
      <c r="B18" s="8">
        <v>46036.0</v>
      </c>
      <c r="C18" s="14" t="s">
        <v>25</v>
      </c>
      <c r="D18" s="14" t="s">
        <v>17</v>
      </c>
      <c r="E18" s="11">
        <v>18.0</v>
      </c>
      <c r="F18" s="15">
        <v>1.0</v>
      </c>
      <c r="G18" s="16">
        <v>60000.0</v>
      </c>
      <c r="I18" s="17"/>
      <c r="J18" s="18"/>
      <c r="K18" s="19"/>
      <c r="L18" s="19"/>
      <c r="M18" s="5"/>
      <c r="N18" s="20"/>
      <c r="O18" s="21"/>
      <c r="P18" s="22">
        <f t="shared" si="1"/>
        <v>0</v>
      </c>
      <c r="R18" s="17" t="str">
        <f>IFERROR(__xludf.DUMMYFUNCTION("""COMPUTED_VALUE"""),"Jadens Mixagrain (12x)")</f>
        <v>Jadens Mixagrain (12x)</v>
      </c>
      <c r="S18" s="18">
        <f>IFERROR(__xludf.DUMMYFUNCTION("""COMPUTED_VALUE"""),46036.0)</f>
        <v>46036</v>
      </c>
      <c r="T18" s="19" t="str">
        <f>IFERROR(__xludf.DUMMYFUNCTION("""COMPUTED_VALUE"""),"Jendol Supermarket, IJEDE")</f>
        <v>Jendol Supermarket, IJEDE</v>
      </c>
      <c r="U18" s="19" t="str">
        <f>IFERROR(__xludf.DUMMYFUNCTION("""COMPUTED_VALUE"""),"Journal")</f>
        <v>Journal</v>
      </c>
      <c r="V18" s="5">
        <f>IFERROR(__xludf.DUMMYFUNCTION("""COMPUTED_VALUE"""),18.0)</f>
        <v>18</v>
      </c>
      <c r="W18" s="20">
        <f>IFERROR(__xludf.DUMMYFUNCTION("""COMPUTED_VALUE"""),1.0)</f>
        <v>1</v>
      </c>
      <c r="X18" s="21">
        <f>IFERROR(__xludf.DUMMYFUNCTION("""COMPUTED_VALUE"""),60000.0)</f>
        <v>60000</v>
      </c>
      <c r="AH18" s="17"/>
      <c r="AI18" s="18"/>
      <c r="AJ18" s="19"/>
      <c r="AK18" s="19"/>
      <c r="AL18" s="5"/>
      <c r="AM18" s="5"/>
      <c r="AN18" s="21"/>
    </row>
    <row r="19">
      <c r="A19" s="13" t="s">
        <v>19</v>
      </c>
      <c r="B19" s="8">
        <v>46036.0</v>
      </c>
      <c r="C19" s="14" t="s">
        <v>25</v>
      </c>
      <c r="D19" s="14" t="s">
        <v>17</v>
      </c>
      <c r="E19" s="11">
        <v>18.0</v>
      </c>
      <c r="F19" s="15">
        <v>1.0</v>
      </c>
      <c r="G19" s="16">
        <v>60000.0</v>
      </c>
      <c r="I19" s="17"/>
      <c r="J19" s="18"/>
      <c r="K19" s="19"/>
      <c r="L19" s="19"/>
      <c r="M19" s="5"/>
      <c r="N19" s="20"/>
      <c r="O19" s="21"/>
      <c r="P19" s="22">
        <f t="shared" si="1"/>
        <v>0</v>
      </c>
      <c r="R19" s="17" t="str">
        <f>IFERROR(__xludf.DUMMYFUNCTION("""COMPUTED_VALUE"""),"Jadens Nuttymeal (12x)")</f>
        <v>Jadens Nuttymeal (12x)</v>
      </c>
      <c r="S19" s="18">
        <f>IFERROR(__xludf.DUMMYFUNCTION("""COMPUTED_VALUE"""),46036.0)</f>
        <v>46036</v>
      </c>
      <c r="T19" s="19" t="str">
        <f>IFERROR(__xludf.DUMMYFUNCTION("""COMPUTED_VALUE"""),"Jendol Supermarket, IJEDE")</f>
        <v>Jendol Supermarket, IJEDE</v>
      </c>
      <c r="U19" s="19" t="str">
        <f>IFERROR(__xludf.DUMMYFUNCTION("""COMPUTED_VALUE"""),"Journal")</f>
        <v>Journal</v>
      </c>
      <c r="V19" s="5">
        <f>IFERROR(__xludf.DUMMYFUNCTION("""COMPUTED_VALUE"""),18.0)</f>
        <v>18</v>
      </c>
      <c r="W19" s="20">
        <f>IFERROR(__xludf.DUMMYFUNCTION("""COMPUTED_VALUE"""),1.0)</f>
        <v>1</v>
      </c>
      <c r="X19" s="21">
        <f>IFERROR(__xludf.DUMMYFUNCTION("""COMPUTED_VALUE"""),60000.0)</f>
        <v>60000</v>
      </c>
      <c r="AH19" s="17"/>
      <c r="AI19" s="18"/>
      <c r="AJ19" s="19"/>
      <c r="AK19" s="19"/>
      <c r="AL19" s="5"/>
      <c r="AM19" s="20"/>
      <c r="AN19" s="21"/>
    </row>
    <row r="20">
      <c r="A20" s="13" t="s">
        <v>21</v>
      </c>
      <c r="B20" s="8">
        <v>46036.0</v>
      </c>
      <c r="C20" s="14" t="s">
        <v>26</v>
      </c>
      <c r="D20" s="14" t="s">
        <v>17</v>
      </c>
      <c r="E20" s="11">
        <v>19.0</v>
      </c>
      <c r="F20" s="15">
        <v>0.5</v>
      </c>
      <c r="G20" s="16">
        <v>30000.0</v>
      </c>
      <c r="I20" s="17"/>
      <c r="J20" s="18"/>
      <c r="K20" s="19"/>
      <c r="L20" s="19"/>
      <c r="M20" s="5"/>
      <c r="N20" s="20"/>
      <c r="O20" s="21"/>
      <c r="P20" s="22">
        <f t="shared" si="1"/>
        <v>0</v>
      </c>
      <c r="R20" s="17" t="str">
        <f>IFERROR(__xludf.DUMMYFUNCTION("""COMPUTED_VALUE"""),"Jadens Fussy-Pops (12x)")</f>
        <v>Jadens Fussy-Pops (12x)</v>
      </c>
      <c r="S20" s="18">
        <f>IFERROR(__xludf.DUMMYFUNCTION("""COMPUTED_VALUE"""),46036.0)</f>
        <v>46036</v>
      </c>
      <c r="T20" s="19" t="str">
        <f>IFERROR(__xludf.DUMMYFUNCTION("""COMPUTED_VALUE"""),"Jendol Supermarket, OJUORE")</f>
        <v>Jendol Supermarket, OJUORE</v>
      </c>
      <c r="U20" s="19" t="str">
        <f>IFERROR(__xludf.DUMMYFUNCTION("""COMPUTED_VALUE"""),"Journal")</f>
        <v>Journal</v>
      </c>
      <c r="V20" s="5">
        <f>IFERROR(__xludf.DUMMYFUNCTION("""COMPUTED_VALUE"""),19.0)</f>
        <v>19</v>
      </c>
      <c r="W20" s="20">
        <f>IFERROR(__xludf.DUMMYFUNCTION("""COMPUTED_VALUE"""),0.5)</f>
        <v>0.5</v>
      </c>
      <c r="X20" s="21">
        <f>IFERROR(__xludf.DUMMYFUNCTION("""COMPUTED_VALUE"""),30000.0)</f>
        <v>30000</v>
      </c>
      <c r="AH20" s="17"/>
      <c r="AI20" s="18"/>
      <c r="AJ20" s="19"/>
      <c r="AK20" s="19"/>
      <c r="AL20" s="5"/>
      <c r="AM20" s="5"/>
      <c r="AN20" s="21"/>
    </row>
    <row r="21">
      <c r="A21" s="13" t="s">
        <v>15</v>
      </c>
      <c r="B21" s="8">
        <v>46037.0</v>
      </c>
      <c r="C21" s="14" t="s">
        <v>27</v>
      </c>
      <c r="D21" s="14" t="s">
        <v>17</v>
      </c>
      <c r="E21" s="11">
        <v>21.0</v>
      </c>
      <c r="F21" s="15">
        <v>2.0</v>
      </c>
      <c r="G21" s="16">
        <v>120000.0</v>
      </c>
      <c r="I21" s="17"/>
      <c r="J21" s="18"/>
      <c r="K21" s="19"/>
      <c r="L21" s="19"/>
      <c r="M21" s="5"/>
      <c r="N21" s="20"/>
      <c r="O21" s="21"/>
      <c r="P21" s="22">
        <f t="shared" si="1"/>
        <v>0</v>
      </c>
      <c r="R21" s="17" t="str">
        <f>IFERROR(__xludf.DUMMYFUNCTION("""COMPUTED_VALUE"""),"Jadens Fruitamil (12x)")</f>
        <v>Jadens Fruitamil (12x)</v>
      </c>
      <c r="S21" s="18">
        <f>IFERROR(__xludf.DUMMYFUNCTION("""COMPUTED_VALUE"""),46037.0)</f>
        <v>46037</v>
      </c>
      <c r="T21" s="19" t="str">
        <f>IFERROR(__xludf.DUMMYFUNCTION("""COMPUTED_VALUE"""),"Blenco Supermarket, SANGOTEDO")</f>
        <v>Blenco Supermarket, SANGOTEDO</v>
      </c>
      <c r="U21" s="19" t="str">
        <f>IFERROR(__xludf.DUMMYFUNCTION("""COMPUTED_VALUE"""),"Journal")</f>
        <v>Journal</v>
      </c>
      <c r="V21" s="5">
        <f>IFERROR(__xludf.DUMMYFUNCTION("""COMPUTED_VALUE"""),21.0)</f>
        <v>21</v>
      </c>
      <c r="W21" s="20">
        <f>IFERROR(__xludf.DUMMYFUNCTION("""COMPUTED_VALUE"""),2.0)</f>
        <v>2</v>
      </c>
      <c r="X21" s="21">
        <f>IFERROR(__xludf.DUMMYFUNCTION("""COMPUTED_VALUE"""),120000.0)</f>
        <v>120000</v>
      </c>
      <c r="AH21" s="17"/>
      <c r="AI21" s="18"/>
      <c r="AJ21" s="19"/>
      <c r="AK21" s="19"/>
      <c r="AL21" s="5"/>
      <c r="AM21" s="20"/>
      <c r="AN21" s="21"/>
    </row>
    <row r="22">
      <c r="A22" s="13" t="s">
        <v>21</v>
      </c>
      <c r="B22" s="8">
        <v>46037.0</v>
      </c>
      <c r="C22" s="14" t="s">
        <v>27</v>
      </c>
      <c r="D22" s="14" t="s">
        <v>17</v>
      </c>
      <c r="E22" s="11">
        <v>21.0</v>
      </c>
      <c r="F22" s="15">
        <v>2.0</v>
      </c>
      <c r="G22" s="16">
        <v>120000.0</v>
      </c>
      <c r="I22" s="17"/>
      <c r="J22" s="18"/>
      <c r="K22" s="19"/>
      <c r="L22" s="19"/>
      <c r="M22" s="5"/>
      <c r="N22" s="20"/>
      <c r="O22" s="21"/>
      <c r="P22" s="22">
        <f t="shared" si="1"/>
        <v>0</v>
      </c>
      <c r="R22" s="17" t="str">
        <f>IFERROR(__xludf.DUMMYFUNCTION("""COMPUTED_VALUE"""),"Jadens Fussy-Pops (12x)")</f>
        <v>Jadens Fussy-Pops (12x)</v>
      </c>
      <c r="S22" s="18">
        <f>IFERROR(__xludf.DUMMYFUNCTION("""COMPUTED_VALUE"""),46037.0)</f>
        <v>46037</v>
      </c>
      <c r="T22" s="19" t="str">
        <f>IFERROR(__xludf.DUMMYFUNCTION("""COMPUTED_VALUE"""),"Blenco Supermarket, SANGOTEDO")</f>
        <v>Blenco Supermarket, SANGOTEDO</v>
      </c>
      <c r="U22" s="19" t="str">
        <f>IFERROR(__xludf.DUMMYFUNCTION("""COMPUTED_VALUE"""),"Journal")</f>
        <v>Journal</v>
      </c>
      <c r="V22" s="5">
        <f>IFERROR(__xludf.DUMMYFUNCTION("""COMPUTED_VALUE"""),21.0)</f>
        <v>21</v>
      </c>
      <c r="W22" s="20">
        <f>IFERROR(__xludf.DUMMYFUNCTION("""COMPUTED_VALUE"""),2.0)</f>
        <v>2</v>
      </c>
      <c r="X22" s="21">
        <f>IFERROR(__xludf.DUMMYFUNCTION("""COMPUTED_VALUE"""),120000.0)</f>
        <v>120000</v>
      </c>
      <c r="AH22" s="17"/>
      <c r="AI22" s="18"/>
      <c r="AJ22" s="19"/>
      <c r="AK22" s="19"/>
      <c r="AL22" s="5"/>
      <c r="AM22" s="20"/>
      <c r="AN22" s="21"/>
    </row>
    <row r="23">
      <c r="A23" s="13" t="s">
        <v>18</v>
      </c>
      <c r="B23" s="8">
        <v>46037.0</v>
      </c>
      <c r="C23" s="14" t="s">
        <v>27</v>
      </c>
      <c r="D23" s="14" t="s">
        <v>17</v>
      </c>
      <c r="E23" s="11">
        <v>21.0</v>
      </c>
      <c r="F23" s="15">
        <v>2.0</v>
      </c>
      <c r="G23" s="16">
        <v>120000.0</v>
      </c>
      <c r="I23" s="17"/>
      <c r="J23" s="18"/>
      <c r="K23" s="19"/>
      <c r="L23" s="19"/>
      <c r="M23" s="5"/>
      <c r="N23" s="20"/>
      <c r="O23" s="21"/>
      <c r="P23" s="22">
        <f t="shared" si="1"/>
        <v>0</v>
      </c>
      <c r="R23" s="17" t="str">
        <f>IFERROR(__xludf.DUMMYFUNCTION("""COMPUTED_VALUE"""),"Jadens Mixagrain (12x)")</f>
        <v>Jadens Mixagrain (12x)</v>
      </c>
      <c r="S23" s="18">
        <f>IFERROR(__xludf.DUMMYFUNCTION("""COMPUTED_VALUE"""),46037.0)</f>
        <v>46037</v>
      </c>
      <c r="T23" s="19" t="str">
        <f>IFERROR(__xludf.DUMMYFUNCTION("""COMPUTED_VALUE"""),"Blenco Supermarket, SANGOTEDO")</f>
        <v>Blenco Supermarket, SANGOTEDO</v>
      </c>
      <c r="U23" s="19" t="str">
        <f>IFERROR(__xludf.DUMMYFUNCTION("""COMPUTED_VALUE"""),"Journal")</f>
        <v>Journal</v>
      </c>
      <c r="V23" s="5">
        <f>IFERROR(__xludf.DUMMYFUNCTION("""COMPUTED_VALUE"""),21.0)</f>
        <v>21</v>
      </c>
      <c r="W23" s="20">
        <f>IFERROR(__xludf.DUMMYFUNCTION("""COMPUTED_VALUE"""),2.0)</f>
        <v>2</v>
      </c>
      <c r="X23" s="21">
        <f>IFERROR(__xludf.DUMMYFUNCTION("""COMPUTED_VALUE"""),120000.0)</f>
        <v>120000</v>
      </c>
      <c r="AH23" s="17"/>
      <c r="AI23" s="18"/>
      <c r="AJ23" s="19"/>
      <c r="AK23" s="19"/>
      <c r="AL23" s="5"/>
      <c r="AM23" s="20"/>
      <c r="AN23" s="21"/>
    </row>
    <row r="24">
      <c r="A24" s="13" t="s">
        <v>19</v>
      </c>
      <c r="B24" s="8">
        <v>46037.0</v>
      </c>
      <c r="C24" s="14" t="s">
        <v>27</v>
      </c>
      <c r="D24" s="14" t="s">
        <v>17</v>
      </c>
      <c r="E24" s="11">
        <v>21.0</v>
      </c>
      <c r="F24" s="15">
        <v>2.0</v>
      </c>
      <c r="G24" s="16">
        <v>120000.0</v>
      </c>
      <c r="I24" s="17"/>
      <c r="J24" s="18"/>
      <c r="K24" s="19"/>
      <c r="L24" s="19"/>
      <c r="M24" s="5"/>
      <c r="N24" s="20"/>
      <c r="O24" s="21"/>
      <c r="P24" s="22">
        <f t="shared" si="1"/>
        <v>0</v>
      </c>
      <c r="R24" s="17" t="str">
        <f>IFERROR(__xludf.DUMMYFUNCTION("""COMPUTED_VALUE"""),"Jadens Nuttymeal (12x)")</f>
        <v>Jadens Nuttymeal (12x)</v>
      </c>
      <c r="S24" s="18">
        <f>IFERROR(__xludf.DUMMYFUNCTION("""COMPUTED_VALUE"""),46037.0)</f>
        <v>46037</v>
      </c>
      <c r="T24" s="19" t="str">
        <f>IFERROR(__xludf.DUMMYFUNCTION("""COMPUTED_VALUE"""),"Blenco Supermarket, SANGOTEDO")</f>
        <v>Blenco Supermarket, SANGOTEDO</v>
      </c>
      <c r="U24" s="19" t="str">
        <f>IFERROR(__xludf.DUMMYFUNCTION("""COMPUTED_VALUE"""),"Journal")</f>
        <v>Journal</v>
      </c>
      <c r="V24" s="5">
        <f>IFERROR(__xludf.DUMMYFUNCTION("""COMPUTED_VALUE"""),21.0)</f>
        <v>21</v>
      </c>
      <c r="W24" s="20">
        <f>IFERROR(__xludf.DUMMYFUNCTION("""COMPUTED_VALUE"""),2.0)</f>
        <v>2</v>
      </c>
      <c r="X24" s="21">
        <f>IFERROR(__xludf.DUMMYFUNCTION("""COMPUTED_VALUE"""),120000.0)</f>
        <v>120000</v>
      </c>
    </row>
    <row r="25">
      <c r="A25" s="13" t="s">
        <v>18</v>
      </c>
      <c r="B25" s="8">
        <v>46037.0</v>
      </c>
      <c r="C25" s="14" t="s">
        <v>28</v>
      </c>
      <c r="D25" s="14" t="s">
        <v>17</v>
      </c>
      <c r="E25" s="11">
        <v>23.0</v>
      </c>
      <c r="F25" s="15">
        <v>3.0</v>
      </c>
      <c r="G25" s="16">
        <v>180000.0</v>
      </c>
      <c r="I25" s="17"/>
      <c r="J25" s="18"/>
      <c r="K25" s="19"/>
      <c r="L25" s="19"/>
      <c r="M25" s="5"/>
      <c r="N25" s="20"/>
      <c r="O25" s="21"/>
      <c r="P25" s="22">
        <f t="shared" si="1"/>
        <v>0</v>
      </c>
      <c r="R25" s="17" t="str">
        <f>IFERROR(__xludf.DUMMYFUNCTION("""COMPUTED_VALUE"""),"Jadens Mixagrain (12x)")</f>
        <v>Jadens Mixagrain (12x)</v>
      </c>
      <c r="S25" s="18">
        <f>IFERROR(__xludf.DUMMYFUNCTION("""COMPUTED_VALUE"""),46037.0)</f>
        <v>46037</v>
      </c>
      <c r="T25" s="19" t="str">
        <f>IFERROR(__xludf.DUMMYFUNCTION("""COMPUTED_VALUE"""),"Prince Ebeano, OLOGOLO")</f>
        <v>Prince Ebeano, OLOGOLO</v>
      </c>
      <c r="U25" s="19" t="str">
        <f>IFERROR(__xludf.DUMMYFUNCTION("""COMPUTED_VALUE"""),"Journal")</f>
        <v>Journal</v>
      </c>
      <c r="V25" s="5">
        <f>IFERROR(__xludf.DUMMYFUNCTION("""COMPUTED_VALUE"""),23.0)</f>
        <v>23</v>
      </c>
      <c r="W25" s="20">
        <f>IFERROR(__xludf.DUMMYFUNCTION("""COMPUTED_VALUE"""),3.0)</f>
        <v>3</v>
      </c>
      <c r="X25" s="21">
        <f>IFERROR(__xludf.DUMMYFUNCTION("""COMPUTED_VALUE"""),180000.0)</f>
        <v>180000</v>
      </c>
    </row>
    <row r="26">
      <c r="A26" s="13" t="s">
        <v>19</v>
      </c>
      <c r="B26" s="8">
        <v>46037.0</v>
      </c>
      <c r="C26" s="14" t="s">
        <v>28</v>
      </c>
      <c r="D26" s="14" t="s">
        <v>17</v>
      </c>
      <c r="E26" s="11">
        <v>23.0</v>
      </c>
      <c r="F26" s="15">
        <v>3.0</v>
      </c>
      <c r="G26" s="16">
        <v>180000.0</v>
      </c>
      <c r="I26" s="17"/>
      <c r="J26" s="18"/>
      <c r="K26" s="19"/>
      <c r="L26" s="19"/>
      <c r="M26" s="5"/>
      <c r="N26" s="20"/>
      <c r="O26" s="21"/>
      <c r="P26" s="22">
        <f t="shared" si="1"/>
        <v>0</v>
      </c>
      <c r="R26" s="17" t="str">
        <f>IFERROR(__xludf.DUMMYFUNCTION("""COMPUTED_VALUE"""),"Jadens Nuttymeal (12x)")</f>
        <v>Jadens Nuttymeal (12x)</v>
      </c>
      <c r="S26" s="18">
        <f>IFERROR(__xludf.DUMMYFUNCTION("""COMPUTED_VALUE"""),46037.0)</f>
        <v>46037</v>
      </c>
      <c r="T26" s="19" t="str">
        <f>IFERROR(__xludf.DUMMYFUNCTION("""COMPUTED_VALUE"""),"Prince Ebeano, OLOGOLO")</f>
        <v>Prince Ebeano, OLOGOLO</v>
      </c>
      <c r="U26" s="19" t="str">
        <f>IFERROR(__xludf.DUMMYFUNCTION("""COMPUTED_VALUE"""),"Journal")</f>
        <v>Journal</v>
      </c>
      <c r="V26" s="5">
        <f>IFERROR(__xludf.DUMMYFUNCTION("""COMPUTED_VALUE"""),23.0)</f>
        <v>23</v>
      </c>
      <c r="W26" s="20">
        <f>IFERROR(__xludf.DUMMYFUNCTION("""COMPUTED_VALUE"""),3.0)</f>
        <v>3</v>
      </c>
      <c r="X26" s="21">
        <f>IFERROR(__xludf.DUMMYFUNCTION("""COMPUTED_VALUE"""),180000.0)</f>
        <v>180000</v>
      </c>
    </row>
    <row r="27">
      <c r="A27" s="13" t="s">
        <v>19</v>
      </c>
      <c r="B27" s="8">
        <v>46031.0</v>
      </c>
      <c r="C27" s="14" t="s">
        <v>29</v>
      </c>
      <c r="D27" s="14" t="s">
        <v>17</v>
      </c>
      <c r="E27" s="11">
        <v>5.0</v>
      </c>
      <c r="F27" s="15">
        <v>1.0</v>
      </c>
      <c r="G27" s="16">
        <v>60000.0</v>
      </c>
      <c r="I27" s="17"/>
      <c r="J27" s="18"/>
      <c r="K27" s="19"/>
      <c r="L27" s="19"/>
      <c r="M27" s="5"/>
      <c r="N27" s="20"/>
      <c r="O27" s="21"/>
      <c r="P27" s="22">
        <f t="shared" si="1"/>
        <v>0</v>
      </c>
      <c r="R27" s="17" t="str">
        <f>IFERROR(__xludf.DUMMYFUNCTION("""COMPUTED_VALUE"""),"Jadens Nuttymeal (12x)")</f>
        <v>Jadens Nuttymeal (12x)</v>
      </c>
      <c r="S27" s="18">
        <f>IFERROR(__xludf.DUMMYFUNCTION("""COMPUTED_VALUE"""),46031.0)</f>
        <v>46031</v>
      </c>
      <c r="T27" s="19" t="str">
        <f>IFERROR(__xludf.DUMMYFUNCTION("""COMPUTED_VALUE"""),"Jendol, IPAJA")</f>
        <v>Jendol, IPAJA</v>
      </c>
      <c r="U27" s="19" t="str">
        <f>IFERROR(__xludf.DUMMYFUNCTION("""COMPUTED_VALUE"""),"Journal")</f>
        <v>Journal</v>
      </c>
      <c r="V27" s="5">
        <f>IFERROR(__xludf.DUMMYFUNCTION("""COMPUTED_VALUE"""),5.0)</f>
        <v>5</v>
      </c>
      <c r="W27" s="20">
        <f>IFERROR(__xludf.DUMMYFUNCTION("""COMPUTED_VALUE"""),1.0)</f>
        <v>1</v>
      </c>
      <c r="X27" s="21">
        <f>IFERROR(__xludf.DUMMYFUNCTION("""COMPUTED_VALUE"""),60000.0)</f>
        <v>60000</v>
      </c>
    </row>
    <row r="28">
      <c r="A28" s="13" t="s">
        <v>15</v>
      </c>
      <c r="B28" s="8">
        <v>46031.0</v>
      </c>
      <c r="C28" s="14" t="s">
        <v>30</v>
      </c>
      <c r="D28" s="14" t="s">
        <v>17</v>
      </c>
      <c r="E28" s="11">
        <v>6.0</v>
      </c>
      <c r="F28" s="15">
        <v>1.0</v>
      </c>
      <c r="G28" s="16">
        <v>60000.0</v>
      </c>
      <c r="I28" s="17"/>
      <c r="J28" s="18"/>
      <c r="K28" s="19"/>
      <c r="L28" s="19"/>
      <c r="M28" s="5"/>
      <c r="N28" s="20"/>
      <c r="O28" s="21"/>
      <c r="P28" s="22">
        <f t="shared" si="1"/>
        <v>0</v>
      </c>
      <c r="R28" s="17" t="str">
        <f>IFERROR(__xludf.DUMMYFUNCTION("""COMPUTED_VALUE"""),"Jadens Fruitamil (12x)")</f>
        <v>Jadens Fruitamil (12x)</v>
      </c>
      <c r="S28" s="18">
        <f>IFERROR(__xludf.DUMMYFUNCTION("""COMPUTED_VALUE"""),46031.0)</f>
        <v>46031</v>
      </c>
      <c r="T28" s="19" t="str">
        <f>IFERROR(__xludf.DUMMYFUNCTION("""COMPUTED_VALUE"""),"Jendol Supermarket, ISHERI")</f>
        <v>Jendol Supermarket, ISHERI</v>
      </c>
      <c r="U28" s="19" t="str">
        <f>IFERROR(__xludf.DUMMYFUNCTION("""COMPUTED_VALUE"""),"Journal")</f>
        <v>Journal</v>
      </c>
      <c r="V28" s="5">
        <f>IFERROR(__xludf.DUMMYFUNCTION("""COMPUTED_VALUE"""),6.0)</f>
        <v>6</v>
      </c>
      <c r="W28" s="20">
        <f>IFERROR(__xludf.DUMMYFUNCTION("""COMPUTED_VALUE"""),1.0)</f>
        <v>1</v>
      </c>
      <c r="X28" s="21">
        <f>IFERROR(__xludf.DUMMYFUNCTION("""COMPUTED_VALUE"""),60000.0)</f>
        <v>60000</v>
      </c>
    </row>
    <row r="29">
      <c r="A29" s="13" t="s">
        <v>21</v>
      </c>
      <c r="B29" s="8">
        <v>46031.0</v>
      </c>
      <c r="C29" s="14" t="s">
        <v>30</v>
      </c>
      <c r="D29" s="14" t="s">
        <v>17</v>
      </c>
      <c r="E29" s="11">
        <v>6.0</v>
      </c>
      <c r="F29" s="15">
        <v>1.0</v>
      </c>
      <c r="G29" s="16">
        <v>60000.0</v>
      </c>
      <c r="I29" s="17"/>
      <c r="J29" s="18"/>
      <c r="K29" s="19"/>
      <c r="L29" s="19"/>
      <c r="M29" s="5"/>
      <c r="N29" s="20"/>
      <c r="O29" s="21"/>
      <c r="P29" s="22">
        <f t="shared" si="1"/>
        <v>0</v>
      </c>
      <c r="R29" s="17" t="str">
        <f>IFERROR(__xludf.DUMMYFUNCTION("""COMPUTED_VALUE"""),"Jadens Fussy-Pops (12x)")</f>
        <v>Jadens Fussy-Pops (12x)</v>
      </c>
      <c r="S29" s="18">
        <f>IFERROR(__xludf.DUMMYFUNCTION("""COMPUTED_VALUE"""),46031.0)</f>
        <v>46031</v>
      </c>
      <c r="T29" s="19" t="str">
        <f>IFERROR(__xludf.DUMMYFUNCTION("""COMPUTED_VALUE"""),"Jendol Supermarket, ISHERI")</f>
        <v>Jendol Supermarket, ISHERI</v>
      </c>
      <c r="U29" s="19" t="str">
        <f>IFERROR(__xludf.DUMMYFUNCTION("""COMPUTED_VALUE"""),"Journal")</f>
        <v>Journal</v>
      </c>
      <c r="V29" s="5">
        <f>IFERROR(__xludf.DUMMYFUNCTION("""COMPUTED_VALUE"""),6.0)</f>
        <v>6</v>
      </c>
      <c r="W29" s="20">
        <f>IFERROR(__xludf.DUMMYFUNCTION("""COMPUTED_VALUE"""),1.0)</f>
        <v>1</v>
      </c>
      <c r="X29" s="21">
        <f>IFERROR(__xludf.DUMMYFUNCTION("""COMPUTED_VALUE"""),60000.0)</f>
        <v>60000</v>
      </c>
    </row>
    <row r="30">
      <c r="A30" s="13" t="s">
        <v>18</v>
      </c>
      <c r="B30" s="8">
        <v>46031.0</v>
      </c>
      <c r="C30" s="14" t="s">
        <v>30</v>
      </c>
      <c r="D30" s="14" t="s">
        <v>17</v>
      </c>
      <c r="E30" s="11">
        <v>6.0</v>
      </c>
      <c r="F30" s="15">
        <v>1.0</v>
      </c>
      <c r="G30" s="16">
        <v>60000.0</v>
      </c>
      <c r="I30" s="17"/>
      <c r="J30" s="18"/>
      <c r="K30" s="19"/>
      <c r="L30" s="19"/>
      <c r="M30" s="5"/>
      <c r="N30" s="20"/>
      <c r="O30" s="21"/>
      <c r="P30" s="22">
        <f t="shared" si="1"/>
        <v>0</v>
      </c>
      <c r="R30" s="17" t="str">
        <f>IFERROR(__xludf.DUMMYFUNCTION("""COMPUTED_VALUE"""),"Jadens Mixagrain (12x)")</f>
        <v>Jadens Mixagrain (12x)</v>
      </c>
      <c r="S30" s="18">
        <f>IFERROR(__xludf.DUMMYFUNCTION("""COMPUTED_VALUE"""),46031.0)</f>
        <v>46031</v>
      </c>
      <c r="T30" s="19" t="str">
        <f>IFERROR(__xludf.DUMMYFUNCTION("""COMPUTED_VALUE"""),"Jendol Supermarket, ISHERI")</f>
        <v>Jendol Supermarket, ISHERI</v>
      </c>
      <c r="U30" s="19" t="str">
        <f>IFERROR(__xludf.DUMMYFUNCTION("""COMPUTED_VALUE"""),"Journal")</f>
        <v>Journal</v>
      </c>
      <c r="V30" s="5">
        <f>IFERROR(__xludf.DUMMYFUNCTION("""COMPUTED_VALUE"""),6.0)</f>
        <v>6</v>
      </c>
      <c r="W30" s="20">
        <f>IFERROR(__xludf.DUMMYFUNCTION("""COMPUTED_VALUE"""),1.0)</f>
        <v>1</v>
      </c>
      <c r="X30" s="21">
        <f>IFERROR(__xludf.DUMMYFUNCTION("""COMPUTED_VALUE"""),60000.0)</f>
        <v>60000</v>
      </c>
    </row>
    <row r="31">
      <c r="A31" s="13" t="s">
        <v>19</v>
      </c>
      <c r="B31" s="8">
        <v>46031.0</v>
      </c>
      <c r="C31" s="14" t="s">
        <v>30</v>
      </c>
      <c r="D31" s="14" t="s">
        <v>17</v>
      </c>
      <c r="E31" s="11">
        <v>6.0</v>
      </c>
      <c r="F31" s="15">
        <v>1.0</v>
      </c>
      <c r="G31" s="16">
        <v>60000.0</v>
      </c>
      <c r="I31" s="17"/>
      <c r="J31" s="18"/>
      <c r="K31" s="19"/>
      <c r="L31" s="19"/>
      <c r="M31" s="5"/>
      <c r="N31" s="20"/>
      <c r="O31" s="21"/>
      <c r="P31" s="22">
        <f t="shared" si="1"/>
        <v>0</v>
      </c>
      <c r="R31" s="17" t="str">
        <f>IFERROR(__xludf.DUMMYFUNCTION("""COMPUTED_VALUE"""),"Jadens Nuttymeal (12x)")</f>
        <v>Jadens Nuttymeal (12x)</v>
      </c>
      <c r="S31" s="18">
        <f>IFERROR(__xludf.DUMMYFUNCTION("""COMPUTED_VALUE"""),46031.0)</f>
        <v>46031</v>
      </c>
      <c r="T31" s="19" t="str">
        <f>IFERROR(__xludf.DUMMYFUNCTION("""COMPUTED_VALUE"""),"Jendol Supermarket, ISHERI")</f>
        <v>Jendol Supermarket, ISHERI</v>
      </c>
      <c r="U31" s="19" t="str">
        <f>IFERROR(__xludf.DUMMYFUNCTION("""COMPUTED_VALUE"""),"Journal")</f>
        <v>Journal</v>
      </c>
      <c r="V31" s="5">
        <f>IFERROR(__xludf.DUMMYFUNCTION("""COMPUTED_VALUE"""),6.0)</f>
        <v>6</v>
      </c>
      <c r="W31" s="20">
        <f>IFERROR(__xludf.DUMMYFUNCTION("""COMPUTED_VALUE"""),1.0)</f>
        <v>1</v>
      </c>
      <c r="X31" s="21">
        <f>IFERROR(__xludf.DUMMYFUNCTION("""COMPUTED_VALUE"""),60000.0)</f>
        <v>60000</v>
      </c>
    </row>
    <row r="32">
      <c r="A32" s="13" t="s">
        <v>15</v>
      </c>
      <c r="B32" s="8">
        <v>46031.0</v>
      </c>
      <c r="C32" s="14" t="s">
        <v>31</v>
      </c>
      <c r="D32" s="14" t="s">
        <v>17</v>
      </c>
      <c r="E32" s="11">
        <v>8.0</v>
      </c>
      <c r="F32" s="15">
        <v>1.0</v>
      </c>
      <c r="G32" s="16">
        <v>60000.0</v>
      </c>
      <c r="I32" s="17"/>
      <c r="J32" s="18"/>
      <c r="K32" s="19"/>
      <c r="L32" s="19"/>
      <c r="M32" s="5"/>
      <c r="N32" s="20"/>
      <c r="O32" s="21"/>
      <c r="P32" s="22">
        <f t="shared" si="1"/>
        <v>0</v>
      </c>
      <c r="R32" s="17" t="str">
        <f>IFERROR(__xludf.DUMMYFUNCTION("""COMPUTED_VALUE"""),"Jadens Fruitamil (12x)")</f>
        <v>Jadens Fruitamil (12x)</v>
      </c>
      <c r="S32" s="18">
        <f>IFERROR(__xludf.DUMMYFUNCTION("""COMPUTED_VALUE"""),46031.0)</f>
        <v>46031</v>
      </c>
      <c r="T32" s="19" t="str">
        <f>IFERROR(__xludf.DUMMYFUNCTION("""COMPUTED_VALUE"""),"Renee Supermarket, IKOYI")</f>
        <v>Renee Supermarket, IKOYI</v>
      </c>
      <c r="U32" s="19" t="str">
        <f>IFERROR(__xludf.DUMMYFUNCTION("""COMPUTED_VALUE"""),"Journal")</f>
        <v>Journal</v>
      </c>
      <c r="V32" s="5">
        <f>IFERROR(__xludf.DUMMYFUNCTION("""COMPUTED_VALUE"""),8.0)</f>
        <v>8</v>
      </c>
      <c r="W32" s="20">
        <f>IFERROR(__xludf.DUMMYFUNCTION("""COMPUTED_VALUE"""),1.0)</f>
        <v>1</v>
      </c>
      <c r="X32" s="21">
        <f>IFERROR(__xludf.DUMMYFUNCTION("""COMPUTED_VALUE"""),60000.0)</f>
        <v>60000</v>
      </c>
    </row>
    <row r="33">
      <c r="A33" s="13" t="s">
        <v>21</v>
      </c>
      <c r="B33" s="8">
        <v>46031.0</v>
      </c>
      <c r="C33" s="14" t="s">
        <v>31</v>
      </c>
      <c r="D33" s="14" t="s">
        <v>17</v>
      </c>
      <c r="E33" s="11">
        <v>8.0</v>
      </c>
      <c r="F33" s="15">
        <v>1.0</v>
      </c>
      <c r="G33" s="16">
        <v>60000.0</v>
      </c>
      <c r="I33" s="17"/>
      <c r="J33" s="18"/>
      <c r="K33" s="19"/>
      <c r="L33" s="19"/>
      <c r="M33" s="5"/>
      <c r="N33" s="20"/>
      <c r="O33" s="21"/>
      <c r="P33" s="22">
        <f t="shared" si="1"/>
        <v>0</v>
      </c>
      <c r="R33" s="17" t="str">
        <f>IFERROR(__xludf.DUMMYFUNCTION("""COMPUTED_VALUE"""),"Jadens Fussy-Pops (12x)")</f>
        <v>Jadens Fussy-Pops (12x)</v>
      </c>
      <c r="S33" s="18">
        <f>IFERROR(__xludf.DUMMYFUNCTION("""COMPUTED_VALUE"""),46031.0)</f>
        <v>46031</v>
      </c>
      <c r="T33" s="19" t="str">
        <f>IFERROR(__xludf.DUMMYFUNCTION("""COMPUTED_VALUE"""),"Renee Supermarket, IKOYI")</f>
        <v>Renee Supermarket, IKOYI</v>
      </c>
      <c r="U33" s="19" t="str">
        <f>IFERROR(__xludf.DUMMYFUNCTION("""COMPUTED_VALUE"""),"Journal")</f>
        <v>Journal</v>
      </c>
      <c r="V33" s="5">
        <f>IFERROR(__xludf.DUMMYFUNCTION("""COMPUTED_VALUE"""),8.0)</f>
        <v>8</v>
      </c>
      <c r="W33" s="20">
        <f>IFERROR(__xludf.DUMMYFUNCTION("""COMPUTED_VALUE"""),1.0)</f>
        <v>1</v>
      </c>
      <c r="X33" s="21">
        <f>IFERROR(__xludf.DUMMYFUNCTION("""COMPUTED_VALUE"""),60000.0)</f>
        <v>60000</v>
      </c>
    </row>
    <row r="34">
      <c r="A34" s="13" t="s">
        <v>18</v>
      </c>
      <c r="B34" s="8">
        <v>46031.0</v>
      </c>
      <c r="C34" s="14" t="s">
        <v>31</v>
      </c>
      <c r="D34" s="14" t="s">
        <v>17</v>
      </c>
      <c r="E34" s="11">
        <v>8.0</v>
      </c>
      <c r="F34" s="15">
        <v>1.0</v>
      </c>
      <c r="G34" s="16">
        <v>60000.0</v>
      </c>
      <c r="I34" s="17"/>
      <c r="J34" s="18"/>
      <c r="K34" s="19"/>
      <c r="L34" s="19"/>
      <c r="M34" s="5"/>
      <c r="N34" s="20"/>
      <c r="O34" s="21"/>
      <c r="P34" s="22">
        <f t="shared" si="1"/>
        <v>0</v>
      </c>
      <c r="R34" s="17" t="str">
        <f>IFERROR(__xludf.DUMMYFUNCTION("""COMPUTED_VALUE"""),"Jadens Mixagrain (12x)")</f>
        <v>Jadens Mixagrain (12x)</v>
      </c>
      <c r="S34" s="18">
        <f>IFERROR(__xludf.DUMMYFUNCTION("""COMPUTED_VALUE"""),46031.0)</f>
        <v>46031</v>
      </c>
      <c r="T34" s="19" t="str">
        <f>IFERROR(__xludf.DUMMYFUNCTION("""COMPUTED_VALUE"""),"Renee Supermarket, IKOYI")</f>
        <v>Renee Supermarket, IKOYI</v>
      </c>
      <c r="U34" s="19" t="str">
        <f>IFERROR(__xludf.DUMMYFUNCTION("""COMPUTED_VALUE"""),"Journal")</f>
        <v>Journal</v>
      </c>
      <c r="V34" s="5">
        <f>IFERROR(__xludf.DUMMYFUNCTION("""COMPUTED_VALUE"""),8.0)</f>
        <v>8</v>
      </c>
      <c r="W34" s="15">
        <f>IFERROR(__xludf.DUMMYFUNCTION("""COMPUTED_VALUE"""),1.0)</f>
        <v>1</v>
      </c>
      <c r="X34" s="16">
        <f>IFERROR(__xludf.DUMMYFUNCTION("""COMPUTED_VALUE"""),60000.0)</f>
        <v>60000</v>
      </c>
    </row>
    <row r="35">
      <c r="A35" s="13" t="s">
        <v>19</v>
      </c>
      <c r="B35" s="8">
        <v>46031.0</v>
      </c>
      <c r="C35" s="14" t="s">
        <v>31</v>
      </c>
      <c r="D35" s="14" t="s">
        <v>17</v>
      </c>
      <c r="E35" s="11">
        <v>8.0</v>
      </c>
      <c r="F35" s="15">
        <v>1.0</v>
      </c>
      <c r="G35" s="16">
        <v>60000.0</v>
      </c>
      <c r="I35" s="17"/>
      <c r="J35" s="18"/>
      <c r="K35" s="19"/>
      <c r="L35" s="19"/>
      <c r="M35" s="5"/>
      <c r="N35" s="20"/>
      <c r="O35" s="21"/>
      <c r="P35" s="22">
        <f t="shared" si="1"/>
        <v>0</v>
      </c>
      <c r="R35" s="17" t="str">
        <f>IFERROR(__xludf.DUMMYFUNCTION("""COMPUTED_VALUE"""),"Jadens Nuttymeal (12x)")</f>
        <v>Jadens Nuttymeal (12x)</v>
      </c>
      <c r="S35" s="18">
        <f>IFERROR(__xludf.DUMMYFUNCTION("""COMPUTED_VALUE"""),46031.0)</f>
        <v>46031</v>
      </c>
      <c r="T35" s="19" t="str">
        <f>IFERROR(__xludf.DUMMYFUNCTION("""COMPUTED_VALUE"""),"Renee Supermarket, IKOYI")</f>
        <v>Renee Supermarket, IKOYI</v>
      </c>
      <c r="U35" s="19" t="str">
        <f>IFERROR(__xludf.DUMMYFUNCTION("""COMPUTED_VALUE"""),"Journal")</f>
        <v>Journal</v>
      </c>
      <c r="V35" s="5">
        <f>IFERROR(__xludf.DUMMYFUNCTION("""COMPUTED_VALUE"""),8.0)</f>
        <v>8</v>
      </c>
      <c r="W35" s="20">
        <f>IFERROR(__xludf.DUMMYFUNCTION("""COMPUTED_VALUE"""),1.0)</f>
        <v>1</v>
      </c>
      <c r="X35" s="21">
        <f>IFERROR(__xludf.DUMMYFUNCTION("""COMPUTED_VALUE"""),60000.0)</f>
        <v>60000</v>
      </c>
    </row>
    <row r="36">
      <c r="A36" s="13" t="s">
        <v>15</v>
      </c>
      <c r="B36" s="8">
        <v>46031.0</v>
      </c>
      <c r="C36" s="14" t="s">
        <v>32</v>
      </c>
      <c r="D36" s="14" t="s">
        <v>33</v>
      </c>
      <c r="E36" s="11" t="s">
        <v>34</v>
      </c>
      <c r="F36" s="15">
        <v>0.5</v>
      </c>
      <c r="G36" s="16">
        <v>30000.0</v>
      </c>
      <c r="I36" s="17"/>
      <c r="J36" s="18"/>
      <c r="K36" s="19"/>
      <c r="L36" s="19"/>
      <c r="M36" s="5"/>
      <c r="N36" s="20"/>
      <c r="O36" s="21"/>
      <c r="P36" s="22">
        <f t="shared" si="1"/>
        <v>0</v>
      </c>
      <c r="R36" s="17"/>
      <c r="S36" s="18"/>
      <c r="T36" s="19"/>
      <c r="U36" s="19"/>
      <c r="V36" s="5"/>
      <c r="W36" s="20"/>
      <c r="X36" s="21"/>
    </row>
    <row r="37">
      <c r="A37" s="13" t="s">
        <v>15</v>
      </c>
      <c r="B37" s="8">
        <v>46031.0</v>
      </c>
      <c r="C37" s="14" t="s">
        <v>35</v>
      </c>
      <c r="D37" s="14" t="s">
        <v>33</v>
      </c>
      <c r="E37" s="11" t="s">
        <v>36</v>
      </c>
      <c r="F37" s="15">
        <v>0.5</v>
      </c>
      <c r="G37" s="16">
        <v>30000.0</v>
      </c>
      <c r="I37" s="17"/>
      <c r="J37" s="18"/>
      <c r="K37" s="19"/>
      <c r="L37" s="19"/>
      <c r="M37" s="5"/>
      <c r="N37" s="20"/>
      <c r="O37" s="21"/>
      <c r="P37" s="22">
        <f t="shared" si="1"/>
        <v>0</v>
      </c>
      <c r="R37" s="17"/>
      <c r="S37" s="18"/>
      <c r="T37" s="19"/>
      <c r="U37" s="19"/>
      <c r="V37" s="5"/>
      <c r="W37" s="20"/>
      <c r="X37" s="21"/>
    </row>
    <row r="38">
      <c r="A38" s="13" t="s">
        <v>15</v>
      </c>
      <c r="B38" s="8">
        <v>46036.0</v>
      </c>
      <c r="C38" s="14" t="s">
        <v>37</v>
      </c>
      <c r="D38" s="14" t="s">
        <v>33</v>
      </c>
      <c r="E38" s="11" t="s">
        <v>38</v>
      </c>
      <c r="F38" s="15">
        <v>0.5</v>
      </c>
      <c r="G38" s="16">
        <v>30000.0</v>
      </c>
      <c r="I38" s="17"/>
      <c r="J38" s="18"/>
      <c r="K38" s="19"/>
      <c r="L38" s="19"/>
      <c r="M38" s="5"/>
      <c r="N38" s="20"/>
      <c r="O38" s="21"/>
      <c r="P38" s="22">
        <f t="shared" si="1"/>
        <v>0</v>
      </c>
      <c r="R38" s="17"/>
      <c r="S38" s="18"/>
      <c r="T38" s="19"/>
      <c r="U38" s="19"/>
      <c r="V38" s="5"/>
      <c r="W38" s="20"/>
      <c r="X38" s="21"/>
    </row>
    <row r="39">
      <c r="A39" s="13" t="s">
        <v>15</v>
      </c>
      <c r="B39" s="8">
        <v>46036.0</v>
      </c>
      <c r="C39" s="14" t="s">
        <v>39</v>
      </c>
      <c r="D39" s="14" t="s">
        <v>33</v>
      </c>
      <c r="E39" s="11" t="s">
        <v>40</v>
      </c>
      <c r="F39" s="15">
        <v>0.5</v>
      </c>
      <c r="G39" s="16">
        <v>30000.0</v>
      </c>
      <c r="I39" s="17"/>
      <c r="J39" s="18"/>
      <c r="K39" s="19"/>
      <c r="L39" s="19"/>
      <c r="M39" s="5"/>
      <c r="N39" s="20"/>
      <c r="O39" s="21"/>
      <c r="P39" s="22">
        <f t="shared" si="1"/>
        <v>0</v>
      </c>
      <c r="R39" s="17"/>
      <c r="S39" s="18"/>
      <c r="T39" s="19"/>
      <c r="U39" s="19"/>
      <c r="V39" s="5"/>
      <c r="W39" s="20"/>
      <c r="X39" s="21"/>
    </row>
    <row r="40">
      <c r="A40" s="13" t="s">
        <v>15</v>
      </c>
      <c r="B40" s="8">
        <v>46036.0</v>
      </c>
      <c r="C40" s="14" t="s">
        <v>41</v>
      </c>
      <c r="D40" s="14" t="s">
        <v>33</v>
      </c>
      <c r="E40" s="11" t="s">
        <v>42</v>
      </c>
      <c r="F40" s="15">
        <v>0.5</v>
      </c>
      <c r="G40" s="16">
        <v>30000.0</v>
      </c>
      <c r="I40" s="17"/>
      <c r="J40" s="18"/>
      <c r="K40" s="19"/>
      <c r="L40" s="19"/>
      <c r="M40" s="5"/>
      <c r="N40" s="20"/>
      <c r="O40" s="21"/>
      <c r="P40" s="22">
        <f t="shared" si="1"/>
        <v>0</v>
      </c>
      <c r="R40" s="17"/>
      <c r="S40" s="18"/>
      <c r="T40" s="19"/>
      <c r="U40" s="19"/>
      <c r="V40" s="5"/>
      <c r="W40" s="20"/>
      <c r="X40" s="21"/>
    </row>
    <row r="41">
      <c r="A41" s="13" t="s">
        <v>15</v>
      </c>
      <c r="B41" s="8">
        <v>46037.0</v>
      </c>
      <c r="C41" s="14" t="s">
        <v>43</v>
      </c>
      <c r="D41" s="14" t="s">
        <v>33</v>
      </c>
      <c r="E41" s="11" t="s">
        <v>44</v>
      </c>
      <c r="F41" s="15">
        <v>0.5</v>
      </c>
      <c r="G41" s="16">
        <v>30000.0</v>
      </c>
      <c r="I41" s="17"/>
      <c r="J41" s="18"/>
      <c r="K41" s="19"/>
      <c r="L41" s="19"/>
      <c r="M41" s="5"/>
      <c r="N41" s="20"/>
      <c r="O41" s="21"/>
      <c r="P41" s="22">
        <f t="shared" si="1"/>
        <v>0</v>
      </c>
      <c r="R41" s="17"/>
      <c r="S41" s="18"/>
      <c r="T41" s="19"/>
      <c r="U41" s="19"/>
      <c r="V41" s="5"/>
      <c r="W41" s="20"/>
      <c r="X41" s="21"/>
    </row>
    <row r="42">
      <c r="A42" s="13" t="s">
        <v>21</v>
      </c>
      <c r="B42" s="8">
        <v>46031.0</v>
      </c>
      <c r="C42" s="14" t="s">
        <v>35</v>
      </c>
      <c r="D42" s="14" t="s">
        <v>33</v>
      </c>
      <c r="E42" s="11" t="s">
        <v>36</v>
      </c>
      <c r="F42" s="15">
        <v>0.5</v>
      </c>
      <c r="G42" s="16">
        <v>30000.0</v>
      </c>
      <c r="I42" s="17"/>
      <c r="J42" s="18"/>
      <c r="K42" s="19"/>
      <c r="L42" s="19"/>
      <c r="M42" s="5"/>
      <c r="N42" s="20"/>
      <c r="O42" s="21"/>
      <c r="P42" s="22">
        <f t="shared" si="1"/>
        <v>0</v>
      </c>
      <c r="R42" s="17"/>
      <c r="S42" s="18"/>
      <c r="T42" s="19"/>
      <c r="U42" s="19"/>
      <c r="V42" s="5"/>
      <c r="W42" s="20"/>
      <c r="X42" s="21"/>
    </row>
    <row r="43">
      <c r="A43" s="13" t="s">
        <v>18</v>
      </c>
      <c r="B43" s="8">
        <v>46035.0</v>
      </c>
      <c r="C43" s="14" t="s">
        <v>45</v>
      </c>
      <c r="D43" s="14" t="s">
        <v>33</v>
      </c>
      <c r="E43" s="11" t="s">
        <v>46</v>
      </c>
      <c r="F43" s="15">
        <v>0.5</v>
      </c>
      <c r="G43" s="16">
        <v>30000.0</v>
      </c>
      <c r="I43" s="17"/>
      <c r="J43" s="18"/>
      <c r="K43" s="19"/>
      <c r="L43" s="19"/>
      <c r="M43" s="5"/>
      <c r="N43" s="20"/>
      <c r="O43" s="21"/>
      <c r="P43" s="22">
        <f t="shared" si="1"/>
        <v>0</v>
      </c>
      <c r="R43" s="17"/>
      <c r="S43" s="18"/>
      <c r="T43" s="19"/>
      <c r="U43" s="19"/>
      <c r="V43" s="5"/>
      <c r="W43" s="20"/>
      <c r="X43" s="21"/>
    </row>
    <row r="44">
      <c r="A44" s="13" t="s">
        <v>18</v>
      </c>
      <c r="B44" s="8">
        <v>46036.0</v>
      </c>
      <c r="C44" s="14" t="s">
        <v>39</v>
      </c>
      <c r="D44" s="14" t="s">
        <v>33</v>
      </c>
      <c r="E44" s="11" t="s">
        <v>40</v>
      </c>
      <c r="F44" s="15">
        <v>0.5</v>
      </c>
      <c r="G44" s="16">
        <v>30000.0</v>
      </c>
      <c r="I44" s="17"/>
      <c r="J44" s="18"/>
      <c r="K44" s="19"/>
      <c r="L44" s="19"/>
      <c r="M44" s="5"/>
      <c r="N44" s="20"/>
      <c r="O44" s="21"/>
      <c r="P44" s="22">
        <f t="shared" si="1"/>
        <v>0</v>
      </c>
      <c r="R44" s="17"/>
      <c r="S44" s="18"/>
      <c r="T44" s="19"/>
      <c r="U44" s="19"/>
      <c r="V44" s="5"/>
      <c r="W44" s="20"/>
      <c r="X44" s="21"/>
    </row>
    <row r="45">
      <c r="A45" s="13" t="s">
        <v>19</v>
      </c>
      <c r="B45" s="8">
        <v>46031.0</v>
      </c>
      <c r="C45" s="14" t="s">
        <v>35</v>
      </c>
      <c r="D45" s="14" t="s">
        <v>33</v>
      </c>
      <c r="E45" s="11" t="s">
        <v>36</v>
      </c>
      <c r="F45" s="15">
        <v>0.5</v>
      </c>
      <c r="G45" s="16">
        <v>30000.0</v>
      </c>
      <c r="I45" s="17"/>
      <c r="J45" s="18"/>
      <c r="K45" s="19"/>
      <c r="L45" s="19"/>
      <c r="M45" s="5"/>
      <c r="N45" s="20"/>
      <c r="O45" s="21"/>
      <c r="P45" s="22">
        <f t="shared" si="1"/>
        <v>0</v>
      </c>
      <c r="R45" s="17"/>
      <c r="S45" s="18"/>
      <c r="T45" s="19"/>
      <c r="U45" s="19"/>
      <c r="V45" s="5"/>
      <c r="W45" s="20"/>
      <c r="X45" s="21"/>
    </row>
    <row r="46">
      <c r="A46" s="13" t="s">
        <v>19</v>
      </c>
      <c r="B46" s="8">
        <v>46035.0</v>
      </c>
      <c r="C46" s="14" t="s">
        <v>47</v>
      </c>
      <c r="D46" s="14" t="s">
        <v>33</v>
      </c>
      <c r="E46" s="11" t="s">
        <v>48</v>
      </c>
      <c r="F46" s="15">
        <v>0.5</v>
      </c>
      <c r="G46" s="16">
        <v>30000.0</v>
      </c>
      <c r="I46" s="17"/>
      <c r="J46" s="18"/>
      <c r="K46" s="19"/>
      <c r="L46" s="19"/>
      <c r="M46" s="5"/>
      <c r="N46" s="20"/>
      <c r="O46" s="21"/>
      <c r="P46" s="22">
        <f t="shared" si="1"/>
        <v>0</v>
      </c>
      <c r="R46" s="17"/>
      <c r="S46" s="18"/>
      <c r="T46" s="19"/>
      <c r="U46" s="19"/>
      <c r="V46" s="5"/>
      <c r="W46" s="20"/>
      <c r="X46" s="21"/>
    </row>
    <row r="47">
      <c r="A47" s="13" t="s">
        <v>19</v>
      </c>
      <c r="B47" s="8">
        <v>46036.0</v>
      </c>
      <c r="C47" s="14" t="s">
        <v>37</v>
      </c>
      <c r="D47" s="14" t="s">
        <v>33</v>
      </c>
      <c r="E47" s="11" t="s">
        <v>38</v>
      </c>
      <c r="F47" s="15">
        <v>0.5</v>
      </c>
      <c r="G47" s="16">
        <v>30000.0</v>
      </c>
      <c r="I47" s="17"/>
      <c r="J47" s="18"/>
      <c r="K47" s="19"/>
      <c r="L47" s="19"/>
      <c r="M47" s="5"/>
      <c r="N47" s="20"/>
      <c r="O47" s="21"/>
      <c r="P47" s="22">
        <f t="shared" si="1"/>
        <v>0</v>
      </c>
      <c r="R47" s="17"/>
      <c r="S47" s="18"/>
      <c r="T47" s="19"/>
      <c r="U47" s="19"/>
      <c r="V47" s="5"/>
      <c r="W47" s="20"/>
      <c r="X47" s="21"/>
    </row>
    <row r="48">
      <c r="A48" s="13" t="s">
        <v>19</v>
      </c>
      <c r="B48" s="8">
        <v>46036.0</v>
      </c>
      <c r="C48" s="14" t="s">
        <v>39</v>
      </c>
      <c r="D48" s="14" t="s">
        <v>33</v>
      </c>
      <c r="E48" s="11" t="s">
        <v>40</v>
      </c>
      <c r="F48" s="15">
        <v>0.5</v>
      </c>
      <c r="G48" s="16">
        <v>30000.0</v>
      </c>
      <c r="I48" s="17"/>
      <c r="J48" s="18"/>
      <c r="K48" s="19"/>
      <c r="L48" s="19"/>
      <c r="M48" s="5"/>
      <c r="N48" s="20"/>
      <c r="O48" s="21"/>
      <c r="P48" s="22">
        <f t="shared" si="1"/>
        <v>0</v>
      </c>
      <c r="R48" s="17"/>
      <c r="S48" s="18"/>
      <c r="T48" s="19"/>
      <c r="U48" s="19"/>
      <c r="V48" s="5"/>
      <c r="W48" s="20"/>
      <c r="X48" s="21"/>
    </row>
    <row r="49">
      <c r="A49" s="13" t="s">
        <v>19</v>
      </c>
      <c r="B49" s="8">
        <v>46036.0</v>
      </c>
      <c r="C49" s="14" t="s">
        <v>41</v>
      </c>
      <c r="D49" s="14" t="s">
        <v>33</v>
      </c>
      <c r="E49" s="11" t="s">
        <v>42</v>
      </c>
      <c r="F49" s="15">
        <v>0.5</v>
      </c>
      <c r="G49" s="16">
        <v>30000.0</v>
      </c>
      <c r="I49" s="17"/>
      <c r="J49" s="18"/>
      <c r="K49" s="19"/>
      <c r="L49" s="19"/>
      <c r="M49" s="5"/>
      <c r="N49" s="20"/>
      <c r="O49" s="21"/>
      <c r="P49" s="22">
        <f t="shared" si="1"/>
        <v>0</v>
      </c>
      <c r="R49" s="17"/>
      <c r="S49" s="18"/>
      <c r="T49" s="19"/>
      <c r="U49" s="19"/>
      <c r="V49" s="5"/>
      <c r="W49" s="20"/>
      <c r="X49" s="21"/>
    </row>
    <row r="50">
      <c r="A50" s="13" t="s">
        <v>19</v>
      </c>
      <c r="B50" s="8">
        <v>46037.0</v>
      </c>
      <c r="C50" s="14" t="s">
        <v>43</v>
      </c>
      <c r="D50" s="14" t="s">
        <v>33</v>
      </c>
      <c r="E50" s="11" t="s">
        <v>44</v>
      </c>
      <c r="F50" s="15">
        <v>1.0</v>
      </c>
      <c r="G50" s="16">
        <v>60000.0</v>
      </c>
      <c r="I50" s="17"/>
      <c r="J50" s="18"/>
      <c r="K50" s="19"/>
      <c r="L50" s="19"/>
      <c r="M50" s="5"/>
      <c r="N50" s="20"/>
      <c r="O50" s="21"/>
      <c r="P50" s="22">
        <f t="shared" si="1"/>
        <v>0</v>
      </c>
      <c r="R50" s="17"/>
      <c r="S50" s="18"/>
      <c r="T50" s="19"/>
      <c r="U50" s="19"/>
      <c r="V50" s="5"/>
      <c r="W50" s="20"/>
      <c r="X50" s="21"/>
    </row>
    <row r="51">
      <c r="A51" s="34"/>
      <c r="B51" s="8"/>
      <c r="C51" s="10"/>
      <c r="D51" s="10"/>
      <c r="E51" s="11"/>
      <c r="F51" s="15"/>
      <c r="G51" s="35"/>
      <c r="I51" s="17"/>
      <c r="J51" s="18"/>
      <c r="K51" s="19"/>
      <c r="L51" s="19"/>
      <c r="M51" s="5"/>
      <c r="N51" s="20"/>
      <c r="O51" s="21"/>
      <c r="P51" s="22">
        <f t="shared" si="1"/>
        <v>0</v>
      </c>
      <c r="R51" s="17"/>
      <c r="S51" s="18"/>
      <c r="T51" s="19"/>
      <c r="U51" s="19"/>
      <c r="V51" s="5"/>
      <c r="W51" s="36"/>
      <c r="X51" s="21"/>
    </row>
    <row r="52">
      <c r="A52" s="34"/>
      <c r="B52" s="8"/>
      <c r="C52" s="10"/>
      <c r="D52" s="10"/>
      <c r="E52" s="11"/>
      <c r="F52" s="15"/>
      <c r="G52" s="35"/>
      <c r="I52" s="17"/>
      <c r="J52" s="18"/>
      <c r="K52" s="19"/>
      <c r="L52" s="19"/>
      <c r="M52" s="5"/>
      <c r="N52" s="20"/>
      <c r="O52" s="21"/>
      <c r="P52" s="22">
        <f t="shared" si="1"/>
        <v>0</v>
      </c>
      <c r="R52" s="17"/>
      <c r="S52" s="18"/>
      <c r="T52" s="19"/>
      <c r="U52" s="19"/>
      <c r="V52" s="5"/>
      <c r="W52" s="20"/>
      <c r="X52" s="21"/>
    </row>
    <row r="53">
      <c r="A53" s="34"/>
      <c r="B53" s="8"/>
      <c r="C53" s="10"/>
      <c r="D53" s="10"/>
      <c r="E53" s="11"/>
      <c r="F53" s="15"/>
      <c r="G53" s="35"/>
      <c r="I53" s="17"/>
      <c r="J53" s="18"/>
      <c r="K53" s="19"/>
      <c r="L53" s="19"/>
      <c r="M53" s="5"/>
      <c r="N53" s="20"/>
      <c r="O53" s="21"/>
      <c r="P53" s="22">
        <f t="shared" si="1"/>
        <v>0</v>
      </c>
      <c r="R53" s="17"/>
      <c r="S53" s="18"/>
      <c r="T53" s="19"/>
      <c r="U53" s="19"/>
      <c r="V53" s="5"/>
      <c r="W53" s="20"/>
      <c r="X53" s="21"/>
    </row>
    <row r="54">
      <c r="A54" s="34"/>
      <c r="B54" s="8"/>
      <c r="C54" s="10"/>
      <c r="D54" s="10"/>
      <c r="E54" s="11"/>
      <c r="F54" s="15"/>
      <c r="G54" s="35"/>
      <c r="I54" s="17"/>
      <c r="J54" s="18"/>
      <c r="K54" s="19"/>
      <c r="L54" s="19"/>
      <c r="M54" s="5"/>
      <c r="N54" s="20"/>
      <c r="O54" s="21"/>
      <c r="P54" s="22">
        <f t="shared" si="1"/>
        <v>0</v>
      </c>
      <c r="R54" s="17"/>
      <c r="S54" s="18"/>
      <c r="T54" s="19"/>
      <c r="U54" s="19"/>
      <c r="V54" s="5"/>
      <c r="W54" s="20"/>
      <c r="X54" s="21"/>
    </row>
    <row r="55">
      <c r="A55" s="34"/>
      <c r="B55" s="8"/>
      <c r="C55" s="10"/>
      <c r="D55" s="10"/>
      <c r="E55" s="11"/>
      <c r="F55" s="15"/>
      <c r="G55" s="35"/>
      <c r="I55" s="17"/>
      <c r="J55" s="18"/>
      <c r="K55" s="19"/>
      <c r="L55" s="19"/>
      <c r="M55" s="5"/>
      <c r="N55" s="20"/>
      <c r="O55" s="21"/>
      <c r="P55" s="22">
        <f t="shared" si="1"/>
        <v>0</v>
      </c>
      <c r="R55" s="17"/>
      <c r="S55" s="18"/>
      <c r="T55" s="19"/>
      <c r="U55" s="19"/>
      <c r="V55" s="5"/>
      <c r="W55" s="20"/>
      <c r="X55" s="21"/>
    </row>
    <row r="56">
      <c r="A56" s="34"/>
      <c r="B56" s="8"/>
      <c r="C56" s="10"/>
      <c r="D56" s="10"/>
      <c r="E56" s="11"/>
      <c r="F56" s="15"/>
      <c r="G56" s="35"/>
      <c r="I56" s="17"/>
      <c r="J56" s="18"/>
      <c r="K56" s="19"/>
      <c r="L56" s="19"/>
      <c r="M56" s="5"/>
      <c r="N56" s="20"/>
      <c r="O56" s="21"/>
      <c r="P56" s="22">
        <f t="shared" si="1"/>
        <v>0</v>
      </c>
      <c r="R56" s="33"/>
      <c r="S56" s="26"/>
      <c r="T56" s="27"/>
      <c r="U56" s="27"/>
      <c r="V56" s="28"/>
      <c r="W56" s="28"/>
      <c r="X56" s="29"/>
    </row>
    <row r="57">
      <c r="A57" s="34"/>
      <c r="B57" s="8"/>
      <c r="C57" s="10"/>
      <c r="D57" s="10"/>
      <c r="E57" s="11"/>
      <c r="F57" s="15"/>
      <c r="G57" s="35"/>
      <c r="I57" s="17"/>
      <c r="J57" s="18"/>
      <c r="K57" s="19"/>
      <c r="L57" s="19"/>
      <c r="M57" s="5"/>
      <c r="N57" s="20"/>
      <c r="O57" s="21"/>
      <c r="P57" s="22">
        <f t="shared" si="1"/>
        <v>0</v>
      </c>
      <c r="R57" s="33"/>
      <c r="S57" s="26"/>
      <c r="T57" s="27"/>
      <c r="U57" s="27"/>
      <c r="V57" s="28"/>
      <c r="W57" s="28"/>
      <c r="X57" s="29"/>
    </row>
    <row r="58">
      <c r="A58" s="34"/>
      <c r="B58" s="8"/>
      <c r="C58" s="10"/>
      <c r="D58" s="10"/>
      <c r="E58" s="11"/>
      <c r="F58" s="15"/>
      <c r="G58" s="35"/>
      <c r="I58" s="17"/>
      <c r="J58" s="18"/>
      <c r="K58" s="19"/>
      <c r="L58" s="19"/>
      <c r="M58" s="5"/>
      <c r="N58" s="20"/>
      <c r="O58" s="21"/>
      <c r="P58" s="22">
        <f t="shared" si="1"/>
        <v>0</v>
      </c>
      <c r="R58" s="33"/>
      <c r="S58" s="26"/>
      <c r="T58" s="27"/>
      <c r="U58" s="27"/>
      <c r="V58" s="28"/>
      <c r="W58" s="28"/>
      <c r="X58" s="29"/>
    </row>
    <row r="59">
      <c r="A59" s="34"/>
      <c r="B59" s="8"/>
      <c r="C59" s="10"/>
      <c r="D59" s="10"/>
      <c r="E59" s="11"/>
      <c r="F59" s="15"/>
      <c r="G59" s="35"/>
      <c r="I59" s="17"/>
      <c r="J59" s="18"/>
      <c r="K59" s="19"/>
      <c r="L59" s="19"/>
      <c r="M59" s="5"/>
      <c r="N59" s="20"/>
      <c r="O59" s="21"/>
      <c r="P59" s="22">
        <f t="shared" si="1"/>
        <v>0</v>
      </c>
      <c r="R59" s="33"/>
      <c r="S59" s="26"/>
      <c r="T59" s="27"/>
      <c r="U59" s="27"/>
      <c r="V59" s="28"/>
      <c r="W59" s="28"/>
      <c r="X59" s="29"/>
    </row>
    <row r="60">
      <c r="A60" s="34"/>
      <c r="B60" s="8"/>
      <c r="C60" s="10"/>
      <c r="D60" s="10"/>
      <c r="E60" s="11"/>
      <c r="F60" s="15"/>
      <c r="G60" s="35"/>
      <c r="I60" s="17"/>
      <c r="J60" s="18"/>
      <c r="K60" s="19"/>
      <c r="L60" s="19"/>
      <c r="M60" s="5"/>
      <c r="N60" s="20"/>
      <c r="O60" s="21"/>
      <c r="P60" s="22">
        <f t="shared" si="1"/>
        <v>0</v>
      </c>
      <c r="R60" s="33"/>
      <c r="S60" s="26"/>
      <c r="T60" s="27"/>
      <c r="U60" s="27"/>
      <c r="V60" s="28"/>
      <c r="W60" s="28"/>
      <c r="X60" s="29"/>
    </row>
    <row r="61">
      <c r="A61" s="34"/>
      <c r="B61" s="8"/>
      <c r="C61" s="10"/>
      <c r="D61" s="10"/>
      <c r="E61" s="11"/>
      <c r="F61" s="15"/>
      <c r="G61" s="35"/>
      <c r="I61" s="17"/>
      <c r="J61" s="18"/>
      <c r="K61" s="19"/>
      <c r="L61" s="19"/>
      <c r="M61" s="5"/>
      <c r="N61" s="20"/>
      <c r="O61" s="21"/>
      <c r="P61" s="22">
        <f t="shared" si="1"/>
        <v>0</v>
      </c>
      <c r="R61" s="33"/>
      <c r="S61" s="26"/>
      <c r="T61" s="27"/>
      <c r="U61" s="27"/>
      <c r="V61" s="28"/>
      <c r="W61" s="28"/>
      <c r="X61" s="29"/>
    </row>
    <row r="62">
      <c r="A62" s="34"/>
      <c r="B62" s="8"/>
      <c r="C62" s="10"/>
      <c r="D62" s="10"/>
      <c r="E62" s="11"/>
      <c r="F62" s="15"/>
      <c r="G62" s="35"/>
      <c r="I62" s="17"/>
      <c r="J62" s="18"/>
      <c r="K62" s="19"/>
      <c r="L62" s="19"/>
      <c r="M62" s="5"/>
      <c r="N62" s="20"/>
      <c r="O62" s="21"/>
      <c r="P62" s="22">
        <f t="shared" si="1"/>
        <v>0</v>
      </c>
      <c r="R62" s="33"/>
      <c r="S62" s="26"/>
      <c r="T62" s="27"/>
      <c r="U62" s="27"/>
      <c r="V62" s="28"/>
      <c r="W62" s="28"/>
      <c r="X62" s="29"/>
    </row>
    <row r="63">
      <c r="A63" s="34"/>
      <c r="B63" s="8"/>
      <c r="C63" s="10"/>
      <c r="D63" s="10"/>
      <c r="E63" s="11"/>
      <c r="F63" s="15"/>
      <c r="G63" s="35"/>
      <c r="I63" s="17"/>
      <c r="J63" s="18"/>
      <c r="K63" s="19"/>
      <c r="L63" s="19"/>
      <c r="M63" s="5"/>
      <c r="N63" s="20"/>
      <c r="O63" s="21"/>
      <c r="P63" s="22">
        <f t="shared" si="1"/>
        <v>0</v>
      </c>
      <c r="R63" s="33"/>
      <c r="S63" s="26"/>
      <c r="T63" s="27"/>
      <c r="U63" s="27"/>
      <c r="V63" s="28"/>
      <c r="W63" s="28"/>
      <c r="X63" s="29"/>
    </row>
    <row r="64">
      <c r="A64" s="34"/>
      <c r="B64" s="8"/>
      <c r="C64" s="10"/>
      <c r="D64" s="10"/>
      <c r="E64" s="11"/>
      <c r="F64" s="15"/>
      <c r="G64" s="35"/>
      <c r="I64" s="17"/>
      <c r="J64" s="18"/>
      <c r="K64" s="19"/>
      <c r="L64" s="19"/>
      <c r="M64" s="5"/>
      <c r="N64" s="20"/>
      <c r="O64" s="21"/>
      <c r="P64" s="22">
        <f t="shared" si="1"/>
        <v>0</v>
      </c>
      <c r="R64" s="33"/>
      <c r="S64" s="26"/>
      <c r="T64" s="27"/>
      <c r="U64" s="27"/>
      <c r="V64" s="28"/>
      <c r="W64" s="28"/>
      <c r="X64" s="29"/>
    </row>
    <row r="65">
      <c r="A65" s="34"/>
      <c r="B65" s="8"/>
      <c r="C65" s="10"/>
      <c r="D65" s="10"/>
      <c r="E65" s="11"/>
      <c r="F65" s="15"/>
      <c r="G65" s="35"/>
      <c r="I65" s="17"/>
      <c r="J65" s="18"/>
      <c r="K65" s="19"/>
      <c r="L65" s="19"/>
      <c r="M65" s="5"/>
      <c r="N65" s="20"/>
      <c r="O65" s="21"/>
      <c r="P65" s="22">
        <f t="shared" si="1"/>
        <v>0</v>
      </c>
      <c r="R65" s="33"/>
      <c r="S65" s="26"/>
      <c r="T65" s="27"/>
      <c r="U65" s="27"/>
      <c r="V65" s="28"/>
      <c r="W65" s="28"/>
      <c r="X65" s="29"/>
    </row>
    <row r="66">
      <c r="A66" s="34"/>
      <c r="B66" s="8"/>
      <c r="C66" s="10"/>
      <c r="D66" s="10"/>
      <c r="E66" s="11"/>
      <c r="F66" s="15"/>
      <c r="G66" s="35"/>
      <c r="I66" s="17"/>
      <c r="J66" s="18"/>
      <c r="K66" s="19"/>
      <c r="L66" s="19"/>
      <c r="M66" s="5"/>
      <c r="N66" s="20"/>
      <c r="O66" s="21"/>
      <c r="P66" s="22">
        <f t="shared" si="1"/>
        <v>0</v>
      </c>
      <c r="R66" s="33"/>
      <c r="S66" s="26"/>
      <c r="T66" s="27"/>
      <c r="U66" s="27"/>
      <c r="V66" s="28"/>
      <c r="W66" s="28"/>
      <c r="X66" s="29"/>
    </row>
    <row r="67">
      <c r="A67" s="34"/>
      <c r="B67" s="8"/>
      <c r="C67" s="10"/>
      <c r="D67" s="10"/>
      <c r="E67" s="11"/>
      <c r="F67" s="15"/>
      <c r="G67" s="35"/>
      <c r="I67" s="17"/>
      <c r="J67" s="18"/>
      <c r="K67" s="19"/>
      <c r="L67" s="19"/>
      <c r="M67" s="5"/>
      <c r="N67" s="20"/>
      <c r="O67" s="21"/>
      <c r="P67" s="22">
        <f t="shared" si="1"/>
        <v>0</v>
      </c>
      <c r="R67" s="33"/>
      <c r="S67" s="26"/>
      <c r="T67" s="27"/>
      <c r="U67" s="27"/>
      <c r="V67" s="28"/>
      <c r="W67" s="28"/>
      <c r="X67" s="29"/>
    </row>
    <row r="68">
      <c r="A68" s="34"/>
      <c r="B68" s="8"/>
      <c r="C68" s="10"/>
      <c r="D68" s="10"/>
      <c r="E68" s="11"/>
      <c r="F68" s="15"/>
      <c r="G68" s="35"/>
      <c r="I68" s="17"/>
      <c r="J68" s="18"/>
      <c r="K68" s="19"/>
      <c r="L68" s="19"/>
      <c r="M68" s="5"/>
      <c r="N68" s="20"/>
      <c r="O68" s="21"/>
      <c r="P68" s="22">
        <f t="shared" si="1"/>
        <v>0</v>
      </c>
      <c r="R68" s="33"/>
      <c r="S68" s="26"/>
      <c r="T68" s="27"/>
      <c r="U68" s="27"/>
      <c r="V68" s="28"/>
      <c r="W68" s="28"/>
      <c r="X68" s="29"/>
    </row>
    <row r="69">
      <c r="A69" s="34"/>
      <c r="B69" s="8"/>
      <c r="C69" s="10"/>
      <c r="D69" s="10"/>
      <c r="E69" s="11"/>
      <c r="F69" s="15"/>
      <c r="G69" s="35"/>
      <c r="I69" s="17"/>
      <c r="J69" s="18"/>
      <c r="K69" s="19"/>
      <c r="L69" s="19"/>
      <c r="M69" s="5"/>
      <c r="N69" s="20"/>
      <c r="O69" s="21"/>
      <c r="P69" s="22">
        <f t="shared" si="1"/>
        <v>0</v>
      </c>
      <c r="R69" s="33"/>
      <c r="S69" s="26"/>
      <c r="T69" s="27"/>
      <c r="U69" s="27"/>
      <c r="V69" s="28"/>
      <c r="W69" s="28"/>
      <c r="X69" s="29"/>
    </row>
    <row r="70">
      <c r="A70" s="34"/>
      <c r="B70" s="8"/>
      <c r="C70" s="10"/>
      <c r="D70" s="10"/>
      <c r="E70" s="11"/>
      <c r="F70" s="15"/>
      <c r="G70" s="35"/>
      <c r="I70" s="17"/>
      <c r="J70" s="18"/>
      <c r="K70" s="19"/>
      <c r="L70" s="19"/>
      <c r="M70" s="5"/>
      <c r="N70" s="20"/>
      <c r="O70" s="21"/>
      <c r="P70" s="22">
        <f t="shared" si="1"/>
        <v>0</v>
      </c>
      <c r="R70" s="33"/>
      <c r="S70" s="26"/>
      <c r="T70" s="27"/>
      <c r="U70" s="27"/>
      <c r="V70" s="28"/>
      <c r="W70" s="28"/>
      <c r="X70" s="29"/>
    </row>
    <row r="71">
      <c r="A71" s="34"/>
      <c r="B71" s="8"/>
      <c r="C71" s="10"/>
      <c r="D71" s="10"/>
      <c r="E71" s="11"/>
      <c r="F71" s="15"/>
      <c r="G71" s="35"/>
      <c r="I71" s="17"/>
      <c r="J71" s="18"/>
      <c r="K71" s="19"/>
      <c r="L71" s="19"/>
      <c r="M71" s="5"/>
      <c r="N71" s="20"/>
      <c r="O71" s="21"/>
      <c r="P71" s="22">
        <f t="shared" si="1"/>
        <v>0</v>
      </c>
      <c r="R71" s="33"/>
      <c r="S71" s="26"/>
      <c r="T71" s="27"/>
      <c r="U71" s="27"/>
      <c r="V71" s="28"/>
      <c r="W71" s="28"/>
      <c r="X71" s="29"/>
    </row>
    <row r="72">
      <c r="A72" s="34"/>
      <c r="B72" s="8"/>
      <c r="C72" s="10"/>
      <c r="D72" s="10"/>
      <c r="E72" s="11"/>
      <c r="F72" s="15"/>
      <c r="G72" s="35"/>
      <c r="I72" s="17"/>
      <c r="J72" s="18"/>
      <c r="K72" s="19"/>
      <c r="L72" s="19"/>
      <c r="M72" s="5"/>
      <c r="N72" s="20"/>
      <c r="O72" s="21"/>
      <c r="P72" s="22">
        <f t="shared" si="1"/>
        <v>0</v>
      </c>
      <c r="R72" s="33"/>
      <c r="S72" s="26"/>
      <c r="T72" s="27"/>
      <c r="U72" s="27"/>
      <c r="V72" s="28"/>
      <c r="W72" s="28"/>
      <c r="X72" s="29"/>
    </row>
    <row r="73">
      <c r="A73" s="34"/>
      <c r="B73" s="8"/>
      <c r="C73" s="10"/>
      <c r="D73" s="10"/>
      <c r="E73" s="11"/>
      <c r="F73" s="15"/>
      <c r="G73" s="35"/>
      <c r="I73" s="17"/>
      <c r="J73" s="18"/>
      <c r="K73" s="19"/>
      <c r="L73" s="19"/>
      <c r="M73" s="5"/>
      <c r="N73" s="20"/>
      <c r="O73" s="21"/>
      <c r="P73" s="22">
        <f t="shared" si="1"/>
        <v>0</v>
      </c>
      <c r="R73" s="33"/>
      <c r="S73" s="26"/>
      <c r="T73" s="27"/>
      <c r="U73" s="27"/>
      <c r="V73" s="28"/>
      <c r="W73" s="28"/>
      <c r="X73" s="29"/>
    </row>
    <row r="74">
      <c r="A74" s="34"/>
      <c r="B74" s="8"/>
      <c r="C74" s="10"/>
      <c r="D74" s="10"/>
      <c r="E74" s="11"/>
      <c r="F74" s="15"/>
      <c r="G74" s="35"/>
      <c r="I74" s="17"/>
      <c r="J74" s="18"/>
      <c r="K74" s="19"/>
      <c r="L74" s="19"/>
      <c r="M74" s="5"/>
      <c r="N74" s="20"/>
      <c r="O74" s="21"/>
      <c r="P74" s="22">
        <f t="shared" si="1"/>
        <v>0</v>
      </c>
      <c r="R74" s="33"/>
      <c r="S74" s="26"/>
      <c r="T74" s="27"/>
      <c r="U74" s="27"/>
      <c r="V74" s="28"/>
      <c r="W74" s="28"/>
      <c r="X74" s="29"/>
    </row>
    <row r="75">
      <c r="A75" s="34"/>
      <c r="B75" s="8"/>
      <c r="C75" s="10"/>
      <c r="D75" s="10"/>
      <c r="E75" s="11"/>
      <c r="F75" s="15"/>
      <c r="G75" s="35"/>
      <c r="I75" s="17"/>
      <c r="J75" s="18"/>
      <c r="K75" s="19"/>
      <c r="L75" s="19"/>
      <c r="M75" s="5"/>
      <c r="N75" s="20"/>
      <c r="O75" s="21"/>
      <c r="P75" s="22">
        <f t="shared" si="1"/>
        <v>0</v>
      </c>
      <c r="R75" s="33"/>
      <c r="S75" s="26"/>
      <c r="T75" s="27"/>
      <c r="U75" s="27"/>
      <c r="V75" s="28"/>
      <c r="W75" s="28"/>
      <c r="X75" s="29"/>
    </row>
    <row r="76">
      <c r="A76" s="34"/>
      <c r="B76" s="8"/>
      <c r="C76" s="10"/>
      <c r="D76" s="10"/>
      <c r="E76" s="11"/>
      <c r="F76" s="15"/>
      <c r="G76" s="35"/>
      <c r="I76" s="17"/>
      <c r="J76" s="18"/>
      <c r="K76" s="19"/>
      <c r="L76" s="19"/>
      <c r="M76" s="5"/>
      <c r="N76" s="20"/>
      <c r="O76" s="21"/>
      <c r="P76" s="22">
        <f t="shared" si="1"/>
        <v>0</v>
      </c>
      <c r="R76" s="33"/>
      <c r="S76" s="26"/>
      <c r="T76" s="27"/>
      <c r="U76" s="27"/>
      <c r="V76" s="28"/>
      <c r="W76" s="28"/>
      <c r="X76" s="29"/>
    </row>
    <row r="77">
      <c r="A77" s="34"/>
      <c r="B77" s="8"/>
      <c r="C77" s="10"/>
      <c r="D77" s="10"/>
      <c r="E77" s="11"/>
      <c r="F77" s="15"/>
      <c r="G77" s="35"/>
      <c r="I77" s="17"/>
      <c r="J77" s="18"/>
      <c r="K77" s="19"/>
      <c r="L77" s="19"/>
      <c r="M77" s="5"/>
      <c r="N77" s="20"/>
      <c r="O77" s="21"/>
      <c r="P77" s="22">
        <f t="shared" si="1"/>
        <v>0</v>
      </c>
      <c r="R77" s="33"/>
      <c r="S77" s="26"/>
      <c r="T77" s="27"/>
      <c r="U77" s="27"/>
      <c r="V77" s="28"/>
      <c r="W77" s="28"/>
      <c r="X77" s="29"/>
    </row>
    <row r="78">
      <c r="A78" s="34"/>
      <c r="B78" s="8"/>
      <c r="C78" s="10"/>
      <c r="D78" s="10"/>
      <c r="E78" s="11"/>
      <c r="F78" s="15"/>
      <c r="G78" s="35"/>
      <c r="I78" s="17"/>
      <c r="J78" s="18"/>
      <c r="K78" s="19"/>
      <c r="L78" s="19"/>
      <c r="M78" s="5"/>
      <c r="N78" s="20"/>
      <c r="O78" s="21"/>
      <c r="P78" s="22">
        <f t="shared" si="1"/>
        <v>0</v>
      </c>
      <c r="R78" s="33"/>
      <c r="S78" s="26"/>
      <c r="T78" s="27"/>
      <c r="U78" s="27"/>
      <c r="V78" s="28"/>
      <c r="W78" s="28"/>
      <c r="X78" s="29"/>
    </row>
    <row r="79">
      <c r="A79" s="34"/>
      <c r="B79" s="8"/>
      <c r="C79" s="10"/>
      <c r="D79" s="10"/>
      <c r="E79" s="11"/>
      <c r="F79" s="15"/>
      <c r="G79" s="35"/>
      <c r="I79" s="17"/>
      <c r="J79" s="18"/>
      <c r="K79" s="19"/>
      <c r="L79" s="19"/>
      <c r="M79" s="5"/>
      <c r="N79" s="20"/>
      <c r="O79" s="21"/>
      <c r="P79" s="22">
        <f t="shared" si="1"/>
        <v>0</v>
      </c>
      <c r="R79" s="33"/>
      <c r="S79" s="26"/>
      <c r="T79" s="27"/>
      <c r="U79" s="27"/>
      <c r="V79" s="28"/>
      <c r="W79" s="28"/>
      <c r="X79" s="29"/>
    </row>
    <row r="80">
      <c r="A80" s="34"/>
      <c r="B80" s="8"/>
      <c r="C80" s="10"/>
      <c r="D80" s="10"/>
      <c r="E80" s="11"/>
      <c r="F80" s="15"/>
      <c r="G80" s="35"/>
      <c r="I80" s="17"/>
      <c r="J80" s="18"/>
      <c r="K80" s="19"/>
      <c r="L80" s="19"/>
      <c r="M80" s="5"/>
      <c r="N80" s="20"/>
      <c r="O80" s="21"/>
      <c r="P80" s="22">
        <f t="shared" si="1"/>
        <v>0</v>
      </c>
      <c r="R80" s="33"/>
      <c r="S80" s="26"/>
      <c r="T80" s="27"/>
      <c r="U80" s="27"/>
      <c r="V80" s="28"/>
      <c r="W80" s="28"/>
      <c r="X80" s="29"/>
    </row>
    <row r="81">
      <c r="A81" s="34"/>
      <c r="B81" s="8"/>
      <c r="C81" s="10"/>
      <c r="D81" s="10"/>
      <c r="E81" s="11"/>
      <c r="F81" s="15"/>
      <c r="G81" s="35"/>
      <c r="I81" s="17"/>
      <c r="J81" s="18"/>
      <c r="K81" s="19"/>
      <c r="L81" s="19"/>
      <c r="M81" s="5"/>
      <c r="N81" s="20"/>
      <c r="O81" s="21"/>
      <c r="P81" s="22">
        <f t="shared" si="1"/>
        <v>0</v>
      </c>
      <c r="R81" s="33"/>
      <c r="S81" s="26"/>
      <c r="T81" s="27"/>
      <c r="U81" s="27"/>
      <c r="V81" s="28"/>
      <c r="W81" s="28"/>
      <c r="X81" s="29"/>
    </row>
    <row r="82">
      <c r="A82" s="34"/>
      <c r="B82" s="8"/>
      <c r="C82" s="10"/>
      <c r="D82" s="10"/>
      <c r="E82" s="11"/>
      <c r="F82" s="15"/>
      <c r="G82" s="35"/>
      <c r="I82" s="17"/>
      <c r="J82" s="18"/>
      <c r="K82" s="19"/>
      <c r="L82" s="19"/>
      <c r="M82" s="5"/>
      <c r="N82" s="20"/>
      <c r="O82" s="21"/>
      <c r="P82" s="22">
        <f t="shared" si="1"/>
        <v>0</v>
      </c>
      <c r="R82" s="33"/>
      <c r="S82" s="26"/>
      <c r="T82" s="27"/>
      <c r="U82" s="27"/>
      <c r="V82" s="28"/>
      <c r="W82" s="28"/>
      <c r="X82" s="29"/>
    </row>
    <row r="83">
      <c r="A83" s="34"/>
      <c r="B83" s="8"/>
      <c r="C83" s="10"/>
      <c r="D83" s="10"/>
      <c r="E83" s="11"/>
      <c r="F83" s="15"/>
      <c r="G83" s="35"/>
      <c r="I83" s="17"/>
      <c r="J83" s="18"/>
      <c r="K83" s="19"/>
      <c r="L83" s="19"/>
      <c r="M83" s="5"/>
      <c r="N83" s="20"/>
      <c r="O83" s="21"/>
      <c r="P83" s="22">
        <f t="shared" si="1"/>
        <v>0</v>
      </c>
      <c r="R83" s="25"/>
      <c r="S83" s="30"/>
      <c r="T83" s="24"/>
      <c r="U83" s="24"/>
      <c r="V83" s="31"/>
      <c r="W83" s="31"/>
      <c r="X83" s="32"/>
    </row>
    <row r="84">
      <c r="A84" s="34"/>
      <c r="B84" s="8"/>
      <c r="C84" s="10"/>
      <c r="D84" s="10"/>
      <c r="E84" s="11"/>
      <c r="F84" s="15"/>
      <c r="G84" s="35"/>
      <c r="I84" s="17"/>
      <c r="J84" s="18"/>
      <c r="K84" s="19"/>
      <c r="L84" s="19"/>
      <c r="M84" s="5"/>
      <c r="N84" s="20"/>
      <c r="O84" s="21"/>
      <c r="P84" s="22">
        <f t="shared" si="1"/>
        <v>0</v>
      </c>
      <c r="R84" s="25"/>
      <c r="S84" s="30"/>
      <c r="T84" s="24"/>
      <c r="U84" s="24"/>
      <c r="V84" s="31"/>
      <c r="W84" s="31"/>
      <c r="X84" s="32"/>
    </row>
    <row r="85">
      <c r="A85" s="34"/>
      <c r="B85" s="8"/>
      <c r="C85" s="10"/>
      <c r="D85" s="10"/>
      <c r="E85" s="11"/>
      <c r="F85" s="15"/>
      <c r="G85" s="35"/>
      <c r="I85" s="17"/>
      <c r="J85" s="18"/>
      <c r="K85" s="19"/>
      <c r="L85" s="19"/>
      <c r="M85" s="5"/>
      <c r="N85" s="20"/>
      <c r="O85" s="21"/>
      <c r="P85" s="22">
        <f t="shared" si="1"/>
        <v>0</v>
      </c>
      <c r="R85" s="33"/>
      <c r="S85" s="26"/>
      <c r="T85" s="27"/>
      <c r="U85" s="27"/>
      <c r="V85" s="28"/>
      <c r="W85" s="28"/>
      <c r="X85" s="29"/>
    </row>
    <row r="86">
      <c r="A86" s="34"/>
      <c r="B86" s="8"/>
      <c r="C86" s="10"/>
      <c r="D86" s="10"/>
      <c r="E86" s="11"/>
      <c r="F86" s="15"/>
      <c r="G86" s="35"/>
      <c r="I86" s="17"/>
      <c r="J86" s="18"/>
      <c r="K86" s="19"/>
      <c r="L86" s="19"/>
      <c r="M86" s="5"/>
      <c r="N86" s="20"/>
      <c r="O86" s="21"/>
      <c r="P86" s="22">
        <f t="shared" si="1"/>
        <v>0</v>
      </c>
      <c r="R86" s="25"/>
      <c r="S86" s="30"/>
      <c r="T86" s="24"/>
      <c r="U86" s="24"/>
      <c r="V86" s="31"/>
      <c r="W86" s="31"/>
      <c r="X86" s="32"/>
    </row>
    <row r="87">
      <c r="A87" s="34"/>
      <c r="B87" s="8"/>
      <c r="C87" s="10"/>
      <c r="D87" s="10"/>
      <c r="E87" s="11"/>
      <c r="F87" s="15"/>
      <c r="G87" s="35"/>
      <c r="I87" s="17"/>
      <c r="J87" s="18"/>
      <c r="K87" s="19"/>
      <c r="L87" s="19"/>
      <c r="M87" s="5"/>
      <c r="N87" s="20"/>
      <c r="O87" s="21"/>
      <c r="P87" s="22">
        <f t="shared" si="1"/>
        <v>0</v>
      </c>
      <c r="R87" s="25"/>
      <c r="S87" s="30"/>
      <c r="T87" s="24"/>
      <c r="U87" s="24"/>
      <c r="V87" s="31"/>
      <c r="W87" s="31"/>
      <c r="X87" s="32"/>
    </row>
    <row r="88">
      <c r="A88" s="34"/>
      <c r="B88" s="8"/>
      <c r="C88" s="10"/>
      <c r="D88" s="10"/>
      <c r="E88" s="11"/>
      <c r="F88" s="15"/>
      <c r="G88" s="35"/>
      <c r="I88" s="17"/>
      <c r="J88" s="18"/>
      <c r="K88" s="19"/>
      <c r="L88" s="19"/>
      <c r="M88" s="5"/>
      <c r="N88" s="20"/>
      <c r="O88" s="21"/>
      <c r="P88" s="22">
        <f t="shared" si="1"/>
        <v>0</v>
      </c>
      <c r="R88" s="25"/>
      <c r="S88" s="30"/>
      <c r="T88" s="24"/>
      <c r="U88" s="24"/>
      <c r="V88" s="31"/>
      <c r="W88" s="31"/>
      <c r="X88" s="32"/>
    </row>
    <row r="89">
      <c r="A89" s="34"/>
      <c r="B89" s="8"/>
      <c r="C89" s="10"/>
      <c r="D89" s="10"/>
      <c r="E89" s="11"/>
      <c r="F89" s="15"/>
      <c r="G89" s="35"/>
      <c r="I89" s="17"/>
      <c r="J89" s="18"/>
      <c r="K89" s="19"/>
      <c r="L89" s="19"/>
      <c r="M89" s="5"/>
      <c r="N89" s="20"/>
      <c r="O89" s="21"/>
      <c r="P89" s="22">
        <f t="shared" si="1"/>
        <v>0</v>
      </c>
      <c r="R89" s="25"/>
      <c r="S89" s="30"/>
      <c r="T89" s="24"/>
      <c r="U89" s="24"/>
      <c r="V89" s="31"/>
      <c r="W89" s="31"/>
      <c r="X89" s="32"/>
    </row>
    <row r="90">
      <c r="A90" s="34"/>
      <c r="B90" s="8"/>
      <c r="C90" s="10"/>
      <c r="D90" s="10"/>
      <c r="E90" s="11"/>
      <c r="F90" s="15"/>
      <c r="G90" s="35"/>
      <c r="I90" s="17"/>
      <c r="J90" s="18"/>
      <c r="K90" s="19"/>
      <c r="L90" s="19"/>
      <c r="M90" s="5"/>
      <c r="N90" s="20"/>
      <c r="O90" s="21"/>
      <c r="P90" s="22">
        <f t="shared" si="1"/>
        <v>0</v>
      </c>
      <c r="R90" s="33"/>
      <c r="S90" s="26"/>
      <c r="T90" s="27"/>
      <c r="U90" s="27"/>
      <c r="V90" s="28"/>
      <c r="W90" s="28"/>
      <c r="X90" s="29"/>
    </row>
    <row r="91">
      <c r="A91" s="34"/>
      <c r="B91" s="8"/>
      <c r="C91" s="10"/>
      <c r="D91" s="10"/>
      <c r="E91" s="11"/>
      <c r="F91" s="15"/>
      <c r="G91" s="35"/>
      <c r="I91" s="17"/>
      <c r="J91" s="18"/>
      <c r="K91" s="19"/>
      <c r="L91" s="19"/>
      <c r="M91" s="5"/>
      <c r="N91" s="20"/>
      <c r="O91" s="21"/>
      <c r="P91" s="22">
        <f t="shared" si="1"/>
        <v>0</v>
      </c>
      <c r="R91" s="25"/>
      <c r="S91" s="30"/>
      <c r="T91" s="24"/>
      <c r="U91" s="24"/>
      <c r="V91" s="31"/>
      <c r="W91" s="31"/>
      <c r="X91" s="32"/>
    </row>
    <row r="92">
      <c r="A92" s="34"/>
      <c r="B92" s="8"/>
      <c r="C92" s="10"/>
      <c r="D92" s="10"/>
      <c r="E92" s="11"/>
      <c r="F92" s="15"/>
      <c r="G92" s="35"/>
      <c r="I92" s="17"/>
      <c r="J92" s="18"/>
      <c r="K92" s="19"/>
      <c r="L92" s="19"/>
      <c r="M92" s="5"/>
      <c r="N92" s="37"/>
      <c r="O92" s="38"/>
      <c r="P92" s="22">
        <f t="shared" si="1"/>
        <v>0</v>
      </c>
      <c r="R92" s="25"/>
      <c r="S92" s="30"/>
      <c r="T92" s="24"/>
      <c r="U92" s="24"/>
      <c r="V92" s="31"/>
      <c r="W92" s="31"/>
      <c r="X92" s="32"/>
    </row>
    <row r="93">
      <c r="A93" s="34"/>
      <c r="B93" s="8"/>
      <c r="C93" s="10"/>
      <c r="D93" s="10"/>
      <c r="E93" s="11"/>
      <c r="F93" s="15"/>
      <c r="G93" s="35"/>
      <c r="I93" s="17"/>
      <c r="J93" s="18"/>
      <c r="K93" s="19"/>
      <c r="L93" s="19"/>
      <c r="M93" s="5"/>
      <c r="N93" s="20"/>
      <c r="O93" s="21"/>
      <c r="P93" s="22">
        <f t="shared" si="1"/>
        <v>0</v>
      </c>
      <c r="R93" s="25"/>
      <c r="S93" s="30"/>
      <c r="T93" s="24"/>
      <c r="U93" s="24"/>
      <c r="V93" s="31"/>
      <c r="W93" s="31"/>
      <c r="X93" s="32"/>
    </row>
    <row r="94">
      <c r="A94" s="34"/>
      <c r="B94" s="8"/>
      <c r="C94" s="10"/>
      <c r="D94" s="10"/>
      <c r="E94" s="11"/>
      <c r="F94" s="15"/>
      <c r="G94" s="35"/>
      <c r="I94" s="17"/>
      <c r="J94" s="18"/>
      <c r="K94" s="19"/>
      <c r="L94" s="19"/>
      <c r="M94" s="5"/>
      <c r="N94" s="20"/>
      <c r="O94" s="21"/>
      <c r="P94" s="22">
        <f t="shared" si="1"/>
        <v>0</v>
      </c>
      <c r="R94" s="33"/>
      <c r="S94" s="26"/>
      <c r="T94" s="27"/>
      <c r="U94" s="27"/>
      <c r="V94" s="28"/>
      <c r="W94" s="28"/>
      <c r="X94" s="29"/>
    </row>
    <row r="95">
      <c r="A95" s="34"/>
      <c r="B95" s="8"/>
      <c r="C95" s="10"/>
      <c r="D95" s="10"/>
      <c r="E95" s="11"/>
      <c r="F95" s="15"/>
      <c r="G95" s="35"/>
      <c r="I95" s="17"/>
      <c r="J95" s="18"/>
      <c r="K95" s="19"/>
      <c r="L95" s="19"/>
      <c r="M95" s="5"/>
      <c r="N95" s="5"/>
      <c r="O95" s="21"/>
      <c r="P95" s="22">
        <f t="shared" si="1"/>
        <v>0</v>
      </c>
      <c r="R95" s="25"/>
      <c r="S95" s="30"/>
      <c r="T95" s="24"/>
      <c r="U95" s="24"/>
      <c r="V95" s="31"/>
      <c r="W95" s="31"/>
      <c r="X95" s="32"/>
    </row>
    <row r="96">
      <c r="A96" s="34"/>
      <c r="B96" s="8"/>
      <c r="C96" s="10"/>
      <c r="D96" s="10"/>
      <c r="E96" s="11"/>
      <c r="F96" s="15"/>
      <c r="G96" s="35"/>
      <c r="I96" s="17"/>
      <c r="J96" s="18"/>
      <c r="K96" s="19"/>
      <c r="L96" s="19"/>
      <c r="M96" s="5"/>
      <c r="N96" s="20"/>
      <c r="O96" s="21"/>
      <c r="P96" s="22">
        <f t="shared" si="1"/>
        <v>0</v>
      </c>
      <c r="R96" s="17"/>
      <c r="S96" s="18"/>
      <c r="T96" s="19"/>
      <c r="U96" s="19"/>
      <c r="V96" s="5"/>
      <c r="W96" s="20"/>
      <c r="X96" s="21"/>
    </row>
    <row r="97">
      <c r="A97" s="34"/>
      <c r="B97" s="8"/>
      <c r="C97" s="10"/>
      <c r="D97" s="10"/>
      <c r="E97" s="11"/>
      <c r="F97" s="15"/>
      <c r="G97" s="35"/>
      <c r="I97" s="17"/>
      <c r="J97" s="18"/>
      <c r="K97" s="19"/>
      <c r="L97" s="19"/>
      <c r="M97" s="5"/>
      <c r="N97" s="5"/>
      <c r="O97" s="21"/>
      <c r="P97" s="22">
        <f t="shared" si="1"/>
        <v>0</v>
      </c>
      <c r="R97" s="17"/>
      <c r="S97" s="18"/>
      <c r="T97" s="19"/>
      <c r="U97" s="19"/>
      <c r="V97" s="5"/>
      <c r="W97" s="20"/>
      <c r="X97" s="21"/>
    </row>
    <row r="98">
      <c r="A98" s="34"/>
      <c r="B98" s="8"/>
      <c r="C98" s="10"/>
      <c r="D98" s="10"/>
      <c r="E98" s="11"/>
      <c r="F98" s="15"/>
      <c r="G98" s="35"/>
      <c r="I98" s="17"/>
      <c r="J98" s="18"/>
      <c r="K98" s="19"/>
      <c r="L98" s="19"/>
      <c r="M98" s="5"/>
      <c r="N98" s="20"/>
      <c r="O98" s="21"/>
      <c r="P98" s="22">
        <f t="shared" si="1"/>
        <v>0</v>
      </c>
      <c r="R98" s="17"/>
      <c r="S98" s="18"/>
      <c r="T98" s="19"/>
      <c r="U98" s="19"/>
      <c r="V98" s="5"/>
      <c r="W98" s="20"/>
      <c r="X98" s="21"/>
    </row>
    <row r="99">
      <c r="A99" s="34"/>
      <c r="B99" s="8"/>
      <c r="C99" s="10"/>
      <c r="D99" s="10"/>
      <c r="E99" s="11"/>
      <c r="F99" s="15"/>
      <c r="G99" s="35"/>
      <c r="I99" s="17"/>
      <c r="J99" s="18"/>
      <c r="K99" s="19"/>
      <c r="L99" s="19"/>
      <c r="M99" s="5"/>
      <c r="N99" s="5"/>
      <c r="O99" s="21"/>
      <c r="P99" s="22">
        <f t="shared" si="1"/>
        <v>0</v>
      </c>
      <c r="R99" s="17"/>
      <c r="S99" s="18"/>
      <c r="T99" s="19"/>
      <c r="U99" s="19"/>
      <c r="V99" s="5"/>
      <c r="W99" s="20"/>
      <c r="X99" s="21"/>
    </row>
    <row r="100">
      <c r="A100" s="34"/>
      <c r="B100" s="8"/>
      <c r="C100" s="10"/>
      <c r="D100" s="10"/>
      <c r="E100" s="11"/>
      <c r="F100" s="15"/>
      <c r="G100" s="35"/>
      <c r="I100" s="17"/>
      <c r="J100" s="18"/>
      <c r="K100" s="39"/>
      <c r="L100" s="19"/>
      <c r="M100" s="5"/>
      <c r="N100" s="20"/>
      <c r="O100" s="21"/>
      <c r="P100" s="22">
        <f t="shared" si="1"/>
        <v>0</v>
      </c>
      <c r="R100" s="17"/>
      <c r="S100" s="18"/>
      <c r="T100" s="19"/>
      <c r="U100" s="19"/>
      <c r="V100" s="5"/>
      <c r="W100" s="20"/>
      <c r="X100" s="21"/>
    </row>
    <row r="101">
      <c r="A101" s="34"/>
      <c r="B101" s="8"/>
      <c r="C101" s="10"/>
      <c r="D101" s="10"/>
      <c r="E101" s="11"/>
      <c r="F101" s="15"/>
      <c r="G101" s="35"/>
      <c r="I101" s="17"/>
      <c r="J101" s="18"/>
      <c r="K101" s="39"/>
      <c r="L101" s="19"/>
      <c r="M101" s="5"/>
      <c r="N101" s="20"/>
      <c r="O101" s="21"/>
      <c r="P101" s="22">
        <f t="shared" si="1"/>
        <v>0</v>
      </c>
      <c r="R101" s="17"/>
      <c r="S101" s="18"/>
      <c r="T101" s="19"/>
      <c r="U101" s="19"/>
      <c r="V101" s="5"/>
      <c r="W101" s="5"/>
      <c r="X101" s="21"/>
    </row>
    <row r="102">
      <c r="A102" s="34"/>
      <c r="B102" s="8"/>
      <c r="C102" s="10"/>
      <c r="D102" s="10"/>
      <c r="E102" s="11"/>
      <c r="F102" s="15"/>
      <c r="G102" s="35"/>
      <c r="I102" s="17"/>
      <c r="J102" s="18"/>
      <c r="K102" s="39"/>
      <c r="L102" s="19"/>
      <c r="M102" s="5"/>
      <c r="N102" s="20"/>
      <c r="O102" s="21"/>
      <c r="P102" s="22">
        <f t="shared" si="1"/>
        <v>0</v>
      </c>
      <c r="R102" s="17"/>
      <c r="S102" s="18"/>
      <c r="T102" s="19"/>
      <c r="U102" s="19"/>
      <c r="V102" s="5"/>
      <c r="W102" s="20"/>
      <c r="X102" s="21"/>
    </row>
    <row r="103">
      <c r="A103" s="34"/>
      <c r="B103" s="8"/>
      <c r="C103" s="10"/>
      <c r="D103" s="10"/>
      <c r="E103" s="11"/>
      <c r="F103" s="15"/>
      <c r="G103" s="35"/>
      <c r="I103" s="17"/>
      <c r="J103" s="18"/>
      <c r="K103" s="39"/>
      <c r="L103" s="19"/>
      <c r="M103" s="5"/>
      <c r="N103" s="5"/>
      <c r="O103" s="21"/>
      <c r="P103" s="22">
        <f t="shared" si="1"/>
        <v>0</v>
      </c>
      <c r="R103" s="17"/>
      <c r="S103" s="18"/>
      <c r="T103" s="19"/>
      <c r="U103" s="19"/>
      <c r="V103" s="5"/>
      <c r="W103" s="20"/>
      <c r="X103" s="21"/>
    </row>
    <row r="104">
      <c r="A104" s="34"/>
      <c r="B104" s="8"/>
      <c r="C104" s="10"/>
      <c r="D104" s="10"/>
      <c r="E104" s="11"/>
      <c r="F104" s="15"/>
      <c r="G104" s="35"/>
      <c r="I104" s="17"/>
      <c r="J104" s="18"/>
      <c r="K104" s="39"/>
      <c r="L104" s="19"/>
      <c r="M104" s="5"/>
      <c r="N104" s="20"/>
      <c r="O104" s="21"/>
      <c r="P104" s="22">
        <f t="shared" si="1"/>
        <v>0</v>
      </c>
      <c r="R104" s="17"/>
      <c r="S104" s="18"/>
      <c r="T104" s="19"/>
      <c r="U104" s="19"/>
      <c r="V104" s="5"/>
      <c r="W104" s="20"/>
      <c r="X104" s="21"/>
    </row>
    <row r="105">
      <c r="A105" s="34"/>
      <c r="B105" s="8"/>
      <c r="C105" s="10"/>
      <c r="D105" s="10"/>
      <c r="E105" s="11"/>
      <c r="F105" s="15"/>
      <c r="G105" s="35"/>
      <c r="I105" s="17"/>
      <c r="J105" s="18"/>
      <c r="K105" s="19"/>
      <c r="L105" s="19"/>
      <c r="M105" s="5"/>
      <c r="N105" s="20"/>
      <c r="O105" s="21"/>
      <c r="P105" s="22">
        <f t="shared" si="1"/>
        <v>0</v>
      </c>
      <c r="R105" s="17"/>
      <c r="S105" s="18"/>
      <c r="T105" s="19"/>
      <c r="U105" s="19"/>
      <c r="V105" s="5"/>
      <c r="W105" s="5"/>
      <c r="X105" s="21"/>
    </row>
    <row r="106">
      <c r="A106" s="34"/>
      <c r="B106" s="8"/>
      <c r="C106" s="10"/>
      <c r="D106" s="10"/>
      <c r="E106" s="11"/>
      <c r="F106" s="15"/>
      <c r="G106" s="35"/>
      <c r="I106" s="17"/>
      <c r="J106" s="18"/>
      <c r="K106" s="19"/>
      <c r="L106" s="19"/>
      <c r="M106" s="5"/>
      <c r="N106" s="20"/>
      <c r="O106" s="21"/>
      <c r="P106" s="22">
        <f t="shared" si="1"/>
        <v>0</v>
      </c>
      <c r="R106" s="17"/>
      <c r="S106" s="18"/>
      <c r="T106" s="39"/>
      <c r="U106" s="19"/>
      <c r="V106" s="5"/>
      <c r="W106" s="20"/>
      <c r="X106" s="21"/>
    </row>
    <row r="107">
      <c r="A107" s="34"/>
      <c r="B107" s="8"/>
      <c r="C107" s="10"/>
      <c r="D107" s="10"/>
      <c r="E107" s="11"/>
      <c r="F107" s="15"/>
      <c r="G107" s="35"/>
      <c r="I107" s="17"/>
      <c r="J107" s="18"/>
      <c r="K107" s="19"/>
      <c r="L107" s="19"/>
      <c r="M107" s="5"/>
      <c r="N107" s="20"/>
      <c r="O107" s="21"/>
      <c r="P107" s="22">
        <f t="shared" si="1"/>
        <v>0</v>
      </c>
      <c r="R107" s="17"/>
      <c r="S107" s="18"/>
      <c r="T107" s="39"/>
      <c r="U107" s="19"/>
      <c r="V107" s="5"/>
      <c r="W107" s="20"/>
      <c r="X107" s="21"/>
    </row>
    <row r="108">
      <c r="A108" s="34"/>
      <c r="B108" s="8"/>
      <c r="C108" s="10"/>
      <c r="D108" s="10"/>
      <c r="E108" s="11"/>
      <c r="F108" s="15"/>
      <c r="G108" s="35"/>
      <c r="I108" s="17"/>
      <c r="J108" s="18"/>
      <c r="K108" s="19"/>
      <c r="L108" s="19"/>
      <c r="M108" s="5"/>
      <c r="N108" s="20"/>
      <c r="O108" s="21"/>
      <c r="P108" s="22">
        <f t="shared" si="1"/>
        <v>0</v>
      </c>
      <c r="R108" s="17"/>
      <c r="S108" s="18"/>
      <c r="T108" s="39"/>
      <c r="U108" s="19"/>
      <c r="V108" s="5"/>
      <c r="W108" s="5"/>
      <c r="X108" s="21"/>
    </row>
    <row r="109">
      <c r="A109" s="34"/>
      <c r="B109" s="8"/>
      <c r="C109" s="10"/>
      <c r="D109" s="10"/>
      <c r="E109" s="11"/>
      <c r="F109" s="15"/>
      <c r="G109" s="35"/>
      <c r="I109" s="17"/>
      <c r="J109" s="18"/>
      <c r="K109" s="19"/>
      <c r="L109" s="19"/>
      <c r="M109" s="5"/>
      <c r="N109" s="5"/>
      <c r="O109" s="21"/>
      <c r="P109" s="22">
        <f t="shared" si="1"/>
        <v>0</v>
      </c>
      <c r="R109" s="17"/>
      <c r="S109" s="18"/>
      <c r="T109" s="39"/>
      <c r="U109" s="19"/>
      <c r="V109" s="5"/>
      <c r="W109" s="20"/>
      <c r="X109" s="21"/>
    </row>
    <row r="110">
      <c r="A110" s="34"/>
      <c r="B110" s="8"/>
      <c r="C110" s="10"/>
      <c r="D110" s="10"/>
      <c r="E110" s="11"/>
      <c r="F110" s="15"/>
      <c r="G110" s="35"/>
      <c r="I110" s="17"/>
      <c r="J110" s="18"/>
      <c r="K110" s="19"/>
      <c r="L110" s="19"/>
      <c r="M110" s="5"/>
      <c r="N110" s="20"/>
      <c r="O110" s="21"/>
      <c r="P110" s="22">
        <f t="shared" si="1"/>
        <v>0</v>
      </c>
      <c r="R110" s="17"/>
      <c r="S110" s="18"/>
      <c r="T110" s="39"/>
      <c r="U110" s="19"/>
      <c r="V110" s="5"/>
      <c r="W110" s="5"/>
      <c r="X110" s="21"/>
    </row>
    <row r="111">
      <c r="A111" s="34"/>
      <c r="B111" s="8"/>
      <c r="C111" s="10"/>
      <c r="D111" s="10"/>
      <c r="E111" s="11"/>
      <c r="F111" s="15"/>
      <c r="G111" s="35"/>
      <c r="I111" s="17"/>
      <c r="J111" s="18"/>
      <c r="K111" s="19"/>
      <c r="L111" s="19"/>
      <c r="M111" s="5"/>
      <c r="N111" s="20"/>
      <c r="O111" s="21"/>
      <c r="P111" s="22">
        <f t="shared" si="1"/>
        <v>0</v>
      </c>
      <c r="R111" s="17"/>
      <c r="S111" s="18"/>
      <c r="T111" s="39"/>
      <c r="U111" s="19"/>
      <c r="V111" s="5"/>
      <c r="W111" s="20"/>
      <c r="X111" s="21"/>
    </row>
    <row r="112">
      <c r="A112" s="34"/>
      <c r="B112" s="8"/>
      <c r="C112" s="10"/>
      <c r="D112" s="10"/>
      <c r="E112" s="11"/>
      <c r="F112" s="15"/>
      <c r="G112" s="35"/>
      <c r="I112" s="17"/>
      <c r="J112" s="18"/>
      <c r="K112" s="19"/>
      <c r="L112" s="19"/>
      <c r="M112" s="5"/>
      <c r="N112" s="20"/>
      <c r="O112" s="21"/>
      <c r="P112" s="22">
        <f t="shared" si="1"/>
        <v>0</v>
      </c>
      <c r="R112" s="17"/>
      <c r="S112" s="18"/>
      <c r="T112" s="39"/>
      <c r="U112" s="19"/>
      <c r="V112" s="5"/>
      <c r="W112" s="20"/>
      <c r="X112" s="21"/>
    </row>
    <row r="113">
      <c r="A113" s="34"/>
      <c r="B113" s="8"/>
      <c r="C113" s="10"/>
      <c r="D113" s="10"/>
      <c r="E113" s="11"/>
      <c r="F113" s="15"/>
      <c r="G113" s="35"/>
      <c r="I113" s="17"/>
      <c r="J113" s="18"/>
      <c r="K113" s="19"/>
      <c r="L113" s="19"/>
      <c r="M113" s="5"/>
      <c r="N113" s="5"/>
      <c r="O113" s="21"/>
      <c r="P113" s="22">
        <f t="shared" si="1"/>
        <v>0</v>
      </c>
      <c r="R113" s="17"/>
      <c r="S113" s="18"/>
      <c r="T113" s="39"/>
      <c r="U113" s="19"/>
      <c r="V113" s="5"/>
      <c r="W113" s="20"/>
      <c r="X113" s="21"/>
    </row>
    <row r="114">
      <c r="A114" s="34"/>
      <c r="B114" s="8"/>
      <c r="C114" s="10"/>
      <c r="D114" s="10"/>
      <c r="E114" s="11"/>
      <c r="F114" s="15"/>
      <c r="G114" s="35"/>
      <c r="I114" s="17"/>
      <c r="J114" s="18"/>
      <c r="K114" s="19"/>
      <c r="L114" s="19"/>
      <c r="M114" s="5"/>
      <c r="N114" s="20"/>
      <c r="O114" s="21"/>
      <c r="P114" s="22">
        <f t="shared" si="1"/>
        <v>0</v>
      </c>
      <c r="R114" s="17"/>
      <c r="S114" s="18"/>
      <c r="T114" s="39"/>
      <c r="U114" s="19"/>
      <c r="V114" s="5"/>
      <c r="W114" s="20"/>
      <c r="X114" s="21"/>
    </row>
    <row r="115">
      <c r="A115" s="34"/>
      <c r="B115" s="8"/>
      <c r="C115" s="10"/>
      <c r="D115" s="10"/>
      <c r="E115" s="11"/>
      <c r="F115" s="15"/>
      <c r="G115" s="35"/>
      <c r="I115" s="17"/>
      <c r="J115" s="18"/>
      <c r="K115" s="19"/>
      <c r="L115" s="19"/>
      <c r="M115" s="5"/>
      <c r="N115" s="5"/>
      <c r="O115" s="21"/>
      <c r="P115" s="22">
        <f t="shared" si="1"/>
        <v>0</v>
      </c>
      <c r="R115" s="17"/>
      <c r="S115" s="18"/>
      <c r="T115" s="39"/>
      <c r="U115" s="19"/>
      <c r="V115" s="5"/>
      <c r="W115" s="5"/>
      <c r="X115" s="21"/>
    </row>
    <row r="116">
      <c r="A116" s="34"/>
      <c r="B116" s="8"/>
      <c r="C116" s="10"/>
      <c r="D116" s="10"/>
      <c r="E116" s="11"/>
      <c r="F116" s="15"/>
      <c r="G116" s="35"/>
      <c r="I116" s="17"/>
      <c r="J116" s="18"/>
      <c r="K116" s="39"/>
      <c r="L116" s="19"/>
      <c r="M116" s="5"/>
      <c r="N116" s="20"/>
      <c r="O116" s="21"/>
      <c r="P116" s="22">
        <f t="shared" si="1"/>
        <v>0</v>
      </c>
      <c r="R116" s="17"/>
      <c r="S116" s="18"/>
      <c r="T116" s="19"/>
      <c r="U116" s="19"/>
      <c r="V116" s="5"/>
      <c r="W116" s="20"/>
      <c r="X116" s="21"/>
    </row>
    <row r="117">
      <c r="A117" s="34"/>
      <c r="B117" s="8"/>
      <c r="C117" s="10"/>
      <c r="D117" s="10"/>
      <c r="E117" s="11"/>
      <c r="F117" s="15"/>
      <c r="G117" s="35"/>
      <c r="I117" s="17"/>
      <c r="J117" s="18"/>
      <c r="K117" s="39"/>
      <c r="L117" s="19"/>
      <c r="M117" s="5"/>
      <c r="N117" s="20"/>
      <c r="O117" s="21"/>
      <c r="P117" s="22">
        <f t="shared" si="1"/>
        <v>0</v>
      </c>
      <c r="R117" s="17"/>
      <c r="S117" s="18"/>
      <c r="T117" s="19"/>
      <c r="U117" s="19"/>
      <c r="V117" s="5"/>
      <c r="W117" s="20"/>
      <c r="X117" s="21"/>
    </row>
    <row r="118">
      <c r="A118" s="34"/>
      <c r="B118" s="8"/>
      <c r="C118" s="10"/>
      <c r="D118" s="10"/>
      <c r="E118" s="11"/>
      <c r="F118" s="15"/>
      <c r="G118" s="35"/>
      <c r="I118" s="17"/>
      <c r="J118" s="18"/>
      <c r="K118" s="39"/>
      <c r="L118" s="19"/>
      <c r="M118" s="5"/>
      <c r="N118" s="20"/>
      <c r="O118" s="21"/>
      <c r="P118" s="22">
        <f t="shared" si="1"/>
        <v>0</v>
      </c>
      <c r="R118" s="17"/>
      <c r="S118" s="18"/>
      <c r="T118" s="19"/>
      <c r="U118" s="19"/>
      <c r="V118" s="5"/>
      <c r="W118" s="20"/>
      <c r="X118" s="21"/>
    </row>
    <row r="119">
      <c r="A119" s="34"/>
      <c r="B119" s="8"/>
      <c r="C119" s="10"/>
      <c r="D119" s="10"/>
      <c r="E119" s="11"/>
      <c r="F119" s="15"/>
      <c r="G119" s="35"/>
      <c r="I119" s="17"/>
      <c r="J119" s="18"/>
      <c r="K119" s="39"/>
      <c r="L119" s="19"/>
      <c r="M119" s="5"/>
      <c r="N119" s="5"/>
      <c r="O119" s="21"/>
      <c r="P119" s="22">
        <f t="shared" si="1"/>
        <v>0</v>
      </c>
      <c r="R119" s="17"/>
      <c r="S119" s="18"/>
      <c r="T119" s="19"/>
      <c r="U119" s="19"/>
      <c r="V119" s="5"/>
      <c r="W119" s="20"/>
      <c r="X119" s="21"/>
    </row>
    <row r="120">
      <c r="A120" s="34"/>
      <c r="B120" s="8"/>
      <c r="C120" s="10"/>
      <c r="D120" s="10"/>
      <c r="E120" s="11"/>
      <c r="F120" s="15"/>
      <c r="G120" s="35"/>
      <c r="I120" s="17"/>
      <c r="J120" s="18"/>
      <c r="K120" s="39"/>
      <c r="L120" s="19"/>
      <c r="M120" s="5"/>
      <c r="N120" s="20"/>
      <c r="O120" s="21"/>
      <c r="P120" s="22">
        <f t="shared" si="1"/>
        <v>0</v>
      </c>
      <c r="R120" s="17"/>
      <c r="S120" s="18"/>
      <c r="T120" s="19"/>
      <c r="U120" s="19"/>
      <c r="V120" s="5"/>
      <c r="W120" s="20"/>
      <c r="X120" s="21"/>
    </row>
    <row r="121">
      <c r="A121" s="34"/>
      <c r="B121" s="8"/>
      <c r="C121" s="10"/>
      <c r="D121" s="10"/>
      <c r="E121" s="11"/>
      <c r="F121" s="15"/>
      <c r="G121" s="35"/>
      <c r="I121" s="17"/>
      <c r="J121" s="18"/>
      <c r="K121" s="39"/>
      <c r="L121" s="19"/>
      <c r="M121" s="5"/>
      <c r="N121" s="20"/>
      <c r="O121" s="21"/>
      <c r="P121" s="22">
        <f t="shared" si="1"/>
        <v>0</v>
      </c>
      <c r="R121" s="17"/>
      <c r="S121" s="18"/>
      <c r="T121" s="39"/>
      <c r="U121" s="19"/>
      <c r="V121" s="5"/>
      <c r="W121" s="20"/>
      <c r="X121" s="21"/>
    </row>
    <row r="122">
      <c r="A122" s="34"/>
      <c r="B122" s="8"/>
      <c r="C122" s="10"/>
      <c r="D122" s="10"/>
      <c r="E122" s="11"/>
      <c r="F122" s="15"/>
      <c r="G122" s="35"/>
      <c r="I122" s="17"/>
      <c r="J122" s="18"/>
      <c r="K122" s="39"/>
      <c r="L122" s="19"/>
      <c r="M122" s="5"/>
      <c r="N122" s="20"/>
      <c r="O122" s="21"/>
      <c r="P122" s="22">
        <f t="shared" si="1"/>
        <v>0</v>
      </c>
      <c r="R122" s="17"/>
      <c r="S122" s="18"/>
      <c r="T122" s="39"/>
      <c r="U122" s="19"/>
      <c r="V122" s="5"/>
      <c r="W122" s="20"/>
      <c r="X122" s="21"/>
    </row>
    <row r="123">
      <c r="A123" s="34"/>
      <c r="B123" s="8"/>
      <c r="C123" s="10"/>
      <c r="D123" s="10"/>
      <c r="E123" s="11"/>
      <c r="F123" s="15"/>
      <c r="G123" s="35"/>
      <c r="I123" s="17"/>
      <c r="J123" s="18"/>
      <c r="K123" s="39"/>
      <c r="L123" s="19"/>
      <c r="M123" s="5"/>
      <c r="N123" s="20"/>
      <c r="O123" s="21"/>
      <c r="P123" s="22">
        <f t="shared" si="1"/>
        <v>0</v>
      </c>
      <c r="R123" s="17"/>
      <c r="S123" s="18"/>
      <c r="T123" s="39"/>
      <c r="U123" s="19"/>
      <c r="V123" s="5"/>
      <c r="W123" s="20"/>
      <c r="X123" s="21"/>
    </row>
    <row r="124">
      <c r="A124" s="34"/>
      <c r="B124" s="8"/>
      <c r="C124" s="10"/>
      <c r="D124" s="10"/>
      <c r="E124" s="11"/>
      <c r="F124" s="15"/>
      <c r="G124" s="35"/>
      <c r="I124" s="17"/>
      <c r="J124" s="18"/>
      <c r="K124" s="39"/>
      <c r="L124" s="19"/>
      <c r="M124" s="5"/>
      <c r="N124" s="20"/>
      <c r="O124" s="21"/>
      <c r="P124" s="22">
        <f t="shared" si="1"/>
        <v>0</v>
      </c>
      <c r="R124" s="17"/>
      <c r="S124" s="18"/>
      <c r="T124" s="39"/>
      <c r="U124" s="19"/>
      <c r="V124" s="5"/>
      <c r="W124" s="20"/>
      <c r="X124" s="21"/>
    </row>
    <row r="125">
      <c r="A125" s="34"/>
      <c r="B125" s="8"/>
      <c r="C125" s="10"/>
      <c r="D125" s="10"/>
      <c r="E125" s="11"/>
      <c r="F125" s="15"/>
      <c r="G125" s="35"/>
      <c r="I125" s="17"/>
      <c r="J125" s="18"/>
      <c r="K125" s="39"/>
      <c r="L125" s="19"/>
      <c r="M125" s="5"/>
      <c r="N125" s="20"/>
      <c r="O125" s="21"/>
      <c r="P125" s="22">
        <f t="shared" si="1"/>
        <v>0</v>
      </c>
      <c r="R125" s="17"/>
      <c r="S125" s="18"/>
      <c r="T125" s="39"/>
      <c r="U125" s="19"/>
      <c r="V125" s="5"/>
      <c r="W125" s="5"/>
      <c r="X125" s="21"/>
    </row>
    <row r="126">
      <c r="A126" s="34"/>
      <c r="B126" s="8"/>
      <c r="C126" s="10"/>
      <c r="D126" s="10"/>
      <c r="E126" s="11"/>
      <c r="F126" s="15"/>
      <c r="G126" s="35"/>
      <c r="I126" s="17"/>
      <c r="J126" s="18"/>
      <c r="K126" s="39"/>
      <c r="L126" s="19"/>
      <c r="M126" s="5"/>
      <c r="N126" s="5"/>
      <c r="O126" s="21"/>
      <c r="P126" s="22">
        <f t="shared" si="1"/>
        <v>0</v>
      </c>
      <c r="R126" s="17"/>
      <c r="S126" s="18"/>
      <c r="T126" s="39"/>
      <c r="U126" s="19"/>
      <c r="V126" s="5"/>
      <c r="W126" s="20"/>
      <c r="X126" s="21"/>
    </row>
    <row r="127">
      <c r="A127" s="34"/>
      <c r="B127" s="8"/>
      <c r="C127" s="10"/>
      <c r="D127" s="10"/>
      <c r="E127" s="11"/>
      <c r="F127" s="15"/>
      <c r="G127" s="35"/>
      <c r="I127" s="17"/>
      <c r="J127" s="18"/>
      <c r="K127" s="39"/>
      <c r="L127" s="19"/>
      <c r="M127" s="5"/>
      <c r="N127" s="20"/>
      <c r="O127" s="21"/>
      <c r="P127" s="22">
        <f t="shared" si="1"/>
        <v>0</v>
      </c>
      <c r="R127" s="17"/>
      <c r="S127" s="18"/>
      <c r="T127" s="19"/>
      <c r="U127" s="19"/>
      <c r="V127" s="5"/>
      <c r="W127" s="5"/>
      <c r="X127" s="21"/>
    </row>
    <row r="128">
      <c r="A128" s="34"/>
      <c r="B128" s="8"/>
      <c r="C128" s="10"/>
      <c r="D128" s="10"/>
      <c r="E128" s="11"/>
      <c r="F128" s="15"/>
      <c r="G128" s="35"/>
      <c r="I128" s="17"/>
      <c r="J128" s="18"/>
      <c r="K128" s="39"/>
      <c r="L128" s="19"/>
      <c r="M128" s="5"/>
      <c r="N128" s="5"/>
      <c r="O128" s="21"/>
      <c r="P128" s="22">
        <f t="shared" si="1"/>
        <v>0</v>
      </c>
      <c r="R128" s="17"/>
      <c r="S128" s="18"/>
      <c r="T128" s="19"/>
      <c r="U128" s="19"/>
      <c r="V128" s="5"/>
      <c r="W128" s="20"/>
      <c r="X128" s="21"/>
    </row>
    <row r="129">
      <c r="A129" s="34"/>
      <c r="B129" s="8"/>
      <c r="C129" s="10"/>
      <c r="D129" s="10"/>
      <c r="E129" s="11"/>
      <c r="F129" s="15"/>
      <c r="G129" s="35"/>
      <c r="I129" s="17"/>
      <c r="J129" s="18"/>
      <c r="K129" s="39"/>
      <c r="L129" s="19"/>
      <c r="M129" s="5"/>
      <c r="N129" s="20"/>
      <c r="O129" s="21"/>
      <c r="P129" s="22">
        <f t="shared" si="1"/>
        <v>0</v>
      </c>
      <c r="R129" s="17"/>
      <c r="S129" s="18"/>
      <c r="T129" s="19"/>
      <c r="U129" s="19"/>
      <c r="V129" s="5"/>
      <c r="W129" s="5"/>
      <c r="X129" s="21"/>
    </row>
    <row r="130">
      <c r="A130" s="34"/>
      <c r="B130" s="8"/>
      <c r="C130" s="10"/>
      <c r="D130" s="10"/>
      <c r="E130" s="11"/>
      <c r="F130" s="15"/>
      <c r="G130" s="35"/>
      <c r="I130" s="17"/>
      <c r="J130" s="18"/>
      <c r="K130" s="39"/>
      <c r="L130" s="19"/>
      <c r="M130" s="5"/>
      <c r="N130" s="5"/>
      <c r="O130" s="21"/>
      <c r="P130" s="22">
        <f t="shared" si="1"/>
        <v>0</v>
      </c>
      <c r="R130" s="17"/>
      <c r="S130" s="18"/>
      <c r="T130" s="19"/>
      <c r="U130" s="19"/>
      <c r="V130" s="5"/>
      <c r="W130" s="20"/>
      <c r="X130" s="21"/>
    </row>
    <row r="131">
      <c r="A131" s="34"/>
      <c r="B131" s="8"/>
      <c r="C131" s="10"/>
      <c r="D131" s="10"/>
      <c r="E131" s="11"/>
      <c r="F131" s="15"/>
      <c r="G131" s="35"/>
      <c r="I131" s="17"/>
      <c r="J131" s="18"/>
      <c r="K131" s="39"/>
      <c r="L131" s="19"/>
      <c r="M131" s="5"/>
      <c r="N131" s="20"/>
      <c r="O131" s="21"/>
      <c r="P131" s="22">
        <f t="shared" si="1"/>
        <v>0</v>
      </c>
      <c r="R131" s="17"/>
      <c r="S131" s="18"/>
      <c r="T131" s="19"/>
      <c r="U131" s="19"/>
      <c r="V131" s="5"/>
      <c r="W131" s="20"/>
      <c r="X131" s="21"/>
    </row>
    <row r="132">
      <c r="A132" s="34"/>
      <c r="B132" s="8"/>
      <c r="C132" s="10"/>
      <c r="D132" s="10"/>
      <c r="E132" s="11"/>
      <c r="F132" s="15"/>
      <c r="G132" s="35"/>
      <c r="I132" s="17"/>
      <c r="J132" s="18"/>
      <c r="K132" s="39"/>
      <c r="L132" s="19"/>
      <c r="M132" s="5"/>
      <c r="N132" s="15"/>
      <c r="O132" s="16"/>
      <c r="P132" s="22">
        <f t="shared" si="1"/>
        <v>0</v>
      </c>
      <c r="R132" s="17"/>
      <c r="S132" s="18"/>
      <c r="T132" s="19"/>
      <c r="U132" s="19"/>
      <c r="V132" s="5"/>
      <c r="W132" s="20"/>
      <c r="X132" s="21"/>
    </row>
    <row r="133">
      <c r="A133" s="34"/>
      <c r="B133" s="8"/>
      <c r="C133" s="10"/>
      <c r="D133" s="10"/>
      <c r="E133" s="11"/>
      <c r="F133" s="15"/>
      <c r="G133" s="35"/>
      <c r="I133" s="17"/>
      <c r="J133" s="18"/>
      <c r="K133" s="39"/>
      <c r="L133" s="19"/>
      <c r="M133" s="5"/>
      <c r="N133" s="20"/>
      <c r="O133" s="21"/>
      <c r="P133" s="22">
        <f t="shared" si="1"/>
        <v>0</v>
      </c>
      <c r="R133" s="17"/>
      <c r="S133" s="18"/>
      <c r="T133" s="19"/>
      <c r="U133" s="19"/>
      <c r="V133" s="5"/>
      <c r="W133" s="5"/>
      <c r="X133" s="21"/>
    </row>
    <row r="134">
      <c r="A134" s="34"/>
      <c r="B134" s="8"/>
      <c r="C134" s="10"/>
      <c r="D134" s="10"/>
      <c r="E134" s="11"/>
      <c r="F134" s="15"/>
      <c r="G134" s="35"/>
      <c r="I134" s="17"/>
      <c r="J134" s="18"/>
      <c r="K134" s="39"/>
      <c r="L134" s="19"/>
      <c r="M134" s="5"/>
      <c r="N134" s="20"/>
      <c r="O134" s="21"/>
      <c r="P134" s="22">
        <f t="shared" si="1"/>
        <v>0</v>
      </c>
      <c r="R134" s="17"/>
      <c r="S134" s="18"/>
      <c r="T134" s="19"/>
      <c r="U134" s="19"/>
      <c r="V134" s="5"/>
      <c r="W134" s="15"/>
      <c r="X134" s="16"/>
    </row>
    <row r="135">
      <c r="A135" s="34"/>
      <c r="B135" s="8"/>
      <c r="C135" s="10"/>
      <c r="D135" s="10"/>
      <c r="E135" s="11"/>
      <c r="F135" s="15"/>
      <c r="G135" s="35"/>
      <c r="I135" s="17"/>
      <c r="J135" s="18"/>
      <c r="K135" s="39"/>
      <c r="L135" s="19"/>
      <c r="M135" s="5"/>
      <c r="N135" s="20"/>
      <c r="O135" s="21"/>
      <c r="P135" s="22">
        <f t="shared" si="1"/>
        <v>0</v>
      </c>
      <c r="R135" s="17"/>
      <c r="S135" s="18"/>
      <c r="T135" s="19"/>
      <c r="U135" s="19"/>
      <c r="V135" s="5"/>
      <c r="W135" s="5"/>
      <c r="X135" s="21"/>
    </row>
    <row r="136">
      <c r="A136" s="34"/>
      <c r="B136" s="8"/>
      <c r="C136" s="10"/>
      <c r="D136" s="10"/>
      <c r="E136" s="11"/>
      <c r="F136" s="15"/>
      <c r="G136" s="35"/>
      <c r="I136" s="17"/>
      <c r="J136" s="18"/>
      <c r="K136" s="39"/>
      <c r="L136" s="19"/>
      <c r="M136" s="5"/>
      <c r="N136" s="20"/>
      <c r="O136" s="21"/>
      <c r="P136" s="22">
        <f t="shared" si="1"/>
        <v>0</v>
      </c>
    </row>
    <row r="137">
      <c r="A137" s="34"/>
      <c r="B137" s="8"/>
      <c r="C137" s="10"/>
      <c r="D137" s="10"/>
      <c r="E137" s="11"/>
      <c r="F137" s="15"/>
      <c r="G137" s="35"/>
      <c r="I137" s="17"/>
      <c r="J137" s="18"/>
      <c r="K137" s="39"/>
      <c r="L137" s="19"/>
      <c r="M137" s="5"/>
      <c r="N137" s="20"/>
      <c r="O137" s="21"/>
      <c r="P137" s="22">
        <f t="shared" si="1"/>
        <v>0</v>
      </c>
    </row>
    <row r="138">
      <c r="A138" s="34"/>
      <c r="B138" s="8"/>
      <c r="C138" s="10"/>
      <c r="D138" s="10"/>
      <c r="E138" s="11"/>
      <c r="F138" s="15"/>
      <c r="G138" s="35"/>
      <c r="I138" s="17"/>
      <c r="J138" s="18"/>
      <c r="K138" s="39"/>
      <c r="L138" s="19"/>
      <c r="M138" s="5"/>
      <c r="N138" s="20"/>
      <c r="O138" s="21"/>
      <c r="P138" s="22">
        <f t="shared" si="1"/>
        <v>0</v>
      </c>
    </row>
    <row r="139">
      <c r="A139" s="34"/>
      <c r="B139" s="8"/>
      <c r="C139" s="10"/>
      <c r="D139" s="10"/>
      <c r="E139" s="11"/>
      <c r="F139" s="15"/>
      <c r="G139" s="35"/>
      <c r="I139" s="17"/>
      <c r="J139" s="18"/>
      <c r="K139" s="39"/>
      <c r="L139" s="19"/>
      <c r="M139" s="5"/>
      <c r="N139" s="5"/>
      <c r="O139" s="21"/>
      <c r="P139" s="22">
        <f t="shared" si="1"/>
        <v>0</v>
      </c>
    </row>
    <row r="140">
      <c r="A140" s="34"/>
      <c r="B140" s="8"/>
      <c r="C140" s="10"/>
      <c r="D140" s="10"/>
      <c r="E140" s="11"/>
      <c r="F140" s="15"/>
      <c r="G140" s="35"/>
      <c r="I140" s="17"/>
      <c r="J140" s="18"/>
      <c r="K140" s="39"/>
      <c r="L140" s="19"/>
      <c r="M140" s="5"/>
      <c r="N140" s="20"/>
      <c r="O140" s="21"/>
      <c r="P140" s="22">
        <f t="shared" si="1"/>
        <v>0</v>
      </c>
    </row>
    <row r="141">
      <c r="A141" s="34"/>
      <c r="B141" s="8"/>
      <c r="C141" s="10"/>
      <c r="D141" s="10"/>
      <c r="E141" s="11"/>
      <c r="F141" s="15"/>
      <c r="G141" s="35"/>
      <c r="I141" s="17"/>
      <c r="J141" s="18"/>
      <c r="K141" s="39"/>
      <c r="L141" s="19"/>
      <c r="M141" s="5"/>
      <c r="N141" s="5"/>
      <c r="O141" s="21"/>
      <c r="P141" s="22">
        <f t="shared" si="1"/>
        <v>0</v>
      </c>
    </row>
    <row r="142">
      <c r="A142" s="34"/>
      <c r="B142" s="8"/>
      <c r="C142" s="10"/>
      <c r="D142" s="10"/>
      <c r="E142" s="11"/>
      <c r="F142" s="15"/>
      <c r="G142" s="35"/>
      <c r="I142" s="17"/>
      <c r="J142" s="18"/>
      <c r="K142" s="39"/>
      <c r="L142" s="19"/>
      <c r="M142" s="5"/>
      <c r="N142" s="20"/>
      <c r="O142" s="21"/>
      <c r="P142" s="22">
        <f t="shared" si="1"/>
        <v>0</v>
      </c>
    </row>
    <row r="143">
      <c r="A143" s="34"/>
      <c r="B143" s="8"/>
      <c r="C143" s="10"/>
      <c r="D143" s="10"/>
      <c r="E143" s="11"/>
      <c r="F143" s="15"/>
      <c r="G143" s="35"/>
      <c r="I143" s="17"/>
      <c r="J143" s="18"/>
      <c r="K143" s="39"/>
      <c r="L143" s="19"/>
      <c r="M143" s="5"/>
      <c r="N143" s="20"/>
      <c r="O143" s="21"/>
      <c r="P143" s="22">
        <f t="shared" si="1"/>
        <v>0</v>
      </c>
    </row>
    <row r="144">
      <c r="A144" s="34"/>
      <c r="B144" s="8"/>
      <c r="C144" s="10"/>
      <c r="D144" s="10"/>
      <c r="E144" s="11"/>
      <c r="F144" s="15"/>
      <c r="G144" s="35"/>
      <c r="I144" s="17"/>
      <c r="J144" s="18"/>
      <c r="K144" s="39"/>
      <c r="L144" s="19"/>
      <c r="M144" s="5"/>
      <c r="N144" s="5"/>
      <c r="O144" s="21"/>
      <c r="P144" s="22">
        <f t="shared" si="1"/>
        <v>0</v>
      </c>
    </row>
    <row r="145">
      <c r="A145" s="34"/>
      <c r="B145" s="8"/>
      <c r="C145" s="10"/>
      <c r="D145" s="10"/>
      <c r="E145" s="11"/>
      <c r="F145" s="15"/>
      <c r="G145" s="35"/>
      <c r="I145" s="17"/>
      <c r="J145" s="18"/>
      <c r="K145" s="39"/>
      <c r="L145" s="19"/>
      <c r="M145" s="5"/>
      <c r="N145" s="20"/>
      <c r="O145" s="21"/>
      <c r="P145" s="22">
        <f t="shared" si="1"/>
        <v>0</v>
      </c>
    </row>
    <row r="146">
      <c r="A146" s="34"/>
      <c r="B146" s="8"/>
      <c r="C146" s="10"/>
      <c r="D146" s="10"/>
      <c r="E146" s="11"/>
      <c r="F146" s="15"/>
      <c r="G146" s="35"/>
      <c r="I146" s="17"/>
      <c r="J146" s="18"/>
      <c r="K146" s="39"/>
      <c r="L146" s="19"/>
      <c r="M146" s="5"/>
      <c r="N146" s="5"/>
      <c r="O146" s="21"/>
      <c r="P146" s="22">
        <f t="shared" si="1"/>
        <v>0</v>
      </c>
    </row>
    <row r="147">
      <c r="A147" s="34"/>
      <c r="B147" s="8"/>
      <c r="C147" s="10"/>
      <c r="D147" s="10"/>
      <c r="E147" s="11"/>
      <c r="F147" s="15"/>
      <c r="G147" s="35"/>
      <c r="I147" s="17"/>
      <c r="J147" s="18"/>
      <c r="K147" s="39"/>
      <c r="L147" s="19"/>
      <c r="M147" s="5"/>
      <c r="N147" s="20"/>
      <c r="O147" s="21"/>
      <c r="P147" s="22">
        <f t="shared" si="1"/>
        <v>0</v>
      </c>
    </row>
    <row r="148">
      <c r="A148" s="34"/>
      <c r="B148" s="8"/>
      <c r="C148" s="10"/>
      <c r="D148" s="10"/>
      <c r="E148" s="11"/>
      <c r="F148" s="15"/>
      <c r="G148" s="35"/>
      <c r="I148" s="17"/>
      <c r="J148" s="18"/>
      <c r="K148" s="39"/>
      <c r="L148" s="19"/>
      <c r="M148" s="5"/>
      <c r="N148" s="20"/>
      <c r="O148" s="21"/>
      <c r="P148" s="22">
        <f t="shared" si="1"/>
        <v>0</v>
      </c>
    </row>
    <row r="149">
      <c r="A149" s="34"/>
      <c r="B149" s="8"/>
      <c r="C149" s="10"/>
      <c r="D149" s="10"/>
      <c r="E149" s="11"/>
      <c r="F149" s="15"/>
      <c r="G149" s="35"/>
      <c r="I149" s="17"/>
      <c r="J149" s="18"/>
      <c r="K149" s="39"/>
      <c r="L149" s="19"/>
      <c r="M149" s="5"/>
      <c r="N149" s="20"/>
      <c r="O149" s="21"/>
      <c r="P149" s="22">
        <f t="shared" si="1"/>
        <v>0</v>
      </c>
    </row>
    <row r="150">
      <c r="A150" s="34"/>
      <c r="B150" s="8"/>
      <c r="C150" s="10"/>
      <c r="D150" s="10"/>
      <c r="E150" s="11"/>
      <c r="F150" s="15"/>
      <c r="G150" s="35"/>
      <c r="I150" s="17"/>
      <c r="J150" s="18"/>
      <c r="K150" s="39"/>
      <c r="L150" s="19"/>
      <c r="M150" s="5"/>
      <c r="N150" s="20"/>
      <c r="O150" s="21"/>
      <c r="P150" s="22">
        <f t="shared" si="1"/>
        <v>0</v>
      </c>
    </row>
    <row r="151">
      <c r="A151" s="34"/>
      <c r="B151" s="8"/>
      <c r="C151" s="10"/>
      <c r="D151" s="10"/>
      <c r="E151" s="11"/>
      <c r="F151" s="15"/>
      <c r="G151" s="35"/>
      <c r="I151" s="17"/>
      <c r="J151" s="18"/>
      <c r="K151" s="39"/>
      <c r="L151" s="19"/>
      <c r="M151" s="5"/>
      <c r="N151" s="20"/>
      <c r="O151" s="21"/>
      <c r="P151" s="22">
        <f t="shared" si="1"/>
        <v>0</v>
      </c>
    </row>
    <row r="152">
      <c r="A152" s="34"/>
      <c r="B152" s="8"/>
      <c r="C152" s="10"/>
      <c r="D152" s="10"/>
      <c r="E152" s="11"/>
      <c r="F152" s="15"/>
      <c r="G152" s="35"/>
      <c r="I152" s="17"/>
      <c r="J152" s="18"/>
      <c r="K152" s="39"/>
      <c r="L152" s="19"/>
      <c r="M152" s="5"/>
      <c r="N152" s="20"/>
      <c r="O152" s="21"/>
      <c r="P152" s="22">
        <f t="shared" si="1"/>
        <v>0</v>
      </c>
    </row>
    <row r="153">
      <c r="A153" s="34"/>
      <c r="B153" s="8"/>
      <c r="C153" s="10"/>
      <c r="D153" s="10"/>
      <c r="E153" s="11"/>
      <c r="F153" s="15"/>
      <c r="G153" s="35"/>
      <c r="I153" s="17"/>
      <c r="J153" s="18"/>
      <c r="K153" s="39"/>
      <c r="L153" s="19"/>
      <c r="M153" s="5"/>
      <c r="N153" s="5"/>
      <c r="O153" s="21"/>
      <c r="P153" s="22">
        <f t="shared" si="1"/>
        <v>0</v>
      </c>
    </row>
    <row r="154">
      <c r="A154" s="34"/>
      <c r="B154" s="8"/>
      <c r="C154" s="10"/>
      <c r="D154" s="10"/>
      <c r="E154" s="11"/>
      <c r="F154" s="15"/>
      <c r="G154" s="35"/>
      <c r="I154" s="17"/>
      <c r="J154" s="18"/>
      <c r="K154" s="39"/>
      <c r="L154" s="19"/>
      <c r="M154" s="5"/>
      <c r="N154" s="20"/>
      <c r="O154" s="21"/>
      <c r="P154" s="22">
        <f t="shared" si="1"/>
        <v>0</v>
      </c>
    </row>
    <row r="155">
      <c r="A155" s="34"/>
      <c r="B155" s="8"/>
      <c r="C155" s="10"/>
      <c r="D155" s="10"/>
      <c r="E155" s="11"/>
      <c r="F155" s="15"/>
      <c r="G155" s="35"/>
      <c r="I155" s="17"/>
      <c r="J155" s="18"/>
      <c r="K155" s="39"/>
      <c r="L155" s="19"/>
      <c r="M155" s="5"/>
      <c r="N155" s="20"/>
      <c r="O155" s="21"/>
      <c r="P155" s="22">
        <f t="shared" si="1"/>
        <v>0</v>
      </c>
    </row>
    <row r="156">
      <c r="A156" s="34"/>
      <c r="B156" s="8"/>
      <c r="C156" s="10"/>
      <c r="D156" s="10"/>
      <c r="E156" s="11"/>
      <c r="F156" s="15"/>
      <c r="G156" s="35"/>
      <c r="I156" s="17"/>
      <c r="J156" s="18"/>
      <c r="K156" s="39"/>
      <c r="L156" s="19"/>
      <c r="M156" s="5"/>
      <c r="N156" s="5"/>
      <c r="O156" s="21"/>
      <c r="P156" s="22">
        <f t="shared" si="1"/>
        <v>0</v>
      </c>
    </row>
    <row r="157">
      <c r="A157" s="34"/>
      <c r="B157" s="8"/>
      <c r="C157" s="10"/>
      <c r="D157" s="10"/>
      <c r="E157" s="11"/>
      <c r="F157" s="15"/>
      <c r="G157" s="35"/>
      <c r="I157" s="17"/>
      <c r="J157" s="18"/>
      <c r="K157" s="39"/>
      <c r="L157" s="19"/>
      <c r="M157" s="5"/>
      <c r="N157" s="20"/>
      <c r="O157" s="21"/>
      <c r="P157" s="22">
        <f t="shared" si="1"/>
        <v>0</v>
      </c>
    </row>
    <row r="158">
      <c r="A158" s="34"/>
      <c r="B158" s="8"/>
      <c r="C158" s="10"/>
      <c r="D158" s="10"/>
      <c r="E158" s="11"/>
      <c r="F158" s="15"/>
      <c r="G158" s="35"/>
      <c r="I158" s="17"/>
      <c r="J158" s="18"/>
      <c r="K158" s="39"/>
      <c r="L158" s="19"/>
      <c r="M158" s="5"/>
      <c r="N158" s="5"/>
      <c r="O158" s="21"/>
      <c r="P158" s="22">
        <f t="shared" si="1"/>
        <v>0</v>
      </c>
    </row>
    <row r="159">
      <c r="A159" s="34"/>
      <c r="B159" s="8"/>
      <c r="C159" s="10"/>
      <c r="D159" s="10"/>
      <c r="E159" s="11"/>
      <c r="F159" s="15"/>
      <c r="G159" s="35"/>
      <c r="I159" s="17"/>
      <c r="J159" s="18"/>
      <c r="K159" s="39"/>
      <c r="L159" s="19"/>
      <c r="M159" s="5"/>
      <c r="N159" s="20"/>
      <c r="O159" s="21"/>
      <c r="P159" s="22">
        <f t="shared" si="1"/>
        <v>0</v>
      </c>
    </row>
    <row r="160">
      <c r="A160" s="34"/>
      <c r="B160" s="8"/>
      <c r="C160" s="10"/>
      <c r="D160" s="10"/>
      <c r="E160" s="11"/>
      <c r="F160" s="15"/>
      <c r="G160" s="35"/>
      <c r="I160" s="17"/>
      <c r="J160" s="18"/>
      <c r="K160" s="39"/>
      <c r="L160" s="19"/>
      <c r="M160" s="5"/>
      <c r="N160" s="20"/>
      <c r="O160" s="21"/>
      <c r="P160" s="22">
        <f t="shared" si="1"/>
        <v>0</v>
      </c>
    </row>
    <row r="161">
      <c r="A161" s="34"/>
      <c r="B161" s="8"/>
      <c r="C161" s="10"/>
      <c r="D161" s="10"/>
      <c r="E161" s="11"/>
      <c r="F161" s="15"/>
      <c r="G161" s="35"/>
      <c r="I161" s="17"/>
      <c r="J161" s="18"/>
      <c r="K161" s="39"/>
      <c r="L161" s="19"/>
      <c r="M161" s="5"/>
      <c r="N161" s="20"/>
      <c r="O161" s="21"/>
      <c r="P161" s="22">
        <f t="shared" si="1"/>
        <v>0</v>
      </c>
    </row>
    <row r="162">
      <c r="A162" s="34"/>
      <c r="B162" s="8"/>
      <c r="C162" s="10"/>
      <c r="D162" s="10"/>
      <c r="E162" s="11"/>
      <c r="F162" s="15"/>
      <c r="G162" s="35"/>
      <c r="I162" s="17"/>
      <c r="J162" s="18"/>
      <c r="K162" s="39"/>
      <c r="L162" s="19"/>
      <c r="M162" s="5"/>
      <c r="N162" s="20"/>
      <c r="O162" s="21"/>
      <c r="P162" s="22">
        <f t="shared" si="1"/>
        <v>0</v>
      </c>
    </row>
    <row r="163">
      <c r="A163" s="34"/>
      <c r="B163" s="8"/>
      <c r="C163" s="10"/>
      <c r="D163" s="10"/>
      <c r="E163" s="11"/>
      <c r="F163" s="15"/>
      <c r="G163" s="35"/>
      <c r="I163" s="17"/>
      <c r="J163" s="18"/>
      <c r="K163" s="39"/>
      <c r="L163" s="19"/>
      <c r="M163" s="5"/>
      <c r="N163" s="20"/>
      <c r="O163" s="21"/>
      <c r="P163" s="22">
        <f t="shared" si="1"/>
        <v>0</v>
      </c>
    </row>
    <row r="164">
      <c r="A164" s="34"/>
      <c r="B164" s="8"/>
      <c r="C164" s="10"/>
      <c r="D164" s="10"/>
      <c r="E164" s="11"/>
      <c r="F164" s="15"/>
      <c r="G164" s="35"/>
      <c r="I164" s="17"/>
      <c r="J164" s="18"/>
      <c r="K164" s="19"/>
      <c r="L164" s="19"/>
      <c r="M164" s="5"/>
      <c r="N164" s="5"/>
      <c r="O164" s="21"/>
      <c r="P164" s="22">
        <f t="shared" si="1"/>
        <v>0</v>
      </c>
    </row>
    <row r="165">
      <c r="A165" s="34"/>
      <c r="B165" s="8"/>
      <c r="C165" s="10"/>
      <c r="D165" s="10"/>
      <c r="E165" s="11"/>
      <c r="F165" s="15"/>
      <c r="G165" s="35"/>
      <c r="I165" s="17"/>
      <c r="J165" s="18"/>
      <c r="K165" s="19"/>
      <c r="L165" s="19"/>
      <c r="M165" s="5"/>
      <c r="N165" s="20"/>
      <c r="O165" s="21"/>
      <c r="P165" s="22">
        <f t="shared" si="1"/>
        <v>0</v>
      </c>
    </row>
    <row r="166">
      <c r="A166" s="34"/>
      <c r="B166" s="8"/>
      <c r="C166" s="10"/>
      <c r="D166" s="10"/>
      <c r="E166" s="11"/>
      <c r="F166" s="15"/>
      <c r="G166" s="35"/>
      <c r="I166" s="17"/>
      <c r="J166" s="18"/>
      <c r="K166" s="19"/>
      <c r="L166" s="19"/>
      <c r="M166" s="5"/>
      <c r="N166" s="20"/>
      <c r="O166" s="21"/>
      <c r="P166" s="22">
        <f t="shared" si="1"/>
        <v>0</v>
      </c>
    </row>
    <row r="167">
      <c r="A167" s="40"/>
      <c r="B167" s="2"/>
      <c r="C167" s="14"/>
      <c r="D167" s="19"/>
      <c r="E167" s="5"/>
      <c r="F167" s="5"/>
      <c r="G167" s="21"/>
      <c r="I167" s="17"/>
      <c r="J167" s="18"/>
      <c r="K167" s="19"/>
      <c r="L167" s="19"/>
      <c r="M167" s="5"/>
      <c r="N167" s="20"/>
      <c r="O167" s="21"/>
      <c r="P167" s="22">
        <f t="shared" si="1"/>
        <v>0</v>
      </c>
    </row>
    <row r="168">
      <c r="A168" s="13"/>
      <c r="B168" s="8"/>
      <c r="C168" s="14"/>
      <c r="D168" s="14"/>
      <c r="E168" s="11"/>
      <c r="F168" s="15"/>
      <c r="G168" s="16"/>
      <c r="I168" s="17"/>
      <c r="J168" s="18"/>
      <c r="K168" s="19"/>
      <c r="L168" s="19"/>
      <c r="M168" s="5"/>
      <c r="N168" s="20"/>
      <c r="O168" s="21"/>
      <c r="P168" s="22">
        <f t="shared" si="1"/>
        <v>0</v>
      </c>
    </row>
    <row r="169">
      <c r="A169" s="13"/>
      <c r="B169" s="8"/>
      <c r="C169" s="14"/>
      <c r="D169" s="14"/>
      <c r="E169" s="11"/>
      <c r="F169" s="15"/>
      <c r="G169" s="16"/>
      <c r="I169" s="17"/>
      <c r="J169" s="18"/>
      <c r="K169" s="19"/>
      <c r="L169" s="19"/>
      <c r="M169" s="5"/>
      <c r="N169" s="20"/>
      <c r="O169" s="21"/>
      <c r="P169" s="22">
        <f t="shared" si="1"/>
        <v>0</v>
      </c>
    </row>
    <row r="170">
      <c r="A170" s="13"/>
      <c r="B170" s="8"/>
      <c r="C170" s="14"/>
      <c r="D170" s="14"/>
      <c r="E170" s="11"/>
      <c r="F170" s="15"/>
      <c r="G170" s="16"/>
      <c r="I170" s="17"/>
      <c r="J170" s="18"/>
      <c r="K170" s="19"/>
      <c r="L170" s="19"/>
      <c r="M170" s="5"/>
      <c r="N170" s="20"/>
      <c r="O170" s="21"/>
      <c r="P170" s="22">
        <f t="shared" si="1"/>
        <v>0</v>
      </c>
    </row>
    <row r="171">
      <c r="A171" s="13"/>
      <c r="B171" s="8"/>
      <c r="C171" s="14"/>
      <c r="D171" s="14"/>
      <c r="E171" s="11"/>
      <c r="F171" s="15"/>
      <c r="G171" s="16"/>
      <c r="I171" s="17"/>
      <c r="J171" s="18"/>
      <c r="K171" s="19"/>
      <c r="L171" s="19"/>
      <c r="M171" s="5"/>
      <c r="N171" s="5"/>
      <c r="O171" s="21"/>
      <c r="P171" s="22">
        <f t="shared" si="1"/>
        <v>0</v>
      </c>
    </row>
    <row r="172">
      <c r="A172" s="13"/>
      <c r="B172" s="8"/>
      <c r="C172" s="14"/>
      <c r="D172" s="14"/>
      <c r="E172" s="11"/>
      <c r="F172" s="15"/>
      <c r="G172" s="16"/>
      <c r="I172" s="17"/>
      <c r="J172" s="18"/>
      <c r="K172" s="19"/>
      <c r="L172" s="19"/>
      <c r="M172" s="5"/>
      <c r="N172" s="20"/>
      <c r="O172" s="21"/>
      <c r="P172" s="22">
        <f t="shared" si="1"/>
        <v>0</v>
      </c>
    </row>
    <row r="173">
      <c r="A173" s="13"/>
      <c r="B173" s="8"/>
      <c r="C173" s="14"/>
      <c r="D173" s="14"/>
      <c r="E173" s="11"/>
      <c r="F173" s="15"/>
      <c r="G173" s="16"/>
      <c r="I173" s="17"/>
      <c r="J173" s="18"/>
      <c r="K173" s="19"/>
      <c r="L173" s="19"/>
      <c r="M173" s="5"/>
      <c r="N173" s="5"/>
      <c r="O173" s="21"/>
      <c r="P173" s="22">
        <f t="shared" si="1"/>
        <v>0</v>
      </c>
    </row>
    <row r="174">
      <c r="A174" s="13"/>
      <c r="B174" s="8"/>
      <c r="C174" s="14"/>
      <c r="D174" s="14"/>
      <c r="E174" s="11"/>
      <c r="F174" s="15"/>
      <c r="G174" s="16"/>
      <c r="I174" s="17"/>
      <c r="J174" s="18"/>
      <c r="K174" s="39"/>
      <c r="L174" s="19"/>
      <c r="M174" s="5"/>
      <c r="N174" s="20"/>
      <c r="O174" s="21"/>
      <c r="P174" s="22">
        <f t="shared" si="1"/>
        <v>0</v>
      </c>
    </row>
    <row r="175">
      <c r="A175" s="13"/>
      <c r="B175" s="8"/>
      <c r="C175" s="14"/>
      <c r="D175" s="14"/>
      <c r="E175" s="11"/>
      <c r="F175" s="15"/>
      <c r="G175" s="16"/>
      <c r="I175" s="17"/>
      <c r="J175" s="18"/>
      <c r="K175" s="39"/>
      <c r="L175" s="19"/>
      <c r="M175" s="5"/>
      <c r="N175" s="5"/>
      <c r="O175" s="21"/>
    </row>
    <row r="176">
      <c r="A176" s="13"/>
      <c r="B176" s="8"/>
      <c r="C176" s="14"/>
      <c r="D176" s="14"/>
      <c r="E176" s="11"/>
      <c r="F176" s="15"/>
      <c r="G176" s="16"/>
      <c r="I176" s="17"/>
      <c r="J176" s="18"/>
      <c r="K176" s="39"/>
      <c r="L176" s="19"/>
      <c r="M176" s="5"/>
      <c r="N176" s="20"/>
      <c r="O176" s="21"/>
    </row>
    <row r="177">
      <c r="A177" s="13"/>
      <c r="B177" s="8"/>
      <c r="C177" s="14"/>
      <c r="D177" s="14"/>
      <c r="E177" s="11"/>
      <c r="F177" s="15"/>
      <c r="G177" s="16"/>
      <c r="I177" s="17"/>
      <c r="J177" s="18"/>
      <c r="K177" s="39"/>
      <c r="L177" s="19"/>
      <c r="M177" s="5"/>
      <c r="N177" s="5"/>
      <c r="O177" s="21"/>
    </row>
    <row r="178">
      <c r="A178" s="13"/>
      <c r="B178" s="8"/>
      <c r="C178" s="14"/>
      <c r="D178" s="14"/>
      <c r="E178" s="11"/>
      <c r="F178" s="15"/>
      <c r="G178" s="16"/>
      <c r="I178" s="17"/>
      <c r="J178" s="18"/>
      <c r="K178" s="39"/>
      <c r="L178" s="19"/>
      <c r="M178" s="5"/>
      <c r="N178" s="20"/>
      <c r="O178" s="21"/>
    </row>
    <row r="179">
      <c r="A179" s="13"/>
      <c r="B179" s="8"/>
      <c r="C179" s="14"/>
      <c r="D179" s="14"/>
      <c r="E179" s="11"/>
      <c r="F179" s="15"/>
      <c r="G179" s="16"/>
      <c r="I179" s="17"/>
      <c r="J179" s="18"/>
      <c r="K179" s="39"/>
      <c r="L179" s="19"/>
      <c r="M179" s="5"/>
      <c r="N179" s="5"/>
      <c r="O179" s="21"/>
    </row>
    <row r="180">
      <c r="A180" s="13"/>
      <c r="B180" s="8"/>
      <c r="C180" s="14"/>
      <c r="D180" s="14"/>
      <c r="E180" s="11"/>
      <c r="F180" s="15"/>
      <c r="G180" s="16"/>
      <c r="I180" s="17"/>
      <c r="J180" s="18"/>
      <c r="K180" s="39"/>
      <c r="L180" s="19"/>
      <c r="M180" s="5"/>
      <c r="N180" s="20"/>
      <c r="O180" s="21"/>
    </row>
    <row r="181">
      <c r="A181" s="13"/>
      <c r="B181" s="8"/>
      <c r="C181" s="14"/>
      <c r="D181" s="14"/>
      <c r="E181" s="11"/>
      <c r="F181" s="15"/>
      <c r="G181" s="16"/>
      <c r="I181" s="17"/>
      <c r="J181" s="18"/>
      <c r="K181" s="39"/>
      <c r="L181" s="19"/>
      <c r="M181" s="5"/>
      <c r="N181" s="5"/>
      <c r="O181" s="21"/>
      <c r="P181" s="41">
        <f t="shared" ref="P181:P1002" si="2">sumif(K:K,K181,O:O)</f>
        <v>0</v>
      </c>
    </row>
    <row r="182">
      <c r="A182" s="13"/>
      <c r="B182" s="8"/>
      <c r="C182" s="14"/>
      <c r="D182" s="14"/>
      <c r="E182" s="11"/>
      <c r="F182" s="15"/>
      <c r="G182" s="16"/>
      <c r="I182" s="17"/>
      <c r="J182" s="18"/>
      <c r="K182" s="39"/>
      <c r="L182" s="19"/>
      <c r="M182" s="5"/>
      <c r="N182" s="20"/>
      <c r="O182" s="21"/>
      <c r="P182" s="41">
        <f t="shared" si="2"/>
        <v>0</v>
      </c>
    </row>
    <row r="183">
      <c r="A183" s="13"/>
      <c r="B183" s="8"/>
      <c r="C183" s="14"/>
      <c r="D183" s="14"/>
      <c r="E183" s="11"/>
      <c r="F183" s="15"/>
      <c r="G183" s="16"/>
      <c r="I183" s="17"/>
      <c r="J183" s="18"/>
      <c r="K183" s="39"/>
      <c r="L183" s="19"/>
      <c r="M183" s="5"/>
      <c r="N183" s="20"/>
      <c r="O183" s="21"/>
      <c r="P183" s="41">
        <f t="shared" si="2"/>
        <v>0</v>
      </c>
    </row>
    <row r="184">
      <c r="A184" s="13"/>
      <c r="B184" s="8"/>
      <c r="C184" s="14"/>
      <c r="D184" s="14"/>
      <c r="E184" s="11"/>
      <c r="F184" s="15"/>
      <c r="G184" s="16"/>
      <c r="I184" s="17"/>
      <c r="J184" s="18"/>
      <c r="K184" s="39"/>
      <c r="L184" s="19"/>
      <c r="M184" s="5"/>
      <c r="N184" s="20"/>
      <c r="O184" s="21"/>
      <c r="P184" s="41">
        <f t="shared" si="2"/>
        <v>0</v>
      </c>
    </row>
    <row r="185">
      <c r="A185" s="13"/>
      <c r="B185" s="8"/>
      <c r="C185" s="14"/>
      <c r="D185" s="14"/>
      <c r="E185" s="11"/>
      <c r="F185" s="15"/>
      <c r="G185" s="16"/>
      <c r="I185" s="17"/>
      <c r="J185" s="18"/>
      <c r="K185" s="39"/>
      <c r="L185" s="19"/>
      <c r="M185" s="5"/>
      <c r="N185" s="20"/>
      <c r="O185" s="21"/>
      <c r="P185" s="41">
        <f t="shared" si="2"/>
        <v>0</v>
      </c>
    </row>
    <row r="186">
      <c r="A186" s="13"/>
      <c r="B186" s="8"/>
      <c r="C186" s="14"/>
      <c r="D186" s="14"/>
      <c r="E186" s="11"/>
      <c r="F186" s="15"/>
      <c r="G186" s="16"/>
      <c r="I186" s="17"/>
      <c r="J186" s="18"/>
      <c r="K186" s="19"/>
      <c r="L186" s="19"/>
      <c r="M186" s="5"/>
      <c r="N186" s="20"/>
      <c r="O186" s="21"/>
      <c r="P186" s="41">
        <f t="shared" si="2"/>
        <v>0</v>
      </c>
    </row>
    <row r="187">
      <c r="A187" s="13"/>
      <c r="B187" s="8"/>
      <c r="C187" s="14"/>
      <c r="D187" s="14"/>
      <c r="E187" s="11"/>
      <c r="F187" s="15"/>
      <c r="G187" s="16"/>
      <c r="I187" s="17"/>
      <c r="J187" s="18"/>
      <c r="K187" s="19"/>
      <c r="L187" s="19"/>
      <c r="M187" s="5"/>
      <c r="N187" s="20"/>
      <c r="O187" s="21"/>
      <c r="P187" s="41">
        <f t="shared" si="2"/>
        <v>0</v>
      </c>
    </row>
    <row r="188">
      <c r="A188" s="13"/>
      <c r="B188" s="8"/>
      <c r="C188" s="14"/>
      <c r="D188" s="14"/>
      <c r="E188" s="11"/>
      <c r="F188" s="15"/>
      <c r="G188" s="16"/>
      <c r="I188" s="17"/>
      <c r="J188" s="18"/>
      <c r="K188" s="19"/>
      <c r="L188" s="19"/>
      <c r="M188" s="5"/>
      <c r="N188" s="20"/>
      <c r="O188" s="21"/>
      <c r="P188" s="41">
        <f t="shared" si="2"/>
        <v>0</v>
      </c>
    </row>
    <row r="189">
      <c r="A189" s="13"/>
      <c r="B189" s="8"/>
      <c r="C189" s="14"/>
      <c r="D189" s="14"/>
      <c r="E189" s="11"/>
      <c r="F189" s="15"/>
      <c r="G189" s="16"/>
      <c r="I189" s="17"/>
      <c r="J189" s="18"/>
      <c r="K189" s="19"/>
      <c r="L189" s="19"/>
      <c r="M189" s="5"/>
      <c r="N189" s="20"/>
      <c r="O189" s="21"/>
      <c r="P189" s="41">
        <f t="shared" si="2"/>
        <v>0</v>
      </c>
    </row>
    <row r="190">
      <c r="A190" s="13"/>
      <c r="B190" s="8"/>
      <c r="C190" s="14"/>
      <c r="D190" s="14"/>
      <c r="E190" s="11"/>
      <c r="F190" s="15"/>
      <c r="G190" s="16"/>
      <c r="I190" s="17"/>
      <c r="J190" s="18"/>
      <c r="K190" s="19"/>
      <c r="L190" s="19"/>
      <c r="M190" s="5"/>
      <c r="N190" s="20"/>
      <c r="O190" s="21"/>
      <c r="P190" s="41">
        <f t="shared" si="2"/>
        <v>0</v>
      </c>
    </row>
    <row r="191">
      <c r="A191" s="17"/>
      <c r="B191" s="2"/>
      <c r="C191" s="19"/>
      <c r="D191" s="19"/>
      <c r="E191" s="5"/>
      <c r="F191" s="20"/>
      <c r="G191" s="21"/>
      <c r="I191" s="17"/>
      <c r="J191" s="18"/>
      <c r="K191" s="19"/>
      <c r="L191" s="19"/>
      <c r="M191" s="5"/>
      <c r="N191" s="20"/>
      <c r="O191" s="21"/>
      <c r="P191" s="41">
        <f t="shared" si="2"/>
        <v>0</v>
      </c>
    </row>
    <row r="192">
      <c r="A192" s="17"/>
      <c r="B192" s="2"/>
      <c r="C192" s="19"/>
      <c r="D192" s="19"/>
      <c r="E192" s="5"/>
      <c r="F192" s="5"/>
      <c r="G192" s="21"/>
      <c r="I192" s="17"/>
      <c r="J192" s="18"/>
      <c r="K192" s="19"/>
      <c r="L192" s="19"/>
      <c r="M192" s="5"/>
      <c r="N192" s="20"/>
      <c r="O192" s="21"/>
      <c r="P192" s="41">
        <f t="shared" si="2"/>
        <v>0</v>
      </c>
    </row>
    <row r="193">
      <c r="A193" s="17"/>
      <c r="B193" s="2"/>
      <c r="C193" s="19"/>
      <c r="D193" s="19"/>
      <c r="E193" s="5"/>
      <c r="F193" s="20"/>
      <c r="G193" s="21"/>
      <c r="I193" s="17"/>
      <c r="J193" s="18"/>
      <c r="K193" s="19"/>
      <c r="L193" s="19"/>
      <c r="M193" s="5"/>
      <c r="N193" s="20"/>
      <c r="O193" s="21"/>
      <c r="P193" s="41">
        <f t="shared" si="2"/>
        <v>0</v>
      </c>
    </row>
    <row r="194">
      <c r="A194" s="17"/>
      <c r="B194" s="2"/>
      <c r="C194" s="19"/>
      <c r="D194" s="19"/>
      <c r="E194" s="5"/>
      <c r="F194" s="20"/>
      <c r="G194" s="21"/>
      <c r="I194" s="17"/>
      <c r="J194" s="18"/>
      <c r="K194" s="19"/>
      <c r="L194" s="19"/>
      <c r="M194" s="5"/>
      <c r="N194" s="20"/>
      <c r="O194" s="21"/>
      <c r="P194" s="41">
        <f t="shared" si="2"/>
        <v>0</v>
      </c>
    </row>
    <row r="195">
      <c r="A195" s="17"/>
      <c r="B195" s="2"/>
      <c r="C195" s="19"/>
      <c r="D195" s="19"/>
      <c r="E195" s="5"/>
      <c r="F195" s="20"/>
      <c r="G195" s="21"/>
      <c r="I195" s="17"/>
      <c r="J195" s="18"/>
      <c r="K195" s="19"/>
      <c r="L195" s="19"/>
      <c r="M195" s="5"/>
      <c r="N195" s="5"/>
      <c r="O195" s="21"/>
      <c r="P195" s="41">
        <f t="shared" si="2"/>
        <v>0</v>
      </c>
    </row>
    <row r="196">
      <c r="A196" s="17"/>
      <c r="B196" s="2"/>
      <c r="C196" s="19"/>
      <c r="D196" s="19"/>
      <c r="E196" s="5"/>
      <c r="F196" s="20"/>
      <c r="G196" s="21"/>
      <c r="I196" s="17"/>
      <c r="J196" s="18"/>
      <c r="K196" s="39"/>
      <c r="L196" s="19"/>
      <c r="M196" s="5"/>
      <c r="N196" s="20"/>
      <c r="O196" s="21"/>
      <c r="P196" s="41">
        <f t="shared" si="2"/>
        <v>0</v>
      </c>
    </row>
    <row r="197">
      <c r="A197" s="17"/>
      <c r="B197" s="2"/>
      <c r="C197" s="19"/>
      <c r="D197" s="19"/>
      <c r="E197" s="5"/>
      <c r="F197" s="20"/>
      <c r="G197" s="21"/>
      <c r="I197" s="17"/>
      <c r="J197" s="18"/>
      <c r="K197" s="39"/>
      <c r="L197" s="19"/>
      <c r="M197" s="5"/>
      <c r="N197" s="20"/>
      <c r="O197" s="21"/>
      <c r="P197" s="41">
        <f t="shared" si="2"/>
        <v>0</v>
      </c>
    </row>
    <row r="198">
      <c r="A198" s="17"/>
      <c r="B198" s="2"/>
      <c r="C198" s="19"/>
      <c r="D198" s="19"/>
      <c r="E198" s="5"/>
      <c r="F198" s="5"/>
      <c r="G198" s="21"/>
      <c r="I198" s="17"/>
      <c r="J198" s="18"/>
      <c r="K198" s="39"/>
      <c r="L198" s="19"/>
      <c r="M198" s="5"/>
      <c r="N198" s="20"/>
      <c r="O198" s="21"/>
      <c r="P198" s="41">
        <f t="shared" si="2"/>
        <v>0</v>
      </c>
    </row>
    <row r="199">
      <c r="A199" s="17"/>
      <c r="B199" s="2"/>
      <c r="C199" s="19"/>
      <c r="D199" s="19"/>
      <c r="E199" s="5"/>
      <c r="F199" s="20"/>
      <c r="G199" s="21"/>
      <c r="I199" s="17"/>
      <c r="J199" s="18"/>
      <c r="K199" s="39"/>
      <c r="L199" s="19"/>
      <c r="M199" s="5"/>
      <c r="N199" s="20"/>
      <c r="O199" s="21"/>
      <c r="P199" s="41">
        <f t="shared" si="2"/>
        <v>0</v>
      </c>
    </row>
    <row r="200">
      <c r="A200" s="17"/>
      <c r="B200" s="2"/>
      <c r="C200" s="19"/>
      <c r="D200" s="19"/>
      <c r="E200" s="5"/>
      <c r="F200" s="5"/>
      <c r="G200" s="21"/>
      <c r="I200" s="17"/>
      <c r="J200" s="18"/>
      <c r="K200" s="39"/>
      <c r="L200" s="19"/>
      <c r="M200" s="5"/>
      <c r="N200" s="20"/>
      <c r="O200" s="21"/>
      <c r="P200" s="41">
        <f t="shared" si="2"/>
        <v>0</v>
      </c>
    </row>
    <row r="201">
      <c r="A201" s="17"/>
      <c r="B201" s="2"/>
      <c r="C201" s="19"/>
      <c r="D201" s="19"/>
      <c r="E201" s="5"/>
      <c r="F201" s="20"/>
      <c r="G201" s="21"/>
      <c r="I201" s="17"/>
      <c r="J201" s="18"/>
      <c r="K201" s="39"/>
      <c r="L201" s="19"/>
      <c r="M201" s="5"/>
      <c r="N201" s="5"/>
      <c r="O201" s="21"/>
      <c r="P201" s="41">
        <f t="shared" si="2"/>
        <v>0</v>
      </c>
    </row>
    <row r="202">
      <c r="A202" s="17"/>
      <c r="B202" s="2"/>
      <c r="C202" s="19"/>
      <c r="D202" s="19"/>
      <c r="E202" s="5"/>
      <c r="F202" s="20"/>
      <c r="G202" s="21"/>
      <c r="I202" s="17"/>
      <c r="J202" s="18"/>
      <c r="K202" s="39"/>
      <c r="L202" s="19"/>
      <c r="M202" s="5"/>
      <c r="N202" s="20"/>
      <c r="O202" s="21"/>
      <c r="P202" s="41">
        <f t="shared" si="2"/>
        <v>0</v>
      </c>
    </row>
    <row r="203">
      <c r="A203" s="17"/>
      <c r="B203" s="2"/>
      <c r="C203" s="19"/>
      <c r="D203" s="19"/>
      <c r="E203" s="5"/>
      <c r="F203" s="20"/>
      <c r="G203" s="21"/>
      <c r="I203" s="17"/>
      <c r="J203" s="18"/>
      <c r="K203" s="39"/>
      <c r="L203" s="19"/>
      <c r="M203" s="5"/>
      <c r="N203" s="5"/>
      <c r="O203" s="21"/>
      <c r="P203" s="41">
        <f t="shared" si="2"/>
        <v>0</v>
      </c>
    </row>
    <row r="204">
      <c r="A204" s="17"/>
      <c r="B204" s="2"/>
      <c r="C204" s="19"/>
      <c r="D204" s="19"/>
      <c r="E204" s="5"/>
      <c r="F204" s="20"/>
      <c r="G204" s="21"/>
      <c r="I204" s="17"/>
      <c r="J204" s="18"/>
      <c r="K204" s="39"/>
      <c r="L204" s="19"/>
      <c r="M204" s="5"/>
      <c r="N204" s="20"/>
      <c r="O204" s="21"/>
      <c r="P204" s="41">
        <f t="shared" si="2"/>
        <v>0</v>
      </c>
    </row>
    <row r="205">
      <c r="A205" s="17"/>
      <c r="B205" s="2"/>
      <c r="C205" s="19"/>
      <c r="D205" s="19"/>
      <c r="E205" s="5"/>
      <c r="F205" s="20"/>
      <c r="G205" s="21"/>
      <c r="I205" s="17"/>
      <c r="J205" s="18"/>
      <c r="K205" s="39"/>
      <c r="L205" s="19"/>
      <c r="M205" s="5"/>
      <c r="N205" s="5"/>
      <c r="O205" s="21"/>
      <c r="P205" s="41">
        <f t="shared" si="2"/>
        <v>0</v>
      </c>
    </row>
    <row r="206">
      <c r="A206" s="17"/>
      <c r="B206" s="2"/>
      <c r="C206" s="19"/>
      <c r="D206" s="19"/>
      <c r="E206" s="5"/>
      <c r="F206" s="20"/>
      <c r="G206" s="21"/>
      <c r="I206" s="17"/>
      <c r="J206" s="18"/>
      <c r="K206" s="39"/>
      <c r="L206" s="19"/>
      <c r="M206" s="5"/>
      <c r="N206" s="20"/>
      <c r="O206" s="21"/>
      <c r="P206" s="41">
        <f t="shared" si="2"/>
        <v>0</v>
      </c>
    </row>
    <row r="207">
      <c r="A207" s="17"/>
      <c r="B207" s="2"/>
      <c r="C207" s="39"/>
      <c r="D207" s="19"/>
      <c r="E207" s="5"/>
      <c r="F207" s="20"/>
      <c r="G207" s="21"/>
      <c r="I207" s="17"/>
      <c r="J207" s="18"/>
      <c r="K207" s="39"/>
      <c r="L207" s="19"/>
      <c r="M207" s="5"/>
      <c r="N207" s="20"/>
      <c r="O207" s="21"/>
      <c r="P207" s="41">
        <f t="shared" si="2"/>
        <v>0</v>
      </c>
    </row>
    <row r="208">
      <c r="A208" s="17"/>
      <c r="B208" s="2"/>
      <c r="C208" s="39"/>
      <c r="D208" s="19"/>
      <c r="E208" s="5"/>
      <c r="F208" s="5"/>
      <c r="G208" s="21"/>
      <c r="I208" s="17"/>
      <c r="J208" s="18"/>
      <c r="K208" s="39"/>
      <c r="L208" s="19"/>
      <c r="M208" s="5"/>
      <c r="N208" s="20"/>
      <c r="O208" s="21"/>
      <c r="P208" s="41">
        <f t="shared" si="2"/>
        <v>0</v>
      </c>
    </row>
    <row r="209">
      <c r="A209" s="17"/>
      <c r="B209" s="2"/>
      <c r="C209" s="39"/>
      <c r="D209" s="19"/>
      <c r="E209" s="5"/>
      <c r="F209" s="20"/>
      <c r="G209" s="21"/>
      <c r="I209" s="17"/>
      <c r="J209" s="18"/>
      <c r="K209" s="39"/>
      <c r="L209" s="19"/>
      <c r="M209" s="5"/>
      <c r="N209" s="5"/>
      <c r="O209" s="21"/>
      <c r="P209" s="41">
        <f t="shared" si="2"/>
        <v>0</v>
      </c>
    </row>
    <row r="210">
      <c r="A210" s="17"/>
      <c r="B210" s="2"/>
      <c r="C210" s="39"/>
      <c r="D210" s="19"/>
      <c r="E210" s="5"/>
      <c r="F210" s="5"/>
      <c r="G210" s="21"/>
      <c r="I210" s="17"/>
      <c r="J210" s="18"/>
      <c r="K210" s="39"/>
      <c r="L210" s="19"/>
      <c r="M210" s="5"/>
      <c r="N210" s="20"/>
      <c r="O210" s="21"/>
      <c r="P210" s="41">
        <f t="shared" si="2"/>
        <v>0</v>
      </c>
    </row>
    <row r="211">
      <c r="A211" s="17"/>
      <c r="B211" s="2"/>
      <c r="C211" s="39"/>
      <c r="D211" s="19"/>
      <c r="E211" s="5"/>
      <c r="F211" s="20"/>
      <c r="G211" s="21"/>
      <c r="I211" s="17"/>
      <c r="J211" s="18"/>
      <c r="K211" s="19"/>
      <c r="L211" s="19"/>
      <c r="M211" s="5"/>
      <c r="N211" s="5"/>
      <c r="O211" s="21"/>
      <c r="P211" s="41">
        <f t="shared" si="2"/>
        <v>0</v>
      </c>
    </row>
    <row r="212">
      <c r="A212" s="17"/>
      <c r="B212" s="2"/>
      <c r="C212" s="39"/>
      <c r="D212" s="19"/>
      <c r="E212" s="5"/>
      <c r="F212" s="5"/>
      <c r="G212" s="21"/>
      <c r="I212" s="17"/>
      <c r="J212" s="18"/>
      <c r="K212" s="19"/>
      <c r="L212" s="19"/>
      <c r="M212" s="5"/>
      <c r="N212" s="20"/>
      <c r="O212" s="21"/>
      <c r="P212" s="41">
        <f t="shared" si="2"/>
        <v>0</v>
      </c>
    </row>
    <row r="213">
      <c r="A213" s="17"/>
      <c r="B213" s="2"/>
      <c r="C213" s="39"/>
      <c r="D213" s="19"/>
      <c r="E213" s="5"/>
      <c r="F213" s="20"/>
      <c r="G213" s="21"/>
      <c r="I213" s="17"/>
      <c r="J213" s="18"/>
      <c r="K213" s="19"/>
      <c r="L213" s="19"/>
      <c r="M213" s="5"/>
      <c r="N213" s="5"/>
      <c r="O213" s="21"/>
      <c r="P213" s="41">
        <f t="shared" si="2"/>
        <v>0</v>
      </c>
    </row>
    <row r="214">
      <c r="A214" s="17"/>
      <c r="B214" s="2"/>
      <c r="C214" s="39"/>
      <c r="D214" s="19"/>
      <c r="E214" s="5"/>
      <c r="F214" s="5"/>
      <c r="G214" s="21"/>
      <c r="I214" s="17"/>
      <c r="J214" s="18"/>
      <c r="K214" s="19"/>
      <c r="L214" s="19"/>
      <c r="M214" s="5"/>
      <c r="N214" s="20"/>
      <c r="O214" s="21"/>
      <c r="P214" s="41">
        <f t="shared" si="2"/>
        <v>0</v>
      </c>
    </row>
    <row r="215">
      <c r="A215" s="17"/>
      <c r="B215" s="2"/>
      <c r="C215" s="19"/>
      <c r="D215" s="19"/>
      <c r="E215" s="5"/>
      <c r="F215" s="20"/>
      <c r="G215" s="21"/>
      <c r="I215" s="17"/>
      <c r="J215" s="18"/>
      <c r="K215" s="19"/>
      <c r="L215" s="19"/>
      <c r="M215" s="5"/>
      <c r="N215" s="20"/>
      <c r="O215" s="21"/>
      <c r="P215" s="41">
        <f t="shared" si="2"/>
        <v>0</v>
      </c>
    </row>
    <row r="216">
      <c r="A216" s="17"/>
      <c r="B216" s="2"/>
      <c r="C216" s="19"/>
      <c r="D216" s="19"/>
      <c r="E216" s="5"/>
      <c r="F216" s="5"/>
      <c r="G216" s="21"/>
      <c r="I216" s="17"/>
      <c r="J216" s="18"/>
      <c r="K216" s="19"/>
      <c r="L216" s="19"/>
      <c r="M216" s="5"/>
      <c r="N216" s="20"/>
      <c r="O216" s="21"/>
      <c r="P216" s="41">
        <f t="shared" si="2"/>
        <v>0</v>
      </c>
    </row>
    <row r="217">
      <c r="A217" s="17"/>
      <c r="B217" s="2"/>
      <c r="C217" s="19"/>
      <c r="D217" s="19"/>
      <c r="E217" s="5"/>
      <c r="F217" s="20"/>
      <c r="G217" s="21"/>
      <c r="I217" s="17"/>
      <c r="J217" s="18"/>
      <c r="K217" s="19"/>
      <c r="L217" s="19"/>
      <c r="M217" s="5"/>
      <c r="N217" s="5"/>
      <c r="O217" s="21"/>
      <c r="P217" s="41">
        <f t="shared" si="2"/>
        <v>0</v>
      </c>
    </row>
    <row r="218">
      <c r="A218" s="17"/>
      <c r="B218" s="2"/>
      <c r="C218" s="19"/>
      <c r="D218" s="19"/>
      <c r="E218" s="5"/>
      <c r="F218" s="5"/>
      <c r="G218" s="21"/>
      <c r="I218" s="17"/>
      <c r="J218" s="18"/>
      <c r="K218" s="19"/>
      <c r="L218" s="19"/>
      <c r="M218" s="5"/>
      <c r="N218" s="20"/>
      <c r="O218" s="21"/>
      <c r="P218" s="41">
        <f t="shared" si="2"/>
        <v>0</v>
      </c>
    </row>
    <row r="219">
      <c r="A219" s="17"/>
      <c r="B219" s="2"/>
      <c r="C219" s="19"/>
      <c r="D219" s="19"/>
      <c r="E219" s="5"/>
      <c r="F219" s="20"/>
      <c r="G219" s="21"/>
      <c r="I219" s="17"/>
      <c r="J219" s="18"/>
      <c r="K219" s="19"/>
      <c r="L219" s="19"/>
      <c r="M219" s="5"/>
      <c r="N219" s="20"/>
      <c r="O219" s="21"/>
      <c r="P219" s="41">
        <f t="shared" si="2"/>
        <v>0</v>
      </c>
    </row>
    <row r="220">
      <c r="A220" s="17"/>
      <c r="B220" s="2"/>
      <c r="C220" s="39"/>
      <c r="D220" s="19"/>
      <c r="E220" s="5"/>
      <c r="F220" s="5"/>
      <c r="G220" s="21"/>
      <c r="I220" s="17"/>
      <c r="J220" s="18"/>
      <c r="K220" s="19"/>
      <c r="L220" s="19"/>
      <c r="M220" s="5"/>
      <c r="N220" s="20"/>
      <c r="O220" s="21"/>
      <c r="P220" s="41">
        <f t="shared" si="2"/>
        <v>0</v>
      </c>
    </row>
    <row r="221">
      <c r="A221" s="17"/>
      <c r="B221" s="2"/>
      <c r="C221" s="39"/>
      <c r="D221" s="19"/>
      <c r="E221" s="5"/>
      <c r="F221" s="20"/>
      <c r="G221" s="21"/>
      <c r="I221" s="17"/>
      <c r="J221" s="18"/>
      <c r="K221" s="19"/>
      <c r="L221" s="19"/>
      <c r="M221" s="5"/>
      <c r="N221" s="20"/>
      <c r="O221" s="21"/>
      <c r="P221" s="41">
        <f t="shared" si="2"/>
        <v>0</v>
      </c>
    </row>
    <row r="222">
      <c r="A222" s="17"/>
      <c r="B222" s="2"/>
      <c r="C222" s="19"/>
      <c r="D222" s="19"/>
      <c r="E222" s="5"/>
      <c r="F222" s="5"/>
      <c r="G222" s="21"/>
      <c r="I222" s="17"/>
      <c r="J222" s="18"/>
      <c r="K222" s="19"/>
      <c r="L222" s="19"/>
      <c r="M222" s="5"/>
      <c r="N222" s="5"/>
      <c r="O222" s="21"/>
      <c r="P222" s="41">
        <f t="shared" si="2"/>
        <v>0</v>
      </c>
    </row>
    <row r="223">
      <c r="A223" s="17"/>
      <c r="B223" s="2"/>
      <c r="C223" s="19"/>
      <c r="D223" s="19"/>
      <c r="E223" s="5"/>
      <c r="F223" s="20"/>
      <c r="G223" s="21"/>
      <c r="I223" s="17"/>
      <c r="J223" s="18"/>
      <c r="K223" s="19"/>
      <c r="L223" s="19"/>
      <c r="M223" s="5"/>
      <c r="N223" s="20"/>
      <c r="O223" s="21"/>
      <c r="P223" s="41">
        <f t="shared" si="2"/>
        <v>0</v>
      </c>
    </row>
    <row r="224">
      <c r="A224" s="17"/>
      <c r="B224" s="2"/>
      <c r="C224" s="19"/>
      <c r="D224" s="19"/>
      <c r="E224" s="5"/>
      <c r="F224" s="20"/>
      <c r="G224" s="21"/>
      <c r="I224" s="17"/>
      <c r="J224" s="18"/>
      <c r="K224" s="19"/>
      <c r="L224" s="19"/>
      <c r="M224" s="5"/>
      <c r="N224" s="20"/>
      <c r="O224" s="21"/>
      <c r="P224" s="41">
        <f t="shared" si="2"/>
        <v>0</v>
      </c>
    </row>
    <row r="225">
      <c r="A225" s="17"/>
      <c r="B225" s="2"/>
      <c r="C225" s="39"/>
      <c r="D225" s="19"/>
      <c r="E225" s="5"/>
      <c r="F225" s="20"/>
      <c r="G225" s="21"/>
      <c r="I225" s="17"/>
      <c r="J225" s="18"/>
      <c r="K225" s="19"/>
      <c r="L225" s="19"/>
      <c r="M225" s="5"/>
      <c r="N225" s="20"/>
      <c r="O225" s="21"/>
      <c r="P225" s="41">
        <f t="shared" si="2"/>
        <v>0</v>
      </c>
    </row>
    <row r="226">
      <c r="A226" s="17"/>
      <c r="B226" s="2"/>
      <c r="C226" s="39"/>
      <c r="D226" s="19"/>
      <c r="E226" s="5"/>
      <c r="F226" s="20"/>
      <c r="G226" s="21"/>
      <c r="I226" s="17"/>
      <c r="J226" s="18"/>
      <c r="K226" s="19"/>
      <c r="L226" s="19"/>
      <c r="M226" s="5"/>
      <c r="N226" s="5"/>
      <c r="O226" s="21"/>
      <c r="P226" s="41">
        <f t="shared" si="2"/>
        <v>0</v>
      </c>
    </row>
    <row r="227">
      <c r="A227" s="17"/>
      <c r="B227" s="2"/>
      <c r="C227" s="39"/>
      <c r="D227" s="19"/>
      <c r="E227" s="5"/>
      <c r="F227" s="20"/>
      <c r="G227" s="21"/>
      <c r="I227" s="17"/>
      <c r="J227" s="18"/>
      <c r="K227" s="19"/>
      <c r="L227" s="19"/>
      <c r="M227" s="5"/>
      <c r="N227" s="20"/>
      <c r="O227" s="21"/>
      <c r="P227" s="41">
        <f t="shared" si="2"/>
        <v>0</v>
      </c>
    </row>
    <row r="228">
      <c r="A228" s="17"/>
      <c r="B228" s="2"/>
      <c r="C228" s="39"/>
      <c r="D228" s="19"/>
      <c r="E228" s="5"/>
      <c r="F228" s="20"/>
      <c r="G228" s="21"/>
      <c r="I228" s="17"/>
      <c r="J228" s="18"/>
      <c r="K228" s="19"/>
      <c r="L228" s="19"/>
      <c r="M228" s="5"/>
      <c r="N228" s="5"/>
      <c r="O228" s="21"/>
      <c r="P228" s="41">
        <f t="shared" si="2"/>
        <v>0</v>
      </c>
    </row>
    <row r="229">
      <c r="A229" s="17"/>
      <c r="B229" s="2"/>
      <c r="C229" s="39"/>
      <c r="D229" s="19"/>
      <c r="E229" s="5"/>
      <c r="F229" s="20"/>
      <c r="G229" s="21"/>
      <c r="I229" s="17"/>
      <c r="J229" s="18"/>
      <c r="K229" s="19"/>
      <c r="L229" s="19"/>
      <c r="M229" s="5"/>
      <c r="N229" s="20"/>
      <c r="O229" s="21"/>
      <c r="P229" s="41">
        <f t="shared" si="2"/>
        <v>0</v>
      </c>
    </row>
    <row r="230">
      <c r="A230" s="17"/>
      <c r="B230" s="2"/>
      <c r="C230" s="39"/>
      <c r="D230" s="19"/>
      <c r="E230" s="5"/>
      <c r="F230" s="20"/>
      <c r="G230" s="21"/>
      <c r="I230" s="17"/>
      <c r="J230" s="18"/>
      <c r="K230" s="19"/>
      <c r="L230" s="19"/>
      <c r="M230" s="5"/>
      <c r="N230" s="20"/>
      <c r="O230" s="21"/>
      <c r="P230" s="41">
        <f t="shared" si="2"/>
        <v>0</v>
      </c>
    </row>
    <row r="231">
      <c r="A231" s="17"/>
      <c r="B231" s="2"/>
      <c r="C231" s="39"/>
      <c r="D231" s="19"/>
      <c r="E231" s="5"/>
      <c r="F231" s="20"/>
      <c r="G231" s="21"/>
      <c r="I231" s="17"/>
      <c r="J231" s="18"/>
      <c r="K231" s="19"/>
      <c r="L231" s="19"/>
      <c r="M231" s="5"/>
      <c r="N231" s="5"/>
      <c r="O231" s="21"/>
      <c r="P231" s="41">
        <f t="shared" si="2"/>
        <v>0</v>
      </c>
    </row>
    <row r="232">
      <c r="A232" s="17"/>
      <c r="B232" s="2"/>
      <c r="C232" s="19"/>
      <c r="D232" s="19"/>
      <c r="E232" s="5"/>
      <c r="F232" s="20"/>
      <c r="G232" s="21"/>
      <c r="I232" s="17"/>
      <c r="J232" s="18"/>
      <c r="K232" s="39"/>
      <c r="L232" s="19"/>
      <c r="M232" s="5"/>
      <c r="N232" s="20"/>
      <c r="O232" s="21"/>
      <c r="P232" s="41">
        <f t="shared" si="2"/>
        <v>0</v>
      </c>
    </row>
    <row r="233">
      <c r="A233" s="17"/>
      <c r="B233" s="2"/>
      <c r="C233" s="19"/>
      <c r="D233" s="19"/>
      <c r="E233" s="5"/>
      <c r="F233" s="20"/>
      <c r="G233" s="21"/>
      <c r="I233" s="17"/>
      <c r="J233" s="18"/>
      <c r="K233" s="39"/>
      <c r="L233" s="19"/>
      <c r="M233" s="5"/>
      <c r="N233" s="20"/>
      <c r="O233" s="21"/>
      <c r="P233" s="41">
        <f t="shared" si="2"/>
        <v>0</v>
      </c>
    </row>
    <row r="234">
      <c r="A234" s="17"/>
      <c r="B234" s="2"/>
      <c r="C234" s="19"/>
      <c r="D234" s="19"/>
      <c r="E234" s="5"/>
      <c r="F234" s="20"/>
      <c r="G234" s="21"/>
      <c r="I234" s="17"/>
      <c r="J234" s="18"/>
      <c r="K234" s="39"/>
      <c r="L234" s="19"/>
      <c r="M234" s="5"/>
      <c r="N234" s="5"/>
      <c r="O234" s="21"/>
      <c r="P234" s="41">
        <f t="shared" si="2"/>
        <v>0</v>
      </c>
    </row>
    <row r="235">
      <c r="A235" s="17"/>
      <c r="B235" s="2"/>
      <c r="C235" s="19"/>
      <c r="D235" s="19"/>
      <c r="E235" s="5"/>
      <c r="F235" s="20"/>
      <c r="G235" s="21"/>
      <c r="I235" s="17"/>
      <c r="J235" s="18"/>
      <c r="K235" s="19"/>
      <c r="L235" s="19"/>
      <c r="M235" s="5"/>
      <c r="N235" s="20"/>
      <c r="O235" s="21"/>
      <c r="P235" s="41">
        <f t="shared" si="2"/>
        <v>0</v>
      </c>
    </row>
    <row r="236">
      <c r="A236" s="17"/>
      <c r="B236" s="2"/>
      <c r="C236" s="39"/>
      <c r="D236" s="19"/>
      <c r="E236" s="5"/>
      <c r="F236" s="20"/>
      <c r="G236" s="21"/>
      <c r="I236" s="17"/>
      <c r="J236" s="18"/>
      <c r="K236" s="19"/>
      <c r="L236" s="19"/>
      <c r="M236" s="5"/>
      <c r="N236" s="20"/>
      <c r="O236" s="21"/>
      <c r="P236" s="41">
        <f t="shared" si="2"/>
        <v>0</v>
      </c>
    </row>
    <row r="237">
      <c r="A237" s="17"/>
      <c r="B237" s="2"/>
      <c r="C237" s="39"/>
      <c r="D237" s="19"/>
      <c r="E237" s="5"/>
      <c r="F237" s="20"/>
      <c r="G237" s="21"/>
      <c r="I237" s="17"/>
      <c r="J237" s="18"/>
      <c r="K237" s="19"/>
      <c r="L237" s="19"/>
      <c r="M237" s="5"/>
      <c r="N237" s="5"/>
      <c r="O237" s="21"/>
      <c r="P237" s="41">
        <f t="shared" si="2"/>
        <v>0</v>
      </c>
    </row>
    <row r="238">
      <c r="A238" s="17"/>
      <c r="B238" s="2"/>
      <c r="C238" s="39"/>
      <c r="D238" s="19"/>
      <c r="E238" s="5"/>
      <c r="F238" s="20"/>
      <c r="G238" s="21"/>
      <c r="I238" s="17"/>
      <c r="J238" s="18"/>
      <c r="K238" s="39"/>
      <c r="L238" s="19"/>
      <c r="M238" s="5"/>
      <c r="N238" s="20"/>
      <c r="O238" s="21"/>
      <c r="P238" s="41">
        <f t="shared" si="2"/>
        <v>0</v>
      </c>
    </row>
    <row r="239">
      <c r="A239" s="17"/>
      <c r="B239" s="2"/>
      <c r="C239" s="39"/>
      <c r="D239" s="19"/>
      <c r="E239" s="5"/>
      <c r="F239" s="5"/>
      <c r="G239" s="21"/>
      <c r="I239" s="17"/>
      <c r="J239" s="18"/>
      <c r="K239" s="39"/>
      <c r="L239" s="19"/>
      <c r="M239" s="5"/>
      <c r="N239" s="20"/>
      <c r="O239" s="21"/>
      <c r="P239" s="41">
        <f t="shared" si="2"/>
        <v>0</v>
      </c>
    </row>
    <row r="240">
      <c r="A240" s="17"/>
      <c r="B240" s="2"/>
      <c r="C240" s="39"/>
      <c r="D240" s="19"/>
      <c r="E240" s="5"/>
      <c r="F240" s="20"/>
      <c r="G240" s="21"/>
      <c r="I240" s="17"/>
      <c r="J240" s="18"/>
      <c r="K240" s="39"/>
      <c r="L240" s="19"/>
      <c r="M240" s="5"/>
      <c r="N240" s="20"/>
      <c r="O240" s="21"/>
      <c r="P240" s="41">
        <f t="shared" si="2"/>
        <v>0</v>
      </c>
    </row>
    <row r="241">
      <c r="A241" s="17"/>
      <c r="B241" s="2"/>
      <c r="C241" s="39"/>
      <c r="D241" s="19"/>
      <c r="E241" s="5"/>
      <c r="F241" s="5"/>
      <c r="G241" s="21"/>
      <c r="I241" s="17"/>
      <c r="J241" s="18"/>
      <c r="K241" s="39"/>
      <c r="L241" s="19"/>
      <c r="M241" s="5"/>
      <c r="N241" s="20"/>
      <c r="O241" s="21"/>
      <c r="P241" s="41">
        <f t="shared" si="2"/>
        <v>0</v>
      </c>
    </row>
    <row r="242">
      <c r="A242" s="17"/>
      <c r="B242" s="2"/>
      <c r="C242" s="39"/>
      <c r="D242" s="19"/>
      <c r="E242" s="5"/>
      <c r="F242" s="20"/>
      <c r="G242" s="21"/>
      <c r="I242" s="17"/>
      <c r="J242" s="18"/>
      <c r="K242" s="39"/>
      <c r="L242" s="19"/>
      <c r="M242" s="5"/>
      <c r="N242" s="20"/>
      <c r="O242" s="21"/>
      <c r="P242" s="41">
        <f t="shared" si="2"/>
        <v>0</v>
      </c>
    </row>
    <row r="243">
      <c r="A243" s="17"/>
      <c r="B243" s="2"/>
      <c r="C243" s="39"/>
      <c r="D243" s="19"/>
      <c r="E243" s="5"/>
      <c r="F243" s="20"/>
      <c r="G243" s="21"/>
      <c r="I243" s="17"/>
      <c r="J243" s="18"/>
      <c r="K243" s="39"/>
      <c r="L243" s="19"/>
      <c r="M243" s="5"/>
      <c r="N243" s="5"/>
      <c r="O243" s="21"/>
      <c r="P243" s="41">
        <f t="shared" si="2"/>
        <v>0</v>
      </c>
    </row>
    <row r="244">
      <c r="A244" s="17"/>
      <c r="B244" s="2"/>
      <c r="C244" s="39"/>
      <c r="D244" s="19"/>
      <c r="E244" s="5"/>
      <c r="F244" s="5"/>
      <c r="G244" s="21"/>
      <c r="I244" s="17"/>
      <c r="J244" s="18"/>
      <c r="K244" s="39"/>
      <c r="L244" s="19"/>
      <c r="M244" s="5"/>
      <c r="N244" s="20"/>
      <c r="O244" s="21"/>
      <c r="P244" s="41">
        <f t="shared" si="2"/>
        <v>0</v>
      </c>
    </row>
    <row r="245">
      <c r="A245" s="17"/>
      <c r="B245" s="2"/>
      <c r="C245" s="39"/>
      <c r="D245" s="19"/>
      <c r="E245" s="5"/>
      <c r="F245" s="20"/>
      <c r="G245" s="21"/>
      <c r="I245" s="17"/>
      <c r="J245" s="18"/>
      <c r="K245" s="39"/>
      <c r="L245" s="19"/>
      <c r="M245" s="5"/>
      <c r="N245" s="20"/>
      <c r="O245" s="21"/>
      <c r="P245" s="41">
        <f t="shared" si="2"/>
        <v>0</v>
      </c>
    </row>
    <row r="246">
      <c r="A246" s="17"/>
      <c r="B246" s="2"/>
      <c r="C246" s="39"/>
      <c r="D246" s="19"/>
      <c r="E246" s="5"/>
      <c r="F246" s="20"/>
      <c r="G246" s="21"/>
      <c r="I246" s="17"/>
      <c r="J246" s="18"/>
      <c r="K246" s="39"/>
      <c r="L246" s="19"/>
      <c r="M246" s="5"/>
      <c r="N246" s="5"/>
      <c r="O246" s="21"/>
      <c r="P246" s="41">
        <f t="shared" si="2"/>
        <v>0</v>
      </c>
    </row>
    <row r="247">
      <c r="A247" s="17"/>
      <c r="B247" s="2"/>
      <c r="C247" s="19"/>
      <c r="D247" s="19"/>
      <c r="E247" s="5"/>
      <c r="F247" s="20"/>
      <c r="G247" s="21"/>
      <c r="I247" s="17"/>
      <c r="J247" s="18"/>
      <c r="K247" s="39"/>
      <c r="L247" s="19"/>
      <c r="M247" s="5"/>
      <c r="N247" s="20"/>
      <c r="O247" s="21"/>
      <c r="P247" s="41">
        <f t="shared" si="2"/>
        <v>0</v>
      </c>
    </row>
    <row r="248">
      <c r="A248" s="17"/>
      <c r="B248" s="2"/>
      <c r="C248" s="19"/>
      <c r="D248" s="19"/>
      <c r="E248" s="5"/>
      <c r="F248" s="20"/>
      <c r="G248" s="21"/>
      <c r="I248" s="17"/>
      <c r="J248" s="18"/>
      <c r="K248" s="39"/>
      <c r="L248" s="19"/>
      <c r="M248" s="5"/>
      <c r="N248" s="20"/>
      <c r="O248" s="21"/>
      <c r="P248" s="41">
        <f t="shared" si="2"/>
        <v>0</v>
      </c>
    </row>
    <row r="249">
      <c r="A249" s="17"/>
      <c r="B249" s="2"/>
      <c r="C249" s="19"/>
      <c r="D249" s="19"/>
      <c r="E249" s="5"/>
      <c r="F249" s="5"/>
      <c r="G249" s="21"/>
      <c r="I249" s="17"/>
      <c r="J249" s="18"/>
      <c r="K249" s="39"/>
      <c r="L249" s="19"/>
      <c r="M249" s="5"/>
      <c r="N249" s="20"/>
      <c r="O249" s="21"/>
      <c r="P249" s="41">
        <f t="shared" si="2"/>
        <v>0</v>
      </c>
    </row>
    <row r="250">
      <c r="A250" s="17"/>
      <c r="B250" s="2"/>
      <c r="C250" s="19"/>
      <c r="D250" s="19"/>
      <c r="E250" s="5"/>
      <c r="F250" s="20"/>
      <c r="G250" s="21"/>
      <c r="P250" s="41">
        <f t="shared" si="2"/>
        <v>0</v>
      </c>
    </row>
    <row r="251">
      <c r="A251" s="17"/>
      <c r="B251" s="2"/>
      <c r="C251" s="19"/>
      <c r="D251" s="19"/>
      <c r="E251" s="5"/>
      <c r="F251" s="5"/>
      <c r="G251" s="21"/>
      <c r="P251" s="41">
        <f t="shared" si="2"/>
        <v>0</v>
      </c>
    </row>
    <row r="252">
      <c r="A252" s="17"/>
      <c r="B252" s="2"/>
      <c r="C252" s="19"/>
      <c r="D252" s="19"/>
      <c r="E252" s="5"/>
      <c r="F252" s="20"/>
      <c r="G252" s="21"/>
      <c r="P252" s="41">
        <f t="shared" si="2"/>
        <v>0</v>
      </c>
    </row>
    <row r="253">
      <c r="A253" s="17"/>
      <c r="B253" s="2"/>
      <c r="C253" s="19"/>
      <c r="D253" s="19"/>
      <c r="E253" s="5"/>
      <c r="F253" s="5"/>
      <c r="G253" s="21"/>
      <c r="P253" s="41">
        <f t="shared" si="2"/>
        <v>0</v>
      </c>
    </row>
    <row r="254">
      <c r="A254" s="17"/>
      <c r="B254" s="2"/>
      <c r="C254" s="39"/>
      <c r="D254" s="19"/>
      <c r="E254" s="5"/>
      <c r="F254" s="20"/>
      <c r="G254" s="21"/>
      <c r="P254" s="41">
        <f t="shared" si="2"/>
        <v>0</v>
      </c>
    </row>
    <row r="255">
      <c r="A255" s="17"/>
      <c r="B255" s="2"/>
      <c r="C255" s="39"/>
      <c r="D255" s="19"/>
      <c r="E255" s="5"/>
      <c r="F255" s="20"/>
      <c r="G255" s="21"/>
      <c r="P255" s="41">
        <f t="shared" si="2"/>
        <v>0</v>
      </c>
    </row>
    <row r="256">
      <c r="A256" s="17"/>
      <c r="B256" s="2"/>
      <c r="C256" s="39"/>
      <c r="D256" s="19"/>
      <c r="E256" s="5"/>
      <c r="F256" s="20"/>
      <c r="G256" s="21"/>
      <c r="P256" s="41">
        <f t="shared" si="2"/>
        <v>0</v>
      </c>
    </row>
    <row r="257">
      <c r="A257" s="17"/>
      <c r="B257" s="2"/>
      <c r="C257" s="39"/>
      <c r="D257" s="19"/>
      <c r="E257" s="5"/>
      <c r="F257" s="5"/>
      <c r="G257" s="21"/>
      <c r="P257" s="41">
        <f t="shared" si="2"/>
        <v>0</v>
      </c>
    </row>
    <row r="258">
      <c r="A258" s="17"/>
      <c r="B258" s="2"/>
      <c r="C258" s="39"/>
      <c r="D258" s="19"/>
      <c r="E258" s="5"/>
      <c r="F258" s="20"/>
      <c r="G258" s="21"/>
      <c r="P258" s="41">
        <f t="shared" si="2"/>
        <v>0</v>
      </c>
    </row>
    <row r="259">
      <c r="A259" s="17"/>
      <c r="B259" s="2"/>
      <c r="C259" s="19"/>
      <c r="D259" s="19"/>
      <c r="E259" s="5"/>
      <c r="F259" s="20"/>
      <c r="G259" s="21"/>
      <c r="P259" s="41">
        <f t="shared" si="2"/>
        <v>0</v>
      </c>
    </row>
    <row r="260">
      <c r="A260" s="17"/>
      <c r="B260" s="2"/>
      <c r="C260" s="19"/>
      <c r="D260" s="19"/>
      <c r="E260" s="5"/>
      <c r="F260" s="20"/>
      <c r="G260" s="21"/>
      <c r="P260" s="41">
        <f t="shared" si="2"/>
        <v>0</v>
      </c>
    </row>
    <row r="261">
      <c r="A261" s="17"/>
      <c r="B261" s="2"/>
      <c r="C261" s="19"/>
      <c r="D261" s="19"/>
      <c r="E261" s="5"/>
      <c r="F261" s="20"/>
      <c r="G261" s="21"/>
      <c r="P261" s="41">
        <f t="shared" si="2"/>
        <v>0</v>
      </c>
    </row>
    <row r="262">
      <c r="A262" s="17"/>
      <c r="B262" s="2"/>
      <c r="C262" s="19"/>
      <c r="D262" s="19"/>
      <c r="E262" s="5"/>
      <c r="F262" s="20"/>
      <c r="G262" s="21"/>
      <c r="P262" s="41">
        <f t="shared" si="2"/>
        <v>0</v>
      </c>
    </row>
    <row r="263">
      <c r="A263" s="17"/>
      <c r="B263" s="2"/>
      <c r="C263" s="19"/>
      <c r="D263" s="19"/>
      <c r="E263" s="5"/>
      <c r="F263" s="5"/>
      <c r="G263" s="21"/>
      <c r="P263" s="41">
        <f t="shared" si="2"/>
        <v>0</v>
      </c>
    </row>
    <row r="264">
      <c r="A264" s="17"/>
      <c r="B264" s="2"/>
      <c r="C264" s="19"/>
      <c r="D264" s="19"/>
      <c r="E264" s="5"/>
      <c r="F264" s="20"/>
      <c r="G264" s="21"/>
      <c r="P264" s="41">
        <f t="shared" si="2"/>
        <v>0</v>
      </c>
    </row>
    <row r="265">
      <c r="A265" s="17"/>
      <c r="B265" s="2"/>
      <c r="C265" s="19"/>
      <c r="D265" s="19"/>
      <c r="E265" s="5"/>
      <c r="F265" s="20"/>
      <c r="G265" s="21"/>
      <c r="P265" s="41">
        <f t="shared" si="2"/>
        <v>0</v>
      </c>
    </row>
    <row r="266">
      <c r="A266" s="17"/>
      <c r="B266" s="2"/>
      <c r="C266" s="19"/>
      <c r="D266" s="19"/>
      <c r="E266" s="5"/>
      <c r="F266" s="20"/>
      <c r="G266" s="21"/>
      <c r="P266" s="41">
        <f t="shared" si="2"/>
        <v>0</v>
      </c>
    </row>
    <row r="267">
      <c r="A267" s="17"/>
      <c r="B267" s="2"/>
      <c r="C267" s="19"/>
      <c r="D267" s="19"/>
      <c r="E267" s="5"/>
      <c r="F267" s="5"/>
      <c r="G267" s="21"/>
      <c r="P267" s="41">
        <f t="shared" si="2"/>
        <v>0</v>
      </c>
    </row>
    <row r="268">
      <c r="A268" s="17"/>
      <c r="B268" s="2"/>
      <c r="C268" s="19"/>
      <c r="D268" s="19"/>
      <c r="E268" s="5"/>
      <c r="F268" s="20"/>
      <c r="G268" s="21"/>
      <c r="P268" s="41">
        <f t="shared" si="2"/>
        <v>0</v>
      </c>
    </row>
    <row r="269">
      <c r="A269" s="17"/>
      <c r="B269" s="2"/>
      <c r="C269" s="19"/>
      <c r="D269" s="19"/>
      <c r="E269" s="5"/>
      <c r="F269" s="5"/>
      <c r="G269" s="21"/>
      <c r="P269" s="41">
        <f t="shared" si="2"/>
        <v>0</v>
      </c>
    </row>
    <row r="270">
      <c r="A270" s="17"/>
      <c r="B270" s="2"/>
      <c r="C270" s="39"/>
      <c r="D270" s="19"/>
      <c r="E270" s="5"/>
      <c r="F270" s="20"/>
      <c r="G270" s="21"/>
      <c r="P270" s="41">
        <f t="shared" si="2"/>
        <v>0</v>
      </c>
    </row>
    <row r="271">
      <c r="A271" s="17"/>
      <c r="B271" s="2"/>
      <c r="C271" s="39"/>
      <c r="D271" s="19"/>
      <c r="E271" s="5"/>
      <c r="F271" s="20"/>
      <c r="G271" s="21"/>
      <c r="P271" s="41">
        <f t="shared" si="2"/>
        <v>0</v>
      </c>
    </row>
    <row r="272">
      <c r="A272" s="17"/>
      <c r="B272" s="2"/>
      <c r="C272" s="39"/>
      <c r="D272" s="19"/>
      <c r="E272" s="5"/>
      <c r="F272" s="20"/>
      <c r="G272" s="21"/>
      <c r="P272" s="41">
        <f t="shared" si="2"/>
        <v>0</v>
      </c>
    </row>
    <row r="273">
      <c r="A273" s="17"/>
      <c r="B273" s="2"/>
      <c r="C273" s="39"/>
      <c r="D273" s="19"/>
      <c r="E273" s="5"/>
      <c r="F273" s="5"/>
      <c r="G273" s="21"/>
      <c r="P273" s="41">
        <f t="shared" si="2"/>
        <v>0</v>
      </c>
    </row>
    <row r="274">
      <c r="A274" s="17"/>
      <c r="B274" s="2"/>
      <c r="C274" s="39"/>
      <c r="D274" s="19"/>
      <c r="E274" s="5"/>
      <c r="F274" s="20"/>
      <c r="G274" s="21"/>
      <c r="P274" s="41">
        <f t="shared" si="2"/>
        <v>0</v>
      </c>
    </row>
    <row r="275">
      <c r="A275" s="17"/>
      <c r="B275" s="2"/>
      <c r="C275" s="39"/>
      <c r="D275" s="19"/>
      <c r="E275" s="5"/>
      <c r="F275" s="20"/>
      <c r="G275" s="21"/>
      <c r="P275" s="41">
        <f t="shared" si="2"/>
        <v>0</v>
      </c>
    </row>
    <row r="276">
      <c r="A276" s="17"/>
      <c r="B276" s="2"/>
      <c r="C276" s="39"/>
      <c r="D276" s="19"/>
      <c r="E276" s="5"/>
      <c r="F276" s="20"/>
      <c r="G276" s="21"/>
      <c r="P276" s="41">
        <f t="shared" si="2"/>
        <v>0</v>
      </c>
    </row>
    <row r="277">
      <c r="A277" s="17"/>
      <c r="B277" s="2"/>
      <c r="C277" s="39"/>
      <c r="D277" s="19"/>
      <c r="E277" s="5"/>
      <c r="F277" s="20"/>
      <c r="G277" s="21"/>
      <c r="P277" s="41">
        <f t="shared" si="2"/>
        <v>0</v>
      </c>
    </row>
    <row r="278">
      <c r="A278" s="17"/>
      <c r="B278" s="2"/>
      <c r="C278" s="39"/>
      <c r="D278" s="19"/>
      <c r="E278" s="5"/>
      <c r="F278" s="20"/>
      <c r="G278" s="21"/>
      <c r="P278" s="41">
        <f t="shared" si="2"/>
        <v>0</v>
      </c>
    </row>
    <row r="279">
      <c r="A279" s="17"/>
      <c r="B279" s="2"/>
      <c r="C279" s="39"/>
      <c r="D279" s="19"/>
      <c r="E279" s="5"/>
      <c r="F279" s="20"/>
      <c r="G279" s="21"/>
      <c r="P279" s="41">
        <f t="shared" si="2"/>
        <v>0</v>
      </c>
    </row>
    <row r="280">
      <c r="A280" s="17"/>
      <c r="B280" s="2"/>
      <c r="C280" s="39"/>
      <c r="D280" s="19"/>
      <c r="E280" s="5"/>
      <c r="F280" s="5"/>
      <c r="G280" s="21"/>
      <c r="P280" s="41">
        <f t="shared" si="2"/>
        <v>0</v>
      </c>
    </row>
    <row r="281">
      <c r="A281" s="17"/>
      <c r="B281" s="2"/>
      <c r="C281" s="39"/>
      <c r="D281" s="19"/>
      <c r="E281" s="5"/>
      <c r="F281" s="20"/>
      <c r="G281" s="21"/>
      <c r="P281" s="41">
        <f t="shared" si="2"/>
        <v>0</v>
      </c>
    </row>
    <row r="282">
      <c r="A282" s="17"/>
      <c r="B282" s="2"/>
      <c r="C282" s="39"/>
      <c r="D282" s="19"/>
      <c r="E282" s="5"/>
      <c r="F282" s="5"/>
      <c r="G282" s="21"/>
      <c r="P282" s="41">
        <f t="shared" si="2"/>
        <v>0</v>
      </c>
    </row>
    <row r="283">
      <c r="A283" s="17"/>
      <c r="B283" s="2"/>
      <c r="C283" s="39"/>
      <c r="D283" s="19"/>
      <c r="E283" s="5"/>
      <c r="F283" s="20"/>
      <c r="G283" s="21"/>
      <c r="P283" s="41">
        <f t="shared" si="2"/>
        <v>0</v>
      </c>
    </row>
    <row r="284">
      <c r="A284" s="17"/>
      <c r="B284" s="2"/>
      <c r="C284" s="39"/>
      <c r="D284" s="19"/>
      <c r="E284" s="5"/>
      <c r="F284" s="5"/>
      <c r="G284" s="21"/>
      <c r="P284" s="41">
        <f t="shared" si="2"/>
        <v>0</v>
      </c>
    </row>
    <row r="285">
      <c r="A285" s="17"/>
      <c r="B285" s="2"/>
      <c r="C285" s="39"/>
      <c r="D285" s="19"/>
      <c r="E285" s="5"/>
      <c r="F285" s="20"/>
      <c r="G285" s="21"/>
      <c r="P285" s="41">
        <f t="shared" si="2"/>
        <v>0</v>
      </c>
    </row>
    <row r="286">
      <c r="A286" s="17"/>
      <c r="B286" s="2"/>
      <c r="C286" s="39"/>
      <c r="D286" s="19"/>
      <c r="E286" s="5"/>
      <c r="F286" s="15"/>
      <c r="G286" s="16"/>
      <c r="P286" s="41">
        <f t="shared" si="2"/>
        <v>0</v>
      </c>
    </row>
    <row r="287">
      <c r="A287" s="17"/>
      <c r="B287" s="2"/>
      <c r="C287" s="39"/>
      <c r="D287" s="19"/>
      <c r="E287" s="5"/>
      <c r="F287" s="20"/>
      <c r="G287" s="21"/>
      <c r="P287" s="41">
        <f t="shared" si="2"/>
        <v>0</v>
      </c>
    </row>
    <row r="288">
      <c r="A288" s="17"/>
      <c r="B288" s="2"/>
      <c r="C288" s="39"/>
      <c r="D288" s="19"/>
      <c r="E288" s="5"/>
      <c r="F288" s="20"/>
      <c r="G288" s="21"/>
      <c r="P288" s="41">
        <f t="shared" si="2"/>
        <v>0</v>
      </c>
    </row>
    <row r="289">
      <c r="A289" s="17"/>
      <c r="B289" s="2"/>
      <c r="C289" s="39"/>
      <c r="D289" s="19"/>
      <c r="E289" s="5"/>
      <c r="F289" s="20"/>
      <c r="G289" s="21"/>
      <c r="P289" s="41">
        <f t="shared" si="2"/>
        <v>0</v>
      </c>
    </row>
    <row r="290">
      <c r="A290" s="17"/>
      <c r="B290" s="2"/>
      <c r="C290" s="39"/>
      <c r="D290" s="19"/>
      <c r="E290" s="5"/>
      <c r="F290" s="20"/>
      <c r="G290" s="21"/>
      <c r="P290" s="41">
        <f t="shared" si="2"/>
        <v>0</v>
      </c>
    </row>
    <row r="291">
      <c r="A291" s="17"/>
      <c r="B291" s="2"/>
      <c r="C291" s="39"/>
      <c r="D291" s="19"/>
      <c r="E291" s="5"/>
      <c r="F291" s="20"/>
      <c r="G291" s="21"/>
      <c r="P291" s="41">
        <f t="shared" si="2"/>
        <v>0</v>
      </c>
    </row>
    <row r="292">
      <c r="A292" s="17"/>
      <c r="B292" s="2"/>
      <c r="C292" s="39"/>
      <c r="D292" s="19"/>
      <c r="E292" s="5"/>
      <c r="F292" s="20"/>
      <c r="G292" s="21"/>
      <c r="P292" s="41">
        <f t="shared" si="2"/>
        <v>0</v>
      </c>
    </row>
    <row r="293">
      <c r="A293" s="17"/>
      <c r="B293" s="2"/>
      <c r="C293" s="39"/>
      <c r="D293" s="19"/>
      <c r="E293" s="5"/>
      <c r="F293" s="5"/>
      <c r="G293" s="21"/>
      <c r="P293" s="41">
        <f t="shared" si="2"/>
        <v>0</v>
      </c>
    </row>
    <row r="294">
      <c r="A294" s="17"/>
      <c r="B294" s="2"/>
      <c r="C294" s="39"/>
      <c r="D294" s="19"/>
      <c r="E294" s="5"/>
      <c r="F294" s="20"/>
      <c r="G294" s="21"/>
      <c r="P294" s="41">
        <f t="shared" si="2"/>
        <v>0</v>
      </c>
    </row>
    <row r="295">
      <c r="A295" s="17"/>
      <c r="B295" s="2"/>
      <c r="C295" s="39"/>
      <c r="D295" s="19"/>
      <c r="E295" s="5"/>
      <c r="F295" s="5"/>
      <c r="G295" s="21"/>
      <c r="P295" s="41">
        <f t="shared" si="2"/>
        <v>0</v>
      </c>
    </row>
    <row r="296">
      <c r="A296" s="17"/>
      <c r="B296" s="2"/>
      <c r="C296" s="39"/>
      <c r="D296" s="19"/>
      <c r="E296" s="5"/>
      <c r="F296" s="20"/>
      <c r="G296" s="21"/>
      <c r="P296" s="41">
        <f t="shared" si="2"/>
        <v>0</v>
      </c>
    </row>
    <row r="297">
      <c r="A297" s="17"/>
      <c r="B297" s="2"/>
      <c r="C297" s="39"/>
      <c r="D297" s="19"/>
      <c r="E297" s="5"/>
      <c r="F297" s="20"/>
      <c r="G297" s="21"/>
      <c r="P297" s="41">
        <f t="shared" si="2"/>
        <v>0</v>
      </c>
    </row>
    <row r="298">
      <c r="A298" s="17"/>
      <c r="B298" s="2"/>
      <c r="C298" s="39"/>
      <c r="D298" s="19"/>
      <c r="E298" s="5"/>
      <c r="F298" s="5"/>
      <c r="G298" s="21"/>
      <c r="P298" s="41">
        <f t="shared" si="2"/>
        <v>0</v>
      </c>
    </row>
    <row r="299">
      <c r="A299" s="17"/>
      <c r="B299" s="2"/>
      <c r="C299" s="39"/>
      <c r="D299" s="19"/>
      <c r="E299" s="5"/>
      <c r="F299" s="20"/>
      <c r="G299" s="21"/>
      <c r="P299" s="41">
        <f t="shared" si="2"/>
        <v>0</v>
      </c>
    </row>
    <row r="300">
      <c r="A300" s="17"/>
      <c r="B300" s="2"/>
      <c r="C300" s="39"/>
      <c r="D300" s="19"/>
      <c r="E300" s="5"/>
      <c r="F300" s="5"/>
      <c r="G300" s="21"/>
      <c r="P300" s="41">
        <f t="shared" si="2"/>
        <v>0</v>
      </c>
    </row>
    <row r="301">
      <c r="A301" s="17"/>
      <c r="B301" s="2"/>
      <c r="C301" s="39"/>
      <c r="D301" s="19"/>
      <c r="E301" s="5"/>
      <c r="F301" s="20"/>
      <c r="G301" s="21"/>
      <c r="P301" s="41">
        <f t="shared" si="2"/>
        <v>0</v>
      </c>
    </row>
    <row r="302">
      <c r="A302" s="17"/>
      <c r="B302" s="2"/>
      <c r="C302" s="39"/>
      <c r="D302" s="19"/>
      <c r="E302" s="5"/>
      <c r="F302" s="20"/>
      <c r="G302" s="21"/>
      <c r="P302" s="41">
        <f t="shared" si="2"/>
        <v>0</v>
      </c>
    </row>
    <row r="303">
      <c r="A303" s="17"/>
      <c r="B303" s="2"/>
      <c r="C303" s="39"/>
      <c r="D303" s="19"/>
      <c r="E303" s="5"/>
      <c r="F303" s="20"/>
      <c r="G303" s="21"/>
      <c r="P303" s="41">
        <f t="shared" si="2"/>
        <v>0</v>
      </c>
    </row>
    <row r="304">
      <c r="A304" s="17"/>
      <c r="B304" s="2"/>
      <c r="C304" s="39"/>
      <c r="D304" s="19"/>
      <c r="E304" s="5"/>
      <c r="F304" s="20"/>
      <c r="G304" s="21"/>
      <c r="P304" s="41">
        <f t="shared" si="2"/>
        <v>0</v>
      </c>
    </row>
    <row r="305">
      <c r="A305" s="17"/>
      <c r="B305" s="2"/>
      <c r="C305" s="39"/>
      <c r="D305" s="19"/>
      <c r="E305" s="5"/>
      <c r="F305" s="20"/>
      <c r="G305" s="21"/>
      <c r="P305" s="41">
        <f t="shared" si="2"/>
        <v>0</v>
      </c>
    </row>
    <row r="306">
      <c r="A306" s="17"/>
      <c r="B306" s="2"/>
      <c r="C306" s="39"/>
      <c r="D306" s="19"/>
      <c r="E306" s="5"/>
      <c r="F306" s="20"/>
      <c r="G306" s="21"/>
      <c r="P306" s="41">
        <f t="shared" si="2"/>
        <v>0</v>
      </c>
    </row>
    <row r="307">
      <c r="A307" s="17"/>
      <c r="B307" s="2"/>
      <c r="C307" s="39"/>
      <c r="D307" s="19"/>
      <c r="E307" s="5"/>
      <c r="F307" s="5"/>
      <c r="G307" s="21"/>
      <c r="P307" s="41">
        <f t="shared" si="2"/>
        <v>0</v>
      </c>
    </row>
    <row r="308">
      <c r="A308" s="17"/>
      <c r="B308" s="2"/>
      <c r="C308" s="39"/>
      <c r="D308" s="19"/>
      <c r="E308" s="5"/>
      <c r="F308" s="20"/>
      <c r="G308" s="21"/>
      <c r="P308" s="41">
        <f t="shared" si="2"/>
        <v>0</v>
      </c>
    </row>
    <row r="309">
      <c r="A309" s="17"/>
      <c r="B309" s="2"/>
      <c r="C309" s="39"/>
      <c r="D309" s="19"/>
      <c r="E309" s="5"/>
      <c r="F309" s="20"/>
      <c r="G309" s="21"/>
      <c r="P309" s="41">
        <f t="shared" si="2"/>
        <v>0</v>
      </c>
    </row>
    <row r="310">
      <c r="A310" s="17"/>
      <c r="B310" s="2"/>
      <c r="C310" s="39"/>
      <c r="D310" s="19"/>
      <c r="E310" s="5"/>
      <c r="F310" s="5"/>
      <c r="G310" s="21"/>
      <c r="P310" s="41">
        <f t="shared" si="2"/>
        <v>0</v>
      </c>
    </row>
    <row r="311">
      <c r="A311" s="17"/>
      <c r="B311" s="2"/>
      <c r="C311" s="39"/>
      <c r="D311" s="19"/>
      <c r="E311" s="5"/>
      <c r="F311" s="20"/>
      <c r="G311" s="21"/>
      <c r="P311" s="41">
        <f t="shared" si="2"/>
        <v>0</v>
      </c>
    </row>
    <row r="312">
      <c r="A312" s="17"/>
      <c r="B312" s="2"/>
      <c r="C312" s="39"/>
      <c r="D312" s="19"/>
      <c r="E312" s="5"/>
      <c r="F312" s="5"/>
      <c r="G312" s="21"/>
      <c r="P312" s="41">
        <f t="shared" si="2"/>
        <v>0</v>
      </c>
    </row>
    <row r="313">
      <c r="A313" s="17"/>
      <c r="B313" s="2"/>
      <c r="C313" s="39"/>
      <c r="D313" s="19"/>
      <c r="E313" s="5"/>
      <c r="F313" s="20"/>
      <c r="G313" s="21"/>
      <c r="P313" s="41">
        <f t="shared" si="2"/>
        <v>0</v>
      </c>
    </row>
    <row r="314">
      <c r="A314" s="17"/>
      <c r="B314" s="2"/>
      <c r="C314" s="39"/>
      <c r="D314" s="19"/>
      <c r="E314" s="5"/>
      <c r="F314" s="20"/>
      <c r="G314" s="21"/>
      <c r="P314" s="41">
        <f t="shared" si="2"/>
        <v>0</v>
      </c>
    </row>
    <row r="315">
      <c r="A315" s="17"/>
      <c r="B315" s="2"/>
      <c r="C315" s="39"/>
      <c r="D315" s="19"/>
      <c r="E315" s="5"/>
      <c r="F315" s="20"/>
      <c r="G315" s="21"/>
      <c r="P315" s="41">
        <f t="shared" si="2"/>
        <v>0</v>
      </c>
    </row>
    <row r="316">
      <c r="A316" s="17"/>
      <c r="B316" s="2"/>
      <c r="C316" s="39"/>
      <c r="D316" s="19"/>
      <c r="E316" s="5"/>
      <c r="F316" s="20"/>
      <c r="G316" s="21"/>
      <c r="P316" s="41">
        <f t="shared" si="2"/>
        <v>0</v>
      </c>
    </row>
    <row r="317">
      <c r="A317" s="17"/>
      <c r="B317" s="2"/>
      <c r="C317" s="39"/>
      <c r="D317" s="19"/>
      <c r="E317" s="5"/>
      <c r="F317" s="20"/>
      <c r="G317" s="21"/>
      <c r="P317" s="41">
        <f t="shared" si="2"/>
        <v>0</v>
      </c>
    </row>
    <row r="318">
      <c r="A318" s="17"/>
      <c r="B318" s="2"/>
      <c r="C318" s="19"/>
      <c r="D318" s="19"/>
      <c r="E318" s="5"/>
      <c r="F318" s="5"/>
      <c r="G318" s="21"/>
      <c r="P318" s="41">
        <f t="shared" si="2"/>
        <v>0</v>
      </c>
    </row>
    <row r="319">
      <c r="A319" s="17"/>
      <c r="B319" s="2"/>
      <c r="C319" s="19"/>
      <c r="D319" s="19"/>
      <c r="E319" s="5"/>
      <c r="F319" s="20"/>
      <c r="G319" s="21"/>
      <c r="P319" s="41">
        <f t="shared" si="2"/>
        <v>0</v>
      </c>
    </row>
    <row r="320">
      <c r="A320" s="17"/>
      <c r="B320" s="2"/>
      <c r="C320" s="19"/>
      <c r="D320" s="19"/>
      <c r="E320" s="5"/>
      <c r="F320" s="20"/>
      <c r="G320" s="21"/>
      <c r="P320" s="41">
        <f t="shared" si="2"/>
        <v>0</v>
      </c>
    </row>
    <row r="321">
      <c r="A321" s="17"/>
      <c r="B321" s="2"/>
      <c r="C321" s="19"/>
      <c r="D321" s="19"/>
      <c r="E321" s="5"/>
      <c r="F321" s="20"/>
      <c r="G321" s="21"/>
      <c r="P321" s="41">
        <f t="shared" si="2"/>
        <v>0</v>
      </c>
    </row>
    <row r="322">
      <c r="A322" s="17"/>
      <c r="B322" s="2"/>
      <c r="C322" s="19"/>
      <c r="D322" s="19"/>
      <c r="E322" s="5"/>
      <c r="F322" s="20"/>
      <c r="G322" s="21"/>
      <c r="P322" s="41">
        <f t="shared" si="2"/>
        <v>0</v>
      </c>
    </row>
    <row r="323">
      <c r="A323" s="17"/>
      <c r="B323" s="2"/>
      <c r="C323" s="19"/>
      <c r="D323" s="19"/>
      <c r="E323" s="5"/>
      <c r="F323" s="20"/>
      <c r="G323" s="21"/>
      <c r="P323" s="41">
        <f t="shared" si="2"/>
        <v>0</v>
      </c>
    </row>
    <row r="324">
      <c r="A324" s="17"/>
      <c r="B324" s="2"/>
      <c r="C324" s="19"/>
      <c r="D324" s="19"/>
      <c r="E324" s="5"/>
      <c r="F324" s="20"/>
      <c r="G324" s="21"/>
      <c r="P324" s="41">
        <f t="shared" si="2"/>
        <v>0</v>
      </c>
    </row>
    <row r="325">
      <c r="A325" s="17"/>
      <c r="B325" s="2"/>
      <c r="C325" s="19"/>
      <c r="D325" s="19"/>
      <c r="E325" s="5"/>
      <c r="F325" s="5"/>
      <c r="G325" s="21"/>
      <c r="P325" s="41">
        <f t="shared" si="2"/>
        <v>0</v>
      </c>
    </row>
    <row r="326">
      <c r="A326" s="17"/>
      <c r="B326" s="2"/>
      <c r="C326" s="19"/>
      <c r="D326" s="19"/>
      <c r="E326" s="5"/>
      <c r="F326" s="20"/>
      <c r="G326" s="21"/>
      <c r="P326" s="41">
        <f t="shared" si="2"/>
        <v>0</v>
      </c>
    </row>
    <row r="327">
      <c r="A327" s="17"/>
      <c r="B327" s="2"/>
      <c r="C327" s="19"/>
      <c r="D327" s="19"/>
      <c r="E327" s="5"/>
      <c r="F327" s="5"/>
      <c r="G327" s="21"/>
      <c r="P327" s="41">
        <f t="shared" si="2"/>
        <v>0</v>
      </c>
    </row>
    <row r="328">
      <c r="A328" s="17"/>
      <c r="B328" s="2"/>
      <c r="C328" s="39"/>
      <c r="D328" s="19"/>
      <c r="E328" s="5"/>
      <c r="F328" s="20"/>
      <c r="G328" s="21"/>
      <c r="P328" s="41">
        <f t="shared" si="2"/>
        <v>0</v>
      </c>
    </row>
    <row r="329">
      <c r="A329" s="17"/>
      <c r="B329" s="2"/>
      <c r="C329" s="39"/>
      <c r="D329" s="19"/>
      <c r="E329" s="5"/>
      <c r="F329" s="5"/>
      <c r="G329" s="21"/>
      <c r="P329" s="41">
        <f t="shared" si="2"/>
        <v>0</v>
      </c>
    </row>
    <row r="330">
      <c r="A330" s="17"/>
      <c r="B330" s="2"/>
      <c r="C330" s="39"/>
      <c r="D330" s="19"/>
      <c r="E330" s="5"/>
      <c r="F330" s="20"/>
      <c r="G330" s="21"/>
      <c r="P330" s="41">
        <f t="shared" si="2"/>
        <v>0</v>
      </c>
    </row>
    <row r="331">
      <c r="A331" s="17"/>
      <c r="B331" s="2"/>
      <c r="C331" s="39"/>
      <c r="D331" s="19"/>
      <c r="E331" s="5"/>
      <c r="F331" s="5"/>
      <c r="G331" s="21"/>
      <c r="P331" s="41">
        <f t="shared" si="2"/>
        <v>0</v>
      </c>
    </row>
    <row r="332">
      <c r="A332" s="17"/>
      <c r="B332" s="2"/>
      <c r="C332" s="39"/>
      <c r="D332" s="19"/>
      <c r="E332" s="5"/>
      <c r="F332" s="20"/>
      <c r="G332" s="21"/>
      <c r="P332" s="41">
        <f t="shared" si="2"/>
        <v>0</v>
      </c>
    </row>
    <row r="333">
      <c r="A333" s="17"/>
      <c r="B333" s="2"/>
      <c r="C333" s="39"/>
      <c r="D333" s="19"/>
      <c r="E333" s="5"/>
      <c r="F333" s="5"/>
      <c r="G333" s="21"/>
      <c r="P333" s="41">
        <f t="shared" si="2"/>
        <v>0</v>
      </c>
    </row>
    <row r="334">
      <c r="A334" s="17"/>
      <c r="B334" s="2"/>
      <c r="C334" s="39"/>
      <c r="D334" s="19"/>
      <c r="E334" s="5"/>
      <c r="F334" s="20"/>
      <c r="G334" s="21"/>
      <c r="P334" s="41">
        <f t="shared" si="2"/>
        <v>0</v>
      </c>
    </row>
    <row r="335">
      <c r="A335" s="17"/>
      <c r="B335" s="2"/>
      <c r="C335" s="39"/>
      <c r="D335" s="19"/>
      <c r="E335" s="5"/>
      <c r="F335" s="5"/>
      <c r="G335" s="21"/>
      <c r="P335" s="41">
        <f t="shared" si="2"/>
        <v>0</v>
      </c>
    </row>
    <row r="336">
      <c r="A336" s="17"/>
      <c r="B336" s="2"/>
      <c r="C336" s="39"/>
      <c r="D336" s="19"/>
      <c r="E336" s="5"/>
      <c r="F336" s="20"/>
      <c r="G336" s="21"/>
      <c r="P336" s="41">
        <f t="shared" si="2"/>
        <v>0</v>
      </c>
    </row>
    <row r="337">
      <c r="A337" s="17"/>
      <c r="B337" s="2"/>
      <c r="C337" s="39"/>
      <c r="D337" s="19"/>
      <c r="E337" s="5"/>
      <c r="F337" s="20"/>
      <c r="G337" s="21"/>
      <c r="P337" s="41">
        <f t="shared" si="2"/>
        <v>0</v>
      </c>
    </row>
    <row r="338">
      <c r="A338" s="17"/>
      <c r="B338" s="2"/>
      <c r="C338" s="39"/>
      <c r="D338" s="19"/>
      <c r="E338" s="5"/>
      <c r="F338" s="20"/>
      <c r="G338" s="21"/>
      <c r="P338" s="41">
        <f t="shared" si="2"/>
        <v>0</v>
      </c>
    </row>
    <row r="339">
      <c r="A339" s="17"/>
      <c r="B339" s="2"/>
      <c r="C339" s="39"/>
      <c r="D339" s="19"/>
      <c r="E339" s="5"/>
      <c r="F339" s="20"/>
      <c r="G339" s="21"/>
      <c r="P339" s="41">
        <f t="shared" si="2"/>
        <v>0</v>
      </c>
    </row>
    <row r="340">
      <c r="A340" s="17"/>
      <c r="B340" s="2"/>
      <c r="C340" s="19"/>
      <c r="D340" s="19"/>
      <c r="E340" s="5"/>
      <c r="F340" s="20"/>
      <c r="G340" s="21"/>
      <c r="P340" s="41">
        <f t="shared" si="2"/>
        <v>0</v>
      </c>
    </row>
    <row r="341">
      <c r="A341" s="17"/>
      <c r="B341" s="2"/>
      <c r="C341" s="19"/>
      <c r="D341" s="19"/>
      <c r="E341" s="5"/>
      <c r="F341" s="20"/>
      <c r="G341" s="21"/>
      <c r="P341" s="41">
        <f t="shared" si="2"/>
        <v>0</v>
      </c>
    </row>
    <row r="342">
      <c r="A342" s="17"/>
      <c r="B342" s="2"/>
      <c r="C342" s="19"/>
      <c r="D342" s="19"/>
      <c r="E342" s="5"/>
      <c r="F342" s="20"/>
      <c r="G342" s="21"/>
      <c r="P342" s="41">
        <f t="shared" si="2"/>
        <v>0</v>
      </c>
    </row>
    <row r="343">
      <c r="A343" s="17"/>
      <c r="B343" s="2"/>
      <c r="C343" s="19"/>
      <c r="D343" s="19"/>
      <c r="E343" s="5"/>
      <c r="F343" s="20"/>
      <c r="G343" s="21"/>
      <c r="P343" s="41">
        <f t="shared" si="2"/>
        <v>0</v>
      </c>
    </row>
    <row r="344">
      <c r="A344" s="17"/>
      <c r="B344" s="2"/>
      <c r="C344" s="19"/>
      <c r="D344" s="19"/>
      <c r="E344" s="5"/>
      <c r="F344" s="20"/>
      <c r="G344" s="21"/>
      <c r="P344" s="41">
        <f t="shared" si="2"/>
        <v>0</v>
      </c>
    </row>
    <row r="345">
      <c r="A345" s="17"/>
      <c r="B345" s="2"/>
      <c r="C345" s="19"/>
      <c r="D345" s="19"/>
      <c r="E345" s="5"/>
      <c r="F345" s="20"/>
      <c r="G345" s="21"/>
      <c r="P345" s="41">
        <f t="shared" si="2"/>
        <v>0</v>
      </c>
    </row>
    <row r="346">
      <c r="A346" s="17"/>
      <c r="B346" s="2"/>
      <c r="C346" s="19"/>
      <c r="D346" s="19"/>
      <c r="E346" s="5"/>
      <c r="F346" s="20"/>
      <c r="G346" s="21"/>
      <c r="P346" s="41">
        <f t="shared" si="2"/>
        <v>0</v>
      </c>
    </row>
    <row r="347">
      <c r="A347" s="17"/>
      <c r="B347" s="2"/>
      <c r="C347" s="19"/>
      <c r="D347" s="19"/>
      <c r="E347" s="5"/>
      <c r="F347" s="20"/>
      <c r="G347" s="21"/>
      <c r="P347" s="41">
        <f t="shared" si="2"/>
        <v>0</v>
      </c>
    </row>
    <row r="348">
      <c r="A348" s="17"/>
      <c r="B348" s="2"/>
      <c r="C348" s="19"/>
      <c r="D348" s="19"/>
      <c r="E348" s="5"/>
      <c r="F348" s="20"/>
      <c r="G348" s="21"/>
      <c r="P348" s="41">
        <f t="shared" si="2"/>
        <v>0</v>
      </c>
    </row>
    <row r="349">
      <c r="A349" s="17"/>
      <c r="B349" s="2"/>
      <c r="C349" s="19"/>
      <c r="D349" s="19"/>
      <c r="E349" s="5"/>
      <c r="F349" s="5"/>
      <c r="G349" s="21"/>
      <c r="P349" s="41">
        <f t="shared" si="2"/>
        <v>0</v>
      </c>
    </row>
    <row r="350">
      <c r="A350" s="17"/>
      <c r="B350" s="2"/>
      <c r="C350" s="39"/>
      <c r="D350" s="19"/>
      <c r="E350" s="5"/>
      <c r="F350" s="20"/>
      <c r="G350" s="21"/>
      <c r="P350" s="41">
        <f t="shared" si="2"/>
        <v>0</v>
      </c>
    </row>
    <row r="351">
      <c r="A351" s="17"/>
      <c r="B351" s="2"/>
      <c r="C351" s="39"/>
      <c r="D351" s="19"/>
      <c r="E351" s="5"/>
      <c r="F351" s="20"/>
      <c r="G351" s="21"/>
      <c r="P351" s="41">
        <f t="shared" si="2"/>
        <v>0</v>
      </c>
    </row>
    <row r="352">
      <c r="A352" s="17"/>
      <c r="B352" s="2"/>
      <c r="C352" s="39"/>
      <c r="D352" s="19"/>
      <c r="E352" s="5"/>
      <c r="F352" s="20"/>
      <c r="G352" s="21"/>
      <c r="P352" s="41">
        <f t="shared" si="2"/>
        <v>0</v>
      </c>
    </row>
    <row r="353">
      <c r="A353" s="17"/>
      <c r="B353" s="2"/>
      <c r="C353" s="39"/>
      <c r="D353" s="19"/>
      <c r="E353" s="5"/>
      <c r="F353" s="20"/>
      <c r="G353" s="21"/>
      <c r="P353" s="41">
        <f t="shared" si="2"/>
        <v>0</v>
      </c>
    </row>
    <row r="354">
      <c r="A354" s="17"/>
      <c r="B354" s="2"/>
      <c r="C354" s="39"/>
      <c r="D354" s="19"/>
      <c r="E354" s="5"/>
      <c r="F354" s="20"/>
      <c r="G354" s="21"/>
      <c r="P354" s="41">
        <f t="shared" si="2"/>
        <v>0</v>
      </c>
    </row>
    <row r="355">
      <c r="A355" s="17"/>
      <c r="B355" s="2"/>
      <c r="C355" s="39"/>
      <c r="D355" s="19"/>
      <c r="E355" s="5"/>
      <c r="F355" s="5"/>
      <c r="G355" s="21"/>
      <c r="P355" s="41">
        <f t="shared" si="2"/>
        <v>0</v>
      </c>
    </row>
    <row r="356">
      <c r="A356" s="17"/>
      <c r="B356" s="2"/>
      <c r="C356" s="39"/>
      <c r="D356" s="19"/>
      <c r="E356" s="5"/>
      <c r="F356" s="20"/>
      <c r="G356" s="21"/>
      <c r="P356" s="41">
        <f t="shared" si="2"/>
        <v>0</v>
      </c>
    </row>
    <row r="357">
      <c r="A357" s="17"/>
      <c r="B357" s="2"/>
      <c r="C357" s="39"/>
      <c r="D357" s="19"/>
      <c r="E357" s="5"/>
      <c r="F357" s="5"/>
      <c r="G357" s="21"/>
      <c r="P357" s="41">
        <f t="shared" si="2"/>
        <v>0</v>
      </c>
    </row>
    <row r="358">
      <c r="A358" s="17"/>
      <c r="B358" s="2"/>
      <c r="C358" s="39"/>
      <c r="D358" s="19"/>
      <c r="E358" s="5"/>
      <c r="F358" s="20"/>
      <c r="G358" s="21"/>
      <c r="P358" s="41">
        <f t="shared" si="2"/>
        <v>0</v>
      </c>
    </row>
    <row r="359">
      <c r="A359" s="17"/>
      <c r="B359" s="2"/>
      <c r="C359" s="39"/>
      <c r="D359" s="19"/>
      <c r="E359" s="5"/>
      <c r="F359" s="5"/>
      <c r="G359" s="21"/>
      <c r="P359" s="41">
        <f t="shared" si="2"/>
        <v>0</v>
      </c>
    </row>
    <row r="360">
      <c r="A360" s="17"/>
      <c r="B360" s="2"/>
      <c r="C360" s="39"/>
      <c r="D360" s="19"/>
      <c r="E360" s="5"/>
      <c r="F360" s="20"/>
      <c r="G360" s="21"/>
      <c r="P360" s="41">
        <f t="shared" si="2"/>
        <v>0</v>
      </c>
    </row>
    <row r="361">
      <c r="A361" s="17"/>
      <c r="B361" s="2"/>
      <c r="C361" s="39"/>
      <c r="D361" s="19"/>
      <c r="E361" s="5"/>
      <c r="F361" s="20"/>
      <c r="G361" s="21"/>
      <c r="P361" s="41">
        <f t="shared" si="2"/>
        <v>0</v>
      </c>
    </row>
    <row r="362">
      <c r="A362" s="17"/>
      <c r="B362" s="2"/>
      <c r="C362" s="39"/>
      <c r="D362" s="19"/>
      <c r="E362" s="5"/>
      <c r="F362" s="20"/>
      <c r="G362" s="21"/>
      <c r="P362" s="41">
        <f t="shared" si="2"/>
        <v>0</v>
      </c>
    </row>
    <row r="363">
      <c r="A363" s="17"/>
      <c r="B363" s="2"/>
      <c r="C363" s="39"/>
      <c r="D363" s="19"/>
      <c r="E363" s="5"/>
      <c r="F363" s="5"/>
      <c r="G363" s="21"/>
      <c r="P363" s="41">
        <f t="shared" si="2"/>
        <v>0</v>
      </c>
    </row>
    <row r="364">
      <c r="A364" s="17"/>
      <c r="B364" s="2"/>
      <c r="C364" s="39"/>
      <c r="D364" s="19"/>
      <c r="E364" s="5"/>
      <c r="F364" s="20"/>
      <c r="G364" s="21"/>
      <c r="P364" s="41">
        <f t="shared" si="2"/>
        <v>0</v>
      </c>
    </row>
    <row r="365">
      <c r="A365" s="17"/>
      <c r="B365" s="2"/>
      <c r="C365" s="19"/>
      <c r="D365" s="19"/>
      <c r="E365" s="5"/>
      <c r="F365" s="5"/>
      <c r="G365" s="21"/>
      <c r="P365" s="41">
        <f t="shared" si="2"/>
        <v>0</v>
      </c>
    </row>
    <row r="366">
      <c r="A366" s="17"/>
      <c r="B366" s="2"/>
      <c r="C366" s="19"/>
      <c r="D366" s="19"/>
      <c r="E366" s="5"/>
      <c r="F366" s="20"/>
      <c r="G366" s="21"/>
      <c r="P366" s="41">
        <f t="shared" si="2"/>
        <v>0</v>
      </c>
    </row>
    <row r="367">
      <c r="A367" s="17"/>
      <c r="B367" s="2"/>
      <c r="C367" s="19"/>
      <c r="D367" s="19"/>
      <c r="E367" s="5"/>
      <c r="F367" s="5"/>
      <c r="G367" s="21"/>
      <c r="P367" s="41">
        <f t="shared" si="2"/>
        <v>0</v>
      </c>
    </row>
    <row r="368">
      <c r="A368" s="17"/>
      <c r="B368" s="2"/>
      <c r="C368" s="19"/>
      <c r="D368" s="19"/>
      <c r="E368" s="5"/>
      <c r="F368" s="20"/>
      <c r="G368" s="21"/>
      <c r="P368" s="41">
        <f t="shared" si="2"/>
        <v>0</v>
      </c>
    </row>
    <row r="369">
      <c r="A369" s="17"/>
      <c r="B369" s="2"/>
      <c r="C369" s="19"/>
      <c r="D369" s="19"/>
      <c r="E369" s="5"/>
      <c r="F369" s="20"/>
      <c r="G369" s="21"/>
      <c r="P369" s="41">
        <f t="shared" si="2"/>
        <v>0</v>
      </c>
    </row>
    <row r="370">
      <c r="A370" s="17"/>
      <c r="B370" s="2"/>
      <c r="C370" s="19"/>
      <c r="D370" s="19"/>
      <c r="E370" s="5"/>
      <c r="F370" s="20"/>
      <c r="G370" s="21"/>
      <c r="P370" s="41">
        <f t="shared" si="2"/>
        <v>0</v>
      </c>
    </row>
    <row r="371">
      <c r="A371" s="17"/>
      <c r="B371" s="2"/>
      <c r="C371" s="19"/>
      <c r="D371" s="19"/>
      <c r="E371" s="5"/>
      <c r="F371" s="5"/>
      <c r="G371" s="21"/>
      <c r="P371" s="41">
        <f t="shared" si="2"/>
        <v>0</v>
      </c>
    </row>
    <row r="372">
      <c r="A372" s="17"/>
      <c r="B372" s="2"/>
      <c r="C372" s="19"/>
      <c r="D372" s="19"/>
      <c r="E372" s="5"/>
      <c r="F372" s="20"/>
      <c r="G372" s="21"/>
      <c r="P372" s="41">
        <f t="shared" si="2"/>
        <v>0</v>
      </c>
    </row>
    <row r="373">
      <c r="A373" s="17"/>
      <c r="B373" s="2"/>
      <c r="C373" s="19"/>
      <c r="D373" s="19"/>
      <c r="E373" s="5"/>
      <c r="F373" s="20"/>
      <c r="G373" s="21"/>
      <c r="P373" s="41">
        <f t="shared" si="2"/>
        <v>0</v>
      </c>
    </row>
    <row r="374">
      <c r="A374" s="17"/>
      <c r="B374" s="2"/>
      <c r="C374" s="19"/>
      <c r="D374" s="19"/>
      <c r="E374" s="5"/>
      <c r="F374" s="20"/>
      <c r="G374" s="21"/>
      <c r="P374" s="41">
        <f t="shared" si="2"/>
        <v>0</v>
      </c>
    </row>
    <row r="375">
      <c r="A375" s="17"/>
      <c r="B375" s="2"/>
      <c r="C375" s="19"/>
      <c r="D375" s="19"/>
      <c r="E375" s="5"/>
      <c r="F375" s="20"/>
      <c r="G375" s="21"/>
      <c r="P375" s="41">
        <f t="shared" si="2"/>
        <v>0</v>
      </c>
    </row>
    <row r="376">
      <c r="A376" s="17"/>
      <c r="B376" s="2"/>
      <c r="C376" s="19"/>
      <c r="D376" s="19"/>
      <c r="E376" s="5"/>
      <c r="F376" s="5"/>
      <c r="G376" s="21"/>
      <c r="P376" s="41">
        <f t="shared" si="2"/>
        <v>0</v>
      </c>
    </row>
    <row r="377">
      <c r="A377" s="17"/>
      <c r="B377" s="2"/>
      <c r="C377" s="19"/>
      <c r="D377" s="19"/>
      <c r="E377" s="5"/>
      <c r="F377" s="20"/>
      <c r="G377" s="21"/>
      <c r="P377" s="41">
        <f t="shared" si="2"/>
        <v>0</v>
      </c>
    </row>
    <row r="378">
      <c r="A378" s="17"/>
      <c r="B378" s="2"/>
      <c r="C378" s="19"/>
      <c r="D378" s="19"/>
      <c r="E378" s="5"/>
      <c r="F378" s="20"/>
      <c r="G378" s="21"/>
      <c r="P378" s="41">
        <f t="shared" si="2"/>
        <v>0</v>
      </c>
    </row>
    <row r="379">
      <c r="A379" s="17"/>
      <c r="B379" s="2"/>
      <c r="C379" s="19"/>
      <c r="D379" s="19"/>
      <c r="E379" s="5"/>
      <c r="F379" s="20"/>
      <c r="G379" s="21"/>
      <c r="P379" s="41">
        <f t="shared" si="2"/>
        <v>0</v>
      </c>
    </row>
    <row r="380">
      <c r="A380" s="17"/>
      <c r="B380" s="2"/>
      <c r="C380" s="19"/>
      <c r="D380" s="19"/>
      <c r="E380" s="5"/>
      <c r="F380" s="5"/>
      <c r="G380" s="21"/>
      <c r="P380" s="41">
        <f t="shared" si="2"/>
        <v>0</v>
      </c>
    </row>
    <row r="381">
      <c r="A381" s="17"/>
      <c r="B381" s="2"/>
      <c r="C381" s="19"/>
      <c r="D381" s="19"/>
      <c r="E381" s="5"/>
      <c r="F381" s="20"/>
      <c r="G381" s="21"/>
      <c r="P381" s="41">
        <f t="shared" si="2"/>
        <v>0</v>
      </c>
    </row>
    <row r="382">
      <c r="A382" s="17"/>
      <c r="B382" s="2"/>
      <c r="C382" s="19"/>
      <c r="D382" s="19"/>
      <c r="E382" s="5"/>
      <c r="F382" s="5"/>
      <c r="G382" s="21"/>
      <c r="P382" s="41">
        <f t="shared" si="2"/>
        <v>0</v>
      </c>
    </row>
    <row r="383">
      <c r="A383" s="17"/>
      <c r="B383" s="2"/>
      <c r="C383" s="19"/>
      <c r="D383" s="19"/>
      <c r="E383" s="5"/>
      <c r="F383" s="20"/>
      <c r="G383" s="21"/>
      <c r="P383" s="41">
        <f t="shared" si="2"/>
        <v>0</v>
      </c>
    </row>
    <row r="384">
      <c r="A384" s="17"/>
      <c r="B384" s="2"/>
      <c r="C384" s="19"/>
      <c r="D384" s="19"/>
      <c r="E384" s="5"/>
      <c r="F384" s="20"/>
      <c r="G384" s="21"/>
      <c r="P384" s="41">
        <f t="shared" si="2"/>
        <v>0</v>
      </c>
    </row>
    <row r="385">
      <c r="A385" s="17"/>
      <c r="B385" s="2"/>
      <c r="C385" s="19"/>
      <c r="D385" s="19"/>
      <c r="E385" s="5"/>
      <c r="F385" s="5"/>
      <c r="G385" s="21"/>
      <c r="P385" s="41">
        <f t="shared" si="2"/>
        <v>0</v>
      </c>
    </row>
    <row r="386">
      <c r="A386" s="17"/>
      <c r="B386" s="2"/>
      <c r="C386" s="39"/>
      <c r="D386" s="19"/>
      <c r="E386" s="5"/>
      <c r="F386" s="20"/>
      <c r="G386" s="21"/>
      <c r="P386" s="41">
        <f t="shared" si="2"/>
        <v>0</v>
      </c>
    </row>
    <row r="387">
      <c r="A387" s="17"/>
      <c r="B387" s="2"/>
      <c r="C387" s="39"/>
      <c r="D387" s="19"/>
      <c r="E387" s="5"/>
      <c r="F387" s="20"/>
      <c r="G387" s="21"/>
      <c r="P387" s="41">
        <f t="shared" si="2"/>
        <v>0</v>
      </c>
    </row>
    <row r="388">
      <c r="A388" s="17"/>
      <c r="B388" s="2"/>
      <c r="C388" s="39"/>
      <c r="D388" s="19"/>
      <c r="E388" s="5"/>
      <c r="F388" s="5"/>
      <c r="G388" s="21"/>
      <c r="P388" s="41">
        <f t="shared" si="2"/>
        <v>0</v>
      </c>
    </row>
    <row r="389">
      <c r="A389" s="17"/>
      <c r="B389" s="2"/>
      <c r="C389" s="19"/>
      <c r="D389" s="19"/>
      <c r="E389" s="5"/>
      <c r="F389" s="20"/>
      <c r="G389" s="21"/>
      <c r="P389" s="41">
        <f t="shared" si="2"/>
        <v>0</v>
      </c>
    </row>
    <row r="390">
      <c r="A390" s="17"/>
      <c r="B390" s="2"/>
      <c r="C390" s="19"/>
      <c r="D390" s="19"/>
      <c r="E390" s="5"/>
      <c r="F390" s="20"/>
      <c r="G390" s="21"/>
      <c r="P390" s="41">
        <f t="shared" si="2"/>
        <v>0</v>
      </c>
    </row>
    <row r="391">
      <c r="A391" s="17"/>
      <c r="B391" s="2"/>
      <c r="C391" s="19"/>
      <c r="D391" s="19"/>
      <c r="E391" s="5"/>
      <c r="F391" s="5"/>
      <c r="G391" s="21"/>
      <c r="P391" s="41">
        <f t="shared" si="2"/>
        <v>0</v>
      </c>
    </row>
    <row r="392">
      <c r="A392" s="17"/>
      <c r="B392" s="2"/>
      <c r="C392" s="39"/>
      <c r="D392" s="19"/>
      <c r="E392" s="5"/>
      <c r="F392" s="20"/>
      <c r="G392" s="21"/>
      <c r="P392" s="41">
        <f t="shared" si="2"/>
        <v>0</v>
      </c>
    </row>
    <row r="393">
      <c r="A393" s="17"/>
      <c r="B393" s="2"/>
      <c r="C393" s="39"/>
      <c r="D393" s="19"/>
      <c r="E393" s="5"/>
      <c r="F393" s="20"/>
      <c r="G393" s="21"/>
      <c r="P393" s="41">
        <f t="shared" si="2"/>
        <v>0</v>
      </c>
    </row>
    <row r="394">
      <c r="A394" s="17"/>
      <c r="B394" s="2"/>
      <c r="C394" s="39"/>
      <c r="D394" s="19"/>
      <c r="E394" s="5"/>
      <c r="F394" s="20"/>
      <c r="G394" s="21"/>
      <c r="P394" s="41">
        <f t="shared" si="2"/>
        <v>0</v>
      </c>
    </row>
    <row r="395">
      <c r="A395" s="17"/>
      <c r="B395" s="2"/>
      <c r="C395" s="39"/>
      <c r="D395" s="19"/>
      <c r="E395" s="5"/>
      <c r="F395" s="20"/>
      <c r="G395" s="21"/>
      <c r="P395" s="41">
        <f t="shared" si="2"/>
        <v>0</v>
      </c>
    </row>
    <row r="396">
      <c r="A396" s="17"/>
      <c r="B396" s="2"/>
      <c r="C396" s="39"/>
      <c r="D396" s="19"/>
      <c r="E396" s="5"/>
      <c r="F396" s="20"/>
      <c r="G396" s="21"/>
      <c r="P396" s="41">
        <f t="shared" si="2"/>
        <v>0</v>
      </c>
    </row>
    <row r="397">
      <c r="A397" s="17"/>
      <c r="B397" s="2"/>
      <c r="C397" s="39"/>
      <c r="D397" s="19"/>
      <c r="E397" s="5"/>
      <c r="F397" s="5"/>
      <c r="G397" s="21"/>
      <c r="P397" s="41">
        <f t="shared" si="2"/>
        <v>0</v>
      </c>
    </row>
    <row r="398">
      <c r="A398" s="17"/>
      <c r="B398" s="2"/>
      <c r="C398" s="39"/>
      <c r="D398" s="19"/>
      <c r="E398" s="5"/>
      <c r="F398" s="20"/>
      <c r="G398" s="21"/>
      <c r="P398" s="41">
        <f t="shared" si="2"/>
        <v>0</v>
      </c>
    </row>
    <row r="399">
      <c r="A399" s="17"/>
      <c r="B399" s="2"/>
      <c r="C399" s="39"/>
      <c r="D399" s="19"/>
      <c r="E399" s="5"/>
      <c r="F399" s="20"/>
      <c r="G399" s="21"/>
      <c r="P399" s="41">
        <f t="shared" si="2"/>
        <v>0</v>
      </c>
    </row>
    <row r="400">
      <c r="A400" s="17"/>
      <c r="B400" s="2"/>
      <c r="C400" s="39"/>
      <c r="D400" s="19"/>
      <c r="E400" s="5"/>
      <c r="F400" s="5"/>
      <c r="G400" s="21"/>
      <c r="P400" s="41">
        <f t="shared" si="2"/>
        <v>0</v>
      </c>
    </row>
    <row r="401">
      <c r="A401" s="17"/>
      <c r="B401" s="2"/>
      <c r="C401" s="39"/>
      <c r="D401" s="19"/>
      <c r="E401" s="5"/>
      <c r="F401" s="20"/>
      <c r="G401" s="21"/>
      <c r="P401" s="41">
        <f t="shared" si="2"/>
        <v>0</v>
      </c>
    </row>
    <row r="402">
      <c r="A402" s="17"/>
      <c r="B402" s="2"/>
      <c r="C402" s="39"/>
      <c r="D402" s="19"/>
      <c r="E402" s="5"/>
      <c r="F402" s="20"/>
      <c r="G402" s="21"/>
      <c r="P402" s="41">
        <f t="shared" si="2"/>
        <v>0</v>
      </c>
    </row>
    <row r="403">
      <c r="A403" s="17"/>
      <c r="B403" s="2"/>
      <c r="C403" s="39"/>
      <c r="D403" s="19"/>
      <c r="E403" s="5"/>
      <c r="F403" s="20"/>
      <c r="G403" s="21"/>
      <c r="P403" s="41">
        <f t="shared" si="2"/>
        <v>0</v>
      </c>
    </row>
    <row r="404">
      <c r="B404" s="42"/>
      <c r="P404" s="41">
        <f t="shared" si="2"/>
        <v>0</v>
      </c>
    </row>
    <row r="405">
      <c r="B405" s="42"/>
      <c r="P405" s="41">
        <f t="shared" si="2"/>
        <v>0</v>
      </c>
    </row>
    <row r="406">
      <c r="B406" s="42"/>
      <c r="P406" s="41">
        <f t="shared" si="2"/>
        <v>0</v>
      </c>
    </row>
    <row r="407">
      <c r="B407" s="42"/>
      <c r="P407" s="41">
        <f t="shared" si="2"/>
        <v>0</v>
      </c>
    </row>
    <row r="408">
      <c r="B408" s="42"/>
      <c r="P408" s="41">
        <f t="shared" si="2"/>
        <v>0</v>
      </c>
    </row>
    <row r="409">
      <c r="B409" s="42"/>
      <c r="P409" s="41">
        <f t="shared" si="2"/>
        <v>0</v>
      </c>
    </row>
    <row r="410">
      <c r="B410" s="42"/>
      <c r="P410" s="41">
        <f t="shared" si="2"/>
        <v>0</v>
      </c>
    </row>
    <row r="411">
      <c r="B411" s="42"/>
      <c r="P411" s="41">
        <f t="shared" si="2"/>
        <v>0</v>
      </c>
    </row>
    <row r="412">
      <c r="B412" s="42"/>
      <c r="P412" s="41">
        <f t="shared" si="2"/>
        <v>0</v>
      </c>
    </row>
    <row r="413">
      <c r="B413" s="42"/>
      <c r="P413" s="41">
        <f t="shared" si="2"/>
        <v>0</v>
      </c>
    </row>
    <row r="414">
      <c r="B414" s="42"/>
      <c r="P414" s="41">
        <f t="shared" si="2"/>
        <v>0</v>
      </c>
    </row>
    <row r="415">
      <c r="B415" s="42"/>
      <c r="P415" s="41">
        <f t="shared" si="2"/>
        <v>0</v>
      </c>
    </row>
    <row r="416">
      <c r="B416" s="42"/>
      <c r="P416" s="41">
        <f t="shared" si="2"/>
        <v>0</v>
      </c>
    </row>
    <row r="417">
      <c r="B417" s="42"/>
      <c r="P417" s="41">
        <f t="shared" si="2"/>
        <v>0</v>
      </c>
    </row>
    <row r="418">
      <c r="B418" s="42"/>
      <c r="P418" s="41">
        <f t="shared" si="2"/>
        <v>0</v>
      </c>
    </row>
    <row r="419">
      <c r="B419" s="42"/>
      <c r="P419" s="41">
        <f t="shared" si="2"/>
        <v>0</v>
      </c>
    </row>
    <row r="420">
      <c r="B420" s="42"/>
      <c r="P420" s="41">
        <f t="shared" si="2"/>
        <v>0</v>
      </c>
    </row>
    <row r="421">
      <c r="B421" s="42"/>
      <c r="P421" s="41">
        <f t="shared" si="2"/>
        <v>0</v>
      </c>
    </row>
    <row r="422">
      <c r="B422" s="42"/>
      <c r="P422" s="41">
        <f t="shared" si="2"/>
        <v>0</v>
      </c>
    </row>
    <row r="423">
      <c r="B423" s="42"/>
      <c r="P423" s="41">
        <f t="shared" si="2"/>
        <v>0</v>
      </c>
    </row>
    <row r="424">
      <c r="B424" s="42"/>
      <c r="P424" s="41">
        <f t="shared" si="2"/>
        <v>0</v>
      </c>
    </row>
    <row r="425">
      <c r="B425" s="42"/>
      <c r="P425" s="41">
        <f t="shared" si="2"/>
        <v>0</v>
      </c>
    </row>
    <row r="426">
      <c r="B426" s="42"/>
      <c r="P426" s="41">
        <f t="shared" si="2"/>
        <v>0</v>
      </c>
    </row>
    <row r="427">
      <c r="B427" s="42"/>
      <c r="P427" s="41">
        <f t="shared" si="2"/>
        <v>0</v>
      </c>
    </row>
    <row r="428">
      <c r="B428" s="42"/>
      <c r="P428" s="41">
        <f t="shared" si="2"/>
        <v>0</v>
      </c>
    </row>
    <row r="429">
      <c r="B429" s="42"/>
      <c r="P429" s="41">
        <f t="shared" si="2"/>
        <v>0</v>
      </c>
    </row>
    <row r="430">
      <c r="B430" s="42"/>
      <c r="P430" s="41">
        <f t="shared" si="2"/>
        <v>0</v>
      </c>
    </row>
    <row r="431">
      <c r="B431" s="42"/>
      <c r="P431" s="41">
        <f t="shared" si="2"/>
        <v>0</v>
      </c>
    </row>
    <row r="432">
      <c r="B432" s="42"/>
      <c r="P432" s="41">
        <f t="shared" si="2"/>
        <v>0</v>
      </c>
    </row>
    <row r="433">
      <c r="B433" s="42"/>
      <c r="P433" s="41">
        <f t="shared" si="2"/>
        <v>0</v>
      </c>
    </row>
    <row r="434">
      <c r="B434" s="42"/>
      <c r="P434" s="41">
        <f t="shared" si="2"/>
        <v>0</v>
      </c>
    </row>
    <row r="435">
      <c r="B435" s="42"/>
      <c r="P435" s="41">
        <f t="shared" si="2"/>
        <v>0</v>
      </c>
    </row>
    <row r="436">
      <c r="B436" s="42"/>
      <c r="P436" s="41">
        <f t="shared" si="2"/>
        <v>0</v>
      </c>
    </row>
    <row r="437">
      <c r="B437" s="42"/>
      <c r="P437" s="41">
        <f t="shared" si="2"/>
        <v>0</v>
      </c>
    </row>
    <row r="438">
      <c r="B438" s="42"/>
      <c r="P438" s="41">
        <f t="shared" si="2"/>
        <v>0</v>
      </c>
    </row>
    <row r="439">
      <c r="B439" s="42"/>
      <c r="P439" s="41">
        <f t="shared" si="2"/>
        <v>0</v>
      </c>
    </row>
    <row r="440">
      <c r="B440" s="42"/>
      <c r="P440" s="41">
        <f t="shared" si="2"/>
        <v>0</v>
      </c>
    </row>
    <row r="441">
      <c r="B441" s="42"/>
      <c r="P441" s="41">
        <f t="shared" si="2"/>
        <v>0</v>
      </c>
    </row>
    <row r="442">
      <c r="B442" s="42"/>
      <c r="P442" s="41">
        <f t="shared" si="2"/>
        <v>0</v>
      </c>
    </row>
    <row r="443">
      <c r="B443" s="42"/>
      <c r="P443" s="41">
        <f t="shared" si="2"/>
        <v>0</v>
      </c>
    </row>
    <row r="444">
      <c r="B444" s="42"/>
      <c r="P444" s="41">
        <f t="shared" si="2"/>
        <v>0</v>
      </c>
    </row>
    <row r="445">
      <c r="B445" s="42"/>
      <c r="P445" s="41">
        <f t="shared" si="2"/>
        <v>0</v>
      </c>
    </row>
    <row r="446">
      <c r="B446" s="42"/>
      <c r="P446" s="41">
        <f t="shared" si="2"/>
        <v>0</v>
      </c>
    </row>
    <row r="447">
      <c r="B447" s="42"/>
      <c r="P447" s="41">
        <f t="shared" si="2"/>
        <v>0</v>
      </c>
    </row>
    <row r="448">
      <c r="B448" s="42"/>
      <c r="P448" s="41">
        <f t="shared" si="2"/>
        <v>0</v>
      </c>
    </row>
    <row r="449">
      <c r="B449" s="42"/>
      <c r="P449" s="41">
        <f t="shared" si="2"/>
        <v>0</v>
      </c>
    </row>
    <row r="450">
      <c r="B450" s="42"/>
      <c r="P450" s="41">
        <f t="shared" si="2"/>
        <v>0</v>
      </c>
    </row>
    <row r="451">
      <c r="B451" s="42"/>
      <c r="P451" s="41">
        <f t="shared" si="2"/>
        <v>0</v>
      </c>
    </row>
    <row r="452">
      <c r="B452" s="42"/>
      <c r="P452" s="41">
        <f t="shared" si="2"/>
        <v>0</v>
      </c>
    </row>
    <row r="453">
      <c r="B453" s="42"/>
      <c r="P453" s="41">
        <f t="shared" si="2"/>
        <v>0</v>
      </c>
    </row>
    <row r="454">
      <c r="B454" s="42"/>
      <c r="P454" s="41">
        <f t="shared" si="2"/>
        <v>0</v>
      </c>
    </row>
    <row r="455">
      <c r="B455" s="42"/>
      <c r="P455" s="41">
        <f t="shared" si="2"/>
        <v>0</v>
      </c>
    </row>
    <row r="456">
      <c r="B456" s="42"/>
      <c r="P456" s="41">
        <f t="shared" si="2"/>
        <v>0</v>
      </c>
    </row>
    <row r="457">
      <c r="B457" s="42"/>
      <c r="P457" s="41">
        <f t="shared" si="2"/>
        <v>0</v>
      </c>
    </row>
    <row r="458">
      <c r="B458" s="42"/>
      <c r="P458" s="41">
        <f t="shared" si="2"/>
        <v>0</v>
      </c>
    </row>
    <row r="459">
      <c r="B459" s="42"/>
      <c r="P459" s="41">
        <f t="shared" si="2"/>
        <v>0</v>
      </c>
    </row>
    <row r="460">
      <c r="B460" s="42"/>
      <c r="P460" s="41">
        <f t="shared" si="2"/>
        <v>0</v>
      </c>
    </row>
    <row r="461">
      <c r="B461" s="42"/>
      <c r="P461" s="41">
        <f t="shared" si="2"/>
        <v>0</v>
      </c>
    </row>
    <row r="462">
      <c r="B462" s="42"/>
      <c r="P462" s="41">
        <f t="shared" si="2"/>
        <v>0</v>
      </c>
    </row>
    <row r="463">
      <c r="B463" s="42"/>
      <c r="P463" s="41">
        <f t="shared" si="2"/>
        <v>0</v>
      </c>
    </row>
    <row r="464">
      <c r="B464" s="42"/>
      <c r="P464" s="41">
        <f t="shared" si="2"/>
        <v>0</v>
      </c>
    </row>
    <row r="465">
      <c r="B465" s="42"/>
      <c r="P465" s="41">
        <f t="shared" si="2"/>
        <v>0</v>
      </c>
    </row>
    <row r="466">
      <c r="B466" s="42"/>
      <c r="P466" s="41">
        <f t="shared" si="2"/>
        <v>0</v>
      </c>
    </row>
    <row r="467">
      <c r="B467" s="42"/>
      <c r="P467" s="41">
        <f t="shared" si="2"/>
        <v>0</v>
      </c>
    </row>
    <row r="468">
      <c r="B468" s="42"/>
      <c r="P468" s="41">
        <f t="shared" si="2"/>
        <v>0</v>
      </c>
    </row>
    <row r="469">
      <c r="B469" s="42"/>
      <c r="P469" s="41">
        <f t="shared" si="2"/>
        <v>0</v>
      </c>
    </row>
    <row r="470">
      <c r="B470" s="42"/>
      <c r="P470" s="41">
        <f t="shared" si="2"/>
        <v>0</v>
      </c>
    </row>
    <row r="471">
      <c r="B471" s="42"/>
      <c r="P471" s="41">
        <f t="shared" si="2"/>
        <v>0</v>
      </c>
    </row>
    <row r="472">
      <c r="B472" s="42"/>
      <c r="P472" s="41">
        <f t="shared" si="2"/>
        <v>0</v>
      </c>
    </row>
    <row r="473">
      <c r="B473" s="42"/>
      <c r="P473" s="41">
        <f t="shared" si="2"/>
        <v>0</v>
      </c>
    </row>
    <row r="474">
      <c r="B474" s="42"/>
      <c r="P474" s="41">
        <f t="shared" si="2"/>
        <v>0</v>
      </c>
    </row>
    <row r="475">
      <c r="B475" s="42"/>
      <c r="P475" s="41">
        <f t="shared" si="2"/>
        <v>0</v>
      </c>
    </row>
    <row r="476">
      <c r="B476" s="42"/>
      <c r="P476" s="41">
        <f t="shared" si="2"/>
        <v>0</v>
      </c>
    </row>
    <row r="477">
      <c r="B477" s="42"/>
      <c r="P477" s="41">
        <f t="shared" si="2"/>
        <v>0</v>
      </c>
    </row>
    <row r="478">
      <c r="B478" s="42"/>
      <c r="P478" s="41">
        <f t="shared" si="2"/>
        <v>0</v>
      </c>
    </row>
    <row r="479">
      <c r="B479" s="42"/>
      <c r="P479" s="41">
        <f t="shared" si="2"/>
        <v>0</v>
      </c>
    </row>
    <row r="480">
      <c r="B480" s="42"/>
      <c r="P480" s="41">
        <f t="shared" si="2"/>
        <v>0</v>
      </c>
    </row>
    <row r="481">
      <c r="B481" s="42"/>
      <c r="P481" s="41">
        <f t="shared" si="2"/>
        <v>0</v>
      </c>
    </row>
    <row r="482">
      <c r="B482" s="42"/>
      <c r="P482" s="41">
        <f t="shared" si="2"/>
        <v>0</v>
      </c>
    </row>
    <row r="483">
      <c r="B483" s="42"/>
      <c r="P483" s="41">
        <f t="shared" si="2"/>
        <v>0</v>
      </c>
    </row>
    <row r="484">
      <c r="B484" s="42"/>
      <c r="P484" s="41">
        <f t="shared" si="2"/>
        <v>0</v>
      </c>
    </row>
    <row r="485">
      <c r="B485" s="42"/>
      <c r="P485" s="41">
        <f t="shared" si="2"/>
        <v>0</v>
      </c>
    </row>
    <row r="486">
      <c r="B486" s="42"/>
      <c r="P486" s="41">
        <f t="shared" si="2"/>
        <v>0</v>
      </c>
    </row>
    <row r="487">
      <c r="B487" s="42"/>
      <c r="P487" s="41">
        <f t="shared" si="2"/>
        <v>0</v>
      </c>
    </row>
    <row r="488">
      <c r="B488" s="42"/>
      <c r="P488" s="41">
        <f t="shared" si="2"/>
        <v>0</v>
      </c>
    </row>
    <row r="489">
      <c r="B489" s="42"/>
      <c r="P489" s="41">
        <f t="shared" si="2"/>
        <v>0</v>
      </c>
    </row>
    <row r="490">
      <c r="B490" s="42"/>
      <c r="P490" s="41">
        <f t="shared" si="2"/>
        <v>0</v>
      </c>
    </row>
    <row r="491">
      <c r="B491" s="42"/>
      <c r="P491" s="41">
        <f t="shared" si="2"/>
        <v>0</v>
      </c>
    </row>
    <row r="492">
      <c r="B492" s="42"/>
      <c r="P492" s="41">
        <f t="shared" si="2"/>
        <v>0</v>
      </c>
    </row>
    <row r="493">
      <c r="B493" s="42"/>
      <c r="P493" s="41">
        <f t="shared" si="2"/>
        <v>0</v>
      </c>
    </row>
    <row r="494">
      <c r="B494" s="42"/>
      <c r="P494" s="41">
        <f t="shared" si="2"/>
        <v>0</v>
      </c>
    </row>
    <row r="495">
      <c r="B495" s="42"/>
      <c r="P495" s="41">
        <f t="shared" si="2"/>
        <v>0</v>
      </c>
    </row>
    <row r="496">
      <c r="B496" s="42"/>
      <c r="P496" s="41">
        <f t="shared" si="2"/>
        <v>0</v>
      </c>
    </row>
    <row r="497">
      <c r="B497" s="42"/>
      <c r="P497" s="41">
        <f t="shared" si="2"/>
        <v>0</v>
      </c>
    </row>
    <row r="498">
      <c r="B498" s="42"/>
      <c r="P498" s="41">
        <f t="shared" si="2"/>
        <v>0</v>
      </c>
    </row>
    <row r="499">
      <c r="B499" s="42"/>
      <c r="P499" s="41">
        <f t="shared" si="2"/>
        <v>0</v>
      </c>
    </row>
    <row r="500">
      <c r="B500" s="42"/>
      <c r="P500" s="41">
        <f t="shared" si="2"/>
        <v>0</v>
      </c>
    </row>
    <row r="501">
      <c r="B501" s="42"/>
      <c r="P501" s="41">
        <f t="shared" si="2"/>
        <v>0</v>
      </c>
    </row>
    <row r="502">
      <c r="B502" s="42"/>
      <c r="P502" s="41">
        <f t="shared" si="2"/>
        <v>0</v>
      </c>
    </row>
    <row r="503">
      <c r="B503" s="42"/>
      <c r="P503" s="41">
        <f t="shared" si="2"/>
        <v>0</v>
      </c>
    </row>
    <row r="504">
      <c r="B504" s="42"/>
      <c r="P504" s="41">
        <f t="shared" si="2"/>
        <v>0</v>
      </c>
    </row>
    <row r="505">
      <c r="B505" s="42"/>
      <c r="P505" s="41">
        <f t="shared" si="2"/>
        <v>0</v>
      </c>
    </row>
    <row r="506">
      <c r="B506" s="42"/>
      <c r="P506" s="41">
        <f t="shared" si="2"/>
        <v>0</v>
      </c>
    </row>
    <row r="507">
      <c r="B507" s="42"/>
      <c r="P507" s="41">
        <f t="shared" si="2"/>
        <v>0</v>
      </c>
    </row>
    <row r="508">
      <c r="B508" s="42"/>
      <c r="P508" s="41">
        <f t="shared" si="2"/>
        <v>0</v>
      </c>
    </row>
    <row r="509">
      <c r="B509" s="42"/>
      <c r="P509" s="41">
        <f t="shared" si="2"/>
        <v>0</v>
      </c>
    </row>
    <row r="510">
      <c r="B510" s="42"/>
      <c r="P510" s="41">
        <f t="shared" si="2"/>
        <v>0</v>
      </c>
    </row>
    <row r="511">
      <c r="B511" s="42"/>
      <c r="P511" s="41">
        <f t="shared" si="2"/>
        <v>0</v>
      </c>
    </row>
    <row r="512">
      <c r="B512" s="42"/>
      <c r="P512" s="41">
        <f t="shared" si="2"/>
        <v>0</v>
      </c>
    </row>
    <row r="513">
      <c r="B513" s="42"/>
      <c r="P513" s="41">
        <f t="shared" si="2"/>
        <v>0</v>
      </c>
    </row>
    <row r="514">
      <c r="B514" s="42"/>
      <c r="P514" s="41">
        <f t="shared" si="2"/>
        <v>0</v>
      </c>
    </row>
    <row r="515">
      <c r="B515" s="42"/>
      <c r="P515" s="41">
        <f t="shared" si="2"/>
        <v>0</v>
      </c>
    </row>
    <row r="516">
      <c r="B516" s="42"/>
      <c r="P516" s="41">
        <f t="shared" si="2"/>
        <v>0</v>
      </c>
    </row>
    <row r="517">
      <c r="B517" s="42"/>
      <c r="P517" s="41">
        <f t="shared" si="2"/>
        <v>0</v>
      </c>
    </row>
    <row r="518">
      <c r="B518" s="42"/>
      <c r="P518" s="41">
        <f t="shared" si="2"/>
        <v>0</v>
      </c>
    </row>
    <row r="519">
      <c r="B519" s="42"/>
      <c r="P519" s="41">
        <f t="shared" si="2"/>
        <v>0</v>
      </c>
    </row>
    <row r="520">
      <c r="B520" s="42"/>
      <c r="P520" s="41">
        <f t="shared" si="2"/>
        <v>0</v>
      </c>
    </row>
    <row r="521">
      <c r="B521" s="42"/>
      <c r="P521" s="41">
        <f t="shared" si="2"/>
        <v>0</v>
      </c>
    </row>
    <row r="522">
      <c r="B522" s="42"/>
      <c r="P522" s="41">
        <f t="shared" si="2"/>
        <v>0</v>
      </c>
    </row>
    <row r="523">
      <c r="B523" s="42"/>
      <c r="P523" s="41">
        <f t="shared" si="2"/>
        <v>0</v>
      </c>
    </row>
    <row r="524">
      <c r="B524" s="42"/>
      <c r="P524" s="41">
        <f t="shared" si="2"/>
        <v>0</v>
      </c>
    </row>
    <row r="525">
      <c r="B525" s="42"/>
      <c r="P525" s="41">
        <f t="shared" si="2"/>
        <v>0</v>
      </c>
    </row>
    <row r="526">
      <c r="B526" s="42"/>
      <c r="P526" s="41">
        <f t="shared" si="2"/>
        <v>0</v>
      </c>
    </row>
    <row r="527">
      <c r="B527" s="42"/>
      <c r="P527" s="41">
        <f t="shared" si="2"/>
        <v>0</v>
      </c>
    </row>
    <row r="528">
      <c r="B528" s="42"/>
      <c r="P528" s="41">
        <f t="shared" si="2"/>
        <v>0</v>
      </c>
    </row>
    <row r="529">
      <c r="B529" s="42"/>
      <c r="P529" s="41">
        <f t="shared" si="2"/>
        <v>0</v>
      </c>
    </row>
    <row r="530">
      <c r="B530" s="42"/>
      <c r="P530" s="41">
        <f t="shared" si="2"/>
        <v>0</v>
      </c>
    </row>
    <row r="531">
      <c r="B531" s="42"/>
      <c r="P531" s="41">
        <f t="shared" si="2"/>
        <v>0</v>
      </c>
    </row>
    <row r="532">
      <c r="B532" s="42"/>
      <c r="P532" s="41">
        <f t="shared" si="2"/>
        <v>0</v>
      </c>
    </row>
    <row r="533">
      <c r="B533" s="42"/>
      <c r="P533" s="41">
        <f t="shared" si="2"/>
        <v>0</v>
      </c>
    </row>
    <row r="534">
      <c r="B534" s="42"/>
      <c r="P534" s="41">
        <f t="shared" si="2"/>
        <v>0</v>
      </c>
    </row>
    <row r="535">
      <c r="B535" s="42"/>
      <c r="P535" s="41">
        <f t="shared" si="2"/>
        <v>0</v>
      </c>
    </row>
    <row r="536">
      <c r="B536" s="42"/>
      <c r="P536" s="41">
        <f t="shared" si="2"/>
        <v>0</v>
      </c>
    </row>
    <row r="537">
      <c r="B537" s="42"/>
      <c r="P537" s="41">
        <f t="shared" si="2"/>
        <v>0</v>
      </c>
    </row>
    <row r="538">
      <c r="B538" s="42"/>
      <c r="P538" s="41">
        <f t="shared" si="2"/>
        <v>0</v>
      </c>
    </row>
    <row r="539">
      <c r="B539" s="42"/>
      <c r="P539" s="41">
        <f t="shared" si="2"/>
        <v>0</v>
      </c>
    </row>
    <row r="540">
      <c r="B540" s="42"/>
      <c r="P540" s="41">
        <f t="shared" si="2"/>
        <v>0</v>
      </c>
    </row>
    <row r="541">
      <c r="B541" s="42"/>
      <c r="P541" s="41">
        <f t="shared" si="2"/>
        <v>0</v>
      </c>
    </row>
    <row r="542">
      <c r="B542" s="42"/>
      <c r="P542" s="41">
        <f t="shared" si="2"/>
        <v>0</v>
      </c>
    </row>
    <row r="543">
      <c r="B543" s="42"/>
      <c r="P543" s="41">
        <f t="shared" si="2"/>
        <v>0</v>
      </c>
    </row>
    <row r="544">
      <c r="B544" s="42"/>
      <c r="P544" s="41">
        <f t="shared" si="2"/>
        <v>0</v>
      </c>
    </row>
    <row r="545">
      <c r="B545" s="42"/>
      <c r="P545" s="41">
        <f t="shared" si="2"/>
        <v>0</v>
      </c>
    </row>
    <row r="546">
      <c r="B546" s="42"/>
      <c r="P546" s="41">
        <f t="shared" si="2"/>
        <v>0</v>
      </c>
    </row>
    <row r="547">
      <c r="B547" s="42"/>
      <c r="P547" s="41">
        <f t="shared" si="2"/>
        <v>0</v>
      </c>
    </row>
    <row r="548">
      <c r="B548" s="42"/>
      <c r="P548" s="41">
        <f t="shared" si="2"/>
        <v>0</v>
      </c>
    </row>
    <row r="549">
      <c r="B549" s="42"/>
      <c r="P549" s="41">
        <f t="shared" si="2"/>
        <v>0</v>
      </c>
    </row>
    <row r="550">
      <c r="B550" s="42"/>
      <c r="P550" s="41">
        <f t="shared" si="2"/>
        <v>0</v>
      </c>
    </row>
    <row r="551">
      <c r="B551" s="42"/>
      <c r="P551" s="41">
        <f t="shared" si="2"/>
        <v>0</v>
      </c>
    </row>
    <row r="552">
      <c r="B552" s="42"/>
      <c r="P552" s="41">
        <f t="shared" si="2"/>
        <v>0</v>
      </c>
    </row>
    <row r="553">
      <c r="B553" s="42"/>
      <c r="P553" s="41">
        <f t="shared" si="2"/>
        <v>0</v>
      </c>
    </row>
    <row r="554">
      <c r="B554" s="42"/>
      <c r="P554" s="41">
        <f t="shared" si="2"/>
        <v>0</v>
      </c>
    </row>
    <row r="555">
      <c r="B555" s="42"/>
      <c r="P555" s="41">
        <f t="shared" si="2"/>
        <v>0</v>
      </c>
    </row>
    <row r="556">
      <c r="B556" s="42"/>
      <c r="P556" s="41">
        <f t="shared" si="2"/>
        <v>0</v>
      </c>
    </row>
    <row r="557">
      <c r="B557" s="42"/>
      <c r="P557" s="41">
        <f t="shared" si="2"/>
        <v>0</v>
      </c>
    </row>
    <row r="558">
      <c r="B558" s="42"/>
      <c r="P558" s="41">
        <f t="shared" si="2"/>
        <v>0</v>
      </c>
    </row>
    <row r="559">
      <c r="B559" s="42"/>
      <c r="P559" s="41">
        <f t="shared" si="2"/>
        <v>0</v>
      </c>
    </row>
    <row r="560">
      <c r="B560" s="42"/>
      <c r="P560" s="41">
        <f t="shared" si="2"/>
        <v>0</v>
      </c>
    </row>
    <row r="561">
      <c r="B561" s="42"/>
      <c r="P561" s="41">
        <f t="shared" si="2"/>
        <v>0</v>
      </c>
    </row>
    <row r="562">
      <c r="B562" s="42"/>
      <c r="P562" s="41">
        <f t="shared" si="2"/>
        <v>0</v>
      </c>
    </row>
    <row r="563">
      <c r="B563" s="42"/>
      <c r="P563" s="41">
        <f t="shared" si="2"/>
        <v>0</v>
      </c>
    </row>
    <row r="564">
      <c r="B564" s="42"/>
      <c r="P564" s="41">
        <f t="shared" si="2"/>
        <v>0</v>
      </c>
    </row>
    <row r="565">
      <c r="B565" s="42"/>
      <c r="P565" s="41">
        <f t="shared" si="2"/>
        <v>0</v>
      </c>
    </row>
    <row r="566">
      <c r="B566" s="42"/>
      <c r="P566" s="41">
        <f t="shared" si="2"/>
        <v>0</v>
      </c>
    </row>
    <row r="567">
      <c r="B567" s="42"/>
      <c r="P567" s="41">
        <f t="shared" si="2"/>
        <v>0</v>
      </c>
    </row>
    <row r="568">
      <c r="B568" s="42"/>
      <c r="P568" s="41">
        <f t="shared" si="2"/>
        <v>0</v>
      </c>
    </row>
    <row r="569">
      <c r="B569" s="42"/>
      <c r="P569" s="41">
        <f t="shared" si="2"/>
        <v>0</v>
      </c>
    </row>
    <row r="570">
      <c r="B570" s="42"/>
      <c r="P570" s="41">
        <f t="shared" si="2"/>
        <v>0</v>
      </c>
    </row>
    <row r="571">
      <c r="B571" s="42"/>
      <c r="P571" s="41">
        <f t="shared" si="2"/>
        <v>0</v>
      </c>
    </row>
    <row r="572">
      <c r="B572" s="42"/>
      <c r="P572" s="41">
        <f t="shared" si="2"/>
        <v>0</v>
      </c>
    </row>
    <row r="573">
      <c r="B573" s="42"/>
      <c r="P573" s="41">
        <f t="shared" si="2"/>
        <v>0</v>
      </c>
    </row>
    <row r="574">
      <c r="B574" s="42"/>
      <c r="P574" s="41">
        <f t="shared" si="2"/>
        <v>0</v>
      </c>
    </row>
    <row r="575">
      <c r="B575" s="42"/>
      <c r="P575" s="41">
        <f t="shared" si="2"/>
        <v>0</v>
      </c>
    </row>
    <row r="576">
      <c r="B576" s="42"/>
      <c r="P576" s="41">
        <f t="shared" si="2"/>
        <v>0</v>
      </c>
    </row>
    <row r="577">
      <c r="B577" s="42"/>
      <c r="P577" s="41">
        <f t="shared" si="2"/>
        <v>0</v>
      </c>
    </row>
    <row r="578">
      <c r="B578" s="42"/>
      <c r="P578" s="41">
        <f t="shared" si="2"/>
        <v>0</v>
      </c>
    </row>
    <row r="579">
      <c r="B579" s="42"/>
      <c r="P579" s="41">
        <f t="shared" si="2"/>
        <v>0</v>
      </c>
    </row>
    <row r="580">
      <c r="B580" s="42"/>
      <c r="P580" s="41">
        <f t="shared" si="2"/>
        <v>0</v>
      </c>
    </row>
    <row r="581">
      <c r="B581" s="42"/>
      <c r="P581" s="41">
        <f t="shared" si="2"/>
        <v>0</v>
      </c>
    </row>
    <row r="582">
      <c r="B582" s="42"/>
      <c r="P582" s="41">
        <f t="shared" si="2"/>
        <v>0</v>
      </c>
    </row>
    <row r="583">
      <c r="B583" s="42"/>
      <c r="P583" s="41">
        <f t="shared" si="2"/>
        <v>0</v>
      </c>
    </row>
    <row r="584">
      <c r="B584" s="42"/>
      <c r="P584" s="41">
        <f t="shared" si="2"/>
        <v>0</v>
      </c>
    </row>
    <row r="585">
      <c r="B585" s="42"/>
      <c r="P585" s="41">
        <f t="shared" si="2"/>
        <v>0</v>
      </c>
    </row>
    <row r="586">
      <c r="B586" s="42"/>
      <c r="P586" s="41">
        <f t="shared" si="2"/>
        <v>0</v>
      </c>
    </row>
    <row r="587">
      <c r="B587" s="42"/>
      <c r="P587" s="41">
        <f t="shared" si="2"/>
        <v>0</v>
      </c>
    </row>
    <row r="588">
      <c r="B588" s="42"/>
      <c r="P588" s="41">
        <f t="shared" si="2"/>
        <v>0</v>
      </c>
    </row>
    <row r="589">
      <c r="B589" s="42"/>
      <c r="P589" s="41">
        <f t="shared" si="2"/>
        <v>0</v>
      </c>
    </row>
    <row r="590">
      <c r="B590" s="42"/>
      <c r="P590" s="41">
        <f t="shared" si="2"/>
        <v>0</v>
      </c>
    </row>
    <row r="591">
      <c r="B591" s="42"/>
      <c r="P591" s="41">
        <f t="shared" si="2"/>
        <v>0</v>
      </c>
    </row>
    <row r="592">
      <c r="B592" s="42"/>
      <c r="P592" s="41">
        <f t="shared" si="2"/>
        <v>0</v>
      </c>
    </row>
    <row r="593">
      <c r="B593" s="42"/>
      <c r="P593" s="41">
        <f t="shared" si="2"/>
        <v>0</v>
      </c>
    </row>
    <row r="594">
      <c r="B594" s="42"/>
      <c r="P594" s="41">
        <f t="shared" si="2"/>
        <v>0</v>
      </c>
    </row>
    <row r="595">
      <c r="B595" s="42"/>
      <c r="P595" s="41">
        <f t="shared" si="2"/>
        <v>0</v>
      </c>
    </row>
    <row r="596">
      <c r="B596" s="42"/>
      <c r="P596" s="41">
        <f t="shared" si="2"/>
        <v>0</v>
      </c>
    </row>
    <row r="597">
      <c r="B597" s="42"/>
      <c r="P597" s="41">
        <f t="shared" si="2"/>
        <v>0</v>
      </c>
    </row>
    <row r="598">
      <c r="B598" s="42"/>
      <c r="P598" s="41">
        <f t="shared" si="2"/>
        <v>0</v>
      </c>
    </row>
    <row r="599">
      <c r="B599" s="42"/>
      <c r="P599" s="41">
        <f t="shared" si="2"/>
        <v>0</v>
      </c>
    </row>
    <row r="600">
      <c r="B600" s="42"/>
      <c r="P600" s="41">
        <f t="shared" si="2"/>
        <v>0</v>
      </c>
    </row>
    <row r="601">
      <c r="B601" s="42"/>
      <c r="P601" s="41">
        <f t="shared" si="2"/>
        <v>0</v>
      </c>
    </row>
    <row r="602">
      <c r="B602" s="42"/>
      <c r="P602" s="41">
        <f t="shared" si="2"/>
        <v>0</v>
      </c>
    </row>
    <row r="603">
      <c r="B603" s="42"/>
      <c r="P603" s="41">
        <f t="shared" si="2"/>
        <v>0</v>
      </c>
    </row>
    <row r="604">
      <c r="B604" s="42"/>
      <c r="P604" s="41">
        <f t="shared" si="2"/>
        <v>0</v>
      </c>
    </row>
    <row r="605">
      <c r="B605" s="42"/>
      <c r="P605" s="41">
        <f t="shared" si="2"/>
        <v>0</v>
      </c>
    </row>
    <row r="606">
      <c r="B606" s="42"/>
      <c r="P606" s="41">
        <f t="shared" si="2"/>
        <v>0</v>
      </c>
    </row>
    <row r="607">
      <c r="B607" s="42"/>
      <c r="P607" s="41">
        <f t="shared" si="2"/>
        <v>0</v>
      </c>
    </row>
    <row r="608">
      <c r="B608" s="42"/>
      <c r="P608" s="41">
        <f t="shared" si="2"/>
        <v>0</v>
      </c>
    </row>
    <row r="609">
      <c r="B609" s="42"/>
      <c r="P609" s="41">
        <f t="shared" si="2"/>
        <v>0</v>
      </c>
    </row>
    <row r="610">
      <c r="B610" s="42"/>
      <c r="P610" s="41">
        <f t="shared" si="2"/>
        <v>0</v>
      </c>
    </row>
    <row r="611">
      <c r="B611" s="42"/>
      <c r="P611" s="41">
        <f t="shared" si="2"/>
        <v>0</v>
      </c>
    </row>
    <row r="612">
      <c r="B612" s="42"/>
      <c r="P612" s="41">
        <f t="shared" si="2"/>
        <v>0</v>
      </c>
    </row>
    <row r="613">
      <c r="B613" s="42"/>
      <c r="P613" s="41">
        <f t="shared" si="2"/>
        <v>0</v>
      </c>
    </row>
    <row r="614">
      <c r="B614" s="42"/>
      <c r="P614" s="41">
        <f t="shared" si="2"/>
        <v>0</v>
      </c>
    </row>
    <row r="615">
      <c r="B615" s="42"/>
      <c r="P615" s="41">
        <f t="shared" si="2"/>
        <v>0</v>
      </c>
    </row>
    <row r="616">
      <c r="B616" s="42"/>
      <c r="P616" s="41">
        <f t="shared" si="2"/>
        <v>0</v>
      </c>
    </row>
    <row r="617">
      <c r="B617" s="42"/>
      <c r="P617" s="41">
        <f t="shared" si="2"/>
        <v>0</v>
      </c>
    </row>
    <row r="618">
      <c r="B618" s="42"/>
      <c r="P618" s="41">
        <f t="shared" si="2"/>
        <v>0</v>
      </c>
    </row>
    <row r="619">
      <c r="B619" s="42"/>
      <c r="P619" s="41">
        <f t="shared" si="2"/>
        <v>0</v>
      </c>
    </row>
    <row r="620">
      <c r="B620" s="42"/>
      <c r="P620" s="41">
        <f t="shared" si="2"/>
        <v>0</v>
      </c>
    </row>
    <row r="621">
      <c r="B621" s="42"/>
      <c r="P621" s="41">
        <f t="shared" si="2"/>
        <v>0</v>
      </c>
    </row>
    <row r="622">
      <c r="B622" s="42"/>
      <c r="P622" s="41">
        <f t="shared" si="2"/>
        <v>0</v>
      </c>
    </row>
    <row r="623">
      <c r="B623" s="42"/>
      <c r="P623" s="41">
        <f t="shared" si="2"/>
        <v>0</v>
      </c>
    </row>
    <row r="624">
      <c r="B624" s="42"/>
      <c r="P624" s="41">
        <f t="shared" si="2"/>
        <v>0</v>
      </c>
    </row>
    <row r="625">
      <c r="B625" s="42"/>
      <c r="P625" s="41">
        <f t="shared" si="2"/>
        <v>0</v>
      </c>
    </row>
    <row r="626">
      <c r="B626" s="42"/>
      <c r="P626" s="41">
        <f t="shared" si="2"/>
        <v>0</v>
      </c>
    </row>
    <row r="627">
      <c r="B627" s="42"/>
      <c r="P627" s="41">
        <f t="shared" si="2"/>
        <v>0</v>
      </c>
    </row>
    <row r="628">
      <c r="B628" s="42"/>
      <c r="P628" s="41">
        <f t="shared" si="2"/>
        <v>0</v>
      </c>
    </row>
    <row r="629">
      <c r="B629" s="42"/>
      <c r="P629" s="41">
        <f t="shared" si="2"/>
        <v>0</v>
      </c>
    </row>
    <row r="630">
      <c r="B630" s="42"/>
      <c r="P630" s="41">
        <f t="shared" si="2"/>
        <v>0</v>
      </c>
    </row>
    <row r="631">
      <c r="B631" s="42"/>
      <c r="P631" s="41">
        <f t="shared" si="2"/>
        <v>0</v>
      </c>
    </row>
    <row r="632">
      <c r="B632" s="42"/>
      <c r="P632" s="41">
        <f t="shared" si="2"/>
        <v>0</v>
      </c>
    </row>
    <row r="633">
      <c r="B633" s="42"/>
      <c r="P633" s="41">
        <f t="shared" si="2"/>
        <v>0</v>
      </c>
    </row>
    <row r="634">
      <c r="B634" s="42"/>
      <c r="P634" s="41">
        <f t="shared" si="2"/>
        <v>0</v>
      </c>
    </row>
    <row r="635">
      <c r="B635" s="42"/>
      <c r="P635" s="41">
        <f t="shared" si="2"/>
        <v>0</v>
      </c>
    </row>
    <row r="636">
      <c r="B636" s="42"/>
      <c r="P636" s="41">
        <f t="shared" si="2"/>
        <v>0</v>
      </c>
    </row>
    <row r="637">
      <c r="B637" s="42"/>
      <c r="P637" s="41">
        <f t="shared" si="2"/>
        <v>0</v>
      </c>
    </row>
    <row r="638">
      <c r="B638" s="42"/>
      <c r="P638" s="41">
        <f t="shared" si="2"/>
        <v>0</v>
      </c>
    </row>
    <row r="639">
      <c r="B639" s="42"/>
      <c r="P639" s="41">
        <f t="shared" si="2"/>
        <v>0</v>
      </c>
    </row>
    <row r="640">
      <c r="B640" s="42"/>
      <c r="P640" s="41">
        <f t="shared" si="2"/>
        <v>0</v>
      </c>
    </row>
    <row r="641">
      <c r="B641" s="42"/>
      <c r="P641" s="41">
        <f t="shared" si="2"/>
        <v>0</v>
      </c>
    </row>
    <row r="642">
      <c r="B642" s="42"/>
      <c r="P642" s="41">
        <f t="shared" si="2"/>
        <v>0</v>
      </c>
    </row>
    <row r="643">
      <c r="B643" s="42"/>
      <c r="P643" s="41">
        <f t="shared" si="2"/>
        <v>0</v>
      </c>
    </row>
    <row r="644">
      <c r="B644" s="42"/>
      <c r="P644" s="41">
        <f t="shared" si="2"/>
        <v>0</v>
      </c>
    </row>
    <row r="645">
      <c r="B645" s="42"/>
      <c r="P645" s="41">
        <f t="shared" si="2"/>
        <v>0</v>
      </c>
    </row>
    <row r="646">
      <c r="B646" s="42"/>
      <c r="P646" s="41">
        <f t="shared" si="2"/>
        <v>0</v>
      </c>
    </row>
    <row r="647">
      <c r="B647" s="42"/>
      <c r="P647" s="41">
        <f t="shared" si="2"/>
        <v>0</v>
      </c>
    </row>
    <row r="648">
      <c r="B648" s="42"/>
      <c r="P648" s="41">
        <f t="shared" si="2"/>
        <v>0</v>
      </c>
    </row>
    <row r="649">
      <c r="B649" s="42"/>
      <c r="P649" s="41">
        <f t="shared" si="2"/>
        <v>0</v>
      </c>
    </row>
    <row r="650">
      <c r="B650" s="42"/>
      <c r="P650" s="41">
        <f t="shared" si="2"/>
        <v>0</v>
      </c>
    </row>
    <row r="651">
      <c r="B651" s="42"/>
      <c r="P651" s="41">
        <f t="shared" si="2"/>
        <v>0</v>
      </c>
    </row>
    <row r="652">
      <c r="B652" s="42"/>
      <c r="P652" s="41">
        <f t="shared" si="2"/>
        <v>0</v>
      </c>
    </row>
    <row r="653">
      <c r="B653" s="42"/>
      <c r="P653" s="41">
        <f t="shared" si="2"/>
        <v>0</v>
      </c>
    </row>
    <row r="654">
      <c r="B654" s="42"/>
      <c r="P654" s="41">
        <f t="shared" si="2"/>
        <v>0</v>
      </c>
    </row>
    <row r="655">
      <c r="B655" s="42"/>
      <c r="P655" s="41">
        <f t="shared" si="2"/>
        <v>0</v>
      </c>
    </row>
    <row r="656">
      <c r="B656" s="42"/>
      <c r="P656" s="41">
        <f t="shared" si="2"/>
        <v>0</v>
      </c>
    </row>
    <row r="657">
      <c r="B657" s="42"/>
      <c r="P657" s="41">
        <f t="shared" si="2"/>
        <v>0</v>
      </c>
    </row>
    <row r="658">
      <c r="B658" s="42"/>
      <c r="P658" s="41">
        <f t="shared" si="2"/>
        <v>0</v>
      </c>
    </row>
    <row r="659">
      <c r="B659" s="42"/>
      <c r="P659" s="41">
        <f t="shared" si="2"/>
        <v>0</v>
      </c>
    </row>
    <row r="660">
      <c r="B660" s="42"/>
      <c r="P660" s="41">
        <f t="shared" si="2"/>
        <v>0</v>
      </c>
    </row>
    <row r="661">
      <c r="B661" s="42"/>
      <c r="P661" s="41">
        <f t="shared" si="2"/>
        <v>0</v>
      </c>
    </row>
    <row r="662">
      <c r="B662" s="42"/>
      <c r="P662" s="41">
        <f t="shared" si="2"/>
        <v>0</v>
      </c>
    </row>
    <row r="663">
      <c r="B663" s="42"/>
      <c r="P663" s="41">
        <f t="shared" si="2"/>
        <v>0</v>
      </c>
    </row>
    <row r="664">
      <c r="B664" s="42"/>
      <c r="P664" s="41">
        <f t="shared" si="2"/>
        <v>0</v>
      </c>
    </row>
    <row r="665">
      <c r="B665" s="42"/>
      <c r="P665" s="41">
        <f t="shared" si="2"/>
        <v>0</v>
      </c>
    </row>
    <row r="666">
      <c r="B666" s="42"/>
      <c r="P666" s="41">
        <f t="shared" si="2"/>
        <v>0</v>
      </c>
    </row>
    <row r="667">
      <c r="B667" s="42"/>
      <c r="P667" s="41">
        <f t="shared" si="2"/>
        <v>0</v>
      </c>
    </row>
    <row r="668">
      <c r="B668" s="42"/>
      <c r="P668" s="41">
        <f t="shared" si="2"/>
        <v>0</v>
      </c>
    </row>
    <row r="669">
      <c r="B669" s="42"/>
      <c r="P669" s="41">
        <f t="shared" si="2"/>
        <v>0</v>
      </c>
    </row>
    <row r="670">
      <c r="B670" s="42"/>
      <c r="P670" s="41">
        <f t="shared" si="2"/>
        <v>0</v>
      </c>
    </row>
    <row r="671">
      <c r="B671" s="42"/>
      <c r="P671" s="41">
        <f t="shared" si="2"/>
        <v>0</v>
      </c>
    </row>
    <row r="672">
      <c r="B672" s="42"/>
      <c r="P672" s="41">
        <f t="shared" si="2"/>
        <v>0</v>
      </c>
    </row>
    <row r="673">
      <c r="B673" s="42"/>
      <c r="P673" s="41">
        <f t="shared" si="2"/>
        <v>0</v>
      </c>
    </row>
    <row r="674">
      <c r="B674" s="42"/>
      <c r="P674" s="41">
        <f t="shared" si="2"/>
        <v>0</v>
      </c>
    </row>
    <row r="675">
      <c r="B675" s="42"/>
      <c r="P675" s="41">
        <f t="shared" si="2"/>
        <v>0</v>
      </c>
    </row>
    <row r="676">
      <c r="B676" s="42"/>
      <c r="P676" s="41">
        <f t="shared" si="2"/>
        <v>0</v>
      </c>
    </row>
    <row r="677">
      <c r="B677" s="42"/>
      <c r="P677" s="41">
        <f t="shared" si="2"/>
        <v>0</v>
      </c>
    </row>
    <row r="678">
      <c r="B678" s="42"/>
      <c r="P678" s="41">
        <f t="shared" si="2"/>
        <v>0</v>
      </c>
    </row>
    <row r="679">
      <c r="B679" s="42"/>
      <c r="P679" s="41">
        <f t="shared" si="2"/>
        <v>0</v>
      </c>
    </row>
    <row r="680">
      <c r="B680" s="42"/>
      <c r="P680" s="41">
        <f t="shared" si="2"/>
        <v>0</v>
      </c>
    </row>
    <row r="681">
      <c r="B681" s="42"/>
      <c r="P681" s="41">
        <f t="shared" si="2"/>
        <v>0</v>
      </c>
    </row>
    <row r="682">
      <c r="B682" s="42"/>
      <c r="P682" s="41">
        <f t="shared" si="2"/>
        <v>0</v>
      </c>
    </row>
    <row r="683">
      <c r="B683" s="42"/>
      <c r="P683" s="41">
        <f t="shared" si="2"/>
        <v>0</v>
      </c>
    </row>
    <row r="684">
      <c r="B684" s="42"/>
      <c r="P684" s="41">
        <f t="shared" si="2"/>
        <v>0</v>
      </c>
    </row>
    <row r="685">
      <c r="B685" s="42"/>
      <c r="P685" s="41">
        <f t="shared" si="2"/>
        <v>0</v>
      </c>
    </row>
    <row r="686">
      <c r="B686" s="42"/>
      <c r="P686" s="41">
        <f t="shared" si="2"/>
        <v>0</v>
      </c>
    </row>
    <row r="687">
      <c r="B687" s="42"/>
      <c r="P687" s="41">
        <f t="shared" si="2"/>
        <v>0</v>
      </c>
    </row>
    <row r="688">
      <c r="B688" s="42"/>
      <c r="P688" s="41">
        <f t="shared" si="2"/>
        <v>0</v>
      </c>
    </row>
    <row r="689">
      <c r="B689" s="42"/>
      <c r="P689" s="41">
        <f t="shared" si="2"/>
        <v>0</v>
      </c>
    </row>
    <row r="690">
      <c r="B690" s="42"/>
      <c r="P690" s="41">
        <f t="shared" si="2"/>
        <v>0</v>
      </c>
    </row>
    <row r="691">
      <c r="B691" s="42"/>
      <c r="P691" s="41">
        <f t="shared" si="2"/>
        <v>0</v>
      </c>
    </row>
    <row r="692">
      <c r="B692" s="42"/>
      <c r="P692" s="41">
        <f t="shared" si="2"/>
        <v>0</v>
      </c>
    </row>
    <row r="693">
      <c r="B693" s="42"/>
      <c r="P693" s="41">
        <f t="shared" si="2"/>
        <v>0</v>
      </c>
    </row>
    <row r="694">
      <c r="B694" s="42"/>
      <c r="P694" s="41">
        <f t="shared" si="2"/>
        <v>0</v>
      </c>
    </row>
    <row r="695">
      <c r="B695" s="42"/>
      <c r="P695" s="41">
        <f t="shared" si="2"/>
        <v>0</v>
      </c>
    </row>
    <row r="696">
      <c r="B696" s="42"/>
      <c r="P696" s="41">
        <f t="shared" si="2"/>
        <v>0</v>
      </c>
    </row>
    <row r="697">
      <c r="B697" s="42"/>
      <c r="P697" s="41">
        <f t="shared" si="2"/>
        <v>0</v>
      </c>
    </row>
    <row r="698">
      <c r="B698" s="42"/>
      <c r="P698" s="41">
        <f t="shared" si="2"/>
        <v>0</v>
      </c>
    </row>
    <row r="699">
      <c r="B699" s="42"/>
      <c r="P699" s="41">
        <f t="shared" si="2"/>
        <v>0</v>
      </c>
    </row>
    <row r="700">
      <c r="B700" s="42"/>
      <c r="P700" s="41">
        <f t="shared" si="2"/>
        <v>0</v>
      </c>
    </row>
    <row r="701">
      <c r="B701" s="42"/>
      <c r="P701" s="41">
        <f t="shared" si="2"/>
        <v>0</v>
      </c>
    </row>
    <row r="702">
      <c r="B702" s="42"/>
      <c r="P702" s="41">
        <f t="shared" si="2"/>
        <v>0</v>
      </c>
    </row>
    <row r="703">
      <c r="B703" s="42"/>
      <c r="P703" s="41">
        <f t="shared" si="2"/>
        <v>0</v>
      </c>
    </row>
    <row r="704">
      <c r="B704" s="42"/>
      <c r="P704" s="41">
        <f t="shared" si="2"/>
        <v>0</v>
      </c>
    </row>
    <row r="705">
      <c r="B705" s="42"/>
      <c r="P705" s="41">
        <f t="shared" si="2"/>
        <v>0</v>
      </c>
    </row>
    <row r="706">
      <c r="B706" s="42"/>
      <c r="P706" s="41">
        <f t="shared" si="2"/>
        <v>0</v>
      </c>
    </row>
    <row r="707">
      <c r="B707" s="42"/>
      <c r="P707" s="41">
        <f t="shared" si="2"/>
        <v>0</v>
      </c>
    </row>
    <row r="708">
      <c r="B708" s="42"/>
      <c r="P708" s="41">
        <f t="shared" si="2"/>
        <v>0</v>
      </c>
    </row>
    <row r="709">
      <c r="B709" s="42"/>
      <c r="P709" s="41">
        <f t="shared" si="2"/>
        <v>0</v>
      </c>
    </row>
    <row r="710">
      <c r="B710" s="42"/>
      <c r="P710" s="41">
        <f t="shared" si="2"/>
        <v>0</v>
      </c>
    </row>
    <row r="711">
      <c r="B711" s="42"/>
      <c r="P711" s="41">
        <f t="shared" si="2"/>
        <v>0</v>
      </c>
    </row>
    <row r="712">
      <c r="B712" s="42"/>
      <c r="P712" s="41">
        <f t="shared" si="2"/>
        <v>0</v>
      </c>
    </row>
    <row r="713">
      <c r="B713" s="42"/>
      <c r="P713" s="41">
        <f t="shared" si="2"/>
        <v>0</v>
      </c>
    </row>
    <row r="714">
      <c r="B714" s="42"/>
      <c r="P714" s="41">
        <f t="shared" si="2"/>
        <v>0</v>
      </c>
    </row>
    <row r="715">
      <c r="B715" s="42"/>
      <c r="P715" s="41">
        <f t="shared" si="2"/>
        <v>0</v>
      </c>
    </row>
    <row r="716">
      <c r="B716" s="42"/>
      <c r="P716" s="41">
        <f t="shared" si="2"/>
        <v>0</v>
      </c>
    </row>
    <row r="717">
      <c r="B717" s="42"/>
      <c r="P717" s="41">
        <f t="shared" si="2"/>
        <v>0</v>
      </c>
    </row>
    <row r="718">
      <c r="B718" s="42"/>
      <c r="P718" s="41">
        <f t="shared" si="2"/>
        <v>0</v>
      </c>
    </row>
    <row r="719">
      <c r="B719" s="42"/>
      <c r="P719" s="41">
        <f t="shared" si="2"/>
        <v>0</v>
      </c>
    </row>
    <row r="720">
      <c r="B720" s="42"/>
      <c r="P720" s="41">
        <f t="shared" si="2"/>
        <v>0</v>
      </c>
    </row>
    <row r="721">
      <c r="B721" s="42"/>
      <c r="P721" s="41">
        <f t="shared" si="2"/>
        <v>0</v>
      </c>
    </row>
    <row r="722">
      <c r="B722" s="42"/>
      <c r="P722" s="41">
        <f t="shared" si="2"/>
        <v>0</v>
      </c>
    </row>
    <row r="723">
      <c r="B723" s="42"/>
      <c r="P723" s="41">
        <f t="shared" si="2"/>
        <v>0</v>
      </c>
    </row>
    <row r="724">
      <c r="B724" s="42"/>
      <c r="P724" s="41">
        <f t="shared" si="2"/>
        <v>0</v>
      </c>
    </row>
    <row r="725">
      <c r="B725" s="42"/>
      <c r="P725" s="41">
        <f t="shared" si="2"/>
        <v>0</v>
      </c>
    </row>
    <row r="726">
      <c r="B726" s="42"/>
      <c r="P726" s="41">
        <f t="shared" si="2"/>
        <v>0</v>
      </c>
    </row>
    <row r="727">
      <c r="B727" s="42"/>
      <c r="P727" s="41">
        <f t="shared" si="2"/>
        <v>0</v>
      </c>
    </row>
    <row r="728">
      <c r="B728" s="42"/>
      <c r="P728" s="41">
        <f t="shared" si="2"/>
        <v>0</v>
      </c>
    </row>
    <row r="729">
      <c r="B729" s="42"/>
      <c r="P729" s="41">
        <f t="shared" si="2"/>
        <v>0</v>
      </c>
    </row>
    <row r="730">
      <c r="B730" s="42"/>
      <c r="P730" s="41">
        <f t="shared" si="2"/>
        <v>0</v>
      </c>
    </row>
    <row r="731">
      <c r="B731" s="42"/>
      <c r="P731" s="41">
        <f t="shared" si="2"/>
        <v>0</v>
      </c>
    </row>
    <row r="732">
      <c r="B732" s="42"/>
      <c r="P732" s="41">
        <f t="shared" si="2"/>
        <v>0</v>
      </c>
    </row>
    <row r="733">
      <c r="B733" s="42"/>
      <c r="P733" s="41">
        <f t="shared" si="2"/>
        <v>0</v>
      </c>
    </row>
    <row r="734">
      <c r="B734" s="42"/>
      <c r="P734" s="41">
        <f t="shared" si="2"/>
        <v>0</v>
      </c>
    </row>
    <row r="735">
      <c r="B735" s="42"/>
      <c r="P735" s="41">
        <f t="shared" si="2"/>
        <v>0</v>
      </c>
    </row>
    <row r="736">
      <c r="B736" s="42"/>
      <c r="P736" s="41">
        <f t="shared" si="2"/>
        <v>0</v>
      </c>
    </row>
    <row r="737">
      <c r="B737" s="42"/>
      <c r="P737" s="41">
        <f t="shared" si="2"/>
        <v>0</v>
      </c>
    </row>
    <row r="738">
      <c r="B738" s="42"/>
      <c r="P738" s="41">
        <f t="shared" si="2"/>
        <v>0</v>
      </c>
    </row>
    <row r="739">
      <c r="B739" s="42"/>
      <c r="P739" s="41">
        <f t="shared" si="2"/>
        <v>0</v>
      </c>
    </row>
    <row r="740">
      <c r="B740" s="42"/>
      <c r="P740" s="41">
        <f t="shared" si="2"/>
        <v>0</v>
      </c>
    </row>
    <row r="741">
      <c r="B741" s="42"/>
      <c r="P741" s="41">
        <f t="shared" si="2"/>
        <v>0</v>
      </c>
    </row>
    <row r="742">
      <c r="B742" s="42"/>
      <c r="P742" s="41">
        <f t="shared" si="2"/>
        <v>0</v>
      </c>
    </row>
    <row r="743">
      <c r="B743" s="42"/>
      <c r="P743" s="41">
        <f t="shared" si="2"/>
        <v>0</v>
      </c>
    </row>
    <row r="744">
      <c r="B744" s="42"/>
      <c r="P744" s="41">
        <f t="shared" si="2"/>
        <v>0</v>
      </c>
    </row>
    <row r="745">
      <c r="B745" s="42"/>
      <c r="P745" s="41">
        <f t="shared" si="2"/>
        <v>0</v>
      </c>
    </row>
    <row r="746">
      <c r="B746" s="42"/>
      <c r="P746" s="41">
        <f t="shared" si="2"/>
        <v>0</v>
      </c>
    </row>
    <row r="747">
      <c r="B747" s="42"/>
      <c r="P747" s="41">
        <f t="shared" si="2"/>
        <v>0</v>
      </c>
    </row>
    <row r="748">
      <c r="B748" s="42"/>
      <c r="P748" s="41">
        <f t="shared" si="2"/>
        <v>0</v>
      </c>
    </row>
    <row r="749">
      <c r="B749" s="42"/>
      <c r="P749" s="41">
        <f t="shared" si="2"/>
        <v>0</v>
      </c>
    </row>
    <row r="750">
      <c r="B750" s="42"/>
      <c r="P750" s="41">
        <f t="shared" si="2"/>
        <v>0</v>
      </c>
    </row>
    <row r="751">
      <c r="B751" s="42"/>
      <c r="P751" s="41">
        <f t="shared" si="2"/>
        <v>0</v>
      </c>
    </row>
    <row r="752">
      <c r="B752" s="42"/>
      <c r="P752" s="41">
        <f t="shared" si="2"/>
        <v>0</v>
      </c>
    </row>
    <row r="753">
      <c r="B753" s="42"/>
      <c r="P753" s="41">
        <f t="shared" si="2"/>
        <v>0</v>
      </c>
    </row>
    <row r="754">
      <c r="B754" s="42"/>
      <c r="P754" s="41">
        <f t="shared" si="2"/>
        <v>0</v>
      </c>
    </row>
    <row r="755">
      <c r="B755" s="42"/>
      <c r="P755" s="41">
        <f t="shared" si="2"/>
        <v>0</v>
      </c>
    </row>
    <row r="756">
      <c r="B756" s="42"/>
      <c r="P756" s="41">
        <f t="shared" si="2"/>
        <v>0</v>
      </c>
    </row>
    <row r="757">
      <c r="B757" s="42"/>
      <c r="P757" s="41">
        <f t="shared" si="2"/>
        <v>0</v>
      </c>
    </row>
    <row r="758">
      <c r="B758" s="42"/>
      <c r="P758" s="41">
        <f t="shared" si="2"/>
        <v>0</v>
      </c>
    </row>
    <row r="759">
      <c r="B759" s="42"/>
      <c r="P759" s="41">
        <f t="shared" si="2"/>
        <v>0</v>
      </c>
    </row>
    <row r="760">
      <c r="B760" s="42"/>
      <c r="P760" s="41">
        <f t="shared" si="2"/>
        <v>0</v>
      </c>
    </row>
    <row r="761">
      <c r="B761" s="42"/>
      <c r="P761" s="41">
        <f t="shared" si="2"/>
        <v>0</v>
      </c>
    </row>
    <row r="762">
      <c r="B762" s="42"/>
      <c r="P762" s="41">
        <f t="shared" si="2"/>
        <v>0</v>
      </c>
    </row>
    <row r="763">
      <c r="B763" s="42"/>
      <c r="P763" s="41">
        <f t="shared" si="2"/>
        <v>0</v>
      </c>
    </row>
    <row r="764">
      <c r="B764" s="42"/>
      <c r="P764" s="41">
        <f t="shared" si="2"/>
        <v>0</v>
      </c>
    </row>
    <row r="765">
      <c r="B765" s="42"/>
      <c r="P765" s="41">
        <f t="shared" si="2"/>
        <v>0</v>
      </c>
    </row>
    <row r="766">
      <c r="B766" s="42"/>
      <c r="P766" s="41">
        <f t="shared" si="2"/>
        <v>0</v>
      </c>
    </row>
    <row r="767">
      <c r="B767" s="42"/>
      <c r="P767" s="41">
        <f t="shared" si="2"/>
        <v>0</v>
      </c>
    </row>
    <row r="768">
      <c r="B768" s="42"/>
      <c r="P768" s="41">
        <f t="shared" si="2"/>
        <v>0</v>
      </c>
    </row>
    <row r="769">
      <c r="B769" s="42"/>
      <c r="P769" s="41">
        <f t="shared" si="2"/>
        <v>0</v>
      </c>
    </row>
    <row r="770">
      <c r="B770" s="42"/>
      <c r="P770" s="41">
        <f t="shared" si="2"/>
        <v>0</v>
      </c>
    </row>
    <row r="771">
      <c r="B771" s="42"/>
      <c r="P771" s="41">
        <f t="shared" si="2"/>
        <v>0</v>
      </c>
    </row>
    <row r="772">
      <c r="B772" s="42"/>
      <c r="P772" s="41">
        <f t="shared" si="2"/>
        <v>0</v>
      </c>
    </row>
    <row r="773">
      <c r="B773" s="42"/>
      <c r="P773" s="41">
        <f t="shared" si="2"/>
        <v>0</v>
      </c>
    </row>
    <row r="774">
      <c r="B774" s="42"/>
      <c r="P774" s="41">
        <f t="shared" si="2"/>
        <v>0</v>
      </c>
    </row>
    <row r="775">
      <c r="B775" s="42"/>
      <c r="P775" s="41">
        <f t="shared" si="2"/>
        <v>0</v>
      </c>
    </row>
    <row r="776">
      <c r="B776" s="42"/>
      <c r="P776" s="41">
        <f t="shared" si="2"/>
        <v>0</v>
      </c>
    </row>
    <row r="777">
      <c r="B777" s="42"/>
      <c r="P777" s="41">
        <f t="shared" si="2"/>
        <v>0</v>
      </c>
    </row>
    <row r="778">
      <c r="B778" s="42"/>
      <c r="P778" s="41">
        <f t="shared" si="2"/>
        <v>0</v>
      </c>
    </row>
    <row r="779">
      <c r="B779" s="42"/>
      <c r="P779" s="41">
        <f t="shared" si="2"/>
        <v>0</v>
      </c>
    </row>
    <row r="780">
      <c r="B780" s="42"/>
      <c r="P780" s="41">
        <f t="shared" si="2"/>
        <v>0</v>
      </c>
    </row>
    <row r="781">
      <c r="B781" s="42"/>
      <c r="P781" s="41">
        <f t="shared" si="2"/>
        <v>0</v>
      </c>
    </row>
    <row r="782">
      <c r="B782" s="42"/>
      <c r="P782" s="41">
        <f t="shared" si="2"/>
        <v>0</v>
      </c>
    </row>
    <row r="783">
      <c r="B783" s="42"/>
      <c r="P783" s="41">
        <f t="shared" si="2"/>
        <v>0</v>
      </c>
    </row>
    <row r="784">
      <c r="B784" s="42"/>
      <c r="P784" s="41">
        <f t="shared" si="2"/>
        <v>0</v>
      </c>
    </row>
    <row r="785">
      <c r="B785" s="42"/>
      <c r="P785" s="41">
        <f t="shared" si="2"/>
        <v>0</v>
      </c>
    </row>
    <row r="786">
      <c r="B786" s="42"/>
      <c r="P786" s="41">
        <f t="shared" si="2"/>
        <v>0</v>
      </c>
    </row>
    <row r="787">
      <c r="B787" s="42"/>
      <c r="P787" s="41">
        <f t="shared" si="2"/>
        <v>0</v>
      </c>
    </row>
    <row r="788">
      <c r="B788" s="42"/>
      <c r="P788" s="41">
        <f t="shared" si="2"/>
        <v>0</v>
      </c>
    </row>
    <row r="789">
      <c r="B789" s="42"/>
      <c r="P789" s="41">
        <f t="shared" si="2"/>
        <v>0</v>
      </c>
    </row>
    <row r="790">
      <c r="B790" s="42"/>
      <c r="P790" s="41">
        <f t="shared" si="2"/>
        <v>0</v>
      </c>
    </row>
    <row r="791">
      <c r="B791" s="42"/>
      <c r="P791" s="41">
        <f t="shared" si="2"/>
        <v>0</v>
      </c>
    </row>
    <row r="792">
      <c r="B792" s="42"/>
      <c r="P792" s="41">
        <f t="shared" si="2"/>
        <v>0</v>
      </c>
    </row>
    <row r="793">
      <c r="B793" s="42"/>
      <c r="P793" s="41">
        <f t="shared" si="2"/>
        <v>0</v>
      </c>
    </row>
    <row r="794">
      <c r="B794" s="42"/>
      <c r="P794" s="41">
        <f t="shared" si="2"/>
        <v>0</v>
      </c>
    </row>
    <row r="795">
      <c r="B795" s="42"/>
      <c r="P795" s="41">
        <f t="shared" si="2"/>
        <v>0</v>
      </c>
    </row>
    <row r="796">
      <c r="B796" s="42"/>
      <c r="P796" s="41">
        <f t="shared" si="2"/>
        <v>0</v>
      </c>
    </row>
    <row r="797">
      <c r="B797" s="42"/>
      <c r="P797" s="41">
        <f t="shared" si="2"/>
        <v>0</v>
      </c>
    </row>
    <row r="798">
      <c r="B798" s="42"/>
      <c r="P798" s="41">
        <f t="shared" si="2"/>
        <v>0</v>
      </c>
    </row>
    <row r="799">
      <c r="B799" s="42"/>
      <c r="P799" s="41">
        <f t="shared" si="2"/>
        <v>0</v>
      </c>
    </row>
    <row r="800">
      <c r="B800" s="42"/>
      <c r="P800" s="41">
        <f t="shared" si="2"/>
        <v>0</v>
      </c>
    </row>
    <row r="801">
      <c r="B801" s="42"/>
      <c r="P801" s="41">
        <f t="shared" si="2"/>
        <v>0</v>
      </c>
    </row>
    <row r="802">
      <c r="B802" s="42"/>
      <c r="P802" s="41">
        <f t="shared" si="2"/>
        <v>0</v>
      </c>
    </row>
    <row r="803">
      <c r="B803" s="42"/>
      <c r="P803" s="41">
        <f t="shared" si="2"/>
        <v>0</v>
      </c>
    </row>
    <row r="804">
      <c r="B804" s="42"/>
      <c r="P804" s="41">
        <f t="shared" si="2"/>
        <v>0</v>
      </c>
    </row>
    <row r="805">
      <c r="B805" s="42"/>
      <c r="P805" s="41">
        <f t="shared" si="2"/>
        <v>0</v>
      </c>
    </row>
    <row r="806">
      <c r="B806" s="42"/>
      <c r="P806" s="41">
        <f t="shared" si="2"/>
        <v>0</v>
      </c>
    </row>
    <row r="807">
      <c r="B807" s="42"/>
      <c r="P807" s="41">
        <f t="shared" si="2"/>
        <v>0</v>
      </c>
    </row>
    <row r="808">
      <c r="B808" s="42"/>
      <c r="P808" s="41">
        <f t="shared" si="2"/>
        <v>0</v>
      </c>
    </row>
    <row r="809">
      <c r="B809" s="42"/>
      <c r="P809" s="41">
        <f t="shared" si="2"/>
        <v>0</v>
      </c>
    </row>
    <row r="810">
      <c r="B810" s="42"/>
      <c r="P810" s="41">
        <f t="shared" si="2"/>
        <v>0</v>
      </c>
    </row>
    <row r="811">
      <c r="B811" s="42"/>
      <c r="P811" s="41">
        <f t="shared" si="2"/>
        <v>0</v>
      </c>
    </row>
    <row r="812">
      <c r="B812" s="42"/>
      <c r="P812" s="41">
        <f t="shared" si="2"/>
        <v>0</v>
      </c>
    </row>
    <row r="813">
      <c r="B813" s="42"/>
      <c r="P813" s="41">
        <f t="shared" si="2"/>
        <v>0</v>
      </c>
    </row>
    <row r="814">
      <c r="B814" s="42"/>
      <c r="P814" s="41">
        <f t="shared" si="2"/>
        <v>0</v>
      </c>
    </row>
    <row r="815">
      <c r="B815" s="42"/>
      <c r="P815" s="41">
        <f t="shared" si="2"/>
        <v>0</v>
      </c>
    </row>
    <row r="816">
      <c r="B816" s="42"/>
      <c r="P816" s="41">
        <f t="shared" si="2"/>
        <v>0</v>
      </c>
    </row>
    <row r="817">
      <c r="B817" s="42"/>
      <c r="P817" s="41">
        <f t="shared" si="2"/>
        <v>0</v>
      </c>
    </row>
    <row r="818">
      <c r="B818" s="42"/>
      <c r="P818" s="41">
        <f t="shared" si="2"/>
        <v>0</v>
      </c>
    </row>
    <row r="819">
      <c r="B819" s="42"/>
      <c r="P819" s="41">
        <f t="shared" si="2"/>
        <v>0</v>
      </c>
    </row>
    <row r="820">
      <c r="B820" s="42"/>
      <c r="P820" s="41">
        <f t="shared" si="2"/>
        <v>0</v>
      </c>
    </row>
    <row r="821">
      <c r="B821" s="42"/>
      <c r="P821" s="41">
        <f t="shared" si="2"/>
        <v>0</v>
      </c>
    </row>
    <row r="822">
      <c r="B822" s="42"/>
      <c r="P822" s="41">
        <f t="shared" si="2"/>
        <v>0</v>
      </c>
    </row>
    <row r="823">
      <c r="B823" s="42"/>
      <c r="P823" s="41">
        <f t="shared" si="2"/>
        <v>0</v>
      </c>
    </row>
    <row r="824">
      <c r="B824" s="42"/>
      <c r="P824" s="41">
        <f t="shared" si="2"/>
        <v>0</v>
      </c>
    </row>
    <row r="825">
      <c r="B825" s="42"/>
      <c r="P825" s="41">
        <f t="shared" si="2"/>
        <v>0</v>
      </c>
    </row>
    <row r="826">
      <c r="B826" s="42"/>
      <c r="P826" s="41">
        <f t="shared" si="2"/>
        <v>0</v>
      </c>
    </row>
    <row r="827">
      <c r="B827" s="42"/>
      <c r="P827" s="41">
        <f t="shared" si="2"/>
        <v>0</v>
      </c>
    </row>
    <row r="828">
      <c r="B828" s="42"/>
      <c r="P828" s="41">
        <f t="shared" si="2"/>
        <v>0</v>
      </c>
    </row>
    <row r="829">
      <c r="B829" s="42"/>
      <c r="P829" s="41">
        <f t="shared" si="2"/>
        <v>0</v>
      </c>
    </row>
    <row r="830">
      <c r="B830" s="42"/>
      <c r="P830" s="41">
        <f t="shared" si="2"/>
        <v>0</v>
      </c>
    </row>
    <row r="831">
      <c r="B831" s="42"/>
      <c r="P831" s="41">
        <f t="shared" si="2"/>
        <v>0</v>
      </c>
    </row>
    <row r="832">
      <c r="B832" s="42"/>
      <c r="P832" s="41">
        <f t="shared" si="2"/>
        <v>0</v>
      </c>
    </row>
    <row r="833">
      <c r="B833" s="42"/>
      <c r="P833" s="41">
        <f t="shared" si="2"/>
        <v>0</v>
      </c>
    </row>
    <row r="834">
      <c r="B834" s="42"/>
      <c r="P834" s="41">
        <f t="shared" si="2"/>
        <v>0</v>
      </c>
    </row>
    <row r="835">
      <c r="B835" s="42"/>
      <c r="P835" s="41">
        <f t="shared" si="2"/>
        <v>0</v>
      </c>
    </row>
    <row r="836">
      <c r="B836" s="42"/>
      <c r="P836" s="41">
        <f t="shared" si="2"/>
        <v>0</v>
      </c>
    </row>
    <row r="837">
      <c r="B837" s="42"/>
      <c r="P837" s="41">
        <f t="shared" si="2"/>
        <v>0</v>
      </c>
    </row>
    <row r="838">
      <c r="B838" s="42"/>
      <c r="P838" s="41">
        <f t="shared" si="2"/>
        <v>0</v>
      </c>
    </row>
    <row r="839">
      <c r="B839" s="42"/>
      <c r="P839" s="41">
        <f t="shared" si="2"/>
        <v>0</v>
      </c>
    </row>
    <row r="840">
      <c r="B840" s="42"/>
      <c r="P840" s="41">
        <f t="shared" si="2"/>
        <v>0</v>
      </c>
    </row>
    <row r="841">
      <c r="B841" s="42"/>
      <c r="P841" s="41">
        <f t="shared" si="2"/>
        <v>0</v>
      </c>
    </row>
    <row r="842">
      <c r="B842" s="42"/>
      <c r="P842" s="41">
        <f t="shared" si="2"/>
        <v>0</v>
      </c>
    </row>
    <row r="843">
      <c r="B843" s="42"/>
      <c r="P843" s="41">
        <f t="shared" si="2"/>
        <v>0</v>
      </c>
    </row>
    <row r="844">
      <c r="B844" s="42"/>
      <c r="P844" s="41">
        <f t="shared" si="2"/>
        <v>0</v>
      </c>
    </row>
    <row r="845">
      <c r="B845" s="42"/>
      <c r="P845" s="41">
        <f t="shared" si="2"/>
        <v>0</v>
      </c>
    </row>
    <row r="846">
      <c r="B846" s="42"/>
      <c r="P846" s="41">
        <f t="shared" si="2"/>
        <v>0</v>
      </c>
    </row>
    <row r="847">
      <c r="B847" s="42"/>
      <c r="P847" s="41">
        <f t="shared" si="2"/>
        <v>0</v>
      </c>
    </row>
    <row r="848">
      <c r="B848" s="42"/>
      <c r="P848" s="41">
        <f t="shared" si="2"/>
        <v>0</v>
      </c>
    </row>
    <row r="849">
      <c r="B849" s="42"/>
      <c r="P849" s="41">
        <f t="shared" si="2"/>
        <v>0</v>
      </c>
    </row>
    <row r="850">
      <c r="B850" s="42"/>
      <c r="P850" s="41">
        <f t="shared" si="2"/>
        <v>0</v>
      </c>
    </row>
    <row r="851">
      <c r="B851" s="42"/>
      <c r="P851" s="41">
        <f t="shared" si="2"/>
        <v>0</v>
      </c>
    </row>
    <row r="852">
      <c r="B852" s="42"/>
      <c r="P852" s="41">
        <f t="shared" si="2"/>
        <v>0</v>
      </c>
    </row>
    <row r="853">
      <c r="B853" s="42"/>
      <c r="P853" s="41">
        <f t="shared" si="2"/>
        <v>0</v>
      </c>
    </row>
    <row r="854">
      <c r="B854" s="42"/>
      <c r="P854" s="41">
        <f t="shared" si="2"/>
        <v>0</v>
      </c>
    </row>
    <row r="855">
      <c r="B855" s="42"/>
      <c r="P855" s="41">
        <f t="shared" si="2"/>
        <v>0</v>
      </c>
    </row>
    <row r="856">
      <c r="B856" s="42"/>
      <c r="P856" s="41">
        <f t="shared" si="2"/>
        <v>0</v>
      </c>
    </row>
    <row r="857">
      <c r="B857" s="42"/>
      <c r="P857" s="41">
        <f t="shared" si="2"/>
        <v>0</v>
      </c>
    </row>
    <row r="858">
      <c r="B858" s="42"/>
      <c r="P858" s="41">
        <f t="shared" si="2"/>
        <v>0</v>
      </c>
    </row>
    <row r="859">
      <c r="B859" s="42"/>
      <c r="P859" s="41">
        <f t="shared" si="2"/>
        <v>0</v>
      </c>
    </row>
    <row r="860">
      <c r="B860" s="42"/>
      <c r="P860" s="41">
        <f t="shared" si="2"/>
        <v>0</v>
      </c>
    </row>
    <row r="861">
      <c r="B861" s="42"/>
      <c r="P861" s="41">
        <f t="shared" si="2"/>
        <v>0</v>
      </c>
    </row>
    <row r="862">
      <c r="B862" s="42"/>
      <c r="P862" s="41">
        <f t="shared" si="2"/>
        <v>0</v>
      </c>
    </row>
    <row r="863">
      <c r="B863" s="42"/>
      <c r="P863" s="41">
        <f t="shared" si="2"/>
        <v>0</v>
      </c>
    </row>
    <row r="864">
      <c r="B864" s="42"/>
      <c r="P864" s="41">
        <f t="shared" si="2"/>
        <v>0</v>
      </c>
    </row>
    <row r="865">
      <c r="B865" s="42"/>
      <c r="P865" s="41">
        <f t="shared" si="2"/>
        <v>0</v>
      </c>
    </row>
    <row r="866">
      <c r="B866" s="42"/>
      <c r="P866" s="41">
        <f t="shared" si="2"/>
        <v>0</v>
      </c>
    </row>
    <row r="867">
      <c r="B867" s="42"/>
      <c r="P867" s="41">
        <f t="shared" si="2"/>
        <v>0</v>
      </c>
    </row>
    <row r="868">
      <c r="B868" s="42"/>
      <c r="P868" s="41">
        <f t="shared" si="2"/>
        <v>0</v>
      </c>
    </row>
    <row r="869">
      <c r="B869" s="42"/>
      <c r="P869" s="41">
        <f t="shared" si="2"/>
        <v>0</v>
      </c>
    </row>
    <row r="870">
      <c r="B870" s="42"/>
      <c r="P870" s="41">
        <f t="shared" si="2"/>
        <v>0</v>
      </c>
    </row>
    <row r="871">
      <c r="B871" s="42"/>
      <c r="P871" s="41">
        <f t="shared" si="2"/>
        <v>0</v>
      </c>
    </row>
    <row r="872">
      <c r="B872" s="42"/>
      <c r="P872" s="41">
        <f t="shared" si="2"/>
        <v>0</v>
      </c>
    </row>
    <row r="873">
      <c r="B873" s="42"/>
      <c r="P873" s="41">
        <f t="shared" si="2"/>
        <v>0</v>
      </c>
    </row>
    <row r="874">
      <c r="B874" s="42"/>
      <c r="P874" s="41">
        <f t="shared" si="2"/>
        <v>0</v>
      </c>
    </row>
    <row r="875">
      <c r="B875" s="42"/>
      <c r="P875" s="41">
        <f t="shared" si="2"/>
        <v>0</v>
      </c>
    </row>
    <row r="876">
      <c r="B876" s="42"/>
      <c r="P876" s="41">
        <f t="shared" si="2"/>
        <v>0</v>
      </c>
    </row>
    <row r="877">
      <c r="B877" s="42"/>
      <c r="P877" s="41">
        <f t="shared" si="2"/>
        <v>0</v>
      </c>
    </row>
    <row r="878">
      <c r="B878" s="42"/>
      <c r="P878" s="41">
        <f t="shared" si="2"/>
        <v>0</v>
      </c>
    </row>
    <row r="879">
      <c r="B879" s="42"/>
      <c r="P879" s="41">
        <f t="shared" si="2"/>
        <v>0</v>
      </c>
    </row>
    <row r="880">
      <c r="B880" s="42"/>
      <c r="P880" s="41">
        <f t="shared" si="2"/>
        <v>0</v>
      </c>
    </row>
    <row r="881">
      <c r="B881" s="42"/>
      <c r="P881" s="41">
        <f t="shared" si="2"/>
        <v>0</v>
      </c>
    </row>
    <row r="882">
      <c r="B882" s="42"/>
      <c r="P882" s="41">
        <f t="shared" si="2"/>
        <v>0</v>
      </c>
    </row>
    <row r="883">
      <c r="B883" s="42"/>
      <c r="P883" s="41">
        <f t="shared" si="2"/>
        <v>0</v>
      </c>
    </row>
    <row r="884">
      <c r="B884" s="42"/>
      <c r="P884" s="41">
        <f t="shared" si="2"/>
        <v>0</v>
      </c>
    </row>
    <row r="885">
      <c r="B885" s="42"/>
      <c r="P885" s="41">
        <f t="shared" si="2"/>
        <v>0</v>
      </c>
    </row>
    <row r="886">
      <c r="B886" s="42"/>
      <c r="P886" s="41">
        <f t="shared" si="2"/>
        <v>0</v>
      </c>
    </row>
    <row r="887">
      <c r="B887" s="42"/>
      <c r="P887" s="41">
        <f t="shared" si="2"/>
        <v>0</v>
      </c>
    </row>
    <row r="888">
      <c r="B888" s="42"/>
      <c r="P888" s="41">
        <f t="shared" si="2"/>
        <v>0</v>
      </c>
    </row>
    <row r="889">
      <c r="B889" s="42"/>
      <c r="P889" s="41">
        <f t="shared" si="2"/>
        <v>0</v>
      </c>
    </row>
    <row r="890">
      <c r="B890" s="42"/>
      <c r="P890" s="41">
        <f t="shared" si="2"/>
        <v>0</v>
      </c>
    </row>
    <row r="891">
      <c r="B891" s="42"/>
      <c r="P891" s="41">
        <f t="shared" si="2"/>
        <v>0</v>
      </c>
    </row>
    <row r="892">
      <c r="B892" s="42"/>
      <c r="P892" s="41">
        <f t="shared" si="2"/>
        <v>0</v>
      </c>
    </row>
    <row r="893">
      <c r="B893" s="42"/>
      <c r="P893" s="41">
        <f t="shared" si="2"/>
        <v>0</v>
      </c>
    </row>
    <row r="894">
      <c r="B894" s="42"/>
      <c r="P894" s="41">
        <f t="shared" si="2"/>
        <v>0</v>
      </c>
    </row>
    <row r="895">
      <c r="B895" s="42"/>
      <c r="P895" s="41">
        <f t="shared" si="2"/>
        <v>0</v>
      </c>
    </row>
    <row r="896">
      <c r="B896" s="42"/>
      <c r="P896" s="41">
        <f t="shared" si="2"/>
        <v>0</v>
      </c>
    </row>
    <row r="897">
      <c r="B897" s="42"/>
      <c r="P897" s="41">
        <f t="shared" si="2"/>
        <v>0</v>
      </c>
    </row>
    <row r="898">
      <c r="B898" s="42"/>
      <c r="P898" s="41">
        <f t="shared" si="2"/>
        <v>0</v>
      </c>
    </row>
    <row r="899">
      <c r="B899" s="42"/>
      <c r="P899" s="41">
        <f t="shared" si="2"/>
        <v>0</v>
      </c>
    </row>
    <row r="900">
      <c r="B900" s="42"/>
      <c r="P900" s="41">
        <f t="shared" si="2"/>
        <v>0</v>
      </c>
    </row>
    <row r="901">
      <c r="B901" s="42"/>
      <c r="P901" s="41">
        <f t="shared" si="2"/>
        <v>0</v>
      </c>
    </row>
    <row r="902">
      <c r="B902" s="42"/>
      <c r="P902" s="41">
        <f t="shared" si="2"/>
        <v>0</v>
      </c>
    </row>
    <row r="903">
      <c r="B903" s="42"/>
      <c r="P903" s="41">
        <f t="shared" si="2"/>
        <v>0</v>
      </c>
    </row>
    <row r="904">
      <c r="B904" s="42"/>
      <c r="P904" s="41">
        <f t="shared" si="2"/>
        <v>0</v>
      </c>
    </row>
    <row r="905">
      <c r="B905" s="42"/>
      <c r="P905" s="41">
        <f t="shared" si="2"/>
        <v>0</v>
      </c>
    </row>
    <row r="906">
      <c r="B906" s="42"/>
      <c r="P906" s="41">
        <f t="shared" si="2"/>
        <v>0</v>
      </c>
    </row>
    <row r="907">
      <c r="B907" s="42"/>
      <c r="P907" s="41">
        <f t="shared" si="2"/>
        <v>0</v>
      </c>
    </row>
    <row r="908">
      <c r="B908" s="42"/>
      <c r="P908" s="41">
        <f t="shared" si="2"/>
        <v>0</v>
      </c>
    </row>
    <row r="909">
      <c r="B909" s="42"/>
      <c r="P909" s="41">
        <f t="shared" si="2"/>
        <v>0</v>
      </c>
    </row>
    <row r="910">
      <c r="B910" s="42"/>
      <c r="P910" s="41">
        <f t="shared" si="2"/>
        <v>0</v>
      </c>
    </row>
    <row r="911">
      <c r="B911" s="42"/>
      <c r="P911" s="41">
        <f t="shared" si="2"/>
        <v>0</v>
      </c>
    </row>
    <row r="912">
      <c r="B912" s="42"/>
      <c r="P912" s="41">
        <f t="shared" si="2"/>
        <v>0</v>
      </c>
    </row>
    <row r="913">
      <c r="B913" s="42"/>
      <c r="P913" s="41">
        <f t="shared" si="2"/>
        <v>0</v>
      </c>
    </row>
    <row r="914">
      <c r="B914" s="42"/>
      <c r="P914" s="41">
        <f t="shared" si="2"/>
        <v>0</v>
      </c>
    </row>
    <row r="915">
      <c r="B915" s="42"/>
      <c r="P915" s="41">
        <f t="shared" si="2"/>
        <v>0</v>
      </c>
    </row>
    <row r="916">
      <c r="B916" s="42"/>
      <c r="P916" s="41">
        <f t="shared" si="2"/>
        <v>0</v>
      </c>
    </row>
    <row r="917">
      <c r="B917" s="42"/>
      <c r="P917" s="41">
        <f t="shared" si="2"/>
        <v>0</v>
      </c>
    </row>
    <row r="918">
      <c r="B918" s="42"/>
      <c r="P918" s="41">
        <f t="shared" si="2"/>
        <v>0</v>
      </c>
    </row>
    <row r="919">
      <c r="B919" s="42"/>
      <c r="P919" s="41">
        <f t="shared" si="2"/>
        <v>0</v>
      </c>
    </row>
    <row r="920">
      <c r="B920" s="42"/>
      <c r="P920" s="41">
        <f t="shared" si="2"/>
        <v>0</v>
      </c>
    </row>
    <row r="921">
      <c r="B921" s="42"/>
      <c r="P921" s="41">
        <f t="shared" si="2"/>
        <v>0</v>
      </c>
    </row>
    <row r="922">
      <c r="B922" s="42"/>
      <c r="P922" s="41">
        <f t="shared" si="2"/>
        <v>0</v>
      </c>
    </row>
    <row r="923">
      <c r="B923" s="42"/>
      <c r="P923" s="41">
        <f t="shared" si="2"/>
        <v>0</v>
      </c>
    </row>
    <row r="924">
      <c r="B924" s="42"/>
      <c r="P924" s="41">
        <f t="shared" si="2"/>
        <v>0</v>
      </c>
    </row>
    <row r="925">
      <c r="B925" s="42"/>
      <c r="P925" s="41">
        <f t="shared" si="2"/>
        <v>0</v>
      </c>
    </row>
    <row r="926">
      <c r="B926" s="42"/>
      <c r="P926" s="41">
        <f t="shared" si="2"/>
        <v>0</v>
      </c>
    </row>
    <row r="927">
      <c r="B927" s="42"/>
      <c r="P927" s="41">
        <f t="shared" si="2"/>
        <v>0</v>
      </c>
    </row>
    <row r="928">
      <c r="B928" s="42"/>
      <c r="P928" s="41">
        <f t="shared" si="2"/>
        <v>0</v>
      </c>
    </row>
    <row r="929">
      <c r="B929" s="42"/>
      <c r="P929" s="41">
        <f t="shared" si="2"/>
        <v>0</v>
      </c>
    </row>
    <row r="930">
      <c r="B930" s="42"/>
      <c r="P930" s="41">
        <f t="shared" si="2"/>
        <v>0</v>
      </c>
    </row>
    <row r="931">
      <c r="B931" s="42"/>
      <c r="P931" s="41">
        <f t="shared" si="2"/>
        <v>0</v>
      </c>
    </row>
    <row r="932">
      <c r="B932" s="42"/>
      <c r="P932" s="41">
        <f t="shared" si="2"/>
        <v>0</v>
      </c>
    </row>
    <row r="933">
      <c r="B933" s="42"/>
      <c r="P933" s="41">
        <f t="shared" si="2"/>
        <v>0</v>
      </c>
    </row>
    <row r="934">
      <c r="B934" s="42"/>
      <c r="P934" s="41">
        <f t="shared" si="2"/>
        <v>0</v>
      </c>
    </row>
    <row r="935">
      <c r="B935" s="42"/>
      <c r="P935" s="41">
        <f t="shared" si="2"/>
        <v>0</v>
      </c>
    </row>
    <row r="936">
      <c r="B936" s="42"/>
      <c r="P936" s="41">
        <f t="shared" si="2"/>
        <v>0</v>
      </c>
    </row>
    <row r="937">
      <c r="B937" s="42"/>
      <c r="P937" s="41">
        <f t="shared" si="2"/>
        <v>0</v>
      </c>
    </row>
    <row r="938">
      <c r="B938" s="42"/>
      <c r="P938" s="41">
        <f t="shared" si="2"/>
        <v>0</v>
      </c>
    </row>
    <row r="939">
      <c r="B939" s="42"/>
      <c r="P939" s="41">
        <f t="shared" si="2"/>
        <v>0</v>
      </c>
    </row>
    <row r="940">
      <c r="B940" s="42"/>
      <c r="P940" s="41">
        <f t="shared" si="2"/>
        <v>0</v>
      </c>
    </row>
    <row r="941">
      <c r="B941" s="42"/>
      <c r="P941" s="41">
        <f t="shared" si="2"/>
        <v>0</v>
      </c>
    </row>
    <row r="942">
      <c r="B942" s="42"/>
      <c r="P942" s="41">
        <f t="shared" si="2"/>
        <v>0</v>
      </c>
    </row>
    <row r="943">
      <c r="B943" s="42"/>
      <c r="P943" s="41">
        <f t="shared" si="2"/>
        <v>0</v>
      </c>
    </row>
    <row r="944">
      <c r="B944" s="42"/>
      <c r="P944" s="41">
        <f t="shared" si="2"/>
        <v>0</v>
      </c>
    </row>
    <row r="945">
      <c r="B945" s="42"/>
      <c r="P945" s="41">
        <f t="shared" si="2"/>
        <v>0</v>
      </c>
    </row>
    <row r="946">
      <c r="B946" s="42"/>
      <c r="P946" s="41">
        <f t="shared" si="2"/>
        <v>0</v>
      </c>
    </row>
    <row r="947">
      <c r="B947" s="42"/>
      <c r="P947" s="41">
        <f t="shared" si="2"/>
        <v>0</v>
      </c>
    </row>
    <row r="948">
      <c r="B948" s="42"/>
      <c r="P948" s="41">
        <f t="shared" si="2"/>
        <v>0</v>
      </c>
    </row>
    <row r="949">
      <c r="B949" s="42"/>
      <c r="P949" s="41">
        <f t="shared" si="2"/>
        <v>0</v>
      </c>
    </row>
    <row r="950">
      <c r="B950" s="42"/>
      <c r="P950" s="41">
        <f t="shared" si="2"/>
        <v>0</v>
      </c>
    </row>
    <row r="951">
      <c r="B951" s="42"/>
      <c r="P951" s="41">
        <f t="shared" si="2"/>
        <v>0</v>
      </c>
    </row>
    <row r="952">
      <c r="B952" s="42"/>
      <c r="P952" s="41">
        <f t="shared" si="2"/>
        <v>0</v>
      </c>
    </row>
    <row r="953">
      <c r="B953" s="42"/>
      <c r="P953" s="41">
        <f t="shared" si="2"/>
        <v>0</v>
      </c>
    </row>
    <row r="954">
      <c r="B954" s="42"/>
      <c r="P954" s="41">
        <f t="shared" si="2"/>
        <v>0</v>
      </c>
    </row>
    <row r="955">
      <c r="B955" s="42"/>
      <c r="P955" s="41">
        <f t="shared" si="2"/>
        <v>0</v>
      </c>
    </row>
    <row r="956">
      <c r="B956" s="42"/>
      <c r="P956" s="41">
        <f t="shared" si="2"/>
        <v>0</v>
      </c>
    </row>
    <row r="957">
      <c r="B957" s="42"/>
      <c r="P957" s="41">
        <f t="shared" si="2"/>
        <v>0</v>
      </c>
    </row>
    <row r="958">
      <c r="B958" s="42"/>
      <c r="P958" s="41">
        <f t="shared" si="2"/>
        <v>0</v>
      </c>
    </row>
    <row r="959">
      <c r="B959" s="42"/>
      <c r="P959" s="41">
        <f t="shared" si="2"/>
        <v>0</v>
      </c>
    </row>
    <row r="960">
      <c r="B960" s="42"/>
      <c r="P960" s="41">
        <f t="shared" si="2"/>
        <v>0</v>
      </c>
    </row>
    <row r="961">
      <c r="B961" s="42"/>
      <c r="P961" s="41">
        <f t="shared" si="2"/>
        <v>0</v>
      </c>
    </row>
    <row r="962">
      <c r="B962" s="42"/>
      <c r="P962" s="41">
        <f t="shared" si="2"/>
        <v>0</v>
      </c>
    </row>
    <row r="963">
      <c r="B963" s="42"/>
      <c r="P963" s="41">
        <f t="shared" si="2"/>
        <v>0</v>
      </c>
    </row>
    <row r="964">
      <c r="B964" s="42"/>
      <c r="P964" s="41">
        <f t="shared" si="2"/>
        <v>0</v>
      </c>
    </row>
    <row r="965">
      <c r="B965" s="42"/>
      <c r="P965" s="41">
        <f t="shared" si="2"/>
        <v>0</v>
      </c>
    </row>
    <row r="966">
      <c r="B966" s="42"/>
      <c r="P966" s="41">
        <f t="shared" si="2"/>
        <v>0</v>
      </c>
    </row>
    <row r="967">
      <c r="B967" s="42"/>
      <c r="P967" s="41">
        <f t="shared" si="2"/>
        <v>0</v>
      </c>
    </row>
    <row r="968">
      <c r="B968" s="42"/>
      <c r="P968" s="41">
        <f t="shared" si="2"/>
        <v>0</v>
      </c>
    </row>
    <row r="969">
      <c r="B969" s="42"/>
      <c r="P969" s="41">
        <f t="shared" si="2"/>
        <v>0</v>
      </c>
    </row>
    <row r="970">
      <c r="B970" s="42"/>
      <c r="P970" s="41">
        <f t="shared" si="2"/>
        <v>0</v>
      </c>
    </row>
    <row r="971">
      <c r="B971" s="42"/>
      <c r="P971" s="41">
        <f t="shared" si="2"/>
        <v>0</v>
      </c>
    </row>
    <row r="972">
      <c r="B972" s="42"/>
      <c r="P972" s="41">
        <f t="shared" si="2"/>
        <v>0</v>
      </c>
    </row>
    <row r="973">
      <c r="B973" s="42"/>
      <c r="P973" s="41">
        <f t="shared" si="2"/>
        <v>0</v>
      </c>
    </row>
    <row r="974">
      <c r="B974" s="42"/>
      <c r="P974" s="41">
        <f t="shared" si="2"/>
        <v>0</v>
      </c>
    </row>
    <row r="975">
      <c r="B975" s="42"/>
      <c r="P975" s="41">
        <f t="shared" si="2"/>
        <v>0</v>
      </c>
    </row>
    <row r="976">
      <c r="B976" s="42"/>
      <c r="P976" s="41">
        <f t="shared" si="2"/>
        <v>0</v>
      </c>
    </row>
    <row r="977">
      <c r="B977" s="42"/>
      <c r="P977" s="41">
        <f t="shared" si="2"/>
        <v>0</v>
      </c>
    </row>
    <row r="978">
      <c r="B978" s="42"/>
      <c r="P978" s="41">
        <f t="shared" si="2"/>
        <v>0</v>
      </c>
    </row>
    <row r="979">
      <c r="B979" s="42"/>
      <c r="P979" s="41">
        <f t="shared" si="2"/>
        <v>0</v>
      </c>
    </row>
    <row r="980">
      <c r="B980" s="42"/>
      <c r="P980" s="41">
        <f t="shared" si="2"/>
        <v>0</v>
      </c>
    </row>
    <row r="981">
      <c r="B981" s="42"/>
      <c r="P981" s="41">
        <f t="shared" si="2"/>
        <v>0</v>
      </c>
    </row>
    <row r="982">
      <c r="B982" s="42"/>
      <c r="P982" s="41">
        <f t="shared" si="2"/>
        <v>0</v>
      </c>
    </row>
    <row r="983">
      <c r="B983" s="42"/>
      <c r="P983" s="41">
        <f t="shared" si="2"/>
        <v>0</v>
      </c>
    </row>
    <row r="984">
      <c r="B984" s="42"/>
      <c r="P984" s="41">
        <f t="shared" si="2"/>
        <v>0</v>
      </c>
    </row>
    <row r="985">
      <c r="B985" s="42"/>
      <c r="P985" s="41">
        <f t="shared" si="2"/>
        <v>0</v>
      </c>
    </row>
    <row r="986">
      <c r="B986" s="42"/>
      <c r="P986" s="41">
        <f t="shared" si="2"/>
        <v>0</v>
      </c>
    </row>
    <row r="987">
      <c r="B987" s="42"/>
      <c r="P987" s="41">
        <f t="shared" si="2"/>
        <v>0</v>
      </c>
    </row>
    <row r="988">
      <c r="B988" s="42"/>
      <c r="P988" s="41">
        <f t="shared" si="2"/>
        <v>0</v>
      </c>
    </row>
    <row r="989">
      <c r="B989" s="42"/>
      <c r="P989" s="41">
        <f t="shared" si="2"/>
        <v>0</v>
      </c>
    </row>
    <row r="990">
      <c r="B990" s="42"/>
      <c r="P990" s="41">
        <f t="shared" si="2"/>
        <v>0</v>
      </c>
    </row>
    <row r="991">
      <c r="B991" s="42"/>
      <c r="P991" s="41">
        <f t="shared" si="2"/>
        <v>0</v>
      </c>
    </row>
    <row r="992">
      <c r="B992" s="42"/>
      <c r="P992" s="41">
        <f t="shared" si="2"/>
        <v>0</v>
      </c>
    </row>
    <row r="993">
      <c r="B993" s="42"/>
      <c r="P993" s="41">
        <f t="shared" si="2"/>
        <v>0</v>
      </c>
    </row>
    <row r="994">
      <c r="B994" s="42"/>
      <c r="P994" s="41">
        <f t="shared" si="2"/>
        <v>0</v>
      </c>
    </row>
    <row r="995">
      <c r="B995" s="42"/>
      <c r="P995" s="41">
        <f t="shared" si="2"/>
        <v>0</v>
      </c>
    </row>
    <row r="996">
      <c r="B996" s="42"/>
      <c r="P996" s="41">
        <f t="shared" si="2"/>
        <v>0</v>
      </c>
    </row>
    <row r="997">
      <c r="B997" s="42"/>
      <c r="P997" s="41">
        <f t="shared" si="2"/>
        <v>0</v>
      </c>
    </row>
    <row r="998">
      <c r="B998" s="42"/>
      <c r="P998" s="41">
        <f t="shared" si="2"/>
        <v>0</v>
      </c>
    </row>
    <row r="999">
      <c r="B999" s="42"/>
      <c r="P999" s="41">
        <f t="shared" si="2"/>
        <v>0</v>
      </c>
    </row>
    <row r="1000">
      <c r="B1000" s="42"/>
      <c r="P1000" s="41">
        <f t="shared" si="2"/>
        <v>0</v>
      </c>
    </row>
    <row r="1001">
      <c r="B1001" s="42"/>
      <c r="P1001" s="41">
        <f t="shared" si="2"/>
        <v>0</v>
      </c>
    </row>
    <row r="1002">
      <c r="B1002" s="42"/>
      <c r="P1002" s="41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>
      <c r="F2" s="22">
        <f>SUM(D:D)</f>
        <v>480000</v>
      </c>
    </row>
    <row r="3"/>
    <row r="4"/>
    <row r="5"/>
    <row r="6"/>
    <row r="7"/>
    <row r="8"/>
    <row r="9"/>
    <row r="10"/>
    <row r="11">
      <c r="D11" s="22"/>
    </row>
    <row r="12">
      <c r="D12" s="22"/>
    </row>
    <row r="13">
      <c r="D13" s="22"/>
    </row>
    <row r="14">
      <c r="D14" s="22"/>
    </row>
    <row r="15">
      <c r="D15" s="22"/>
    </row>
    <row r="16">
      <c r="D16" s="22"/>
    </row>
    <row r="17">
      <c r="D17" s="22"/>
    </row>
    <row r="18">
      <c r="D18" s="22"/>
    </row>
    <row r="19">
      <c r="D19" s="22"/>
    </row>
    <row r="20">
      <c r="D20" s="22"/>
    </row>
    <row r="21">
      <c r="D21" s="22"/>
    </row>
    <row r="22">
      <c r="D22" s="22"/>
    </row>
    <row r="23">
      <c r="D23" s="22"/>
    </row>
    <row r="24">
      <c r="D24" s="22"/>
    </row>
    <row r="25">
      <c r="D25" s="22"/>
    </row>
    <row r="26">
      <c r="D26" s="22"/>
    </row>
    <row r="27">
      <c r="D27" s="22"/>
    </row>
    <row r="28">
      <c r="D28" s="22"/>
    </row>
    <row r="29">
      <c r="D29" s="22"/>
    </row>
    <row r="30">
      <c r="D30" s="22"/>
    </row>
    <row r="31">
      <c r="D31" s="22"/>
    </row>
    <row r="32">
      <c r="D32" s="22"/>
    </row>
    <row r="33">
      <c r="D33" s="22"/>
    </row>
    <row r="34">
      <c r="D34" s="22"/>
    </row>
    <row r="35">
      <c r="D35" s="22"/>
    </row>
    <row r="36">
      <c r="D36" s="22"/>
    </row>
    <row r="37">
      <c r="D37" s="22"/>
    </row>
    <row r="38">
      <c r="D38" s="22"/>
    </row>
    <row r="39">
      <c r="D39" s="22"/>
    </row>
    <row r="40">
      <c r="D40" s="22"/>
    </row>
    <row r="41">
      <c r="D41" s="22"/>
    </row>
    <row r="42">
      <c r="D42" s="22"/>
    </row>
    <row r="43">
      <c r="D43" s="22"/>
    </row>
    <row r="44">
      <c r="D44" s="22"/>
    </row>
    <row r="45">
      <c r="D45" s="22"/>
    </row>
    <row r="46">
      <c r="D46" s="22"/>
    </row>
    <row r="47">
      <c r="D47" s="22"/>
    </row>
    <row r="48">
      <c r="D48" s="22"/>
    </row>
    <row r="49">
      <c r="D49" s="22"/>
    </row>
    <row r="50">
      <c r="D50" s="22"/>
    </row>
    <row r="51">
      <c r="D51" s="22"/>
    </row>
    <row r="52">
      <c r="D52" s="22"/>
    </row>
    <row r="53">
      <c r="D53" s="22"/>
    </row>
    <row r="54">
      <c r="D54" s="22"/>
    </row>
    <row r="55">
      <c r="D55" s="22"/>
    </row>
    <row r="56">
      <c r="D56" s="22"/>
    </row>
    <row r="57">
      <c r="D57" s="22"/>
    </row>
    <row r="58">
      <c r="D58" s="22"/>
    </row>
    <row r="59">
      <c r="D59" s="22"/>
    </row>
    <row r="60">
      <c r="D60" s="22"/>
    </row>
    <row r="61">
      <c r="D61" s="22"/>
    </row>
    <row r="62">
      <c r="D62" s="22"/>
    </row>
    <row r="63">
      <c r="D63" s="22"/>
    </row>
    <row r="64">
      <c r="D64" s="22"/>
    </row>
    <row r="65">
      <c r="D65" s="22"/>
    </row>
    <row r="66">
      <c r="D66" s="22"/>
    </row>
    <row r="67">
      <c r="D67" s="22"/>
    </row>
    <row r="68">
      <c r="D68" s="22"/>
    </row>
    <row r="69">
      <c r="D69" s="22"/>
    </row>
    <row r="70">
      <c r="D70" s="22"/>
    </row>
    <row r="71">
      <c r="D71" s="22"/>
    </row>
    <row r="72">
      <c r="D72" s="22"/>
    </row>
    <row r="73">
      <c r="D73" s="22"/>
    </row>
    <row r="74"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44" t="s">
        <v>50</v>
      </c>
      <c r="I1" s="45">
        <f>countifs(B:B,"&lt;&gt;",F:F,"&lt;&gt;")-1</f>
        <v>8</v>
      </c>
      <c r="K1" s="7" t="s">
        <v>51</v>
      </c>
      <c r="L1" s="7" t="s">
        <v>52</v>
      </c>
      <c r="M1" s="7" t="s">
        <v>13</v>
      </c>
    </row>
    <row r="2">
      <c r="H2" s="44" t="s">
        <v>53</v>
      </c>
      <c r="I2" s="45">
        <f t="array" ref="I2">(COUNTA(UNIQUE(C:C))-1)</f>
        <v>8</v>
      </c>
      <c r="K2" s="46" t="s">
        <v>15</v>
      </c>
      <c r="L2" s="45">
        <f t="shared" ref="L2:L5" si="1">sumif(D:D,K2,E:E)</f>
        <v>3</v>
      </c>
      <c r="M2" s="45">
        <f t="shared" ref="M2:M5" si="2">sumif(D:D,K2,F:F)</f>
        <v>180000</v>
      </c>
      <c r="N2" s="47"/>
    </row>
    <row r="3">
      <c r="H3" s="44" t="s">
        <v>54</v>
      </c>
      <c r="I3" s="45">
        <f>sum(F:F)</f>
        <v>480000</v>
      </c>
      <c r="K3" s="46" t="s">
        <v>21</v>
      </c>
      <c r="L3" s="45">
        <f t="shared" si="1"/>
        <v>0.5</v>
      </c>
      <c r="M3" s="45">
        <f t="shared" si="2"/>
        <v>30000</v>
      </c>
      <c r="N3" s="47"/>
    </row>
    <row r="4">
      <c r="H4" s="1"/>
      <c r="K4" s="46" t="s">
        <v>18</v>
      </c>
      <c r="L4" s="45">
        <f t="shared" si="1"/>
        <v>1</v>
      </c>
      <c r="M4" s="45">
        <f t="shared" si="2"/>
        <v>60000</v>
      </c>
      <c r="N4" s="47"/>
    </row>
    <row r="5">
      <c r="H5" s="1"/>
      <c r="K5" s="46" t="s">
        <v>19</v>
      </c>
      <c r="L5" s="45">
        <f t="shared" si="1"/>
        <v>3.5</v>
      </c>
      <c r="M5" s="45">
        <f t="shared" si="2"/>
        <v>210000</v>
      </c>
      <c r="N5" s="47"/>
    </row>
    <row r="6">
      <c r="K6" s="48"/>
    </row>
    <row r="12">
      <c r="A12" s="49"/>
    </row>
    <row r="14"/>
    <row r="15">
      <c r="H15" s="50"/>
      <c r="I15" s="50"/>
    </row>
    <row r="16"/>
    <row r="17"/>
    <row r="18">
      <c r="H18" s="50"/>
      <c r="I18" s="50"/>
    </row>
    <row r="19"/>
    <row r="20"/>
    <row r="21">
      <c r="H21" s="50"/>
      <c r="I21" s="50"/>
    </row>
    <row r="22"/>
    <row r="23"/>
    <row r="24">
      <c r="H24" s="50"/>
      <c r="I24" s="50"/>
    </row>
    <row r="25"/>
    <row r="26"/>
    <row r="27">
      <c r="H27" s="50"/>
      <c r="I27" s="50"/>
    </row>
    <row r="28"/>
    <row r="29"/>
    <row r="30">
      <c r="H30" s="50"/>
      <c r="I30" s="50"/>
    </row>
    <row r="33">
      <c r="H33" s="50"/>
      <c r="I33" s="50"/>
    </row>
    <row r="36">
      <c r="H36" s="50"/>
      <c r="I36" s="50"/>
    </row>
    <row r="39">
      <c r="H39" s="50"/>
      <c r="I39" s="50"/>
    </row>
    <row r="42">
      <c r="H42" s="50"/>
      <c r="I42" s="50"/>
    </row>
    <row r="45">
      <c r="H45" s="50"/>
      <c r="I45" s="50"/>
    </row>
    <row r="48">
      <c r="H48" s="50"/>
      <c r="I48" s="50"/>
    </row>
    <row r="51">
      <c r="H51" s="50"/>
      <c r="I51" s="50"/>
    </row>
    <row r="54">
      <c r="H54" s="50"/>
      <c r="I54" s="50"/>
    </row>
    <row r="57">
      <c r="H57" s="50"/>
      <c r="I57" s="50"/>
    </row>
    <row r="60">
      <c r="H60" s="50"/>
      <c r="I60" s="50"/>
    </row>
    <row r="63">
      <c r="H63" s="50"/>
      <c r="I63" s="50"/>
    </row>
    <row r="66">
      <c r="H66" s="50"/>
      <c r="I66" s="50"/>
    </row>
    <row r="69">
      <c r="H69" s="50"/>
      <c r="I69" s="50"/>
    </row>
    <row r="72">
      <c r="H72" s="50"/>
      <c r="I72" s="50"/>
    </row>
    <row r="75">
      <c r="H75" s="50"/>
      <c r="I75" s="50"/>
    </row>
    <row r="78">
      <c r="H78" s="50"/>
      <c r="I78" s="50"/>
    </row>
    <row r="81">
      <c r="H81" s="50"/>
      <c r="I81" s="50"/>
    </row>
    <row r="84">
      <c r="H84" s="50"/>
      <c r="I84" s="50"/>
    </row>
    <row r="87">
      <c r="H87" s="50"/>
      <c r="I87" s="50"/>
    </row>
    <row r="90">
      <c r="H90" s="50"/>
      <c r="I90" s="50"/>
    </row>
    <row r="93">
      <c r="H93" s="50"/>
      <c r="I93" s="50"/>
    </row>
    <row r="96">
      <c r="H96" s="50"/>
      <c r="I96" s="50"/>
    </row>
    <row r="99">
      <c r="H99" s="50"/>
      <c r="I99" s="50"/>
    </row>
    <row r="102">
      <c r="H102" s="50"/>
      <c r="I102" s="50"/>
    </row>
    <row r="105">
      <c r="H105" s="50"/>
      <c r="I105" s="50"/>
    </row>
    <row r="108">
      <c r="H108" s="50"/>
      <c r="I108" s="50"/>
    </row>
    <row r="111">
      <c r="H111" s="50"/>
      <c r="I111" s="50"/>
    </row>
    <row r="114">
      <c r="H114" s="50"/>
      <c r="I114" s="50"/>
    </row>
    <row r="117">
      <c r="H117" s="50"/>
      <c r="I117" s="50"/>
    </row>
    <row r="120">
      <c r="H120" s="50"/>
      <c r="I120" s="50"/>
    </row>
    <row r="123">
      <c r="H123" s="50"/>
      <c r="I123" s="50"/>
    </row>
    <row r="126">
      <c r="H126" s="50"/>
      <c r="I126" s="50"/>
    </row>
    <row r="129">
      <c r="H129" s="50"/>
      <c r="I129" s="50"/>
    </row>
    <row r="132">
      <c r="H132" s="50"/>
      <c r="I132" s="50"/>
    </row>
    <row r="135">
      <c r="H135" s="50"/>
      <c r="I135" s="50"/>
    </row>
    <row r="138">
      <c r="H138" s="50"/>
      <c r="I138" s="50"/>
    </row>
    <row r="141">
      <c r="H141" s="50"/>
      <c r="I141" s="50"/>
    </row>
    <row r="144">
      <c r="H144" s="50"/>
      <c r="I144" s="50"/>
    </row>
    <row r="147">
      <c r="H147" s="50"/>
      <c r="I147" s="50"/>
    </row>
    <row r="150">
      <c r="H150" s="50"/>
      <c r="I150" s="50"/>
    </row>
    <row r="153">
      <c r="H153" s="50"/>
      <c r="I153" s="50"/>
    </row>
    <row r="156">
      <c r="H156" s="50"/>
      <c r="I156" s="50"/>
    </row>
    <row r="159">
      <c r="H159" s="50"/>
      <c r="I159" s="50"/>
    </row>
    <row r="162">
      <c r="H162" s="50"/>
      <c r="I162" s="50"/>
    </row>
    <row r="165">
      <c r="H165" s="50"/>
      <c r="I165" s="50"/>
    </row>
    <row r="168">
      <c r="H168" s="50"/>
      <c r="I168" s="50"/>
    </row>
    <row r="171">
      <c r="H171" s="50"/>
      <c r="I171" s="50"/>
    </row>
    <row r="174">
      <c r="H174" s="50"/>
      <c r="I174" s="50"/>
    </row>
    <row r="177">
      <c r="H177" s="50"/>
      <c r="I177" s="50"/>
    </row>
    <row r="180">
      <c r="H180" s="50"/>
      <c r="I180" s="50"/>
    </row>
    <row r="183">
      <c r="H183" s="50"/>
      <c r="I183" s="50"/>
    </row>
    <row r="186">
      <c r="H186" s="50"/>
      <c r="I186" s="50"/>
    </row>
    <row r="189">
      <c r="H189" s="50"/>
      <c r="I189" s="50"/>
    </row>
    <row r="192">
      <c r="H192" s="50"/>
      <c r="I192" s="50"/>
    </row>
    <row r="195">
      <c r="H195" s="50"/>
      <c r="I195" s="50"/>
    </row>
    <row r="198">
      <c r="H198" s="50"/>
      <c r="I198" s="50"/>
    </row>
    <row r="201">
      <c r="H201" s="50"/>
      <c r="I201" s="50"/>
    </row>
    <row r="204">
      <c r="H204" s="50"/>
      <c r="I204" s="50"/>
    </row>
    <row r="207">
      <c r="H207" s="50"/>
      <c r="I207" s="50"/>
    </row>
    <row r="210">
      <c r="H210" s="50"/>
      <c r="I210" s="50"/>
    </row>
    <row r="213">
      <c r="H213" s="50"/>
      <c r="I213" s="50"/>
    </row>
    <row r="216">
      <c r="H216" s="50"/>
      <c r="I216" s="50"/>
    </row>
    <row r="219">
      <c r="H219" s="50"/>
      <c r="I219" s="50"/>
    </row>
    <row r="222">
      <c r="H222" s="50"/>
      <c r="I222" s="50"/>
    </row>
    <row r="225">
      <c r="H225" s="50"/>
      <c r="I225" s="50"/>
    </row>
    <row r="228">
      <c r="H228" s="50"/>
      <c r="I228" s="50"/>
    </row>
    <row r="231">
      <c r="H231" s="50"/>
      <c r="I231" s="50"/>
    </row>
    <row r="234">
      <c r="H234" s="50"/>
      <c r="I234" s="50"/>
    </row>
    <row r="237">
      <c r="H237" s="50"/>
      <c r="I237" s="50"/>
    </row>
    <row r="240">
      <c r="H240" s="50"/>
      <c r="I240" s="50"/>
    </row>
    <row r="243">
      <c r="H243" s="50"/>
      <c r="I243" s="50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33.88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4" t="s">
        <v>50</v>
      </c>
      <c r="I1" s="45">
        <f>countifs(B:B,"&lt;&gt;",F:F,"&lt;&gt;")-1</f>
        <v>12</v>
      </c>
      <c r="K1" s="51" t="s">
        <v>51</v>
      </c>
      <c r="L1" s="51" t="s">
        <v>52</v>
      </c>
      <c r="M1" s="51" t="s">
        <v>13</v>
      </c>
    </row>
    <row r="2">
      <c r="H2" s="44" t="s">
        <v>53</v>
      </c>
      <c r="I2" s="45">
        <f t="array" ref="I2">(COUNTA(UNIQUE(C:C))-1)</f>
        <v>12</v>
      </c>
      <c r="K2" s="46" t="s">
        <v>15</v>
      </c>
      <c r="L2" s="45">
        <f t="shared" ref="L2:L5" si="1">sumif(D:D,K2,E:E)</f>
        <v>9.5</v>
      </c>
      <c r="M2" s="45">
        <f t="shared" ref="M2:M5" si="2">sumif(D:D,K2,F:F)</f>
        <v>570000</v>
      </c>
    </row>
    <row r="3">
      <c r="H3" s="44" t="s">
        <v>54</v>
      </c>
      <c r="I3" s="45">
        <f>sum(F:F)</f>
        <v>2370000</v>
      </c>
      <c r="K3" s="46" t="s">
        <v>21</v>
      </c>
      <c r="L3" s="45">
        <f t="shared" si="1"/>
        <v>8</v>
      </c>
      <c r="M3" s="45">
        <f t="shared" si="2"/>
        <v>480000</v>
      </c>
    </row>
    <row r="4">
      <c r="H4" s="1"/>
      <c r="K4" s="46" t="s">
        <v>18</v>
      </c>
      <c r="L4" s="45">
        <f t="shared" si="1"/>
        <v>10.5</v>
      </c>
      <c r="M4" s="45">
        <f t="shared" si="2"/>
        <v>630000</v>
      </c>
    </row>
    <row r="5">
      <c r="H5" s="1"/>
      <c r="K5" s="46" t="s">
        <v>19</v>
      </c>
      <c r="L5" s="45">
        <f t="shared" si="1"/>
        <v>11.5</v>
      </c>
      <c r="M5" s="45">
        <f t="shared" si="2"/>
        <v>690000</v>
      </c>
    </row>
    <row r="6">
      <c r="K6" s="48"/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4" t="s">
        <v>50</v>
      </c>
      <c r="I1" s="45">
        <f>countifs(B:B,"&lt;&gt;",F:F,"&lt;&gt;")-1</f>
        <v>0</v>
      </c>
      <c r="K1" s="51" t="s">
        <v>51</v>
      </c>
      <c r="L1" s="51" t="s">
        <v>55</v>
      </c>
      <c r="M1" s="51" t="s">
        <v>13</v>
      </c>
    </row>
    <row r="2">
      <c r="H2" s="44" t="s">
        <v>53</v>
      </c>
      <c r="I2" s="45">
        <f t="array" ref="I2">(COUNTA(UNIQUE(C:C))-1)</f>
        <v>0</v>
      </c>
      <c r="K2" s="52" t="s">
        <v>56</v>
      </c>
      <c r="L2" s="45">
        <f t="shared" ref="L2:L5" si="1">sumif(D:D,K2,E:E)</f>
        <v>0</v>
      </c>
      <c r="M2" s="53"/>
    </row>
    <row r="3">
      <c r="H3" s="44" t="s">
        <v>54</v>
      </c>
      <c r="I3" s="45">
        <f>sum(F:F)</f>
        <v>0</v>
      </c>
      <c r="K3" s="52" t="s">
        <v>57</v>
      </c>
      <c r="L3" s="45">
        <f t="shared" si="1"/>
        <v>0</v>
      </c>
      <c r="M3" s="53"/>
    </row>
    <row r="4">
      <c r="H4" s="1"/>
      <c r="K4" s="52" t="s">
        <v>58</v>
      </c>
      <c r="L4" s="45">
        <f t="shared" si="1"/>
        <v>0</v>
      </c>
      <c r="M4" s="53"/>
    </row>
    <row r="5">
      <c r="H5" s="1"/>
      <c r="K5" s="52" t="s">
        <v>59</v>
      </c>
      <c r="L5" s="45">
        <f t="shared" si="1"/>
        <v>0</v>
      </c>
      <c r="M5" s="53"/>
    </row>
    <row r="6">
      <c r="K6" s="48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H1" s="44" t="s">
        <v>50</v>
      </c>
      <c r="I1" s="45">
        <f>countifs(B:B,"&lt;&gt;",F:F,"&lt;&gt;")-1</f>
        <v>0</v>
      </c>
      <c r="K1" s="51" t="s">
        <v>51</v>
      </c>
      <c r="L1" s="51" t="s">
        <v>52</v>
      </c>
    </row>
    <row r="2">
      <c r="H2" s="44" t="s">
        <v>53</v>
      </c>
      <c r="I2" s="45">
        <f t="array" ref="I2">(COUNTA(UNIQUE(C:C,,0))-1)</f>
        <v>0</v>
      </c>
      <c r="K2" s="46" t="s">
        <v>15</v>
      </c>
      <c r="L2" s="45">
        <f t="shared" ref="L2:L5" si="1">sumif(D:D,K2,E:E)</f>
        <v>0</v>
      </c>
    </row>
    <row r="3">
      <c r="H3" s="44" t="s">
        <v>54</v>
      </c>
      <c r="I3" s="45">
        <f>sum(F:F)</f>
        <v>0</v>
      </c>
      <c r="K3" s="46" t="s">
        <v>21</v>
      </c>
      <c r="L3" s="45">
        <f t="shared" si="1"/>
        <v>0</v>
      </c>
    </row>
    <row r="4">
      <c r="H4" s="1"/>
      <c r="K4" s="46" t="s">
        <v>18</v>
      </c>
      <c r="L4" s="45">
        <f t="shared" si="1"/>
        <v>0</v>
      </c>
    </row>
    <row r="5">
      <c r="H5" s="1"/>
      <c r="K5" s="46" t="s">
        <v>19</v>
      </c>
      <c r="L5" s="45">
        <f t="shared" si="1"/>
        <v>0</v>
      </c>
    </row>
    <row r="6">
      <c r="K6" s="48"/>
    </row>
    <row r="14"/>
    <row r="15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44" t="s">
        <v>50</v>
      </c>
      <c r="I1" s="45">
        <f>countifs(B:B,"&lt;&gt;",F:F,"&lt;&gt;")-1</f>
        <v>0</v>
      </c>
      <c r="K1" s="51" t="s">
        <v>51</v>
      </c>
      <c r="L1" s="51" t="s">
        <v>52</v>
      </c>
    </row>
    <row r="2">
      <c r="H2" s="44" t="s">
        <v>53</v>
      </c>
      <c r="I2" s="45">
        <f t="array" ref="I2">(COUNTA(UNIQUE(C:C,,0))-1)</f>
        <v>0</v>
      </c>
      <c r="K2" s="52" t="s">
        <v>56</v>
      </c>
      <c r="L2" s="45">
        <f t="shared" ref="L2:L5" si="1">sumif(D:D,K2,E:E)</f>
        <v>0</v>
      </c>
    </row>
    <row r="3">
      <c r="H3" s="44" t="s">
        <v>54</v>
      </c>
      <c r="I3" s="45">
        <f>sum(F:F)</f>
        <v>0</v>
      </c>
      <c r="K3" s="52" t="s">
        <v>57</v>
      </c>
      <c r="L3" s="45">
        <f t="shared" si="1"/>
        <v>0</v>
      </c>
    </row>
    <row r="4">
      <c r="H4" s="1"/>
      <c r="K4" s="52" t="s">
        <v>58</v>
      </c>
      <c r="L4" s="45">
        <f t="shared" si="1"/>
        <v>0</v>
      </c>
    </row>
    <row r="5">
      <c r="H5" s="1"/>
      <c r="K5" s="52" t="s">
        <v>59</v>
      </c>
      <c r="L5" s="45">
        <f t="shared" si="1"/>
        <v>0</v>
      </c>
    </row>
    <row r="6">
      <c r="K6" s="48"/>
    </row>
    <row r="14"/>
    <row r="15"/>
    <row r="16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4"/>
      <c r="B1" s="44" t="s">
        <v>60</v>
      </c>
      <c r="C1" s="44" t="s">
        <v>52</v>
      </c>
      <c r="D1" s="44" t="s">
        <v>61</v>
      </c>
      <c r="E1" s="44" t="s">
        <v>62</v>
      </c>
      <c r="F1" s="55"/>
    </row>
    <row r="2">
      <c r="A2" s="56" t="s">
        <v>63</v>
      </c>
      <c r="B2" s="57" t="s">
        <v>50</v>
      </c>
      <c r="C2" s="58"/>
      <c r="D2" s="58"/>
      <c r="E2" s="59">
        <f>'Dala Sales &amp; Deliveries'!I1+'External Delivery Fulfillment'!I1</f>
        <v>20</v>
      </c>
      <c r="F2" s="55"/>
    </row>
    <row r="3">
      <c r="A3" s="60"/>
      <c r="B3" s="57" t="s">
        <v>64</v>
      </c>
      <c r="C3" s="58"/>
      <c r="D3" s="58"/>
      <c r="E3" s="59">
        <f>'Raw Data'!AX2</f>
        <v>18</v>
      </c>
      <c r="F3" s="55"/>
    </row>
    <row r="4">
      <c r="B4" s="61" t="s">
        <v>65</v>
      </c>
      <c r="C4" s="55"/>
      <c r="D4" s="55"/>
      <c r="E4" s="62">
        <f>'Dala Sales &amp; Deliveries'!I3</f>
        <v>480000</v>
      </c>
      <c r="F4" s="55"/>
    </row>
    <row r="5">
      <c r="B5" s="61" t="s">
        <v>66</v>
      </c>
      <c r="C5" s="55"/>
      <c r="D5" s="55"/>
      <c r="E5" s="62">
        <f>'External Delivery Fulfillment'!I3</f>
        <v>2370000</v>
      </c>
      <c r="F5" s="55"/>
    </row>
    <row r="6">
      <c r="A6" s="63"/>
      <c r="B6" s="64" t="s">
        <v>67</v>
      </c>
      <c r="C6" s="65"/>
      <c r="D6" s="66"/>
      <c r="E6" s="67">
        <f>sum(E4:E5)</f>
        <v>2850000</v>
      </c>
      <c r="F6" s="55"/>
    </row>
    <row r="7">
      <c r="A7" s="56" t="s">
        <v>68</v>
      </c>
      <c r="B7" s="57" t="s">
        <v>69</v>
      </c>
      <c r="C7" s="58"/>
      <c r="D7" s="68"/>
      <c r="E7" s="69"/>
    </row>
    <row r="8">
      <c r="A8" s="63"/>
      <c r="B8" s="64" t="s">
        <v>70</v>
      </c>
      <c r="C8" s="70">
        <v>0.07</v>
      </c>
      <c r="D8" s="66"/>
      <c r="E8" s="67">
        <f>E7*(C8+100%)-E7</f>
        <v>0</v>
      </c>
      <c r="K8" s="22"/>
      <c r="L8" s="22"/>
      <c r="M8" s="22"/>
    </row>
    <row r="9">
      <c r="A9" s="71" t="s">
        <v>71</v>
      </c>
      <c r="B9" s="64" t="s">
        <v>72</v>
      </c>
      <c r="C9" s="65"/>
      <c r="D9" s="66"/>
      <c r="E9" s="67">
        <f>E4-E7-E8</f>
        <v>480000</v>
      </c>
    </row>
    <row r="10">
      <c r="A10" s="56" t="s">
        <v>73</v>
      </c>
      <c r="B10" s="57" t="s">
        <v>74</v>
      </c>
      <c r="C10" s="72">
        <v>0.0</v>
      </c>
      <c r="D10" s="73"/>
      <c r="E10" s="73">
        <f>C10*D10</f>
        <v>0</v>
      </c>
    </row>
    <row r="11">
      <c r="A11" s="60"/>
      <c r="B11" s="57" t="s">
        <v>70</v>
      </c>
      <c r="C11" s="74"/>
      <c r="D11" s="68"/>
      <c r="E11" s="73">
        <f>C8*E4</f>
        <v>33600</v>
      </c>
    </row>
    <row r="12">
      <c r="A12" s="60"/>
      <c r="B12" s="75" t="s">
        <v>75</v>
      </c>
      <c r="C12" s="76"/>
      <c r="D12" s="77"/>
      <c r="E12" s="78">
        <f>C26</f>
        <v>16320</v>
      </c>
    </row>
    <row r="13">
      <c r="A13" s="60"/>
      <c r="B13" s="75" t="s">
        <v>76</v>
      </c>
      <c r="C13" s="79"/>
      <c r="D13" s="80" t="s">
        <v>77</v>
      </c>
      <c r="E13" s="78">
        <f>C22+C28</f>
        <v>80580</v>
      </c>
    </row>
    <row r="14">
      <c r="A14" s="60"/>
      <c r="B14" s="57" t="s">
        <v>78</v>
      </c>
      <c r="C14" s="68"/>
      <c r="D14" s="68"/>
      <c r="E14" s="69">
        <v>0.0</v>
      </c>
    </row>
    <row r="15">
      <c r="A15" s="60"/>
      <c r="B15" s="57" t="s">
        <v>79</v>
      </c>
      <c r="C15" s="68"/>
      <c r="D15" s="68"/>
      <c r="E15" s="73">
        <f>C30</f>
        <v>0</v>
      </c>
    </row>
    <row r="16">
      <c r="A16" s="63"/>
      <c r="B16" s="64" t="s">
        <v>80</v>
      </c>
      <c r="C16" s="66"/>
      <c r="D16" s="66"/>
      <c r="E16" s="67">
        <f>sum(E10:E15)</f>
        <v>130500</v>
      </c>
      <c r="H16" s="1"/>
      <c r="I16" s="1"/>
    </row>
    <row r="17">
      <c r="A17" s="71" t="s">
        <v>81</v>
      </c>
      <c r="B17" s="64" t="s">
        <v>82</v>
      </c>
      <c r="C17" s="66"/>
      <c r="D17" s="66"/>
      <c r="E17" s="67">
        <f>E9-E16+C36</f>
        <v>349500</v>
      </c>
      <c r="H17" s="1"/>
      <c r="I17" s="81"/>
      <c r="J17" s="82"/>
      <c r="K17" s="82"/>
      <c r="L17" s="82"/>
      <c r="M17" s="82"/>
      <c r="N17" s="82"/>
    </row>
    <row r="18">
      <c r="A18" s="83"/>
      <c r="B18" s="83"/>
      <c r="C18" s="83"/>
      <c r="D18" s="83"/>
      <c r="E18" s="83"/>
      <c r="H18" s="1"/>
      <c r="I18" s="1"/>
      <c r="J18" s="82"/>
      <c r="K18" s="82"/>
      <c r="L18" s="82"/>
      <c r="M18" s="82"/>
      <c r="N18" s="82"/>
    </row>
    <row r="19">
      <c r="A19" s="1"/>
      <c r="B19" s="83"/>
      <c r="C19" s="83"/>
      <c r="D19" s="83"/>
      <c r="E19" s="83"/>
      <c r="H19" s="1"/>
      <c r="I19" s="1"/>
      <c r="J19" s="82"/>
      <c r="K19" s="82"/>
      <c r="L19" s="82"/>
      <c r="M19" s="82"/>
      <c r="N19" s="82"/>
    </row>
    <row r="20">
      <c r="A20" s="1" t="s">
        <v>83</v>
      </c>
      <c r="B20" s="83"/>
      <c r="C20" s="83"/>
      <c r="D20" s="83"/>
      <c r="E20" s="83"/>
      <c r="H20" s="1"/>
      <c r="I20" s="1"/>
      <c r="J20" s="82"/>
      <c r="K20" s="82"/>
      <c r="L20" s="82"/>
      <c r="M20" s="82"/>
      <c r="N20" s="82"/>
    </row>
    <row r="21">
      <c r="A21" s="83"/>
      <c r="B21" s="44" t="s">
        <v>84</v>
      </c>
      <c r="C21" s="84">
        <f>U69</f>
        <v>0</v>
      </c>
      <c r="H21" s="1"/>
      <c r="I21" s="1"/>
      <c r="J21" s="85"/>
      <c r="K21" s="85"/>
      <c r="L21" s="86"/>
      <c r="M21" s="82"/>
      <c r="N21" s="82"/>
    </row>
    <row r="22">
      <c r="A22" s="83"/>
      <c r="B22" s="44" t="s">
        <v>85</v>
      </c>
      <c r="C22" s="84">
        <f>V69</f>
        <v>0</v>
      </c>
      <c r="H22" s="1"/>
      <c r="I22" s="1"/>
      <c r="J22" s="85"/>
      <c r="K22" s="85"/>
      <c r="L22" s="86"/>
      <c r="M22" s="82"/>
      <c r="N22" s="82"/>
    </row>
    <row r="23">
      <c r="A23" s="83"/>
      <c r="B23" s="44" t="s">
        <v>86</v>
      </c>
      <c r="C23" s="84">
        <f>S69</f>
        <v>0</v>
      </c>
      <c r="H23" s="1"/>
      <c r="I23" s="1"/>
      <c r="J23" s="85"/>
      <c r="K23" s="85"/>
      <c r="L23" s="86"/>
      <c r="M23" s="82"/>
      <c r="N23" s="82"/>
    </row>
    <row r="24">
      <c r="A24" s="83"/>
      <c r="B24" s="44" t="s">
        <v>87</v>
      </c>
      <c r="C24" s="84">
        <f>T69</f>
        <v>0</v>
      </c>
      <c r="H24" s="1"/>
      <c r="I24" s="81"/>
      <c r="J24" s="85"/>
      <c r="K24" s="85"/>
      <c r="L24" s="86"/>
      <c r="M24" s="82"/>
      <c r="N24" s="82"/>
    </row>
    <row r="25">
      <c r="A25" s="83"/>
      <c r="B25" s="44" t="s">
        <v>88</v>
      </c>
      <c r="C25" s="45">
        <f>O69</f>
        <v>8</v>
      </c>
      <c r="H25" s="1"/>
      <c r="I25" s="1"/>
    </row>
    <row r="26">
      <c r="A26" s="83"/>
      <c r="B26" s="44" t="s">
        <v>89</v>
      </c>
      <c r="C26" s="87">
        <f>P69</f>
        <v>16320</v>
      </c>
      <c r="H26" s="1"/>
      <c r="I26" s="1"/>
    </row>
    <row r="27">
      <c r="A27" s="83"/>
      <c r="B27" s="44" t="s">
        <v>90</v>
      </c>
      <c r="C27" s="45">
        <f>Q69</f>
        <v>39.5</v>
      </c>
      <c r="H27" s="1"/>
      <c r="I27" s="1"/>
    </row>
    <row r="28">
      <c r="A28" s="83"/>
      <c r="B28" s="44" t="s">
        <v>91</v>
      </c>
      <c r="C28" s="45">
        <f>R69</f>
        <v>80580</v>
      </c>
      <c r="H28" s="1"/>
      <c r="I28" s="1"/>
    </row>
    <row r="29">
      <c r="A29" s="83"/>
      <c r="B29" s="44" t="s">
        <v>92</v>
      </c>
      <c r="C29" s="84">
        <f>F69</f>
        <v>0</v>
      </c>
      <c r="D29" s="83"/>
      <c r="H29" s="1"/>
      <c r="I29" s="1"/>
    </row>
    <row r="30">
      <c r="A30" s="83"/>
      <c r="B30" s="44" t="s">
        <v>93</v>
      </c>
      <c r="C30" s="84">
        <f>G69</f>
        <v>0</v>
      </c>
      <c r="D30" s="83"/>
      <c r="H30" s="1"/>
      <c r="I30" s="1"/>
    </row>
    <row r="31">
      <c r="A31" s="83"/>
      <c r="B31" s="44" t="s">
        <v>94</v>
      </c>
      <c r="C31" s="84">
        <f>I69</f>
        <v>0</v>
      </c>
      <c r="D31" s="83"/>
      <c r="H31" s="1"/>
      <c r="I31" s="1"/>
    </row>
    <row r="32">
      <c r="A32" s="83"/>
      <c r="B32" s="44" t="s">
        <v>95</v>
      </c>
      <c r="C32" s="84">
        <f>J69</f>
        <v>0</v>
      </c>
      <c r="D32" s="83"/>
      <c r="H32" s="1"/>
      <c r="I32" s="1"/>
    </row>
    <row r="33">
      <c r="B33" s="44" t="s">
        <v>96</v>
      </c>
      <c r="C33" s="84">
        <f>L69</f>
        <v>15</v>
      </c>
    </row>
    <row r="34">
      <c r="B34" s="44" t="s">
        <v>97</v>
      </c>
      <c r="C34" s="45">
        <f>K69</f>
        <v>20.6</v>
      </c>
    </row>
    <row r="35">
      <c r="B35" s="44" t="s">
        <v>98</v>
      </c>
      <c r="C35" s="84">
        <v>0.0</v>
      </c>
    </row>
    <row r="36">
      <c r="B36" s="44" t="s">
        <v>99</v>
      </c>
      <c r="C36" s="84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44" t="s">
        <v>100</v>
      </c>
      <c r="C39" s="44" t="s">
        <v>101</v>
      </c>
      <c r="D39" s="44" t="s">
        <v>102</v>
      </c>
      <c r="E39" s="44" t="s">
        <v>103</v>
      </c>
      <c r="F39" s="51" t="s">
        <v>104</v>
      </c>
      <c r="G39" s="51" t="s">
        <v>105</v>
      </c>
      <c r="H39" s="51" t="s">
        <v>106</v>
      </c>
      <c r="I39" s="51" t="s">
        <v>107</v>
      </c>
      <c r="J39" s="51" t="s">
        <v>108</v>
      </c>
      <c r="K39" s="51" t="s">
        <v>109</v>
      </c>
      <c r="L39" s="51" t="s">
        <v>96</v>
      </c>
      <c r="M39" s="51" t="s">
        <v>98</v>
      </c>
      <c r="N39" s="51" t="s">
        <v>110</v>
      </c>
      <c r="O39" s="51" t="s">
        <v>111</v>
      </c>
      <c r="P39" s="51" t="s">
        <v>112</v>
      </c>
      <c r="Q39" s="51" t="s">
        <v>113</v>
      </c>
      <c r="R39" s="51" t="s">
        <v>114</v>
      </c>
      <c r="S39" s="51" t="s">
        <v>115</v>
      </c>
      <c r="T39" s="51" t="s">
        <v>87</v>
      </c>
      <c r="U39" s="51" t="s">
        <v>116</v>
      </c>
      <c r="V39" s="51" t="s">
        <v>117</v>
      </c>
      <c r="W39" s="51" t="s">
        <v>118</v>
      </c>
    </row>
    <row r="40">
      <c r="B40" s="88" t="s">
        <v>15</v>
      </c>
      <c r="C40" s="89">
        <v>60000.0</v>
      </c>
      <c r="D40" s="89">
        <f t="shared" ref="D40:D43" si="1">2.2%*C40</f>
        <v>1320</v>
      </c>
      <c r="E40" s="89">
        <v>2040.0</v>
      </c>
      <c r="F40" s="89"/>
      <c r="G40" s="45">
        <f t="shared" ref="G40:G68" si="2">F40*C40</f>
        <v>0</v>
      </c>
      <c r="H40" s="89"/>
      <c r="I40" s="89"/>
      <c r="J40" s="89"/>
      <c r="K40" s="89">
        <v>1.25</v>
      </c>
      <c r="L40" s="87">
        <v>1.25</v>
      </c>
      <c r="M40" s="45">
        <f t="shared" ref="M40:M68" si="3">K40-L40</f>
        <v>0</v>
      </c>
      <c r="N40" s="45">
        <f t="shared" ref="N40:N68" si="4">M40*C40</f>
        <v>0</v>
      </c>
      <c r="O40" s="45">
        <f>'Dala Sales &amp; Deliveries'!L2</f>
        <v>3</v>
      </c>
      <c r="P40" s="45">
        <f t="shared" ref="P40:P68" si="5">O40*E40</f>
        <v>6120</v>
      </c>
      <c r="Q40" s="45">
        <f>'External Delivery Fulfillment'!L2</f>
        <v>9.5</v>
      </c>
      <c r="R40" s="45">
        <f t="shared" ref="R40:R68" si="6">Q40*E40</f>
        <v>19380</v>
      </c>
      <c r="S40" s="45">
        <f>'Forwarding From Client'!L2</f>
        <v>0</v>
      </c>
      <c r="T40" s="45">
        <f t="shared" ref="T40:T68" si="7">S40*E40</f>
        <v>0</v>
      </c>
      <c r="U40" s="45">
        <f>'Dala Restocking'!L2</f>
        <v>0</v>
      </c>
      <c r="V40" s="45">
        <f t="shared" ref="V40:V68" si="8">U40*D40</f>
        <v>0</v>
      </c>
      <c r="W40" s="45">
        <f>'Client Restocking'!L2</f>
        <v>0</v>
      </c>
    </row>
    <row r="41">
      <c r="B41" s="88" t="s">
        <v>21</v>
      </c>
      <c r="C41" s="89">
        <v>60000.0</v>
      </c>
      <c r="D41" s="89">
        <f t="shared" si="1"/>
        <v>1320</v>
      </c>
      <c r="E41" s="89">
        <v>2040.0</v>
      </c>
      <c r="F41" s="90"/>
      <c r="G41" s="45">
        <f t="shared" si="2"/>
        <v>0</v>
      </c>
      <c r="H41" s="89"/>
      <c r="I41" s="89"/>
      <c r="J41" s="90"/>
      <c r="K41" s="89">
        <v>3.75</v>
      </c>
      <c r="L41" s="87">
        <v>3.75</v>
      </c>
      <c r="M41" s="45">
        <f t="shared" si="3"/>
        <v>0</v>
      </c>
      <c r="N41" s="45">
        <f t="shared" si="4"/>
        <v>0</v>
      </c>
      <c r="O41" s="45">
        <f>'Dala Sales &amp; Deliveries'!L3</f>
        <v>0.5</v>
      </c>
      <c r="P41" s="45">
        <f t="shared" si="5"/>
        <v>1020</v>
      </c>
      <c r="Q41" s="45">
        <f>'External Delivery Fulfillment'!L3</f>
        <v>8</v>
      </c>
      <c r="R41" s="45">
        <f t="shared" si="6"/>
        <v>16320</v>
      </c>
      <c r="S41" s="45">
        <f>'Forwarding From Client'!L3</f>
        <v>0</v>
      </c>
      <c r="T41" s="45">
        <f t="shared" si="7"/>
        <v>0</v>
      </c>
      <c r="U41" s="45">
        <f>'Dala Restocking'!L3</f>
        <v>0</v>
      </c>
      <c r="V41" s="45">
        <f t="shared" si="8"/>
        <v>0</v>
      </c>
      <c r="W41" s="45">
        <f>'Client Restocking'!L3</f>
        <v>0</v>
      </c>
    </row>
    <row r="42">
      <c r="B42" s="88" t="s">
        <v>18</v>
      </c>
      <c r="C42" s="89">
        <v>60000.0</v>
      </c>
      <c r="D42" s="89">
        <f t="shared" si="1"/>
        <v>1320</v>
      </c>
      <c r="E42" s="89">
        <v>2040.0</v>
      </c>
      <c r="F42" s="90"/>
      <c r="G42" s="45">
        <f t="shared" si="2"/>
        <v>0</v>
      </c>
      <c r="H42" s="89"/>
      <c r="I42" s="89"/>
      <c r="J42" s="90"/>
      <c r="K42" s="89">
        <v>10.0</v>
      </c>
      <c r="L42" s="87">
        <v>10.0</v>
      </c>
      <c r="M42" s="45">
        <f t="shared" si="3"/>
        <v>0</v>
      </c>
      <c r="N42" s="45">
        <f t="shared" si="4"/>
        <v>0</v>
      </c>
      <c r="O42" s="45">
        <f>'Dala Sales &amp; Deliveries'!L4</f>
        <v>1</v>
      </c>
      <c r="P42" s="45">
        <f t="shared" si="5"/>
        <v>2040</v>
      </c>
      <c r="Q42" s="45">
        <f>'External Delivery Fulfillment'!L4</f>
        <v>10.5</v>
      </c>
      <c r="R42" s="45">
        <f t="shared" si="6"/>
        <v>21420</v>
      </c>
      <c r="S42" s="45">
        <f>'Forwarding From Client'!L4</f>
        <v>0</v>
      </c>
      <c r="T42" s="45">
        <f t="shared" si="7"/>
        <v>0</v>
      </c>
      <c r="U42" s="45">
        <f>'Dala Restocking'!L4</f>
        <v>0</v>
      </c>
      <c r="V42" s="45">
        <f t="shared" si="8"/>
        <v>0</v>
      </c>
      <c r="W42" s="45">
        <f>'Client Restocking'!L4</f>
        <v>0</v>
      </c>
    </row>
    <row r="43">
      <c r="B43" s="88" t="s">
        <v>19</v>
      </c>
      <c r="C43" s="89">
        <v>60000.0</v>
      </c>
      <c r="D43" s="89">
        <f t="shared" si="1"/>
        <v>1320</v>
      </c>
      <c r="E43" s="89">
        <v>2040.0</v>
      </c>
      <c r="F43" s="90"/>
      <c r="G43" s="45">
        <f t="shared" si="2"/>
        <v>0</v>
      </c>
      <c r="H43" s="89"/>
      <c r="I43" s="89"/>
      <c r="J43" s="90"/>
      <c r="K43" s="89">
        <v>5.6</v>
      </c>
      <c r="L43" s="87"/>
      <c r="M43" s="45">
        <f t="shared" si="3"/>
        <v>5.6</v>
      </c>
      <c r="N43" s="45">
        <f t="shared" si="4"/>
        <v>336000</v>
      </c>
      <c r="O43" s="45">
        <f>'Dala Sales &amp; Deliveries'!L5</f>
        <v>3.5</v>
      </c>
      <c r="P43" s="45">
        <f t="shared" si="5"/>
        <v>7140</v>
      </c>
      <c r="Q43" s="45">
        <f>'External Delivery Fulfillment'!L5</f>
        <v>11.5</v>
      </c>
      <c r="R43" s="45">
        <f t="shared" si="6"/>
        <v>23460</v>
      </c>
      <c r="S43" s="45">
        <f>'Forwarding From Client'!L5</f>
        <v>0</v>
      </c>
      <c r="T43" s="45">
        <f t="shared" si="7"/>
        <v>0</v>
      </c>
      <c r="U43" s="45">
        <f>'Dala Restocking'!L5</f>
        <v>0</v>
      </c>
      <c r="V43" s="45">
        <f t="shared" si="8"/>
        <v>0</v>
      </c>
      <c r="W43" s="45">
        <f>'Client Restocking'!L5</f>
        <v>0</v>
      </c>
    </row>
    <row r="44">
      <c r="B44" s="91"/>
      <c r="C44" s="90"/>
      <c r="D44" s="90"/>
      <c r="E44" s="90"/>
      <c r="F44" s="90"/>
      <c r="G44" s="45">
        <f t="shared" si="2"/>
        <v>0</v>
      </c>
      <c r="H44" s="89"/>
      <c r="I44" s="90"/>
      <c r="J44" s="90"/>
      <c r="K44" s="90"/>
      <c r="L44" s="87">
        <f t="shared" ref="L44:L68" si="9">H44+U44+W44-O44-Q44-I44-J44</f>
        <v>0</v>
      </c>
      <c r="M44" s="45">
        <f t="shared" si="3"/>
        <v>0</v>
      </c>
      <c r="N44" s="45">
        <f t="shared" si="4"/>
        <v>0</v>
      </c>
      <c r="O44" s="45"/>
      <c r="P44" s="45">
        <f t="shared" si="5"/>
        <v>0</v>
      </c>
      <c r="Q44" s="45"/>
      <c r="R44" s="45">
        <f t="shared" si="6"/>
        <v>0</v>
      </c>
      <c r="S44" s="45" t="str">
        <f>'Forwarding From Client'!L6</f>
        <v/>
      </c>
      <c r="T44" s="45">
        <f t="shared" si="7"/>
        <v>0</v>
      </c>
      <c r="U44" s="45"/>
      <c r="V44" s="45">
        <f t="shared" si="8"/>
        <v>0</v>
      </c>
      <c r="W44" s="45"/>
    </row>
    <row r="45">
      <c r="B45" s="92"/>
      <c r="C45" s="90"/>
      <c r="D45" s="90"/>
      <c r="E45" s="90"/>
      <c r="F45" s="90"/>
      <c r="G45" s="45">
        <f t="shared" si="2"/>
        <v>0</v>
      </c>
      <c r="H45" s="90"/>
      <c r="I45" s="90"/>
      <c r="J45" s="90"/>
      <c r="K45" s="90"/>
      <c r="L45" s="87">
        <f t="shared" si="9"/>
        <v>0</v>
      </c>
      <c r="M45" s="45">
        <f t="shared" si="3"/>
        <v>0</v>
      </c>
      <c r="N45" s="45">
        <f t="shared" si="4"/>
        <v>0</v>
      </c>
      <c r="O45" s="45"/>
      <c r="P45" s="45">
        <f t="shared" si="5"/>
        <v>0</v>
      </c>
      <c r="Q45" s="45"/>
      <c r="R45" s="45">
        <f t="shared" si="6"/>
        <v>0</v>
      </c>
      <c r="S45" s="45" t="str">
        <f>'Forwarding From Client'!L7</f>
        <v/>
      </c>
      <c r="T45" s="45">
        <f t="shared" si="7"/>
        <v>0</v>
      </c>
      <c r="U45" s="45"/>
      <c r="V45" s="45">
        <f t="shared" si="8"/>
        <v>0</v>
      </c>
      <c r="W45" s="45"/>
    </row>
    <row r="46">
      <c r="B46" s="92"/>
      <c r="C46" s="90"/>
      <c r="D46" s="90"/>
      <c r="E46" s="90"/>
      <c r="F46" s="90"/>
      <c r="G46" s="45">
        <f t="shared" si="2"/>
        <v>0</v>
      </c>
      <c r="H46" s="90"/>
      <c r="I46" s="90"/>
      <c r="J46" s="90"/>
      <c r="K46" s="90"/>
      <c r="L46" s="87">
        <f t="shared" si="9"/>
        <v>0</v>
      </c>
      <c r="M46" s="45">
        <f t="shared" si="3"/>
        <v>0</v>
      </c>
      <c r="N46" s="45">
        <f t="shared" si="4"/>
        <v>0</v>
      </c>
      <c r="O46" s="45"/>
      <c r="P46" s="45">
        <f t="shared" si="5"/>
        <v>0</v>
      </c>
      <c r="Q46" s="45"/>
      <c r="R46" s="45">
        <f t="shared" si="6"/>
        <v>0</v>
      </c>
      <c r="S46" s="45" t="str">
        <f>'Forwarding From Client'!L8</f>
        <v/>
      </c>
      <c r="T46" s="45">
        <f t="shared" si="7"/>
        <v>0</v>
      </c>
      <c r="U46" s="45"/>
      <c r="V46" s="45">
        <f t="shared" si="8"/>
        <v>0</v>
      </c>
      <c r="W46" s="45"/>
    </row>
    <row r="47">
      <c r="B47" s="92"/>
      <c r="C47" s="90"/>
      <c r="D47" s="90"/>
      <c r="E47" s="90"/>
      <c r="F47" s="90"/>
      <c r="G47" s="45">
        <f t="shared" si="2"/>
        <v>0</v>
      </c>
      <c r="H47" s="90"/>
      <c r="I47" s="90"/>
      <c r="J47" s="90"/>
      <c r="K47" s="90"/>
      <c r="L47" s="87">
        <f t="shared" si="9"/>
        <v>0</v>
      </c>
      <c r="M47" s="45">
        <f t="shared" si="3"/>
        <v>0</v>
      </c>
      <c r="N47" s="45">
        <f t="shared" si="4"/>
        <v>0</v>
      </c>
      <c r="O47" s="45"/>
      <c r="P47" s="45">
        <f t="shared" si="5"/>
        <v>0</v>
      </c>
      <c r="Q47" s="45"/>
      <c r="R47" s="45">
        <f t="shared" si="6"/>
        <v>0</v>
      </c>
      <c r="S47" s="45" t="str">
        <f>'Forwarding From Client'!L9</f>
        <v/>
      </c>
      <c r="T47" s="45">
        <f t="shared" si="7"/>
        <v>0</v>
      </c>
      <c r="U47" s="45"/>
      <c r="V47" s="45">
        <f t="shared" si="8"/>
        <v>0</v>
      </c>
      <c r="W47" s="45"/>
    </row>
    <row r="48">
      <c r="B48" s="92"/>
      <c r="C48" s="90"/>
      <c r="D48" s="90"/>
      <c r="E48" s="90"/>
      <c r="F48" s="90"/>
      <c r="G48" s="45">
        <f t="shared" si="2"/>
        <v>0</v>
      </c>
      <c r="H48" s="90"/>
      <c r="I48" s="90"/>
      <c r="J48" s="90"/>
      <c r="K48" s="90"/>
      <c r="L48" s="87">
        <f t="shared" si="9"/>
        <v>0</v>
      </c>
      <c r="M48" s="45">
        <f t="shared" si="3"/>
        <v>0</v>
      </c>
      <c r="N48" s="45">
        <f t="shared" si="4"/>
        <v>0</v>
      </c>
      <c r="O48" s="45"/>
      <c r="P48" s="45">
        <f t="shared" si="5"/>
        <v>0</v>
      </c>
      <c r="Q48" s="45"/>
      <c r="R48" s="45">
        <f t="shared" si="6"/>
        <v>0</v>
      </c>
      <c r="S48" s="45" t="str">
        <f>'Forwarding From Client'!L10</f>
        <v/>
      </c>
      <c r="T48" s="45">
        <f t="shared" si="7"/>
        <v>0</v>
      </c>
      <c r="U48" s="45"/>
      <c r="V48" s="45">
        <f t="shared" si="8"/>
        <v>0</v>
      </c>
      <c r="W48" s="45"/>
    </row>
    <row r="49">
      <c r="B49" s="92"/>
      <c r="C49" s="90"/>
      <c r="D49" s="90"/>
      <c r="E49" s="90"/>
      <c r="F49" s="90"/>
      <c r="G49" s="45">
        <f t="shared" si="2"/>
        <v>0</v>
      </c>
      <c r="H49" s="90"/>
      <c r="I49" s="90"/>
      <c r="J49" s="90"/>
      <c r="K49" s="90"/>
      <c r="L49" s="87">
        <f t="shared" si="9"/>
        <v>0</v>
      </c>
      <c r="M49" s="45">
        <f t="shared" si="3"/>
        <v>0</v>
      </c>
      <c r="N49" s="45">
        <f t="shared" si="4"/>
        <v>0</v>
      </c>
      <c r="O49" s="45"/>
      <c r="P49" s="45">
        <f t="shared" si="5"/>
        <v>0</v>
      </c>
      <c r="Q49" s="45"/>
      <c r="R49" s="45">
        <f t="shared" si="6"/>
        <v>0</v>
      </c>
      <c r="S49" s="45" t="str">
        <f>'Forwarding From Client'!L11</f>
        <v/>
      </c>
      <c r="T49" s="45">
        <f t="shared" si="7"/>
        <v>0</v>
      </c>
      <c r="U49" s="45"/>
      <c r="V49" s="45">
        <f t="shared" si="8"/>
        <v>0</v>
      </c>
      <c r="W49" s="45"/>
    </row>
    <row r="50">
      <c r="B50" s="92"/>
      <c r="C50" s="90"/>
      <c r="D50" s="90"/>
      <c r="E50" s="90"/>
      <c r="F50" s="90"/>
      <c r="G50" s="45">
        <f t="shared" si="2"/>
        <v>0</v>
      </c>
      <c r="H50" s="90"/>
      <c r="I50" s="90"/>
      <c r="J50" s="90"/>
      <c r="K50" s="90"/>
      <c r="L50" s="87">
        <f t="shared" si="9"/>
        <v>0</v>
      </c>
      <c r="M50" s="45">
        <f t="shared" si="3"/>
        <v>0</v>
      </c>
      <c r="N50" s="45">
        <f t="shared" si="4"/>
        <v>0</v>
      </c>
      <c r="O50" s="45"/>
      <c r="P50" s="45">
        <f t="shared" si="5"/>
        <v>0</v>
      </c>
      <c r="Q50" s="45"/>
      <c r="R50" s="45">
        <f t="shared" si="6"/>
        <v>0</v>
      </c>
      <c r="S50" s="45" t="str">
        <f>'Forwarding From Client'!L12</f>
        <v/>
      </c>
      <c r="T50" s="45">
        <f t="shared" si="7"/>
        <v>0</v>
      </c>
      <c r="U50" s="45"/>
      <c r="V50" s="45">
        <f t="shared" si="8"/>
        <v>0</v>
      </c>
      <c r="W50" s="45"/>
    </row>
    <row r="51">
      <c r="B51" s="92"/>
      <c r="C51" s="90"/>
      <c r="D51" s="90"/>
      <c r="E51" s="90"/>
      <c r="F51" s="90"/>
      <c r="G51" s="45">
        <f t="shared" si="2"/>
        <v>0</v>
      </c>
      <c r="H51" s="90"/>
      <c r="I51" s="90"/>
      <c r="J51" s="90"/>
      <c r="K51" s="90"/>
      <c r="L51" s="87">
        <f t="shared" si="9"/>
        <v>0</v>
      </c>
      <c r="M51" s="45">
        <f t="shared" si="3"/>
        <v>0</v>
      </c>
      <c r="N51" s="45">
        <f t="shared" si="4"/>
        <v>0</v>
      </c>
      <c r="O51" s="45"/>
      <c r="P51" s="45">
        <f t="shared" si="5"/>
        <v>0</v>
      </c>
      <c r="Q51" s="45"/>
      <c r="R51" s="45">
        <f t="shared" si="6"/>
        <v>0</v>
      </c>
      <c r="S51" s="45" t="str">
        <f>'Forwarding From Client'!L13</f>
        <v/>
      </c>
      <c r="T51" s="45">
        <f t="shared" si="7"/>
        <v>0</v>
      </c>
      <c r="U51" s="45"/>
      <c r="V51" s="45">
        <f t="shared" si="8"/>
        <v>0</v>
      </c>
      <c r="W51" s="45"/>
    </row>
    <row r="52">
      <c r="B52" s="92"/>
      <c r="C52" s="90"/>
      <c r="D52" s="90"/>
      <c r="E52" s="90"/>
      <c r="F52" s="90"/>
      <c r="G52" s="45">
        <f t="shared" si="2"/>
        <v>0</v>
      </c>
      <c r="H52" s="90"/>
      <c r="I52" s="90"/>
      <c r="J52" s="90"/>
      <c r="K52" s="90"/>
      <c r="L52" s="87">
        <f t="shared" si="9"/>
        <v>0</v>
      </c>
      <c r="M52" s="45">
        <f t="shared" si="3"/>
        <v>0</v>
      </c>
      <c r="N52" s="45">
        <f t="shared" si="4"/>
        <v>0</v>
      </c>
      <c r="O52" s="45"/>
      <c r="P52" s="45">
        <f t="shared" si="5"/>
        <v>0</v>
      </c>
      <c r="Q52" s="45"/>
      <c r="R52" s="45">
        <f t="shared" si="6"/>
        <v>0</v>
      </c>
      <c r="S52" s="45" t="str">
        <f>'Forwarding From Client'!L14</f>
        <v/>
      </c>
      <c r="T52" s="45">
        <f t="shared" si="7"/>
        <v>0</v>
      </c>
      <c r="U52" s="45"/>
      <c r="V52" s="45">
        <f t="shared" si="8"/>
        <v>0</v>
      </c>
      <c r="W52" s="45"/>
    </row>
    <row r="53">
      <c r="B53" s="92"/>
      <c r="C53" s="90"/>
      <c r="D53" s="90"/>
      <c r="E53" s="90"/>
      <c r="F53" s="90"/>
      <c r="G53" s="45">
        <f t="shared" si="2"/>
        <v>0</v>
      </c>
      <c r="H53" s="90"/>
      <c r="I53" s="90"/>
      <c r="J53" s="90"/>
      <c r="K53" s="90"/>
      <c r="L53" s="87">
        <f t="shared" si="9"/>
        <v>0</v>
      </c>
      <c r="M53" s="45">
        <f t="shared" si="3"/>
        <v>0</v>
      </c>
      <c r="N53" s="45">
        <f t="shared" si="4"/>
        <v>0</v>
      </c>
      <c r="O53" s="45"/>
      <c r="P53" s="45">
        <f t="shared" si="5"/>
        <v>0</v>
      </c>
      <c r="Q53" s="45"/>
      <c r="R53" s="45">
        <f t="shared" si="6"/>
        <v>0</v>
      </c>
      <c r="S53" s="45" t="str">
        <f>'Forwarding From Client'!L15</f>
        <v/>
      </c>
      <c r="T53" s="45">
        <f t="shared" si="7"/>
        <v>0</v>
      </c>
      <c r="U53" s="45"/>
      <c r="V53" s="45">
        <f t="shared" si="8"/>
        <v>0</v>
      </c>
      <c r="W53" s="45"/>
    </row>
    <row r="54">
      <c r="B54" s="92"/>
      <c r="C54" s="90"/>
      <c r="D54" s="90"/>
      <c r="E54" s="90"/>
      <c r="F54" s="90"/>
      <c r="G54" s="45">
        <f t="shared" si="2"/>
        <v>0</v>
      </c>
      <c r="H54" s="90"/>
      <c r="I54" s="90"/>
      <c r="J54" s="90"/>
      <c r="K54" s="90"/>
      <c r="L54" s="87">
        <f t="shared" si="9"/>
        <v>0</v>
      </c>
      <c r="M54" s="45">
        <f t="shared" si="3"/>
        <v>0</v>
      </c>
      <c r="N54" s="45">
        <f t="shared" si="4"/>
        <v>0</v>
      </c>
      <c r="O54" s="45"/>
      <c r="P54" s="45">
        <f t="shared" si="5"/>
        <v>0</v>
      </c>
      <c r="Q54" s="45"/>
      <c r="R54" s="45">
        <f t="shared" si="6"/>
        <v>0</v>
      </c>
      <c r="S54" s="45" t="str">
        <f>'Forwarding From Client'!L16</f>
        <v/>
      </c>
      <c r="T54" s="45">
        <f t="shared" si="7"/>
        <v>0</v>
      </c>
      <c r="U54" s="45"/>
      <c r="V54" s="45">
        <f t="shared" si="8"/>
        <v>0</v>
      </c>
      <c r="W54" s="45"/>
    </row>
    <row r="55">
      <c r="B55" s="92"/>
      <c r="C55" s="90"/>
      <c r="D55" s="90"/>
      <c r="E55" s="90"/>
      <c r="F55" s="90"/>
      <c r="G55" s="45">
        <f t="shared" si="2"/>
        <v>0</v>
      </c>
      <c r="H55" s="90"/>
      <c r="I55" s="90"/>
      <c r="J55" s="90"/>
      <c r="K55" s="90"/>
      <c r="L55" s="87">
        <f t="shared" si="9"/>
        <v>0</v>
      </c>
      <c r="M55" s="45">
        <f t="shared" si="3"/>
        <v>0</v>
      </c>
      <c r="N55" s="45">
        <f t="shared" si="4"/>
        <v>0</v>
      </c>
      <c r="O55" s="45"/>
      <c r="P55" s="45">
        <f t="shared" si="5"/>
        <v>0</v>
      </c>
      <c r="Q55" s="45"/>
      <c r="R55" s="45">
        <f t="shared" si="6"/>
        <v>0</v>
      </c>
      <c r="S55" s="45" t="str">
        <f>'Forwarding From Client'!L17</f>
        <v/>
      </c>
      <c r="T55" s="45">
        <f t="shared" si="7"/>
        <v>0</v>
      </c>
      <c r="U55" s="45"/>
      <c r="V55" s="45">
        <f t="shared" si="8"/>
        <v>0</v>
      </c>
      <c r="W55" s="45"/>
    </row>
    <row r="56">
      <c r="B56" s="92"/>
      <c r="C56" s="90"/>
      <c r="D56" s="90"/>
      <c r="E56" s="90"/>
      <c r="F56" s="90"/>
      <c r="G56" s="45">
        <f t="shared" si="2"/>
        <v>0</v>
      </c>
      <c r="H56" s="90"/>
      <c r="I56" s="90"/>
      <c r="J56" s="90"/>
      <c r="K56" s="90"/>
      <c r="L56" s="87">
        <f t="shared" si="9"/>
        <v>0</v>
      </c>
      <c r="M56" s="45">
        <f t="shared" si="3"/>
        <v>0</v>
      </c>
      <c r="N56" s="45">
        <f t="shared" si="4"/>
        <v>0</v>
      </c>
      <c r="O56" s="45"/>
      <c r="P56" s="45">
        <f t="shared" si="5"/>
        <v>0</v>
      </c>
      <c r="Q56" s="45"/>
      <c r="R56" s="45">
        <f t="shared" si="6"/>
        <v>0</v>
      </c>
      <c r="S56" s="45" t="str">
        <f>'Forwarding From Client'!L18</f>
        <v/>
      </c>
      <c r="T56" s="45">
        <f t="shared" si="7"/>
        <v>0</v>
      </c>
      <c r="U56" s="45"/>
      <c r="V56" s="45">
        <f t="shared" si="8"/>
        <v>0</v>
      </c>
      <c r="W56" s="45"/>
    </row>
    <row r="57">
      <c r="B57" s="92"/>
      <c r="C57" s="90"/>
      <c r="D57" s="90"/>
      <c r="E57" s="90"/>
      <c r="F57" s="90"/>
      <c r="G57" s="45">
        <f t="shared" si="2"/>
        <v>0</v>
      </c>
      <c r="H57" s="90"/>
      <c r="I57" s="90"/>
      <c r="J57" s="90"/>
      <c r="K57" s="90"/>
      <c r="L57" s="87">
        <f t="shared" si="9"/>
        <v>0</v>
      </c>
      <c r="M57" s="45">
        <f t="shared" si="3"/>
        <v>0</v>
      </c>
      <c r="N57" s="45">
        <f t="shared" si="4"/>
        <v>0</v>
      </c>
      <c r="O57" s="45"/>
      <c r="P57" s="45">
        <f t="shared" si="5"/>
        <v>0</v>
      </c>
      <c r="Q57" s="45"/>
      <c r="R57" s="45">
        <f t="shared" si="6"/>
        <v>0</v>
      </c>
      <c r="S57" s="45" t="str">
        <f>'Forwarding From Client'!L19</f>
        <v/>
      </c>
      <c r="T57" s="45">
        <f t="shared" si="7"/>
        <v>0</v>
      </c>
      <c r="U57" s="45"/>
      <c r="V57" s="45">
        <f t="shared" si="8"/>
        <v>0</v>
      </c>
      <c r="W57" s="45"/>
    </row>
    <row r="58">
      <c r="B58" s="92"/>
      <c r="C58" s="90"/>
      <c r="D58" s="90"/>
      <c r="E58" s="90"/>
      <c r="F58" s="90"/>
      <c r="G58" s="45">
        <f t="shared" si="2"/>
        <v>0</v>
      </c>
      <c r="H58" s="90"/>
      <c r="I58" s="90"/>
      <c r="J58" s="90"/>
      <c r="K58" s="90"/>
      <c r="L58" s="87">
        <f t="shared" si="9"/>
        <v>0</v>
      </c>
      <c r="M58" s="45">
        <f t="shared" si="3"/>
        <v>0</v>
      </c>
      <c r="N58" s="45">
        <f t="shared" si="4"/>
        <v>0</v>
      </c>
      <c r="O58" s="45"/>
      <c r="P58" s="45">
        <f t="shared" si="5"/>
        <v>0</v>
      </c>
      <c r="Q58" s="45"/>
      <c r="R58" s="45">
        <f t="shared" si="6"/>
        <v>0</v>
      </c>
      <c r="S58" s="45" t="str">
        <f>'Forwarding From Client'!L20</f>
        <v/>
      </c>
      <c r="T58" s="45">
        <f t="shared" si="7"/>
        <v>0</v>
      </c>
      <c r="U58" s="45"/>
      <c r="V58" s="45">
        <f t="shared" si="8"/>
        <v>0</v>
      </c>
      <c r="W58" s="45"/>
    </row>
    <row r="59">
      <c r="B59" s="92"/>
      <c r="C59" s="90"/>
      <c r="D59" s="90"/>
      <c r="E59" s="90"/>
      <c r="F59" s="90"/>
      <c r="G59" s="45">
        <f t="shared" si="2"/>
        <v>0</v>
      </c>
      <c r="H59" s="90"/>
      <c r="I59" s="90"/>
      <c r="J59" s="90"/>
      <c r="K59" s="90"/>
      <c r="L59" s="87">
        <f t="shared" si="9"/>
        <v>0</v>
      </c>
      <c r="M59" s="45">
        <f t="shared" si="3"/>
        <v>0</v>
      </c>
      <c r="N59" s="45">
        <f t="shared" si="4"/>
        <v>0</v>
      </c>
      <c r="O59" s="45"/>
      <c r="P59" s="45">
        <f t="shared" si="5"/>
        <v>0</v>
      </c>
      <c r="Q59" s="45"/>
      <c r="R59" s="45">
        <f t="shared" si="6"/>
        <v>0</v>
      </c>
      <c r="S59" s="45" t="str">
        <f>'Forwarding From Client'!L21</f>
        <v/>
      </c>
      <c r="T59" s="45">
        <f t="shared" si="7"/>
        <v>0</v>
      </c>
      <c r="U59" s="45"/>
      <c r="V59" s="45">
        <f t="shared" si="8"/>
        <v>0</v>
      </c>
      <c r="W59" s="45"/>
    </row>
    <row r="60">
      <c r="B60" s="92"/>
      <c r="C60" s="90"/>
      <c r="D60" s="90"/>
      <c r="E60" s="90"/>
      <c r="F60" s="90"/>
      <c r="G60" s="45">
        <f t="shared" si="2"/>
        <v>0</v>
      </c>
      <c r="H60" s="90"/>
      <c r="I60" s="90"/>
      <c r="J60" s="90"/>
      <c r="K60" s="90"/>
      <c r="L60" s="87">
        <f t="shared" si="9"/>
        <v>0</v>
      </c>
      <c r="M60" s="45">
        <f t="shared" si="3"/>
        <v>0</v>
      </c>
      <c r="N60" s="45">
        <f t="shared" si="4"/>
        <v>0</v>
      </c>
      <c r="O60" s="45"/>
      <c r="P60" s="45">
        <f t="shared" si="5"/>
        <v>0</v>
      </c>
      <c r="Q60" s="45"/>
      <c r="R60" s="45">
        <f t="shared" si="6"/>
        <v>0</v>
      </c>
      <c r="S60" s="45" t="str">
        <f>'Forwarding From Client'!L22</f>
        <v/>
      </c>
      <c r="T60" s="45">
        <f t="shared" si="7"/>
        <v>0</v>
      </c>
      <c r="U60" s="45"/>
      <c r="V60" s="45">
        <f t="shared" si="8"/>
        <v>0</v>
      </c>
      <c r="W60" s="45"/>
    </row>
    <row r="61">
      <c r="B61" s="92"/>
      <c r="C61" s="90"/>
      <c r="D61" s="90"/>
      <c r="E61" s="90"/>
      <c r="F61" s="90"/>
      <c r="G61" s="45">
        <f t="shared" si="2"/>
        <v>0</v>
      </c>
      <c r="H61" s="90"/>
      <c r="I61" s="90"/>
      <c r="J61" s="90"/>
      <c r="K61" s="90"/>
      <c r="L61" s="87">
        <f t="shared" si="9"/>
        <v>0</v>
      </c>
      <c r="M61" s="45">
        <f t="shared" si="3"/>
        <v>0</v>
      </c>
      <c r="N61" s="45">
        <f t="shared" si="4"/>
        <v>0</v>
      </c>
      <c r="O61" s="45"/>
      <c r="P61" s="45">
        <f t="shared" si="5"/>
        <v>0</v>
      </c>
      <c r="Q61" s="45"/>
      <c r="R61" s="45">
        <f t="shared" si="6"/>
        <v>0</v>
      </c>
      <c r="S61" s="45" t="str">
        <f>'Forwarding From Client'!L23</f>
        <v/>
      </c>
      <c r="T61" s="45">
        <f t="shared" si="7"/>
        <v>0</v>
      </c>
      <c r="U61" s="45"/>
      <c r="V61" s="45">
        <f t="shared" si="8"/>
        <v>0</v>
      </c>
      <c r="W61" s="45"/>
    </row>
    <row r="62">
      <c r="B62" s="92"/>
      <c r="C62" s="90"/>
      <c r="D62" s="90"/>
      <c r="E62" s="90"/>
      <c r="F62" s="90"/>
      <c r="G62" s="45">
        <f t="shared" si="2"/>
        <v>0</v>
      </c>
      <c r="H62" s="90"/>
      <c r="I62" s="90"/>
      <c r="J62" s="90"/>
      <c r="K62" s="90"/>
      <c r="L62" s="87">
        <f t="shared" si="9"/>
        <v>0</v>
      </c>
      <c r="M62" s="45">
        <f t="shared" si="3"/>
        <v>0</v>
      </c>
      <c r="N62" s="45">
        <f t="shared" si="4"/>
        <v>0</v>
      </c>
      <c r="O62" s="45"/>
      <c r="P62" s="45">
        <f t="shared" si="5"/>
        <v>0</v>
      </c>
      <c r="Q62" s="45"/>
      <c r="R62" s="45">
        <f t="shared" si="6"/>
        <v>0</v>
      </c>
      <c r="S62" s="45" t="str">
        <f>'Forwarding From Client'!L24</f>
        <v/>
      </c>
      <c r="T62" s="45">
        <f t="shared" si="7"/>
        <v>0</v>
      </c>
      <c r="U62" s="45"/>
      <c r="V62" s="45">
        <f t="shared" si="8"/>
        <v>0</v>
      </c>
      <c r="W62" s="45"/>
    </row>
    <row r="63">
      <c r="B63" s="92"/>
      <c r="C63" s="90"/>
      <c r="D63" s="90"/>
      <c r="E63" s="90"/>
      <c r="F63" s="90"/>
      <c r="G63" s="45">
        <f t="shared" si="2"/>
        <v>0</v>
      </c>
      <c r="H63" s="90"/>
      <c r="I63" s="90"/>
      <c r="J63" s="90"/>
      <c r="K63" s="90"/>
      <c r="L63" s="87">
        <f t="shared" si="9"/>
        <v>0</v>
      </c>
      <c r="M63" s="45">
        <f t="shared" si="3"/>
        <v>0</v>
      </c>
      <c r="N63" s="45">
        <f t="shared" si="4"/>
        <v>0</v>
      </c>
      <c r="O63" s="45"/>
      <c r="P63" s="45">
        <f t="shared" si="5"/>
        <v>0</v>
      </c>
      <c r="Q63" s="45"/>
      <c r="R63" s="45">
        <f t="shared" si="6"/>
        <v>0</v>
      </c>
      <c r="S63" s="45" t="str">
        <f>'Forwarding From Client'!L25</f>
        <v/>
      </c>
      <c r="T63" s="45">
        <f t="shared" si="7"/>
        <v>0</v>
      </c>
      <c r="U63" s="45"/>
      <c r="V63" s="45">
        <f t="shared" si="8"/>
        <v>0</v>
      </c>
      <c r="W63" s="45"/>
    </row>
    <row r="64">
      <c r="B64" s="92"/>
      <c r="C64" s="90"/>
      <c r="D64" s="90"/>
      <c r="E64" s="90"/>
      <c r="F64" s="90"/>
      <c r="G64" s="45">
        <f t="shared" si="2"/>
        <v>0</v>
      </c>
      <c r="H64" s="90"/>
      <c r="I64" s="90"/>
      <c r="J64" s="90"/>
      <c r="K64" s="90"/>
      <c r="L64" s="87">
        <f t="shared" si="9"/>
        <v>0</v>
      </c>
      <c r="M64" s="45">
        <f t="shared" si="3"/>
        <v>0</v>
      </c>
      <c r="N64" s="45">
        <f t="shared" si="4"/>
        <v>0</v>
      </c>
      <c r="O64" s="45"/>
      <c r="P64" s="45">
        <f t="shared" si="5"/>
        <v>0</v>
      </c>
      <c r="Q64" s="45"/>
      <c r="R64" s="45">
        <f t="shared" si="6"/>
        <v>0</v>
      </c>
      <c r="S64" s="45" t="str">
        <f>'Forwarding From Client'!L26</f>
        <v/>
      </c>
      <c r="T64" s="45">
        <f t="shared" si="7"/>
        <v>0</v>
      </c>
      <c r="U64" s="45"/>
      <c r="V64" s="45">
        <f t="shared" si="8"/>
        <v>0</v>
      </c>
      <c r="W64" s="45"/>
    </row>
    <row r="65">
      <c r="B65" s="92"/>
      <c r="C65" s="90"/>
      <c r="D65" s="90"/>
      <c r="E65" s="90"/>
      <c r="F65" s="90"/>
      <c r="G65" s="45">
        <f t="shared" si="2"/>
        <v>0</v>
      </c>
      <c r="H65" s="90"/>
      <c r="I65" s="90"/>
      <c r="J65" s="90"/>
      <c r="K65" s="90"/>
      <c r="L65" s="87">
        <f t="shared" si="9"/>
        <v>0</v>
      </c>
      <c r="M65" s="45">
        <f t="shared" si="3"/>
        <v>0</v>
      </c>
      <c r="N65" s="45">
        <f t="shared" si="4"/>
        <v>0</v>
      </c>
      <c r="O65" s="45"/>
      <c r="P65" s="45">
        <f t="shared" si="5"/>
        <v>0</v>
      </c>
      <c r="Q65" s="45"/>
      <c r="R65" s="45">
        <f t="shared" si="6"/>
        <v>0</v>
      </c>
      <c r="S65" s="45" t="str">
        <f>'Forwarding From Client'!L27</f>
        <v/>
      </c>
      <c r="T65" s="45">
        <f t="shared" si="7"/>
        <v>0</v>
      </c>
      <c r="U65" s="45"/>
      <c r="V65" s="45">
        <f t="shared" si="8"/>
        <v>0</v>
      </c>
      <c r="W65" s="45"/>
    </row>
    <row r="66">
      <c r="B66" s="92"/>
      <c r="C66" s="90"/>
      <c r="D66" s="90"/>
      <c r="E66" s="90"/>
      <c r="F66" s="90"/>
      <c r="G66" s="45">
        <f t="shared" si="2"/>
        <v>0</v>
      </c>
      <c r="H66" s="90"/>
      <c r="I66" s="90"/>
      <c r="J66" s="90"/>
      <c r="K66" s="90"/>
      <c r="L66" s="87">
        <f t="shared" si="9"/>
        <v>0</v>
      </c>
      <c r="M66" s="45">
        <f t="shared" si="3"/>
        <v>0</v>
      </c>
      <c r="N66" s="45">
        <f t="shared" si="4"/>
        <v>0</v>
      </c>
      <c r="O66" s="45"/>
      <c r="P66" s="45">
        <f t="shared" si="5"/>
        <v>0</v>
      </c>
      <c r="Q66" s="45"/>
      <c r="R66" s="45">
        <f t="shared" si="6"/>
        <v>0</v>
      </c>
      <c r="S66" s="45" t="str">
        <f>'Forwarding From Client'!L28</f>
        <v/>
      </c>
      <c r="T66" s="45">
        <f t="shared" si="7"/>
        <v>0</v>
      </c>
      <c r="U66" s="45"/>
      <c r="V66" s="45">
        <f t="shared" si="8"/>
        <v>0</v>
      </c>
      <c r="W66" s="45"/>
    </row>
    <row r="67">
      <c r="B67" s="92"/>
      <c r="C67" s="90"/>
      <c r="D67" s="90"/>
      <c r="E67" s="90"/>
      <c r="F67" s="90"/>
      <c r="G67" s="45">
        <f t="shared" si="2"/>
        <v>0</v>
      </c>
      <c r="H67" s="90"/>
      <c r="I67" s="90"/>
      <c r="J67" s="90"/>
      <c r="K67" s="90"/>
      <c r="L67" s="87">
        <f t="shared" si="9"/>
        <v>0</v>
      </c>
      <c r="M67" s="45">
        <f t="shared" si="3"/>
        <v>0</v>
      </c>
      <c r="N67" s="45">
        <f t="shared" si="4"/>
        <v>0</v>
      </c>
      <c r="O67" s="45"/>
      <c r="P67" s="45">
        <f t="shared" si="5"/>
        <v>0</v>
      </c>
      <c r="Q67" s="45"/>
      <c r="R67" s="45">
        <f t="shared" si="6"/>
        <v>0</v>
      </c>
      <c r="S67" s="45" t="str">
        <f>'Forwarding From Client'!L29</f>
        <v/>
      </c>
      <c r="T67" s="45">
        <f t="shared" si="7"/>
        <v>0</v>
      </c>
      <c r="U67" s="45"/>
      <c r="V67" s="45">
        <f t="shared" si="8"/>
        <v>0</v>
      </c>
      <c r="W67" s="45"/>
    </row>
    <row r="68">
      <c r="B68" s="92"/>
      <c r="C68" s="90"/>
      <c r="D68" s="90"/>
      <c r="E68" s="90"/>
      <c r="F68" s="90"/>
      <c r="G68" s="45">
        <f t="shared" si="2"/>
        <v>0</v>
      </c>
      <c r="H68" s="90"/>
      <c r="I68" s="90"/>
      <c r="J68" s="90"/>
      <c r="K68" s="90"/>
      <c r="L68" s="87">
        <f t="shared" si="9"/>
        <v>0</v>
      </c>
      <c r="M68" s="45">
        <f t="shared" si="3"/>
        <v>0</v>
      </c>
      <c r="N68" s="45">
        <f t="shared" si="4"/>
        <v>0</v>
      </c>
      <c r="O68" s="45"/>
      <c r="P68" s="45">
        <f t="shared" si="5"/>
        <v>0</v>
      </c>
      <c r="Q68" s="45"/>
      <c r="R68" s="45">
        <f t="shared" si="6"/>
        <v>0</v>
      </c>
      <c r="S68" s="45" t="str">
        <f>'Forwarding From Client'!L30</f>
        <v/>
      </c>
      <c r="T68" s="45">
        <f t="shared" si="7"/>
        <v>0</v>
      </c>
      <c r="U68" s="45"/>
      <c r="V68" s="45">
        <f t="shared" si="8"/>
        <v>0</v>
      </c>
      <c r="W68" s="45"/>
    </row>
    <row r="69">
      <c r="B69" s="51" t="s">
        <v>119</v>
      </c>
      <c r="C69" s="51"/>
      <c r="D69" s="51"/>
      <c r="E69" s="53"/>
      <c r="F69" s="93">
        <f t="shared" ref="F69:W69" si="10">sum(F40:F68)</f>
        <v>0</v>
      </c>
      <c r="G69" s="93">
        <f t="shared" si="10"/>
        <v>0</v>
      </c>
      <c r="H69" s="93">
        <f t="shared" si="10"/>
        <v>0</v>
      </c>
      <c r="I69" s="93">
        <f t="shared" si="10"/>
        <v>0</v>
      </c>
      <c r="J69" s="93">
        <f t="shared" si="10"/>
        <v>0</v>
      </c>
      <c r="K69" s="93">
        <f t="shared" si="10"/>
        <v>20.6</v>
      </c>
      <c r="L69" s="93">
        <f t="shared" si="10"/>
        <v>15</v>
      </c>
      <c r="M69" s="93">
        <f t="shared" si="10"/>
        <v>5.6</v>
      </c>
      <c r="N69" s="93">
        <f t="shared" si="10"/>
        <v>336000</v>
      </c>
      <c r="O69" s="93">
        <f t="shared" si="10"/>
        <v>8</v>
      </c>
      <c r="P69" s="93">
        <f t="shared" si="10"/>
        <v>16320</v>
      </c>
      <c r="Q69" s="93">
        <f t="shared" si="10"/>
        <v>39.5</v>
      </c>
      <c r="R69" s="45">
        <f t="shared" si="10"/>
        <v>80580</v>
      </c>
      <c r="S69" s="45">
        <f t="shared" si="10"/>
        <v>0</v>
      </c>
      <c r="T69" s="45">
        <f t="shared" si="10"/>
        <v>0</v>
      </c>
      <c r="U69" s="45">
        <f t="shared" si="10"/>
        <v>0</v>
      </c>
      <c r="V69" s="45">
        <f t="shared" si="10"/>
        <v>0</v>
      </c>
      <c r="W69" s="45">
        <f t="shared" si="10"/>
        <v>0</v>
      </c>
    </row>
    <row r="70">
      <c r="C70" s="7" t="s">
        <v>120</v>
      </c>
      <c r="D70" s="7" t="s">
        <v>120</v>
      </c>
      <c r="E70" s="7" t="s">
        <v>120</v>
      </c>
      <c r="F70" s="7" t="s">
        <v>120</v>
      </c>
      <c r="G70" s="7" t="s">
        <v>120</v>
      </c>
      <c r="H70" s="7" t="s">
        <v>120</v>
      </c>
      <c r="I70" s="7" t="s">
        <v>120</v>
      </c>
      <c r="J70" s="7" t="s">
        <v>120</v>
      </c>
      <c r="K70" s="7" t="s">
        <v>120</v>
      </c>
      <c r="L70" s="7" t="s">
        <v>120</v>
      </c>
      <c r="M70" s="7" t="s">
        <v>120</v>
      </c>
      <c r="N70" s="7" t="s">
        <v>120</v>
      </c>
      <c r="O70" s="7" t="s">
        <v>120</v>
      </c>
      <c r="P70" s="7" t="s">
        <v>120</v>
      </c>
      <c r="Q70" s="7" t="s">
        <v>120</v>
      </c>
      <c r="R70" s="7" t="s">
        <v>120</v>
      </c>
      <c r="S70" s="7" t="s">
        <v>120</v>
      </c>
      <c r="T70" s="7" t="s">
        <v>120</v>
      </c>
      <c r="U70" s="7" t="s">
        <v>120</v>
      </c>
      <c r="V70" s="7" t="s">
        <v>120</v>
      </c>
      <c r="W70" s="7" t="s">
        <v>120</v>
      </c>
    </row>
  </sheetData>
  <drawing r:id="rId1"/>
</worksheet>
</file>