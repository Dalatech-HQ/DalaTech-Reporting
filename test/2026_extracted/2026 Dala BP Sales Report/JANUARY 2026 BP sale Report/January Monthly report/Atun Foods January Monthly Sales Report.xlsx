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<sst xmlns="http://schemas.openxmlformats.org/spreadsheetml/2006/main" count="387" uniqueCount="125">
  <si>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</si>
  <si>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</si>
  <si>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</si>
  <si>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</si>
  <si>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</si>
  <si>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</si>
  <si>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</si>
  <si>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</si>
  <si>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</si>
  <si>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</si>
  <si>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</si>
  <si>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</si>
  <si>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</si>
  <si>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</si>
  <si>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</si>
  <si>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</si>
  <si>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</si>
  <si>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Inventory Pickup by Dala</t>
  </si>
  <si>
    <t>Jendol Supermarket, EGBEDA</t>
  </si>
  <si>
    <t>Sales</t>
  </si>
  <si>
    <t>DT:000018</t>
  </si>
  <si>
    <t>Renees Supermarket, LEKKI CENTRAL MOSQUE</t>
  </si>
  <si>
    <t>DT:000077</t>
  </si>
  <si>
    <t>Jendol Supermarket, IPAJA</t>
  </si>
  <si>
    <t>DT:000092</t>
  </si>
  <si>
    <t>Am to Pm Supermarket, Martins Rd.</t>
  </si>
  <si>
    <t>DT:000104</t>
  </si>
  <si>
    <t>Jendol Supermarket, IBAFO</t>
  </si>
  <si>
    <t>DT:000115</t>
  </si>
  <si>
    <t>Jendol Supermarket, AJAH</t>
  </si>
  <si>
    <t>DT:000130</t>
  </si>
  <si>
    <t>Skymart Supermarket, SANGOTEDO</t>
  </si>
  <si>
    <t>DT:000133</t>
  </si>
  <si>
    <t>Jendol Supermarket, IJEDE</t>
  </si>
  <si>
    <t>DT:000162</t>
  </si>
  <si>
    <t>Jendol supermarket, OJUORE</t>
  </si>
  <si>
    <t>DT:000166</t>
  </si>
  <si>
    <t>Jendol Supermarket, ISHERI (Rg.11)</t>
  </si>
  <si>
    <t>DT:000207</t>
  </si>
  <si>
    <t>DT:000217</t>
  </si>
  <si>
    <t>Double Sam Supermarket, 22 IKD AWOLOWO ROAD</t>
  </si>
  <si>
    <t>DT:000279</t>
  </si>
  <si>
    <t>Jendol Supermarket, ONIBUKUN</t>
  </si>
  <si>
    <t>DT:000374</t>
  </si>
  <si>
    <t>Jendol Supermarket, ALAKUKO</t>
  </si>
  <si>
    <t>DT:000509</t>
  </si>
  <si>
    <t>Jendol Supermarket, OJODU</t>
  </si>
  <si>
    <t>DT:000536</t>
  </si>
  <si>
    <t>Atun 1.5litre Palm Oil (6x)</t>
  </si>
  <si>
    <t>Prestige Superstore, IPAJA</t>
  </si>
  <si>
    <t>DT:000224</t>
  </si>
  <si>
    <t>Excel Plus Supermarket, Orchid Rd.</t>
  </si>
  <si>
    <t>DT:000234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</si>
  <si>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</si>
  <si>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</si>
  <si>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</si>
  <si>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</si>
  <si>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</si>
  <si>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</si>
  <si>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</si>
  <si>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</si>
  <si>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16/01/1900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</si>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</sst>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1-05T00:00:00Z"/>
        <d v="2026-01-08T00:00:00Z"/>
        <d v="2026-01-09T00:00:00Z"/>
        <d v="2026-01-10T00:00:00Z"/>
        <d v="2026-01-13T00:00:00Z"/>
        <d v="2026-01-14T00:00:00Z"/>
        <d v="2026-01-16T00:00:00Z"/>
        <d v="2026-01-20T00:00:00Z"/>
        <d v="2026-01-24T00:00:00Z"/>
        <d v="2026-01-29T00:00:00Z"/>
        <d v="2026-01-30T00:00:00Z"/>
        <d v="2026-01-17T00:00:00Z"/>
        <m/>
      </sharedItems>
    </cacheField>
    <cacheField name="Particulars" numFmtId="164">
      <sharedItems containsBlank="1">
        <s v="Jendol Supermarket, EGBEDA"/>
        <s v="Renees Supermarket, LEKKI CENTRAL MOSQUE"/>
        <s v="Jendol Supermarket, IPAJA"/>
        <s v="Am to Pm Supermarket, Martins Rd."/>
        <s v="Jendol Supermarket, IBAFO"/>
        <s v="Jendol Supermarket, AJAH"/>
        <s v="Skymart Supermarket, SANGOTEDO"/>
        <s v="Jendol Supermarket, IJEDE"/>
        <s v="Jendol supermarket, OJUORE"/>
        <s v="Jendol Supermarket, ISHERI (Rg.11)"/>
        <s v="Double Sam Supermarket, 22 IKD AWOLOWO ROAD"/>
        <s v="Jendol Supermarket, ONIBUKUN"/>
        <s v="Jendol Supermarket, ALAKUKO"/>
        <s v="Jendol Supermarket, OJODU"/>
        <s v="Prestige Superstore, IPAJA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018"/>
        <s v="DT:000077"/>
        <s v="DT:000092"/>
        <s v="DT:000104"/>
        <s v="DT:000115"/>
        <s v="DT:000130"/>
        <s v="DT:000133"/>
        <s v="DT:000162"/>
        <s v="DT:000166"/>
        <s v="DT:000207"/>
        <s v="DT:000217"/>
        <s v="DT:000279"/>
        <s v="DT:000374"/>
        <s v="DT:000509"/>
        <s v="DT:000536"/>
        <s v="DT:000224"/>
        <s v="DT:000234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3488.37"/>
        <n v="16744.19"/>
        <n v="66976.74"/>
        <n v="18000.0"/>
        <n v="27906.98"/>
        <n v="22325.58"/>
        <m/>
      </sharedItems>
    </cacheField>
    <cacheField name="Total Value" numFmtId="4">
      <sharedItems containsString="0" containsBlank="1" containsNumber="1">
        <n v="33488.37"/>
        <n v="16744.19"/>
        <n v="61395.350000000006"/>
        <n v="66976.74"/>
        <n v="18000.0"/>
        <n v="27906.98"/>
        <n v="50232.5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1-05T00:00:00Z"/>
        <d v="2026-01-08T00:00:00Z"/>
        <d v="2026-01-09T00:00:00Z"/>
        <d v="2026-01-10T00:00:00Z"/>
        <d v="2026-01-13T00:00:00Z"/>
        <d v="2026-01-14T00:00:00Z"/>
        <d v="2026-01-16T00:00:00Z"/>
        <d v="2026-01-20T00:00:00Z"/>
        <d v="2026-01-24T00:00:00Z"/>
        <d v="2026-01-29T00:00:00Z"/>
        <d v="2026-01-30T00:00:00Z"/>
        <d v="2026-01-17T00:00:00Z"/>
        <m/>
      </sharedItems>
    </cacheField>
    <cacheField name="Particulars" numFmtId="164">
      <sharedItems containsBlank="1">
        <s v="Jendol Supermarket, EGBEDA"/>
        <s v="Renees Supermarket, LEKKI CENTRAL MOSQUE"/>
        <s v="Jendol Supermarket, IPAJA"/>
        <s v="Am to Pm Supermarket, Martins Rd."/>
        <s v="Jendol Supermarket, IBAFO"/>
        <s v="Jendol Supermarket, AJAH"/>
        <s v="Skymart Supermarket, SANGOTEDO"/>
        <s v="Jendol Supermarket, IJEDE"/>
        <s v="Jendol supermarket, OJUORE"/>
        <s v="Jendol Supermarket, ISHERI (Rg.11)"/>
        <s v="Double Sam Supermarket, 22 IKD AWOLOWO ROAD"/>
        <s v="Jendol Supermarket, ONIBUKUN"/>
        <s v="Jendol Supermarket, ALAKUKO"/>
        <s v="Jendol Supermarket, OJODU"/>
        <s v="Prestige Superstore, IPAJA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018"/>
        <s v="DT:000077"/>
        <s v="DT:000092"/>
        <s v="DT:000104"/>
        <s v="DT:000115"/>
        <s v="DT:000130"/>
        <s v="DT:000133"/>
        <s v="DT:000162"/>
        <s v="DT:000166"/>
        <s v="DT:000207"/>
        <s v="DT:000217"/>
        <s v="DT:000279"/>
        <s v="DT:000374"/>
        <s v="DT:000509"/>
        <s v="DT:000536"/>
        <s v="DT:000224"/>
        <s v="DT:000234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3488.37"/>
        <n v="16744.19"/>
        <n v="66976.74"/>
        <n v="18000.0"/>
        <n v="27906.98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164">
      <sharedItems containsBlank="1">
        <s v="Atun 120g Peppersoup Spice (12x)"/>
        <m/>
      </sharedItems>
    </cacheField>
    <cacheField name="Date" numFmtId="164">
      <sharedItems containsDate="1" containsString="0" containsBlank="1">
        <d v="2026-01-22T00:00:00Z"/>
        <m/>
      </sharedItems>
    </cacheField>
    <cacheField name="Particulars" numFmtId="164">
      <sharedItems containsBlank="1">
        <s v="Atun Foods"/>
        <m/>
      </sharedItems>
    </cacheField>
    <cacheField name="Vch Type" numFmtId="164">
      <sharedItems containsBlank="1">
        <s v="Inventory Pickup by Dala"/>
        <m/>
      </sharedItems>
    </cacheField>
    <cacheField name="Vch No." numFmtId="164">
      <sharedItems containsDate="1" containsString="0" containsBlank="1">
        <d v="1900-01-21T00:00:00Z"/>
        <m/>
      </sharedItems>
    </cacheField>
    <cacheField name="Quantity" numFmtId="164">
      <sharedItems containsDate="1" containsString="0" containsBlank="1">
        <d v="1900-01-16T22:04:48Z"/>
        <m/>
      </sharedItems>
    </cacheField>
    <cacheField name="Value" numFmtId="164">
      <sharedItems containsDate="1" containsString="0" containsBlank="1">
        <d v="3543-01-17T14:09:36Z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11"/>
        <item x="7"/>
        <item x="8"/>
        <item x="9"/>
        <item x="10"/>
      </items>
    </pivotField>
    <pivotField name="Particulars" axis="axisRow" compact="0" numFmtId="164" outline="0" multipleItemSelectionAllowed="1" showAll="0" sortType="ascending" defaultSubtotal="0">
      <items>
        <item x="16"/>
        <item x="3"/>
        <item x="10"/>
        <item x="15"/>
        <item x="5"/>
        <item x="12"/>
        <item x="0"/>
        <item x="4"/>
        <item x="7"/>
        <item x="2"/>
        <item x="9"/>
        <item x="13"/>
        <item x="8"/>
        <item x="11"/>
        <item x="14"/>
        <item x="1"/>
        <item x="6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5"/>
        <item x="16"/>
        <item x="11"/>
        <item x="12"/>
        <item x="13"/>
        <item x="1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1"/>
        <item x="4"/>
        <item x="5"/>
        <item x="0"/>
        <item x="6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11"/>
        <item x="7"/>
        <item x="8"/>
        <item x="9"/>
        <item x="10"/>
      </items>
    </pivotField>
    <pivotField name="Particulars" axis="axisRow" compact="0" numFmtId="164" outline="0" multipleItemSelectionAllowed="1" showAll="0" sortType="ascending" defaultSubtotal="0">
      <items>
        <item x="16"/>
        <item x="3"/>
        <item x="10"/>
        <item x="15"/>
        <item x="5"/>
        <item x="12"/>
        <item x="0"/>
        <item x="4"/>
        <item x="7"/>
        <item x="2"/>
        <item x="9"/>
        <item x="13"/>
        <item x="8"/>
        <item x="11"/>
        <item x="14"/>
        <item x="1"/>
        <item x="6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5"/>
        <item x="16"/>
        <item x="11"/>
        <item x="12"/>
        <item x="13"/>
        <item x="14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6"/>
        <item x="1"/>
        <item x="3"/>
        <item x="5"/>
        <item x="4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numFmtId="164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numFmtId="164" outline="0" multipleItemSelectionAllowed="1" showAll="0" sortType="ascending" defaultSubtotal="0">
      <items>
        <item x="1"/>
        <item x="0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1"/>
        <item x="0"/>
      </items>
    </pivotField>
    <pivotField name="Quantity" axis="axisRow" compact="0" numFmtId="164" outline="0" multipleItemSelectionAllowed="1" showAll="0" sortType="ascending">
      <items>
        <item x="1"/>
        <item x="0"/>
        <item t="default"/>
      </items>
    </pivotField>
    <pivotField name="Value" axis="axisRow" compact="0" numFmtId="16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16</v>
      </c>
    </row>
    <row r="3">
      <c r="A3" s="18" t="s">
        <v>15</v>
      </c>
      <c r="B3" s="10">
        <v>46044.0</v>
      </c>
      <c r="C3" s="19" t="s">
        <v>16</v>
      </c>
      <c r="D3" s="19" t="s">
        <v>17</v>
      </c>
      <c r="E3" s="20">
        <v>22.0</v>
      </c>
      <c r="F3" s="21">
        <v>17.92</v>
      </c>
      <c r="G3" s="22">
        <v>600111.59</v>
      </c>
      <c r="H3" s="23"/>
      <c r="I3" s="24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IFERROR(__xludf.DUMMYFUNCTION("""COMPUTED_VALUE"""),46027.0)</f>
        <v>46027</v>
      </c>
      <c r="K3" s="25" t="str">
        <f>IFERROR(__xludf.DUMMYFUNCTION("""COMPUTED_VALUE"""),"Jendol Supermarket, EGBEDA")</f>
        <v>Jendol Supermarket, EGBEDA</v>
      </c>
      <c r="L3" s="25" t="str">
        <f>IFERROR(__xludf.DUMMYFUNCTION("""COMPUTED_VALUE"""),"Sales")</f>
        <v>Sales</v>
      </c>
      <c r="M3" s="2" t="str">
        <f>IFERROR(__xludf.DUMMYFUNCTION("""COMPUTED_VALUE"""),"DT:000018")</f>
        <v>DT:000018</v>
      </c>
      <c r="N3" s="26">
        <f>IFERROR(__xludf.DUMMYFUNCTION("""COMPUTED_VALUE"""),1.0)</f>
        <v>1</v>
      </c>
      <c r="O3" s="27">
        <f>IFERROR(__xludf.DUMMYFUNCTION("""COMPUTED_VALUE"""),33488.37)</f>
        <v>33488.37</v>
      </c>
      <c r="P3" s="9">
        <f t="shared" ref="P3:P72" si="1">sumif(M:M,M3,O:O)</f>
        <v>33488.37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"),"Atun 120g Peppersoup Spice (12x)")</f>
        <v>Atun 120g Peppersoup Spice (12x)</v>
      </c>
      <c r="AP3" s="2">
        <f>IFERROR(__xludf.DUMMYFUNCTION("""COMPUTED_VALUE"""),46044.0)</f>
        <v>46044</v>
      </c>
      <c r="AQ3" s="25" t="str">
        <f>IFERROR(__xludf.DUMMYFUNCTION("""COMPUTED_VALUE"""),"Atun Foods")</f>
        <v>Atun Foods</v>
      </c>
      <c r="AR3" s="25" t="str">
        <f>IFERROR(__xludf.DUMMYFUNCTION("""COMPUTED_VALUE"""),"Inventory Pickup by Dala")</f>
        <v>Inventory Pickup by Dala</v>
      </c>
      <c r="AS3" s="2">
        <f>IFERROR(__xludf.DUMMYFUNCTION("""COMPUTED_VALUE"""),22.0)</f>
        <v>22</v>
      </c>
      <c r="AT3" s="35">
        <f>IFERROR(__xludf.DUMMYFUNCTION("""COMPUTED_VALUE"""),17.92)</f>
        <v>17.92</v>
      </c>
      <c r="AU3" s="28">
        <f>IFERROR(__xludf.DUMMYFUNCTION("""COMPUTED_VALUE"""),600111.59)</f>
        <v>600111.59</v>
      </c>
      <c r="AV3" s="7"/>
      <c r="AW3" s="7"/>
    </row>
    <row r="4">
      <c r="A4" s="18" t="s">
        <v>15</v>
      </c>
      <c r="B4" s="10">
        <v>46027.0</v>
      </c>
      <c r="C4" s="19" t="s">
        <v>18</v>
      </c>
      <c r="D4" s="19" t="s">
        <v>19</v>
      </c>
      <c r="E4" s="20" t="s">
        <v>20</v>
      </c>
      <c r="F4" s="21">
        <v>1.0</v>
      </c>
      <c r="G4" s="22">
        <v>33488.37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IFERROR(__xludf.DUMMYFUNCTION("""COMPUTED_VALUE"""),46030.0)</f>
        <v>46030</v>
      </c>
      <c r="K4" s="25" t="str">
        <f>IFERROR(__xludf.DUMMYFUNCTION("""COMPUTED_VALUE"""),"Renees Supermarket, LEKKI CENTRAL MOSQUE")</f>
        <v>Renees Supermarket, LEKKI CENTRAL MOSQUE</v>
      </c>
      <c r="L4" s="25" t="str">
        <f>IFERROR(__xludf.DUMMYFUNCTION("""COMPUTED_VALUE"""),"Sales")</f>
        <v>Sales</v>
      </c>
      <c r="M4" s="2" t="str">
        <f>IFERROR(__xludf.DUMMYFUNCTION("""COMPUTED_VALUE"""),"DT:000077")</f>
        <v>DT:000077</v>
      </c>
      <c r="N4" s="26">
        <f>IFERROR(__xludf.DUMMYFUNCTION("""COMPUTED_VALUE"""),1.0)</f>
        <v>1</v>
      </c>
      <c r="O4" s="27">
        <f>IFERROR(__xludf.DUMMYFUNCTION("""COMPUTED_VALUE"""),33488.37)</f>
        <v>33488.37</v>
      </c>
      <c r="P4" s="9">
        <f t="shared" si="1"/>
        <v>33488.37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15</v>
      </c>
      <c r="B5" s="10">
        <v>46030.0</v>
      </c>
      <c r="C5" s="19" t="s">
        <v>21</v>
      </c>
      <c r="D5" s="19" t="s">
        <v>19</v>
      </c>
      <c r="E5" s="20" t="s">
        <v>22</v>
      </c>
      <c r="F5" s="21">
        <v>1.0</v>
      </c>
      <c r="G5" s="22">
        <v>33488.37</v>
      </c>
      <c r="H5" s="23"/>
      <c r="I5" s="24" t="str">
        <f>IFERROR(__xludf.DUMMYFUNCTION("""COMPUTED_VALUE"""),"Atun 120g Peppersoup Spice (12x)")</f>
        <v>Atun 120g Peppersoup Spice (12x)</v>
      </c>
      <c r="J5" s="2">
        <f>IFERROR(__xludf.DUMMYFUNCTION("""COMPUTED_VALUE"""),46031.0)</f>
        <v>46031</v>
      </c>
      <c r="K5" s="25" t="str">
        <f>IFERROR(__xludf.DUMMYFUNCTION("""COMPUTED_VALUE"""),"Jendol Supermarket, IPAJA")</f>
        <v>Jendol Supermarket, IPAJA</v>
      </c>
      <c r="L5" s="25" t="str">
        <f>IFERROR(__xludf.DUMMYFUNCTION("""COMPUTED_VALUE"""),"Sales")</f>
        <v>Sales</v>
      </c>
      <c r="M5" s="2" t="str">
        <f>IFERROR(__xludf.DUMMYFUNCTION("""COMPUTED_VALUE"""),"DT:000092")</f>
        <v>DT:000092</v>
      </c>
      <c r="N5" s="26">
        <f>IFERROR(__xludf.DUMMYFUNCTION("""COMPUTED_VALUE"""),0.5)</f>
        <v>0.5</v>
      </c>
      <c r="O5" s="27">
        <f>IFERROR(__xludf.DUMMYFUNCTION("""COMPUTED_VALUE"""),16744.19)</f>
        <v>16744.19</v>
      </c>
      <c r="P5" s="9">
        <f t="shared" si="1"/>
        <v>16744.19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15</v>
      </c>
      <c r="B6" s="10">
        <v>46031.0</v>
      </c>
      <c r="C6" s="19" t="s">
        <v>23</v>
      </c>
      <c r="D6" s="19" t="s">
        <v>19</v>
      </c>
      <c r="E6" s="20" t="s">
        <v>24</v>
      </c>
      <c r="F6" s="21">
        <v>0.5</v>
      </c>
      <c r="G6" s="22">
        <v>16744.19</v>
      </c>
      <c r="H6" s="31"/>
      <c r="I6" s="24" t="str">
        <f>IFERROR(__xludf.DUMMYFUNCTION("""COMPUTED_VALUE"""),"Atun 120g Peppersoup Spice (12x)")</f>
        <v>Atun 120g Peppersoup Spice (12x)</v>
      </c>
      <c r="J6" s="2">
        <f>IFERROR(__xludf.DUMMYFUNCTION("""COMPUTED_VALUE"""),46032.0)</f>
        <v>46032</v>
      </c>
      <c r="K6" s="25" t="str">
        <f>IFERROR(__xludf.DUMMYFUNCTION("""COMPUTED_VALUE"""),"Am to Pm Supermarket, Martins Rd.")</f>
        <v>Am to Pm Supermarket, Martins Rd.</v>
      </c>
      <c r="L6" s="25" t="str">
        <f>IFERROR(__xludf.DUMMYFUNCTION("""COMPUTED_VALUE"""),"Sales")</f>
        <v>Sales</v>
      </c>
      <c r="M6" s="2" t="str">
        <f>IFERROR(__xludf.DUMMYFUNCTION("""COMPUTED_VALUE"""),"DT:000104")</f>
        <v>DT:000104</v>
      </c>
      <c r="N6" s="26">
        <f>IFERROR(__xludf.DUMMYFUNCTION("""COMPUTED_VALUE"""),1.0)</f>
        <v>1</v>
      </c>
      <c r="O6" s="27">
        <f>IFERROR(__xludf.DUMMYFUNCTION("""COMPUTED_VALUE"""),33488.37)</f>
        <v>33488.37</v>
      </c>
      <c r="P6" s="9">
        <f t="shared" si="1"/>
        <v>61395.35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15</v>
      </c>
      <c r="B7" s="10">
        <v>46032.0</v>
      </c>
      <c r="C7" s="19" t="s">
        <v>25</v>
      </c>
      <c r="D7" s="19" t="s">
        <v>19</v>
      </c>
      <c r="E7" s="20" t="s">
        <v>26</v>
      </c>
      <c r="F7" s="21">
        <v>1.0</v>
      </c>
      <c r="G7" s="22">
        <v>33488.37</v>
      </c>
      <c r="H7" s="7"/>
      <c r="I7" s="24" t="str">
        <f>IFERROR(__xludf.DUMMYFUNCTION("""COMPUTED_VALUE"""),"Atun 120g Peppersoup Spice (12x)")</f>
        <v>Atun 120g Peppersoup Spice (12x)</v>
      </c>
      <c r="J7" s="2">
        <f>IFERROR(__xludf.DUMMYFUNCTION("""COMPUTED_VALUE"""),46032.0)</f>
        <v>46032</v>
      </c>
      <c r="K7" s="25" t="str">
        <f>IFERROR(__xludf.DUMMYFUNCTION("""COMPUTED_VALUE"""),"Jendol Supermarket, IBAFO")</f>
        <v>Jendol Supermarket, IBAFO</v>
      </c>
      <c r="L7" s="25" t="str">
        <f>IFERROR(__xludf.DUMMYFUNCTION("""COMPUTED_VALUE"""),"Sales")</f>
        <v>Sales</v>
      </c>
      <c r="M7" s="2" t="str">
        <f>IFERROR(__xludf.DUMMYFUNCTION("""COMPUTED_VALUE"""),"DT:000115")</f>
        <v>DT:000115</v>
      </c>
      <c r="N7" s="26">
        <f>IFERROR(__xludf.DUMMYFUNCTION("""COMPUTED_VALUE"""),2.0)</f>
        <v>2</v>
      </c>
      <c r="O7" s="27">
        <f>IFERROR(__xludf.DUMMYFUNCTION("""COMPUTED_VALUE"""),66976.74)</f>
        <v>66976.74</v>
      </c>
      <c r="P7" s="9">
        <f t="shared" si="1"/>
        <v>66976.74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 t="s">
        <v>15</v>
      </c>
      <c r="B8" s="10">
        <v>46032.0</v>
      </c>
      <c r="C8" s="19" t="s">
        <v>27</v>
      </c>
      <c r="D8" s="19" t="s">
        <v>19</v>
      </c>
      <c r="E8" s="20" t="s">
        <v>28</v>
      </c>
      <c r="F8" s="21">
        <v>2.0</v>
      </c>
      <c r="G8" s="22">
        <v>66976.74</v>
      </c>
      <c r="H8" s="7"/>
      <c r="I8" s="24" t="str">
        <f>IFERROR(__xludf.DUMMYFUNCTION("""COMPUTED_VALUE"""),"Atun 120g Peppersoup Spice (12x)")</f>
        <v>Atun 120g Peppersoup Spice (12x)</v>
      </c>
      <c r="J8" s="2">
        <f>IFERROR(__xludf.DUMMYFUNCTION("""COMPUTED_VALUE"""),46035.0)</f>
        <v>46035</v>
      </c>
      <c r="K8" s="25" t="str">
        <f>IFERROR(__xludf.DUMMYFUNCTION("""COMPUTED_VALUE"""),"Jendol Supermarket, AJAH")</f>
        <v>Jendol Supermarket, AJAH</v>
      </c>
      <c r="L8" s="25" t="str">
        <f>IFERROR(__xludf.DUMMYFUNCTION("""COMPUTED_VALUE"""),"Sales")</f>
        <v>Sales</v>
      </c>
      <c r="M8" s="2" t="str">
        <f>IFERROR(__xludf.DUMMYFUNCTION("""COMPUTED_VALUE"""),"DT:000130")</f>
        <v>DT:000130</v>
      </c>
      <c r="N8" s="26">
        <f>IFERROR(__xludf.DUMMYFUNCTION("""COMPUTED_VALUE"""),1.0)</f>
        <v>1</v>
      </c>
      <c r="O8" s="27">
        <f>IFERROR(__xludf.DUMMYFUNCTION("""COMPUTED_VALUE"""),33488.37)</f>
        <v>33488.37</v>
      </c>
      <c r="P8" s="9">
        <f t="shared" si="1"/>
        <v>33488.37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 t="s">
        <v>15</v>
      </c>
      <c r="B9" s="10">
        <v>46035.0</v>
      </c>
      <c r="C9" s="19" t="s">
        <v>29</v>
      </c>
      <c r="D9" s="19" t="s">
        <v>19</v>
      </c>
      <c r="E9" s="20" t="s">
        <v>30</v>
      </c>
      <c r="F9" s="21">
        <v>1.0</v>
      </c>
      <c r="G9" s="22">
        <v>33488.37</v>
      </c>
      <c r="H9" s="7"/>
      <c r="I9" s="24" t="str">
        <f>IFERROR(__xludf.DUMMYFUNCTION("""COMPUTED_VALUE"""),"Atun 120g Peppersoup Spice (12x)")</f>
        <v>Atun 120g Peppersoup Spice (12x)</v>
      </c>
      <c r="J9" s="2">
        <f>IFERROR(__xludf.DUMMYFUNCTION("""COMPUTED_VALUE"""),46035.0)</f>
        <v>46035</v>
      </c>
      <c r="K9" s="25" t="str">
        <f>IFERROR(__xludf.DUMMYFUNCTION("""COMPUTED_VALUE"""),"Skymart Supermarket, SANGOTEDO")</f>
        <v>Skymart Supermarket, SANGOTEDO</v>
      </c>
      <c r="L9" s="25" t="str">
        <f>IFERROR(__xludf.DUMMYFUNCTION("""COMPUTED_VALUE"""),"Sales")</f>
        <v>Sales</v>
      </c>
      <c r="M9" s="2" t="str">
        <f>IFERROR(__xludf.DUMMYFUNCTION("""COMPUTED_VALUE"""),"DT:000133")</f>
        <v>DT:000133</v>
      </c>
      <c r="N9" s="26">
        <f>IFERROR(__xludf.DUMMYFUNCTION("""COMPUTED_VALUE"""),1.0)</f>
        <v>1</v>
      </c>
      <c r="O9" s="27">
        <f>IFERROR(__xludf.DUMMYFUNCTION("""COMPUTED_VALUE"""),33488.37)</f>
        <v>33488.37</v>
      </c>
      <c r="P9" s="9">
        <f t="shared" si="1"/>
        <v>61395.35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 t="s">
        <v>15</v>
      </c>
      <c r="B10" s="10">
        <v>46035.0</v>
      </c>
      <c r="C10" s="19" t="s">
        <v>31</v>
      </c>
      <c r="D10" s="19" t="s">
        <v>19</v>
      </c>
      <c r="E10" s="20" t="s">
        <v>32</v>
      </c>
      <c r="F10" s="21">
        <v>1.0</v>
      </c>
      <c r="G10" s="22">
        <v>33488.37</v>
      </c>
      <c r="H10" s="7"/>
      <c r="I10" s="24" t="str">
        <f>IFERROR(__xludf.DUMMYFUNCTION("""COMPUTED_VALUE"""),"Atun 120g Peppersoup Spice (12x)")</f>
        <v>Atun 120g Peppersoup Spice (12x)</v>
      </c>
      <c r="J10" s="2">
        <f>IFERROR(__xludf.DUMMYFUNCTION("""COMPUTED_VALUE"""),46036.0)</f>
        <v>46036</v>
      </c>
      <c r="K10" s="25" t="str">
        <f>IFERROR(__xludf.DUMMYFUNCTION("""COMPUTED_VALUE"""),"Jendol Supermarket, IJEDE")</f>
        <v>Jendol Supermarket, IJEDE</v>
      </c>
      <c r="L10" s="25" t="str">
        <f>IFERROR(__xludf.DUMMYFUNCTION("""COMPUTED_VALUE"""),"Sales")</f>
        <v>Sales</v>
      </c>
      <c r="M10" s="2" t="str">
        <f>IFERROR(__xludf.DUMMYFUNCTION("""COMPUTED_VALUE"""),"DT:000162")</f>
        <v>DT:000162</v>
      </c>
      <c r="N10" s="26">
        <f>IFERROR(__xludf.DUMMYFUNCTION("""COMPUTED_VALUE"""),1.0)</f>
        <v>1</v>
      </c>
      <c r="O10" s="27">
        <f>IFERROR(__xludf.DUMMYFUNCTION("""COMPUTED_VALUE"""),33488.37)</f>
        <v>33488.37</v>
      </c>
      <c r="P10" s="9">
        <f t="shared" si="1"/>
        <v>33488.37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 t="s">
        <v>15</v>
      </c>
      <c r="B11" s="10">
        <v>46036.0</v>
      </c>
      <c r="C11" s="19" t="s">
        <v>33</v>
      </c>
      <c r="D11" s="19" t="s">
        <v>19</v>
      </c>
      <c r="E11" s="20" t="s">
        <v>34</v>
      </c>
      <c r="F11" s="21">
        <v>1.0</v>
      </c>
      <c r="G11" s="22">
        <v>33488.37</v>
      </c>
      <c r="H11" s="7"/>
      <c r="I11" s="24" t="str">
        <f>IFERROR(__xludf.DUMMYFUNCTION("""COMPUTED_VALUE"""),"Atun 120g Peppersoup Spice (12x)")</f>
        <v>Atun 120g Peppersoup Spice (12x)</v>
      </c>
      <c r="J11" s="2">
        <f>IFERROR(__xludf.DUMMYFUNCTION("""COMPUTED_VALUE"""),46036.0)</f>
        <v>46036</v>
      </c>
      <c r="K11" s="25" t="str">
        <f>IFERROR(__xludf.DUMMYFUNCTION("""COMPUTED_VALUE"""),"Jendol supermarket, OJUORE")</f>
        <v>Jendol supermarket, OJUORE</v>
      </c>
      <c r="L11" s="25" t="str">
        <f>IFERROR(__xludf.DUMMYFUNCTION("""COMPUTED_VALUE"""),"Sales")</f>
        <v>Sales</v>
      </c>
      <c r="M11" s="2" t="str">
        <f>IFERROR(__xludf.DUMMYFUNCTION("""COMPUTED_VALUE"""),"DT:000166")</f>
        <v>DT:000166</v>
      </c>
      <c r="N11" s="26">
        <f>IFERROR(__xludf.DUMMYFUNCTION("""COMPUTED_VALUE"""),0.5)</f>
        <v>0.5</v>
      </c>
      <c r="O11" s="27">
        <f>IFERROR(__xludf.DUMMYFUNCTION("""COMPUTED_VALUE"""),16744.19)</f>
        <v>16744.19</v>
      </c>
      <c r="P11" s="9">
        <f t="shared" si="1"/>
        <v>16744.19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18" t="s">
        <v>15</v>
      </c>
      <c r="B12" s="10">
        <v>46036.0</v>
      </c>
      <c r="C12" s="19" t="s">
        <v>35</v>
      </c>
      <c r="D12" s="19" t="s">
        <v>19</v>
      </c>
      <c r="E12" s="20" t="s">
        <v>36</v>
      </c>
      <c r="F12" s="21">
        <v>0.5</v>
      </c>
      <c r="G12" s="22">
        <v>16744.19</v>
      </c>
      <c r="H12" s="7"/>
      <c r="I12" s="24" t="str">
        <f>IFERROR(__xludf.DUMMYFUNCTION("""COMPUTED_VALUE"""),"Atun 120g Peppersoup Spice (12x)")</f>
        <v>Atun 120g Peppersoup Spice (12x)</v>
      </c>
      <c r="J12" s="2">
        <f>IFERROR(__xludf.DUMMYFUNCTION("""COMPUTED_VALUE"""),46038.0)</f>
        <v>46038</v>
      </c>
      <c r="K12" s="25" t="str">
        <f>IFERROR(__xludf.DUMMYFUNCTION("""COMPUTED_VALUE"""),"Jendol Supermarket, ISHERI (Rg.11)")</f>
        <v>Jendol Supermarket, ISHERI (Rg.11)</v>
      </c>
      <c r="L12" s="25" t="str">
        <f>IFERROR(__xludf.DUMMYFUNCTION("""COMPUTED_VALUE"""),"Sales")</f>
        <v>Sales</v>
      </c>
      <c r="M12" s="2" t="str">
        <f>IFERROR(__xludf.DUMMYFUNCTION("""COMPUTED_VALUE"""),"DT:000207")</f>
        <v>DT:000207</v>
      </c>
      <c r="N12" s="26">
        <f>IFERROR(__xludf.DUMMYFUNCTION("""COMPUTED_VALUE"""),1.0)</f>
        <v>1</v>
      </c>
      <c r="O12" s="27">
        <f>IFERROR(__xludf.DUMMYFUNCTION("""COMPUTED_VALUE"""),33488.37)</f>
        <v>33488.37</v>
      </c>
      <c r="P12" s="9">
        <f t="shared" si="1"/>
        <v>33488.37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18" t="s">
        <v>15</v>
      </c>
      <c r="B13" s="10">
        <v>46038.0</v>
      </c>
      <c r="C13" s="19" t="s">
        <v>37</v>
      </c>
      <c r="D13" s="19" t="s">
        <v>19</v>
      </c>
      <c r="E13" s="20" t="s">
        <v>38</v>
      </c>
      <c r="F13" s="21">
        <v>1.0</v>
      </c>
      <c r="G13" s="22">
        <v>33488.37</v>
      </c>
      <c r="H13" s="7"/>
      <c r="I13" s="24" t="str">
        <f>IFERROR(__xludf.DUMMYFUNCTION("""COMPUTED_VALUE"""),"Atun 120g Peppersoup Spice (12x)")</f>
        <v>Atun 120g Peppersoup Spice (12x)</v>
      </c>
      <c r="J13" s="2">
        <f>IFERROR(__xludf.DUMMYFUNCTION("""COMPUTED_VALUE"""),46038.0)</f>
        <v>46038</v>
      </c>
      <c r="K13" s="25" t="str">
        <f>IFERROR(__xludf.DUMMYFUNCTION("""COMPUTED_VALUE"""),"Jendol Supermarket, IPAJA")</f>
        <v>Jendol Supermarket, IPAJA</v>
      </c>
      <c r="L13" s="25" t="str">
        <f>IFERROR(__xludf.DUMMYFUNCTION("""COMPUTED_VALUE"""),"Sales")</f>
        <v>Sales</v>
      </c>
      <c r="M13" s="2" t="str">
        <f>IFERROR(__xludf.DUMMYFUNCTION("""COMPUTED_VALUE"""),"DT:000217")</f>
        <v>DT:000217</v>
      </c>
      <c r="N13" s="26">
        <f>IFERROR(__xludf.DUMMYFUNCTION("""COMPUTED_VALUE"""),1.0)</f>
        <v>1</v>
      </c>
      <c r="O13" s="27">
        <f>IFERROR(__xludf.DUMMYFUNCTION("""COMPUTED_VALUE"""),33488.37)</f>
        <v>33488.37</v>
      </c>
      <c r="P13" s="9">
        <f t="shared" si="1"/>
        <v>33488.37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18" t="s">
        <v>15</v>
      </c>
      <c r="B14" s="10">
        <v>46038.0</v>
      </c>
      <c r="C14" s="19" t="s">
        <v>23</v>
      </c>
      <c r="D14" s="19" t="s">
        <v>19</v>
      </c>
      <c r="E14" s="20" t="s">
        <v>39</v>
      </c>
      <c r="F14" s="21">
        <v>1.0</v>
      </c>
      <c r="G14" s="22">
        <v>33488.37</v>
      </c>
      <c r="H14" s="7"/>
      <c r="I14" s="24" t="str">
        <f>IFERROR(__xludf.DUMMYFUNCTION("""COMPUTED_VALUE"""),"Atun 120g Peppersoup Spice (12x)")</f>
        <v>Atun 120g Peppersoup Spice (12x)</v>
      </c>
      <c r="J14" s="2">
        <f>IFERROR(__xludf.DUMMYFUNCTION("""COMPUTED_VALUE"""),46042.0)</f>
        <v>46042</v>
      </c>
      <c r="K14" s="25" t="str">
        <f>IFERROR(__xludf.DUMMYFUNCTION("""COMPUTED_VALUE"""),"Double Sam Supermarket, 22 IKD AWOLOWO ROAD")</f>
        <v>Double Sam Supermarket, 22 IKD AWOLOWO ROAD</v>
      </c>
      <c r="L14" s="25" t="str">
        <f>IFERROR(__xludf.DUMMYFUNCTION("""COMPUTED_VALUE"""),"Sales")</f>
        <v>Sales</v>
      </c>
      <c r="M14" s="2" t="str">
        <f>IFERROR(__xludf.DUMMYFUNCTION("""COMPUTED_VALUE"""),"DT:000279")</f>
        <v>DT:000279</v>
      </c>
      <c r="N14" s="21">
        <f>IFERROR(__xludf.DUMMYFUNCTION("""COMPUTED_VALUE"""),0.5)</f>
        <v>0.5</v>
      </c>
      <c r="O14" s="22">
        <f>IFERROR(__xludf.DUMMYFUNCTION("""COMPUTED_VALUE"""),18000.0)</f>
        <v>18000</v>
      </c>
      <c r="P14" s="9">
        <f t="shared" si="1"/>
        <v>18000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18" t="s">
        <v>15</v>
      </c>
      <c r="B15" s="10">
        <v>46042.0</v>
      </c>
      <c r="C15" s="19" t="s">
        <v>40</v>
      </c>
      <c r="D15" s="19" t="s">
        <v>19</v>
      </c>
      <c r="E15" s="20" t="s">
        <v>41</v>
      </c>
      <c r="F15" s="21">
        <v>0.5</v>
      </c>
      <c r="G15" s="22">
        <v>18000.0</v>
      </c>
      <c r="H15" s="7"/>
      <c r="I15" s="24" t="str">
        <f>IFERROR(__xludf.DUMMYFUNCTION("""COMPUTED_VALUE"""),"Atun 120g Peppersoup Spice (12x)")</f>
        <v>Atun 120g Peppersoup Spice (12x)</v>
      </c>
      <c r="J15" s="2">
        <f>IFERROR(__xludf.DUMMYFUNCTION("""COMPUTED_VALUE"""),46046.0)</f>
        <v>46046</v>
      </c>
      <c r="K15" s="25" t="str">
        <f>IFERROR(__xludf.DUMMYFUNCTION("""COMPUTED_VALUE"""),"Jendol Supermarket, ONIBUKUN")</f>
        <v>Jendol Supermarket, ONIBUKUN</v>
      </c>
      <c r="L15" s="25" t="str">
        <f>IFERROR(__xludf.DUMMYFUNCTION("""COMPUTED_VALUE"""),"Sales")</f>
        <v>Sales</v>
      </c>
      <c r="M15" s="2" t="str">
        <f>IFERROR(__xludf.DUMMYFUNCTION("""COMPUTED_VALUE"""),"DT:000374")</f>
        <v>DT:000374</v>
      </c>
      <c r="N15" s="26">
        <f>IFERROR(__xludf.DUMMYFUNCTION("""COMPUTED_VALUE"""),0.5)</f>
        <v>0.5</v>
      </c>
      <c r="O15" s="27">
        <f>IFERROR(__xludf.DUMMYFUNCTION("""COMPUTED_VALUE"""),16744.19)</f>
        <v>16744.19</v>
      </c>
      <c r="P15" s="9">
        <f t="shared" si="1"/>
        <v>16744.19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18" t="s">
        <v>15</v>
      </c>
      <c r="B16" s="10">
        <v>46046.0</v>
      </c>
      <c r="C16" s="19" t="s">
        <v>42</v>
      </c>
      <c r="D16" s="19" t="s">
        <v>19</v>
      </c>
      <c r="E16" s="20" t="s">
        <v>43</v>
      </c>
      <c r="F16" s="21">
        <v>0.5</v>
      </c>
      <c r="G16" s="22">
        <v>16744.19</v>
      </c>
      <c r="H16" s="7"/>
      <c r="I16" s="24" t="str">
        <f>IFERROR(__xludf.DUMMYFUNCTION("""COMPUTED_VALUE"""),"Atun 120g Peppersoup Spice (12x)")</f>
        <v>Atun 120g Peppersoup Spice (12x)</v>
      </c>
      <c r="J16" s="2">
        <f>IFERROR(__xludf.DUMMYFUNCTION("""COMPUTED_VALUE"""),46051.0)</f>
        <v>46051</v>
      </c>
      <c r="K16" s="25" t="str">
        <f>IFERROR(__xludf.DUMMYFUNCTION("""COMPUTED_VALUE"""),"Jendol Supermarket, ALAKUKO")</f>
        <v>Jendol Supermarket, ALAKUKO</v>
      </c>
      <c r="L16" s="25" t="str">
        <f>IFERROR(__xludf.DUMMYFUNCTION("""COMPUTED_VALUE"""),"Sales")</f>
        <v>Sales</v>
      </c>
      <c r="M16" s="2" t="str">
        <f>IFERROR(__xludf.DUMMYFUNCTION("""COMPUTED_VALUE"""),"DT:000509")</f>
        <v>DT:000509</v>
      </c>
      <c r="N16" s="26">
        <f>IFERROR(__xludf.DUMMYFUNCTION("""COMPUTED_VALUE"""),1.0)</f>
        <v>1</v>
      </c>
      <c r="O16" s="27">
        <f>IFERROR(__xludf.DUMMYFUNCTION("""COMPUTED_VALUE"""),33488.37)</f>
        <v>33488.37</v>
      </c>
      <c r="P16" s="9">
        <f t="shared" si="1"/>
        <v>33488.37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18" t="s">
        <v>15</v>
      </c>
      <c r="B17" s="10">
        <v>46051.0</v>
      </c>
      <c r="C17" s="19" t="s">
        <v>44</v>
      </c>
      <c r="D17" s="19" t="s">
        <v>19</v>
      </c>
      <c r="E17" s="20" t="s">
        <v>45</v>
      </c>
      <c r="F17" s="21">
        <v>1.0</v>
      </c>
      <c r="G17" s="22">
        <v>33488.37</v>
      </c>
      <c r="H17" s="7"/>
      <c r="I17" s="24" t="str">
        <f>IFERROR(__xludf.DUMMYFUNCTION("""COMPUTED_VALUE"""),"Atun 120g Peppersoup Spice (12x)")</f>
        <v>Atun 120g Peppersoup Spice (12x)</v>
      </c>
      <c r="J17" s="2">
        <f>IFERROR(__xludf.DUMMYFUNCTION("""COMPUTED_VALUE"""),46052.0)</f>
        <v>46052</v>
      </c>
      <c r="K17" s="25" t="str">
        <f>IFERROR(__xludf.DUMMYFUNCTION("""COMPUTED_VALUE"""),"Jendol Supermarket, OJODU")</f>
        <v>Jendol Supermarket, OJODU</v>
      </c>
      <c r="L17" s="25" t="str">
        <f>IFERROR(__xludf.DUMMYFUNCTION("""COMPUTED_VALUE"""),"Sales")</f>
        <v>Sales</v>
      </c>
      <c r="M17" s="2" t="str">
        <f>IFERROR(__xludf.DUMMYFUNCTION("""COMPUTED_VALUE"""),"DT:000536")</f>
        <v>DT:000536</v>
      </c>
      <c r="N17" s="26">
        <f>IFERROR(__xludf.DUMMYFUNCTION("""COMPUTED_VALUE"""),1.0)</f>
        <v>1</v>
      </c>
      <c r="O17" s="27">
        <f>IFERROR(__xludf.DUMMYFUNCTION("""COMPUTED_VALUE"""),33488.37)</f>
        <v>33488.37</v>
      </c>
      <c r="P17" s="9">
        <f t="shared" si="1"/>
        <v>33488.37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18" t="s">
        <v>15</v>
      </c>
      <c r="B18" s="10">
        <v>46052.0</v>
      </c>
      <c r="C18" s="19" t="s">
        <v>46</v>
      </c>
      <c r="D18" s="19" t="s">
        <v>19</v>
      </c>
      <c r="E18" s="20" t="s">
        <v>47</v>
      </c>
      <c r="F18" s="21">
        <v>1.0</v>
      </c>
      <c r="G18" s="22">
        <v>33488.37</v>
      </c>
      <c r="H18" s="7"/>
      <c r="I18" s="24" t="str">
        <f>IFERROR(__xludf.DUMMYFUNCTION("""COMPUTED_VALUE"""),"Atun 1.5litre Palm Oil (6x)")</f>
        <v>Atun 1.5litre Palm Oil (6x)</v>
      </c>
      <c r="J18" s="2">
        <f>IFERROR(__xludf.DUMMYFUNCTION("""COMPUTED_VALUE"""),46032.0)</f>
        <v>46032</v>
      </c>
      <c r="K18" s="25" t="str">
        <f>IFERROR(__xludf.DUMMYFUNCTION("""COMPUTED_VALUE"""),"Am to Pm Supermarket, Martins Rd.")</f>
        <v>Am to Pm Supermarket, Martins Rd.</v>
      </c>
      <c r="L18" s="25" t="str">
        <f>IFERROR(__xludf.DUMMYFUNCTION("""COMPUTED_VALUE"""),"Sales")</f>
        <v>Sales</v>
      </c>
      <c r="M18" s="2" t="str">
        <f>IFERROR(__xludf.DUMMYFUNCTION("""COMPUTED_VALUE"""),"DT:000104")</f>
        <v>DT:000104</v>
      </c>
      <c r="N18" s="26">
        <f>IFERROR(__xludf.DUMMYFUNCTION("""COMPUTED_VALUE"""),1.0)</f>
        <v>1</v>
      </c>
      <c r="O18" s="27">
        <f>IFERROR(__xludf.DUMMYFUNCTION("""COMPUTED_VALUE"""),27906.98)</f>
        <v>27906.98</v>
      </c>
      <c r="P18" s="9">
        <f t="shared" si="1"/>
        <v>61395.35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18" t="s">
        <v>48</v>
      </c>
      <c r="B19" s="10">
        <v>46032.0</v>
      </c>
      <c r="C19" s="19" t="s">
        <v>25</v>
      </c>
      <c r="D19" s="19" t="s">
        <v>19</v>
      </c>
      <c r="E19" s="20" t="s">
        <v>26</v>
      </c>
      <c r="F19" s="21">
        <v>1.0</v>
      </c>
      <c r="G19" s="22">
        <v>27906.98</v>
      </c>
      <c r="H19" s="7"/>
      <c r="I19" s="24" t="str">
        <f>IFERROR(__xludf.DUMMYFUNCTION("""COMPUTED_VALUE"""),"Atun 1.5litre Palm Oil (6x)")</f>
        <v>Atun 1.5litre Palm Oil (6x)</v>
      </c>
      <c r="J19" s="2">
        <f>IFERROR(__xludf.DUMMYFUNCTION("""COMPUTED_VALUE"""),46035.0)</f>
        <v>46035</v>
      </c>
      <c r="K19" s="25" t="str">
        <f>IFERROR(__xludf.DUMMYFUNCTION("""COMPUTED_VALUE"""),"Skymart Supermarket, SANGOTEDO")</f>
        <v>Skymart Supermarket, SANGOTEDO</v>
      </c>
      <c r="L19" s="25" t="str">
        <f>IFERROR(__xludf.DUMMYFUNCTION("""COMPUTED_VALUE"""),"Sales")</f>
        <v>Sales</v>
      </c>
      <c r="M19" s="2" t="str">
        <f>IFERROR(__xludf.DUMMYFUNCTION("""COMPUTED_VALUE"""),"DT:000133")</f>
        <v>DT:000133</v>
      </c>
      <c r="N19" s="26">
        <f>IFERROR(__xludf.DUMMYFUNCTION("""COMPUTED_VALUE"""),1.0)</f>
        <v>1</v>
      </c>
      <c r="O19" s="27">
        <f>IFERROR(__xludf.DUMMYFUNCTION("""COMPUTED_VALUE"""),27906.98)</f>
        <v>27906.98</v>
      </c>
      <c r="P19" s="9">
        <f t="shared" si="1"/>
        <v>61395.35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18" t="s">
        <v>48</v>
      </c>
      <c r="B20" s="10">
        <v>46035.0</v>
      </c>
      <c r="C20" s="19" t="s">
        <v>31</v>
      </c>
      <c r="D20" s="19" t="s">
        <v>19</v>
      </c>
      <c r="E20" s="20" t="s">
        <v>32</v>
      </c>
      <c r="F20" s="21">
        <v>1.0</v>
      </c>
      <c r="G20" s="22">
        <v>27906.98</v>
      </c>
      <c r="H20" s="7"/>
      <c r="I20" s="24" t="str">
        <f>IFERROR(__xludf.DUMMYFUNCTION("""COMPUTED_VALUE"""),"Atun 1.5litre Palm Oil (6x)")</f>
        <v>Atun 1.5litre Palm Oil (6x)</v>
      </c>
      <c r="J20" s="2">
        <f>IFERROR(__xludf.DUMMYFUNCTION("""COMPUTED_VALUE"""),46038.0)</f>
        <v>46038</v>
      </c>
      <c r="K20" s="25" t="str">
        <f>IFERROR(__xludf.DUMMYFUNCTION("""COMPUTED_VALUE"""),"Prestige Superstore, IPAJA")</f>
        <v>Prestige Superstore, IPAJA</v>
      </c>
      <c r="L20" s="25" t="str">
        <f>IFERROR(__xludf.DUMMYFUNCTION("""COMPUTED_VALUE"""),"Sales")</f>
        <v>Sales</v>
      </c>
      <c r="M20" s="2" t="str">
        <f>IFERROR(__xludf.DUMMYFUNCTION("""COMPUTED_VALUE"""),"DT:000224")</f>
        <v>DT:000224</v>
      </c>
      <c r="N20" s="26">
        <f>IFERROR(__xludf.DUMMYFUNCTION("""COMPUTED_VALUE"""),1.0)</f>
        <v>1</v>
      </c>
      <c r="O20" s="27">
        <f>IFERROR(__xludf.DUMMYFUNCTION("""COMPUTED_VALUE"""),27906.98)</f>
        <v>27906.98</v>
      </c>
      <c r="P20" s="9">
        <f t="shared" si="1"/>
        <v>27906.98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18" t="s">
        <v>48</v>
      </c>
      <c r="B21" s="10">
        <v>46038.0</v>
      </c>
      <c r="C21" s="19" t="s">
        <v>49</v>
      </c>
      <c r="D21" s="19" t="s">
        <v>19</v>
      </c>
      <c r="E21" s="20" t="s">
        <v>50</v>
      </c>
      <c r="F21" s="21">
        <v>1.0</v>
      </c>
      <c r="G21" s="22">
        <v>27906.98</v>
      </c>
      <c r="H21" s="7"/>
      <c r="I21" s="24" t="str">
        <f>IFERROR(__xludf.DUMMYFUNCTION("""COMPUTED_VALUE"""),"Atun 1.5litre Palm Oil (6x)")</f>
        <v>Atun 1.5litre Palm Oil (6x)</v>
      </c>
      <c r="J21" s="2">
        <f>IFERROR(__xludf.DUMMYFUNCTION("""COMPUTED_VALUE"""),46039.0)</f>
        <v>46039</v>
      </c>
      <c r="K21" s="25" t="str">
        <f>IFERROR(__xludf.DUMMYFUNCTION("""COMPUTED_VALUE"""),"Excel Plus Supermarket, Orchid Rd.")</f>
        <v>Excel Plus Supermarket, Orchid Rd.</v>
      </c>
      <c r="L21" s="25" t="str">
        <f>IFERROR(__xludf.DUMMYFUNCTION("""COMPUTED_VALUE"""),"Sales")</f>
        <v>Sales</v>
      </c>
      <c r="M21" s="2" t="str">
        <f>IFERROR(__xludf.DUMMYFUNCTION("""COMPUTED_VALUE"""),"DT:000234")</f>
        <v>DT:000234</v>
      </c>
      <c r="N21" s="26">
        <f>IFERROR(__xludf.DUMMYFUNCTION("""COMPUTED_VALUE"""),1.0)</f>
        <v>1</v>
      </c>
      <c r="O21" s="27">
        <f>IFERROR(__xludf.DUMMYFUNCTION("""COMPUTED_VALUE"""),27906.98)</f>
        <v>27906.98</v>
      </c>
      <c r="P21" s="9">
        <f t="shared" si="1"/>
        <v>50232.56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18" t="s">
        <v>48</v>
      </c>
      <c r="B22" s="10">
        <v>46039.0</v>
      </c>
      <c r="C22" s="19" t="s">
        <v>51</v>
      </c>
      <c r="D22" s="19" t="s">
        <v>19</v>
      </c>
      <c r="E22" s="20" t="s">
        <v>52</v>
      </c>
      <c r="F22" s="21">
        <v>1.0</v>
      </c>
      <c r="G22" s="22">
        <v>27906.98</v>
      </c>
      <c r="H22" s="7"/>
      <c r="I22" s="24" t="str">
        <f>IFERROR(__xludf.DUMMYFUNCTION("""COMPUTED_VALUE"""),"Atun 3kg Yellow Garri (4x)")</f>
        <v>Atun 3kg Yellow Garri (4x)</v>
      </c>
      <c r="J22" s="2">
        <f>IFERROR(__xludf.DUMMYFUNCTION("""COMPUTED_VALUE"""),46039.0)</f>
        <v>46039</v>
      </c>
      <c r="K22" s="25" t="str">
        <f>IFERROR(__xludf.DUMMYFUNCTION("""COMPUTED_VALUE"""),"Excel Plus Supermarket, Orchid Rd.")</f>
        <v>Excel Plus Supermarket, Orchid Rd.</v>
      </c>
      <c r="L22" s="25" t="str">
        <f>IFERROR(__xludf.DUMMYFUNCTION("""COMPUTED_VALUE"""),"Sales")</f>
        <v>Sales</v>
      </c>
      <c r="M22" s="2" t="str">
        <f>IFERROR(__xludf.DUMMYFUNCTION("""COMPUTED_VALUE"""),"DT:000234")</f>
        <v>DT:000234</v>
      </c>
      <c r="N22" s="26">
        <f>IFERROR(__xludf.DUMMYFUNCTION("""COMPUTED_VALUE"""),1.0)</f>
        <v>1</v>
      </c>
      <c r="O22" s="27">
        <f>IFERROR(__xludf.DUMMYFUNCTION("""COMPUTED_VALUE"""),22325.58)</f>
        <v>22325.58</v>
      </c>
      <c r="P22" s="9">
        <f t="shared" si="1"/>
        <v>50232.56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18" t="s">
        <v>53</v>
      </c>
      <c r="B23" s="10">
        <v>46039.0</v>
      </c>
      <c r="C23" s="19" t="s">
        <v>51</v>
      </c>
      <c r="D23" s="19" t="s">
        <v>19</v>
      </c>
      <c r="E23" s="20" t="s">
        <v>52</v>
      </c>
      <c r="F23" s="21">
        <v>1.0</v>
      </c>
      <c r="G23" s="22">
        <v>22325.58</v>
      </c>
      <c r="H23" s="7"/>
      <c r="I23" s="24"/>
      <c r="J23" s="2"/>
      <c r="K23" s="25"/>
      <c r="L23" s="25"/>
      <c r="M23" s="2"/>
      <c r="N23" s="26"/>
      <c r="O23" s="27"/>
      <c r="P23" s="9">
        <f t="shared" si="1"/>
        <v>0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2"/>
      <c r="B24" s="2"/>
      <c r="C24" s="25"/>
      <c r="D24" s="25"/>
      <c r="E24" s="2"/>
      <c r="F24" s="26"/>
      <c r="G24" s="27"/>
      <c r="H24" s="7"/>
      <c r="I24" s="24"/>
      <c r="J24" s="2"/>
      <c r="K24" s="25"/>
      <c r="L24" s="25"/>
      <c r="M24" s="2"/>
      <c r="N24" s="26"/>
      <c r="O24" s="27"/>
      <c r="P24" s="9">
        <f t="shared" si="1"/>
        <v>0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2"/>
      <c r="B25" s="2"/>
      <c r="C25" s="25"/>
      <c r="D25" s="25"/>
      <c r="E25" s="2"/>
      <c r="F25" s="26"/>
      <c r="G25" s="27"/>
      <c r="H25" s="7"/>
      <c r="I25" s="24"/>
      <c r="J25" s="2"/>
      <c r="K25" s="25"/>
      <c r="L25" s="25"/>
      <c r="M25" s="2"/>
      <c r="N25" s="26"/>
      <c r="O25" s="27"/>
      <c r="P25" s="9">
        <f t="shared" si="1"/>
        <v>0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2"/>
      <c r="B26" s="2"/>
      <c r="C26" s="25"/>
      <c r="D26" s="25"/>
      <c r="E26" s="2"/>
      <c r="F26" s="26"/>
      <c r="G26" s="27"/>
      <c r="H26" s="7"/>
      <c r="I26" s="24"/>
      <c r="J26" s="2"/>
      <c r="K26" s="25"/>
      <c r="L26" s="25"/>
      <c r="M26" s="2"/>
      <c r="N26" s="26"/>
      <c r="O26" s="27"/>
      <c r="P26" s="9">
        <f t="shared" si="1"/>
        <v>0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2"/>
      <c r="B27" s="2"/>
      <c r="C27" s="25"/>
      <c r="D27" s="25"/>
      <c r="E27" s="2"/>
      <c r="F27" s="26"/>
      <c r="G27" s="27"/>
      <c r="H27" s="7"/>
      <c r="I27" s="24"/>
      <c r="J27" s="2"/>
      <c r="K27" s="25"/>
      <c r="L27" s="25"/>
      <c r="M27" s="2"/>
      <c r="N27" s="26"/>
      <c r="O27" s="27"/>
      <c r="P27" s="9">
        <f t="shared" si="1"/>
        <v>0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2"/>
      <c r="B28" s="2"/>
      <c r="C28" s="25"/>
      <c r="D28" s="25"/>
      <c r="E28" s="2"/>
      <c r="F28" s="26"/>
      <c r="G28" s="27"/>
      <c r="H28" s="7"/>
      <c r="I28" s="24"/>
      <c r="J28" s="2"/>
      <c r="K28" s="25"/>
      <c r="L28" s="25"/>
      <c r="M28" s="2"/>
      <c r="N28" s="26"/>
      <c r="O28" s="27"/>
      <c r="P28" s="9">
        <f t="shared" si="1"/>
        <v>0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2"/>
      <c r="B29" s="2"/>
      <c r="C29" s="25"/>
      <c r="D29" s="25"/>
      <c r="E29" s="2"/>
      <c r="F29" s="26"/>
      <c r="G29" s="27"/>
      <c r="H29" s="7"/>
      <c r="I29" s="24"/>
      <c r="J29" s="2"/>
      <c r="K29" s="25"/>
      <c r="L29" s="25"/>
      <c r="M29" s="2"/>
      <c r="N29" s="5"/>
      <c r="O29" s="27"/>
      <c r="P29" s="9">
        <f t="shared" si="1"/>
        <v>0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2"/>
      <c r="B30" s="2"/>
      <c r="C30" s="25"/>
      <c r="D30" s="25"/>
      <c r="E30" s="2"/>
      <c r="F30" s="26"/>
      <c r="G30" s="27"/>
      <c r="H30" s="7"/>
      <c r="I30" s="24"/>
      <c r="J30" s="2"/>
      <c r="K30" s="25"/>
      <c r="L30" s="25"/>
      <c r="M30" s="2"/>
      <c r="N30" s="26"/>
      <c r="O30" s="27"/>
      <c r="P30" s="9">
        <f t="shared" si="1"/>
        <v>0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2"/>
      <c r="B31" s="2"/>
      <c r="C31" s="25"/>
      <c r="D31" s="25"/>
      <c r="E31" s="2"/>
      <c r="F31" s="26"/>
      <c r="G31" s="27"/>
      <c r="H31" s="7"/>
      <c r="I31" s="24"/>
      <c r="J31" s="2"/>
      <c r="K31" s="25"/>
      <c r="L31" s="25"/>
      <c r="M31" s="2"/>
      <c r="N31" s="26"/>
      <c r="O31" s="27"/>
      <c r="P31" s="9">
        <f t="shared" si="1"/>
        <v>0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2"/>
      <c r="B32" s="2"/>
      <c r="C32" s="25"/>
      <c r="D32" s="25"/>
      <c r="E32" s="2"/>
      <c r="F32" s="26"/>
      <c r="G32" s="27"/>
      <c r="H32" s="7"/>
      <c r="I32" s="24"/>
      <c r="J32" s="2"/>
      <c r="K32" s="25"/>
      <c r="L32" s="25"/>
      <c r="M32" s="2"/>
      <c r="N32" s="26"/>
      <c r="O32" s="27"/>
      <c r="P32" s="9">
        <f t="shared" si="1"/>
        <v>0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2"/>
      <c r="B33" s="2"/>
      <c r="C33" s="25"/>
      <c r="D33" s="25"/>
      <c r="E33" s="2"/>
      <c r="F33" s="26"/>
      <c r="G33" s="27"/>
      <c r="H33" s="7"/>
      <c r="I33" s="24"/>
      <c r="J33" s="2"/>
      <c r="K33" s="25"/>
      <c r="L33" s="25"/>
      <c r="M33" s="2"/>
      <c r="N33" s="26"/>
      <c r="O33" s="27"/>
      <c r="P33" s="9">
        <f t="shared" si="1"/>
        <v>0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2"/>
      <c r="B34" s="2"/>
      <c r="C34" s="25"/>
      <c r="D34" s="25"/>
      <c r="E34" s="2"/>
      <c r="F34" s="26"/>
      <c r="G34" s="27"/>
      <c r="H34" s="7"/>
      <c r="I34" s="24"/>
      <c r="J34" s="2"/>
      <c r="K34" s="25"/>
      <c r="L34" s="25"/>
      <c r="M34" s="2"/>
      <c r="N34" s="26"/>
      <c r="O34" s="27"/>
      <c r="P34" s="9">
        <f t="shared" si="1"/>
        <v>0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2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2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3"/>
      <c r="F42" s="44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3"/>
      <c r="F43" s="44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5"/>
      <c r="S43" s="46"/>
      <c r="T43" s="46"/>
      <c r="U43" s="45"/>
      <c r="V43" s="47"/>
      <c r="W43" s="48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3"/>
      <c r="F44" s="44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3"/>
      <c r="F45" s="44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3"/>
      <c r="F46" s="44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3"/>
      <c r="F47" s="44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3"/>
      <c r="F48" s="44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3"/>
      <c r="F49" s="44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3"/>
      <c r="F50" s="44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3"/>
      <c r="F51" s="44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3"/>
      <c r="F52" s="44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3"/>
      <c r="F53" s="44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3"/>
      <c r="F54" s="44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3"/>
      <c r="F55" s="44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3"/>
      <c r="F56" s="44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3"/>
      <c r="F57" s="44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3"/>
      <c r="F58" s="44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3"/>
      <c r="F59" s="44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3"/>
      <c r="F60" s="44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3"/>
      <c r="F61" s="44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3"/>
      <c r="F62" s="44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3"/>
      <c r="F63" s="44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3"/>
      <c r="F64" s="44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3"/>
      <c r="F65" s="44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3"/>
      <c r="F66" s="44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3"/>
      <c r="F67" s="44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3"/>
      <c r="F68" s="44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3"/>
      <c r="F69" s="44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3"/>
      <c r="F70" s="44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3"/>
      <c r="F71" s="44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3"/>
      <c r="F72" s="44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3"/>
      <c r="F73" s="44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3"/>
      <c r="F74" s="44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3"/>
      <c r="F75" s="44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3"/>
      <c r="F76" s="44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3"/>
      <c r="F77" s="44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3"/>
      <c r="F78" s="44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3"/>
      <c r="F79" s="44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3"/>
      <c r="F80" s="44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3"/>
      <c r="F81" s="44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3"/>
      <c r="F82" s="44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3"/>
      <c r="F83" s="44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3"/>
      <c r="F84" s="44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3"/>
      <c r="F85" s="44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3"/>
      <c r="F86" s="44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3"/>
      <c r="F87" s="44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3"/>
      <c r="F88" s="44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3"/>
      <c r="F89" s="44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3"/>
      <c r="F90" s="44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3"/>
      <c r="F91" s="44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3"/>
      <c r="F92" s="44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3"/>
      <c r="F93" s="44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3"/>
      <c r="F94" s="44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3"/>
      <c r="F95" s="44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3"/>
      <c r="F96" s="44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3"/>
      <c r="F97" s="44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3"/>
      <c r="F98" s="44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3"/>
      <c r="F99" s="44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3"/>
      <c r="F100" s="44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3"/>
      <c r="F101" s="44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3"/>
      <c r="F102" s="44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3"/>
      <c r="F103" s="44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3"/>
      <c r="F104" s="44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3"/>
      <c r="F105" s="44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3"/>
      <c r="F106" s="44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3"/>
      <c r="F107" s="44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3"/>
      <c r="F108" s="44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3"/>
      <c r="F109" s="44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3"/>
      <c r="F110" s="44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3"/>
      <c r="F111" s="44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3"/>
      <c r="F112" s="44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3"/>
      <c r="F113" s="44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3"/>
      <c r="F114" s="44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3"/>
      <c r="F115" s="44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3"/>
      <c r="F116" s="44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3"/>
      <c r="F117" s="44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3"/>
      <c r="F118" s="44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3"/>
      <c r="F119" s="44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3"/>
      <c r="F120" s="44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3"/>
      <c r="F121" s="44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3"/>
      <c r="F122" s="44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3"/>
      <c r="F123" s="44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3"/>
      <c r="F124" s="44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3"/>
      <c r="F125" s="44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3"/>
      <c r="F126" s="44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3"/>
      <c r="F127" s="44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3"/>
      <c r="F128" s="44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3"/>
      <c r="F129" s="44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3"/>
      <c r="F130" s="44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3"/>
      <c r="F131" s="44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3"/>
      <c r="F132" s="44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3"/>
      <c r="F133" s="44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3"/>
      <c r="F134" s="44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3"/>
      <c r="F135" s="44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3"/>
      <c r="F136" s="44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3"/>
      <c r="F137" s="44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3"/>
      <c r="F138" s="44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3"/>
      <c r="F139" s="44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3"/>
      <c r="F140" s="44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3"/>
      <c r="F141" s="44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3"/>
      <c r="F142" s="44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3"/>
      <c r="F143" s="44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3"/>
      <c r="F144" s="44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3"/>
      <c r="F145" s="44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3"/>
      <c r="F146" s="44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3"/>
      <c r="F147" s="44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3"/>
      <c r="F148" s="44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3"/>
      <c r="F149" s="44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3"/>
      <c r="F150" s="44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3"/>
      <c r="F151" s="44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3"/>
      <c r="F152" s="44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3"/>
      <c r="F153" s="44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3"/>
      <c r="F154" s="44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3"/>
      <c r="F155" s="44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3"/>
      <c r="F156" s="44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3"/>
      <c r="F157" s="44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3"/>
      <c r="F158" s="44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3"/>
      <c r="F159" s="44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3"/>
      <c r="F160" s="44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3"/>
      <c r="F161" s="44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3"/>
      <c r="F162" s="44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3"/>
      <c r="F163" s="44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3"/>
      <c r="F164" s="44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3"/>
      <c r="F165" s="44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3"/>
      <c r="F166" s="44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3"/>
      <c r="F167" s="44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3"/>
      <c r="F168" s="44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3"/>
      <c r="F169" s="44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3"/>
      <c r="F170" s="44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3"/>
      <c r="F171" s="44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3"/>
      <c r="F172" s="44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3"/>
      <c r="F173" s="44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3"/>
      <c r="F174" s="44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3"/>
      <c r="F175" s="44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3"/>
      <c r="F176" s="44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3"/>
      <c r="F177" s="44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3"/>
      <c r="F178" s="44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3"/>
      <c r="F179" s="44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3"/>
      <c r="F180" s="44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3"/>
      <c r="F181" s="44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3"/>
      <c r="F182" s="44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3"/>
      <c r="F183" s="44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3"/>
      <c r="F184" s="44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3"/>
      <c r="F185" s="44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3"/>
      <c r="F186" s="44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3"/>
      <c r="F187" s="44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3"/>
      <c r="F188" s="44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3"/>
      <c r="F189" s="44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3"/>
      <c r="F190" s="44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3"/>
      <c r="F191" s="44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3"/>
      <c r="F192" s="44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3"/>
      <c r="F193" s="44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3"/>
      <c r="F194" s="44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3"/>
      <c r="F195" s="44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3"/>
      <c r="F196" s="44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3"/>
      <c r="F197" s="44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3"/>
      <c r="F198" s="44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3"/>
      <c r="F199" s="44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3"/>
      <c r="F200" s="44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3"/>
      <c r="F201" s="44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3"/>
      <c r="F202" s="44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3"/>
      <c r="F203" s="44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3"/>
      <c r="F204" s="44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3"/>
      <c r="F205" s="44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3"/>
      <c r="F206" s="44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3"/>
      <c r="F207" s="44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3"/>
      <c r="F208" s="44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3"/>
      <c r="F209" s="44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3"/>
      <c r="F210" s="44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3"/>
      <c r="F211" s="44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3"/>
      <c r="F212" s="44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3"/>
      <c r="F213" s="44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3"/>
      <c r="F214" s="44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3"/>
      <c r="F215" s="44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3"/>
      <c r="F216" s="44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3"/>
      <c r="F217" s="44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3"/>
      <c r="F218" s="44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3"/>
      <c r="F219" s="44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3"/>
      <c r="F220" s="44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3"/>
      <c r="F221" s="44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3"/>
      <c r="F222" s="44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3"/>
      <c r="F223" s="44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3"/>
      <c r="F224" s="44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3"/>
      <c r="F225" s="44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3"/>
      <c r="F226" s="44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3"/>
      <c r="F227" s="44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3"/>
      <c r="F228" s="44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3"/>
      <c r="F229" s="44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3"/>
      <c r="F230" s="44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3"/>
      <c r="F231" s="44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3"/>
      <c r="F232" s="44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3"/>
      <c r="F233" s="44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3"/>
      <c r="F234" s="44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3"/>
      <c r="F235" s="44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3"/>
      <c r="F236" s="44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3"/>
      <c r="F237" s="44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3"/>
      <c r="F238" s="44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3"/>
      <c r="F239" s="44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3"/>
      <c r="F240" s="44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3"/>
      <c r="F241" s="44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3"/>
      <c r="F242" s="44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3"/>
      <c r="F243" s="44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3"/>
      <c r="F244" s="44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3"/>
      <c r="F245" s="44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3"/>
      <c r="F246" s="44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3"/>
      <c r="F247" s="44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3"/>
      <c r="F248" s="44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3"/>
      <c r="F249" s="44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3"/>
      <c r="F250" s="44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3"/>
      <c r="F251" s="44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3"/>
      <c r="F252" s="44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3"/>
      <c r="F253" s="44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3"/>
      <c r="F254" s="44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3"/>
      <c r="F255" s="44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3"/>
      <c r="F256" s="44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3"/>
      <c r="F257" s="44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3"/>
      <c r="F258" s="44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3"/>
      <c r="F259" s="44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3"/>
      <c r="F260" s="44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3"/>
      <c r="F261" s="44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3"/>
      <c r="F262" s="44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3"/>
      <c r="F263" s="44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3"/>
      <c r="F264" s="44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3"/>
      <c r="F265" s="44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3"/>
      <c r="F266" s="44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3"/>
      <c r="F267" s="44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3"/>
      <c r="F268" s="44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3"/>
      <c r="F269" s="44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3"/>
      <c r="F270" s="44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3"/>
      <c r="F271" s="44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3"/>
      <c r="F272" s="44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3"/>
      <c r="F273" s="44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3"/>
      <c r="F274" s="44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3"/>
      <c r="F275" s="44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3"/>
      <c r="F276" s="44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3"/>
      <c r="F277" s="44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3"/>
      <c r="F278" s="44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3"/>
      <c r="F279" s="44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3"/>
      <c r="F280" s="44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3"/>
      <c r="F281" s="44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3"/>
      <c r="F282" s="44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3"/>
      <c r="F283" s="44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3"/>
      <c r="F284" s="44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3"/>
      <c r="F285" s="44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3"/>
      <c r="F286" s="44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3"/>
      <c r="F287" s="44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3"/>
      <c r="F288" s="44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3"/>
      <c r="F289" s="44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3"/>
      <c r="F290" s="44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3"/>
      <c r="F291" s="44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3"/>
      <c r="F292" s="44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3"/>
      <c r="F293" s="44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3"/>
      <c r="F294" s="44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3"/>
      <c r="F295" s="44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3"/>
      <c r="F296" s="44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3"/>
      <c r="F297" s="44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3"/>
      <c r="F298" s="44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3"/>
      <c r="F299" s="44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3"/>
      <c r="F300" s="44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3"/>
      <c r="F301" s="44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3"/>
      <c r="F302" s="44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3"/>
      <c r="F303" s="44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3"/>
      <c r="F304" s="44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3"/>
      <c r="F305" s="44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3"/>
      <c r="F306" s="44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3"/>
      <c r="F307" s="44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3"/>
      <c r="F308" s="44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3"/>
      <c r="F309" s="44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3"/>
      <c r="F310" s="44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3"/>
      <c r="F311" s="44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3"/>
      <c r="F312" s="44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3"/>
      <c r="F313" s="44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3"/>
      <c r="F314" s="44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3"/>
      <c r="F315" s="44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3"/>
      <c r="F316" s="44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3"/>
      <c r="F317" s="44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3"/>
      <c r="F318" s="44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3"/>
      <c r="F319" s="44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3"/>
      <c r="F320" s="44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3"/>
      <c r="F321" s="44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3"/>
      <c r="F322" s="44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3"/>
      <c r="F323" s="44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3"/>
      <c r="F324" s="44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3"/>
      <c r="F325" s="44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3"/>
      <c r="F326" s="44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3"/>
      <c r="F327" s="44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3"/>
      <c r="F328" s="44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3"/>
      <c r="F329" s="44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3"/>
      <c r="F330" s="44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3"/>
      <c r="F331" s="44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3"/>
      <c r="F332" s="44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3"/>
      <c r="F333" s="44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3"/>
      <c r="F334" s="44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3"/>
      <c r="F335" s="44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3"/>
      <c r="F336" s="44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3"/>
      <c r="F337" s="44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3"/>
      <c r="F338" s="44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3"/>
      <c r="F339" s="44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3"/>
      <c r="F340" s="44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3"/>
      <c r="F341" s="44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3"/>
      <c r="F342" s="44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3"/>
      <c r="F343" s="44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3"/>
      <c r="F344" s="44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3"/>
      <c r="F345" s="44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3"/>
      <c r="F346" s="44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3"/>
      <c r="F347" s="44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3"/>
      <c r="F348" s="44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3"/>
      <c r="F349" s="44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3"/>
      <c r="F350" s="44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3"/>
      <c r="F351" s="44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3"/>
      <c r="F352" s="44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3"/>
      <c r="F353" s="44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3"/>
      <c r="F354" s="44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3"/>
      <c r="F355" s="44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3"/>
      <c r="F356" s="44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3"/>
      <c r="F357" s="44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3"/>
      <c r="F358" s="44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3"/>
      <c r="F359" s="44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3"/>
      <c r="F360" s="44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3"/>
      <c r="F361" s="44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3"/>
      <c r="F362" s="44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3"/>
      <c r="F363" s="44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3"/>
      <c r="F364" s="44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3"/>
      <c r="F365" s="44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3"/>
      <c r="F366" s="44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3"/>
      <c r="F367" s="44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3"/>
      <c r="F368" s="44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3"/>
      <c r="F369" s="44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3"/>
      <c r="F370" s="44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3"/>
      <c r="F371" s="44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3"/>
      <c r="F372" s="44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3"/>
      <c r="F373" s="44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3"/>
      <c r="F374" s="44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3"/>
      <c r="F375" s="44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3"/>
      <c r="F376" s="44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3"/>
      <c r="F377" s="44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3"/>
      <c r="F378" s="44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3"/>
      <c r="F379" s="44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3"/>
      <c r="F380" s="44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3"/>
      <c r="F381" s="44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3"/>
      <c r="F382" s="44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3"/>
      <c r="F383" s="44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3"/>
      <c r="F384" s="44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3"/>
      <c r="F385" s="44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3"/>
      <c r="F386" s="44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3"/>
      <c r="F387" s="44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3"/>
      <c r="F388" s="44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3"/>
      <c r="F389" s="44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3"/>
      <c r="F390" s="44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3"/>
      <c r="F391" s="44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3"/>
      <c r="F392" s="44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3"/>
      <c r="F393" s="44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3"/>
      <c r="F394" s="44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3"/>
      <c r="F395" s="44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3"/>
      <c r="F396" s="44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3"/>
      <c r="F397" s="44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3"/>
      <c r="F398" s="44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3"/>
      <c r="F399" s="44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3"/>
      <c r="F400" s="44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3"/>
      <c r="F401" s="44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3"/>
      <c r="F402" s="44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3"/>
      <c r="F403" s="44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3"/>
      <c r="F404" s="44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3"/>
      <c r="F405" s="44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3"/>
      <c r="F406" s="44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3"/>
      <c r="F407" s="44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3"/>
      <c r="F408" s="44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3"/>
      <c r="F409" s="44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3"/>
      <c r="F410" s="44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3"/>
      <c r="F411" s="44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3"/>
      <c r="F412" s="44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3"/>
      <c r="F413" s="44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3"/>
      <c r="F414" s="44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3"/>
      <c r="F415" s="44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3"/>
      <c r="F416" s="44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3"/>
      <c r="F417" s="44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3"/>
      <c r="F418" s="44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3"/>
      <c r="F419" s="44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3"/>
      <c r="F420" s="44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3"/>
      <c r="F421" s="44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3"/>
      <c r="F422" s="44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3"/>
      <c r="F423" s="44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3"/>
      <c r="F424" s="44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3"/>
      <c r="F425" s="44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3"/>
      <c r="F426" s="44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3"/>
      <c r="F427" s="44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3"/>
      <c r="F428" s="44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3"/>
      <c r="F429" s="44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3"/>
      <c r="F430" s="44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3"/>
      <c r="F431" s="44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3"/>
      <c r="F432" s="44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3"/>
      <c r="F433" s="44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3"/>
      <c r="F434" s="44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3"/>
      <c r="F435" s="44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3"/>
      <c r="F436" s="44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3"/>
      <c r="F437" s="44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3"/>
      <c r="F438" s="44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3"/>
      <c r="F439" s="44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3"/>
      <c r="F440" s="44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3"/>
      <c r="F441" s="44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3"/>
      <c r="F442" s="44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3"/>
      <c r="F443" s="44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3"/>
      <c r="F444" s="44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3"/>
      <c r="F445" s="44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3"/>
      <c r="F446" s="44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3"/>
      <c r="F447" s="44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3"/>
      <c r="F448" s="44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3"/>
      <c r="F449" s="44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3"/>
      <c r="F450" s="44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3"/>
      <c r="F451" s="44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3"/>
      <c r="F452" s="44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3"/>
      <c r="F453" s="44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3"/>
      <c r="F454" s="44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3"/>
      <c r="F455" s="44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3"/>
      <c r="F456" s="44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3"/>
      <c r="F457" s="44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3"/>
      <c r="F458" s="44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3"/>
      <c r="F459" s="44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3"/>
      <c r="F460" s="44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3"/>
      <c r="F461" s="44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3"/>
      <c r="F462" s="44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3"/>
      <c r="F463" s="44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3"/>
      <c r="F464" s="44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3"/>
      <c r="F465" s="44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3"/>
      <c r="F466" s="44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3"/>
      <c r="F467" s="44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3"/>
      <c r="F468" s="44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3"/>
      <c r="F469" s="44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3"/>
      <c r="F470" s="44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3"/>
      <c r="F471" s="44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3"/>
      <c r="F472" s="44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3"/>
      <c r="F473" s="44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3"/>
      <c r="F474" s="44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3"/>
      <c r="F475" s="44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3"/>
      <c r="F476" s="44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3"/>
      <c r="F477" s="44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3"/>
      <c r="F478" s="44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3"/>
      <c r="F479" s="44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3"/>
      <c r="F480" s="44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3"/>
      <c r="F481" s="44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3"/>
      <c r="F482" s="44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3"/>
      <c r="F483" s="44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3"/>
      <c r="F484" s="44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3"/>
      <c r="F485" s="44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3"/>
      <c r="F486" s="44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3"/>
      <c r="F487" s="44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3"/>
      <c r="F488" s="44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3"/>
      <c r="F489" s="44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3"/>
      <c r="F490" s="44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3"/>
      <c r="F491" s="44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3"/>
      <c r="F492" s="44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3"/>
      <c r="F493" s="44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3"/>
      <c r="F494" s="44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3"/>
      <c r="F495" s="44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3"/>
      <c r="F496" s="44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3"/>
      <c r="F497" s="44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3"/>
      <c r="F498" s="44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3"/>
      <c r="F499" s="44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3"/>
      <c r="F500" s="44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3"/>
      <c r="F501" s="44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3"/>
      <c r="F502" s="44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3"/>
      <c r="F503" s="44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3"/>
      <c r="F504" s="44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3"/>
      <c r="F505" s="44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3"/>
      <c r="F506" s="44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3"/>
      <c r="F507" s="44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3"/>
      <c r="F508" s="44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3"/>
      <c r="F509" s="44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3"/>
      <c r="F510" s="44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3"/>
      <c r="F511" s="44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3"/>
      <c r="F512" s="44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3"/>
      <c r="F513" s="44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3"/>
      <c r="F514" s="44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3"/>
      <c r="F515" s="44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3"/>
      <c r="F516" s="44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3"/>
      <c r="F517" s="44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3"/>
      <c r="F518" s="44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3"/>
      <c r="F519" s="44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3"/>
      <c r="F520" s="44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3"/>
      <c r="F521" s="44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3"/>
      <c r="F522" s="44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3"/>
      <c r="F523" s="44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3"/>
      <c r="F524" s="44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3"/>
      <c r="F525" s="44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3"/>
      <c r="F526" s="44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3"/>
      <c r="F527" s="44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3"/>
      <c r="F528" s="44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3"/>
      <c r="F529" s="44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3"/>
      <c r="F530" s="44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3"/>
      <c r="F531" s="44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3"/>
      <c r="F532" s="44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3"/>
      <c r="F533" s="44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3"/>
      <c r="F534" s="44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3"/>
      <c r="F535" s="44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3"/>
      <c r="F536" s="44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3"/>
      <c r="F537" s="44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3"/>
      <c r="F538" s="44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3"/>
      <c r="F539" s="44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3"/>
      <c r="F540" s="44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3"/>
      <c r="F541" s="44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3"/>
      <c r="F542" s="44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3"/>
      <c r="F543" s="44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3"/>
      <c r="F544" s="44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3"/>
      <c r="F545" s="44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3"/>
      <c r="F546" s="44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3"/>
      <c r="F547" s="44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3"/>
      <c r="F548" s="44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3"/>
      <c r="F549" s="44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3"/>
      <c r="F550" s="44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3"/>
      <c r="F551" s="44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3"/>
      <c r="F552" s="44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3"/>
      <c r="F553" s="44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3"/>
      <c r="F554" s="44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3"/>
      <c r="F555" s="44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3"/>
      <c r="F556" s="44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3"/>
      <c r="F557" s="44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3"/>
      <c r="F558" s="44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3"/>
      <c r="F559" s="44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3"/>
      <c r="F560" s="44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3"/>
      <c r="F561" s="44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3"/>
      <c r="F562" s="44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3"/>
      <c r="F563" s="44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3"/>
      <c r="F564" s="44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3"/>
      <c r="F565" s="44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3"/>
      <c r="F566" s="44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3"/>
      <c r="F567" s="44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3"/>
      <c r="F568" s="44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3"/>
      <c r="F569" s="44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3"/>
      <c r="F570" s="44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3"/>
      <c r="F571" s="44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3"/>
      <c r="F572" s="44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3"/>
      <c r="F573" s="44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3"/>
      <c r="F574" s="44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3"/>
      <c r="F575" s="44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3"/>
      <c r="F576" s="44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3"/>
      <c r="F577" s="44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3"/>
      <c r="F578" s="44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3"/>
      <c r="F579" s="44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3"/>
      <c r="F580" s="44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3"/>
      <c r="F581" s="44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3"/>
      <c r="F582" s="44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3"/>
      <c r="F583" s="44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3"/>
      <c r="F584" s="44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3"/>
      <c r="F585" s="44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3"/>
      <c r="F586" s="44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3"/>
      <c r="F587" s="44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3"/>
      <c r="F588" s="44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3"/>
      <c r="F589" s="44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3"/>
      <c r="F590" s="44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3"/>
      <c r="F591" s="44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3"/>
      <c r="F592" s="44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3"/>
      <c r="F593" s="44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3"/>
      <c r="F594" s="44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3"/>
      <c r="F595" s="44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3"/>
      <c r="F596" s="44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3"/>
      <c r="F597" s="44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3"/>
      <c r="F598" s="44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3"/>
      <c r="F599" s="44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3"/>
      <c r="F600" s="44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3"/>
      <c r="F601" s="44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3"/>
      <c r="F602" s="44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3"/>
      <c r="F603" s="44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3"/>
      <c r="F604" s="44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3"/>
      <c r="F605" s="44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3"/>
      <c r="F606" s="44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3"/>
      <c r="F607" s="44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3"/>
      <c r="F608" s="44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3"/>
      <c r="F609" s="44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3"/>
      <c r="F610" s="44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3"/>
      <c r="F611" s="44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3"/>
      <c r="F612" s="44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3"/>
      <c r="F613" s="44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3"/>
      <c r="F614" s="44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3"/>
      <c r="F615" s="44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3"/>
      <c r="F616" s="44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3"/>
      <c r="F617" s="44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3"/>
      <c r="F618" s="44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3"/>
      <c r="F619" s="44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3"/>
      <c r="F620" s="44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3"/>
      <c r="F621" s="44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3"/>
      <c r="F622" s="44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3"/>
      <c r="F623" s="44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3"/>
      <c r="F624" s="44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3"/>
      <c r="F625" s="44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3"/>
      <c r="F626" s="44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3"/>
      <c r="F627" s="44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3"/>
      <c r="F628" s="44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3"/>
      <c r="F629" s="44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3"/>
      <c r="F630" s="44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3"/>
      <c r="F631" s="44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3"/>
      <c r="F632" s="44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3"/>
      <c r="F633" s="44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3"/>
      <c r="F634" s="44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3"/>
      <c r="F635" s="44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3"/>
      <c r="F636" s="44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3"/>
      <c r="F637" s="44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3"/>
      <c r="F638" s="44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3"/>
      <c r="F639" s="44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3"/>
      <c r="F640" s="44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3"/>
      <c r="F641" s="44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3"/>
      <c r="F642" s="44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3"/>
      <c r="F643" s="44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3"/>
      <c r="F644" s="44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3"/>
      <c r="F645" s="44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3"/>
      <c r="F646" s="44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3"/>
      <c r="F647" s="44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3"/>
      <c r="F648" s="44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3"/>
      <c r="F649" s="44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3"/>
      <c r="F650" s="44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3"/>
      <c r="F651" s="44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3"/>
      <c r="F652" s="44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3"/>
      <c r="F653" s="44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3"/>
      <c r="F654" s="44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3"/>
      <c r="F655" s="44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3"/>
      <c r="F656" s="44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3"/>
      <c r="F657" s="44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3"/>
      <c r="F658" s="44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3"/>
      <c r="F659" s="44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3"/>
      <c r="F660" s="44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3"/>
      <c r="F661" s="44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3"/>
      <c r="F662" s="44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3"/>
      <c r="F663" s="44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3"/>
      <c r="F664" s="44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3"/>
      <c r="F665" s="44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3"/>
      <c r="F666" s="44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3"/>
      <c r="F667" s="44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3"/>
      <c r="F668" s="44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3"/>
      <c r="F669" s="44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3"/>
      <c r="F670" s="44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3"/>
      <c r="F671" s="44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3"/>
      <c r="F672" s="44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3"/>
      <c r="F673" s="44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3"/>
      <c r="F674" s="44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3"/>
      <c r="F675" s="44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3"/>
      <c r="F676" s="44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3"/>
      <c r="F677" s="44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3"/>
      <c r="F678" s="44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3"/>
      <c r="F679" s="44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3"/>
      <c r="F680" s="44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3"/>
      <c r="F681" s="44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3"/>
      <c r="F682" s="44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3"/>
      <c r="F683" s="44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3"/>
      <c r="F684" s="44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3"/>
      <c r="F685" s="44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3"/>
      <c r="F686" s="44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3"/>
      <c r="F687" s="44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3"/>
      <c r="F688" s="44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3"/>
      <c r="F689" s="44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3"/>
      <c r="F690" s="44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3"/>
      <c r="F691" s="44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3"/>
      <c r="F692" s="44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3"/>
      <c r="F693" s="44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3"/>
      <c r="F694" s="44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3"/>
      <c r="F695" s="44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3"/>
      <c r="F696" s="44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3"/>
      <c r="F697" s="44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3"/>
      <c r="F698" s="44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3"/>
      <c r="F699" s="44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3"/>
      <c r="F700" s="44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3"/>
      <c r="F701" s="44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3"/>
      <c r="F702" s="44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3"/>
      <c r="F703" s="44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3"/>
      <c r="F704" s="44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3"/>
      <c r="F705" s="44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3"/>
      <c r="F706" s="44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3"/>
      <c r="F707" s="44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3"/>
      <c r="F708" s="44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3"/>
      <c r="F709" s="44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3"/>
      <c r="F710" s="44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3"/>
      <c r="F711" s="44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3"/>
      <c r="F712" s="44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3"/>
      <c r="F713" s="44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3"/>
      <c r="F714" s="44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3"/>
      <c r="F715" s="44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3"/>
      <c r="F716" s="44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3"/>
      <c r="F717" s="44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3"/>
      <c r="F718" s="44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3"/>
      <c r="F719" s="44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3"/>
      <c r="F720" s="44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3"/>
      <c r="F721" s="44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3"/>
      <c r="F722" s="44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3"/>
      <c r="F723" s="44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3"/>
      <c r="F724" s="44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3"/>
      <c r="F725" s="44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3"/>
      <c r="F726" s="44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3"/>
      <c r="F727" s="44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3"/>
      <c r="F728" s="44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3"/>
      <c r="F729" s="44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3"/>
      <c r="F730" s="44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3"/>
      <c r="F731" s="44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3"/>
      <c r="F732" s="44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3"/>
      <c r="F733" s="44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3"/>
      <c r="F734" s="44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3"/>
      <c r="F735" s="44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3"/>
      <c r="F736" s="44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3"/>
      <c r="F737" s="44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3"/>
      <c r="F738" s="44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3"/>
      <c r="F739" s="44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3"/>
      <c r="F740" s="44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3"/>
      <c r="F741" s="44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3"/>
      <c r="F742" s="44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3"/>
      <c r="F743" s="44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3"/>
      <c r="F744" s="44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3"/>
      <c r="F745" s="44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3"/>
      <c r="F746" s="44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3"/>
      <c r="F747" s="44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3"/>
      <c r="F748" s="44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3"/>
      <c r="F749" s="44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3"/>
      <c r="F750" s="44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3"/>
      <c r="F751" s="44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3"/>
      <c r="F752" s="44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3"/>
      <c r="F753" s="44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3"/>
      <c r="F754" s="44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3"/>
      <c r="F755" s="44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3"/>
      <c r="F756" s="44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3"/>
      <c r="F757" s="44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3"/>
      <c r="F758" s="44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3"/>
      <c r="F759" s="44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3"/>
      <c r="F760" s="44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3"/>
      <c r="F761" s="44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3"/>
      <c r="F762" s="44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3"/>
      <c r="F763" s="44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3"/>
      <c r="F764" s="44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3"/>
      <c r="F765" s="44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3"/>
      <c r="F766" s="44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3"/>
      <c r="F767" s="44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3"/>
      <c r="F768" s="44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3"/>
      <c r="F769" s="44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3"/>
      <c r="F770" s="44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3"/>
      <c r="F771" s="44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3"/>
      <c r="F772" s="44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3"/>
      <c r="F773" s="44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3"/>
      <c r="F774" s="44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3"/>
      <c r="F775" s="44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3"/>
      <c r="F776" s="44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3"/>
      <c r="F777" s="44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3"/>
      <c r="F778" s="44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3"/>
      <c r="F779" s="44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3"/>
      <c r="F780" s="44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3"/>
      <c r="F781" s="44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3"/>
      <c r="F782" s="44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3"/>
      <c r="F783" s="44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3"/>
      <c r="F784" s="44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3"/>
      <c r="F785" s="44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3"/>
      <c r="F786" s="44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3"/>
      <c r="F787" s="44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3"/>
      <c r="F788" s="44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3"/>
      <c r="F789" s="44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3"/>
      <c r="F790" s="44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3"/>
      <c r="F791" s="44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3"/>
      <c r="F792" s="44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3"/>
      <c r="F793" s="44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3"/>
      <c r="F794" s="44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3"/>
      <c r="F795" s="44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3"/>
      <c r="F796" s="44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3"/>
      <c r="F797" s="44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3"/>
      <c r="F798" s="44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3"/>
      <c r="F799" s="44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3"/>
      <c r="F800" s="44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3"/>
      <c r="F801" s="44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3"/>
      <c r="F802" s="44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3"/>
      <c r="F803" s="44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3"/>
      <c r="F804" s="44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3"/>
      <c r="F805" s="44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3"/>
      <c r="F806" s="44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3"/>
      <c r="F807" s="44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3"/>
      <c r="F808" s="44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3"/>
      <c r="F809" s="44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3"/>
      <c r="F810" s="44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3"/>
      <c r="F811" s="44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3"/>
      <c r="F812" s="44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3"/>
      <c r="F813" s="44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3"/>
      <c r="F814" s="44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3"/>
      <c r="F815" s="44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3"/>
      <c r="F816" s="44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3"/>
      <c r="F817" s="44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3"/>
      <c r="F818" s="44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3"/>
      <c r="F819" s="44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3"/>
      <c r="F820" s="44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3"/>
      <c r="F821" s="44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3"/>
      <c r="F822" s="44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3"/>
      <c r="F823" s="44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3"/>
      <c r="F824" s="44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3"/>
      <c r="F825" s="44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3"/>
      <c r="F826" s="44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3"/>
      <c r="F827" s="44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3"/>
      <c r="F828" s="44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3"/>
      <c r="F829" s="44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3"/>
      <c r="F830" s="44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3"/>
      <c r="F831" s="44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3"/>
      <c r="F832" s="44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3"/>
      <c r="F833" s="44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3"/>
      <c r="F834" s="44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3"/>
      <c r="F835" s="44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3"/>
      <c r="F836" s="44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3"/>
      <c r="F837" s="44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3"/>
      <c r="F838" s="44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3"/>
      <c r="F839" s="44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3"/>
      <c r="F840" s="44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3"/>
      <c r="F841" s="44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3"/>
      <c r="F842" s="44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3"/>
      <c r="F843" s="44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3"/>
      <c r="F844" s="44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3"/>
      <c r="F845" s="44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3"/>
      <c r="F846" s="44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3"/>
      <c r="F847" s="44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3"/>
      <c r="F848" s="44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3"/>
      <c r="F849" s="44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3"/>
      <c r="F850" s="44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3"/>
      <c r="F851" s="44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3"/>
      <c r="F852" s="44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3"/>
      <c r="F853" s="44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3"/>
      <c r="F854" s="44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3"/>
      <c r="F855" s="44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3"/>
      <c r="F856" s="44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3"/>
      <c r="F857" s="44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3"/>
      <c r="F858" s="44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3"/>
      <c r="F859" s="44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3"/>
      <c r="F860" s="44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3"/>
      <c r="F861" s="44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3"/>
      <c r="F862" s="44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3"/>
      <c r="F863" s="44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3"/>
      <c r="F864" s="44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3"/>
      <c r="F865" s="44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3"/>
      <c r="F866" s="44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3"/>
      <c r="F867" s="44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3"/>
      <c r="F868" s="44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3"/>
      <c r="F869" s="44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3"/>
      <c r="F870" s="44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3"/>
      <c r="F871" s="44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3"/>
      <c r="F872" s="44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3"/>
      <c r="F873" s="44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3"/>
      <c r="F874" s="44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3"/>
      <c r="F875" s="44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3"/>
      <c r="F876" s="44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3"/>
      <c r="F877" s="44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3"/>
      <c r="F878" s="44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3"/>
      <c r="F879" s="44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3"/>
      <c r="F880" s="44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3"/>
      <c r="F881" s="44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3"/>
      <c r="F882" s="44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3"/>
      <c r="F883" s="44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3"/>
      <c r="F884" s="44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3"/>
      <c r="F885" s="44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3"/>
      <c r="F886" s="44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3"/>
      <c r="F887" s="44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3"/>
      <c r="F888" s="44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3"/>
      <c r="F889" s="44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3"/>
      <c r="F890" s="44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3"/>
      <c r="F891" s="44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3"/>
      <c r="F892" s="44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3"/>
      <c r="F893" s="44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3"/>
      <c r="F894" s="44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3"/>
      <c r="F895" s="44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3"/>
      <c r="F896" s="44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3"/>
      <c r="F897" s="44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3"/>
      <c r="F898" s="44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3"/>
      <c r="F899" s="44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3"/>
      <c r="F900" s="44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3"/>
      <c r="F901" s="44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3"/>
      <c r="F902" s="44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3"/>
      <c r="F903" s="44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3"/>
      <c r="F904" s="44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3"/>
      <c r="F905" s="44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3"/>
      <c r="F906" s="44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3"/>
      <c r="F907" s="44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3"/>
      <c r="F908" s="44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3"/>
      <c r="F909" s="44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3"/>
      <c r="F910" s="44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3"/>
      <c r="F911" s="44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3"/>
      <c r="F912" s="44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3"/>
      <c r="F913" s="44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3"/>
      <c r="F914" s="44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3"/>
      <c r="F915" s="44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3"/>
      <c r="F916" s="44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3"/>
      <c r="F917" s="44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3"/>
      <c r="F918" s="44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3"/>
      <c r="F919" s="44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3"/>
      <c r="F920" s="44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3"/>
      <c r="F921" s="44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3"/>
      <c r="F922" s="44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3"/>
      <c r="F923" s="44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3"/>
      <c r="F924" s="44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3"/>
      <c r="F925" s="44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3"/>
      <c r="F926" s="44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3"/>
      <c r="F927" s="44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3"/>
      <c r="F928" s="44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3"/>
      <c r="F929" s="44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3"/>
      <c r="F930" s="44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3"/>
      <c r="F931" s="44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3"/>
      <c r="F932" s="44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3"/>
      <c r="F933" s="44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3"/>
      <c r="F934" s="44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3"/>
      <c r="F935" s="44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3"/>
      <c r="F936" s="44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3"/>
      <c r="F937" s="44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3"/>
      <c r="F938" s="44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3"/>
      <c r="F939" s="44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3"/>
      <c r="F940" s="44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3"/>
      <c r="F941" s="44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3"/>
      <c r="F942" s="44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3"/>
      <c r="F943" s="44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3"/>
      <c r="F944" s="44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3"/>
      <c r="F945" s="44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3"/>
      <c r="F946" s="44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3"/>
      <c r="F947" s="44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3"/>
      <c r="F948" s="44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3"/>
      <c r="F949" s="44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3"/>
      <c r="F950" s="44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3"/>
      <c r="F951" s="44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3"/>
      <c r="F952" s="44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3"/>
      <c r="F953" s="44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3"/>
      <c r="F954" s="44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3"/>
      <c r="F955" s="44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3"/>
      <c r="F956" s="44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3"/>
      <c r="F957" s="44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3"/>
      <c r="F958" s="44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3"/>
      <c r="F959" s="44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3"/>
      <c r="F960" s="44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3"/>
      <c r="F961" s="44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3"/>
      <c r="F962" s="44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3"/>
      <c r="F963" s="44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3"/>
      <c r="F964" s="44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3"/>
      <c r="F965" s="44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3"/>
      <c r="F966" s="44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3"/>
      <c r="F967" s="44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3"/>
      <c r="F968" s="44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3"/>
      <c r="F969" s="44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3"/>
      <c r="F970" s="44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3"/>
      <c r="F971" s="44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3"/>
      <c r="F972" s="44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3"/>
      <c r="F973" s="44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3"/>
      <c r="F974" s="44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3"/>
      <c r="F975" s="44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3"/>
      <c r="F976" s="44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3"/>
      <c r="F977" s="44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3"/>
      <c r="F978" s="44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3"/>
      <c r="F979" s="44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3"/>
      <c r="F980" s="44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3"/>
      <c r="F981" s="44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3"/>
      <c r="F982" s="44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3"/>
      <c r="F983" s="44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3"/>
      <c r="F984" s="44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3"/>
      <c r="F985" s="44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3"/>
      <c r="F986" s="44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3"/>
      <c r="F987" s="44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3"/>
      <c r="F988" s="44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3"/>
      <c r="F989" s="44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3"/>
      <c r="F990" s="44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3"/>
      <c r="F991" s="44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3"/>
      <c r="F992" s="44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3"/>
      <c r="F993" s="44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3"/>
      <c r="F994" s="44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3"/>
      <c r="F995" s="44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3"/>
      <c r="F996" s="44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3"/>
      <c r="F997" s="44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3"/>
      <c r="F998" s="44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3"/>
      <c r="F999" s="44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3"/>
      <c r="F1000" s="44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3"/>
      <c r="F1001" s="44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3"/>
      <c r="F1002" s="44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3"/>
      <c r="F1003" s="44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3"/>
      <c r="F1004" s="44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3"/>
      <c r="F1005" s="44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3"/>
      <c r="F1006" s="44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3"/>
      <c r="F1007" s="44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3"/>
      <c r="F1008" s="44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3"/>
      <c r="F1009" s="44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3"/>
      <c r="F1010" s="44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3"/>
      <c r="F1011" s="44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3"/>
      <c r="F1012" s="44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3"/>
      <c r="F1013" s="44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3"/>
      <c r="F1014" s="44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3"/>
      <c r="F1015" s="44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3"/>
      <c r="F1016" s="44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3"/>
      <c r="F1017" s="44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3"/>
      <c r="F1018" s="44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3"/>
      <c r="F1019" s="44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3"/>
      <c r="F1020" s="44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3"/>
      <c r="F1021" s="44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3"/>
      <c r="F1022" s="44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3"/>
      <c r="F1023" s="44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3"/>
      <c r="F1024" s="44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3"/>
      <c r="F1025" s="44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3"/>
      <c r="F1026" s="44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3"/>
      <c r="F1027" s="44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3"/>
      <c r="F1028" s="44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3"/>
      <c r="F1029" s="44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3"/>
      <c r="F1030" s="44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3"/>
      <c r="F1031" s="44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3"/>
      <c r="F1032" s="44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3"/>
      <c r="F1033" s="44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3"/>
      <c r="F1034" s="44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3"/>
      <c r="F1035" s="44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3"/>
      <c r="F1036" s="44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3"/>
      <c r="F1037" s="44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3"/>
      <c r="F1038" s="44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3"/>
      <c r="F1039" s="44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3"/>
      <c r="F1040" s="44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3"/>
      <c r="F1041" s="44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3"/>
      <c r="F1042" s="44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3"/>
      <c r="F1043" s="44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3"/>
      <c r="F1044" s="44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3"/>
      <c r="F1045" s="44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3"/>
      <c r="F1046" s="44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3"/>
      <c r="F1047" s="44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3"/>
      <c r="F1048" s="44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3"/>
      <c r="F1049" s="44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3"/>
      <c r="F1050" s="44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3"/>
      <c r="F1051" s="44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3"/>
      <c r="F1052" s="44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3"/>
      <c r="F1053" s="44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3"/>
      <c r="F1054" s="44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3"/>
      <c r="F1055" s="44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3"/>
      <c r="F1056" s="44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3"/>
      <c r="F1057" s="44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3"/>
      <c r="F1058" s="44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3"/>
      <c r="F1059" s="44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3"/>
      <c r="F1060" s="44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3"/>
      <c r="F1061" s="44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3"/>
      <c r="F1062" s="44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3"/>
      <c r="F1063" s="44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3"/>
      <c r="F1064" s="44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3"/>
      <c r="F1065" s="44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3"/>
      <c r="F1066" s="44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3"/>
      <c r="F1067" s="44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3"/>
      <c r="F1068" s="44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3"/>
      <c r="F1069" s="44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3"/>
      <c r="F1070" s="44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3"/>
      <c r="F1071" s="44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3"/>
      <c r="F1072" s="44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3"/>
      <c r="F1073" s="44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3"/>
      <c r="F1074" s="44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3"/>
      <c r="F1075" s="44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3"/>
      <c r="F1076" s="44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3"/>
      <c r="F1077" s="44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3"/>
      <c r="F1078" s="44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3"/>
      <c r="F1079" s="44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3"/>
      <c r="F1080" s="44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3"/>
      <c r="F1081" s="44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3"/>
      <c r="F1082" s="44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3"/>
      <c r="F1083" s="44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3"/>
      <c r="F1084" s="44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3"/>
      <c r="F1085" s="44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3"/>
      <c r="F1086" s="44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3"/>
      <c r="F1087" s="44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3"/>
      <c r="F1088" s="44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3"/>
      <c r="F1089" s="44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3"/>
      <c r="F1090" s="44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3"/>
      <c r="F1091" s="44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3"/>
      <c r="F1092" s="44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3"/>
      <c r="F1093" s="44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3"/>
      <c r="F1094" s="44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3"/>
      <c r="F1095" s="44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3"/>
      <c r="F1096" s="44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3"/>
      <c r="F1097" s="44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3"/>
      <c r="F1098" s="44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3"/>
      <c r="F1099" s="44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3"/>
      <c r="F1100" s="44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3"/>
      <c r="F1101" s="44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3"/>
      <c r="F1102" s="44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3"/>
      <c r="F1103" s="44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3"/>
      <c r="F1104" s="44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3"/>
      <c r="F1105" s="44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3"/>
      <c r="F1106" s="44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3"/>
      <c r="F1107" s="44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3"/>
      <c r="F1108" s="44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3"/>
      <c r="F1109" s="44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3"/>
      <c r="F1110" s="44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3"/>
      <c r="F1111" s="44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3"/>
      <c r="F1112" s="44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3"/>
      <c r="F1113" s="44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3"/>
      <c r="F1114" s="44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3"/>
      <c r="F1115" s="44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3"/>
      <c r="F1116" s="44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3"/>
      <c r="F1117" s="44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3"/>
      <c r="F1118" s="44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3"/>
      <c r="F1119" s="44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3"/>
      <c r="F1120" s="44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3"/>
      <c r="F1121" s="44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3"/>
      <c r="F1122" s="44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3"/>
      <c r="F1123" s="44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3"/>
      <c r="F1124" s="44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3"/>
      <c r="F1125" s="44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3"/>
      <c r="F1126" s="44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3"/>
      <c r="F1127" s="44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3"/>
      <c r="F1128" s="44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3"/>
      <c r="F1129" s="44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3"/>
      <c r="F1130" s="44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3"/>
      <c r="F1131" s="44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3"/>
      <c r="F1132" s="44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3"/>
      <c r="F1133" s="44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3"/>
      <c r="F1134" s="44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3"/>
      <c r="F1135" s="44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3"/>
      <c r="F1136" s="44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3"/>
      <c r="F1137" s="44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3"/>
      <c r="F1138" s="44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3"/>
      <c r="F1139" s="44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3"/>
      <c r="F1140" s="44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3"/>
      <c r="F1141" s="44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3"/>
      <c r="F1142" s="44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3"/>
      <c r="F1143" s="44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3"/>
      <c r="F1144" s="44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3"/>
      <c r="F1145" s="44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3"/>
      <c r="F1146" s="44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3"/>
      <c r="F1147" s="44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3"/>
      <c r="F1148" s="44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3"/>
      <c r="F1149" s="44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3"/>
      <c r="F1150" s="44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3"/>
      <c r="F1151" s="44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3"/>
      <c r="F1152" s="44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3"/>
      <c r="F1153" s="44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3"/>
      <c r="F1154" s="44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3"/>
      <c r="F1155" s="44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3"/>
      <c r="F1156" s="44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3"/>
      <c r="F1157" s="44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3"/>
      <c r="F1158" s="44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3"/>
      <c r="F1159" s="44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3"/>
      <c r="F1160" s="44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3"/>
      <c r="F1161" s="44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3"/>
      <c r="F1162" s="44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3"/>
      <c r="F1163" s="44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3"/>
      <c r="F1164" s="44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3"/>
      <c r="F1165" s="44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3"/>
      <c r="F1166" s="44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3"/>
      <c r="F1167" s="44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3"/>
      <c r="F1168" s="44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3"/>
      <c r="F1169" s="44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3"/>
      <c r="F1170" s="44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3"/>
      <c r="F1171" s="44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3"/>
      <c r="F1172" s="44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3"/>
      <c r="F1173" s="44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3"/>
      <c r="F1174" s="44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3"/>
      <c r="F1175" s="44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3"/>
      <c r="F1176" s="44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3"/>
      <c r="F1177" s="44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3"/>
      <c r="F1178" s="44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3"/>
      <c r="F1179" s="44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3"/>
      <c r="F1180" s="44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3"/>
      <c r="F1181" s="44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3"/>
      <c r="F1182" s="44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3"/>
      <c r="F1183" s="44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3"/>
      <c r="F1184" s="44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3"/>
      <c r="F1185" s="44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3"/>
      <c r="F1186" s="44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3"/>
      <c r="F1187" s="44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3"/>
      <c r="F1188" s="44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3"/>
      <c r="F1189" s="44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3"/>
      <c r="F1190" s="44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3"/>
      <c r="F1191" s="44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3"/>
      <c r="F1192" s="44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3"/>
      <c r="F1193" s="44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3"/>
      <c r="F1194" s="44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3"/>
      <c r="F1195" s="44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3"/>
      <c r="F1196" s="44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3"/>
      <c r="F1197" s="44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3"/>
      <c r="F1198" s="44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3"/>
      <c r="F1199" s="44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3"/>
      <c r="F1200" s="44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3"/>
      <c r="F1201" s="44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3"/>
      <c r="F1202" s="44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3"/>
      <c r="F1203" s="44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3"/>
      <c r="F1204" s="44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3"/>
      <c r="F1205" s="44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3"/>
      <c r="F1206" s="44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3"/>
      <c r="F1207" s="44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3"/>
      <c r="F1208" s="44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3"/>
      <c r="F1209" s="44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3"/>
      <c r="F1210" s="44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3"/>
      <c r="F1211" s="44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3"/>
      <c r="F1212" s="44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3"/>
      <c r="F1213" s="44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3"/>
      <c r="F1214" s="44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3"/>
      <c r="F1215" s="44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3"/>
      <c r="F1216" s="44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3"/>
      <c r="F1217" s="44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3"/>
      <c r="F1218" s="44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3"/>
      <c r="F1219" s="44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3"/>
      <c r="F1220" s="44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3"/>
      <c r="F1221" s="44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3"/>
      <c r="F1222" s="44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3"/>
      <c r="F1223" s="44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3"/>
      <c r="F1224" s="44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3"/>
      <c r="F1225" s="44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3"/>
      <c r="F1226" s="44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3"/>
      <c r="F1227" s="44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3"/>
      <c r="F1228" s="44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3"/>
      <c r="F1229" s="44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3"/>
      <c r="F1230" s="44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3"/>
      <c r="F1231" s="44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3"/>
      <c r="F1232" s="44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3"/>
      <c r="F1233" s="44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3"/>
      <c r="F1234" s="44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3"/>
      <c r="F1235" s="44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3"/>
      <c r="F1236" s="44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3"/>
      <c r="F1237" s="44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3"/>
      <c r="F1238" s="44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3"/>
      <c r="F1239" s="44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3"/>
      <c r="F1240" s="44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3"/>
      <c r="F1241" s="44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3"/>
      <c r="F1242" s="44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3"/>
      <c r="F1243" s="44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3"/>
      <c r="F1244" s="44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3"/>
      <c r="F1245" s="44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3"/>
      <c r="F1246" s="44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3"/>
      <c r="F1247" s="44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3"/>
      <c r="F1248" s="44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3"/>
      <c r="F1249" s="44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3"/>
      <c r="F1250" s="44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3"/>
      <c r="F1251" s="44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3"/>
      <c r="F1252" s="44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3"/>
      <c r="F1253" s="44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3"/>
      <c r="F1254" s="44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3"/>
      <c r="F1255" s="44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3"/>
      <c r="F1256" s="44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3"/>
      <c r="F1257" s="44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3"/>
      <c r="F1258" s="44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3"/>
      <c r="F1259" s="44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3"/>
      <c r="F1260" s="44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3"/>
      <c r="F1261" s="44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3"/>
      <c r="F1262" s="44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3"/>
      <c r="F1263" s="44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3"/>
      <c r="F1264" s="44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3"/>
      <c r="F1265" s="44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3"/>
      <c r="F1266" s="44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3"/>
      <c r="F1267" s="44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3"/>
      <c r="F1268" s="44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3"/>
      <c r="F1269" s="44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3"/>
      <c r="F1270" s="44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3"/>
      <c r="F1271" s="44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3"/>
      <c r="F1272" s="44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3"/>
      <c r="F1273" s="44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3"/>
      <c r="F1274" s="44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3"/>
      <c r="F1275" s="44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3"/>
      <c r="F1276" s="44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3"/>
      <c r="F1277" s="44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3"/>
      <c r="F1278" s="44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3"/>
      <c r="F1279" s="44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3"/>
      <c r="F1280" s="44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3"/>
      <c r="F1281" s="44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3"/>
      <c r="F1282" s="44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3"/>
      <c r="F1283" s="44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3"/>
      <c r="F1284" s="44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3"/>
      <c r="F1285" s="44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3"/>
      <c r="F1286" s="44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3"/>
      <c r="F1287" s="44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3"/>
      <c r="F1288" s="44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3"/>
      <c r="F1289" s="44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3"/>
      <c r="F1290" s="44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3"/>
      <c r="F1291" s="44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3"/>
      <c r="F1292" s="44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3"/>
      <c r="F1293" s="44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3"/>
      <c r="F1294" s="44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3"/>
      <c r="F1295" s="44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3"/>
      <c r="F1296" s="44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3"/>
      <c r="F1297" s="44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3"/>
      <c r="F1298" s="44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3"/>
      <c r="F1299" s="44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3"/>
      <c r="F1300" s="44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3"/>
      <c r="F1301" s="44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3"/>
      <c r="F1302" s="44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3"/>
      <c r="F1303" s="44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3"/>
      <c r="F1304" s="44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3"/>
      <c r="F1305" s="44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3"/>
      <c r="F1306" s="44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3"/>
      <c r="F1307" s="44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3"/>
      <c r="F1308" s="44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3"/>
      <c r="F1309" s="44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3"/>
      <c r="F1310" s="44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3"/>
      <c r="F1311" s="44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3"/>
      <c r="F1312" s="44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3"/>
      <c r="F1313" s="44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3"/>
      <c r="F1314" s="44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3"/>
      <c r="F1315" s="44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3"/>
      <c r="F1316" s="44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3"/>
      <c r="F1317" s="44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3"/>
      <c r="F1318" s="44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3"/>
      <c r="F1319" s="44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3"/>
      <c r="F1320" s="44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3"/>
      <c r="F1321" s="44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3"/>
      <c r="F1322" s="44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3"/>
      <c r="F1323" s="44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3"/>
      <c r="F1324" s="44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3"/>
      <c r="F1325" s="44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3"/>
      <c r="F1326" s="44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3"/>
      <c r="F1327" s="44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3"/>
      <c r="F1328" s="44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3"/>
      <c r="F1329" s="44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3"/>
      <c r="F1330" s="44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3"/>
      <c r="F1331" s="44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3"/>
      <c r="F1332" s="44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3"/>
      <c r="F1333" s="44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3"/>
      <c r="F1334" s="44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3"/>
      <c r="F1335" s="44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3"/>
      <c r="F1336" s="44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3"/>
      <c r="F1337" s="44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3"/>
      <c r="F1338" s="44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3"/>
      <c r="F1339" s="44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3"/>
      <c r="F1340" s="44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3"/>
      <c r="F1341" s="44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3"/>
      <c r="F1342" s="44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3"/>
      <c r="F1343" s="44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3"/>
      <c r="F1344" s="44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3"/>
      <c r="F1345" s="44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3"/>
      <c r="F1346" s="44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3"/>
      <c r="F1347" s="44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3"/>
      <c r="F1348" s="44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3"/>
      <c r="F1349" s="44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3"/>
      <c r="F1350" s="44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3"/>
      <c r="F1351" s="44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3"/>
      <c r="F1352" s="44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3"/>
      <c r="F1353" s="44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3"/>
      <c r="F1354" s="44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3"/>
      <c r="F1355" s="44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3"/>
      <c r="F1356" s="44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3"/>
      <c r="F1357" s="44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3"/>
      <c r="F1358" s="44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3"/>
      <c r="F1359" s="44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3"/>
      <c r="F1360" s="44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3"/>
      <c r="F1361" s="44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3"/>
      <c r="F1362" s="44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3"/>
      <c r="F1363" s="44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3"/>
      <c r="F1364" s="44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3"/>
      <c r="F1365" s="44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3"/>
      <c r="F1366" s="44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3"/>
      <c r="F1367" s="44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3"/>
      <c r="F1368" s="44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3"/>
      <c r="F1369" s="44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3"/>
      <c r="F1370" s="44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3"/>
      <c r="F1371" s="44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3"/>
      <c r="F1372" s="44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3"/>
      <c r="F1373" s="44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3"/>
      <c r="F1374" s="44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3"/>
      <c r="F1375" s="44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3"/>
      <c r="F1376" s="44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3"/>
      <c r="F1377" s="44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3"/>
      <c r="F1378" s="44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3"/>
      <c r="F1379" s="44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3"/>
      <c r="F1380" s="44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3"/>
      <c r="F1381" s="44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3"/>
      <c r="F1382" s="44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3"/>
      <c r="F1383" s="44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3"/>
      <c r="F1384" s="44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3"/>
      <c r="F1385" s="44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3"/>
      <c r="F1386" s="44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3"/>
      <c r="F1387" s="44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3"/>
      <c r="F1388" s="44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3"/>
      <c r="F1389" s="44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3"/>
      <c r="F1390" s="44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3"/>
      <c r="F1391" s="44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3"/>
      <c r="F1392" s="44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3"/>
      <c r="F1393" s="44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3"/>
      <c r="F1394" s="44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3"/>
      <c r="F1395" s="44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3"/>
      <c r="F1396" s="44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3"/>
      <c r="F1397" s="44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3"/>
      <c r="F1398" s="44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3"/>
      <c r="F1399" s="44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3"/>
      <c r="F1400" s="44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3"/>
      <c r="F1401" s="44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3"/>
      <c r="F1402" s="44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3"/>
      <c r="F1403" s="44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3"/>
      <c r="F1404" s="44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3"/>
      <c r="F1405" s="44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3"/>
      <c r="F1406" s="44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3"/>
      <c r="F1407" s="44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3"/>
      <c r="F1408" s="44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3"/>
      <c r="F1409" s="44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3"/>
      <c r="F1410" s="44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3"/>
      <c r="F1411" s="44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3"/>
      <c r="F1412" s="44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3"/>
      <c r="F1413" s="44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3"/>
      <c r="F1414" s="44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3"/>
      <c r="F1415" s="44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3"/>
      <c r="F1416" s="44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3"/>
      <c r="F1417" s="44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3"/>
      <c r="F1418" s="44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3"/>
      <c r="F1419" s="44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3"/>
      <c r="F1420" s="44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3"/>
      <c r="F1421" s="44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3"/>
      <c r="F1422" s="44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3"/>
      <c r="F1423" s="44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3"/>
      <c r="F1424" s="44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3"/>
      <c r="F1425" s="44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3"/>
      <c r="F1426" s="44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3"/>
      <c r="F1427" s="44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3"/>
      <c r="F1428" s="44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3"/>
      <c r="F1429" s="44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3"/>
      <c r="F1430" s="44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3"/>
      <c r="F1431" s="44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3"/>
      <c r="F1432" s="44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3"/>
      <c r="F1433" s="44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3"/>
      <c r="F1434" s="44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3"/>
      <c r="F1435" s="44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3"/>
      <c r="F1436" s="44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3"/>
      <c r="F1437" s="44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3"/>
      <c r="F1438" s="44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3"/>
      <c r="F1439" s="44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3"/>
      <c r="F1440" s="44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3"/>
      <c r="F1441" s="44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3"/>
      <c r="F1442" s="44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3"/>
      <c r="F1443" s="44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3"/>
      <c r="F1444" s="44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3"/>
      <c r="F1445" s="44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3"/>
      <c r="F1446" s="44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3"/>
      <c r="F1447" s="44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3"/>
      <c r="F1448" s="44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3"/>
      <c r="F1449" s="44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3"/>
      <c r="F1450" s="44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3"/>
      <c r="F1451" s="44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3"/>
      <c r="F1452" s="44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3"/>
      <c r="F1453" s="44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3"/>
      <c r="F1454" s="44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3"/>
      <c r="F1455" s="44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3"/>
      <c r="F1456" s="44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3"/>
      <c r="F1457" s="44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3"/>
      <c r="F1458" s="44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3"/>
      <c r="F1459" s="44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3"/>
      <c r="F1460" s="44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3"/>
      <c r="F1461" s="44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3"/>
      <c r="F1462" s="44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3"/>
      <c r="F1463" s="44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3"/>
      <c r="F1464" s="44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3"/>
      <c r="F1465" s="44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3"/>
      <c r="F1466" s="44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3"/>
      <c r="F1467" s="44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3"/>
      <c r="F1468" s="44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3"/>
      <c r="F1469" s="44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3"/>
      <c r="F1470" s="44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3"/>
      <c r="F1471" s="44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3"/>
      <c r="F1472" s="44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3"/>
      <c r="F1473" s="44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3"/>
      <c r="F1474" s="44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3"/>
      <c r="F1475" s="44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3"/>
      <c r="F1476" s="44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3"/>
      <c r="F1477" s="44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3"/>
      <c r="F1478" s="44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3"/>
      <c r="F1479" s="44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3"/>
      <c r="F1480" s="44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3"/>
      <c r="F1481" s="44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3"/>
      <c r="F1482" s="44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3"/>
      <c r="F1483" s="44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3"/>
      <c r="F1484" s="44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3"/>
      <c r="F1485" s="44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3"/>
      <c r="F1486" s="44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3"/>
      <c r="F1487" s="44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3"/>
      <c r="F1488" s="44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3"/>
      <c r="F1489" s="44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3"/>
      <c r="F1490" s="44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3"/>
      <c r="F1491" s="44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3"/>
      <c r="F1492" s="44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3"/>
      <c r="F1493" s="44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3"/>
      <c r="F1494" s="44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3"/>
      <c r="F1495" s="44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3"/>
      <c r="F1496" s="44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3"/>
      <c r="F1497" s="44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3"/>
      <c r="F1498" s="44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3"/>
      <c r="F1499" s="44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3"/>
      <c r="F1500" s="44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3"/>
      <c r="F1501" s="44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3"/>
      <c r="F1502" s="44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3"/>
      <c r="F1503" s="44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3"/>
      <c r="F1504" s="44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3"/>
      <c r="F1505" s="44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3"/>
      <c r="F1506" s="44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3"/>
      <c r="F1507" s="44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3"/>
      <c r="F1508" s="44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3"/>
      <c r="F1509" s="44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3"/>
      <c r="F1510" s="44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3"/>
      <c r="F1511" s="44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3"/>
      <c r="F1512" s="44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3"/>
      <c r="F1513" s="44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3"/>
      <c r="F1514" s="44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3"/>
      <c r="F1515" s="44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3"/>
      <c r="F1516" s="44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3"/>
      <c r="F1517" s="44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3"/>
      <c r="F1518" s="44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3"/>
      <c r="F1519" s="44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3"/>
      <c r="F1520" s="44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3"/>
      <c r="F1521" s="44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3"/>
      <c r="F1522" s="44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3"/>
      <c r="F1523" s="44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3"/>
      <c r="F1524" s="44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3"/>
      <c r="F1525" s="44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3"/>
      <c r="F1526" s="44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3"/>
      <c r="F1527" s="44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3"/>
      <c r="F1528" s="44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3"/>
      <c r="F1529" s="44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3"/>
      <c r="F1530" s="44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3"/>
      <c r="F1531" s="44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3"/>
      <c r="F1532" s="44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3"/>
      <c r="F1533" s="44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3"/>
      <c r="F1534" s="44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3"/>
      <c r="F1535" s="44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3"/>
      <c r="F1536" s="44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3"/>
      <c r="F1537" s="44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3"/>
      <c r="F1538" s="44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3"/>
      <c r="F1539" s="44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3"/>
      <c r="F1540" s="44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3"/>
      <c r="F1541" s="44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3"/>
      <c r="F1542" s="44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3"/>
      <c r="F1543" s="44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3"/>
      <c r="F1544" s="44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3"/>
      <c r="F1545" s="44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3"/>
      <c r="F1546" s="44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3"/>
      <c r="F1547" s="44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3"/>
      <c r="F1548" s="44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3"/>
      <c r="F1549" s="44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3"/>
      <c r="F1550" s="44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3"/>
      <c r="F1551" s="44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3"/>
      <c r="F1552" s="44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3"/>
      <c r="F1553" s="44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3"/>
      <c r="F1554" s="44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3"/>
      <c r="F1555" s="44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3"/>
      <c r="F1556" s="44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3"/>
      <c r="F1557" s="44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3"/>
      <c r="F1558" s="44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3"/>
      <c r="F1559" s="44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3"/>
      <c r="F1560" s="44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3"/>
      <c r="F1561" s="44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3"/>
      <c r="F1562" s="44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3"/>
      <c r="F1563" s="44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3"/>
      <c r="F1564" s="44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3"/>
      <c r="F1565" s="44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3"/>
      <c r="F1566" s="44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3"/>
      <c r="F1567" s="44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3"/>
      <c r="F1568" s="44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3"/>
      <c r="F1569" s="44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3"/>
      <c r="F1570" s="44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3"/>
      <c r="F1571" s="44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3"/>
      <c r="F1572" s="44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3"/>
      <c r="F1573" s="44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3"/>
      <c r="F1574" s="44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3"/>
      <c r="F1575" s="44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3"/>
      <c r="F1576" s="44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3"/>
      <c r="F1577" s="44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3"/>
      <c r="F1578" s="44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3"/>
      <c r="F1579" s="44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3"/>
      <c r="F1580" s="44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3"/>
      <c r="F1581" s="44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3"/>
      <c r="F1582" s="44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3"/>
      <c r="F1583" s="44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3"/>
      <c r="F1584" s="44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3"/>
      <c r="F1585" s="44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3"/>
      <c r="F1586" s="44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3"/>
      <c r="F1587" s="44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3"/>
      <c r="F1588" s="44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3"/>
      <c r="F1589" s="44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3"/>
      <c r="F1590" s="44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3"/>
      <c r="F1591" s="44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3"/>
      <c r="F1592" s="44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3"/>
      <c r="F1593" s="44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3"/>
      <c r="F1594" s="44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3"/>
      <c r="F1595" s="44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3"/>
      <c r="F1596" s="44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3"/>
      <c r="F1597" s="44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3"/>
      <c r="F1598" s="44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3"/>
      <c r="F1599" s="44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3"/>
      <c r="F1600" s="44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3"/>
      <c r="F1601" s="44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3"/>
      <c r="F1602" s="44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3"/>
      <c r="F1603" s="44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3"/>
      <c r="F1604" s="44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3"/>
      <c r="F1605" s="44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3"/>
      <c r="F1606" s="44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3"/>
      <c r="F1607" s="44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3"/>
      <c r="F1608" s="44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3"/>
      <c r="F1609" s="44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3"/>
      <c r="F1610" s="44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3"/>
      <c r="F1611" s="44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3"/>
      <c r="F1612" s="44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3"/>
      <c r="F1613" s="44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3"/>
      <c r="F1614" s="44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3"/>
      <c r="F1615" s="44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3"/>
      <c r="F1616" s="44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3"/>
      <c r="F1617" s="44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3"/>
      <c r="F1618" s="44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3"/>
      <c r="F1619" s="44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3"/>
      <c r="F1620" s="44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3"/>
      <c r="F1621" s="44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3"/>
      <c r="F1622" s="44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3"/>
      <c r="F1623" s="44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3"/>
      <c r="F1624" s="44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3"/>
      <c r="F1625" s="44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3"/>
      <c r="F1626" s="44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3"/>
      <c r="F1627" s="44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3"/>
      <c r="F1628" s="44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3"/>
      <c r="F1629" s="44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3"/>
      <c r="F1630" s="44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3"/>
      <c r="F1631" s="44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3"/>
      <c r="F1632" s="44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3"/>
      <c r="F1633" s="44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3"/>
      <c r="F1634" s="44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3"/>
      <c r="F1635" s="44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3"/>
      <c r="F1636" s="44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3"/>
      <c r="F1637" s="44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3"/>
      <c r="F1638" s="44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3"/>
      <c r="F1639" s="44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3"/>
      <c r="F1640" s="44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3"/>
      <c r="F1641" s="44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3"/>
      <c r="F1642" s="44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3"/>
      <c r="F1643" s="44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3"/>
      <c r="F1644" s="44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3"/>
      <c r="F1645" s="44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3"/>
      <c r="F1646" s="44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3"/>
      <c r="F1647" s="44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3"/>
      <c r="F1648" s="44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3"/>
      <c r="F1649" s="44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3"/>
      <c r="F1650" s="44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3"/>
      <c r="F1651" s="44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3"/>
      <c r="F1652" s="44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3"/>
      <c r="F1653" s="44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3"/>
      <c r="F1654" s="44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3"/>
      <c r="F1655" s="44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3"/>
      <c r="F1656" s="44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3"/>
      <c r="F1657" s="44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3"/>
      <c r="F1658" s="44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3"/>
      <c r="F1659" s="44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3"/>
      <c r="F1660" s="44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3"/>
      <c r="F1661" s="44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3"/>
      <c r="F1662" s="44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3"/>
      <c r="F1663" s="44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3"/>
      <c r="F1664" s="44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3"/>
      <c r="F1665" s="44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3"/>
      <c r="F1666" s="44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3"/>
      <c r="F1667" s="44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3"/>
      <c r="F1668" s="44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3"/>
      <c r="F1669" s="44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3"/>
      <c r="F1670" s="44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3"/>
      <c r="F1671" s="44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3"/>
      <c r="F1672" s="44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3"/>
      <c r="F1673" s="44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3"/>
      <c r="F1674" s="44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3"/>
      <c r="F1675" s="44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3"/>
      <c r="F1676" s="44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3"/>
      <c r="F1677" s="44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3"/>
      <c r="F1678" s="44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3"/>
      <c r="F1679" s="44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3"/>
      <c r="F1680" s="44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3"/>
      <c r="F1681" s="44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3"/>
      <c r="F1682" s="44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3"/>
      <c r="F1683" s="44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3"/>
      <c r="F1684" s="44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3"/>
      <c r="F1685" s="44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3"/>
      <c r="F1686" s="44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3"/>
      <c r="F1687" s="44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3"/>
      <c r="F1688" s="44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3"/>
      <c r="F1689" s="44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3"/>
      <c r="F1690" s="44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3"/>
      <c r="F1691" s="44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3"/>
      <c r="F1692" s="44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3"/>
      <c r="F1693" s="44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3"/>
      <c r="F1694" s="44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3"/>
      <c r="F1695" s="44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3"/>
      <c r="F1696" s="44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3"/>
      <c r="F1697" s="44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3"/>
      <c r="F1698" s="44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3"/>
      <c r="F1699" s="44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3"/>
      <c r="F1700" s="44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3"/>
      <c r="F1701" s="44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3"/>
      <c r="F1702" s="44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3"/>
      <c r="F1703" s="44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3"/>
      <c r="F1704" s="44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3"/>
      <c r="F1705" s="44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3"/>
      <c r="F1706" s="44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3"/>
      <c r="F1707" s="44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3"/>
      <c r="F1708" s="44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3"/>
      <c r="F1709" s="44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3"/>
      <c r="F1710" s="44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3"/>
      <c r="F1711" s="44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3"/>
      <c r="F1712" s="44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3"/>
      <c r="F1713" s="44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3"/>
      <c r="F1714" s="44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3"/>
      <c r="F1715" s="44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3"/>
      <c r="F1716" s="44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3"/>
      <c r="F1717" s="44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3"/>
      <c r="F1718" s="44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3"/>
      <c r="F1719" s="44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3"/>
      <c r="F1720" s="44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3"/>
      <c r="F1721" s="44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3"/>
      <c r="F1722" s="44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3"/>
      <c r="F1723" s="44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3"/>
      <c r="F1724" s="44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3"/>
      <c r="F1725" s="44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3"/>
      <c r="F1726" s="44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3"/>
      <c r="F1727" s="44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3"/>
      <c r="F1728" s="44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3"/>
      <c r="F1729" s="44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3"/>
      <c r="F1730" s="44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3"/>
      <c r="F1731" s="44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3"/>
      <c r="F1732" s="44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3"/>
      <c r="F1733" s="44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3"/>
      <c r="F1734" s="44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3"/>
      <c r="F1735" s="44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3"/>
      <c r="F1736" s="44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3"/>
      <c r="F1737" s="44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3"/>
      <c r="F1738" s="44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3"/>
      <c r="F1739" s="44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3"/>
      <c r="F1740" s="44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3"/>
      <c r="F1741" s="44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3"/>
      <c r="F1742" s="44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3"/>
      <c r="F1743" s="44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3"/>
      <c r="F1744" s="44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3"/>
      <c r="F1745" s="44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3"/>
      <c r="F1746" s="44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3"/>
      <c r="F1747" s="44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3"/>
      <c r="F1748" s="44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3"/>
      <c r="F1749" s="44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3"/>
      <c r="F1750" s="44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3"/>
      <c r="F1751" s="44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3"/>
      <c r="F1752" s="44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3"/>
      <c r="F1753" s="44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3"/>
      <c r="F1754" s="44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3"/>
      <c r="F1755" s="44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3"/>
      <c r="F1756" s="44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3"/>
      <c r="F1757" s="44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3"/>
      <c r="F1758" s="44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3"/>
      <c r="F1759" s="44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3"/>
      <c r="F1760" s="44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3"/>
      <c r="F1761" s="44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3"/>
      <c r="F1762" s="44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3"/>
      <c r="F1763" s="44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3"/>
      <c r="F1764" s="44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3"/>
      <c r="F1765" s="44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3"/>
      <c r="F1766" s="44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3"/>
      <c r="F1767" s="44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3"/>
      <c r="F1768" s="44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3"/>
      <c r="F1769" s="44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3"/>
      <c r="F1770" s="44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3"/>
      <c r="F1771" s="44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3"/>
      <c r="F1772" s="44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3"/>
      <c r="F1773" s="44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3"/>
      <c r="F1774" s="44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3"/>
      <c r="F1775" s="44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3"/>
      <c r="F1776" s="44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3"/>
      <c r="F1777" s="44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3"/>
      <c r="F1778" s="44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3"/>
      <c r="F1779" s="44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3"/>
      <c r="F1780" s="44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3"/>
      <c r="F1781" s="44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3"/>
      <c r="F1782" s="44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3"/>
      <c r="F1783" s="44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3"/>
      <c r="F1784" s="44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3"/>
      <c r="F1785" s="44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3"/>
      <c r="F1786" s="44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3"/>
      <c r="F1787" s="44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3"/>
      <c r="F1788" s="44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3"/>
      <c r="F1789" s="44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3"/>
      <c r="F1790" s="44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3"/>
      <c r="F1791" s="44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3"/>
      <c r="F1792" s="44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3"/>
      <c r="F1793" s="44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3"/>
      <c r="F1794" s="44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3"/>
      <c r="F1795" s="44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3"/>
      <c r="F1796" s="44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3"/>
      <c r="F1797" s="44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3"/>
      <c r="F1798" s="44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3"/>
      <c r="F1799" s="44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3"/>
      <c r="F1800" s="44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3"/>
      <c r="F1801" s="44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3"/>
      <c r="F1802" s="44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3"/>
      <c r="F1803" s="44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3"/>
      <c r="F1804" s="44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3"/>
      <c r="F1805" s="44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3"/>
      <c r="F1806" s="44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3"/>
      <c r="F1807" s="44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3"/>
      <c r="F1808" s="44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3"/>
      <c r="F1809" s="44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3"/>
      <c r="F1810" s="44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3"/>
      <c r="F1811" s="44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3"/>
      <c r="F1812" s="44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3"/>
      <c r="F1813" s="44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3"/>
      <c r="F1814" s="44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3"/>
      <c r="F1815" s="44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3"/>
      <c r="F1816" s="44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3"/>
      <c r="F1817" s="44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3"/>
      <c r="F1818" s="44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3"/>
      <c r="F1819" s="44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3"/>
      <c r="F1820" s="44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3"/>
      <c r="F1821" s="44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3"/>
      <c r="F1822" s="44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3"/>
      <c r="F1823" s="44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3"/>
      <c r="F1824" s="44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3"/>
      <c r="F1825" s="44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3"/>
      <c r="F1826" s="44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3"/>
      <c r="F1827" s="44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3"/>
      <c r="F1828" s="44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3"/>
      <c r="F1829" s="44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3"/>
      <c r="F1830" s="44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3"/>
      <c r="F1831" s="44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3"/>
      <c r="F1832" s="44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3"/>
      <c r="F1833" s="44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3"/>
      <c r="F1834" s="44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3"/>
      <c r="F1835" s="44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3"/>
      <c r="F1836" s="44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3"/>
      <c r="F1837" s="44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3"/>
      <c r="F1838" s="44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3"/>
      <c r="F1839" s="44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3"/>
      <c r="F1840" s="44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3"/>
      <c r="F1841" s="44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3"/>
      <c r="F1842" s="44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3"/>
      <c r="F1843" s="44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3"/>
      <c r="F1844" s="44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604046.51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55</v>
      </c>
      <c r="I1" s="51">
        <f>countifs(B:B,"&lt;&gt;",F:F,"&lt;&gt;")-1</f>
        <v>17</v>
      </c>
      <c r="K1" s="52" t="s">
        <v>56</v>
      </c>
      <c r="L1" s="52" t="s">
        <v>57</v>
      </c>
      <c r="M1" s="52" t="s">
        <v>13</v>
      </c>
    </row>
    <row r="2">
      <c r="H2" s="50" t="s">
        <v>58</v>
      </c>
      <c r="I2" s="51">
        <f t="array" ref="I2">(COUNTA(UNIQUE(C:C))-1)</f>
        <v>16</v>
      </c>
      <c r="K2" s="53" t="str">
        <f>'Internal Summary'!B41</f>
        <v>Atun 1.5litre Palm Oil (6x)</v>
      </c>
      <c r="L2" s="51">
        <f t="shared" ref="L2:L13" si="1">sumif(D:D,K2,E:E)</f>
        <v>4</v>
      </c>
      <c r="M2" s="51">
        <f t="shared" ref="M2:M13" si="2">sumif(D:D,K2,F:F)</f>
        <v>111627.92</v>
      </c>
      <c r="N2" s="54"/>
    </row>
    <row r="3">
      <c r="H3" s="50" t="s">
        <v>59</v>
      </c>
      <c r="I3" s="51">
        <f>sum(F:F)</f>
        <v>604046.51</v>
      </c>
      <c r="K3" s="53" t="str">
        <f>'Internal Summary'!B42</f>
        <v>Atun 120g Peppersoup Spice (12x)</v>
      </c>
      <c r="L3" s="51">
        <f t="shared" si="1"/>
        <v>14</v>
      </c>
      <c r="M3" s="51">
        <f t="shared" si="2"/>
        <v>470093.01</v>
      </c>
      <c r="N3" s="54"/>
    </row>
    <row r="4">
      <c r="H4" s="55"/>
      <c r="K4" s="53" t="str">
        <f>'Internal Summary'!B43</f>
        <v>Atun 3kg Yellow Garri (4x)</v>
      </c>
      <c r="L4" s="51">
        <f t="shared" si="1"/>
        <v>1</v>
      </c>
      <c r="M4" s="51">
        <f t="shared" si="2"/>
        <v>22325.58</v>
      </c>
      <c r="N4" s="54"/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  <c r="N5" s="54"/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A12" s="56"/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2"/>
    <row r="23"/>
    <row r="24">
      <c r="I24" s="9"/>
    </row>
    <row r="25"/>
    <row r="26"/>
    <row r="27">
      <c r="I27" s="9"/>
    </row>
    <row r="28"/>
    <row r="29"/>
    <row r="30">
      <c r="I30" s="9"/>
    </row>
    <row r="31"/>
    <row r="32"/>
    <row r="33">
      <c r="I33" s="9"/>
    </row>
    <row r="34"/>
    <row r="35"/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55</v>
      </c>
      <c r="I1" s="51">
        <f>countifs(B:B,"&lt;&gt;",F:F,"&lt;&gt;")-1</f>
        <v>0</v>
      </c>
      <c r="K1" s="53" t="s">
        <v>56</v>
      </c>
      <c r="L1" s="53" t="s">
        <v>57</v>
      </c>
      <c r="M1" s="53" t="s">
        <v>13</v>
      </c>
    </row>
    <row r="2">
      <c r="H2" s="50" t="s">
        <v>58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59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1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1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55</v>
      </c>
      <c r="I1" s="51">
        <f>countifs(B:B,"&lt;&gt;",F:F,"&lt;&gt;")-1</f>
        <v>0</v>
      </c>
      <c r="K1" s="53" t="s">
        <v>56</v>
      </c>
      <c r="L1" s="53" t="s">
        <v>60</v>
      </c>
      <c r="M1" s="53" t="s">
        <v>13</v>
      </c>
    </row>
    <row r="2">
      <c r="H2" s="50" t="s">
        <v>58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7">
        <f t="shared" ref="M2:M13" si="2">sumif(D:D,K2,F:F)</f>
        <v>0</v>
      </c>
    </row>
    <row r="3">
      <c r="H3" s="50" t="s">
        <v>59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7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7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55</v>
      </c>
      <c r="I1" s="51">
        <f>countifs(B:B,"&lt;&gt;",F:F,"&lt;&gt;")-1</f>
        <v>1</v>
      </c>
      <c r="K1" s="53" t="s">
        <v>56</v>
      </c>
      <c r="L1" s="53" t="s">
        <v>57</v>
      </c>
    </row>
    <row r="2">
      <c r="H2" s="50" t="s">
        <v>58</v>
      </c>
      <c r="I2" s="51">
        <f t="array" ref="I2">(COUNTA(UNIQUE(C:C,,0))-1)</f>
        <v>1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59</v>
      </c>
      <c r="I3" s="51">
        <f>sum(F:F)</f>
        <v>600111.59</v>
      </c>
      <c r="K3" s="53" t="str">
        <f>'Internal Summary'!B42</f>
        <v>Atun 120g Peppersoup Spice (12x)</v>
      </c>
      <c r="L3" s="51">
        <f t="shared" si="1"/>
        <v>17.92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0" t="s">
        <v>55</v>
      </c>
      <c r="I1" s="51">
        <f>countifs(B:B,"&lt;&gt;",F:F,"&lt;&gt;")-1</f>
        <v>0</v>
      </c>
      <c r="K1" s="53" t="s">
        <v>56</v>
      </c>
      <c r="L1" s="53" t="s">
        <v>57</v>
      </c>
    </row>
    <row r="2">
      <c r="H2" s="50" t="s">
        <v>58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59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63</v>
      </c>
      <c r="C1" s="50" t="s">
        <v>57</v>
      </c>
      <c r="D1" s="50" t="s">
        <v>64</v>
      </c>
      <c r="E1" s="50" t="s">
        <v>65</v>
      </c>
      <c r="F1" s="60"/>
    </row>
    <row r="2">
      <c r="A2" s="61" t="s">
        <v>66</v>
      </c>
      <c r="B2" s="62" t="s">
        <v>55</v>
      </c>
      <c r="C2" s="63"/>
      <c r="D2" s="64"/>
      <c r="E2" s="65">
        <f>'Dala Sales &amp; Deliveries'!I1+'External Delivery Fulfillment'!I1</f>
        <v>17</v>
      </c>
      <c r="F2" s="60"/>
    </row>
    <row r="3">
      <c r="A3" s="66"/>
      <c r="B3" s="62" t="s">
        <v>67</v>
      </c>
      <c r="C3" s="63"/>
      <c r="D3" s="63"/>
      <c r="E3" s="67">
        <f>'Raw Data'!AW2</f>
        <v>16</v>
      </c>
      <c r="F3" s="60"/>
    </row>
    <row r="4">
      <c r="B4" s="68" t="s">
        <v>68</v>
      </c>
      <c r="C4" s="60"/>
      <c r="D4" s="69"/>
      <c r="E4" s="70">
        <f>'Dala Sales &amp; Deliveries'!I3</f>
        <v>604046.51</v>
      </c>
      <c r="F4" s="60"/>
    </row>
    <row r="5">
      <c r="B5" s="68" t="s">
        <v>69</v>
      </c>
      <c r="C5" s="60"/>
      <c r="D5" s="69"/>
      <c r="E5" s="70">
        <f>'External Delivery Fulfillment'!I3</f>
        <v>0</v>
      </c>
      <c r="F5" s="60"/>
    </row>
    <row r="6">
      <c r="A6" s="71"/>
      <c r="B6" s="72" t="s">
        <v>70</v>
      </c>
      <c r="C6" s="73"/>
      <c r="D6" s="63"/>
      <c r="E6" s="74">
        <f>E4*1.075-E4</f>
        <v>45303.48825</v>
      </c>
      <c r="F6" s="60"/>
    </row>
    <row r="7">
      <c r="A7" s="75"/>
      <c r="B7" s="76" t="s">
        <v>71</v>
      </c>
      <c r="C7" s="77"/>
      <c r="D7" s="77"/>
      <c r="E7" s="78">
        <f>sum(E4:E6)</f>
        <v>649349.9983</v>
      </c>
      <c r="F7" s="60"/>
    </row>
    <row r="8">
      <c r="A8" s="61" t="s">
        <v>72</v>
      </c>
      <c r="B8" s="62" t="s">
        <v>73</v>
      </c>
      <c r="C8" s="63"/>
      <c r="D8" s="79"/>
      <c r="E8" s="80"/>
    </row>
    <row r="9">
      <c r="A9" s="75"/>
      <c r="B9" s="76" t="s">
        <v>74</v>
      </c>
      <c r="C9" s="81">
        <v>0.22</v>
      </c>
      <c r="D9" s="82"/>
      <c r="E9" s="78">
        <f>E8*(C9+100%)-E8</f>
        <v>0</v>
      </c>
      <c r="K9" s="9"/>
      <c r="L9" s="9"/>
      <c r="M9" s="9"/>
    </row>
    <row r="10">
      <c r="A10" s="83" t="s">
        <v>75</v>
      </c>
      <c r="B10" s="76" t="s">
        <v>76</v>
      </c>
      <c r="C10" s="77"/>
      <c r="D10" s="82"/>
      <c r="E10" s="78">
        <f>E7-E8-E9</f>
        <v>649349.9983</v>
      </c>
    </row>
    <row r="11">
      <c r="A11" s="61" t="s">
        <v>77</v>
      </c>
      <c r="B11" s="62" t="s">
        <v>78</v>
      </c>
      <c r="C11" s="84"/>
      <c r="D11" s="85"/>
      <c r="E11" s="85">
        <f>C11*D11</f>
        <v>0</v>
      </c>
    </row>
    <row r="12">
      <c r="A12" s="66"/>
      <c r="B12" s="62" t="s">
        <v>74</v>
      </c>
      <c r="C12" s="86"/>
      <c r="D12" s="79"/>
      <c r="E12" s="85">
        <f>E10*C9</f>
        <v>142856.9996</v>
      </c>
    </row>
    <row r="13">
      <c r="A13" s="66"/>
      <c r="B13" s="72" t="s">
        <v>79</v>
      </c>
      <c r="C13" s="79"/>
      <c r="D13" s="87"/>
      <c r="E13" s="88">
        <f>C27</f>
        <v>39480</v>
      </c>
    </row>
    <row r="14">
      <c r="A14" s="66"/>
      <c r="B14" s="72" t="s">
        <v>80</v>
      </c>
      <c r="C14" s="63"/>
      <c r="D14" s="87" t="s">
        <v>81</v>
      </c>
      <c r="E14" s="85">
        <f>C23</f>
        <v>26880</v>
      </c>
    </row>
    <row r="15">
      <c r="A15" s="66"/>
      <c r="B15" s="62" t="s">
        <v>82</v>
      </c>
      <c r="C15" s="79"/>
      <c r="D15" s="79"/>
      <c r="E15" s="89">
        <v>0.0</v>
      </c>
    </row>
    <row r="16">
      <c r="A16" s="66"/>
      <c r="B16" s="62" t="s">
        <v>83</v>
      </c>
      <c r="C16" s="79"/>
      <c r="D16" s="79"/>
      <c r="E16" s="85">
        <f>C31</f>
        <v>0</v>
      </c>
    </row>
    <row r="17">
      <c r="A17" s="75"/>
      <c r="B17" s="76" t="s">
        <v>84</v>
      </c>
      <c r="C17" s="82"/>
      <c r="D17" s="82"/>
      <c r="E17" s="78">
        <f>sum(E11:E16)</f>
        <v>209216.9996</v>
      </c>
      <c r="H17" s="55"/>
      <c r="I17" s="55"/>
    </row>
    <row r="18">
      <c r="A18" s="83" t="s">
        <v>85</v>
      </c>
      <c r="B18" s="76" t="s">
        <v>86</v>
      </c>
      <c r="C18" s="82"/>
      <c r="D18" s="82"/>
      <c r="E18" s="78">
        <f>E10-E17+C37</f>
        <v>440132.9986</v>
      </c>
      <c r="H18" s="55"/>
      <c r="I18" s="74"/>
      <c r="J18" s="90"/>
      <c r="K18" s="90"/>
      <c r="L18" s="90"/>
      <c r="M18" s="90"/>
      <c r="N18" s="90"/>
    </row>
    <row r="19">
      <c r="A19" s="91"/>
      <c r="B19" s="91"/>
      <c r="C19" s="91"/>
      <c r="D19" s="91"/>
      <c r="E19" s="91"/>
      <c r="H19" s="55"/>
      <c r="I19" s="55"/>
      <c r="J19" s="90"/>
      <c r="K19" s="90"/>
      <c r="L19" s="90"/>
      <c r="M19" s="90"/>
      <c r="N19" s="90"/>
    </row>
    <row r="20">
      <c r="A20" s="55"/>
      <c r="B20" s="91"/>
      <c r="C20" s="91"/>
      <c r="D20" s="91"/>
      <c r="E20" s="91"/>
      <c r="H20" s="55"/>
      <c r="I20" s="55"/>
      <c r="J20" s="90"/>
      <c r="K20" s="90"/>
      <c r="L20" s="90"/>
      <c r="M20" s="90"/>
      <c r="N20" s="90"/>
    </row>
    <row r="21">
      <c r="A21" s="55" t="s">
        <v>87</v>
      </c>
      <c r="B21" s="91"/>
      <c r="C21" s="91"/>
      <c r="D21" s="91"/>
      <c r="E21" s="91"/>
      <c r="H21" s="55"/>
      <c r="I21" s="55"/>
      <c r="J21" s="90"/>
      <c r="K21" s="90"/>
      <c r="L21" s="90"/>
      <c r="M21" s="90"/>
      <c r="N21" s="90"/>
    </row>
    <row r="22">
      <c r="A22" s="91"/>
      <c r="B22" s="50" t="s">
        <v>88</v>
      </c>
      <c r="C22" s="92">
        <f>U70</f>
        <v>17.92</v>
      </c>
      <c r="H22" s="55"/>
      <c r="I22" s="55"/>
      <c r="J22" s="93"/>
      <c r="K22" s="93"/>
      <c r="L22" s="94"/>
      <c r="M22" s="90"/>
      <c r="N22" s="90"/>
    </row>
    <row r="23">
      <c r="A23" s="91"/>
      <c r="B23" s="50" t="s">
        <v>89</v>
      </c>
      <c r="C23" s="92">
        <f>V70</f>
        <v>26880</v>
      </c>
      <c r="H23" s="55"/>
      <c r="I23" s="55"/>
      <c r="J23" s="93"/>
      <c r="K23" s="93"/>
      <c r="L23" s="94"/>
      <c r="M23" s="90"/>
      <c r="N23" s="90"/>
    </row>
    <row r="24">
      <c r="A24" s="91"/>
      <c r="B24" s="50" t="s">
        <v>90</v>
      </c>
      <c r="C24" s="92">
        <f>S70</f>
        <v>0</v>
      </c>
      <c r="H24" s="55"/>
      <c r="I24" s="55"/>
      <c r="J24" s="93"/>
      <c r="K24" s="93"/>
      <c r="L24" s="94"/>
      <c r="M24" s="90"/>
      <c r="N24" s="90"/>
    </row>
    <row r="25">
      <c r="A25" s="91"/>
      <c r="B25" s="50" t="s">
        <v>91</v>
      </c>
      <c r="C25" s="92">
        <f>T70</f>
        <v>0</v>
      </c>
      <c r="H25" s="55"/>
      <c r="I25" s="74"/>
      <c r="J25" s="93"/>
      <c r="K25" s="93"/>
      <c r="L25" s="94"/>
      <c r="M25" s="90"/>
      <c r="N25" s="90"/>
    </row>
    <row r="26">
      <c r="A26" s="91"/>
      <c r="B26" s="50" t="s">
        <v>92</v>
      </c>
      <c r="C26" s="92">
        <f>67</f>
        <v>67</v>
      </c>
      <c r="H26" s="55"/>
      <c r="I26" s="55"/>
    </row>
    <row r="27">
      <c r="A27" s="91"/>
      <c r="B27" s="50" t="s">
        <v>93</v>
      </c>
      <c r="C27" s="88">
        <f>P70</f>
        <v>39480</v>
      </c>
      <c r="H27" s="55"/>
      <c r="I27" s="55"/>
    </row>
    <row r="28">
      <c r="A28" s="91"/>
      <c r="B28" s="50" t="s">
        <v>94</v>
      </c>
      <c r="C28" s="88">
        <f>Q70</f>
        <v>0</v>
      </c>
      <c r="H28" s="55"/>
      <c r="I28" s="55"/>
    </row>
    <row r="29">
      <c r="A29" s="91"/>
      <c r="B29" s="50" t="s">
        <v>95</v>
      </c>
      <c r="C29" s="51">
        <f>'External Delivery Fulfillment'!I3*7%</f>
        <v>0</v>
      </c>
      <c r="H29" s="55"/>
      <c r="I29" s="55"/>
    </row>
    <row r="30">
      <c r="A30" s="91"/>
      <c r="B30" s="50" t="s">
        <v>96</v>
      </c>
      <c r="C30" s="92">
        <f>F70</f>
        <v>0</v>
      </c>
      <c r="D30" s="91"/>
      <c r="H30" s="55"/>
      <c r="I30" s="55"/>
    </row>
    <row r="31">
      <c r="A31" s="91"/>
      <c r="B31" s="50" t="s">
        <v>97</v>
      </c>
      <c r="C31" s="92">
        <v>0.0</v>
      </c>
      <c r="D31" s="91"/>
      <c r="H31" s="55"/>
      <c r="I31" s="55"/>
    </row>
    <row r="32">
      <c r="A32" s="91"/>
      <c r="B32" s="50" t="s">
        <v>98</v>
      </c>
      <c r="C32" s="92">
        <f>I70</f>
        <v>0</v>
      </c>
      <c r="D32" s="91"/>
      <c r="H32" s="55"/>
      <c r="I32" s="55"/>
    </row>
    <row r="33">
      <c r="A33" s="91"/>
      <c r="B33" s="50" t="s">
        <v>99</v>
      </c>
      <c r="C33" s="92">
        <v>0.0</v>
      </c>
      <c r="D33" s="91"/>
      <c r="H33" s="55"/>
      <c r="I33" s="55"/>
    </row>
    <row r="34">
      <c r="B34" s="50" t="s">
        <v>100</v>
      </c>
      <c r="C34" s="92">
        <f>L70</f>
        <v>36.5</v>
      </c>
    </row>
    <row r="35">
      <c r="B35" s="50" t="s">
        <v>101</v>
      </c>
      <c r="C35" s="88">
        <f>K70</f>
        <v>36.5</v>
      </c>
    </row>
    <row r="36">
      <c r="B36" s="50" t="s">
        <v>102</v>
      </c>
      <c r="C36" s="92">
        <v>0.0</v>
      </c>
    </row>
    <row r="37">
      <c r="B37" s="50" t="s">
        <v>103</v>
      </c>
      <c r="C37" s="92">
        <v>0.0</v>
      </c>
    </row>
    <row r="39">
      <c r="B39" s="55"/>
      <c r="C39" s="55"/>
      <c r="D39" s="55"/>
      <c r="E39" s="55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>
      <c r="B40" s="50" t="s">
        <v>104</v>
      </c>
      <c r="C40" s="50" t="s">
        <v>105</v>
      </c>
      <c r="D40" s="50" t="s">
        <v>106</v>
      </c>
      <c r="E40" s="50" t="s">
        <v>107</v>
      </c>
      <c r="F40" s="53" t="s">
        <v>108</v>
      </c>
      <c r="G40" s="53" t="s">
        <v>109</v>
      </c>
      <c r="H40" s="53" t="s">
        <v>110</v>
      </c>
      <c r="I40" s="53" t="s">
        <v>111</v>
      </c>
      <c r="J40" s="53" t="s">
        <v>112</v>
      </c>
      <c r="K40" s="53" t="s">
        <v>113</v>
      </c>
      <c r="L40" s="53" t="s">
        <v>100</v>
      </c>
      <c r="M40" s="53" t="s">
        <v>102</v>
      </c>
      <c r="N40" s="53" t="s">
        <v>114</v>
      </c>
      <c r="O40" s="53" t="s">
        <v>115</v>
      </c>
      <c r="P40" s="53" t="s">
        <v>116</v>
      </c>
      <c r="Q40" s="53" t="s">
        <v>117</v>
      </c>
      <c r="R40" s="53" t="s">
        <v>118</v>
      </c>
      <c r="S40" s="53" t="s">
        <v>119</v>
      </c>
      <c r="T40" s="53" t="s">
        <v>91</v>
      </c>
      <c r="U40" s="53" t="s">
        <v>120</v>
      </c>
      <c r="V40" s="53" t="s">
        <v>121</v>
      </c>
      <c r="W40" s="53" t="s">
        <v>122</v>
      </c>
    </row>
    <row r="41">
      <c r="B41" s="95" t="s">
        <v>48</v>
      </c>
      <c r="C41" s="96">
        <v>30000.0</v>
      </c>
      <c r="D41" s="95">
        <v>2150.0</v>
      </c>
      <c r="E41" s="96">
        <f t="shared" ref="E41:E43" si="1">C41*0.07</f>
        <v>2100</v>
      </c>
      <c r="F41" s="95"/>
      <c r="G41" s="57">
        <f t="shared" ref="G41:G69" si="2">F41*C41</f>
        <v>0</v>
      </c>
      <c r="H41" s="95"/>
      <c r="I41" s="95"/>
      <c r="J41" s="95"/>
      <c r="K41" s="95">
        <v>13.0</v>
      </c>
      <c r="L41" s="53">
        <v>13.0</v>
      </c>
      <c r="M41" s="57">
        <f t="shared" ref="M41:M69" si="3">K41-L41</f>
        <v>0</v>
      </c>
      <c r="N41" s="57">
        <f t="shared" ref="N41:N69" si="4">M41*C41</f>
        <v>0</v>
      </c>
      <c r="O41" s="51">
        <f>'Dala Sales &amp; Deliveries'!L2</f>
        <v>4</v>
      </c>
      <c r="P41" s="57">
        <f t="shared" ref="P41:P69" si="5">O41*E41</f>
        <v>8400</v>
      </c>
      <c r="Q41" s="51">
        <f>'External Delivery Fulfillment'!L2</f>
        <v>0</v>
      </c>
      <c r="R41" s="57">
        <f t="shared" ref="R41:R69" si="6">Q41*E41</f>
        <v>0</v>
      </c>
      <c r="S41" s="51">
        <f>'Forwarding From Client'!L2</f>
        <v>0</v>
      </c>
      <c r="T41" s="57">
        <f t="shared" ref="T41:T69" si="7">S41*E41</f>
        <v>0</v>
      </c>
      <c r="U41" s="51">
        <f>'Dala Restocking'!L2</f>
        <v>0</v>
      </c>
      <c r="V41" s="57">
        <f t="shared" ref="V41:V69" si="8">U41*D41</f>
        <v>0</v>
      </c>
      <c r="W41" s="51">
        <f>'Client Restocking'!L2</f>
        <v>0</v>
      </c>
    </row>
    <row r="42">
      <c r="B42" s="95" t="s">
        <v>15</v>
      </c>
      <c r="C42" s="96">
        <v>30000.0</v>
      </c>
      <c r="D42" s="95">
        <v>1500.0</v>
      </c>
      <c r="E42" s="96">
        <f t="shared" si="1"/>
        <v>2100</v>
      </c>
      <c r="F42" s="97"/>
      <c r="G42" s="57">
        <f t="shared" si="2"/>
        <v>0</v>
      </c>
      <c r="H42" s="95"/>
      <c r="I42" s="95"/>
      <c r="J42" s="97"/>
      <c r="K42" s="95">
        <v>13.0</v>
      </c>
      <c r="L42" s="53">
        <v>13.0</v>
      </c>
      <c r="M42" s="57">
        <f t="shared" si="3"/>
        <v>0</v>
      </c>
      <c r="N42" s="57">
        <f t="shared" si="4"/>
        <v>0</v>
      </c>
      <c r="O42" s="51">
        <f>'Dala Sales &amp; Deliveries'!L3</f>
        <v>14</v>
      </c>
      <c r="P42" s="57">
        <f t="shared" si="5"/>
        <v>29400</v>
      </c>
      <c r="Q42" s="51">
        <f>'External Delivery Fulfillment'!L3</f>
        <v>0</v>
      </c>
      <c r="R42" s="57">
        <f t="shared" si="6"/>
        <v>0</v>
      </c>
      <c r="S42" s="51">
        <f>'Forwarding From Client'!L3</f>
        <v>0</v>
      </c>
      <c r="T42" s="57">
        <f t="shared" si="7"/>
        <v>0</v>
      </c>
      <c r="U42" s="51">
        <f>'Dala Restocking'!L3</f>
        <v>17.92</v>
      </c>
      <c r="V42" s="57">
        <f t="shared" si="8"/>
        <v>26880</v>
      </c>
      <c r="W42" s="51">
        <f>'Client Restocking'!L3</f>
        <v>0</v>
      </c>
    </row>
    <row r="43">
      <c r="B43" s="95" t="s">
        <v>53</v>
      </c>
      <c r="C43" s="96">
        <v>24000.0</v>
      </c>
      <c r="D43" s="95">
        <v>1700.0</v>
      </c>
      <c r="E43" s="96">
        <f t="shared" si="1"/>
        <v>1680</v>
      </c>
      <c r="F43" s="97"/>
      <c r="G43" s="57">
        <f t="shared" si="2"/>
        <v>0</v>
      </c>
      <c r="H43" s="95"/>
      <c r="I43" s="95"/>
      <c r="J43" s="97"/>
      <c r="K43" s="95">
        <v>10.5</v>
      </c>
      <c r="L43" s="53">
        <v>10.5</v>
      </c>
      <c r="M43" s="57">
        <f t="shared" si="3"/>
        <v>0</v>
      </c>
      <c r="N43" s="57">
        <f t="shared" si="4"/>
        <v>0</v>
      </c>
      <c r="O43" s="51">
        <f>'Dala Sales &amp; Deliveries'!L4</f>
        <v>1</v>
      </c>
      <c r="P43" s="57">
        <f t="shared" si="5"/>
        <v>1680</v>
      </c>
      <c r="Q43" s="51">
        <f>'External Delivery Fulfillment'!L4</f>
        <v>0</v>
      </c>
      <c r="R43" s="57">
        <f t="shared" si="6"/>
        <v>0</v>
      </c>
      <c r="S43" s="51">
        <f>'Forwarding From Client'!L4</f>
        <v>0</v>
      </c>
      <c r="T43" s="57">
        <f t="shared" si="7"/>
        <v>0</v>
      </c>
      <c r="U43" s="51">
        <f>'Dala Restocking'!L4</f>
        <v>0</v>
      </c>
      <c r="V43" s="57">
        <f t="shared" si="8"/>
        <v>0</v>
      </c>
      <c r="W43" s="51">
        <f>'Client Restocking'!L4</f>
        <v>0</v>
      </c>
    </row>
    <row r="44">
      <c r="B44" s="95"/>
      <c r="C44" s="96"/>
      <c r="D44" s="95"/>
      <c r="E44" s="96"/>
      <c r="F44" s="97"/>
      <c r="G44" s="57">
        <f t="shared" si="2"/>
        <v>0</v>
      </c>
      <c r="H44" s="95"/>
      <c r="I44" s="95"/>
      <c r="J44" s="97"/>
      <c r="K44" s="97"/>
      <c r="L44" s="98">
        <f t="shared" ref="L44:L69" si="9">H44+U44+W44-O44-Q44-I44-J44</f>
        <v>0</v>
      </c>
      <c r="M44" s="51">
        <f t="shared" si="3"/>
        <v>0</v>
      </c>
      <c r="N44" s="57">
        <f t="shared" si="4"/>
        <v>0</v>
      </c>
      <c r="O44" s="51">
        <f>'Dala Sales &amp; Deliveries'!L5</f>
        <v>0</v>
      </c>
      <c r="P44" s="57">
        <f t="shared" si="5"/>
        <v>0</v>
      </c>
      <c r="Q44" s="51">
        <f>'External Delivery Fulfillment'!L5</f>
        <v>0</v>
      </c>
      <c r="R44" s="57">
        <f t="shared" si="6"/>
        <v>0</v>
      </c>
      <c r="S44" s="51">
        <f>'Forwarding From Client'!L5</f>
        <v>0</v>
      </c>
      <c r="T44" s="57">
        <f t="shared" si="7"/>
        <v>0</v>
      </c>
      <c r="U44" s="51">
        <f>'Dala Restocking'!L5</f>
        <v>0</v>
      </c>
      <c r="V44" s="57">
        <f t="shared" si="8"/>
        <v>0</v>
      </c>
      <c r="W44" s="51">
        <f>'Client Restocking'!L5</f>
        <v>0</v>
      </c>
    </row>
    <row r="45">
      <c r="B45" s="95"/>
      <c r="C45" s="96"/>
      <c r="D45" s="95"/>
      <c r="E45" s="96"/>
      <c r="F45" s="97"/>
      <c r="G45" s="57">
        <f t="shared" si="2"/>
        <v>0</v>
      </c>
      <c r="H45" s="95"/>
      <c r="I45" s="95"/>
      <c r="J45" s="97"/>
      <c r="K45" s="97"/>
      <c r="L45" s="98">
        <f t="shared" si="9"/>
        <v>0</v>
      </c>
      <c r="M45" s="51">
        <f t="shared" si="3"/>
        <v>0</v>
      </c>
      <c r="N45" s="57">
        <f t="shared" si="4"/>
        <v>0</v>
      </c>
      <c r="O45" s="51">
        <f>'Dala Sales &amp; Deliveries'!L6</f>
        <v>0</v>
      </c>
      <c r="P45" s="57">
        <f t="shared" si="5"/>
        <v>0</v>
      </c>
      <c r="Q45" s="51">
        <f>'External Delivery Fulfillment'!L6</f>
        <v>0</v>
      </c>
      <c r="R45" s="57">
        <f t="shared" si="6"/>
        <v>0</v>
      </c>
      <c r="S45" s="51">
        <f>'Forwarding From Client'!L6</f>
        <v>0</v>
      </c>
      <c r="T45" s="57">
        <f t="shared" si="7"/>
        <v>0</v>
      </c>
      <c r="U45" s="51">
        <f>'Dala Restocking'!L6</f>
        <v>0</v>
      </c>
      <c r="V45" s="57">
        <f t="shared" si="8"/>
        <v>0</v>
      </c>
      <c r="W45" s="51">
        <f>'Client Restocking'!L6</f>
        <v>0</v>
      </c>
    </row>
    <row r="46">
      <c r="B46" s="95"/>
      <c r="C46" s="96"/>
      <c r="D46" s="95"/>
      <c r="E46" s="96"/>
      <c r="F46" s="97"/>
      <c r="G46" s="57">
        <f t="shared" si="2"/>
        <v>0</v>
      </c>
      <c r="H46" s="97"/>
      <c r="I46" s="97"/>
      <c r="J46" s="97"/>
      <c r="K46" s="97"/>
      <c r="L46" s="98">
        <f t="shared" si="9"/>
        <v>0</v>
      </c>
      <c r="M46" s="51">
        <f t="shared" si="3"/>
        <v>0</v>
      </c>
      <c r="N46" s="57">
        <f t="shared" si="4"/>
        <v>0</v>
      </c>
      <c r="O46" s="51">
        <f>'Dala Sales &amp; Deliveries'!L7</f>
        <v>0</v>
      </c>
      <c r="P46" s="57">
        <f t="shared" si="5"/>
        <v>0</v>
      </c>
      <c r="Q46" s="51">
        <f>'External Delivery Fulfillment'!L7</f>
        <v>0</v>
      </c>
      <c r="R46" s="57">
        <f t="shared" si="6"/>
        <v>0</v>
      </c>
      <c r="S46" s="51">
        <f>'Forwarding From Client'!L7</f>
        <v>0</v>
      </c>
      <c r="T46" s="57">
        <f t="shared" si="7"/>
        <v>0</v>
      </c>
      <c r="U46" s="51">
        <f>'Dala Restocking'!L7</f>
        <v>0</v>
      </c>
      <c r="V46" s="57">
        <f t="shared" si="8"/>
        <v>0</v>
      </c>
      <c r="W46" s="51">
        <f>'Client Restocking'!L7</f>
        <v>0</v>
      </c>
    </row>
    <row r="47">
      <c r="B47" s="95"/>
      <c r="C47" s="96"/>
      <c r="D47" s="95"/>
      <c r="E47" s="96"/>
      <c r="F47" s="97"/>
      <c r="G47" s="57">
        <f t="shared" si="2"/>
        <v>0</v>
      </c>
      <c r="H47" s="97"/>
      <c r="I47" s="97"/>
      <c r="J47" s="97"/>
      <c r="K47" s="97"/>
      <c r="L47" s="98">
        <f t="shared" si="9"/>
        <v>0</v>
      </c>
      <c r="M47" s="51">
        <f t="shared" si="3"/>
        <v>0</v>
      </c>
      <c r="N47" s="57">
        <f t="shared" si="4"/>
        <v>0</v>
      </c>
      <c r="O47" s="51">
        <f>'Dala Sales &amp; Deliveries'!L8</f>
        <v>0</v>
      </c>
      <c r="P47" s="57">
        <f t="shared" si="5"/>
        <v>0</v>
      </c>
      <c r="Q47" s="51">
        <f>'External Delivery Fulfillment'!L8</f>
        <v>0</v>
      </c>
      <c r="R47" s="57">
        <f t="shared" si="6"/>
        <v>0</v>
      </c>
      <c r="S47" s="51">
        <f>'Forwarding From Client'!L8</f>
        <v>0</v>
      </c>
      <c r="T47" s="57">
        <f t="shared" si="7"/>
        <v>0</v>
      </c>
      <c r="U47" s="51">
        <f>'Dala Restocking'!L8</f>
        <v>0</v>
      </c>
      <c r="V47" s="57">
        <f t="shared" si="8"/>
        <v>0</v>
      </c>
      <c r="W47" s="51">
        <f>'Client Restocking'!L8</f>
        <v>0</v>
      </c>
    </row>
    <row r="48">
      <c r="B48" s="95"/>
      <c r="C48" s="96"/>
      <c r="D48" s="95"/>
      <c r="E48" s="96"/>
      <c r="F48" s="97"/>
      <c r="G48" s="57">
        <f t="shared" si="2"/>
        <v>0</v>
      </c>
      <c r="H48" s="97"/>
      <c r="I48" s="97"/>
      <c r="J48" s="97"/>
      <c r="K48" s="97"/>
      <c r="L48" s="98">
        <f t="shared" si="9"/>
        <v>0</v>
      </c>
      <c r="M48" s="51">
        <f t="shared" si="3"/>
        <v>0</v>
      </c>
      <c r="N48" s="57">
        <f t="shared" si="4"/>
        <v>0</v>
      </c>
      <c r="O48" s="51">
        <f>'Dala Sales &amp; Deliveries'!L9</f>
        <v>0</v>
      </c>
      <c r="P48" s="57">
        <f t="shared" si="5"/>
        <v>0</v>
      </c>
      <c r="Q48" s="51">
        <f>'External Delivery Fulfillment'!L9</f>
        <v>0</v>
      </c>
      <c r="R48" s="57">
        <f t="shared" si="6"/>
        <v>0</v>
      </c>
      <c r="S48" s="51">
        <f>'Forwarding From Client'!L9</f>
        <v>0</v>
      </c>
      <c r="T48" s="57">
        <f t="shared" si="7"/>
        <v>0</v>
      </c>
      <c r="U48" s="51">
        <f>'Dala Restocking'!L9</f>
        <v>0</v>
      </c>
      <c r="V48" s="57">
        <f t="shared" si="8"/>
        <v>0</v>
      </c>
      <c r="W48" s="51">
        <f>'Client Restocking'!L9</f>
        <v>0</v>
      </c>
    </row>
    <row r="49">
      <c r="B49" s="95"/>
      <c r="C49" s="96"/>
      <c r="D49" s="95"/>
      <c r="E49" s="96"/>
      <c r="F49" s="97"/>
      <c r="G49" s="57">
        <f t="shared" si="2"/>
        <v>0</v>
      </c>
      <c r="H49" s="97"/>
      <c r="I49" s="97"/>
      <c r="J49" s="97"/>
      <c r="K49" s="97"/>
      <c r="L49" s="98">
        <f t="shared" si="9"/>
        <v>0</v>
      </c>
      <c r="M49" s="51">
        <f t="shared" si="3"/>
        <v>0</v>
      </c>
      <c r="N49" s="57">
        <f t="shared" si="4"/>
        <v>0</v>
      </c>
      <c r="O49" s="51">
        <f>'Dala Sales &amp; Deliveries'!L10</f>
        <v>0</v>
      </c>
      <c r="P49" s="57">
        <f t="shared" si="5"/>
        <v>0</v>
      </c>
      <c r="Q49" s="51">
        <f>'External Delivery Fulfillment'!L10</f>
        <v>0</v>
      </c>
      <c r="R49" s="57">
        <f t="shared" si="6"/>
        <v>0</v>
      </c>
      <c r="S49" s="51">
        <f>'Forwarding From Client'!L10</f>
        <v>0</v>
      </c>
      <c r="T49" s="57">
        <f t="shared" si="7"/>
        <v>0</v>
      </c>
      <c r="U49" s="51">
        <f>'Dala Restocking'!L10</f>
        <v>0</v>
      </c>
      <c r="V49" s="57">
        <f t="shared" si="8"/>
        <v>0</v>
      </c>
      <c r="W49" s="51">
        <f>'Client Restocking'!L10</f>
        <v>0</v>
      </c>
    </row>
    <row r="50">
      <c r="B50" s="95"/>
      <c r="C50" s="96"/>
      <c r="D50" s="95"/>
      <c r="E50" s="96"/>
      <c r="F50" s="97"/>
      <c r="G50" s="57">
        <f t="shared" si="2"/>
        <v>0</v>
      </c>
      <c r="H50" s="97"/>
      <c r="I50" s="97"/>
      <c r="J50" s="97"/>
      <c r="K50" s="97"/>
      <c r="L50" s="98">
        <f t="shared" si="9"/>
        <v>0</v>
      </c>
      <c r="M50" s="51">
        <f t="shared" si="3"/>
        <v>0</v>
      </c>
      <c r="N50" s="57">
        <f t="shared" si="4"/>
        <v>0</v>
      </c>
      <c r="O50" s="51">
        <f>'Dala Sales &amp; Deliveries'!L11</f>
        <v>0</v>
      </c>
      <c r="P50" s="57">
        <f t="shared" si="5"/>
        <v>0</v>
      </c>
      <c r="Q50" s="51">
        <f>'External Delivery Fulfillment'!L11</f>
        <v>0</v>
      </c>
      <c r="R50" s="57">
        <f t="shared" si="6"/>
        <v>0</v>
      </c>
      <c r="S50" s="51">
        <f>'Forwarding From Client'!L11</f>
        <v>0</v>
      </c>
      <c r="T50" s="57">
        <f t="shared" si="7"/>
        <v>0</v>
      </c>
      <c r="U50" s="51">
        <f>'Dala Restocking'!L11</f>
        <v>0</v>
      </c>
      <c r="V50" s="57">
        <f t="shared" si="8"/>
        <v>0</v>
      </c>
      <c r="W50" s="51">
        <f>'Client Restocking'!L11</f>
        <v>0</v>
      </c>
    </row>
    <row r="51">
      <c r="B51" s="95"/>
      <c r="C51" s="96"/>
      <c r="D51" s="95"/>
      <c r="E51" s="96"/>
      <c r="F51" s="97"/>
      <c r="G51" s="57">
        <f t="shared" si="2"/>
        <v>0</v>
      </c>
      <c r="H51" s="97"/>
      <c r="I51" s="97"/>
      <c r="J51" s="97"/>
      <c r="K51" s="97"/>
      <c r="L51" s="98">
        <f t="shared" si="9"/>
        <v>0</v>
      </c>
      <c r="M51" s="51">
        <f t="shared" si="3"/>
        <v>0</v>
      </c>
      <c r="N51" s="57">
        <f t="shared" si="4"/>
        <v>0</v>
      </c>
      <c r="O51" s="51">
        <f>'Dala Sales &amp; Deliveries'!L12</f>
        <v>0</v>
      </c>
      <c r="P51" s="57">
        <f t="shared" si="5"/>
        <v>0</v>
      </c>
      <c r="Q51" s="51">
        <f>'External Delivery Fulfillment'!L12</f>
        <v>0</v>
      </c>
      <c r="R51" s="57">
        <f t="shared" si="6"/>
        <v>0</v>
      </c>
      <c r="S51" s="51">
        <f>'Forwarding From Client'!L12</f>
        <v>0</v>
      </c>
      <c r="T51" s="57">
        <f t="shared" si="7"/>
        <v>0</v>
      </c>
      <c r="U51" s="51">
        <f>'Dala Restocking'!L12</f>
        <v>0</v>
      </c>
      <c r="V51" s="57">
        <f t="shared" si="8"/>
        <v>0</v>
      </c>
      <c r="W51" s="51">
        <f>'Client Restocking'!L12</f>
        <v>0</v>
      </c>
    </row>
    <row r="52">
      <c r="B52" s="95"/>
      <c r="C52" s="96"/>
      <c r="D52" s="95"/>
      <c r="E52" s="96"/>
      <c r="F52" s="97"/>
      <c r="G52" s="57">
        <f t="shared" si="2"/>
        <v>0</v>
      </c>
      <c r="H52" s="97"/>
      <c r="I52" s="97"/>
      <c r="J52" s="97"/>
      <c r="K52" s="97"/>
      <c r="L52" s="98">
        <f t="shared" si="9"/>
        <v>0</v>
      </c>
      <c r="M52" s="51">
        <f t="shared" si="3"/>
        <v>0</v>
      </c>
      <c r="N52" s="57">
        <f t="shared" si="4"/>
        <v>0</v>
      </c>
      <c r="O52" s="51">
        <f>'Dala Sales &amp; Deliveries'!L13</f>
        <v>0</v>
      </c>
      <c r="P52" s="57">
        <f t="shared" si="5"/>
        <v>0</v>
      </c>
      <c r="Q52" s="51">
        <f>'External Delivery Fulfillment'!L13</f>
        <v>0</v>
      </c>
      <c r="R52" s="57">
        <f t="shared" si="6"/>
        <v>0</v>
      </c>
      <c r="S52" s="51">
        <f>'Forwarding From Client'!L13</f>
        <v>0</v>
      </c>
      <c r="T52" s="57">
        <f t="shared" si="7"/>
        <v>0</v>
      </c>
      <c r="U52" s="51">
        <f>'Dala Restocking'!L13</f>
        <v>0</v>
      </c>
      <c r="V52" s="57">
        <f t="shared" si="8"/>
        <v>0</v>
      </c>
      <c r="W52" s="51">
        <f>'Client Restocking'!L13</f>
        <v>0</v>
      </c>
    </row>
    <row r="53">
      <c r="B53" s="97"/>
      <c r="C53" s="97"/>
      <c r="D53" s="97"/>
      <c r="E53" s="97"/>
      <c r="F53" s="97"/>
      <c r="G53" s="57">
        <f t="shared" si="2"/>
        <v>0</v>
      </c>
      <c r="H53" s="97"/>
      <c r="I53" s="97"/>
      <c r="J53" s="97"/>
      <c r="K53" s="97"/>
      <c r="L53" s="53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Deliveries'!L14</f>
        <v/>
      </c>
      <c r="P53" s="57">
        <f t="shared" si="5"/>
        <v>0</v>
      </c>
      <c r="Q53" s="57" t="str">
        <f>'External Delivery Fulfillment'!L14</f>
        <v/>
      </c>
      <c r="R53" s="57">
        <f t="shared" si="6"/>
        <v>0</v>
      </c>
      <c r="S53" s="57" t="str">
        <f>'Forwarding From Client'!L14</f>
        <v/>
      </c>
      <c r="T53" s="57">
        <f t="shared" si="7"/>
        <v>0</v>
      </c>
      <c r="U53" s="57" t="str">
        <f>'Dala Restocking'!L14</f>
        <v/>
      </c>
      <c r="V53" s="57">
        <f t="shared" si="8"/>
        <v>0</v>
      </c>
      <c r="W53" s="57" t="str">
        <f>'Client Restocking'!L14</f>
        <v/>
      </c>
    </row>
    <row r="54">
      <c r="B54" s="97"/>
      <c r="C54" s="97"/>
      <c r="D54" s="97"/>
      <c r="E54" s="97"/>
      <c r="F54" s="97"/>
      <c r="G54" s="57">
        <f t="shared" si="2"/>
        <v>0</v>
      </c>
      <c r="H54" s="97"/>
      <c r="I54" s="97"/>
      <c r="J54" s="97"/>
      <c r="K54" s="97"/>
      <c r="L54" s="53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Deliveries'!L15</f>
        <v/>
      </c>
      <c r="P54" s="57">
        <f t="shared" si="5"/>
        <v>0</v>
      </c>
      <c r="Q54" s="57" t="str">
        <f>'External Delivery Fulfillment'!L15</f>
        <v/>
      </c>
      <c r="R54" s="57">
        <f t="shared" si="6"/>
        <v>0</v>
      </c>
      <c r="S54" s="57" t="str">
        <f>'Forwarding From Client'!L15</f>
        <v/>
      </c>
      <c r="T54" s="57">
        <f t="shared" si="7"/>
        <v>0</v>
      </c>
      <c r="U54" s="57" t="str">
        <f>'Dala Restocking'!L15</f>
        <v/>
      </c>
      <c r="V54" s="57">
        <f t="shared" si="8"/>
        <v>0</v>
      </c>
      <c r="W54" s="57" t="str">
        <f>'Client Restocking'!L15</f>
        <v/>
      </c>
    </row>
    <row r="55">
      <c r="B55" s="97"/>
      <c r="C55" s="97"/>
      <c r="D55" s="97"/>
      <c r="E55" s="97"/>
      <c r="F55" s="97"/>
      <c r="G55" s="57">
        <f t="shared" si="2"/>
        <v>0</v>
      </c>
      <c r="H55" s="97"/>
      <c r="I55" s="97"/>
      <c r="J55" s="97"/>
      <c r="K55" s="97"/>
      <c r="L55" s="53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Deliveries'!L16</f>
        <v/>
      </c>
      <c r="P55" s="57">
        <f t="shared" si="5"/>
        <v>0</v>
      </c>
      <c r="Q55" s="57" t="str">
        <f>'External Delivery Fulfillment'!L16</f>
        <v/>
      </c>
      <c r="R55" s="57">
        <f t="shared" si="6"/>
        <v>0</v>
      </c>
      <c r="S55" s="57" t="str">
        <f>'Forwarding From Client'!L16</f>
        <v/>
      </c>
      <c r="T55" s="57">
        <f t="shared" si="7"/>
        <v>0</v>
      </c>
      <c r="U55" s="57" t="str">
        <f>'Dala Restocking'!L16</f>
        <v/>
      </c>
      <c r="V55" s="57">
        <f t="shared" si="8"/>
        <v>0</v>
      </c>
      <c r="W55" s="57" t="str">
        <f>'Client Restocking'!L16</f>
        <v/>
      </c>
    </row>
    <row r="56">
      <c r="B56" s="97"/>
      <c r="C56" s="97"/>
      <c r="D56" s="97"/>
      <c r="E56" s="97"/>
      <c r="F56" s="97"/>
      <c r="G56" s="57">
        <f t="shared" si="2"/>
        <v>0</v>
      </c>
      <c r="H56" s="97"/>
      <c r="I56" s="97"/>
      <c r="J56" s="97"/>
      <c r="K56" s="97"/>
      <c r="L56" s="53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Deliveries'!L17</f>
        <v/>
      </c>
      <c r="P56" s="57">
        <f t="shared" si="5"/>
        <v>0</v>
      </c>
      <c r="Q56" s="57" t="str">
        <f>'External Delivery Fulfillment'!L17</f>
        <v/>
      </c>
      <c r="R56" s="57">
        <f t="shared" si="6"/>
        <v>0</v>
      </c>
      <c r="S56" s="57" t="str">
        <f>'Forwarding From Client'!L17</f>
        <v/>
      </c>
      <c r="T56" s="57">
        <f t="shared" si="7"/>
        <v>0</v>
      </c>
      <c r="U56" s="57" t="str">
        <f>'Dala Restocking'!L17</f>
        <v/>
      </c>
      <c r="V56" s="57">
        <f t="shared" si="8"/>
        <v>0</v>
      </c>
      <c r="W56" s="57" t="str">
        <f>'Client Restocking'!L17</f>
        <v/>
      </c>
    </row>
    <row r="57">
      <c r="B57" s="97"/>
      <c r="C57" s="97"/>
      <c r="D57" s="97"/>
      <c r="E57" s="97"/>
      <c r="F57" s="97"/>
      <c r="G57" s="57">
        <f t="shared" si="2"/>
        <v>0</v>
      </c>
      <c r="H57" s="97"/>
      <c r="I57" s="97"/>
      <c r="J57" s="97"/>
      <c r="K57" s="97"/>
      <c r="L57" s="53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Deliveries'!L18</f>
        <v/>
      </c>
      <c r="P57" s="57">
        <f t="shared" si="5"/>
        <v>0</v>
      </c>
      <c r="Q57" s="57" t="str">
        <f>'External Delivery Fulfillment'!L18</f>
        <v/>
      </c>
      <c r="R57" s="57">
        <f t="shared" si="6"/>
        <v>0</v>
      </c>
      <c r="S57" s="57" t="str">
        <f>'Forwarding From Client'!L18</f>
        <v/>
      </c>
      <c r="T57" s="57">
        <f t="shared" si="7"/>
        <v>0</v>
      </c>
      <c r="U57" s="57" t="str">
        <f>'Dala Restocking'!L18</f>
        <v/>
      </c>
      <c r="V57" s="57">
        <f t="shared" si="8"/>
        <v>0</v>
      </c>
      <c r="W57" s="57" t="str">
        <f>'Client Restocking'!L18</f>
        <v/>
      </c>
    </row>
    <row r="58">
      <c r="B58" s="97"/>
      <c r="C58" s="97"/>
      <c r="D58" s="97"/>
      <c r="E58" s="97"/>
      <c r="F58" s="97"/>
      <c r="G58" s="57">
        <f t="shared" si="2"/>
        <v>0</v>
      </c>
      <c r="H58" s="97"/>
      <c r="I58" s="97"/>
      <c r="J58" s="97"/>
      <c r="K58" s="97"/>
      <c r="L58" s="53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Deliveries'!L19</f>
        <v/>
      </c>
      <c r="P58" s="57">
        <f t="shared" si="5"/>
        <v>0</v>
      </c>
      <c r="Q58" s="57" t="str">
        <f>'External Delivery Fulfillment'!L19</f>
        <v/>
      </c>
      <c r="R58" s="57">
        <f t="shared" si="6"/>
        <v>0</v>
      </c>
      <c r="S58" s="57" t="str">
        <f>'Forwarding From Client'!L19</f>
        <v/>
      </c>
      <c r="T58" s="57">
        <f t="shared" si="7"/>
        <v>0</v>
      </c>
      <c r="U58" s="57" t="str">
        <f>'Dala Restocking'!L19</f>
        <v/>
      </c>
      <c r="V58" s="57">
        <f t="shared" si="8"/>
        <v>0</v>
      </c>
      <c r="W58" s="57" t="str">
        <f>'Client Restocking'!L19</f>
        <v/>
      </c>
    </row>
    <row r="59">
      <c r="B59" s="97"/>
      <c r="C59" s="97"/>
      <c r="D59" s="97"/>
      <c r="E59" s="97"/>
      <c r="F59" s="97"/>
      <c r="G59" s="57">
        <f t="shared" si="2"/>
        <v>0</v>
      </c>
      <c r="H59" s="97"/>
      <c r="I59" s="97"/>
      <c r="J59" s="97"/>
      <c r="K59" s="97"/>
      <c r="L59" s="53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Deliveries'!L20</f>
        <v/>
      </c>
      <c r="P59" s="57">
        <f t="shared" si="5"/>
        <v>0</v>
      </c>
      <c r="Q59" s="57" t="str">
        <f>'External Delivery Fulfillment'!L20</f>
        <v/>
      </c>
      <c r="R59" s="57">
        <f t="shared" si="6"/>
        <v>0</v>
      </c>
      <c r="S59" s="57" t="str">
        <f>'Forwarding From Client'!L20</f>
        <v/>
      </c>
      <c r="T59" s="57">
        <f t="shared" si="7"/>
        <v>0</v>
      </c>
      <c r="U59" s="57" t="str">
        <f>'Dala Restocking'!L20</f>
        <v/>
      </c>
      <c r="V59" s="57">
        <f t="shared" si="8"/>
        <v>0</v>
      </c>
      <c r="W59" s="57" t="str">
        <f>'Client Restocking'!L20</f>
        <v/>
      </c>
    </row>
    <row r="60">
      <c r="B60" s="97"/>
      <c r="C60" s="97"/>
      <c r="D60" s="97"/>
      <c r="E60" s="97"/>
      <c r="F60" s="97"/>
      <c r="G60" s="57">
        <f t="shared" si="2"/>
        <v>0</v>
      </c>
      <c r="H60" s="97"/>
      <c r="I60" s="97"/>
      <c r="J60" s="97"/>
      <c r="K60" s="97"/>
      <c r="L60" s="53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Deliveries'!L21</f>
        <v/>
      </c>
      <c r="P60" s="57">
        <f t="shared" si="5"/>
        <v>0</v>
      </c>
      <c r="Q60" s="57" t="str">
        <f>'External Delivery Fulfillment'!L21</f>
        <v/>
      </c>
      <c r="R60" s="57">
        <f t="shared" si="6"/>
        <v>0</v>
      </c>
      <c r="S60" s="57" t="str">
        <f>'Forwarding From Client'!L21</f>
        <v/>
      </c>
      <c r="T60" s="57">
        <f t="shared" si="7"/>
        <v>0</v>
      </c>
      <c r="U60" s="57" t="str">
        <f>'Dala Restocking'!L21</f>
        <v/>
      </c>
      <c r="V60" s="57">
        <f t="shared" si="8"/>
        <v>0</v>
      </c>
      <c r="W60" s="57" t="str">
        <f>'Client Restocking'!L21</f>
        <v/>
      </c>
    </row>
    <row r="61">
      <c r="B61" s="97"/>
      <c r="C61" s="97"/>
      <c r="D61" s="97"/>
      <c r="E61" s="97"/>
      <c r="F61" s="97"/>
      <c r="G61" s="57">
        <f t="shared" si="2"/>
        <v>0</v>
      </c>
      <c r="H61" s="97"/>
      <c r="I61" s="97"/>
      <c r="J61" s="97"/>
      <c r="K61" s="97"/>
      <c r="L61" s="53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Deliveries'!L22</f>
        <v/>
      </c>
      <c r="P61" s="57">
        <f t="shared" si="5"/>
        <v>0</v>
      </c>
      <c r="Q61" s="57" t="str">
        <f>'External Delivery Fulfillment'!L22</f>
        <v/>
      </c>
      <c r="R61" s="57">
        <f t="shared" si="6"/>
        <v>0</v>
      </c>
      <c r="S61" s="57" t="str">
        <f>'Forwarding From Client'!L22</f>
        <v/>
      </c>
      <c r="T61" s="57">
        <f t="shared" si="7"/>
        <v>0</v>
      </c>
      <c r="U61" s="57" t="str">
        <f>'Dala Restocking'!L22</f>
        <v/>
      </c>
      <c r="V61" s="57">
        <f t="shared" si="8"/>
        <v>0</v>
      </c>
      <c r="W61" s="57" t="str">
        <f>'Client Restocking'!L22</f>
        <v/>
      </c>
    </row>
    <row r="62">
      <c r="B62" s="97"/>
      <c r="C62" s="97"/>
      <c r="D62" s="97"/>
      <c r="E62" s="97"/>
      <c r="F62" s="97"/>
      <c r="G62" s="57">
        <f t="shared" si="2"/>
        <v>0</v>
      </c>
      <c r="H62" s="97"/>
      <c r="I62" s="97"/>
      <c r="J62" s="97"/>
      <c r="K62" s="97"/>
      <c r="L62" s="53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Deliveries'!L23</f>
        <v/>
      </c>
      <c r="P62" s="57">
        <f t="shared" si="5"/>
        <v>0</v>
      </c>
      <c r="Q62" s="57" t="str">
        <f>'External Delivery Fulfillment'!L23</f>
        <v/>
      </c>
      <c r="R62" s="57">
        <f t="shared" si="6"/>
        <v>0</v>
      </c>
      <c r="S62" s="57" t="str">
        <f>'Forwarding From Client'!L23</f>
        <v/>
      </c>
      <c r="T62" s="57">
        <f t="shared" si="7"/>
        <v>0</v>
      </c>
      <c r="U62" s="57" t="str">
        <f>'Dala Restocking'!L23</f>
        <v/>
      </c>
      <c r="V62" s="57">
        <f t="shared" si="8"/>
        <v>0</v>
      </c>
      <c r="W62" s="57" t="str">
        <f>'Client Restocking'!L23</f>
        <v/>
      </c>
    </row>
    <row r="63">
      <c r="B63" s="97"/>
      <c r="C63" s="97"/>
      <c r="D63" s="97"/>
      <c r="E63" s="97"/>
      <c r="F63" s="97"/>
      <c r="G63" s="57">
        <f t="shared" si="2"/>
        <v>0</v>
      </c>
      <c r="H63" s="97"/>
      <c r="I63" s="97"/>
      <c r="J63" s="97"/>
      <c r="K63" s="97"/>
      <c r="L63" s="53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Deliveries'!L24</f>
        <v/>
      </c>
      <c r="P63" s="57">
        <f t="shared" si="5"/>
        <v>0</v>
      </c>
      <c r="Q63" s="57" t="str">
        <f>'External Delivery Fulfillment'!L24</f>
        <v/>
      </c>
      <c r="R63" s="57">
        <f t="shared" si="6"/>
        <v>0</v>
      </c>
      <c r="S63" s="57" t="str">
        <f>'Forwarding From Client'!L24</f>
        <v/>
      </c>
      <c r="T63" s="57">
        <f t="shared" si="7"/>
        <v>0</v>
      </c>
      <c r="U63" s="57" t="str">
        <f>'Dala Restocking'!L24</f>
        <v/>
      </c>
      <c r="V63" s="57">
        <f t="shared" si="8"/>
        <v>0</v>
      </c>
      <c r="W63" s="57" t="str">
        <f>'Client Restocking'!L24</f>
        <v/>
      </c>
    </row>
    <row r="64">
      <c r="B64" s="97"/>
      <c r="C64" s="97"/>
      <c r="D64" s="97"/>
      <c r="E64" s="97"/>
      <c r="F64" s="97"/>
      <c r="G64" s="57">
        <f t="shared" si="2"/>
        <v>0</v>
      </c>
      <c r="H64" s="97"/>
      <c r="I64" s="97"/>
      <c r="J64" s="97"/>
      <c r="K64" s="97"/>
      <c r="L64" s="53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Deliveries'!L25</f>
        <v/>
      </c>
      <c r="P64" s="57">
        <f t="shared" si="5"/>
        <v>0</v>
      </c>
      <c r="Q64" s="57" t="str">
        <f>'External Delivery Fulfillment'!L25</f>
        <v/>
      </c>
      <c r="R64" s="57">
        <f t="shared" si="6"/>
        <v>0</v>
      </c>
      <c r="S64" s="57" t="str">
        <f>'Forwarding From Client'!L25</f>
        <v/>
      </c>
      <c r="T64" s="57">
        <f t="shared" si="7"/>
        <v>0</v>
      </c>
      <c r="U64" s="57" t="str">
        <f>'Dala Restocking'!L25</f>
        <v/>
      </c>
      <c r="V64" s="57">
        <f t="shared" si="8"/>
        <v>0</v>
      </c>
      <c r="W64" s="57" t="str">
        <f>'Client Restocking'!L25</f>
        <v/>
      </c>
    </row>
    <row r="65">
      <c r="B65" s="97"/>
      <c r="C65" s="97"/>
      <c r="D65" s="97"/>
      <c r="E65" s="97"/>
      <c r="F65" s="97"/>
      <c r="G65" s="57">
        <f t="shared" si="2"/>
        <v>0</v>
      </c>
      <c r="H65" s="97"/>
      <c r="I65" s="97"/>
      <c r="J65" s="97"/>
      <c r="K65" s="97"/>
      <c r="L65" s="53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Deliveries'!L26</f>
        <v/>
      </c>
      <c r="P65" s="57">
        <f t="shared" si="5"/>
        <v>0</v>
      </c>
      <c r="Q65" s="57" t="str">
        <f>'External Delivery Fulfillment'!L26</f>
        <v/>
      </c>
      <c r="R65" s="57">
        <f t="shared" si="6"/>
        <v>0</v>
      </c>
      <c r="S65" s="57" t="str">
        <f>'Forwarding From Client'!L26</f>
        <v/>
      </c>
      <c r="T65" s="57">
        <f t="shared" si="7"/>
        <v>0</v>
      </c>
      <c r="U65" s="57" t="str">
        <f>'Dala Restocking'!L26</f>
        <v/>
      </c>
      <c r="V65" s="57">
        <f t="shared" si="8"/>
        <v>0</v>
      </c>
      <c r="W65" s="57" t="str">
        <f>'Client Restocking'!L26</f>
        <v/>
      </c>
    </row>
    <row r="66">
      <c r="B66" s="97"/>
      <c r="C66" s="97"/>
      <c r="D66" s="97"/>
      <c r="E66" s="97"/>
      <c r="F66" s="97"/>
      <c r="G66" s="57">
        <f t="shared" si="2"/>
        <v>0</v>
      </c>
      <c r="H66" s="97"/>
      <c r="I66" s="97"/>
      <c r="J66" s="97"/>
      <c r="K66" s="97"/>
      <c r="L66" s="53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Deliveries'!L27</f>
        <v/>
      </c>
      <c r="P66" s="57">
        <f t="shared" si="5"/>
        <v>0</v>
      </c>
      <c r="Q66" s="57" t="str">
        <f>'External Delivery Fulfillment'!L27</f>
        <v/>
      </c>
      <c r="R66" s="57">
        <f t="shared" si="6"/>
        <v>0</v>
      </c>
      <c r="S66" s="57" t="str">
        <f>'Forwarding From Client'!L27</f>
        <v/>
      </c>
      <c r="T66" s="57">
        <f t="shared" si="7"/>
        <v>0</v>
      </c>
      <c r="U66" s="57" t="str">
        <f>'Dala Restocking'!L27</f>
        <v/>
      </c>
      <c r="V66" s="57">
        <f t="shared" si="8"/>
        <v>0</v>
      </c>
      <c r="W66" s="57" t="str">
        <f>'Client Restocking'!L27</f>
        <v/>
      </c>
    </row>
    <row r="67">
      <c r="B67" s="97"/>
      <c r="C67" s="97"/>
      <c r="D67" s="97"/>
      <c r="E67" s="97"/>
      <c r="F67" s="97"/>
      <c r="G67" s="57">
        <f t="shared" si="2"/>
        <v>0</v>
      </c>
      <c r="H67" s="97"/>
      <c r="I67" s="97"/>
      <c r="J67" s="97"/>
      <c r="K67" s="97"/>
      <c r="L67" s="53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Deliveries'!L28</f>
        <v/>
      </c>
      <c r="P67" s="57">
        <f t="shared" si="5"/>
        <v>0</v>
      </c>
      <c r="Q67" s="57" t="str">
        <f>'External Delivery Fulfillment'!L28</f>
        <v/>
      </c>
      <c r="R67" s="57">
        <f t="shared" si="6"/>
        <v>0</v>
      </c>
      <c r="S67" s="57" t="str">
        <f>'Forwarding From Client'!L28</f>
        <v/>
      </c>
      <c r="T67" s="57">
        <f t="shared" si="7"/>
        <v>0</v>
      </c>
      <c r="U67" s="57" t="str">
        <f>'Dala Restocking'!L28</f>
        <v/>
      </c>
      <c r="V67" s="57">
        <f t="shared" si="8"/>
        <v>0</v>
      </c>
      <c r="W67" s="57" t="str">
        <f>'Client Restocking'!L28</f>
        <v/>
      </c>
    </row>
    <row r="68">
      <c r="B68" s="97"/>
      <c r="C68" s="97"/>
      <c r="D68" s="97"/>
      <c r="E68" s="97"/>
      <c r="F68" s="97"/>
      <c r="G68" s="57">
        <f t="shared" si="2"/>
        <v>0</v>
      </c>
      <c r="H68" s="97"/>
      <c r="I68" s="97"/>
      <c r="J68" s="97"/>
      <c r="K68" s="97"/>
      <c r="L68" s="53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Deliveries'!L29</f>
        <v/>
      </c>
      <c r="P68" s="57">
        <f t="shared" si="5"/>
        <v>0</v>
      </c>
      <c r="Q68" s="57" t="str">
        <f>'External Delivery Fulfillment'!L29</f>
        <v/>
      </c>
      <c r="R68" s="57">
        <f t="shared" si="6"/>
        <v>0</v>
      </c>
      <c r="S68" s="57" t="str">
        <f>'Forwarding From Client'!L29</f>
        <v/>
      </c>
      <c r="T68" s="57">
        <f t="shared" si="7"/>
        <v>0</v>
      </c>
      <c r="U68" s="57" t="str">
        <f>'Dala Restocking'!L29</f>
        <v/>
      </c>
      <c r="V68" s="57">
        <f t="shared" si="8"/>
        <v>0</v>
      </c>
      <c r="W68" s="57" t="str">
        <f>'Client Restocking'!L29</f>
        <v/>
      </c>
    </row>
    <row r="69">
      <c r="B69" s="97"/>
      <c r="C69" s="97"/>
      <c r="D69" s="97"/>
      <c r="E69" s="97"/>
      <c r="F69" s="97"/>
      <c r="G69" s="57">
        <f t="shared" si="2"/>
        <v>0</v>
      </c>
      <c r="H69" s="97"/>
      <c r="I69" s="97"/>
      <c r="J69" s="97"/>
      <c r="K69" s="97"/>
      <c r="L69" s="53">
        <f t="shared" si="9"/>
        <v>0</v>
      </c>
      <c r="M69" s="57">
        <f t="shared" si="3"/>
        <v>0</v>
      </c>
      <c r="N69" s="57">
        <f t="shared" si="4"/>
        <v>0</v>
      </c>
      <c r="O69" s="57" t="str">
        <f>'Dala Sales &amp; Deliveries'!L30</f>
        <v/>
      </c>
      <c r="P69" s="57">
        <f t="shared" si="5"/>
        <v>0</v>
      </c>
      <c r="Q69" s="57" t="str">
        <f>'External Delivery Fulfillment'!L30</f>
        <v/>
      </c>
      <c r="R69" s="57">
        <f t="shared" si="6"/>
        <v>0</v>
      </c>
      <c r="S69" s="57" t="str">
        <f>'Forwarding From Client'!L30</f>
        <v/>
      </c>
      <c r="T69" s="57">
        <f t="shared" si="7"/>
        <v>0</v>
      </c>
      <c r="U69" s="57" t="str">
        <f>'Dala Restocking'!L30</f>
        <v/>
      </c>
      <c r="V69" s="57">
        <f t="shared" si="8"/>
        <v>0</v>
      </c>
      <c r="W69" s="57" t="str">
        <f>'Client Restocking'!L30</f>
        <v/>
      </c>
    </row>
    <row r="70">
      <c r="B70" s="53" t="s">
        <v>123</v>
      </c>
      <c r="C70" s="53"/>
      <c r="D70" s="53"/>
      <c r="E70" s="57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36.5</v>
      </c>
      <c r="L70" s="57">
        <f t="shared" si="10"/>
        <v>36.5</v>
      </c>
      <c r="M70" s="57">
        <f t="shared" si="10"/>
        <v>0</v>
      </c>
      <c r="N70" s="57">
        <f t="shared" si="10"/>
        <v>0</v>
      </c>
      <c r="O70" s="51">
        <f t="shared" si="10"/>
        <v>19</v>
      </c>
      <c r="P70" s="57">
        <f t="shared" si="10"/>
        <v>39480</v>
      </c>
      <c r="Q70" s="51">
        <f t="shared" si="10"/>
        <v>0</v>
      </c>
      <c r="R70" s="57">
        <f t="shared" si="10"/>
        <v>0</v>
      </c>
      <c r="S70" s="51">
        <f t="shared" si="10"/>
        <v>0</v>
      </c>
      <c r="T70" s="57">
        <f t="shared" si="10"/>
        <v>0</v>
      </c>
      <c r="U70" s="51">
        <f t="shared" si="10"/>
        <v>17.92</v>
      </c>
      <c r="V70" s="57">
        <f t="shared" si="10"/>
        <v>26880</v>
      </c>
      <c r="W70" s="51">
        <f t="shared" si="10"/>
        <v>0</v>
      </c>
    </row>
    <row r="71">
      <c r="C71" s="52" t="s">
        <v>124</v>
      </c>
      <c r="D71" s="52" t="s">
        <v>124</v>
      </c>
      <c r="E71" s="52" t="s">
        <v>124</v>
      </c>
      <c r="F71" s="52" t="s">
        <v>124</v>
      </c>
      <c r="G71" s="52" t="s">
        <v>124</v>
      </c>
      <c r="H71" s="52" t="s">
        <v>124</v>
      </c>
      <c r="I71" s="52" t="s">
        <v>124</v>
      </c>
      <c r="J71" s="52" t="s">
        <v>124</v>
      </c>
      <c r="K71" s="52" t="s">
        <v>124</v>
      </c>
      <c r="L71" s="52" t="s">
        <v>124</v>
      </c>
      <c r="M71" s="52" t="s">
        <v>124</v>
      </c>
      <c r="N71" s="52" t="s">
        <v>124</v>
      </c>
      <c r="O71" s="52" t="s">
        <v>124</v>
      </c>
      <c r="P71" s="52" t="s">
        <v>124</v>
      </c>
      <c r="Q71" s="52" t="s">
        <v>124</v>
      </c>
      <c r="R71" s="52" t="s">
        <v>124</v>
      </c>
      <c r="S71" s="52" t="s">
        <v>124</v>
      </c>
      <c r="T71" s="52" t="s">
        <v>124</v>
      </c>
      <c r="U71" s="52" t="s">
        <v>124</v>
      </c>
      <c r="V71" s="52" t="s">
        <v>124</v>
      </c>
      <c r="W71" s="52" t="s">
        <v>124</v>
      </c>
    </row>
  </sheetData>
  <drawing r:id="rId1"/>
</worksheet>
</file>