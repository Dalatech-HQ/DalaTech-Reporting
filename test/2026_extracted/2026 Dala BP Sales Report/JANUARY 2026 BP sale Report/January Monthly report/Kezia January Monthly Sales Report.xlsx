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<sst xmlns="http://schemas.openxmlformats.org/spreadsheetml/2006/main" count="568" uniqueCount="149">
  <si>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</si>
  <si>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</si>
  <si>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</si>
  <si>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</si>
  <si>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</si>
  <si>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</si>
  <si>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</si>
  <si>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</si>
  <si>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</si>
  <si>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</si>
  <si>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</si>
  <si>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</si>
  <si>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</si>
  <si>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</si>
  <si>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</si>
  <si>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</si>
  <si>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1/13/2026</t>
  </si>
  <si>
    <t>Prestige Superstore, IYANA ISHASHI</t>
  </si>
  <si>
    <t>Sales</t>
  </si>
  <si>
    <t>DT:000142</t>
  </si>
  <si>
    <t>Prestige Superstore, IGANDO</t>
  </si>
  <si>
    <t>DT:000150</t>
  </si>
  <si>
    <t>1/16/2026</t>
  </si>
  <si>
    <t>Katta Supermarket</t>
  </si>
  <si>
    <t>DT:000222</t>
  </si>
  <si>
    <t>1/17/2026</t>
  </si>
  <si>
    <t>Excel Plus Supermarket, Orchid Rd.</t>
  </si>
  <si>
    <t>DT:000235</t>
  </si>
  <si>
    <t>1/20/2026</t>
  </si>
  <si>
    <t>Li.M Supermarket, IJOKO</t>
  </si>
  <si>
    <t>DT:000283</t>
  </si>
  <si>
    <t>1/26/2026</t>
  </si>
  <si>
    <t>D-Arena Supermarket, LEKKI</t>
  </si>
  <si>
    <t>DT:000396</t>
  </si>
  <si>
    <t>350ml Bugo Vanila Yoghurt (12x)</t>
  </si>
  <si>
    <t>1/21/2026</t>
  </si>
  <si>
    <t>Renees Supermarket, LEKKI CENTRAL MOSQUE</t>
  </si>
  <si>
    <t>DT:000295</t>
  </si>
  <si>
    <t>500ml Bugo Plain Yoghurt (12x)</t>
  </si>
  <si>
    <t>Divine Help Supermarket, SHAGAMU IKD</t>
  </si>
  <si>
    <t>DT:000473</t>
  </si>
  <si>
    <t>500ml Bugo Strawberry Yoghurt (12x)</t>
  </si>
  <si>
    <t>Divine Help supermarket, AGBEDE IKD</t>
  </si>
  <si>
    <t>DT:000471</t>
  </si>
  <si>
    <t>Am to Pm Supermarket, Martins Rd.</t>
  </si>
  <si>
    <t>DT:000105</t>
  </si>
  <si>
    <t>1/15/2026</t>
  </si>
  <si>
    <t>Ozzy Supermarket, VICTORY PARK EST.</t>
  </si>
  <si>
    <t>DT:000192</t>
  </si>
  <si>
    <t>Double Sam Supermarket, 22 IKD AWOLOWO ROAD</t>
  </si>
  <si>
    <t>DT:000279</t>
  </si>
  <si>
    <t>1/29/2026</t>
  </si>
  <si>
    <t>Lady Ricky Catering Service/ Smooth and Sweet Swallow</t>
  </si>
  <si>
    <t>DT:000479</t>
  </si>
  <si>
    <t>DT:000497</t>
  </si>
  <si>
    <t>500ml Bugo Sweetened Greek Yoghurt (12x)</t>
  </si>
  <si>
    <t>Hutoos Supermarket, OKO OBA</t>
  </si>
  <si>
    <t>DT:000223</t>
  </si>
  <si>
    <t>1/22/2026</t>
  </si>
  <si>
    <t>D'Emperor Superstore</t>
  </si>
  <si>
    <t>DT:000344</t>
  </si>
  <si>
    <t>500ml Bugo Vanila Yoghurt (12x)</t>
  </si>
  <si>
    <t>Skymart Supermarket, SANGOTEDO</t>
  </si>
  <si>
    <t>DT:000134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</si>
  <si>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</si>
  <si>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</si>
  <si>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</si>
  <si>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</si>
  <si>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</si>
  <si>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</si>
  <si>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</si>
  <si>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500ml Bugo Strawberry Yoghurt (12x) Total</t>
  </si>
  <si>
    <t>500ml Bugo Vanila Yoghurt (12x) Total</t>
  </si>
  <si>
    <t>0.25 Total</t>
  </si>
  <si>
    <t>500ml Bugo Plain Yoghurt (12x) Total</t>
  </si>
  <si>
    <t>1 Total</t>
  </si>
  <si>
    <t>0.50 Total</t>
  </si>
  <si>
    <t>350ml Bugo Strawberry Yoghurt (12x) Total</t>
  </si>
  <si>
    <t>350ml Bugo Vanila Yoghurt (12x) Total</t>
  </si>
  <si>
    <t>500ml Bugo Sweetened Greek Yoghurt (12x) Total</t>
  </si>
  <si>
    <t>1.00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</si>
  <si>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</si>
  <si>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</si>
  <si>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</si>
  <si>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</si>
  <si>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</si>
  <si>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</si>
  <si>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</si>
  <si>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</si>
  <si>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</si>
  <si>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</si>
  <si>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</si>
  <si>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</si>
  <si>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</si>
  <si>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</si>
  <si>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</si>
  <si>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</si>
  <si>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</si>
  <si>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</si>
  <si>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</si>
  <si>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</si>
  <si>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</si>
  <si>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</si>
  <si>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</si>
  <si>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</si>
  <si>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</si>
  <si>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</si>
  <si>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</si>
  <si>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</si>
  <si>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</si>
  <si>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</si>
  <si>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</si>
  <si>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</si>
  <si>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</si>
  <si>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</si>
  <si>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</si>
  <si>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</si>
  <si>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</si>
  <si>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</si>
  <si>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</si>
  <si>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</si>
  <si>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</si>
  <si>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</si>
  <si>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</si>
  <si>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</si>
  <si>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</si>
  <si>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</si>
  <si>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</si>
  <si>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</si>
  <si>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</si>
  <si>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</si>
  <si>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</si>
  <si>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</si>
  <si>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</si>
  <si>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</si>
  <si>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</si>
  <si>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</si>
  <si>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</si>
  <si>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</si>
  <si>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</si>
  <si>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</si>
  <si>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</si>
  <si>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</si>
  <si>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Bugo Sweetened Greek Yoghurt (6x)</t>
  </si>
  <si>
    <t>1Ltrs Bugo Unsweetened Greek Yoghurt (6x)</t>
  </si>
  <si>
    <t>350ml Bugo Plain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</si>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</sst>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>
      <sharedItems containsDate="1" containsBlank="1" containsMixedTypes="1">
        <s v="1/13/2026"/>
        <s v="1/16/2026"/>
        <s v="1/17/2026"/>
        <s v="1/20/2026"/>
        <s v="1/26/2026"/>
        <s v="1/21/2026"/>
        <d v="2026-05-01T00:00:00Z"/>
        <d v="2026-10-01T00:00:00Z"/>
        <s v="1/15/2026"/>
        <s v="1/29/2026"/>
        <s v="1/22/2026"/>
        <m/>
      </sharedItems>
    </cacheField>
    <cacheField name="Particulars" numFmtId="0">
      <sharedItems containsBlank="1">
        <s v="Prestige Superstore, IYANA ISHASHI"/>
        <s v="Prestige Superstore, IGANDO"/>
        <s v="Katta Supermarket"/>
        <s v="Excel Plus Supermarket, Orchid Rd."/>
        <s v="Li.M Supermarket, IJOKO"/>
        <s v="D-Arena Supermarket, LEKKI"/>
        <s v="Renees Supermarket, LEKKI CENTRAL MOSQUE"/>
        <s v="Divine Help Supermarket, SHAGAMU IKD"/>
        <s v="Divine Help supermarket, AGBEDE IKD"/>
        <s v="Am to Pm Supermarket, Martins Rd."/>
        <s v="Ozzy Supermarket, VICTORY PARK EST."/>
        <s v="Double Sam Supermarket, 22 IKD AWOLOWO ROAD"/>
        <s v="Lady Ricky Catering Service/ Smooth and Sweet Swallow"/>
        <s v="Hutoos Supermarket, OKO OBA"/>
        <s v="D'Emperor Superstore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2"/>
        <s v="DT:000150"/>
        <s v="DT:000222"/>
        <s v="DT:000235"/>
        <s v="DT:000283"/>
        <s v="DT:000396"/>
        <s v="DT:000295"/>
        <s v="DT:000473"/>
        <s v="DT:000471"/>
        <s v="DT:000105"/>
        <s v="DT:000192"/>
        <s v="DT:000279"/>
        <s v="DT:000479"/>
        <s v="DT:000497"/>
        <s v="DT:000223"/>
        <s v="DT:000344"/>
        <s v="DT:000134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 containsInteger="1">
        <n v="12000.0"/>
        <n v="24000.0"/>
        <n v="7200.0"/>
        <n v="14400.0"/>
        <n v="28800.0"/>
        <n v="57600.0"/>
        <n v="23400.0"/>
        <m/>
      </sharedItems>
    </cacheField>
    <cacheField name="Total Value" numFmtId="0">
      <sharedItems containsSemiMixedTypes="0" containsString="0" containsNumber="1" containsInteger="1">
        <n v="26400.0"/>
        <n v="24000.0"/>
        <n v="48000.0"/>
        <n v="81600.0"/>
        <n v="12000.0"/>
        <n v="52800.0"/>
        <n v="64800.0"/>
        <n v="28800.0"/>
        <n v="57600.0"/>
        <n v="21600.0"/>
        <n v="2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Vanila Yoghurt (12x)"/>
        <m/>
      </sharedItems>
    </cacheField>
    <cacheField name="Date">
      <sharedItems containsDate="1" containsBlank="1" containsMixedTypes="1">
        <s v="1/13/2026"/>
        <s v="1/16/2026"/>
        <s v="1/17/2026"/>
        <s v="1/20/2026"/>
        <s v="1/26/2026"/>
        <s v="1/21/2026"/>
        <d v="2026-05-01T00:00:00Z"/>
        <d v="2026-10-01T00:00:00Z"/>
        <s v="1/15/2026"/>
        <s v="1/29/2026"/>
        <s v="1/22/2026"/>
        <m/>
      </sharedItems>
    </cacheField>
    <cacheField name="Particulars" numFmtId="0">
      <sharedItems containsBlank="1">
        <s v="Prestige Superstore, IYANA ISHASHI"/>
        <s v="Prestige Superstore, IGANDO"/>
        <s v="Katta Supermarket"/>
        <s v="Excel Plus Supermarket, Orchid Rd."/>
        <s v="Li.M Supermarket, IJOKO"/>
        <s v="D-Arena Supermarket, LEKKI"/>
        <s v="Renees Supermarket, LEKKI CENTRAL MOSQUE"/>
        <s v="Divine Help Supermarket, SHAGAMU IKD"/>
        <s v="Divine Help supermarket, AGBEDE IKD"/>
        <s v="Am to Pm Supermarket, Martins Rd."/>
        <s v="Ozzy Supermarket, VICTORY PARK EST."/>
        <s v="Double Sam Supermarket, 22 IKD AWOLOWO ROAD"/>
        <s v="Lady Ricky Catering Service/ Smooth and Sweet Swallow"/>
        <s v="Hutoos Supermarket, OKO OBA"/>
        <s v="D'Emperor Superstore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2"/>
        <s v="DT:000150"/>
        <s v="DT:000222"/>
        <s v="DT:000235"/>
        <s v="DT:000283"/>
        <s v="DT:000396"/>
        <s v="DT:000295"/>
        <s v="DT:000473"/>
        <s v="DT:000471"/>
        <s v="DT:000105"/>
        <s v="DT:000192"/>
        <s v="DT:000279"/>
        <s v="DT:000479"/>
        <s v="DT:000497"/>
        <s v="DT:000223"/>
        <s v="DT:000344"/>
        <s v="DT:000134"/>
        <m/>
      </sharedItems>
    </cacheField>
    <cacheField name="Quantity" numFmtId="4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 containsInteger="1">
        <n v="12000.0"/>
        <n v="24000.0"/>
        <n v="7200.0"/>
        <n v="14400.0"/>
        <n v="28800.0"/>
        <n v="57600.0"/>
        <n v="2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outline="0" multipleItemSelectionAllowed="1" showAll="0" sortType="ascending" defaultSubtotal="0">
      <items>
        <item sd="0" x="11"/>
        <item x="6"/>
        <item x="7"/>
        <item x="0"/>
        <item x="8"/>
        <item x="1"/>
        <item x="2"/>
        <item x="3"/>
        <item x="5"/>
        <item x="10"/>
        <item x="4"/>
        <item x="9"/>
      </items>
    </pivotField>
    <pivotField name="Particulars" axis="axisRow" compact="0" outline="0" multipleItemSelectionAllowed="1" showAll="0" sortType="ascending" defaultSubtotal="0">
      <items>
        <item x="16"/>
        <item x="9"/>
        <item x="5"/>
        <item x="14"/>
        <item x="8"/>
        <item x="7"/>
        <item x="11"/>
        <item x="3"/>
        <item x="13"/>
        <item x="2"/>
        <item x="12"/>
        <item x="4"/>
        <item x="10"/>
        <item x="1"/>
        <item x="0"/>
        <item x="6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9"/>
        <item x="16"/>
        <item x="0"/>
        <item x="1"/>
        <item x="10"/>
        <item x="2"/>
        <item x="14"/>
        <item x="3"/>
        <item x="11"/>
        <item x="4"/>
        <item x="6"/>
        <item x="15"/>
        <item x="5"/>
        <item x="8"/>
        <item x="7"/>
        <item x="12"/>
        <item x="1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11"/>
        <item x="4"/>
        <item x="9"/>
        <item x="10"/>
        <item x="1"/>
        <item x="0"/>
        <item x="7"/>
        <item x="2"/>
        <item x="5"/>
        <item x="8"/>
        <item x="6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16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x="11"/>
        <item x="6"/>
        <item x="7"/>
        <item x="0"/>
        <item x="8"/>
        <item x="1"/>
        <item x="2"/>
        <item x="3"/>
        <item x="5"/>
        <item x="10"/>
        <item x="4"/>
        <item x="9"/>
      </items>
    </pivotField>
    <pivotField name="Particulars" axis="axisRow" compact="0" outline="0" multipleItemSelectionAllowed="1" showAll="0" sortType="ascending" defaultSubtotal="0">
      <items>
        <item x="16"/>
        <item x="9"/>
        <item x="5"/>
        <item x="14"/>
        <item x="8"/>
        <item x="7"/>
        <item x="11"/>
        <item x="3"/>
        <item x="13"/>
        <item x="2"/>
        <item x="12"/>
        <item x="4"/>
        <item x="10"/>
        <item x="1"/>
        <item x="0"/>
        <item x="6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9"/>
        <item x="16"/>
        <item x="0"/>
        <item x="1"/>
        <item x="10"/>
        <item x="2"/>
        <item x="14"/>
        <item x="3"/>
        <item x="11"/>
        <item x="4"/>
        <item x="6"/>
        <item x="15"/>
        <item x="5"/>
        <item x="8"/>
        <item x="7"/>
        <item x="12"/>
        <item x="13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7"/>
        <item x="2"/>
        <item x="0"/>
        <item x="3"/>
        <item x="6"/>
        <item x="1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15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0.5</v>
      </c>
      <c r="G3" s="17">
        <v>12000.0</v>
      </c>
      <c r="I3" s="18" t="str">
        <f>IFERROR(__xludf.DUMMYFUNCTION("IFERROR(
  FILTER($A$3:$G1844, LEN($A$3:$A1844), LOWER(TRIM($D$3:$D1844))=""sales""),
)"),"350ml Bugo Strawberry Yoghurt (12x)")</f>
        <v>350ml Bugo Strawberry Yoghurt (12x)</v>
      </c>
      <c r="J3" s="2" t="str">
        <f>IFERROR(__xludf.DUMMYFUNCTION("""COMPUTED_VALUE"""),"1/13/2026")</f>
        <v>1/13/2026</v>
      </c>
      <c r="K3" s="19" t="str">
        <f>IFERROR(__xludf.DUMMYFUNCTION("""COMPUTED_VALUE"""),"Prestige Superstore, IYANA ISHASHI")</f>
        <v>Prestige Superstore, IYANA ISHASHI</v>
      </c>
      <c r="L3" s="19" t="str">
        <f>IFERROR(__xludf.DUMMYFUNCTION("""COMPUTED_VALUE"""),"Sales")</f>
        <v>Sales</v>
      </c>
      <c r="M3" s="5" t="str">
        <f>IFERROR(__xludf.DUMMYFUNCTION("""COMPUTED_VALUE"""),"DT:000142")</f>
        <v>DT:000142</v>
      </c>
      <c r="N3" s="20">
        <f>IFERROR(__xludf.DUMMYFUNCTION("""COMPUTED_VALUE"""),0.5)</f>
        <v>0.5</v>
      </c>
      <c r="O3" s="21">
        <f>IFERROR(__xludf.DUMMYFUNCTION("""COMPUTED_VALUE"""),12000.0)</f>
        <v>12000</v>
      </c>
      <c r="P3" s="22">
        <f t="shared" ref="P3:P98" si="1">sumif(M:M,M3,O:O)</f>
        <v>26400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12" t="s">
        <v>16</v>
      </c>
      <c r="C4" s="15" t="s">
        <v>20</v>
      </c>
      <c r="D4" s="15" t="s">
        <v>18</v>
      </c>
      <c r="E4" s="12" t="s">
        <v>21</v>
      </c>
      <c r="F4" s="16">
        <v>0.5</v>
      </c>
      <c r="G4" s="17">
        <v>12000.0</v>
      </c>
      <c r="I4" s="18" t="str">
        <f>IFERROR(__xludf.DUMMYFUNCTION("""COMPUTED_VALUE"""),"350ml Bugo Strawberry Yoghurt (12x)")</f>
        <v>350ml Bugo Strawberry Yoghurt (12x)</v>
      </c>
      <c r="J4" s="2" t="str">
        <f>IFERROR(__xludf.DUMMYFUNCTION("""COMPUTED_VALUE"""),"1/13/2026")</f>
        <v>1/13/2026</v>
      </c>
      <c r="K4" s="19" t="str">
        <f>IFERROR(__xludf.DUMMYFUNCTION("""COMPUTED_VALUE"""),"Prestige Superstore, IGANDO")</f>
        <v>Prestige Superstore, IGANDO</v>
      </c>
      <c r="L4" s="19" t="str">
        <f>IFERROR(__xludf.DUMMYFUNCTION("""COMPUTED_VALUE"""),"Sales")</f>
        <v>Sales</v>
      </c>
      <c r="M4" s="5" t="str">
        <f>IFERROR(__xludf.DUMMYFUNCTION("""COMPUTED_VALUE"""),"DT:000150")</f>
        <v>DT:000150</v>
      </c>
      <c r="N4" s="20">
        <f>IFERROR(__xludf.DUMMYFUNCTION("""COMPUTED_VALUE"""),0.5)</f>
        <v>0.5</v>
      </c>
      <c r="O4" s="21">
        <f>IFERROR(__xludf.DUMMYFUNCTION("""COMPUTED_VALUE"""),12000.0)</f>
        <v>12000</v>
      </c>
      <c r="P4" s="22">
        <f t="shared" si="1"/>
        <v>24000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12" t="s">
        <v>22</v>
      </c>
      <c r="C5" s="15" t="s">
        <v>23</v>
      </c>
      <c r="D5" s="15" t="s">
        <v>18</v>
      </c>
      <c r="E5" s="12" t="s">
        <v>24</v>
      </c>
      <c r="F5" s="16">
        <v>0.5</v>
      </c>
      <c r="G5" s="17">
        <v>12000.0</v>
      </c>
      <c r="I5" s="18" t="str">
        <f>IFERROR(__xludf.DUMMYFUNCTION("""COMPUTED_VALUE"""),"350ml Bugo Strawberry Yoghurt (12x)")</f>
        <v>350ml Bugo Strawberry Yoghurt (12x)</v>
      </c>
      <c r="J5" s="2" t="str">
        <f>IFERROR(__xludf.DUMMYFUNCTION("""COMPUTED_VALUE"""),"1/16/2026")</f>
        <v>1/16/2026</v>
      </c>
      <c r="K5" s="19" t="str">
        <f>IFERROR(__xludf.DUMMYFUNCTION("""COMPUTED_VALUE"""),"Katta Supermarket")</f>
        <v>Katta Supermarket</v>
      </c>
      <c r="L5" s="19" t="str">
        <f>IFERROR(__xludf.DUMMYFUNCTION("""COMPUTED_VALUE"""),"Sales")</f>
        <v>Sales</v>
      </c>
      <c r="M5" s="5" t="str">
        <f>IFERROR(__xludf.DUMMYFUNCTION("""COMPUTED_VALUE"""),"DT:000222")</f>
        <v>DT:000222</v>
      </c>
      <c r="N5" s="20">
        <f>IFERROR(__xludf.DUMMYFUNCTION("""COMPUTED_VALUE"""),0.5)</f>
        <v>0.5</v>
      </c>
      <c r="O5" s="21">
        <f>IFERROR(__xludf.DUMMYFUNCTION("""COMPUTED_VALUE"""),12000.0)</f>
        <v>12000</v>
      </c>
      <c r="P5" s="22">
        <f t="shared" si="1"/>
        <v>24000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12" t="s">
        <v>25</v>
      </c>
      <c r="C6" s="15" t="s">
        <v>26</v>
      </c>
      <c r="D6" s="15" t="s">
        <v>18</v>
      </c>
      <c r="E6" s="12" t="s">
        <v>27</v>
      </c>
      <c r="F6" s="16">
        <v>1.0</v>
      </c>
      <c r="G6" s="17">
        <v>24000.0</v>
      </c>
      <c r="I6" s="18" t="str">
        <f>IFERROR(__xludf.DUMMYFUNCTION("""COMPUTED_VALUE"""),"350ml Bugo Strawberry Yoghurt (12x)")</f>
        <v>350ml Bugo Strawberry Yoghurt (12x)</v>
      </c>
      <c r="J6" s="2" t="str">
        <f>IFERROR(__xludf.DUMMYFUNCTION("""COMPUTED_VALUE"""),"1/17/2026")</f>
        <v>1/17/2026</v>
      </c>
      <c r="K6" s="19" t="str">
        <f>IFERROR(__xludf.DUMMYFUNCTION("""COMPUTED_VALUE"""),"Excel Plus Supermarket, Orchid Rd.")</f>
        <v>Excel Plus Supermarket, Orchid Rd.</v>
      </c>
      <c r="L6" s="19" t="str">
        <f>IFERROR(__xludf.DUMMYFUNCTION("""COMPUTED_VALUE"""),"Sales")</f>
        <v>Sales</v>
      </c>
      <c r="M6" s="5" t="str">
        <f>IFERROR(__xludf.DUMMYFUNCTION("""COMPUTED_VALUE"""),"DT:000235")</f>
        <v>DT:000235</v>
      </c>
      <c r="N6" s="20">
        <f>IFERROR(__xludf.DUMMYFUNCTION("""COMPUTED_VALUE"""),1.0)</f>
        <v>1</v>
      </c>
      <c r="O6" s="21">
        <f>IFERROR(__xludf.DUMMYFUNCTION("""COMPUTED_VALUE"""),24000.0)</f>
        <v>24000</v>
      </c>
      <c r="P6" s="22">
        <f t="shared" si="1"/>
        <v>48000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12" t="s">
        <v>28</v>
      </c>
      <c r="C7" s="15" t="s">
        <v>29</v>
      </c>
      <c r="D7" s="15" t="s">
        <v>18</v>
      </c>
      <c r="E7" s="12" t="s">
        <v>30</v>
      </c>
      <c r="F7" s="16">
        <v>0.5</v>
      </c>
      <c r="G7" s="17">
        <v>12000.0</v>
      </c>
      <c r="I7" s="18" t="str">
        <f>IFERROR(__xludf.DUMMYFUNCTION("""COMPUTED_VALUE"""),"350ml Bugo Strawberry Yoghurt (12x)")</f>
        <v>350ml Bugo Strawberry Yoghurt (12x)</v>
      </c>
      <c r="J7" s="2" t="str">
        <f>IFERROR(__xludf.DUMMYFUNCTION("""COMPUTED_VALUE"""),"1/20/2026")</f>
        <v>1/20/2026</v>
      </c>
      <c r="K7" s="19" t="str">
        <f>IFERROR(__xludf.DUMMYFUNCTION("""COMPUTED_VALUE"""),"Li.M Supermarket, IJOKO")</f>
        <v>Li.M Supermarket, IJOKO</v>
      </c>
      <c r="L7" s="19" t="str">
        <f>IFERROR(__xludf.DUMMYFUNCTION("""COMPUTED_VALUE"""),"Sales")</f>
        <v>Sales</v>
      </c>
      <c r="M7" s="5" t="str">
        <f>IFERROR(__xludf.DUMMYFUNCTION("""COMPUTED_VALUE"""),"DT:000283")</f>
        <v>DT:000283</v>
      </c>
      <c r="N7" s="20">
        <f>IFERROR(__xludf.DUMMYFUNCTION("""COMPUTED_VALUE"""),0.5)</f>
        <v>0.5</v>
      </c>
      <c r="O7" s="21">
        <f>IFERROR(__xludf.DUMMYFUNCTION("""COMPUTED_VALUE"""),12000.0)</f>
        <v>12000</v>
      </c>
      <c r="P7" s="22">
        <f t="shared" si="1"/>
        <v>81600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15</v>
      </c>
      <c r="B8" s="12" t="s">
        <v>31</v>
      </c>
      <c r="C8" s="15" t="s">
        <v>32</v>
      </c>
      <c r="D8" s="15" t="s">
        <v>18</v>
      </c>
      <c r="E8" s="12" t="s">
        <v>33</v>
      </c>
      <c r="F8" s="16">
        <v>0.5</v>
      </c>
      <c r="G8" s="17">
        <v>12000.0</v>
      </c>
      <c r="I8" s="18" t="str">
        <f>IFERROR(__xludf.DUMMYFUNCTION("""COMPUTED_VALUE"""),"350ml Bugo Strawberry Yoghurt (12x)")</f>
        <v>350ml Bugo Strawberry Yoghurt (12x)</v>
      </c>
      <c r="J8" s="2" t="str">
        <f>IFERROR(__xludf.DUMMYFUNCTION("""COMPUTED_VALUE"""),"1/26/2026")</f>
        <v>1/26/2026</v>
      </c>
      <c r="K8" s="19" t="str">
        <f>IFERROR(__xludf.DUMMYFUNCTION("""COMPUTED_VALUE"""),"D-Arena Supermarket, LEKKI")</f>
        <v>D-Arena Supermarket, LEKKI</v>
      </c>
      <c r="L8" s="19" t="str">
        <f>IFERROR(__xludf.DUMMYFUNCTION("""COMPUTED_VALUE"""),"Sales")</f>
        <v>Sales</v>
      </c>
      <c r="M8" s="5" t="str">
        <f>IFERROR(__xludf.DUMMYFUNCTION("""COMPUTED_VALUE"""),"DT:000396")</f>
        <v>DT:000396</v>
      </c>
      <c r="N8" s="20">
        <f>IFERROR(__xludf.DUMMYFUNCTION("""COMPUTED_VALUE"""),0.5)</f>
        <v>0.5</v>
      </c>
      <c r="O8" s="21">
        <f>IFERROR(__xludf.DUMMYFUNCTION("""COMPUTED_VALUE"""),12000.0)</f>
        <v>12000</v>
      </c>
      <c r="P8" s="22">
        <f t="shared" si="1"/>
        <v>12000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34</v>
      </c>
      <c r="B9" s="12" t="s">
        <v>16</v>
      </c>
      <c r="C9" s="15" t="s">
        <v>20</v>
      </c>
      <c r="D9" s="15" t="s">
        <v>18</v>
      </c>
      <c r="E9" s="12" t="s">
        <v>21</v>
      </c>
      <c r="F9" s="16">
        <v>0.5</v>
      </c>
      <c r="G9" s="17">
        <v>12000.0</v>
      </c>
      <c r="I9" s="18" t="str">
        <f>IFERROR(__xludf.DUMMYFUNCTION("""COMPUTED_VALUE"""),"350ml Bugo Vanila Yoghurt (12x)")</f>
        <v>350ml Bugo Vanila Yoghurt (12x)</v>
      </c>
      <c r="J9" s="2" t="str">
        <f>IFERROR(__xludf.DUMMYFUNCTION("""COMPUTED_VALUE"""),"1/13/2026")</f>
        <v>1/13/2026</v>
      </c>
      <c r="K9" s="19" t="str">
        <f>IFERROR(__xludf.DUMMYFUNCTION("""COMPUTED_VALUE"""),"Prestige Superstore, IGANDO")</f>
        <v>Prestige Superstore, IGANDO</v>
      </c>
      <c r="L9" s="19" t="str">
        <f>IFERROR(__xludf.DUMMYFUNCTION("""COMPUTED_VALUE"""),"Sales")</f>
        <v>Sales</v>
      </c>
      <c r="M9" s="5" t="str">
        <f>IFERROR(__xludf.DUMMYFUNCTION("""COMPUTED_VALUE"""),"DT:000150")</f>
        <v>DT:000150</v>
      </c>
      <c r="N9" s="20">
        <f>IFERROR(__xludf.DUMMYFUNCTION("""COMPUTED_VALUE"""),0.5)</f>
        <v>0.5</v>
      </c>
      <c r="O9" s="21">
        <f>IFERROR(__xludf.DUMMYFUNCTION("""COMPUTED_VALUE"""),12000.0)</f>
        <v>12000</v>
      </c>
      <c r="P9" s="22">
        <f t="shared" si="1"/>
        <v>24000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34</v>
      </c>
      <c r="B10" s="12" t="s">
        <v>22</v>
      </c>
      <c r="C10" s="15" t="s">
        <v>23</v>
      </c>
      <c r="D10" s="15" t="s">
        <v>18</v>
      </c>
      <c r="E10" s="12" t="s">
        <v>24</v>
      </c>
      <c r="F10" s="16">
        <v>0.5</v>
      </c>
      <c r="G10" s="17">
        <v>12000.0</v>
      </c>
      <c r="I10" s="18" t="str">
        <f>IFERROR(__xludf.DUMMYFUNCTION("""COMPUTED_VALUE"""),"350ml Bugo Vanila Yoghurt (12x)")</f>
        <v>350ml Bugo Vanila Yoghurt (12x)</v>
      </c>
      <c r="J10" s="2" t="str">
        <f>IFERROR(__xludf.DUMMYFUNCTION("""COMPUTED_VALUE"""),"1/16/2026")</f>
        <v>1/16/2026</v>
      </c>
      <c r="K10" s="19" t="str">
        <f>IFERROR(__xludf.DUMMYFUNCTION("""COMPUTED_VALUE"""),"Katta Supermarket")</f>
        <v>Katta Supermarket</v>
      </c>
      <c r="L10" s="19" t="str">
        <f>IFERROR(__xludf.DUMMYFUNCTION("""COMPUTED_VALUE"""),"Sales")</f>
        <v>Sales</v>
      </c>
      <c r="M10" s="5" t="str">
        <f>IFERROR(__xludf.DUMMYFUNCTION("""COMPUTED_VALUE"""),"DT:000222")</f>
        <v>DT:000222</v>
      </c>
      <c r="N10" s="20">
        <f>IFERROR(__xludf.DUMMYFUNCTION("""COMPUTED_VALUE"""),0.5)</f>
        <v>0.5</v>
      </c>
      <c r="O10" s="21">
        <f>IFERROR(__xludf.DUMMYFUNCTION("""COMPUTED_VALUE"""),12000.0)</f>
        <v>12000</v>
      </c>
      <c r="P10" s="22">
        <f t="shared" si="1"/>
        <v>24000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 t="s">
        <v>34</v>
      </c>
      <c r="B11" s="12" t="s">
        <v>25</v>
      </c>
      <c r="C11" s="15" t="s">
        <v>26</v>
      </c>
      <c r="D11" s="15" t="s">
        <v>18</v>
      </c>
      <c r="E11" s="12" t="s">
        <v>27</v>
      </c>
      <c r="F11" s="16">
        <v>1.0</v>
      </c>
      <c r="G11" s="17">
        <v>24000.0</v>
      </c>
      <c r="I11" s="18" t="str">
        <f>IFERROR(__xludf.DUMMYFUNCTION("""COMPUTED_VALUE"""),"350ml Bugo Vanila Yoghurt (12x)")</f>
        <v>350ml Bugo Vanila Yoghurt (12x)</v>
      </c>
      <c r="J11" s="2" t="str">
        <f>IFERROR(__xludf.DUMMYFUNCTION("""COMPUTED_VALUE"""),"1/17/2026")</f>
        <v>1/17/2026</v>
      </c>
      <c r="K11" s="19" t="str">
        <f>IFERROR(__xludf.DUMMYFUNCTION("""COMPUTED_VALUE"""),"Excel Plus Supermarket, Orchid Rd.")</f>
        <v>Excel Plus Supermarket, Orchid Rd.</v>
      </c>
      <c r="L11" s="19" t="str">
        <f>IFERROR(__xludf.DUMMYFUNCTION("""COMPUTED_VALUE"""),"Sales")</f>
        <v>Sales</v>
      </c>
      <c r="M11" s="5" t="str">
        <f>IFERROR(__xludf.DUMMYFUNCTION("""COMPUTED_VALUE"""),"DT:000235")</f>
        <v>DT:000235</v>
      </c>
      <c r="N11" s="20">
        <f>IFERROR(__xludf.DUMMYFUNCTION("""COMPUTED_VALUE"""),1.0)</f>
        <v>1</v>
      </c>
      <c r="O11" s="21">
        <f>IFERROR(__xludf.DUMMYFUNCTION("""COMPUTED_VALUE"""),24000.0)</f>
        <v>24000</v>
      </c>
      <c r="P11" s="22">
        <f t="shared" si="1"/>
        <v>48000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34</v>
      </c>
      <c r="B12" s="12" t="s">
        <v>28</v>
      </c>
      <c r="C12" s="15" t="s">
        <v>29</v>
      </c>
      <c r="D12" s="15" t="s">
        <v>18</v>
      </c>
      <c r="E12" s="12" t="s">
        <v>30</v>
      </c>
      <c r="F12" s="16">
        <v>0.5</v>
      </c>
      <c r="G12" s="17">
        <v>12000.0</v>
      </c>
      <c r="I12" s="18" t="str">
        <f>IFERROR(__xludf.DUMMYFUNCTION("""COMPUTED_VALUE"""),"350ml Bugo Vanila Yoghurt (12x)")</f>
        <v>350ml Bugo Vanila Yoghurt (12x)</v>
      </c>
      <c r="J12" s="2" t="str">
        <f>IFERROR(__xludf.DUMMYFUNCTION("""COMPUTED_VALUE"""),"1/20/2026")</f>
        <v>1/20/2026</v>
      </c>
      <c r="K12" s="19" t="str">
        <f>IFERROR(__xludf.DUMMYFUNCTION("""COMPUTED_VALUE"""),"Li.M Supermarket, IJOKO")</f>
        <v>Li.M Supermarket, IJOKO</v>
      </c>
      <c r="L12" s="19" t="str">
        <f>IFERROR(__xludf.DUMMYFUNCTION("""COMPUTED_VALUE"""),"Sales")</f>
        <v>Sales</v>
      </c>
      <c r="M12" s="5" t="str">
        <f>IFERROR(__xludf.DUMMYFUNCTION("""COMPUTED_VALUE"""),"DT:000283")</f>
        <v>DT:000283</v>
      </c>
      <c r="N12" s="20">
        <f>IFERROR(__xludf.DUMMYFUNCTION("""COMPUTED_VALUE"""),0.5)</f>
        <v>0.5</v>
      </c>
      <c r="O12" s="21">
        <f>IFERROR(__xludf.DUMMYFUNCTION("""COMPUTED_VALUE"""),12000.0)</f>
        <v>12000</v>
      </c>
      <c r="P12" s="22">
        <f t="shared" si="1"/>
        <v>81600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34</v>
      </c>
      <c r="B13" s="12" t="s">
        <v>35</v>
      </c>
      <c r="C13" s="15" t="s">
        <v>36</v>
      </c>
      <c r="D13" s="15" t="s">
        <v>18</v>
      </c>
      <c r="E13" s="12" t="s">
        <v>37</v>
      </c>
      <c r="F13" s="16">
        <v>1.0</v>
      </c>
      <c r="G13" s="17">
        <v>24000.0</v>
      </c>
      <c r="I13" s="18" t="str">
        <f>IFERROR(__xludf.DUMMYFUNCTION("""COMPUTED_VALUE"""),"350ml Bugo Vanila Yoghurt (12x)")</f>
        <v>350ml Bugo Vanila Yoghurt (12x)</v>
      </c>
      <c r="J13" s="2" t="str">
        <f>IFERROR(__xludf.DUMMYFUNCTION("""COMPUTED_VALUE"""),"1/21/2026")</f>
        <v>1/21/2026</v>
      </c>
      <c r="K13" s="19" t="str">
        <f>IFERROR(__xludf.DUMMYFUNCTION("""COMPUTED_VALUE"""),"Renees Supermarket, LEKKI CENTRAL MOSQUE")</f>
        <v>Renees Supermarket, LEKKI CENTRAL MOSQUE</v>
      </c>
      <c r="L13" s="19" t="str">
        <f>IFERROR(__xludf.DUMMYFUNCTION("""COMPUTED_VALUE"""),"Sales")</f>
        <v>Sales</v>
      </c>
      <c r="M13" s="5" t="str">
        <f>IFERROR(__xludf.DUMMYFUNCTION("""COMPUTED_VALUE"""),"DT:000295")</f>
        <v>DT:000295</v>
      </c>
      <c r="N13" s="33">
        <f>IFERROR(__xludf.DUMMYFUNCTION("""COMPUTED_VALUE"""),1.0)</f>
        <v>1</v>
      </c>
      <c r="O13" s="21">
        <f>IFERROR(__xludf.DUMMYFUNCTION("""COMPUTED_VALUE"""),24000.0)</f>
        <v>24000</v>
      </c>
      <c r="P13" s="22">
        <f t="shared" si="1"/>
        <v>52800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38</v>
      </c>
      <c r="B14" s="9">
        <v>46143.0</v>
      </c>
      <c r="C14" s="15" t="s">
        <v>39</v>
      </c>
      <c r="D14" s="15" t="s">
        <v>18</v>
      </c>
      <c r="E14" s="12" t="s">
        <v>40</v>
      </c>
      <c r="F14" s="16">
        <v>0.25</v>
      </c>
      <c r="G14" s="17">
        <v>7200.0</v>
      </c>
      <c r="I14" s="18" t="str">
        <f>IFERROR(__xludf.DUMMYFUNCTION("""COMPUTED_VALUE"""),"500ml Bugo Plain Yoghurt (12x)")</f>
        <v>500ml Bugo Plain Yoghurt (12x)</v>
      </c>
      <c r="J14" s="2">
        <f>IFERROR(__xludf.DUMMYFUNCTION("""COMPUTED_VALUE"""),46143.0)</f>
        <v>46143</v>
      </c>
      <c r="K14" s="19" t="str">
        <f>IFERROR(__xludf.DUMMYFUNCTION("""COMPUTED_VALUE"""),"Divine Help Supermarket, SHAGAMU IKD")</f>
        <v>Divine Help Supermarket, SHAGAMU IKD</v>
      </c>
      <c r="L14" s="19" t="str">
        <f>IFERROR(__xludf.DUMMYFUNCTION("""COMPUTED_VALUE"""),"Sales")</f>
        <v>Sales</v>
      </c>
      <c r="M14" s="5" t="str">
        <f>IFERROR(__xludf.DUMMYFUNCTION("""COMPUTED_VALUE"""),"DT:000473")</f>
        <v>DT:000473</v>
      </c>
      <c r="N14" s="33">
        <f>IFERROR(__xludf.DUMMYFUNCTION("""COMPUTED_VALUE"""),0.25)</f>
        <v>0.25</v>
      </c>
      <c r="O14" s="21">
        <f>IFERROR(__xludf.DUMMYFUNCTION("""COMPUTED_VALUE"""),7200.0)</f>
        <v>7200</v>
      </c>
      <c r="P14" s="22">
        <f t="shared" si="1"/>
        <v>64800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41</v>
      </c>
      <c r="B15" s="9">
        <v>46143.0</v>
      </c>
      <c r="C15" s="15" t="s">
        <v>42</v>
      </c>
      <c r="D15" s="15" t="s">
        <v>18</v>
      </c>
      <c r="E15" s="12" t="s">
        <v>43</v>
      </c>
      <c r="F15" s="48">
        <v>0.5</v>
      </c>
      <c r="G15" s="17">
        <v>14400.0</v>
      </c>
      <c r="I15" s="18" t="str">
        <f>IFERROR(__xludf.DUMMYFUNCTION("""COMPUTED_VALUE"""),"500ml Bugo Strawberry Yoghurt (12x)")</f>
        <v>500ml Bugo Strawberry Yoghurt (12x)</v>
      </c>
      <c r="J15" s="2">
        <f>IFERROR(__xludf.DUMMYFUNCTION("""COMPUTED_VALUE"""),46143.0)</f>
        <v>46143</v>
      </c>
      <c r="K15" s="19" t="str">
        <f>IFERROR(__xludf.DUMMYFUNCTION("""COMPUTED_VALUE"""),"Divine Help supermarket, AGBEDE IKD")</f>
        <v>Divine Help supermarket, AGBEDE IKD</v>
      </c>
      <c r="L15" s="19" t="str">
        <f>IFERROR(__xludf.DUMMYFUNCTION("""COMPUTED_VALUE"""),"Sales")</f>
        <v>Sales</v>
      </c>
      <c r="M15" s="5" t="str">
        <f>IFERROR(__xludf.DUMMYFUNCTION("""COMPUTED_VALUE"""),"DT:000471")</f>
        <v>DT:000471</v>
      </c>
      <c r="N15" s="33">
        <f>IFERROR(__xludf.DUMMYFUNCTION("""COMPUTED_VALUE"""),0.5)</f>
        <v>0.5</v>
      </c>
      <c r="O15" s="21">
        <f>IFERROR(__xludf.DUMMYFUNCTION("""COMPUTED_VALUE"""),14400.0)</f>
        <v>14400</v>
      </c>
      <c r="P15" s="22">
        <f t="shared" si="1"/>
        <v>28800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 t="s">
        <v>41</v>
      </c>
      <c r="B16" s="9">
        <v>46143.0</v>
      </c>
      <c r="C16" s="15" t="s">
        <v>39</v>
      </c>
      <c r="D16" s="15" t="s">
        <v>18</v>
      </c>
      <c r="E16" s="12" t="s">
        <v>40</v>
      </c>
      <c r="F16" s="48">
        <v>1.0</v>
      </c>
      <c r="G16" s="17">
        <v>28800.0</v>
      </c>
      <c r="I16" s="18" t="str">
        <f>IFERROR(__xludf.DUMMYFUNCTION("""COMPUTED_VALUE"""),"500ml Bugo Strawberry Yoghurt (12x)")</f>
        <v>500ml Bugo Strawberry Yoghurt (12x)</v>
      </c>
      <c r="J16" s="2">
        <f>IFERROR(__xludf.DUMMYFUNCTION("""COMPUTED_VALUE"""),46143.0)</f>
        <v>46143</v>
      </c>
      <c r="K16" s="19" t="str">
        <f>IFERROR(__xludf.DUMMYFUNCTION("""COMPUTED_VALUE"""),"Divine Help Supermarket, SHAGAMU IKD")</f>
        <v>Divine Help Supermarket, SHAGAMU IKD</v>
      </c>
      <c r="L16" s="19" t="str">
        <f>IFERROR(__xludf.DUMMYFUNCTION("""COMPUTED_VALUE"""),"Sales")</f>
        <v>Sales</v>
      </c>
      <c r="M16" s="5" t="str">
        <f>IFERROR(__xludf.DUMMYFUNCTION("""COMPUTED_VALUE"""),"DT:000473")</f>
        <v>DT:000473</v>
      </c>
      <c r="N16" s="33">
        <f>IFERROR(__xludf.DUMMYFUNCTION("""COMPUTED_VALUE"""),1.0)</f>
        <v>1</v>
      </c>
      <c r="O16" s="21">
        <f>IFERROR(__xludf.DUMMYFUNCTION("""COMPUTED_VALUE"""),28800.0)</f>
        <v>28800</v>
      </c>
      <c r="P16" s="22">
        <f t="shared" si="1"/>
        <v>64800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 t="s">
        <v>41</v>
      </c>
      <c r="B17" s="49">
        <v>46296.0</v>
      </c>
      <c r="C17" s="15" t="s">
        <v>44</v>
      </c>
      <c r="D17" s="15" t="s">
        <v>18</v>
      </c>
      <c r="E17" s="12" t="s">
        <v>45</v>
      </c>
      <c r="F17" s="48">
        <v>0.5</v>
      </c>
      <c r="G17" s="17">
        <v>14400.0</v>
      </c>
      <c r="I17" s="18" t="str">
        <f>IFERROR(__xludf.DUMMYFUNCTION("""COMPUTED_VALUE"""),"500ml Bugo Strawberry Yoghurt (12x)")</f>
        <v>500ml Bugo Strawberry Yoghurt (12x)</v>
      </c>
      <c r="J17" s="2">
        <f>IFERROR(__xludf.DUMMYFUNCTION("""COMPUTED_VALUE"""),46296.0)</f>
        <v>46296</v>
      </c>
      <c r="K17" s="19" t="str">
        <f>IFERROR(__xludf.DUMMYFUNCTION("""COMPUTED_VALUE"""),"Am to Pm Supermarket, Martins Rd.")</f>
        <v>Am to Pm Supermarket, Martins Rd.</v>
      </c>
      <c r="L17" s="19" t="str">
        <f>IFERROR(__xludf.DUMMYFUNCTION("""COMPUTED_VALUE"""),"Sales")</f>
        <v>Sales</v>
      </c>
      <c r="M17" s="5" t="str">
        <f>IFERROR(__xludf.DUMMYFUNCTION("""COMPUTED_VALUE"""),"DT:000105")</f>
        <v>DT:000105</v>
      </c>
      <c r="N17" s="33">
        <f>IFERROR(__xludf.DUMMYFUNCTION("""COMPUTED_VALUE"""),0.5)</f>
        <v>0.5</v>
      </c>
      <c r="O17" s="21">
        <f>IFERROR(__xludf.DUMMYFUNCTION("""COMPUTED_VALUE"""),14400.0)</f>
        <v>14400</v>
      </c>
      <c r="P17" s="22">
        <f t="shared" si="1"/>
        <v>28800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 t="s">
        <v>41</v>
      </c>
      <c r="B18" s="12" t="s">
        <v>16</v>
      </c>
      <c r="C18" s="15" t="s">
        <v>17</v>
      </c>
      <c r="D18" s="15" t="s">
        <v>18</v>
      </c>
      <c r="E18" s="12" t="s">
        <v>19</v>
      </c>
      <c r="F18" s="48">
        <v>0.5</v>
      </c>
      <c r="G18" s="17">
        <v>14400.0</v>
      </c>
      <c r="I18" s="18" t="str">
        <f>IFERROR(__xludf.DUMMYFUNCTION("""COMPUTED_VALUE"""),"500ml Bugo Strawberry Yoghurt (12x)")</f>
        <v>500ml Bugo Strawberry Yoghurt (12x)</v>
      </c>
      <c r="J18" s="2" t="str">
        <f>IFERROR(__xludf.DUMMYFUNCTION("""COMPUTED_VALUE"""),"1/13/2026")</f>
        <v>1/13/2026</v>
      </c>
      <c r="K18" s="19" t="str">
        <f>IFERROR(__xludf.DUMMYFUNCTION("""COMPUTED_VALUE"""),"Prestige Superstore, IYANA ISHASHI")</f>
        <v>Prestige Superstore, IYANA ISHASHI</v>
      </c>
      <c r="L18" s="19" t="str">
        <f>IFERROR(__xludf.DUMMYFUNCTION("""COMPUTED_VALUE"""),"Sales")</f>
        <v>Sales</v>
      </c>
      <c r="M18" s="5" t="str">
        <f>IFERROR(__xludf.DUMMYFUNCTION("""COMPUTED_VALUE"""),"DT:000142")</f>
        <v>DT:000142</v>
      </c>
      <c r="N18" s="33">
        <f>IFERROR(__xludf.DUMMYFUNCTION("""COMPUTED_VALUE"""),0.5)</f>
        <v>0.5</v>
      </c>
      <c r="O18" s="21">
        <f>IFERROR(__xludf.DUMMYFUNCTION("""COMPUTED_VALUE"""),14400.0)</f>
        <v>14400</v>
      </c>
      <c r="P18" s="22">
        <f t="shared" si="1"/>
        <v>26400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 t="s">
        <v>41</v>
      </c>
      <c r="B19" s="12" t="s">
        <v>46</v>
      </c>
      <c r="C19" s="15" t="s">
        <v>47</v>
      </c>
      <c r="D19" s="15" t="s">
        <v>18</v>
      </c>
      <c r="E19" s="12" t="s">
        <v>48</v>
      </c>
      <c r="F19" s="48">
        <v>0.5</v>
      </c>
      <c r="G19" s="17">
        <v>14400.0</v>
      </c>
      <c r="I19" s="18" t="str">
        <f>IFERROR(__xludf.DUMMYFUNCTION("""COMPUTED_VALUE"""),"500ml Bugo Strawberry Yoghurt (12x)")</f>
        <v>500ml Bugo Strawberry Yoghurt (12x)</v>
      </c>
      <c r="J19" s="2" t="str">
        <f>IFERROR(__xludf.DUMMYFUNCTION("""COMPUTED_VALUE"""),"1/15/2026")</f>
        <v>1/15/2026</v>
      </c>
      <c r="K19" s="19" t="str">
        <f>IFERROR(__xludf.DUMMYFUNCTION("""COMPUTED_VALUE"""),"Ozzy Supermarket, VICTORY PARK EST.")</f>
        <v>Ozzy Supermarket, VICTORY PARK EST.</v>
      </c>
      <c r="L19" s="19" t="str">
        <f>IFERROR(__xludf.DUMMYFUNCTION("""COMPUTED_VALUE"""),"Sales")</f>
        <v>Sales</v>
      </c>
      <c r="M19" s="5" t="str">
        <f>IFERROR(__xludf.DUMMYFUNCTION("""COMPUTED_VALUE"""),"DT:000192")</f>
        <v>DT:000192</v>
      </c>
      <c r="N19" s="33">
        <f>IFERROR(__xludf.DUMMYFUNCTION("""COMPUTED_VALUE"""),0.5)</f>
        <v>0.5</v>
      </c>
      <c r="O19" s="21">
        <f>IFERROR(__xludf.DUMMYFUNCTION("""COMPUTED_VALUE"""),14400.0)</f>
        <v>14400</v>
      </c>
      <c r="P19" s="22">
        <f t="shared" si="1"/>
        <v>28800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 t="s">
        <v>41</v>
      </c>
      <c r="B20" s="12" t="s">
        <v>28</v>
      </c>
      <c r="C20" s="15" t="s">
        <v>49</v>
      </c>
      <c r="D20" s="15" t="s">
        <v>18</v>
      </c>
      <c r="E20" s="12" t="s">
        <v>50</v>
      </c>
      <c r="F20" s="48">
        <v>1.0</v>
      </c>
      <c r="G20" s="17">
        <v>28800.0</v>
      </c>
      <c r="I20" s="18" t="str">
        <f>IFERROR(__xludf.DUMMYFUNCTION("""COMPUTED_VALUE"""),"500ml Bugo Strawberry Yoghurt (12x)")</f>
        <v>500ml Bugo Strawberry Yoghurt (12x)</v>
      </c>
      <c r="J20" s="2" t="str">
        <f>IFERROR(__xludf.DUMMYFUNCTION("""COMPUTED_VALUE"""),"1/20/2026")</f>
        <v>1/20/2026</v>
      </c>
      <c r="K20" s="19" t="str">
        <f>IFERROR(__xludf.DUMMYFUNCTION("""COMPUTED_VALUE"""),"Double Sam Supermarket, 22 IKD AWOLOWO ROAD")</f>
        <v>Double Sam Supermarket, 22 IKD AWOLOWO ROAD</v>
      </c>
      <c r="L20" s="19" t="str">
        <f>IFERROR(__xludf.DUMMYFUNCTION("""COMPUTED_VALUE"""),"Sales")</f>
        <v>Sales</v>
      </c>
      <c r="M20" s="5" t="str">
        <f>IFERROR(__xludf.DUMMYFUNCTION("""COMPUTED_VALUE"""),"DT:000279")</f>
        <v>DT:000279</v>
      </c>
      <c r="N20" s="33">
        <f>IFERROR(__xludf.DUMMYFUNCTION("""COMPUTED_VALUE"""),1.0)</f>
        <v>1</v>
      </c>
      <c r="O20" s="21">
        <f>IFERROR(__xludf.DUMMYFUNCTION("""COMPUTED_VALUE"""),28800.0)</f>
        <v>28800</v>
      </c>
      <c r="P20" s="22">
        <f t="shared" si="1"/>
        <v>57600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 t="s">
        <v>41</v>
      </c>
      <c r="B21" s="12" t="s">
        <v>28</v>
      </c>
      <c r="C21" s="15" t="s">
        <v>29</v>
      </c>
      <c r="D21" s="15" t="s">
        <v>18</v>
      </c>
      <c r="E21" s="12" t="s">
        <v>30</v>
      </c>
      <c r="F21" s="48">
        <v>1.0</v>
      </c>
      <c r="G21" s="17">
        <v>28800.0</v>
      </c>
      <c r="I21" s="18" t="str">
        <f>IFERROR(__xludf.DUMMYFUNCTION("""COMPUTED_VALUE"""),"500ml Bugo Strawberry Yoghurt (12x)")</f>
        <v>500ml Bugo Strawberry Yoghurt (12x)</v>
      </c>
      <c r="J21" s="23" t="str">
        <f>IFERROR(__xludf.DUMMYFUNCTION("""COMPUTED_VALUE"""),"1/20/2026")</f>
        <v>1/20/2026</v>
      </c>
      <c r="K21" s="19" t="str">
        <f>IFERROR(__xludf.DUMMYFUNCTION("""COMPUTED_VALUE"""),"Li.M Supermarket, IJOKO")</f>
        <v>Li.M Supermarket, IJOKO</v>
      </c>
      <c r="L21" s="19" t="str">
        <f>IFERROR(__xludf.DUMMYFUNCTION("""COMPUTED_VALUE"""),"Sales")</f>
        <v>Sales</v>
      </c>
      <c r="M21" s="5" t="str">
        <f>IFERROR(__xludf.DUMMYFUNCTION("""COMPUTED_VALUE"""),"DT:000283")</f>
        <v>DT:000283</v>
      </c>
      <c r="N21" s="33">
        <f>IFERROR(__xludf.DUMMYFUNCTION("""COMPUTED_VALUE"""),1.0)</f>
        <v>1</v>
      </c>
      <c r="O21" s="21">
        <f>IFERROR(__xludf.DUMMYFUNCTION("""COMPUTED_VALUE"""),28800.0)</f>
        <v>28800</v>
      </c>
      <c r="P21" s="22">
        <f t="shared" si="1"/>
        <v>81600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 t="s">
        <v>41</v>
      </c>
      <c r="B22" s="12" t="s">
        <v>35</v>
      </c>
      <c r="C22" s="15" t="s">
        <v>36</v>
      </c>
      <c r="D22" s="15" t="s">
        <v>18</v>
      </c>
      <c r="E22" s="12" t="s">
        <v>37</v>
      </c>
      <c r="F22" s="48">
        <v>1.0</v>
      </c>
      <c r="G22" s="17">
        <v>28800.0</v>
      </c>
      <c r="I22" s="18" t="str">
        <f>IFERROR(__xludf.DUMMYFUNCTION("""COMPUTED_VALUE"""),"500ml Bugo Strawberry Yoghurt (12x)")</f>
        <v>500ml Bugo Strawberry Yoghurt (12x)</v>
      </c>
      <c r="J22" s="2" t="str">
        <f>IFERROR(__xludf.DUMMYFUNCTION("""COMPUTED_VALUE"""),"1/21/2026")</f>
        <v>1/21/2026</v>
      </c>
      <c r="K22" s="19" t="str">
        <f>IFERROR(__xludf.DUMMYFUNCTION("""COMPUTED_VALUE"""),"Renees Supermarket, LEKKI CENTRAL MOSQUE")</f>
        <v>Renees Supermarket, LEKKI CENTRAL MOSQUE</v>
      </c>
      <c r="L22" s="19" t="str">
        <f>IFERROR(__xludf.DUMMYFUNCTION("""COMPUTED_VALUE"""),"Sales")</f>
        <v>Sales</v>
      </c>
      <c r="M22" s="5" t="str">
        <f>IFERROR(__xludf.DUMMYFUNCTION("""COMPUTED_VALUE"""),"DT:000295")</f>
        <v>DT:000295</v>
      </c>
      <c r="N22" s="33">
        <f>IFERROR(__xludf.DUMMYFUNCTION("""COMPUTED_VALUE"""),1.0)</f>
        <v>1</v>
      </c>
      <c r="O22" s="21">
        <f>IFERROR(__xludf.DUMMYFUNCTION("""COMPUTED_VALUE"""),28800.0)</f>
        <v>28800</v>
      </c>
      <c r="P22" s="22">
        <f t="shared" si="1"/>
        <v>52800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 t="s">
        <v>41</v>
      </c>
      <c r="B23" s="12" t="s">
        <v>51</v>
      </c>
      <c r="C23" s="15" t="s">
        <v>52</v>
      </c>
      <c r="D23" s="15" t="s">
        <v>18</v>
      </c>
      <c r="E23" s="12" t="s">
        <v>53</v>
      </c>
      <c r="F23" s="48">
        <v>2.0</v>
      </c>
      <c r="G23" s="17">
        <v>57600.0</v>
      </c>
      <c r="I23" s="18" t="str">
        <f>IFERROR(__xludf.DUMMYFUNCTION("""COMPUTED_VALUE"""),"500ml Bugo Strawberry Yoghurt (12x)")</f>
        <v>500ml Bugo Strawberry Yoghurt (12x)</v>
      </c>
      <c r="J23" s="2" t="str">
        <f>IFERROR(__xludf.DUMMYFUNCTION("""COMPUTED_VALUE"""),"1/29/2026")</f>
        <v>1/29/2026</v>
      </c>
      <c r="K23" s="19" t="str">
        <f>IFERROR(__xludf.DUMMYFUNCTION("""COMPUTED_VALUE"""),"Lady Ricky Catering Service/ Smooth and Sweet Swallow")</f>
        <v>Lady Ricky Catering Service/ Smooth and Sweet Swallow</v>
      </c>
      <c r="L23" s="19" t="str">
        <f>IFERROR(__xludf.DUMMYFUNCTION("""COMPUTED_VALUE"""),"Sales")</f>
        <v>Sales</v>
      </c>
      <c r="M23" s="5" t="str">
        <f>IFERROR(__xludf.DUMMYFUNCTION("""COMPUTED_VALUE"""),"DT:000479")</f>
        <v>DT:000479</v>
      </c>
      <c r="N23" s="33">
        <f>IFERROR(__xludf.DUMMYFUNCTION("""COMPUTED_VALUE"""),2.0)</f>
        <v>2</v>
      </c>
      <c r="O23" s="21">
        <f>IFERROR(__xludf.DUMMYFUNCTION("""COMPUTED_VALUE"""),57600.0)</f>
        <v>57600</v>
      </c>
      <c r="P23" s="22">
        <f t="shared" si="1"/>
        <v>64800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 t="s">
        <v>41</v>
      </c>
      <c r="B24" s="12" t="s">
        <v>51</v>
      </c>
      <c r="C24" s="15" t="s">
        <v>17</v>
      </c>
      <c r="D24" s="15" t="s">
        <v>18</v>
      </c>
      <c r="E24" s="12" t="s">
        <v>54</v>
      </c>
      <c r="F24" s="48">
        <v>0.25</v>
      </c>
      <c r="G24" s="17">
        <v>7200.0</v>
      </c>
      <c r="I24" s="18" t="str">
        <f>IFERROR(__xludf.DUMMYFUNCTION("""COMPUTED_VALUE"""),"500ml Bugo Strawberry Yoghurt (12x)")</f>
        <v>500ml Bugo Strawberry Yoghurt (12x)</v>
      </c>
      <c r="J24" s="2" t="str">
        <f>IFERROR(__xludf.DUMMYFUNCTION("""COMPUTED_VALUE"""),"1/29/2026")</f>
        <v>1/29/2026</v>
      </c>
      <c r="K24" s="19" t="str">
        <f>IFERROR(__xludf.DUMMYFUNCTION("""COMPUTED_VALUE"""),"Prestige Superstore, IYANA ISHASHI")</f>
        <v>Prestige Superstore, IYANA ISHASHI</v>
      </c>
      <c r="L24" s="19" t="str">
        <f>IFERROR(__xludf.DUMMYFUNCTION("""COMPUTED_VALUE"""),"Sales")</f>
        <v>Sales</v>
      </c>
      <c r="M24" s="5" t="str">
        <f>IFERROR(__xludf.DUMMYFUNCTION("""COMPUTED_VALUE"""),"DT:000497")</f>
        <v>DT:000497</v>
      </c>
      <c r="N24" s="33">
        <f>IFERROR(__xludf.DUMMYFUNCTION("""COMPUTED_VALUE"""),0.25)</f>
        <v>0.25</v>
      </c>
      <c r="O24" s="21">
        <f>IFERROR(__xludf.DUMMYFUNCTION("""COMPUTED_VALUE"""),7200.0)</f>
        <v>7200</v>
      </c>
      <c r="P24" s="22">
        <f t="shared" si="1"/>
        <v>21600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 t="s">
        <v>55</v>
      </c>
      <c r="B25" s="12" t="s">
        <v>22</v>
      </c>
      <c r="C25" s="15" t="s">
        <v>56</v>
      </c>
      <c r="D25" s="15" t="s">
        <v>18</v>
      </c>
      <c r="E25" s="12" t="s">
        <v>57</v>
      </c>
      <c r="F25" s="48">
        <v>0.5</v>
      </c>
      <c r="G25" s="17">
        <v>23400.0</v>
      </c>
      <c r="I25" s="18" t="str">
        <f>IFERROR(__xludf.DUMMYFUNCTION("""COMPUTED_VALUE"""),"500ml Bugo Sweetened Greek Yoghurt (12x)")</f>
        <v>500ml Bugo Sweetened Greek Yoghurt (12x)</v>
      </c>
      <c r="J25" s="2" t="str">
        <f>IFERROR(__xludf.DUMMYFUNCTION("""COMPUTED_VALUE"""),"1/16/2026")</f>
        <v>1/16/2026</v>
      </c>
      <c r="K25" s="19" t="str">
        <f>IFERROR(__xludf.DUMMYFUNCTION("""COMPUTED_VALUE"""),"Hutoos Supermarket, OKO OBA")</f>
        <v>Hutoos Supermarket, OKO OBA</v>
      </c>
      <c r="L25" s="19" t="str">
        <f>IFERROR(__xludf.DUMMYFUNCTION("""COMPUTED_VALUE"""),"Sales")</f>
        <v>Sales</v>
      </c>
      <c r="M25" s="5" t="str">
        <f>IFERROR(__xludf.DUMMYFUNCTION("""COMPUTED_VALUE"""),"DT:000223")</f>
        <v>DT:000223</v>
      </c>
      <c r="N25" s="33">
        <f>IFERROR(__xludf.DUMMYFUNCTION("""COMPUTED_VALUE"""),0.5)</f>
        <v>0.5</v>
      </c>
      <c r="O25" s="21">
        <f>IFERROR(__xludf.DUMMYFUNCTION("""COMPUTED_VALUE"""),23400.0)</f>
        <v>23400</v>
      </c>
      <c r="P25" s="22">
        <f t="shared" si="1"/>
        <v>23400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 t="s">
        <v>55</v>
      </c>
      <c r="B26" s="12" t="s">
        <v>58</v>
      </c>
      <c r="C26" s="15" t="s">
        <v>59</v>
      </c>
      <c r="D26" s="15" t="s">
        <v>18</v>
      </c>
      <c r="E26" s="12" t="s">
        <v>60</v>
      </c>
      <c r="F26" s="48">
        <v>0.5</v>
      </c>
      <c r="G26" s="17">
        <v>23400.0</v>
      </c>
      <c r="I26" s="18" t="str">
        <f>IFERROR(__xludf.DUMMYFUNCTION("""COMPUTED_VALUE"""),"500ml Bugo Sweetened Greek Yoghurt (12x)")</f>
        <v>500ml Bugo Sweetened Greek Yoghurt (12x)</v>
      </c>
      <c r="J26" s="2" t="str">
        <f>IFERROR(__xludf.DUMMYFUNCTION("""COMPUTED_VALUE"""),"1/22/2026")</f>
        <v>1/22/2026</v>
      </c>
      <c r="K26" s="19" t="str">
        <f>IFERROR(__xludf.DUMMYFUNCTION("""COMPUTED_VALUE"""),"D'Emperor Superstore")</f>
        <v>D'Emperor Superstore</v>
      </c>
      <c r="L26" s="19" t="str">
        <f>IFERROR(__xludf.DUMMYFUNCTION("""COMPUTED_VALUE"""),"Sales")</f>
        <v>Sales</v>
      </c>
      <c r="M26" s="5" t="str">
        <f>IFERROR(__xludf.DUMMYFUNCTION("""COMPUTED_VALUE"""),"DT:000344")</f>
        <v>DT:000344</v>
      </c>
      <c r="N26" s="33">
        <f>IFERROR(__xludf.DUMMYFUNCTION("""COMPUTED_VALUE"""),0.5)</f>
        <v>0.5</v>
      </c>
      <c r="O26" s="21">
        <f>IFERROR(__xludf.DUMMYFUNCTION("""COMPUTED_VALUE"""),23400.0)</f>
        <v>23400</v>
      </c>
      <c r="P26" s="22">
        <f t="shared" si="1"/>
        <v>23400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 t="s">
        <v>61</v>
      </c>
      <c r="B27" s="49">
        <v>46143.0</v>
      </c>
      <c r="C27" s="15" t="s">
        <v>42</v>
      </c>
      <c r="D27" s="15" t="s">
        <v>18</v>
      </c>
      <c r="E27" s="12" t="s">
        <v>43</v>
      </c>
      <c r="F27" s="48">
        <v>0.5</v>
      </c>
      <c r="G27" s="17">
        <v>14400.0</v>
      </c>
      <c r="I27" s="18" t="str">
        <f>IFERROR(__xludf.DUMMYFUNCTION("""COMPUTED_VALUE"""),"500ml Bugo Vanila Yoghurt (12x)")</f>
        <v>500ml Bugo Vanila Yoghurt (12x)</v>
      </c>
      <c r="J27" s="2">
        <f>IFERROR(__xludf.DUMMYFUNCTION("""COMPUTED_VALUE"""),46143.0)</f>
        <v>46143</v>
      </c>
      <c r="K27" s="19" t="str">
        <f>IFERROR(__xludf.DUMMYFUNCTION("""COMPUTED_VALUE"""),"Divine Help supermarket, AGBEDE IKD")</f>
        <v>Divine Help supermarket, AGBEDE IKD</v>
      </c>
      <c r="L27" s="19" t="str">
        <f>IFERROR(__xludf.DUMMYFUNCTION("""COMPUTED_VALUE"""),"Sales")</f>
        <v>Sales</v>
      </c>
      <c r="M27" s="5" t="str">
        <f>IFERROR(__xludf.DUMMYFUNCTION("""COMPUTED_VALUE"""),"DT:000471")</f>
        <v>DT:000471</v>
      </c>
      <c r="N27" s="33">
        <f>IFERROR(__xludf.DUMMYFUNCTION("""COMPUTED_VALUE"""),0.5)</f>
        <v>0.5</v>
      </c>
      <c r="O27" s="21">
        <f>IFERROR(__xludf.DUMMYFUNCTION("""COMPUTED_VALUE"""),14400.0)</f>
        <v>14400</v>
      </c>
      <c r="P27" s="22">
        <f t="shared" si="1"/>
        <v>28800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 t="s">
        <v>61</v>
      </c>
      <c r="B28" s="49">
        <v>46143.0</v>
      </c>
      <c r="C28" s="15" t="s">
        <v>39</v>
      </c>
      <c r="D28" s="15" t="s">
        <v>18</v>
      </c>
      <c r="E28" s="12" t="s">
        <v>40</v>
      </c>
      <c r="F28" s="48">
        <v>1.0</v>
      </c>
      <c r="G28" s="17">
        <v>28800.0</v>
      </c>
      <c r="I28" s="18" t="str">
        <f>IFERROR(__xludf.DUMMYFUNCTION("""COMPUTED_VALUE"""),"500ml Bugo Vanila Yoghurt (12x)")</f>
        <v>500ml Bugo Vanila Yoghurt (12x)</v>
      </c>
      <c r="J28" s="2">
        <f>IFERROR(__xludf.DUMMYFUNCTION("""COMPUTED_VALUE"""),46143.0)</f>
        <v>46143</v>
      </c>
      <c r="K28" s="19" t="str">
        <f>IFERROR(__xludf.DUMMYFUNCTION("""COMPUTED_VALUE"""),"Divine Help Supermarket, SHAGAMU IKD")</f>
        <v>Divine Help Supermarket, SHAGAMU IKD</v>
      </c>
      <c r="L28" s="19" t="str">
        <f>IFERROR(__xludf.DUMMYFUNCTION("""COMPUTED_VALUE"""),"Sales")</f>
        <v>Sales</v>
      </c>
      <c r="M28" s="5" t="str">
        <f>IFERROR(__xludf.DUMMYFUNCTION("""COMPUTED_VALUE"""),"DT:000473")</f>
        <v>DT:000473</v>
      </c>
      <c r="N28" s="33">
        <f>IFERROR(__xludf.DUMMYFUNCTION("""COMPUTED_VALUE"""),1.0)</f>
        <v>1</v>
      </c>
      <c r="O28" s="21">
        <f>IFERROR(__xludf.DUMMYFUNCTION("""COMPUTED_VALUE"""),28800.0)</f>
        <v>28800</v>
      </c>
      <c r="P28" s="22">
        <f t="shared" si="1"/>
        <v>64800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 t="s">
        <v>61</v>
      </c>
      <c r="B29" s="49">
        <v>46296.0</v>
      </c>
      <c r="C29" s="15" t="s">
        <v>44</v>
      </c>
      <c r="D29" s="15" t="s">
        <v>18</v>
      </c>
      <c r="E29" s="12" t="s">
        <v>45</v>
      </c>
      <c r="F29" s="48">
        <v>0.5</v>
      </c>
      <c r="G29" s="17">
        <v>14400.0</v>
      </c>
      <c r="I29" s="18" t="str">
        <f>IFERROR(__xludf.DUMMYFUNCTION("""COMPUTED_VALUE"""),"500ml Bugo Vanila Yoghurt (12x)")</f>
        <v>500ml Bugo Vanila Yoghurt (12x)</v>
      </c>
      <c r="J29" s="2">
        <f>IFERROR(__xludf.DUMMYFUNCTION("""COMPUTED_VALUE"""),46296.0)</f>
        <v>46296</v>
      </c>
      <c r="K29" s="19" t="str">
        <f>IFERROR(__xludf.DUMMYFUNCTION("""COMPUTED_VALUE"""),"Am to Pm Supermarket, Martins Rd.")</f>
        <v>Am to Pm Supermarket, Martins Rd.</v>
      </c>
      <c r="L29" s="19" t="str">
        <f>IFERROR(__xludf.DUMMYFUNCTION("""COMPUTED_VALUE"""),"Sales")</f>
        <v>Sales</v>
      </c>
      <c r="M29" s="5" t="str">
        <f>IFERROR(__xludf.DUMMYFUNCTION("""COMPUTED_VALUE"""),"DT:000105")</f>
        <v>DT:000105</v>
      </c>
      <c r="N29" s="33">
        <f>IFERROR(__xludf.DUMMYFUNCTION("""COMPUTED_VALUE"""),0.5)</f>
        <v>0.5</v>
      </c>
      <c r="O29" s="21">
        <f>IFERROR(__xludf.DUMMYFUNCTION("""COMPUTED_VALUE"""),14400.0)</f>
        <v>14400</v>
      </c>
      <c r="P29" s="22">
        <f t="shared" si="1"/>
        <v>28800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14" t="s">
        <v>61</v>
      </c>
      <c r="B30" s="12" t="s">
        <v>16</v>
      </c>
      <c r="C30" s="15" t="s">
        <v>62</v>
      </c>
      <c r="D30" s="15" t="s">
        <v>18</v>
      </c>
      <c r="E30" s="12" t="s">
        <v>63</v>
      </c>
      <c r="F30" s="48">
        <v>1.0</v>
      </c>
      <c r="G30" s="17">
        <v>28800.0</v>
      </c>
      <c r="I30" s="18" t="str">
        <f>IFERROR(__xludf.DUMMYFUNCTION("""COMPUTED_VALUE"""),"500ml Bugo Vanila Yoghurt (12x)")</f>
        <v>500ml Bugo Vanila Yoghurt (12x)</v>
      </c>
      <c r="J30" s="2" t="str">
        <f>IFERROR(__xludf.DUMMYFUNCTION("""COMPUTED_VALUE"""),"1/13/2026")</f>
        <v>1/13/2026</v>
      </c>
      <c r="K30" s="19" t="str">
        <f>IFERROR(__xludf.DUMMYFUNCTION("""COMPUTED_VALUE"""),"Skymart Supermarket, SANGOTEDO")</f>
        <v>Skymart Supermarket, SANGOTEDO</v>
      </c>
      <c r="L30" s="19" t="str">
        <f>IFERROR(__xludf.DUMMYFUNCTION("""COMPUTED_VALUE"""),"Sales")</f>
        <v>Sales</v>
      </c>
      <c r="M30" s="5" t="str">
        <f>IFERROR(__xludf.DUMMYFUNCTION("""COMPUTED_VALUE"""),"DT:000134")</f>
        <v>DT:000134</v>
      </c>
      <c r="N30" s="33">
        <f>IFERROR(__xludf.DUMMYFUNCTION("""COMPUTED_VALUE"""),1.0)</f>
        <v>1</v>
      </c>
      <c r="O30" s="21">
        <f>IFERROR(__xludf.DUMMYFUNCTION("""COMPUTED_VALUE"""),28800.0)</f>
        <v>28800</v>
      </c>
      <c r="P30" s="22">
        <f t="shared" si="1"/>
        <v>28800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14" t="s">
        <v>61</v>
      </c>
      <c r="B31" s="12" t="s">
        <v>46</v>
      </c>
      <c r="C31" s="15" t="s">
        <v>47</v>
      </c>
      <c r="D31" s="15" t="s">
        <v>18</v>
      </c>
      <c r="E31" s="12" t="s">
        <v>48</v>
      </c>
      <c r="F31" s="48">
        <v>0.5</v>
      </c>
      <c r="G31" s="17">
        <v>14400.0</v>
      </c>
      <c r="I31" s="18" t="str">
        <f>IFERROR(__xludf.DUMMYFUNCTION("""COMPUTED_VALUE"""),"500ml Bugo Vanila Yoghurt (12x)")</f>
        <v>500ml Bugo Vanila Yoghurt (12x)</v>
      </c>
      <c r="J31" s="2" t="str">
        <f>IFERROR(__xludf.DUMMYFUNCTION("""COMPUTED_VALUE"""),"1/15/2026")</f>
        <v>1/15/2026</v>
      </c>
      <c r="K31" s="19" t="str">
        <f>IFERROR(__xludf.DUMMYFUNCTION("""COMPUTED_VALUE"""),"Ozzy Supermarket, VICTORY PARK EST.")</f>
        <v>Ozzy Supermarket, VICTORY PARK EST.</v>
      </c>
      <c r="L31" s="19" t="str">
        <f>IFERROR(__xludf.DUMMYFUNCTION("""COMPUTED_VALUE"""),"Sales")</f>
        <v>Sales</v>
      </c>
      <c r="M31" s="5" t="str">
        <f>IFERROR(__xludf.DUMMYFUNCTION("""COMPUTED_VALUE"""),"DT:000192")</f>
        <v>DT:000192</v>
      </c>
      <c r="N31" s="33">
        <f>IFERROR(__xludf.DUMMYFUNCTION("""COMPUTED_VALUE"""),0.5)</f>
        <v>0.5</v>
      </c>
      <c r="O31" s="21">
        <f>IFERROR(__xludf.DUMMYFUNCTION("""COMPUTED_VALUE"""),14400.0)</f>
        <v>14400</v>
      </c>
      <c r="P31" s="22">
        <f t="shared" si="1"/>
        <v>28800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14" t="s">
        <v>61</v>
      </c>
      <c r="B32" s="12" t="s">
        <v>28</v>
      </c>
      <c r="C32" s="15" t="s">
        <v>49</v>
      </c>
      <c r="D32" s="15" t="s">
        <v>18</v>
      </c>
      <c r="E32" s="12" t="s">
        <v>50</v>
      </c>
      <c r="F32" s="48">
        <v>1.0</v>
      </c>
      <c r="G32" s="17">
        <v>28800.0</v>
      </c>
      <c r="I32" s="18" t="str">
        <f>IFERROR(__xludf.DUMMYFUNCTION("""COMPUTED_VALUE"""),"500ml Bugo Vanila Yoghurt (12x)")</f>
        <v>500ml Bugo Vanila Yoghurt (12x)</v>
      </c>
      <c r="J32" s="2" t="str">
        <f>IFERROR(__xludf.DUMMYFUNCTION("""COMPUTED_VALUE"""),"1/20/2026")</f>
        <v>1/20/2026</v>
      </c>
      <c r="K32" s="19" t="str">
        <f>IFERROR(__xludf.DUMMYFUNCTION("""COMPUTED_VALUE"""),"Double Sam Supermarket, 22 IKD AWOLOWO ROAD")</f>
        <v>Double Sam Supermarket, 22 IKD AWOLOWO ROAD</v>
      </c>
      <c r="L32" s="19" t="str">
        <f>IFERROR(__xludf.DUMMYFUNCTION("""COMPUTED_VALUE"""),"Sales")</f>
        <v>Sales</v>
      </c>
      <c r="M32" s="5" t="str">
        <f>IFERROR(__xludf.DUMMYFUNCTION("""COMPUTED_VALUE"""),"DT:000279")</f>
        <v>DT:000279</v>
      </c>
      <c r="N32" s="33">
        <f>IFERROR(__xludf.DUMMYFUNCTION("""COMPUTED_VALUE"""),1.0)</f>
        <v>1</v>
      </c>
      <c r="O32" s="21">
        <f>IFERROR(__xludf.DUMMYFUNCTION("""COMPUTED_VALUE"""),28800.0)</f>
        <v>28800</v>
      </c>
      <c r="P32" s="22">
        <f t="shared" si="1"/>
        <v>57600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14" t="s">
        <v>61</v>
      </c>
      <c r="B33" s="12" t="s">
        <v>28</v>
      </c>
      <c r="C33" s="15" t="s">
        <v>29</v>
      </c>
      <c r="D33" s="15" t="s">
        <v>18</v>
      </c>
      <c r="E33" s="12" t="s">
        <v>30</v>
      </c>
      <c r="F33" s="48">
        <v>1.0</v>
      </c>
      <c r="G33" s="17">
        <v>28800.0</v>
      </c>
      <c r="I33" s="18" t="str">
        <f>IFERROR(__xludf.DUMMYFUNCTION("""COMPUTED_VALUE"""),"500ml Bugo Vanila Yoghurt (12x)")</f>
        <v>500ml Bugo Vanila Yoghurt (12x)</v>
      </c>
      <c r="J33" s="2" t="str">
        <f>IFERROR(__xludf.DUMMYFUNCTION("""COMPUTED_VALUE"""),"1/20/2026")</f>
        <v>1/20/2026</v>
      </c>
      <c r="K33" s="19" t="str">
        <f>IFERROR(__xludf.DUMMYFUNCTION("""COMPUTED_VALUE"""),"Li.M Supermarket, IJOKO")</f>
        <v>Li.M Supermarket, IJOKO</v>
      </c>
      <c r="L33" s="19" t="str">
        <f>IFERROR(__xludf.DUMMYFUNCTION("""COMPUTED_VALUE"""),"Sales")</f>
        <v>Sales</v>
      </c>
      <c r="M33" s="5" t="str">
        <f>IFERROR(__xludf.DUMMYFUNCTION("""COMPUTED_VALUE"""),"DT:000283")</f>
        <v>DT:000283</v>
      </c>
      <c r="N33" s="33">
        <f>IFERROR(__xludf.DUMMYFUNCTION("""COMPUTED_VALUE"""),1.0)</f>
        <v>1</v>
      </c>
      <c r="O33" s="21">
        <f>IFERROR(__xludf.DUMMYFUNCTION("""COMPUTED_VALUE"""),28800.0)</f>
        <v>28800</v>
      </c>
      <c r="P33" s="22">
        <f t="shared" si="1"/>
        <v>81600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14" t="s">
        <v>61</v>
      </c>
      <c r="B34" s="12" t="s">
        <v>51</v>
      </c>
      <c r="C34" s="15" t="s">
        <v>52</v>
      </c>
      <c r="D34" s="15" t="s">
        <v>18</v>
      </c>
      <c r="E34" s="12" t="s">
        <v>53</v>
      </c>
      <c r="F34" s="48">
        <v>0.25</v>
      </c>
      <c r="G34" s="17">
        <v>7200.0</v>
      </c>
      <c r="I34" s="18" t="str">
        <f>IFERROR(__xludf.DUMMYFUNCTION("""COMPUTED_VALUE"""),"500ml Bugo Vanila Yoghurt (12x)")</f>
        <v>500ml Bugo Vanila Yoghurt (12x)</v>
      </c>
      <c r="J34" s="2" t="str">
        <f>IFERROR(__xludf.DUMMYFUNCTION("""COMPUTED_VALUE"""),"1/29/2026")</f>
        <v>1/29/2026</v>
      </c>
      <c r="K34" s="19" t="str">
        <f>IFERROR(__xludf.DUMMYFUNCTION("""COMPUTED_VALUE"""),"Lady Ricky Catering Service/ Smooth and Sweet Swallow")</f>
        <v>Lady Ricky Catering Service/ Smooth and Sweet Swallow</v>
      </c>
      <c r="L34" s="19" t="str">
        <f>IFERROR(__xludf.DUMMYFUNCTION("""COMPUTED_VALUE"""),"Sales")</f>
        <v>Sales</v>
      </c>
      <c r="M34" s="5" t="str">
        <f>IFERROR(__xludf.DUMMYFUNCTION("""COMPUTED_VALUE"""),"DT:000479")</f>
        <v>DT:000479</v>
      </c>
      <c r="N34" s="33">
        <f>IFERROR(__xludf.DUMMYFUNCTION("""COMPUTED_VALUE"""),0.25)</f>
        <v>0.25</v>
      </c>
      <c r="O34" s="21">
        <f>IFERROR(__xludf.DUMMYFUNCTION("""COMPUTED_VALUE"""),7200.0)</f>
        <v>7200</v>
      </c>
      <c r="P34" s="22">
        <f t="shared" si="1"/>
        <v>64800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14" t="s">
        <v>61</v>
      </c>
      <c r="B35" s="12" t="s">
        <v>51</v>
      </c>
      <c r="C35" s="15" t="s">
        <v>17</v>
      </c>
      <c r="D35" s="15" t="s">
        <v>18</v>
      </c>
      <c r="E35" s="12" t="s">
        <v>54</v>
      </c>
      <c r="F35" s="48">
        <v>0.5</v>
      </c>
      <c r="G35" s="17">
        <v>14400.0</v>
      </c>
      <c r="I35" s="18" t="str">
        <f>IFERROR(__xludf.DUMMYFUNCTION("""COMPUTED_VALUE"""),"500ml Bugo Vanila Yoghurt (12x)")</f>
        <v>500ml Bugo Vanila Yoghurt (12x)</v>
      </c>
      <c r="J35" s="2" t="str">
        <f>IFERROR(__xludf.DUMMYFUNCTION("""COMPUTED_VALUE"""),"1/29/2026")</f>
        <v>1/29/2026</v>
      </c>
      <c r="K35" s="19" t="str">
        <f>IFERROR(__xludf.DUMMYFUNCTION("""COMPUTED_VALUE"""),"Prestige Superstore, IYANA ISHASHI")</f>
        <v>Prestige Superstore, IYANA ISHASHI</v>
      </c>
      <c r="L35" s="19" t="str">
        <f>IFERROR(__xludf.DUMMYFUNCTION("""COMPUTED_VALUE"""),"Sales")</f>
        <v>Sales</v>
      </c>
      <c r="M35" s="5" t="str">
        <f>IFERROR(__xludf.DUMMYFUNCTION("""COMPUTED_VALUE"""),"DT:000497")</f>
        <v>DT:000497</v>
      </c>
      <c r="N35" s="33">
        <f>IFERROR(__xludf.DUMMYFUNCTION("""COMPUTED_VALUE"""),0.5)</f>
        <v>0.5</v>
      </c>
      <c r="O35" s="21">
        <f>IFERROR(__xludf.DUMMYFUNCTION("""COMPUTED_VALUE"""),14400.0)</f>
        <v>14400</v>
      </c>
      <c r="P35" s="22">
        <f t="shared" si="1"/>
        <v>21600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0"/>
      <c r="B36" s="12"/>
      <c r="C36" s="11"/>
      <c r="D36" s="11"/>
      <c r="E36" s="12"/>
      <c r="F36" s="48"/>
      <c r="G36" s="5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0"/>
      <c r="B37" s="12"/>
      <c r="C37" s="11"/>
      <c r="D37" s="11"/>
      <c r="E37" s="12"/>
      <c r="F37" s="48"/>
      <c r="G37" s="5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0"/>
      <c r="B38" s="12"/>
      <c r="C38" s="11"/>
      <c r="D38" s="11"/>
      <c r="E38" s="12"/>
      <c r="F38" s="48"/>
      <c r="G38" s="5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0"/>
      <c r="B39" s="12"/>
      <c r="C39" s="11"/>
      <c r="D39" s="11"/>
      <c r="E39" s="12"/>
      <c r="F39" s="48"/>
      <c r="G39" s="5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8">
        <f>sum(D:D)</f>
        <v>639600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D20" s="58"/>
    </row>
    <row r="21">
      <c r="D21" s="58"/>
    </row>
    <row r="22">
      <c r="D22" s="58"/>
    </row>
    <row r="23">
      <c r="D23" s="58"/>
    </row>
    <row r="24">
      <c r="D24" s="58"/>
    </row>
    <row r="25">
      <c r="D25" s="58"/>
    </row>
    <row r="26">
      <c r="D26" s="58"/>
    </row>
    <row r="27">
      <c r="D27" s="58"/>
    </row>
    <row r="28">
      <c r="D28" s="58"/>
    </row>
    <row r="29">
      <c r="D29" s="58"/>
    </row>
    <row r="30">
      <c r="D30" s="58"/>
    </row>
    <row r="31">
      <c r="D31" s="58"/>
    </row>
    <row r="32">
      <c r="D32" s="58"/>
    </row>
    <row r="33">
      <c r="D33" s="58"/>
    </row>
    <row r="34">
      <c r="D34" s="58"/>
    </row>
    <row r="35">
      <c r="D35" s="58"/>
    </row>
    <row r="36">
      <c r="D36" s="58"/>
    </row>
    <row r="37">
      <c r="D37" s="58"/>
    </row>
    <row r="38">
      <c r="D38" s="58"/>
    </row>
    <row r="39">
      <c r="D39" s="58"/>
    </row>
    <row r="40">
      <c r="D40" s="58"/>
    </row>
    <row r="41">
      <c r="D41" s="58"/>
    </row>
    <row r="42">
      <c r="D42" s="58"/>
    </row>
    <row r="43">
      <c r="D43" s="58"/>
    </row>
    <row r="44">
      <c r="D44" s="58"/>
    </row>
    <row r="45">
      <c r="D45" s="58"/>
    </row>
    <row r="46">
      <c r="D46" s="58"/>
    </row>
    <row r="47">
      <c r="D47" s="58"/>
    </row>
    <row r="48">
      <c r="D48" s="58"/>
    </row>
    <row r="49">
      <c r="D49" s="58"/>
    </row>
    <row r="50">
      <c r="D50" s="58"/>
    </row>
    <row r="51">
      <c r="D51" s="58"/>
    </row>
    <row r="52">
      <c r="D52" s="58"/>
    </row>
    <row r="53">
      <c r="D53" s="58"/>
    </row>
    <row r="54">
      <c r="D54" s="58"/>
    </row>
    <row r="55">
      <c r="D55" s="58"/>
    </row>
    <row r="56">
      <c r="D56" s="58"/>
    </row>
    <row r="57">
      <c r="D57" s="58"/>
    </row>
    <row r="58">
      <c r="D58" s="58"/>
    </row>
    <row r="59">
      <c r="D59" s="58"/>
    </row>
    <row r="60">
      <c r="D60" s="58"/>
    </row>
    <row r="61">
      <c r="D61" s="58"/>
    </row>
    <row r="62">
      <c r="D62" s="58"/>
    </row>
    <row r="63">
      <c r="D63" s="58"/>
    </row>
    <row r="64">
      <c r="D64" s="58"/>
    </row>
    <row r="65">
      <c r="D65" s="58"/>
    </row>
    <row r="66">
      <c r="D66" s="58"/>
    </row>
    <row r="67">
      <c r="D67" s="58"/>
    </row>
    <row r="68">
      <c r="D68" s="58"/>
    </row>
    <row r="69">
      <c r="D69" s="58"/>
    </row>
    <row r="70">
      <c r="D70" s="58"/>
    </row>
    <row r="71">
      <c r="D71" s="58"/>
    </row>
    <row r="72">
      <c r="D72" s="58"/>
    </row>
    <row r="73">
      <c r="D73" s="58"/>
    </row>
    <row r="74">
      <c r="D74" s="58"/>
    </row>
    <row r="75">
      <c r="D75" s="58"/>
    </row>
    <row r="76">
      <c r="D76" s="58"/>
    </row>
    <row r="77">
      <c r="D77" s="58"/>
    </row>
    <row r="78">
      <c r="D78" s="58"/>
    </row>
    <row r="79">
      <c r="D79" s="58"/>
    </row>
    <row r="80">
      <c r="D80" s="58"/>
    </row>
    <row r="81">
      <c r="D81" s="58"/>
    </row>
    <row r="82">
      <c r="D82" s="58"/>
    </row>
    <row r="83">
      <c r="D83" s="58"/>
    </row>
    <row r="84">
      <c r="D84" s="58"/>
    </row>
    <row r="85">
      <c r="D85" s="58"/>
    </row>
    <row r="86">
      <c r="D86" s="58"/>
    </row>
    <row r="87">
      <c r="D87" s="58"/>
    </row>
    <row r="88">
      <c r="D88" s="58"/>
    </row>
    <row r="89">
      <c r="D89" s="58"/>
    </row>
    <row r="90">
      <c r="D90" s="58"/>
    </row>
    <row r="91">
      <c r="D91" s="58"/>
    </row>
    <row r="92">
      <c r="D92" s="58"/>
    </row>
    <row r="93">
      <c r="D93" s="58"/>
    </row>
    <row r="94">
      <c r="D94" s="58"/>
    </row>
    <row r="95">
      <c r="D95" s="58"/>
    </row>
    <row r="96">
      <c r="D96" s="58"/>
    </row>
    <row r="97">
      <c r="D97" s="58"/>
    </row>
    <row r="98">
      <c r="D98" s="58"/>
    </row>
    <row r="99">
      <c r="D99" s="58"/>
    </row>
    <row r="100">
      <c r="D100" s="58"/>
    </row>
    <row r="101">
      <c r="D101" s="58"/>
    </row>
    <row r="102">
      <c r="D102" s="58"/>
    </row>
    <row r="103">
      <c r="D103" s="58"/>
    </row>
    <row r="104">
      <c r="D104" s="58"/>
    </row>
    <row r="105">
      <c r="D105" s="58"/>
    </row>
    <row r="106">
      <c r="D106" s="58"/>
    </row>
    <row r="107">
      <c r="D107" s="58"/>
    </row>
    <row r="108">
      <c r="D108" s="58"/>
    </row>
    <row r="109">
      <c r="D109" s="58"/>
    </row>
    <row r="110">
      <c r="D110" s="58"/>
    </row>
    <row r="111">
      <c r="D111" s="58"/>
    </row>
    <row r="112">
      <c r="D112" s="58"/>
    </row>
    <row r="113">
      <c r="D113" s="58"/>
    </row>
    <row r="114">
      <c r="D114" s="58"/>
    </row>
    <row r="115">
      <c r="D115" s="58"/>
    </row>
    <row r="116">
      <c r="D116" s="58"/>
    </row>
    <row r="117">
      <c r="D117" s="58"/>
    </row>
    <row r="118">
      <c r="D118" s="58"/>
    </row>
    <row r="119">
      <c r="D119" s="58"/>
    </row>
    <row r="120">
      <c r="D120" s="58"/>
    </row>
    <row r="121">
      <c r="D121" s="58"/>
    </row>
    <row r="122">
      <c r="D122" s="58"/>
    </row>
    <row r="123">
      <c r="D123" s="58"/>
    </row>
    <row r="124">
      <c r="D124" s="58"/>
    </row>
    <row r="125">
      <c r="D125" s="58"/>
    </row>
    <row r="126">
      <c r="D126" s="58"/>
    </row>
    <row r="127">
      <c r="D127" s="58"/>
    </row>
    <row r="128">
      <c r="D128" s="58"/>
    </row>
    <row r="129">
      <c r="D129" s="58"/>
    </row>
    <row r="130">
      <c r="D130" s="58"/>
    </row>
    <row r="131">
      <c r="D131" s="58"/>
    </row>
    <row r="132">
      <c r="D132" s="58"/>
    </row>
    <row r="133">
      <c r="D133" s="58"/>
    </row>
    <row r="134">
      <c r="D134" s="58"/>
    </row>
    <row r="135">
      <c r="D135" s="58"/>
    </row>
    <row r="136">
      <c r="D136" s="58"/>
    </row>
    <row r="137">
      <c r="D137" s="58"/>
    </row>
    <row r="138">
      <c r="D138" s="58"/>
    </row>
    <row r="139">
      <c r="D139" s="58"/>
    </row>
    <row r="140">
      <c r="D140" s="58"/>
    </row>
    <row r="141">
      <c r="D141" s="58"/>
    </row>
    <row r="142">
      <c r="D142" s="58"/>
    </row>
    <row r="143">
      <c r="D143" s="58"/>
    </row>
    <row r="144">
      <c r="D144" s="58"/>
    </row>
    <row r="145">
      <c r="D145" s="58"/>
    </row>
    <row r="146">
      <c r="D146" s="58"/>
    </row>
    <row r="147">
      <c r="D147" s="58"/>
    </row>
    <row r="148">
      <c r="D148" s="58"/>
    </row>
    <row r="149">
      <c r="D149" s="58"/>
    </row>
    <row r="150">
      <c r="D150" s="58"/>
    </row>
    <row r="151">
      <c r="D151" s="58"/>
    </row>
    <row r="152">
      <c r="D152" s="58"/>
    </row>
    <row r="153">
      <c r="D153" s="58"/>
    </row>
    <row r="154">
      <c r="D154" s="58"/>
    </row>
    <row r="155">
      <c r="D155" s="58"/>
    </row>
    <row r="156">
      <c r="D156" s="58"/>
    </row>
    <row r="157">
      <c r="D157" s="58"/>
    </row>
    <row r="158">
      <c r="D158" s="58"/>
    </row>
    <row r="159">
      <c r="D159" s="58"/>
    </row>
    <row r="160">
      <c r="D160" s="58"/>
    </row>
    <row r="161">
      <c r="D161" s="58"/>
    </row>
    <row r="162">
      <c r="D162" s="58"/>
    </row>
    <row r="163">
      <c r="D163" s="58"/>
    </row>
    <row r="164">
      <c r="D164" s="58"/>
    </row>
    <row r="165">
      <c r="D165" s="58"/>
    </row>
    <row r="166">
      <c r="D166" s="58"/>
    </row>
    <row r="167">
      <c r="D167" s="58"/>
    </row>
    <row r="168">
      <c r="D168" s="58"/>
    </row>
    <row r="169">
      <c r="D169" s="58"/>
    </row>
    <row r="170">
      <c r="D170" s="58"/>
    </row>
    <row r="171">
      <c r="D171" s="58"/>
    </row>
    <row r="172">
      <c r="D172" s="58"/>
    </row>
    <row r="173">
      <c r="D173" s="58"/>
    </row>
    <row r="174">
      <c r="D174" s="58"/>
    </row>
    <row r="175">
      <c r="D175" s="58"/>
    </row>
    <row r="176">
      <c r="D176" s="58"/>
    </row>
    <row r="177">
      <c r="D177" s="58"/>
    </row>
    <row r="178">
      <c r="D178" s="58"/>
    </row>
    <row r="179">
      <c r="D179" s="58"/>
    </row>
    <row r="180">
      <c r="D180" s="58"/>
    </row>
    <row r="181">
      <c r="D181" s="58"/>
    </row>
    <row r="182">
      <c r="D182" s="58"/>
    </row>
    <row r="183">
      <c r="D183" s="58"/>
    </row>
    <row r="184">
      <c r="D184" s="58"/>
    </row>
    <row r="185">
      <c r="D185" s="58"/>
    </row>
    <row r="186">
      <c r="D186" s="58"/>
    </row>
    <row r="187">
      <c r="D187" s="58"/>
    </row>
    <row r="188">
      <c r="D188" s="58"/>
    </row>
    <row r="189">
      <c r="D189" s="58"/>
    </row>
    <row r="190">
      <c r="D190" s="58"/>
    </row>
    <row r="191">
      <c r="D191" s="58"/>
    </row>
    <row r="192">
      <c r="D192" s="58"/>
    </row>
    <row r="193">
      <c r="D193" s="58"/>
    </row>
    <row r="194">
      <c r="D194" s="58"/>
    </row>
    <row r="195">
      <c r="D195" s="58"/>
    </row>
    <row r="196">
      <c r="D196" s="58"/>
    </row>
    <row r="197">
      <c r="D197" s="58"/>
    </row>
    <row r="198">
      <c r="D198" s="58"/>
    </row>
    <row r="199">
      <c r="D199" s="58"/>
    </row>
    <row r="200">
      <c r="D200" s="58"/>
    </row>
    <row r="201">
      <c r="D201" s="58"/>
    </row>
    <row r="202">
      <c r="D202" s="58"/>
    </row>
    <row r="203">
      <c r="D203" s="58"/>
    </row>
    <row r="204">
      <c r="D204" s="58"/>
    </row>
    <row r="205">
      <c r="D205" s="58"/>
    </row>
    <row r="206">
      <c r="D206" s="58"/>
    </row>
    <row r="207">
      <c r="D207" s="58"/>
    </row>
    <row r="208">
      <c r="D208" s="58"/>
    </row>
    <row r="209">
      <c r="D209" s="58"/>
    </row>
    <row r="210">
      <c r="D210" s="58"/>
    </row>
    <row r="211">
      <c r="D211" s="58"/>
    </row>
    <row r="212">
      <c r="D212" s="58"/>
    </row>
    <row r="213">
      <c r="D213" s="58"/>
    </row>
    <row r="214">
      <c r="D214" s="58"/>
    </row>
    <row r="215">
      <c r="D215" s="58"/>
    </row>
    <row r="216">
      <c r="D216" s="58"/>
    </row>
    <row r="217">
      <c r="D217" s="58"/>
    </row>
    <row r="218">
      <c r="D218" s="58"/>
    </row>
    <row r="219">
      <c r="D219" s="58"/>
    </row>
    <row r="220">
      <c r="D220" s="58"/>
    </row>
    <row r="221">
      <c r="D221" s="58"/>
    </row>
    <row r="222">
      <c r="D222" s="58"/>
    </row>
    <row r="223">
      <c r="D223" s="58"/>
    </row>
    <row r="224">
      <c r="D224" s="58"/>
    </row>
    <row r="225">
      <c r="D225" s="58"/>
    </row>
    <row r="226">
      <c r="D226" s="58"/>
    </row>
    <row r="227">
      <c r="D227" s="58"/>
    </row>
    <row r="228">
      <c r="D228" s="58"/>
    </row>
    <row r="229">
      <c r="D229" s="58"/>
    </row>
    <row r="230">
      <c r="D230" s="58"/>
    </row>
    <row r="231">
      <c r="D231" s="58"/>
    </row>
    <row r="232">
      <c r="D232" s="58"/>
    </row>
    <row r="233">
      <c r="D233" s="58"/>
    </row>
    <row r="234">
      <c r="D234" s="58"/>
    </row>
    <row r="235">
      <c r="D235" s="58"/>
    </row>
    <row r="236">
      <c r="D236" s="58"/>
    </row>
    <row r="237">
      <c r="D237" s="58"/>
    </row>
    <row r="238">
      <c r="D238" s="58"/>
    </row>
    <row r="239">
      <c r="D239" s="58"/>
    </row>
    <row r="240">
      <c r="D240" s="58"/>
    </row>
    <row r="241">
      <c r="D241" s="58"/>
    </row>
    <row r="242">
      <c r="D242" s="58"/>
    </row>
    <row r="243">
      <c r="D243" s="58"/>
    </row>
    <row r="244">
      <c r="D244" s="58"/>
    </row>
    <row r="245">
      <c r="D245" s="58"/>
    </row>
    <row r="246">
      <c r="D246" s="58"/>
    </row>
    <row r="247">
      <c r="D247" s="58"/>
    </row>
    <row r="248">
      <c r="D248" s="58"/>
    </row>
    <row r="249">
      <c r="D249" s="58"/>
    </row>
    <row r="250">
      <c r="D250" s="58"/>
    </row>
    <row r="251">
      <c r="D251" s="58"/>
    </row>
    <row r="252">
      <c r="D252" s="58"/>
    </row>
    <row r="253">
      <c r="D253" s="58"/>
    </row>
    <row r="254">
      <c r="D254" s="58"/>
    </row>
    <row r="255">
      <c r="D255" s="58"/>
    </row>
    <row r="256">
      <c r="D256" s="58"/>
    </row>
    <row r="257">
      <c r="D257" s="58"/>
    </row>
    <row r="258">
      <c r="D258" s="58"/>
    </row>
    <row r="259">
      <c r="D259" s="58"/>
    </row>
    <row r="260">
      <c r="D260" s="58"/>
    </row>
    <row r="261">
      <c r="D261" s="58"/>
    </row>
    <row r="262">
      <c r="D262" s="58"/>
    </row>
    <row r="263">
      <c r="D263" s="58"/>
    </row>
    <row r="264">
      <c r="D264" s="58"/>
    </row>
    <row r="265">
      <c r="D265" s="58"/>
    </row>
    <row r="266">
      <c r="D266" s="58"/>
    </row>
    <row r="267">
      <c r="D267" s="58"/>
    </row>
    <row r="268">
      <c r="D268" s="58"/>
    </row>
    <row r="269">
      <c r="D269" s="58"/>
    </row>
    <row r="270">
      <c r="D270" s="58"/>
    </row>
    <row r="271">
      <c r="D271" s="58"/>
    </row>
    <row r="272">
      <c r="D272" s="58"/>
    </row>
    <row r="273">
      <c r="D273" s="58"/>
    </row>
    <row r="274">
      <c r="D274" s="58"/>
    </row>
    <row r="275">
      <c r="D275" s="58"/>
    </row>
    <row r="276">
      <c r="D276" s="58"/>
    </row>
    <row r="277">
      <c r="D277" s="58"/>
    </row>
    <row r="278">
      <c r="D278" s="58"/>
    </row>
    <row r="279">
      <c r="D279" s="58"/>
    </row>
    <row r="280">
      <c r="D280" s="58"/>
    </row>
    <row r="281">
      <c r="D281" s="58"/>
    </row>
    <row r="282">
      <c r="D282" s="58"/>
    </row>
    <row r="283">
      <c r="D283" s="58"/>
    </row>
    <row r="284">
      <c r="D284" s="58"/>
    </row>
    <row r="285">
      <c r="D285" s="58"/>
    </row>
    <row r="286">
      <c r="D286" s="58"/>
    </row>
    <row r="287">
      <c r="D287" s="58"/>
    </row>
    <row r="288">
      <c r="D288" s="58"/>
    </row>
    <row r="289">
      <c r="D289" s="58"/>
    </row>
    <row r="290">
      <c r="D290" s="58"/>
    </row>
    <row r="291">
      <c r="D291" s="58"/>
    </row>
    <row r="292">
      <c r="D292" s="58"/>
    </row>
    <row r="293">
      <c r="D293" s="58"/>
    </row>
    <row r="294">
      <c r="D294" s="58"/>
    </row>
    <row r="295">
      <c r="D295" s="58"/>
    </row>
    <row r="296">
      <c r="D296" s="58"/>
    </row>
    <row r="297">
      <c r="D297" s="58"/>
    </row>
    <row r="298">
      <c r="D298" s="58"/>
    </row>
    <row r="299">
      <c r="D299" s="58"/>
    </row>
    <row r="300">
      <c r="D300" s="58"/>
    </row>
    <row r="301">
      <c r="D301" s="58"/>
    </row>
    <row r="302">
      <c r="D302" s="58"/>
    </row>
    <row r="303">
      <c r="D303" s="58"/>
    </row>
    <row r="304">
      <c r="D304" s="58"/>
    </row>
    <row r="305">
      <c r="D305" s="58"/>
    </row>
    <row r="306">
      <c r="D306" s="58"/>
    </row>
    <row r="307">
      <c r="D307" s="58"/>
    </row>
    <row r="308">
      <c r="D308" s="58"/>
    </row>
    <row r="309">
      <c r="D309" s="58"/>
    </row>
    <row r="310">
      <c r="D310" s="58"/>
    </row>
    <row r="311">
      <c r="D311" s="58"/>
    </row>
    <row r="312">
      <c r="D312" s="58"/>
    </row>
    <row r="313">
      <c r="D313" s="58"/>
    </row>
    <row r="314">
      <c r="D314" s="58"/>
    </row>
    <row r="315">
      <c r="D315" s="58"/>
    </row>
    <row r="316">
      <c r="D316" s="58"/>
    </row>
    <row r="317">
      <c r="D317" s="58"/>
    </row>
    <row r="318">
      <c r="D318" s="58"/>
    </row>
    <row r="319">
      <c r="D319" s="58"/>
    </row>
    <row r="320">
      <c r="D320" s="58"/>
    </row>
    <row r="321">
      <c r="D321" s="58"/>
    </row>
    <row r="322">
      <c r="D322" s="58"/>
    </row>
    <row r="323">
      <c r="D323" s="58"/>
    </row>
    <row r="324">
      <c r="D324" s="58"/>
    </row>
    <row r="325">
      <c r="D325" s="58"/>
    </row>
    <row r="326">
      <c r="D326" s="58"/>
    </row>
    <row r="327">
      <c r="D327" s="58"/>
    </row>
    <row r="328">
      <c r="D328" s="58"/>
    </row>
    <row r="329">
      <c r="D329" s="58"/>
    </row>
    <row r="330">
      <c r="D330" s="58"/>
    </row>
    <row r="331">
      <c r="D331" s="58"/>
    </row>
    <row r="332">
      <c r="D332" s="58"/>
    </row>
    <row r="333">
      <c r="D333" s="58"/>
    </row>
    <row r="334">
      <c r="D334" s="58"/>
    </row>
    <row r="335">
      <c r="D335" s="58"/>
    </row>
    <row r="336">
      <c r="D336" s="58"/>
    </row>
    <row r="337">
      <c r="D337" s="58"/>
    </row>
    <row r="338">
      <c r="D338" s="58"/>
    </row>
    <row r="339">
      <c r="D339" s="58"/>
    </row>
    <row r="340">
      <c r="D340" s="58"/>
    </row>
    <row r="341">
      <c r="D341" s="58"/>
    </row>
    <row r="342">
      <c r="D342" s="58"/>
    </row>
    <row r="343">
      <c r="D343" s="58"/>
    </row>
    <row r="344">
      <c r="D344" s="58"/>
    </row>
    <row r="345">
      <c r="D345" s="58"/>
    </row>
    <row r="346">
      <c r="D346" s="58"/>
    </row>
    <row r="347">
      <c r="D347" s="58"/>
    </row>
    <row r="348">
      <c r="D348" s="58"/>
    </row>
    <row r="349">
      <c r="D349" s="58"/>
    </row>
    <row r="350">
      <c r="D350" s="58"/>
    </row>
    <row r="351">
      <c r="D351" s="58"/>
    </row>
    <row r="352">
      <c r="D352" s="58"/>
    </row>
    <row r="353">
      <c r="D353" s="58"/>
    </row>
    <row r="354">
      <c r="D354" s="58"/>
    </row>
    <row r="355">
      <c r="D355" s="58"/>
    </row>
    <row r="356">
      <c r="D356" s="58"/>
    </row>
    <row r="357">
      <c r="D357" s="58"/>
    </row>
    <row r="358">
      <c r="D358" s="58"/>
    </row>
    <row r="359">
      <c r="D359" s="58"/>
    </row>
    <row r="360">
      <c r="D360" s="58"/>
    </row>
    <row r="361">
      <c r="D361" s="58"/>
    </row>
    <row r="362">
      <c r="D362" s="58"/>
    </row>
    <row r="363">
      <c r="D363" s="58"/>
    </row>
    <row r="364">
      <c r="D364" s="58"/>
    </row>
    <row r="365">
      <c r="D365" s="58"/>
    </row>
    <row r="366">
      <c r="D366" s="58"/>
    </row>
    <row r="367">
      <c r="D367" s="58"/>
    </row>
    <row r="368">
      <c r="D368" s="58"/>
    </row>
    <row r="369">
      <c r="D369" s="58"/>
    </row>
    <row r="370">
      <c r="D370" s="58"/>
    </row>
    <row r="371">
      <c r="D371" s="58"/>
    </row>
    <row r="372">
      <c r="D372" s="58"/>
    </row>
    <row r="373">
      <c r="D373" s="58"/>
    </row>
    <row r="374">
      <c r="D374" s="58"/>
    </row>
    <row r="375">
      <c r="D375" s="58"/>
    </row>
    <row r="376">
      <c r="D376" s="58"/>
    </row>
    <row r="377">
      <c r="D377" s="58"/>
    </row>
    <row r="378">
      <c r="D378" s="58"/>
    </row>
    <row r="379">
      <c r="D379" s="58"/>
    </row>
    <row r="380">
      <c r="D380" s="58"/>
    </row>
    <row r="381">
      <c r="D381" s="58"/>
    </row>
    <row r="382">
      <c r="D382" s="58"/>
    </row>
    <row r="383">
      <c r="D383" s="58"/>
    </row>
    <row r="384">
      <c r="D384" s="58"/>
    </row>
    <row r="385">
      <c r="D385" s="58"/>
    </row>
    <row r="386">
      <c r="D386" s="58"/>
    </row>
    <row r="387">
      <c r="D387" s="58"/>
    </row>
    <row r="388">
      <c r="D388" s="58"/>
    </row>
    <row r="389">
      <c r="D389" s="58"/>
    </row>
    <row r="390">
      <c r="D390" s="58"/>
    </row>
    <row r="391">
      <c r="D391" s="58"/>
    </row>
    <row r="392">
      <c r="D392" s="58"/>
    </row>
    <row r="393">
      <c r="D393" s="58"/>
    </row>
    <row r="394">
      <c r="D394" s="58"/>
    </row>
    <row r="395">
      <c r="D395" s="58"/>
    </row>
    <row r="396">
      <c r="D396" s="58"/>
    </row>
    <row r="397">
      <c r="D397" s="58"/>
    </row>
    <row r="398">
      <c r="D398" s="58"/>
    </row>
    <row r="399">
      <c r="D399" s="58"/>
    </row>
    <row r="400">
      <c r="D400" s="58"/>
    </row>
    <row r="401">
      <c r="D401" s="58"/>
    </row>
    <row r="402">
      <c r="D402" s="58"/>
    </row>
    <row r="403">
      <c r="D403" s="58"/>
    </row>
    <row r="404">
      <c r="D404" s="58"/>
    </row>
    <row r="405">
      <c r="D405" s="58"/>
    </row>
    <row r="406">
      <c r="D406" s="58"/>
    </row>
    <row r="407">
      <c r="D407" s="58"/>
    </row>
    <row r="408">
      <c r="D408" s="58"/>
    </row>
    <row r="409">
      <c r="D409" s="58"/>
    </row>
    <row r="410">
      <c r="D410" s="58"/>
    </row>
    <row r="411">
      <c r="D411" s="58"/>
    </row>
    <row r="412">
      <c r="D412" s="58"/>
    </row>
    <row r="413">
      <c r="D413" s="58"/>
    </row>
    <row r="414">
      <c r="D414" s="58"/>
    </row>
    <row r="415">
      <c r="D415" s="58"/>
    </row>
    <row r="416">
      <c r="D416" s="58"/>
    </row>
    <row r="417">
      <c r="D417" s="58"/>
    </row>
    <row r="418">
      <c r="D418" s="58"/>
    </row>
    <row r="419">
      <c r="D419" s="58"/>
    </row>
    <row r="420">
      <c r="D420" s="58"/>
    </row>
    <row r="421">
      <c r="D421" s="58"/>
    </row>
    <row r="422">
      <c r="D422" s="58"/>
    </row>
    <row r="423">
      <c r="D423" s="58"/>
    </row>
    <row r="424">
      <c r="D424" s="58"/>
    </row>
    <row r="425">
      <c r="D425" s="58"/>
    </row>
    <row r="426">
      <c r="D426" s="58"/>
    </row>
    <row r="427">
      <c r="D427" s="58"/>
    </row>
    <row r="428">
      <c r="D428" s="58"/>
    </row>
    <row r="429">
      <c r="D429" s="58"/>
    </row>
    <row r="430">
      <c r="D430" s="58"/>
    </row>
    <row r="431">
      <c r="D431" s="58"/>
    </row>
    <row r="432">
      <c r="D432" s="58"/>
    </row>
    <row r="433">
      <c r="D433" s="58"/>
    </row>
    <row r="434">
      <c r="D434" s="58"/>
    </row>
    <row r="435">
      <c r="D435" s="58"/>
    </row>
    <row r="436">
      <c r="D436" s="58"/>
    </row>
    <row r="437">
      <c r="D437" s="58"/>
    </row>
    <row r="438">
      <c r="D438" s="58"/>
    </row>
    <row r="439">
      <c r="D439" s="58"/>
    </row>
    <row r="440">
      <c r="D440" s="58"/>
    </row>
    <row r="441">
      <c r="D441" s="58"/>
    </row>
    <row r="442">
      <c r="D442" s="58"/>
    </row>
    <row r="443">
      <c r="D443" s="58"/>
    </row>
    <row r="444">
      <c r="D444" s="58"/>
    </row>
    <row r="445">
      <c r="D445" s="58"/>
    </row>
    <row r="446">
      <c r="D446" s="58"/>
    </row>
    <row r="447">
      <c r="D447" s="58"/>
    </row>
    <row r="448">
      <c r="D448" s="58"/>
    </row>
    <row r="449">
      <c r="D449" s="58"/>
    </row>
    <row r="450">
      <c r="D450" s="58"/>
    </row>
    <row r="451">
      <c r="D451" s="58"/>
    </row>
    <row r="452">
      <c r="D452" s="58"/>
    </row>
    <row r="453">
      <c r="D453" s="58"/>
    </row>
    <row r="454">
      <c r="D454" s="58"/>
    </row>
    <row r="455">
      <c r="D455" s="58"/>
    </row>
    <row r="456">
      <c r="D456" s="58"/>
    </row>
    <row r="457">
      <c r="D457" s="58"/>
    </row>
    <row r="458">
      <c r="D458" s="58"/>
    </row>
    <row r="459">
      <c r="D459" s="58"/>
    </row>
    <row r="460">
      <c r="D460" s="58"/>
    </row>
    <row r="461">
      <c r="D461" s="58"/>
    </row>
    <row r="462">
      <c r="D462" s="58"/>
    </row>
    <row r="463">
      <c r="D463" s="58"/>
    </row>
    <row r="464">
      <c r="D464" s="58"/>
    </row>
    <row r="465">
      <c r="D465" s="58"/>
    </row>
    <row r="466">
      <c r="D466" s="58"/>
    </row>
    <row r="467">
      <c r="D467" s="58"/>
    </row>
    <row r="468">
      <c r="D468" s="58"/>
    </row>
    <row r="469">
      <c r="D469" s="58"/>
    </row>
    <row r="470">
      <c r="D470" s="58"/>
    </row>
    <row r="471">
      <c r="D471" s="58"/>
    </row>
    <row r="472">
      <c r="D472" s="58"/>
    </row>
    <row r="473">
      <c r="D473" s="58"/>
    </row>
    <row r="474">
      <c r="D474" s="58"/>
    </row>
    <row r="475">
      <c r="D475" s="58"/>
    </row>
    <row r="476">
      <c r="D476" s="58"/>
    </row>
    <row r="477">
      <c r="D477" s="58"/>
    </row>
    <row r="478">
      <c r="D478" s="58"/>
    </row>
    <row r="479">
      <c r="D479" s="58"/>
    </row>
    <row r="480">
      <c r="D480" s="58"/>
    </row>
    <row r="481">
      <c r="D481" s="58"/>
    </row>
    <row r="482">
      <c r="D482" s="58"/>
    </row>
    <row r="483">
      <c r="D483" s="58"/>
    </row>
    <row r="484">
      <c r="D484" s="58"/>
    </row>
    <row r="485">
      <c r="D485" s="58"/>
    </row>
    <row r="486">
      <c r="D486" s="58"/>
    </row>
    <row r="487">
      <c r="D487" s="58"/>
    </row>
    <row r="488">
      <c r="D488" s="58"/>
    </row>
    <row r="489">
      <c r="D489" s="58"/>
    </row>
    <row r="490">
      <c r="D490" s="58"/>
    </row>
    <row r="491">
      <c r="D491" s="58"/>
    </row>
    <row r="492">
      <c r="D492" s="58"/>
    </row>
    <row r="493">
      <c r="D493" s="58"/>
    </row>
    <row r="494">
      <c r="D494" s="58"/>
    </row>
    <row r="495">
      <c r="D495" s="58"/>
    </row>
    <row r="496">
      <c r="D496" s="58"/>
    </row>
    <row r="497">
      <c r="D497" s="58"/>
    </row>
    <row r="498">
      <c r="D498" s="58"/>
    </row>
    <row r="499">
      <c r="D499" s="58"/>
    </row>
    <row r="500">
      <c r="D500" s="58"/>
    </row>
    <row r="501">
      <c r="D501" s="58"/>
    </row>
    <row r="502">
      <c r="D502" s="58"/>
    </row>
    <row r="503">
      <c r="D503" s="58"/>
    </row>
    <row r="504">
      <c r="D504" s="58"/>
    </row>
    <row r="505">
      <c r="D505" s="58"/>
    </row>
    <row r="506">
      <c r="D506" s="58"/>
    </row>
    <row r="507">
      <c r="D507" s="58"/>
    </row>
    <row r="508">
      <c r="D508" s="58"/>
    </row>
    <row r="509">
      <c r="D509" s="58"/>
    </row>
    <row r="510">
      <c r="D510" s="58"/>
    </row>
    <row r="511">
      <c r="D511" s="58"/>
    </row>
    <row r="512">
      <c r="D512" s="58"/>
    </row>
    <row r="513">
      <c r="D513" s="58"/>
    </row>
    <row r="514">
      <c r="D514" s="58"/>
    </row>
    <row r="515">
      <c r="D515" s="58"/>
    </row>
    <row r="516">
      <c r="D516" s="58"/>
    </row>
    <row r="517">
      <c r="D517" s="58"/>
    </row>
    <row r="518">
      <c r="D518" s="58"/>
    </row>
    <row r="519">
      <c r="D519" s="58"/>
    </row>
    <row r="520">
      <c r="D520" s="58"/>
    </row>
    <row r="521">
      <c r="D521" s="58"/>
    </row>
    <row r="522">
      <c r="D522" s="58"/>
    </row>
    <row r="523">
      <c r="D523" s="58"/>
    </row>
    <row r="524">
      <c r="D524" s="58"/>
    </row>
    <row r="525">
      <c r="D525" s="58"/>
    </row>
    <row r="526">
      <c r="D526" s="58"/>
    </row>
    <row r="527">
      <c r="D527" s="58"/>
    </row>
    <row r="528">
      <c r="D528" s="58"/>
    </row>
    <row r="529">
      <c r="D529" s="58"/>
    </row>
    <row r="530">
      <c r="D530" s="58"/>
    </row>
    <row r="531">
      <c r="D531" s="58"/>
    </row>
    <row r="532">
      <c r="D532" s="58"/>
    </row>
    <row r="533">
      <c r="D533" s="58"/>
    </row>
    <row r="534">
      <c r="D534" s="58"/>
    </row>
    <row r="535">
      <c r="D535" s="58"/>
    </row>
    <row r="536">
      <c r="D536" s="58"/>
    </row>
    <row r="537">
      <c r="D537" s="58"/>
    </row>
    <row r="538">
      <c r="D538" s="58"/>
    </row>
    <row r="539">
      <c r="D539" s="58"/>
    </row>
    <row r="540">
      <c r="D540" s="58"/>
    </row>
    <row r="541">
      <c r="D541" s="58"/>
    </row>
    <row r="542">
      <c r="D542" s="58"/>
    </row>
    <row r="543">
      <c r="D543" s="58"/>
    </row>
    <row r="544">
      <c r="D544" s="58"/>
    </row>
    <row r="545">
      <c r="D545" s="58"/>
    </row>
    <row r="546">
      <c r="D546" s="58"/>
    </row>
    <row r="547">
      <c r="D547" s="58"/>
    </row>
    <row r="548">
      <c r="D548" s="58"/>
    </row>
    <row r="549">
      <c r="D549" s="58"/>
    </row>
    <row r="550">
      <c r="D550" s="58"/>
    </row>
    <row r="551">
      <c r="D551" s="58"/>
    </row>
    <row r="552">
      <c r="D552" s="58"/>
    </row>
    <row r="553">
      <c r="D553" s="58"/>
    </row>
    <row r="554">
      <c r="D554" s="58"/>
    </row>
    <row r="555">
      <c r="D555" s="58"/>
    </row>
    <row r="556">
      <c r="D556" s="58"/>
    </row>
    <row r="557">
      <c r="D557" s="58"/>
    </row>
    <row r="558">
      <c r="D558" s="58"/>
    </row>
    <row r="559">
      <c r="D559" s="58"/>
    </row>
    <row r="560">
      <c r="D560" s="58"/>
    </row>
    <row r="561">
      <c r="D561" s="58"/>
    </row>
    <row r="562">
      <c r="D562" s="58"/>
    </row>
    <row r="563">
      <c r="D563" s="58"/>
    </row>
    <row r="564">
      <c r="D564" s="58"/>
    </row>
    <row r="565">
      <c r="D565" s="58"/>
    </row>
    <row r="566">
      <c r="D566" s="58"/>
    </row>
    <row r="567">
      <c r="D567" s="58"/>
    </row>
    <row r="568">
      <c r="D568" s="58"/>
    </row>
    <row r="569">
      <c r="D569" s="58"/>
    </row>
    <row r="570">
      <c r="D570" s="58"/>
    </row>
    <row r="571">
      <c r="D571" s="58"/>
    </row>
    <row r="572">
      <c r="D572" s="58"/>
    </row>
    <row r="573">
      <c r="D573" s="58"/>
    </row>
    <row r="574">
      <c r="D574" s="58"/>
    </row>
    <row r="575">
      <c r="D575" s="58"/>
    </row>
    <row r="576">
      <c r="D576" s="58"/>
    </row>
    <row r="577">
      <c r="D577" s="58"/>
    </row>
    <row r="578">
      <c r="D578" s="58"/>
    </row>
    <row r="579">
      <c r="D579" s="58"/>
    </row>
    <row r="580">
      <c r="D580" s="58"/>
    </row>
    <row r="581">
      <c r="D581" s="58"/>
    </row>
    <row r="582">
      <c r="D582" s="58"/>
    </row>
    <row r="583">
      <c r="D583" s="58"/>
    </row>
    <row r="584">
      <c r="D584" s="58"/>
    </row>
    <row r="585">
      <c r="D585" s="58"/>
    </row>
    <row r="586">
      <c r="D586" s="58"/>
    </row>
    <row r="587">
      <c r="D587" s="58"/>
    </row>
    <row r="588">
      <c r="D588" s="58"/>
    </row>
    <row r="589">
      <c r="D589" s="58"/>
    </row>
    <row r="590">
      <c r="D590" s="58"/>
    </row>
    <row r="591">
      <c r="D591" s="58"/>
    </row>
    <row r="592">
      <c r="D592" s="58"/>
    </row>
    <row r="593">
      <c r="D593" s="58"/>
    </row>
    <row r="594">
      <c r="D594" s="58"/>
    </row>
    <row r="595">
      <c r="D595" s="58"/>
    </row>
    <row r="596">
      <c r="D596" s="58"/>
    </row>
    <row r="597">
      <c r="D597" s="58"/>
    </row>
    <row r="598">
      <c r="D598" s="58"/>
    </row>
    <row r="599">
      <c r="D599" s="58"/>
    </row>
    <row r="600">
      <c r="D600" s="58"/>
    </row>
    <row r="601">
      <c r="D601" s="58"/>
    </row>
    <row r="602">
      <c r="D602" s="58"/>
    </row>
    <row r="603">
      <c r="D603" s="58"/>
    </row>
    <row r="604">
      <c r="D604" s="58"/>
    </row>
    <row r="605">
      <c r="D605" s="58"/>
    </row>
    <row r="606">
      <c r="D606" s="58"/>
    </row>
    <row r="607">
      <c r="D607" s="58"/>
    </row>
    <row r="608">
      <c r="D608" s="58"/>
    </row>
    <row r="609">
      <c r="D609" s="58"/>
    </row>
    <row r="610">
      <c r="D610" s="58"/>
    </row>
    <row r="611">
      <c r="D611" s="58"/>
    </row>
    <row r="612">
      <c r="D612" s="58"/>
    </row>
    <row r="613">
      <c r="D613" s="58"/>
    </row>
    <row r="614">
      <c r="D614" s="58"/>
    </row>
    <row r="615">
      <c r="D615" s="58"/>
    </row>
    <row r="616">
      <c r="D616" s="58"/>
    </row>
    <row r="617">
      <c r="D617" s="58"/>
    </row>
    <row r="618">
      <c r="D618" s="58"/>
    </row>
    <row r="619">
      <c r="D619" s="58"/>
    </row>
    <row r="620">
      <c r="D620" s="58"/>
    </row>
    <row r="621">
      <c r="D621" s="58"/>
    </row>
    <row r="622">
      <c r="D622" s="58"/>
    </row>
    <row r="623">
      <c r="D623" s="58"/>
    </row>
    <row r="624">
      <c r="D624" s="58"/>
    </row>
    <row r="625">
      <c r="D625" s="58"/>
    </row>
    <row r="626">
      <c r="D626" s="58"/>
    </row>
    <row r="627">
      <c r="D627" s="58"/>
    </row>
    <row r="628">
      <c r="D628" s="58"/>
    </row>
    <row r="629">
      <c r="D629" s="58"/>
    </row>
    <row r="630">
      <c r="D630" s="58"/>
    </row>
    <row r="631">
      <c r="D631" s="58"/>
    </row>
    <row r="632">
      <c r="D632" s="58"/>
    </row>
    <row r="633">
      <c r="D633" s="58"/>
    </row>
    <row r="634">
      <c r="D634" s="58"/>
    </row>
    <row r="635">
      <c r="D635" s="58"/>
    </row>
    <row r="636">
      <c r="D636" s="58"/>
    </row>
    <row r="637">
      <c r="D637" s="58"/>
    </row>
    <row r="638">
      <c r="D638" s="58"/>
    </row>
    <row r="639">
      <c r="D639" s="58"/>
    </row>
    <row r="640">
      <c r="D640" s="58"/>
    </row>
    <row r="641">
      <c r="D641" s="58"/>
    </row>
    <row r="642">
      <c r="D642" s="58"/>
    </row>
    <row r="643">
      <c r="D643" s="58"/>
    </row>
    <row r="644">
      <c r="D644" s="58"/>
    </row>
    <row r="645">
      <c r="D645" s="58"/>
    </row>
    <row r="646">
      <c r="D646" s="58"/>
    </row>
    <row r="647">
      <c r="D647" s="58"/>
    </row>
    <row r="648">
      <c r="D648" s="58"/>
    </row>
    <row r="649">
      <c r="D649" s="58"/>
    </row>
    <row r="650">
      <c r="D650" s="58"/>
    </row>
    <row r="651">
      <c r="D651" s="58"/>
    </row>
    <row r="652">
      <c r="D652" s="58"/>
    </row>
    <row r="653">
      <c r="D653" s="58"/>
    </row>
    <row r="654">
      <c r="D654" s="58"/>
    </row>
    <row r="655">
      <c r="D655" s="58"/>
    </row>
    <row r="656">
      <c r="D656" s="58"/>
    </row>
    <row r="657">
      <c r="D657" s="58"/>
    </row>
    <row r="658">
      <c r="D658" s="58"/>
    </row>
    <row r="659">
      <c r="D659" s="58"/>
    </row>
    <row r="660">
      <c r="D660" s="58"/>
    </row>
    <row r="661">
      <c r="D661" s="58"/>
    </row>
    <row r="662">
      <c r="D662" s="58"/>
    </row>
    <row r="663">
      <c r="D663" s="58"/>
    </row>
    <row r="664">
      <c r="D664" s="58"/>
    </row>
    <row r="665">
      <c r="D665" s="58"/>
    </row>
    <row r="666">
      <c r="D666" s="58"/>
    </row>
    <row r="667">
      <c r="D667" s="58"/>
    </row>
    <row r="668">
      <c r="D668" s="58"/>
    </row>
    <row r="669">
      <c r="D669" s="58"/>
    </row>
    <row r="670">
      <c r="D670" s="58"/>
    </row>
    <row r="671">
      <c r="D671" s="58"/>
    </row>
    <row r="672">
      <c r="D672" s="58"/>
    </row>
    <row r="673">
      <c r="D673" s="58"/>
    </row>
    <row r="674">
      <c r="D674" s="58"/>
    </row>
    <row r="675">
      <c r="D675" s="58"/>
    </row>
    <row r="676">
      <c r="D676" s="58"/>
    </row>
    <row r="677">
      <c r="D677" s="58"/>
    </row>
    <row r="678">
      <c r="D678" s="58"/>
    </row>
    <row r="679">
      <c r="D679" s="58"/>
    </row>
    <row r="680">
      <c r="D680" s="58"/>
    </row>
    <row r="681">
      <c r="D681" s="58"/>
    </row>
    <row r="682">
      <c r="D682" s="58"/>
    </row>
    <row r="683">
      <c r="D683" s="58"/>
    </row>
    <row r="684">
      <c r="D684" s="58"/>
    </row>
    <row r="685">
      <c r="D685" s="58"/>
    </row>
    <row r="686">
      <c r="D686" s="58"/>
    </row>
    <row r="687">
      <c r="D687" s="58"/>
    </row>
    <row r="688">
      <c r="D688" s="58"/>
    </row>
    <row r="689">
      <c r="D689" s="58"/>
    </row>
    <row r="690">
      <c r="D690" s="58"/>
    </row>
    <row r="691">
      <c r="D691" s="58"/>
    </row>
    <row r="692">
      <c r="D692" s="58"/>
    </row>
    <row r="693">
      <c r="D693" s="58"/>
    </row>
    <row r="694">
      <c r="D694" s="58"/>
    </row>
    <row r="695">
      <c r="D695" s="58"/>
    </row>
    <row r="696">
      <c r="D696" s="58"/>
    </row>
    <row r="697">
      <c r="D697" s="58"/>
    </row>
    <row r="698">
      <c r="D698" s="58"/>
    </row>
    <row r="699">
      <c r="D699" s="58"/>
    </row>
    <row r="700">
      <c r="D700" s="58"/>
    </row>
    <row r="701">
      <c r="D701" s="58"/>
    </row>
    <row r="702">
      <c r="D702" s="58"/>
    </row>
    <row r="703">
      <c r="D703" s="58"/>
    </row>
    <row r="704">
      <c r="D704" s="58"/>
    </row>
    <row r="705">
      <c r="D705" s="58"/>
    </row>
    <row r="706">
      <c r="D706" s="58"/>
    </row>
    <row r="707">
      <c r="D707" s="58"/>
    </row>
    <row r="708">
      <c r="D708" s="58"/>
    </row>
    <row r="709">
      <c r="D709" s="58"/>
    </row>
    <row r="710">
      <c r="D710" s="58"/>
    </row>
    <row r="711">
      <c r="D711" s="58"/>
    </row>
    <row r="712">
      <c r="D712" s="58"/>
    </row>
    <row r="713">
      <c r="D713" s="58"/>
    </row>
    <row r="714">
      <c r="D714" s="58"/>
    </row>
    <row r="715">
      <c r="D715" s="58"/>
    </row>
    <row r="716">
      <c r="D716" s="58"/>
    </row>
    <row r="717">
      <c r="D717" s="58"/>
    </row>
    <row r="718">
      <c r="D718" s="58"/>
    </row>
    <row r="719">
      <c r="D719" s="58"/>
    </row>
    <row r="720">
      <c r="D720" s="58"/>
    </row>
    <row r="721">
      <c r="D721" s="58"/>
    </row>
    <row r="722">
      <c r="D722" s="58"/>
    </row>
    <row r="723">
      <c r="D723" s="58"/>
    </row>
    <row r="724">
      <c r="D724" s="58"/>
    </row>
    <row r="725">
      <c r="D725" s="58"/>
    </row>
    <row r="726">
      <c r="D726" s="58"/>
    </row>
    <row r="727">
      <c r="D727" s="58"/>
    </row>
    <row r="728">
      <c r="D728" s="58"/>
    </row>
    <row r="729">
      <c r="D729" s="58"/>
    </row>
    <row r="730">
      <c r="D730" s="58"/>
    </row>
    <row r="731">
      <c r="D731" s="58"/>
    </row>
    <row r="732">
      <c r="D732" s="58"/>
    </row>
    <row r="733">
      <c r="D733" s="58"/>
    </row>
    <row r="734">
      <c r="D734" s="58"/>
    </row>
    <row r="735">
      <c r="D735" s="58"/>
    </row>
    <row r="736">
      <c r="D736" s="58"/>
    </row>
    <row r="737">
      <c r="D737" s="58"/>
    </row>
    <row r="738">
      <c r="D738" s="58"/>
    </row>
    <row r="739">
      <c r="D739" s="58"/>
    </row>
    <row r="740">
      <c r="D740" s="58"/>
    </row>
    <row r="741">
      <c r="D741" s="58"/>
    </row>
    <row r="742">
      <c r="D742" s="58"/>
    </row>
    <row r="743">
      <c r="D743" s="58"/>
    </row>
    <row r="744">
      <c r="D744" s="58"/>
    </row>
    <row r="745">
      <c r="D745" s="58"/>
    </row>
    <row r="746">
      <c r="D746" s="58"/>
    </row>
    <row r="747">
      <c r="D747" s="58"/>
    </row>
    <row r="748">
      <c r="D748" s="58"/>
    </row>
    <row r="749">
      <c r="D749" s="58"/>
    </row>
    <row r="750">
      <c r="D750" s="58"/>
    </row>
    <row r="751">
      <c r="D751" s="58"/>
    </row>
    <row r="752">
      <c r="D752" s="58"/>
    </row>
    <row r="753">
      <c r="D753" s="58"/>
    </row>
    <row r="754">
      <c r="D754" s="58"/>
    </row>
    <row r="755">
      <c r="D755" s="58"/>
    </row>
    <row r="756">
      <c r="D756" s="58"/>
    </row>
    <row r="757">
      <c r="D757" s="58"/>
    </row>
    <row r="758">
      <c r="D758" s="58"/>
    </row>
    <row r="759">
      <c r="D759" s="58"/>
    </row>
    <row r="760">
      <c r="D760" s="58"/>
    </row>
    <row r="761">
      <c r="D761" s="58"/>
    </row>
    <row r="762">
      <c r="D762" s="58"/>
    </row>
    <row r="763">
      <c r="D763" s="58"/>
    </row>
    <row r="764">
      <c r="D764" s="58"/>
    </row>
    <row r="765">
      <c r="D765" s="58"/>
    </row>
    <row r="766">
      <c r="D766" s="58"/>
    </row>
    <row r="767">
      <c r="D767" s="58"/>
    </row>
    <row r="768">
      <c r="D768" s="58"/>
    </row>
    <row r="769">
      <c r="D769" s="58"/>
    </row>
    <row r="770">
      <c r="D770" s="58"/>
    </row>
    <row r="771">
      <c r="D771" s="58"/>
    </row>
    <row r="772">
      <c r="D772" s="58"/>
    </row>
    <row r="773">
      <c r="D773" s="58"/>
    </row>
    <row r="774">
      <c r="D774" s="58"/>
    </row>
    <row r="775">
      <c r="D775" s="58"/>
    </row>
    <row r="776">
      <c r="D776" s="58"/>
    </row>
    <row r="777">
      <c r="D777" s="58"/>
    </row>
    <row r="778">
      <c r="D778" s="58"/>
    </row>
    <row r="779">
      <c r="D779" s="58"/>
    </row>
    <row r="780">
      <c r="D780" s="58"/>
    </row>
    <row r="781">
      <c r="D781" s="58"/>
    </row>
    <row r="782">
      <c r="D782" s="58"/>
    </row>
    <row r="783">
      <c r="D783" s="58"/>
    </row>
    <row r="784">
      <c r="D784" s="58"/>
    </row>
    <row r="785">
      <c r="D785" s="58"/>
    </row>
    <row r="786">
      <c r="D786" s="58"/>
    </row>
    <row r="787">
      <c r="D787" s="58"/>
    </row>
    <row r="788">
      <c r="D788" s="58"/>
    </row>
    <row r="789">
      <c r="D789" s="58"/>
    </row>
    <row r="790">
      <c r="D790" s="58"/>
    </row>
    <row r="791">
      <c r="D791" s="58"/>
    </row>
    <row r="792">
      <c r="D792" s="58"/>
    </row>
    <row r="793">
      <c r="D793" s="58"/>
    </row>
    <row r="794">
      <c r="D794" s="58"/>
    </row>
    <row r="795">
      <c r="D795" s="58"/>
    </row>
    <row r="796">
      <c r="D796" s="58"/>
    </row>
    <row r="797">
      <c r="D797" s="58"/>
    </row>
    <row r="798">
      <c r="D798" s="58"/>
    </row>
    <row r="799">
      <c r="D799" s="58"/>
    </row>
    <row r="800">
      <c r="D800" s="58"/>
    </row>
    <row r="801">
      <c r="D801" s="58"/>
    </row>
    <row r="802">
      <c r="D802" s="58"/>
    </row>
    <row r="803">
      <c r="D803" s="58"/>
    </row>
    <row r="804">
      <c r="D804" s="58"/>
    </row>
    <row r="805">
      <c r="D805" s="58"/>
    </row>
    <row r="806">
      <c r="D806" s="58"/>
    </row>
    <row r="807">
      <c r="D807" s="58"/>
    </row>
    <row r="808">
      <c r="D808" s="58"/>
    </row>
    <row r="809">
      <c r="D809" s="58"/>
    </row>
    <row r="810">
      <c r="D810" s="58"/>
    </row>
    <row r="811">
      <c r="D811" s="58"/>
    </row>
    <row r="812">
      <c r="D812" s="58"/>
    </row>
    <row r="813">
      <c r="D813" s="58"/>
    </row>
    <row r="814">
      <c r="D814" s="58"/>
    </row>
    <row r="815">
      <c r="D815" s="58"/>
    </row>
    <row r="816">
      <c r="D816" s="58"/>
    </row>
    <row r="817">
      <c r="D817" s="58"/>
    </row>
    <row r="818">
      <c r="D818" s="58"/>
    </row>
    <row r="819">
      <c r="D819" s="58"/>
    </row>
    <row r="820">
      <c r="D820" s="58"/>
    </row>
    <row r="821">
      <c r="D821" s="58"/>
    </row>
    <row r="822">
      <c r="D822" s="58"/>
    </row>
    <row r="823">
      <c r="D823" s="58"/>
    </row>
    <row r="824">
      <c r="D824" s="58"/>
    </row>
    <row r="825">
      <c r="D825" s="58"/>
    </row>
    <row r="826">
      <c r="D826" s="58"/>
    </row>
    <row r="827">
      <c r="D827" s="58"/>
    </row>
    <row r="828">
      <c r="D828" s="58"/>
    </row>
    <row r="829">
      <c r="D829" s="58"/>
    </row>
    <row r="830">
      <c r="D830" s="58"/>
    </row>
    <row r="831">
      <c r="D831" s="58"/>
    </row>
    <row r="832">
      <c r="D832" s="58"/>
    </row>
    <row r="833">
      <c r="D833" s="58"/>
    </row>
    <row r="834">
      <c r="D834" s="58"/>
    </row>
    <row r="835">
      <c r="D835" s="58"/>
    </row>
    <row r="836">
      <c r="D836" s="58"/>
    </row>
    <row r="837">
      <c r="D837" s="58"/>
    </row>
    <row r="838">
      <c r="D838" s="58"/>
    </row>
    <row r="839">
      <c r="D839" s="58"/>
    </row>
    <row r="840">
      <c r="D840" s="58"/>
    </row>
    <row r="841">
      <c r="D841" s="58"/>
    </row>
    <row r="842">
      <c r="D842" s="58"/>
    </row>
    <row r="843">
      <c r="D843" s="58"/>
    </row>
    <row r="844">
      <c r="D844" s="58"/>
    </row>
    <row r="845">
      <c r="D845" s="58"/>
    </row>
    <row r="846">
      <c r="D846" s="58"/>
    </row>
    <row r="847">
      <c r="D847" s="58"/>
    </row>
    <row r="848">
      <c r="D848" s="58"/>
    </row>
    <row r="849">
      <c r="D849" s="58"/>
    </row>
    <row r="850">
      <c r="D850" s="58"/>
    </row>
    <row r="851">
      <c r="D851" s="58"/>
    </row>
    <row r="852">
      <c r="D852" s="58"/>
    </row>
    <row r="853">
      <c r="D853" s="58"/>
    </row>
    <row r="854">
      <c r="D854" s="58"/>
    </row>
    <row r="855">
      <c r="D855" s="58"/>
    </row>
    <row r="856">
      <c r="D856" s="58"/>
    </row>
    <row r="857">
      <c r="D857" s="58"/>
    </row>
    <row r="858">
      <c r="D858" s="58"/>
    </row>
    <row r="859">
      <c r="D859" s="58"/>
    </row>
    <row r="860">
      <c r="D860" s="58"/>
    </row>
    <row r="861">
      <c r="D861" s="58"/>
    </row>
    <row r="862">
      <c r="D862" s="58"/>
    </row>
    <row r="863">
      <c r="D863" s="58"/>
    </row>
    <row r="864">
      <c r="D864" s="58"/>
    </row>
    <row r="865">
      <c r="D865" s="58"/>
    </row>
    <row r="866">
      <c r="D866" s="58"/>
    </row>
    <row r="867">
      <c r="D867" s="58"/>
    </row>
    <row r="868">
      <c r="D868" s="58"/>
    </row>
    <row r="869">
      <c r="D869" s="58"/>
    </row>
    <row r="870">
      <c r="D870" s="58"/>
    </row>
    <row r="871">
      <c r="D871" s="58"/>
    </row>
    <row r="872">
      <c r="D872" s="58"/>
    </row>
    <row r="873">
      <c r="D873" s="58"/>
    </row>
    <row r="874">
      <c r="D874" s="58"/>
    </row>
    <row r="875">
      <c r="D875" s="58"/>
    </row>
    <row r="876">
      <c r="D876" s="58"/>
    </row>
    <row r="877">
      <c r="D877" s="58"/>
    </row>
    <row r="878">
      <c r="D878" s="58"/>
    </row>
    <row r="879">
      <c r="D879" s="58"/>
    </row>
    <row r="880">
      <c r="D880" s="58"/>
    </row>
    <row r="881">
      <c r="D881" s="58"/>
    </row>
    <row r="882">
      <c r="D882" s="58"/>
    </row>
    <row r="883">
      <c r="D883" s="58"/>
    </row>
    <row r="884">
      <c r="D884" s="58"/>
    </row>
    <row r="885">
      <c r="D885" s="58"/>
    </row>
    <row r="886">
      <c r="D886" s="58"/>
    </row>
    <row r="887">
      <c r="D887" s="58"/>
    </row>
    <row r="888">
      <c r="D888" s="58"/>
    </row>
    <row r="889">
      <c r="D889" s="58"/>
    </row>
    <row r="890">
      <c r="D890" s="58"/>
    </row>
    <row r="891">
      <c r="D891" s="58"/>
    </row>
    <row r="892">
      <c r="D892" s="58"/>
    </row>
    <row r="893">
      <c r="D893" s="58"/>
    </row>
    <row r="894">
      <c r="D894" s="58"/>
    </row>
    <row r="895">
      <c r="D895" s="58"/>
    </row>
    <row r="896">
      <c r="D896" s="58"/>
    </row>
    <row r="897">
      <c r="D897" s="58"/>
    </row>
    <row r="898">
      <c r="D898" s="58"/>
    </row>
    <row r="899">
      <c r="D899" s="58"/>
    </row>
    <row r="900">
      <c r="D900" s="58"/>
    </row>
    <row r="901">
      <c r="D901" s="58"/>
    </row>
    <row r="902">
      <c r="D902" s="58"/>
    </row>
    <row r="903">
      <c r="D903" s="58"/>
    </row>
    <row r="904">
      <c r="D904" s="58"/>
    </row>
    <row r="905">
      <c r="D905" s="58"/>
    </row>
    <row r="906">
      <c r="D906" s="58"/>
    </row>
    <row r="907">
      <c r="D907" s="58"/>
    </row>
    <row r="908">
      <c r="D908" s="58"/>
    </row>
    <row r="909">
      <c r="D909" s="58"/>
    </row>
    <row r="910">
      <c r="D910" s="58"/>
    </row>
    <row r="911">
      <c r="D911" s="58"/>
    </row>
    <row r="912">
      <c r="D912" s="58"/>
    </row>
    <row r="913">
      <c r="D913" s="58"/>
    </row>
    <row r="914">
      <c r="D914" s="58"/>
    </row>
    <row r="915">
      <c r="D915" s="58"/>
    </row>
    <row r="916">
      <c r="D916" s="58"/>
    </row>
    <row r="917">
      <c r="D917" s="58"/>
    </row>
    <row r="918">
      <c r="D918" s="58"/>
    </row>
    <row r="919">
      <c r="D919" s="58"/>
    </row>
    <row r="920">
      <c r="D920" s="58"/>
    </row>
    <row r="921">
      <c r="D921" s="58"/>
    </row>
    <row r="922">
      <c r="D922" s="58"/>
    </row>
    <row r="923">
      <c r="D923" s="58"/>
    </row>
    <row r="924">
      <c r="D924" s="58"/>
    </row>
    <row r="925">
      <c r="D925" s="58"/>
    </row>
    <row r="926">
      <c r="D926" s="58"/>
    </row>
    <row r="927">
      <c r="D927" s="58"/>
    </row>
    <row r="928">
      <c r="D928" s="58"/>
    </row>
    <row r="929">
      <c r="D929" s="58"/>
    </row>
    <row r="930">
      <c r="D930" s="58"/>
    </row>
    <row r="931">
      <c r="D931" s="58"/>
    </row>
    <row r="932">
      <c r="D932" s="58"/>
    </row>
    <row r="933">
      <c r="D933" s="58"/>
    </row>
    <row r="934">
      <c r="D934" s="58"/>
    </row>
    <row r="935">
      <c r="D935" s="58"/>
    </row>
    <row r="936">
      <c r="D936" s="58"/>
    </row>
    <row r="937">
      <c r="D937" s="58"/>
    </row>
    <row r="938">
      <c r="D938" s="58"/>
    </row>
    <row r="939">
      <c r="D939" s="58"/>
    </row>
    <row r="940">
      <c r="D940" s="58"/>
    </row>
    <row r="941">
      <c r="D941" s="58"/>
    </row>
    <row r="942">
      <c r="D942" s="58"/>
    </row>
    <row r="943">
      <c r="D943" s="58"/>
    </row>
    <row r="944">
      <c r="D944" s="58"/>
    </row>
    <row r="945">
      <c r="D945" s="58"/>
    </row>
    <row r="946">
      <c r="D946" s="58"/>
    </row>
    <row r="947">
      <c r="D947" s="58"/>
    </row>
    <row r="948">
      <c r="D948" s="58"/>
    </row>
    <row r="949">
      <c r="D949" s="58"/>
    </row>
    <row r="950">
      <c r="D950" s="58"/>
    </row>
    <row r="951">
      <c r="D951" s="58"/>
    </row>
    <row r="952">
      <c r="D952" s="58"/>
    </row>
    <row r="953">
      <c r="D953" s="58"/>
    </row>
    <row r="954">
      <c r="D954" s="58"/>
    </row>
    <row r="955">
      <c r="D955" s="58"/>
    </row>
    <row r="956">
      <c r="D956" s="58"/>
    </row>
    <row r="957">
      <c r="D957" s="58"/>
    </row>
    <row r="958">
      <c r="D958" s="58"/>
    </row>
    <row r="959">
      <c r="D959" s="58"/>
    </row>
    <row r="960">
      <c r="D960" s="58"/>
    </row>
    <row r="961">
      <c r="D961" s="58"/>
    </row>
    <row r="962">
      <c r="D962" s="58"/>
    </row>
    <row r="963">
      <c r="D963" s="58"/>
    </row>
    <row r="964">
      <c r="D964" s="58"/>
    </row>
    <row r="965">
      <c r="D965" s="58"/>
    </row>
    <row r="966">
      <c r="D966" s="58"/>
    </row>
    <row r="967">
      <c r="D967" s="58"/>
    </row>
    <row r="968">
      <c r="D968" s="58"/>
    </row>
    <row r="969">
      <c r="D969" s="58"/>
    </row>
    <row r="970">
      <c r="D970" s="58"/>
    </row>
    <row r="971">
      <c r="D971" s="58"/>
    </row>
    <row r="972">
      <c r="D972" s="58"/>
    </row>
    <row r="973">
      <c r="D973" s="58"/>
    </row>
    <row r="974">
      <c r="D974" s="58"/>
    </row>
    <row r="975">
      <c r="D975" s="58"/>
    </row>
    <row r="976">
      <c r="D976" s="58"/>
    </row>
    <row r="977">
      <c r="D977" s="58"/>
    </row>
    <row r="978">
      <c r="D978" s="58"/>
    </row>
    <row r="979">
      <c r="D979" s="58"/>
    </row>
    <row r="980">
      <c r="D980" s="58"/>
    </row>
    <row r="981">
      <c r="D981" s="58"/>
    </row>
    <row r="982">
      <c r="D982" s="58"/>
    </row>
    <row r="983">
      <c r="D983" s="58"/>
    </row>
    <row r="984">
      <c r="D984" s="58"/>
    </row>
    <row r="985">
      <c r="D985" s="58"/>
    </row>
    <row r="986">
      <c r="D986" s="58"/>
    </row>
    <row r="987">
      <c r="D987" s="58"/>
    </row>
    <row r="988">
      <c r="D988" s="58"/>
    </row>
    <row r="989">
      <c r="D989" s="58"/>
    </row>
    <row r="990">
      <c r="D990" s="58"/>
    </row>
    <row r="991">
      <c r="D991" s="58"/>
    </row>
    <row r="992">
      <c r="D992" s="58"/>
    </row>
    <row r="993">
      <c r="D993" s="58"/>
    </row>
    <row r="994">
      <c r="D994" s="58"/>
    </row>
    <row r="995">
      <c r="D995" s="58"/>
    </row>
    <row r="996">
      <c r="D996" s="58"/>
    </row>
    <row r="997">
      <c r="D997" s="58"/>
    </row>
    <row r="998">
      <c r="D998" s="58"/>
    </row>
    <row r="999">
      <c r="D999" s="58"/>
    </row>
    <row r="1000">
      <c r="D1000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65</v>
      </c>
      <c r="I1" s="60">
        <f>countifs(B:B,"&lt;&gt;",F:F,"&lt;&gt;")-1</f>
        <v>17</v>
      </c>
      <c r="K1" s="7" t="s">
        <v>66</v>
      </c>
      <c r="L1" s="7" t="s">
        <v>67</v>
      </c>
      <c r="M1" s="7" t="s">
        <v>13</v>
      </c>
    </row>
    <row r="2">
      <c r="H2" s="59" t="s">
        <v>68</v>
      </c>
      <c r="I2" s="60">
        <f t="array" ref="I2">(COUNTA(UNIQUE(C:C))-1)</f>
        <v>16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69</v>
      </c>
      <c r="I3" s="60">
        <f>sum(F:F)</f>
        <v>639600</v>
      </c>
      <c r="K3" s="61" t="str">
        <f>'Internal Summary'!B42</f>
        <v>1Ltrs Bugo Unsweetened Greek Yoghurt (6x)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>350ml Bugo Strawberry Yoghurt (12x)</v>
      </c>
      <c r="L5" s="60">
        <f t="shared" si="1"/>
        <v>3.5</v>
      </c>
      <c r="M5" s="60">
        <f t="shared" si="2"/>
        <v>84000</v>
      </c>
      <c r="N5" s="62"/>
    </row>
    <row r="6">
      <c r="K6" s="61" t="str">
        <f>'Internal Summary'!B45</f>
        <v>350ml Bugo Vanila Yoghurt (12x)</v>
      </c>
      <c r="L6" s="60">
        <f t="shared" si="1"/>
        <v>3.5</v>
      </c>
      <c r="M6" s="60">
        <f t="shared" si="2"/>
        <v>84000</v>
      </c>
    </row>
    <row r="7">
      <c r="K7" s="61" t="str">
        <f>'Internal Summary'!B46</f>
        <v>500ml Bugo Plain Yoghurt (12x)</v>
      </c>
      <c r="L7" s="60">
        <f t="shared" si="1"/>
        <v>0.25</v>
      </c>
      <c r="M7" s="60">
        <f t="shared" si="2"/>
        <v>7200</v>
      </c>
    </row>
    <row r="8">
      <c r="K8" s="61" t="str">
        <f>'Internal Summary'!B47</f>
        <v>500ml Bugo Strawberry Yoghurt (12x)</v>
      </c>
      <c r="L8" s="60">
        <f t="shared" si="1"/>
        <v>8.25</v>
      </c>
      <c r="M8" s="60">
        <f t="shared" si="2"/>
        <v>237600</v>
      </c>
    </row>
    <row r="9">
      <c r="K9" s="61" t="str">
        <f>'Internal Summary'!B48</f>
        <v>500ml Bugo Sweetened Greek Yoghurt (12x)</v>
      </c>
      <c r="L9" s="60">
        <f t="shared" si="1"/>
        <v>1</v>
      </c>
      <c r="M9" s="60">
        <f t="shared" si="2"/>
        <v>46800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6.25</v>
      </c>
      <c r="M11" s="60">
        <f t="shared" si="2"/>
        <v>180000</v>
      </c>
    </row>
    <row r="12">
      <c r="A12" s="46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12,000.00"/>
        <filter val="7,200.00"/>
        <filter val="28,800.00"/>
        <filter val="23,400.00"/>
        <filter val="24,000.00"/>
        <filter val="14,400.00"/>
        <filter val="57,600.00"/>
      </filters>
    </filterColumn>
    <filterColumn colId="3">
      <filters>
        <filter val="500ml Bugo Sweetened Greek Yoghurt (12x) Total"/>
        <filter val="500ml Bugo Sweetened Greek Yoghurt (12x)"/>
        <filter val="500ml Bugo Strawberry Yoghurt (12x) Total"/>
        <filter val="500ml Bugo Vanila Yoghurt (12x)"/>
        <filter val="500ml Bugo Plain Yoghurt (12x) Total"/>
        <filter val="500ml Bugo Plain Yoghurt (12x)"/>
        <filter val="350ml Bugo Vanila Yoghurt (12x) Total"/>
        <filter val="350ml Bugo Strawberry Yoghurt (12x)"/>
        <filter val="350ml Bugo Vanila Yoghurt (12x)"/>
        <filter val="Total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65</v>
      </c>
      <c r="I1" s="60">
        <f>countifs(B:B,"&lt;&gt;",F:F,"&lt;&gt;")-1</f>
        <v>0</v>
      </c>
      <c r="K1" s="61" t="s">
        <v>66</v>
      </c>
      <c r="L1" s="61" t="s">
        <v>67</v>
      </c>
      <c r="M1" s="61" t="s">
        <v>13</v>
      </c>
    </row>
    <row r="2">
      <c r="H2" s="59" t="s">
        <v>68</v>
      </c>
      <c r="I2" s="60">
        <f t="array" ref="I2">(COUNTA(UNIQUE(C:C))-1)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69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>350ml Bugo Vanila Yoghurt (12x)</v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>500ml Bugo Plain Yoghurt (12x)</v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>500ml Bugo Strawberry Yoghurt (12x)</v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65</v>
      </c>
      <c r="I1" s="60">
        <f>countifs(B:B,"&lt;&gt;",F:F,"&lt;&gt;")-1</f>
        <v>0</v>
      </c>
      <c r="K1" s="61" t="s">
        <v>66</v>
      </c>
      <c r="L1" s="61" t="s">
        <v>82</v>
      </c>
      <c r="M1" s="61" t="s">
        <v>13</v>
      </c>
    </row>
    <row r="2">
      <c r="H2" s="59" t="s">
        <v>68</v>
      </c>
      <c r="I2" s="60">
        <f t="array" ref="I2">(COUNTA(UNIQUE(C:C))-1)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69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>350ml Bugo Vanila Yoghurt (12x)</v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>500ml Bugo Plain Yoghurt (12x)</v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>500ml Bugo Strawberry Yoghurt (12x)</v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>500ml Bugo Vanila Yoghurt (12x)</v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65</v>
      </c>
      <c r="I1" s="60">
        <f>countifs(B:B,"&lt;&gt;",F:F,"&lt;&gt;")-1</f>
        <v>0</v>
      </c>
      <c r="K1" s="61" t="s">
        <v>66</v>
      </c>
      <c r="L1" s="61" t="s">
        <v>67</v>
      </c>
    </row>
    <row r="2">
      <c r="H2" s="59" t="s">
        <v>68</v>
      </c>
      <c r="I2" s="60">
        <f t="array" ref="I2">(COUNTA(UNIQUE(C:C,,0))-1)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</row>
    <row r="3">
      <c r="H3" s="59" t="s">
        <v>69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</row>
    <row r="6">
      <c r="K6" s="61" t="str">
        <f>'Internal Summary'!B45</f>
        <v>350ml Bugo Vanila Yoghurt (12x)</v>
      </c>
      <c r="L6" s="60">
        <f t="shared" si="1"/>
        <v>0</v>
      </c>
    </row>
    <row r="7">
      <c r="K7" s="61" t="str">
        <f>'Internal Summary'!B46</f>
        <v>500ml Bugo Plain Yoghurt (12x)</v>
      </c>
      <c r="L7" s="60">
        <f t="shared" si="1"/>
        <v>0</v>
      </c>
    </row>
    <row r="8">
      <c r="K8" s="61" t="str">
        <f>'Internal Summary'!B47</f>
        <v>500ml Bugo Strawberry Yoghurt (12x)</v>
      </c>
      <c r="L8" s="60">
        <f t="shared" si="1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</row>
    <row r="11">
      <c r="K11" s="61" t="str">
        <f>'Internal Summary'!B50</f>
        <v>500ml Bugo Vanila Yoghurt (12x)</v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65</v>
      </c>
      <c r="I1" s="60">
        <f>countifs(B:B,"&lt;&gt;",F:F,"&lt;&gt;")-1</f>
        <v>0</v>
      </c>
      <c r="K1" s="61" t="s">
        <v>66</v>
      </c>
      <c r="L1" s="61" t="s">
        <v>67</v>
      </c>
    </row>
    <row r="2">
      <c r="H2" s="59" t="s">
        <v>68</v>
      </c>
      <c r="I2" s="60">
        <f t="array" ref="I2">(COUNTA(UNIQUE(C:C,,0))-1)</f>
        <v>0</v>
      </c>
      <c r="K2" s="61" t="str">
        <f>'Internal Summary'!B41</f>
        <v>1Ltrs Bugo Sweetened Greek Yoghurt (6x)</v>
      </c>
      <c r="L2" s="60">
        <f t="shared" ref="L2:L13" si="1">sumif(D:D,K2,E:E)</f>
        <v>0</v>
      </c>
    </row>
    <row r="3">
      <c r="H3" s="59" t="s">
        <v>69</v>
      </c>
      <c r="I3" s="60">
        <f>sum(F:F)</f>
        <v>0</v>
      </c>
      <c r="K3" s="61" t="str">
        <f>'Internal Summary'!B42</f>
        <v>1Ltrs Bugo Unsweetened Greek Yoghurt (6x)</v>
      </c>
      <c r="L3" s="60">
        <f t="shared" si="1"/>
        <v>0</v>
      </c>
    </row>
    <row r="4">
      <c r="H4" s="1"/>
      <c r="K4" s="61" t="str">
        <f>'Internal Summary'!B43</f>
        <v>350ml Bugo Plain Yoghurt (12x)</v>
      </c>
      <c r="L4" s="60">
        <f t="shared" si="1"/>
        <v>0</v>
      </c>
    </row>
    <row r="5">
      <c r="H5" s="1"/>
      <c r="K5" s="61" t="str">
        <f>'Internal Summary'!B44</f>
        <v>350ml Bugo Strawberry Yoghurt (12x)</v>
      </c>
      <c r="L5" s="60">
        <f t="shared" si="1"/>
        <v>0</v>
      </c>
    </row>
    <row r="6">
      <c r="K6" s="61" t="str">
        <f>'Internal Summary'!B45</f>
        <v>350ml Bugo Vanila Yoghurt (12x)</v>
      </c>
      <c r="L6" s="60">
        <f t="shared" si="1"/>
        <v>0</v>
      </c>
    </row>
    <row r="7">
      <c r="K7" s="61" t="str">
        <f>'Internal Summary'!B46</f>
        <v>500ml Bugo Plain Yoghurt (12x)</v>
      </c>
      <c r="L7" s="60">
        <f t="shared" si="1"/>
        <v>0</v>
      </c>
    </row>
    <row r="8">
      <c r="K8" s="61" t="str">
        <f>'Internal Summary'!B47</f>
        <v>500ml Bugo Strawberry Yoghurt (12x)</v>
      </c>
      <c r="L8" s="60">
        <f t="shared" si="1"/>
        <v>0</v>
      </c>
    </row>
    <row r="9">
      <c r="K9" s="61" t="str">
        <f>'Internal Summary'!B48</f>
        <v>500ml Bugo Sweetened Greek Yoghurt (12x)</v>
      </c>
      <c r="L9" s="60">
        <f t="shared" si="1"/>
        <v>0</v>
      </c>
    </row>
    <row r="10">
      <c r="K10" s="61" t="str">
        <f>'Internal Summary'!B49</f>
        <v>500ml Bugo Unsweetened Greek Yoghurt (12x)</v>
      </c>
      <c r="L10" s="60">
        <f t="shared" si="1"/>
        <v>0</v>
      </c>
    </row>
    <row r="11">
      <c r="K11" s="61" t="str">
        <f>'Internal Summary'!B50</f>
        <v>500ml Bugo Vanila Yoghurt (12x)</v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83</v>
      </c>
      <c r="C1" s="59" t="s">
        <v>67</v>
      </c>
      <c r="D1" s="59" t="s">
        <v>84</v>
      </c>
      <c r="E1" s="59" t="s">
        <v>85</v>
      </c>
      <c r="F1" s="67"/>
    </row>
    <row r="2">
      <c r="A2" s="68" t="s">
        <v>86</v>
      </c>
      <c r="B2" s="69" t="s">
        <v>65</v>
      </c>
      <c r="C2" s="70"/>
      <c r="D2" s="70"/>
      <c r="E2" s="71">
        <f>'Dala Sales &amp; Deliveries'!I1+'External Delivery Fulfillment'!I1</f>
        <v>17</v>
      </c>
      <c r="F2" s="67"/>
    </row>
    <row r="3">
      <c r="A3" s="72"/>
      <c r="B3" s="69" t="s">
        <v>87</v>
      </c>
      <c r="C3" s="70"/>
      <c r="D3" s="70"/>
      <c r="E3" s="69">
        <f>'Raw Data'!AX2</f>
        <v>15</v>
      </c>
      <c r="F3" s="67"/>
    </row>
    <row r="4">
      <c r="B4" s="73" t="s">
        <v>88</v>
      </c>
      <c r="C4" s="67"/>
      <c r="D4" s="67"/>
      <c r="E4" s="74">
        <f>'Dala Sales &amp; Deliveries'!I3</f>
        <v>639600</v>
      </c>
      <c r="F4" s="67"/>
    </row>
    <row r="5">
      <c r="B5" s="73" t="s">
        <v>89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90</v>
      </c>
      <c r="C6" s="77"/>
      <c r="D6" s="78"/>
      <c r="E6" s="79"/>
      <c r="F6" s="67"/>
    </row>
    <row r="7">
      <c r="A7" s="80"/>
      <c r="B7" s="81" t="s">
        <v>91</v>
      </c>
      <c r="C7" s="82"/>
      <c r="D7" s="83"/>
      <c r="E7" s="84">
        <f>sum(E4:E6)</f>
        <v>639600</v>
      </c>
      <c r="F7" s="67"/>
    </row>
    <row r="8">
      <c r="A8" s="68" t="s">
        <v>92</v>
      </c>
      <c r="B8" s="69" t="s">
        <v>93</v>
      </c>
      <c r="C8" s="70"/>
      <c r="D8" s="85"/>
      <c r="E8" s="86"/>
    </row>
    <row r="9">
      <c r="A9" s="80"/>
      <c r="B9" s="81" t="s">
        <v>94</v>
      </c>
      <c r="C9" s="87">
        <v>0.1</v>
      </c>
      <c r="D9" s="83"/>
      <c r="E9" s="84">
        <f>E8*(C9+100%)-E8</f>
        <v>0</v>
      </c>
      <c r="K9" s="58"/>
      <c r="L9" s="58"/>
      <c r="M9" s="58"/>
    </row>
    <row r="10">
      <c r="A10" s="88" t="s">
        <v>95</v>
      </c>
      <c r="B10" s="81" t="s">
        <v>96</v>
      </c>
      <c r="C10" s="82"/>
      <c r="D10" s="83"/>
      <c r="E10" s="84">
        <f>E7-E8-E9</f>
        <v>639600</v>
      </c>
    </row>
    <row r="11">
      <c r="A11" s="68" t="s">
        <v>97</v>
      </c>
      <c r="B11" s="69" t="s">
        <v>98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94</v>
      </c>
      <c r="C12" s="91"/>
      <c r="D12" s="85"/>
      <c r="E12" s="90">
        <f>E10*C9</f>
        <v>63960</v>
      </c>
    </row>
    <row r="13">
      <c r="A13" s="72"/>
      <c r="B13" s="92" t="s">
        <v>99</v>
      </c>
      <c r="C13" s="93"/>
      <c r="D13" s="94"/>
      <c r="E13" s="95">
        <f>C27</f>
        <v>31980</v>
      </c>
    </row>
    <row r="14">
      <c r="A14" s="72"/>
      <c r="B14" s="92" t="s">
        <v>100</v>
      </c>
      <c r="C14" s="96"/>
      <c r="D14" s="97" t="s">
        <v>101</v>
      </c>
      <c r="E14" s="95">
        <f>C23+C29</f>
        <v>0</v>
      </c>
    </row>
    <row r="15">
      <c r="A15" s="72"/>
      <c r="B15" s="69" t="s">
        <v>102</v>
      </c>
      <c r="C15" s="85"/>
      <c r="D15" s="85"/>
      <c r="E15" s="98">
        <v>0.0</v>
      </c>
    </row>
    <row r="16">
      <c r="A16" s="72"/>
      <c r="B16" s="69" t="s">
        <v>103</v>
      </c>
      <c r="C16" s="85"/>
      <c r="D16" s="85"/>
      <c r="E16" s="90">
        <f>C31</f>
        <v>0</v>
      </c>
    </row>
    <row r="17">
      <c r="A17" s="80"/>
      <c r="B17" s="81" t="s">
        <v>104</v>
      </c>
      <c r="C17" s="83"/>
      <c r="D17" s="83"/>
      <c r="E17" s="84">
        <f>sum(E11:E16)</f>
        <v>95940</v>
      </c>
      <c r="H17" s="1"/>
      <c r="I17" s="1"/>
    </row>
    <row r="18">
      <c r="A18" s="88" t="s">
        <v>105</v>
      </c>
      <c r="B18" s="81" t="s">
        <v>106</v>
      </c>
      <c r="C18" s="83"/>
      <c r="D18" s="83"/>
      <c r="E18" s="84">
        <f>E10-E17+C37</f>
        <v>543660</v>
      </c>
      <c r="H18" s="1"/>
      <c r="I18" s="79"/>
      <c r="J18" s="99"/>
      <c r="K18" s="99"/>
      <c r="L18" s="99"/>
      <c r="M18" s="99"/>
      <c r="N18" s="99"/>
    </row>
    <row r="19">
      <c r="A19" s="78"/>
      <c r="B19" s="78"/>
      <c r="C19" s="78"/>
      <c r="D19" s="78"/>
      <c r="E19" s="78"/>
      <c r="H19" s="1"/>
      <c r="I19" s="1"/>
      <c r="J19" s="99"/>
      <c r="K19" s="99"/>
      <c r="L19" s="99"/>
      <c r="M19" s="99"/>
      <c r="N19" s="99"/>
    </row>
    <row r="20">
      <c r="A20" s="1"/>
      <c r="B20" s="78"/>
      <c r="C20" s="78"/>
      <c r="D20" s="78"/>
      <c r="E20" s="78"/>
      <c r="H20" s="1"/>
      <c r="I20" s="1"/>
      <c r="J20" s="99"/>
      <c r="K20" s="99"/>
      <c r="L20" s="99"/>
      <c r="M20" s="99"/>
      <c r="N20" s="99"/>
    </row>
    <row r="21">
      <c r="A21" s="1" t="s">
        <v>107</v>
      </c>
      <c r="B21" s="78"/>
      <c r="C21" s="78"/>
      <c r="D21" s="78"/>
      <c r="E21" s="78"/>
      <c r="H21" s="1"/>
      <c r="I21" s="1"/>
      <c r="J21" s="99"/>
      <c r="K21" s="99"/>
      <c r="L21" s="99"/>
      <c r="M21" s="99"/>
      <c r="N21" s="99"/>
    </row>
    <row r="22">
      <c r="A22" s="78"/>
      <c r="B22" s="59" t="s">
        <v>108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8"/>
      <c r="B23" s="59" t="s">
        <v>109</v>
      </c>
      <c r="C23" s="100">
        <f>'Dala Restocking'!I3*3%</f>
        <v>0</v>
      </c>
      <c r="H23" s="1"/>
      <c r="I23" s="1"/>
      <c r="J23" s="101"/>
      <c r="K23" s="101"/>
      <c r="L23" s="102"/>
      <c r="M23" s="99"/>
      <c r="N23" s="99"/>
    </row>
    <row r="24">
      <c r="A24" s="78"/>
      <c r="B24" s="59" t="s">
        <v>110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8"/>
      <c r="B25" s="59" t="s">
        <v>111</v>
      </c>
      <c r="C25" s="100">
        <f>T70</f>
        <v>0</v>
      </c>
      <c r="H25" s="1"/>
      <c r="I25" s="79"/>
      <c r="J25" s="101"/>
      <c r="K25" s="101"/>
      <c r="L25" s="102"/>
      <c r="M25" s="99"/>
      <c r="N25" s="99"/>
    </row>
    <row r="26">
      <c r="A26" s="78"/>
      <c r="B26" s="59" t="s">
        <v>112</v>
      </c>
      <c r="C26" s="100">
        <v>0.0</v>
      </c>
      <c r="H26" s="1"/>
      <c r="I26" s="1"/>
    </row>
    <row r="27">
      <c r="A27" s="78"/>
      <c r="B27" s="59" t="s">
        <v>113</v>
      </c>
      <c r="C27" s="103">
        <f>E10*5%</f>
        <v>31980</v>
      </c>
      <c r="H27" s="1"/>
      <c r="I27" s="1"/>
    </row>
    <row r="28">
      <c r="A28" s="78"/>
      <c r="B28" s="59" t="s">
        <v>114</v>
      </c>
      <c r="C28" s="60">
        <f>Q70</f>
        <v>0</v>
      </c>
      <c r="H28" s="1"/>
      <c r="I28" s="1"/>
    </row>
    <row r="29">
      <c r="A29" s="78"/>
      <c r="B29" s="59" t="s">
        <v>115</v>
      </c>
      <c r="C29" s="100">
        <f>'External Delivery Fulfillment'!I4*5%</f>
        <v>0</v>
      </c>
      <c r="H29" s="1"/>
      <c r="I29" s="1"/>
    </row>
    <row r="30">
      <c r="A30" s="78"/>
      <c r="B30" s="59" t="s">
        <v>116</v>
      </c>
      <c r="C30" s="100">
        <f>F70</f>
        <v>0</v>
      </c>
      <c r="D30" s="78"/>
      <c r="H30" s="1"/>
      <c r="I30" s="1"/>
    </row>
    <row r="31">
      <c r="A31" s="78"/>
      <c r="B31" s="59" t="s">
        <v>117</v>
      </c>
      <c r="C31" s="100">
        <f>G70</f>
        <v>0</v>
      </c>
      <c r="D31" s="78"/>
      <c r="H31" s="1"/>
      <c r="I31" s="1"/>
    </row>
    <row r="32">
      <c r="A32" s="78"/>
      <c r="B32" s="59" t="s">
        <v>118</v>
      </c>
      <c r="C32" s="100">
        <f>I70</f>
        <v>0</v>
      </c>
      <c r="D32" s="78"/>
      <c r="H32" s="1"/>
      <c r="I32" s="1"/>
    </row>
    <row r="33">
      <c r="A33" s="78"/>
      <c r="B33" s="59" t="s">
        <v>119</v>
      </c>
      <c r="C33" s="100">
        <f>J70</f>
        <v>0</v>
      </c>
      <c r="D33" s="78"/>
      <c r="H33" s="1"/>
      <c r="I33" s="1"/>
    </row>
    <row r="34">
      <c r="B34" s="59" t="s">
        <v>120</v>
      </c>
      <c r="C34" s="100">
        <v>0.0</v>
      </c>
    </row>
    <row r="35">
      <c r="B35" s="59" t="s">
        <v>121</v>
      </c>
      <c r="C35" s="60">
        <f>K70</f>
        <v>10.25</v>
      </c>
    </row>
    <row r="36">
      <c r="B36" s="59" t="s">
        <v>122</v>
      </c>
      <c r="C36" s="100">
        <v>0.0</v>
      </c>
    </row>
    <row r="37">
      <c r="B37" s="59" t="s">
        <v>123</v>
      </c>
      <c r="C37" s="100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124</v>
      </c>
      <c r="C40" s="59" t="s">
        <v>125</v>
      </c>
      <c r="D40" s="59" t="s">
        <v>126</v>
      </c>
      <c r="E40" s="59" t="s">
        <v>127</v>
      </c>
      <c r="F40" s="61" t="s">
        <v>128</v>
      </c>
      <c r="G40" s="61" t="s">
        <v>129</v>
      </c>
      <c r="H40" s="61" t="s">
        <v>130</v>
      </c>
      <c r="I40" s="61" t="s">
        <v>131</v>
      </c>
      <c r="J40" s="61" t="s">
        <v>132</v>
      </c>
      <c r="K40" s="61" t="s">
        <v>133</v>
      </c>
      <c r="L40" s="61" t="s">
        <v>120</v>
      </c>
      <c r="M40" s="61" t="s">
        <v>122</v>
      </c>
      <c r="N40" s="61" t="s">
        <v>134</v>
      </c>
      <c r="O40" s="61" t="s">
        <v>135</v>
      </c>
      <c r="P40" s="61" t="s">
        <v>136</v>
      </c>
      <c r="Q40" s="61" t="s">
        <v>137</v>
      </c>
      <c r="R40" s="61" t="s">
        <v>138</v>
      </c>
      <c r="S40" s="61" t="s">
        <v>139</v>
      </c>
      <c r="T40" s="61" t="s">
        <v>111</v>
      </c>
      <c r="U40" s="61" t="s">
        <v>140</v>
      </c>
      <c r="V40" s="61" t="s">
        <v>141</v>
      </c>
      <c r="W40" s="61" t="s">
        <v>142</v>
      </c>
    </row>
    <row r="41">
      <c r="B41" s="104" t="s">
        <v>143</v>
      </c>
      <c r="C41" s="105"/>
      <c r="D41" s="104"/>
      <c r="E41" s="104"/>
      <c r="F41" s="104"/>
      <c r="G41" s="64">
        <f t="shared" ref="G41:G69" si="1">F41*C41</f>
        <v>0</v>
      </c>
      <c r="H41" s="104"/>
      <c r="I41" s="104"/>
      <c r="J41" s="104"/>
      <c r="K41" s="104">
        <v>0.0</v>
      </c>
      <c r="L41" s="61">
        <v>0.0</v>
      </c>
      <c r="M41" s="64">
        <f t="shared" ref="M41:M69" si="2">K41-L41</f>
        <v>0</v>
      </c>
      <c r="N41" s="64">
        <f t="shared" ref="N41:N69" si="3">M41*C41</f>
        <v>0</v>
      </c>
      <c r="O41" s="60">
        <f>'Dala Sales &amp; Deliveries'!L2</f>
        <v>0</v>
      </c>
      <c r="P41" s="64">
        <f t="shared" ref="P41:P69" si="4">O41*E41</f>
        <v>0</v>
      </c>
      <c r="Q41" s="60">
        <f>'External Delivery Fulfillment'!L2</f>
        <v>0</v>
      </c>
      <c r="R41" s="64">
        <f t="shared" ref="R41:R69" si="5">Q41*E41</f>
        <v>0</v>
      </c>
      <c r="S41" s="60">
        <f>'Forwarding From Client'!L2</f>
        <v>0</v>
      </c>
      <c r="T41" s="64">
        <f t="shared" ref="T41:T69" si="6">S41*E41</f>
        <v>0</v>
      </c>
      <c r="U41" s="60">
        <f>'Dala Restocking'!L2</f>
        <v>0</v>
      </c>
      <c r="V41" s="64">
        <f t="shared" ref="V41:V69" si="7">U41*D41</f>
        <v>0</v>
      </c>
      <c r="W41" s="60">
        <f>'Client Restocking'!L2</f>
        <v>0</v>
      </c>
    </row>
    <row r="42">
      <c r="B42" s="104" t="s">
        <v>144</v>
      </c>
      <c r="C42" s="105"/>
      <c r="D42" s="104"/>
      <c r="E42" s="104"/>
      <c r="F42" s="106"/>
      <c r="G42" s="64">
        <f t="shared" si="1"/>
        <v>0</v>
      </c>
      <c r="H42" s="104"/>
      <c r="I42" s="104"/>
      <c r="J42" s="106"/>
      <c r="K42" s="104">
        <v>0.0</v>
      </c>
      <c r="L42" s="61">
        <v>0.0</v>
      </c>
      <c r="M42" s="64">
        <f t="shared" si="2"/>
        <v>0</v>
      </c>
      <c r="N42" s="64">
        <f t="shared" si="3"/>
        <v>0</v>
      </c>
      <c r="O42" s="60">
        <f>'Dala Sales &amp; Deliveries'!L3</f>
        <v>0</v>
      </c>
      <c r="P42" s="64">
        <f t="shared" si="4"/>
        <v>0</v>
      </c>
      <c r="Q42" s="60">
        <f>'External Delivery Fulfillment'!L3</f>
        <v>0</v>
      </c>
      <c r="R42" s="64">
        <f t="shared" si="5"/>
        <v>0</v>
      </c>
      <c r="S42" s="60">
        <f>'Forwarding From Client'!L3</f>
        <v>0</v>
      </c>
      <c r="T42" s="64">
        <f t="shared" si="6"/>
        <v>0</v>
      </c>
      <c r="U42" s="60">
        <f>'Dala Restocking'!L3</f>
        <v>0</v>
      </c>
      <c r="V42" s="64">
        <f t="shared" si="7"/>
        <v>0</v>
      </c>
      <c r="W42" s="60">
        <f>'Client Restocking'!L3</f>
        <v>0</v>
      </c>
    </row>
    <row r="43">
      <c r="B43" s="104" t="s">
        <v>145</v>
      </c>
      <c r="C43" s="105"/>
      <c r="D43" s="104"/>
      <c r="E43" s="105"/>
      <c r="F43" s="106"/>
      <c r="G43" s="64">
        <f t="shared" si="1"/>
        <v>0</v>
      </c>
      <c r="H43" s="104"/>
      <c r="I43" s="104"/>
      <c r="J43" s="106"/>
      <c r="K43" s="104">
        <v>0.0</v>
      </c>
      <c r="L43" s="61">
        <v>0.0</v>
      </c>
      <c r="M43" s="64">
        <f t="shared" si="2"/>
        <v>0</v>
      </c>
      <c r="N43" s="64">
        <f t="shared" si="3"/>
        <v>0</v>
      </c>
      <c r="O43" s="60">
        <f>'Dala Sales &amp; Deliveries'!L4</f>
        <v>0</v>
      </c>
      <c r="P43" s="64">
        <f t="shared" si="4"/>
        <v>0</v>
      </c>
      <c r="Q43" s="60">
        <f>'External Delivery Fulfillment'!L4</f>
        <v>0</v>
      </c>
      <c r="R43" s="64">
        <f t="shared" si="5"/>
        <v>0</v>
      </c>
      <c r="S43" s="60">
        <f>'Forwarding From Client'!L4</f>
        <v>0</v>
      </c>
      <c r="T43" s="64">
        <f t="shared" si="6"/>
        <v>0</v>
      </c>
      <c r="U43" s="60">
        <f>'Dala Restocking'!L4</f>
        <v>0</v>
      </c>
      <c r="V43" s="64">
        <f t="shared" si="7"/>
        <v>0</v>
      </c>
      <c r="W43" s="60">
        <f>'Client Restocking'!L4</f>
        <v>0</v>
      </c>
    </row>
    <row r="44">
      <c r="B44" s="104" t="s">
        <v>15</v>
      </c>
      <c r="C44" s="105"/>
      <c r="D44" s="104"/>
      <c r="E44" s="105"/>
      <c r="F44" s="106"/>
      <c r="G44" s="64">
        <f t="shared" si="1"/>
        <v>0</v>
      </c>
      <c r="H44" s="104"/>
      <c r="I44" s="104"/>
      <c r="J44" s="106"/>
      <c r="K44" s="104">
        <v>5.5</v>
      </c>
      <c r="L44" s="61">
        <v>0.0</v>
      </c>
      <c r="M44" s="64">
        <f t="shared" si="2"/>
        <v>5.5</v>
      </c>
      <c r="N44" s="64">
        <f t="shared" si="3"/>
        <v>0</v>
      </c>
      <c r="O44" s="60">
        <f>'Dala Sales &amp; Deliveries'!L5</f>
        <v>3.5</v>
      </c>
      <c r="P44" s="64">
        <f t="shared" si="4"/>
        <v>0</v>
      </c>
      <c r="Q44" s="60">
        <f>'External Delivery Fulfillment'!L5</f>
        <v>0</v>
      </c>
      <c r="R44" s="64">
        <f t="shared" si="5"/>
        <v>0</v>
      </c>
      <c r="S44" s="60">
        <f>'Forwarding From Client'!L5</f>
        <v>0</v>
      </c>
      <c r="T44" s="64">
        <f t="shared" si="6"/>
        <v>0</v>
      </c>
      <c r="U44" s="60">
        <f>'Dala Restocking'!L5</f>
        <v>0</v>
      </c>
      <c r="V44" s="64">
        <f t="shared" si="7"/>
        <v>0</v>
      </c>
      <c r="W44" s="60">
        <f>'Client Restocking'!L5</f>
        <v>0</v>
      </c>
    </row>
    <row r="45">
      <c r="B45" s="104" t="s">
        <v>34</v>
      </c>
      <c r="C45" s="105"/>
      <c r="D45" s="104"/>
      <c r="E45" s="105"/>
      <c r="F45" s="106"/>
      <c r="G45" s="64">
        <f t="shared" si="1"/>
        <v>0</v>
      </c>
      <c r="H45" s="104"/>
      <c r="I45" s="104"/>
      <c r="J45" s="106"/>
      <c r="K45" s="104">
        <v>0.5</v>
      </c>
      <c r="L45" s="61">
        <v>0.0</v>
      </c>
      <c r="M45" s="64">
        <f t="shared" si="2"/>
        <v>0.5</v>
      </c>
      <c r="N45" s="64">
        <f t="shared" si="3"/>
        <v>0</v>
      </c>
      <c r="O45" s="60">
        <f>'Dala Sales &amp; Deliveries'!L6</f>
        <v>3.5</v>
      </c>
      <c r="P45" s="64">
        <f t="shared" si="4"/>
        <v>0</v>
      </c>
      <c r="Q45" s="60">
        <f>'External Delivery Fulfillment'!L6</f>
        <v>0</v>
      </c>
      <c r="R45" s="64">
        <f t="shared" si="5"/>
        <v>0</v>
      </c>
      <c r="S45" s="60">
        <f>'Forwarding From Client'!L6</f>
        <v>0</v>
      </c>
      <c r="T45" s="64">
        <f t="shared" si="6"/>
        <v>0</v>
      </c>
      <c r="U45" s="60">
        <f>'Dala Restocking'!L6</f>
        <v>0</v>
      </c>
      <c r="V45" s="64">
        <f t="shared" si="7"/>
        <v>0</v>
      </c>
      <c r="W45" s="60">
        <f>'Client Restocking'!L6</f>
        <v>0</v>
      </c>
    </row>
    <row r="46">
      <c r="B46" s="104" t="s">
        <v>38</v>
      </c>
      <c r="C46" s="105"/>
      <c r="D46" s="104"/>
      <c r="E46" s="105"/>
      <c r="F46" s="106"/>
      <c r="G46" s="64">
        <f t="shared" si="1"/>
        <v>0</v>
      </c>
      <c r="H46" s="106"/>
      <c r="I46" s="106"/>
      <c r="J46" s="106"/>
      <c r="K46" s="104">
        <v>0.0</v>
      </c>
      <c r="L46" s="61">
        <v>0.0</v>
      </c>
      <c r="M46" s="64">
        <f t="shared" si="2"/>
        <v>0</v>
      </c>
      <c r="N46" s="64">
        <f t="shared" si="3"/>
        <v>0</v>
      </c>
      <c r="O46" s="60">
        <f>'Dala Sales &amp; Deliveries'!L7</f>
        <v>0.25</v>
      </c>
      <c r="P46" s="64">
        <f t="shared" si="4"/>
        <v>0</v>
      </c>
      <c r="Q46" s="60">
        <f>'External Delivery Fulfillment'!L7</f>
        <v>0</v>
      </c>
      <c r="R46" s="64">
        <f t="shared" si="5"/>
        <v>0</v>
      </c>
      <c r="S46" s="60">
        <f>'Forwarding From Client'!L7</f>
        <v>0</v>
      </c>
      <c r="T46" s="64">
        <f t="shared" si="6"/>
        <v>0</v>
      </c>
      <c r="U46" s="60">
        <f>'Dala Restocking'!L7</f>
        <v>0</v>
      </c>
      <c r="V46" s="64">
        <f t="shared" si="7"/>
        <v>0</v>
      </c>
      <c r="W46" s="60">
        <f>'Client Restocking'!L7</f>
        <v>0</v>
      </c>
    </row>
    <row r="47">
      <c r="B47" s="104" t="s">
        <v>41</v>
      </c>
      <c r="C47" s="105"/>
      <c r="D47" s="104"/>
      <c r="E47" s="105"/>
      <c r="F47" s="106"/>
      <c r="G47" s="64">
        <f t="shared" si="1"/>
        <v>0</v>
      </c>
      <c r="H47" s="106"/>
      <c r="I47" s="106"/>
      <c r="J47" s="106"/>
      <c r="K47" s="104">
        <v>3.25</v>
      </c>
      <c r="L47" s="61">
        <v>0.0</v>
      </c>
      <c r="M47" s="64">
        <f t="shared" si="2"/>
        <v>3.25</v>
      </c>
      <c r="N47" s="64">
        <f t="shared" si="3"/>
        <v>0</v>
      </c>
      <c r="O47" s="60">
        <f>'Dala Sales &amp; Deliveries'!L8</f>
        <v>8.25</v>
      </c>
      <c r="P47" s="64">
        <f t="shared" si="4"/>
        <v>0</v>
      </c>
      <c r="Q47" s="60">
        <f>'External Delivery Fulfillment'!L8</f>
        <v>0</v>
      </c>
      <c r="R47" s="64">
        <f t="shared" si="5"/>
        <v>0</v>
      </c>
      <c r="S47" s="60">
        <f>'Forwarding From Client'!L8</f>
        <v>0</v>
      </c>
      <c r="T47" s="64">
        <f t="shared" si="6"/>
        <v>0</v>
      </c>
      <c r="U47" s="60">
        <f>'Dala Restocking'!L8</f>
        <v>0</v>
      </c>
      <c r="V47" s="64">
        <f t="shared" si="7"/>
        <v>0</v>
      </c>
      <c r="W47" s="60">
        <f>'Client Restocking'!L8</f>
        <v>0</v>
      </c>
    </row>
    <row r="48">
      <c r="B48" s="104" t="s">
        <v>55</v>
      </c>
      <c r="C48" s="105"/>
      <c r="D48" s="104"/>
      <c r="E48" s="105"/>
      <c r="F48" s="106"/>
      <c r="G48" s="64">
        <f t="shared" si="1"/>
        <v>0</v>
      </c>
      <c r="H48" s="106"/>
      <c r="I48" s="106"/>
      <c r="J48" s="106"/>
      <c r="K48" s="104">
        <v>0.75</v>
      </c>
      <c r="L48" s="61">
        <v>0.0</v>
      </c>
      <c r="M48" s="64">
        <f t="shared" si="2"/>
        <v>0.75</v>
      </c>
      <c r="N48" s="64">
        <f t="shared" si="3"/>
        <v>0</v>
      </c>
      <c r="O48" s="60">
        <f>'Dala Sales &amp; Deliveries'!L9</f>
        <v>1</v>
      </c>
      <c r="P48" s="64">
        <f t="shared" si="4"/>
        <v>0</v>
      </c>
      <c r="Q48" s="60">
        <f>'External Delivery Fulfillment'!L9</f>
        <v>0</v>
      </c>
      <c r="R48" s="64">
        <f t="shared" si="5"/>
        <v>0</v>
      </c>
      <c r="S48" s="60">
        <f>'Forwarding From Client'!L9</f>
        <v>0</v>
      </c>
      <c r="T48" s="64">
        <f t="shared" si="6"/>
        <v>0</v>
      </c>
      <c r="U48" s="60">
        <f>'Dala Restocking'!L9</f>
        <v>0</v>
      </c>
      <c r="V48" s="64">
        <f t="shared" si="7"/>
        <v>0</v>
      </c>
      <c r="W48" s="60">
        <f>'Client Restocking'!L9</f>
        <v>0</v>
      </c>
    </row>
    <row r="49">
      <c r="B49" s="104" t="s">
        <v>146</v>
      </c>
      <c r="C49" s="105"/>
      <c r="D49" s="104"/>
      <c r="E49" s="105"/>
      <c r="F49" s="106"/>
      <c r="G49" s="64">
        <f t="shared" si="1"/>
        <v>0</v>
      </c>
      <c r="H49" s="106"/>
      <c r="I49" s="106"/>
      <c r="J49" s="106"/>
      <c r="K49" s="104">
        <v>0.0</v>
      </c>
      <c r="L49" s="61">
        <v>0.0</v>
      </c>
      <c r="M49" s="64">
        <f t="shared" si="2"/>
        <v>0</v>
      </c>
      <c r="N49" s="64">
        <f t="shared" si="3"/>
        <v>0</v>
      </c>
      <c r="O49" s="60">
        <f>'Dala Sales &amp; Deliveries'!L10</f>
        <v>0</v>
      </c>
      <c r="P49" s="64">
        <f t="shared" si="4"/>
        <v>0</v>
      </c>
      <c r="Q49" s="60">
        <f>'External Delivery Fulfillment'!L10</f>
        <v>0</v>
      </c>
      <c r="R49" s="64">
        <f t="shared" si="5"/>
        <v>0</v>
      </c>
      <c r="S49" s="60">
        <f>'Forwarding From Client'!L10</f>
        <v>0</v>
      </c>
      <c r="T49" s="64">
        <f t="shared" si="6"/>
        <v>0</v>
      </c>
      <c r="U49" s="60">
        <f>'Dala Restocking'!L10</f>
        <v>0</v>
      </c>
      <c r="V49" s="64">
        <f t="shared" si="7"/>
        <v>0</v>
      </c>
      <c r="W49" s="60">
        <f>'Client Restocking'!L10</f>
        <v>0</v>
      </c>
    </row>
    <row r="50">
      <c r="B50" s="104" t="s">
        <v>61</v>
      </c>
      <c r="C50" s="105"/>
      <c r="D50" s="104"/>
      <c r="E50" s="105"/>
      <c r="F50" s="106"/>
      <c r="G50" s="64">
        <f t="shared" si="1"/>
        <v>0</v>
      </c>
      <c r="H50" s="106"/>
      <c r="I50" s="106"/>
      <c r="J50" s="106"/>
      <c r="K50" s="104">
        <v>0.25</v>
      </c>
      <c r="L50" s="61">
        <v>0.0</v>
      </c>
      <c r="M50" s="64">
        <f t="shared" si="2"/>
        <v>0.25</v>
      </c>
      <c r="N50" s="64">
        <f t="shared" si="3"/>
        <v>0</v>
      </c>
      <c r="O50" s="60">
        <f>'Dala Sales &amp; Deliveries'!L11</f>
        <v>6.25</v>
      </c>
      <c r="P50" s="64">
        <f t="shared" si="4"/>
        <v>0</v>
      </c>
      <c r="Q50" s="60">
        <f>'External Delivery Fulfillment'!L11</f>
        <v>0</v>
      </c>
      <c r="R50" s="64">
        <f t="shared" si="5"/>
        <v>0</v>
      </c>
      <c r="S50" s="60">
        <f>'Forwarding From Client'!L11</f>
        <v>0</v>
      </c>
      <c r="T50" s="64">
        <f t="shared" si="6"/>
        <v>0</v>
      </c>
      <c r="U50" s="60">
        <f>'Dala Restocking'!L11</f>
        <v>0</v>
      </c>
      <c r="V50" s="64">
        <f t="shared" si="7"/>
        <v>0</v>
      </c>
      <c r="W50" s="60">
        <f>'Client Restocking'!L11</f>
        <v>0</v>
      </c>
    </row>
    <row r="51">
      <c r="B51" s="104"/>
      <c r="C51" s="105"/>
      <c r="D51" s="104"/>
      <c r="E51" s="105"/>
      <c r="F51" s="106"/>
      <c r="G51" s="64">
        <f t="shared" si="1"/>
        <v>0</v>
      </c>
      <c r="H51" s="106"/>
      <c r="I51" s="106"/>
      <c r="J51" s="106"/>
      <c r="K51" s="106"/>
      <c r="L51" s="103">
        <f t="shared" ref="L51:L69" si="8">H51+U51+W51-O51-Q51-I51-J51</f>
        <v>0</v>
      </c>
      <c r="M51" s="60">
        <f t="shared" si="2"/>
        <v>0</v>
      </c>
      <c r="N51" s="64">
        <f t="shared" si="3"/>
        <v>0</v>
      </c>
      <c r="O51" s="60">
        <f>'Dala Sales &amp; Deliveries'!L12</f>
        <v>0</v>
      </c>
      <c r="P51" s="64">
        <f t="shared" si="4"/>
        <v>0</v>
      </c>
      <c r="Q51" s="60">
        <f>'External Delivery Fulfillment'!L12</f>
        <v>0</v>
      </c>
      <c r="R51" s="64">
        <f t="shared" si="5"/>
        <v>0</v>
      </c>
      <c r="S51" s="60">
        <f>'Forwarding From Client'!L12</f>
        <v>0</v>
      </c>
      <c r="T51" s="64">
        <f t="shared" si="6"/>
        <v>0</v>
      </c>
      <c r="U51" s="60">
        <f>'Dala Restocking'!L12</f>
        <v>0</v>
      </c>
      <c r="V51" s="64">
        <f t="shared" si="7"/>
        <v>0</v>
      </c>
      <c r="W51" s="60">
        <f>'Client Restocking'!L12</f>
        <v>0</v>
      </c>
    </row>
    <row r="52">
      <c r="B52" s="104"/>
      <c r="C52" s="105"/>
      <c r="D52" s="104"/>
      <c r="E52" s="105"/>
      <c r="F52" s="106"/>
      <c r="G52" s="64">
        <f t="shared" si="1"/>
        <v>0</v>
      </c>
      <c r="H52" s="106"/>
      <c r="I52" s="106"/>
      <c r="J52" s="106"/>
      <c r="K52" s="106"/>
      <c r="L52" s="103">
        <f t="shared" si="8"/>
        <v>0</v>
      </c>
      <c r="M52" s="60">
        <f t="shared" si="2"/>
        <v>0</v>
      </c>
      <c r="N52" s="64">
        <f t="shared" si="3"/>
        <v>0</v>
      </c>
      <c r="O52" s="60">
        <f>'Dala Sales &amp; Deliveries'!L13</f>
        <v>0</v>
      </c>
      <c r="P52" s="64">
        <f t="shared" si="4"/>
        <v>0</v>
      </c>
      <c r="Q52" s="60">
        <f>'External Delivery Fulfillment'!L13</f>
        <v>0</v>
      </c>
      <c r="R52" s="64">
        <f t="shared" si="5"/>
        <v>0</v>
      </c>
      <c r="S52" s="60">
        <f>'Forwarding From Client'!L13</f>
        <v>0</v>
      </c>
      <c r="T52" s="64">
        <f t="shared" si="6"/>
        <v>0</v>
      </c>
      <c r="U52" s="60">
        <f>'Dala Restocking'!L13</f>
        <v>0</v>
      </c>
      <c r="V52" s="64">
        <f t="shared" si="7"/>
        <v>0</v>
      </c>
      <c r="W52" s="60">
        <f>'Client Restocking'!L13</f>
        <v>0</v>
      </c>
    </row>
    <row r="53">
      <c r="B53" s="106"/>
      <c r="C53" s="106"/>
      <c r="D53" s="106"/>
      <c r="E53" s="106"/>
      <c r="F53" s="106"/>
      <c r="G53" s="64">
        <f t="shared" si="1"/>
        <v>0</v>
      </c>
      <c r="H53" s="106"/>
      <c r="I53" s="106"/>
      <c r="J53" s="106"/>
      <c r="K53" s="106"/>
      <c r="L53" s="61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06"/>
      <c r="C54" s="106"/>
      <c r="D54" s="106"/>
      <c r="E54" s="106"/>
      <c r="F54" s="106"/>
      <c r="G54" s="64">
        <f t="shared" si="1"/>
        <v>0</v>
      </c>
      <c r="H54" s="106"/>
      <c r="I54" s="106"/>
      <c r="J54" s="106"/>
      <c r="K54" s="106"/>
      <c r="L54" s="61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06"/>
      <c r="C55" s="106"/>
      <c r="D55" s="106"/>
      <c r="E55" s="106"/>
      <c r="F55" s="106"/>
      <c r="G55" s="64">
        <f t="shared" si="1"/>
        <v>0</v>
      </c>
      <c r="H55" s="106"/>
      <c r="I55" s="106"/>
      <c r="J55" s="106"/>
      <c r="K55" s="106"/>
      <c r="L55" s="61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06"/>
      <c r="C56" s="106"/>
      <c r="D56" s="106"/>
      <c r="E56" s="106"/>
      <c r="F56" s="106"/>
      <c r="G56" s="64">
        <f t="shared" si="1"/>
        <v>0</v>
      </c>
      <c r="H56" s="106"/>
      <c r="I56" s="106"/>
      <c r="J56" s="106"/>
      <c r="K56" s="106"/>
      <c r="L56" s="61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06"/>
      <c r="C57" s="106"/>
      <c r="D57" s="106"/>
      <c r="E57" s="106"/>
      <c r="F57" s="106"/>
      <c r="G57" s="64">
        <f t="shared" si="1"/>
        <v>0</v>
      </c>
      <c r="H57" s="106"/>
      <c r="I57" s="106"/>
      <c r="J57" s="106"/>
      <c r="K57" s="106"/>
      <c r="L57" s="61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06"/>
      <c r="C58" s="106"/>
      <c r="D58" s="106"/>
      <c r="E58" s="106"/>
      <c r="F58" s="106"/>
      <c r="G58" s="64">
        <f t="shared" si="1"/>
        <v>0</v>
      </c>
      <c r="H58" s="106"/>
      <c r="I58" s="106"/>
      <c r="J58" s="106"/>
      <c r="K58" s="106"/>
      <c r="L58" s="61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06"/>
      <c r="C59" s="106"/>
      <c r="D59" s="106"/>
      <c r="E59" s="106"/>
      <c r="F59" s="106"/>
      <c r="G59" s="64">
        <f t="shared" si="1"/>
        <v>0</v>
      </c>
      <c r="H59" s="106"/>
      <c r="I59" s="106"/>
      <c r="J59" s="106"/>
      <c r="K59" s="106"/>
      <c r="L59" s="61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06"/>
      <c r="C60" s="106"/>
      <c r="D60" s="106"/>
      <c r="E60" s="106"/>
      <c r="F60" s="106"/>
      <c r="G60" s="64">
        <f t="shared" si="1"/>
        <v>0</v>
      </c>
      <c r="H60" s="106"/>
      <c r="I60" s="106"/>
      <c r="J60" s="106"/>
      <c r="K60" s="106"/>
      <c r="L60" s="61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06"/>
      <c r="C61" s="106"/>
      <c r="D61" s="106"/>
      <c r="E61" s="106"/>
      <c r="F61" s="106"/>
      <c r="G61" s="64">
        <f t="shared" si="1"/>
        <v>0</v>
      </c>
      <c r="H61" s="106"/>
      <c r="I61" s="106"/>
      <c r="J61" s="106"/>
      <c r="K61" s="106"/>
      <c r="L61" s="61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06"/>
      <c r="C62" s="106"/>
      <c r="D62" s="106"/>
      <c r="E62" s="106"/>
      <c r="F62" s="106"/>
      <c r="G62" s="64">
        <f t="shared" si="1"/>
        <v>0</v>
      </c>
      <c r="H62" s="106"/>
      <c r="I62" s="106"/>
      <c r="J62" s="106"/>
      <c r="K62" s="106"/>
      <c r="L62" s="61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06"/>
      <c r="C63" s="106"/>
      <c r="D63" s="106"/>
      <c r="E63" s="106"/>
      <c r="F63" s="106"/>
      <c r="G63" s="64">
        <f t="shared" si="1"/>
        <v>0</v>
      </c>
      <c r="H63" s="106"/>
      <c r="I63" s="106"/>
      <c r="J63" s="106"/>
      <c r="K63" s="106"/>
      <c r="L63" s="61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06"/>
      <c r="C64" s="106"/>
      <c r="D64" s="106"/>
      <c r="E64" s="106"/>
      <c r="F64" s="106"/>
      <c r="G64" s="64">
        <f t="shared" si="1"/>
        <v>0</v>
      </c>
      <c r="H64" s="106"/>
      <c r="I64" s="106"/>
      <c r="J64" s="106"/>
      <c r="K64" s="106"/>
      <c r="L64" s="61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06"/>
      <c r="C65" s="106"/>
      <c r="D65" s="106"/>
      <c r="E65" s="106"/>
      <c r="F65" s="106"/>
      <c r="G65" s="64">
        <f t="shared" si="1"/>
        <v>0</v>
      </c>
      <c r="H65" s="106"/>
      <c r="I65" s="106"/>
      <c r="J65" s="106"/>
      <c r="K65" s="106"/>
      <c r="L65" s="61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06"/>
      <c r="C66" s="106"/>
      <c r="D66" s="106"/>
      <c r="E66" s="106"/>
      <c r="F66" s="106"/>
      <c r="G66" s="64">
        <f t="shared" si="1"/>
        <v>0</v>
      </c>
      <c r="H66" s="106"/>
      <c r="I66" s="106"/>
      <c r="J66" s="106"/>
      <c r="K66" s="106"/>
      <c r="L66" s="61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06"/>
      <c r="C67" s="106"/>
      <c r="D67" s="106"/>
      <c r="E67" s="106"/>
      <c r="F67" s="106"/>
      <c r="G67" s="64">
        <f t="shared" si="1"/>
        <v>0</v>
      </c>
      <c r="H67" s="106"/>
      <c r="I67" s="106"/>
      <c r="J67" s="106"/>
      <c r="K67" s="106"/>
      <c r="L67" s="61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06"/>
      <c r="C68" s="106"/>
      <c r="D68" s="106"/>
      <c r="E68" s="106"/>
      <c r="F68" s="106"/>
      <c r="G68" s="64">
        <f t="shared" si="1"/>
        <v>0</v>
      </c>
      <c r="H68" s="106"/>
      <c r="I68" s="106"/>
      <c r="J68" s="106"/>
      <c r="K68" s="106"/>
      <c r="L68" s="61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06"/>
      <c r="C69" s="106"/>
      <c r="D69" s="106"/>
      <c r="E69" s="106"/>
      <c r="F69" s="106"/>
      <c r="G69" s="64">
        <f t="shared" si="1"/>
        <v>0</v>
      </c>
      <c r="H69" s="106"/>
      <c r="I69" s="106"/>
      <c r="J69" s="106"/>
      <c r="K69" s="106"/>
      <c r="L69" s="61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1" t="s">
        <v>147</v>
      </c>
      <c r="C70" s="61"/>
      <c r="D70" s="61"/>
      <c r="E70" s="64"/>
      <c r="F70" s="107">
        <f t="shared" ref="F70:W70" si="9">sum(F41:F69)</f>
        <v>0</v>
      </c>
      <c r="G70" s="107">
        <f t="shared" si="9"/>
        <v>0</v>
      </c>
      <c r="H70" s="107">
        <f t="shared" si="9"/>
        <v>0</v>
      </c>
      <c r="I70" s="107">
        <f t="shared" si="9"/>
        <v>0</v>
      </c>
      <c r="J70" s="107">
        <f t="shared" si="9"/>
        <v>0</v>
      </c>
      <c r="K70" s="107">
        <f t="shared" si="9"/>
        <v>10.25</v>
      </c>
      <c r="L70" s="64">
        <f t="shared" si="9"/>
        <v>0</v>
      </c>
      <c r="M70" s="64">
        <f t="shared" si="9"/>
        <v>10.25</v>
      </c>
      <c r="N70" s="64">
        <f t="shared" si="9"/>
        <v>0</v>
      </c>
      <c r="O70" s="60">
        <f t="shared" si="9"/>
        <v>22.75</v>
      </c>
      <c r="P70" s="64">
        <f t="shared" si="9"/>
        <v>0</v>
      </c>
      <c r="Q70" s="60">
        <f t="shared" si="9"/>
        <v>0</v>
      </c>
      <c r="R70" s="64">
        <f t="shared" si="9"/>
        <v>0</v>
      </c>
      <c r="S70" s="60">
        <f t="shared" si="9"/>
        <v>0</v>
      </c>
      <c r="T70" s="64">
        <f t="shared" si="9"/>
        <v>0</v>
      </c>
      <c r="U70" s="60">
        <f t="shared" si="9"/>
        <v>0</v>
      </c>
      <c r="V70" s="64">
        <f t="shared" si="9"/>
        <v>0</v>
      </c>
      <c r="W70" s="60">
        <f t="shared" si="9"/>
        <v>0</v>
      </c>
    </row>
    <row r="71">
      <c r="C71" s="7" t="s">
        <v>148</v>
      </c>
      <c r="D71" s="7" t="s">
        <v>148</v>
      </c>
      <c r="E71" s="7" t="s">
        <v>148</v>
      </c>
      <c r="F71" s="7" t="s">
        <v>148</v>
      </c>
      <c r="G71" s="7" t="s">
        <v>148</v>
      </c>
      <c r="H71" s="7" t="s">
        <v>148</v>
      </c>
      <c r="I71" s="7" t="s">
        <v>148</v>
      </c>
      <c r="J71" s="7" t="s">
        <v>148</v>
      </c>
      <c r="K71" s="7" t="s">
        <v>148</v>
      </c>
      <c r="L71" s="7" t="s">
        <v>148</v>
      </c>
      <c r="M71" s="7" t="s">
        <v>148</v>
      </c>
      <c r="N71" s="7" t="s">
        <v>148</v>
      </c>
      <c r="O71" s="7" t="s">
        <v>148</v>
      </c>
      <c r="P71" s="7" t="s">
        <v>148</v>
      </c>
      <c r="Q71" s="7" t="s">
        <v>148</v>
      </c>
      <c r="R71" s="7" t="s">
        <v>148</v>
      </c>
      <c r="S71" s="7" t="s">
        <v>148</v>
      </c>
      <c r="T71" s="7" t="s">
        <v>148</v>
      </c>
      <c r="U71" s="7" t="s">
        <v>148</v>
      </c>
      <c r="V71" s="7" t="s">
        <v>148</v>
      </c>
      <c r="W71" s="7" t="s">
        <v>148</v>
      </c>
    </row>
  </sheetData>
  <drawing r:id="rId1"/>
</worksheet>
</file>