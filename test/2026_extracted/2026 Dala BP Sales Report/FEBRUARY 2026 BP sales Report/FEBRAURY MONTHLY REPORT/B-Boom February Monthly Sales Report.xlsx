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<sst xmlns="http://schemas.openxmlformats.org/spreadsheetml/2006/main" count="292" uniqueCount="108">
  <si>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</si>
  <si>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</si>
  <si>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</si>
  <si>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</si>
  <si>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</si>
  <si>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</si>
  <si>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</si>
  <si>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</si>
  <si>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</si>
  <si>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</si>
  <si>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</si>
  <si>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</si>
  <si>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</si>
  <si>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</si>
  <si>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</si>
  <si>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</si>
  <si>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Ozzy Supermarket, mobile road</t>
  </si>
  <si>
    <t>Sales</t>
  </si>
  <si>
    <t>DT:001165</t>
  </si>
  <si>
    <t>Renees Supermarket, FREEDOM WAY</t>
  </si>
  <si>
    <t>DT:001171</t>
  </si>
  <si>
    <t>Buymore Supermarket, ABULEGBA</t>
  </si>
  <si>
    <t>DT:001193</t>
  </si>
  <si>
    <t>Renees Supermarket, LEKKI CENTRAL MOSQUE</t>
  </si>
  <si>
    <t>DT:001208</t>
  </si>
  <si>
    <t>D'Emperor Superstore</t>
  </si>
  <si>
    <t>DT:001282</t>
  </si>
  <si>
    <t>Rance Supermarket, Sangotedo</t>
  </si>
  <si>
    <t>DT:001298</t>
  </si>
  <si>
    <t>300g Ripe Plantain Chips (30x)</t>
  </si>
  <si>
    <t>Bboon Foods</t>
  </si>
  <si>
    <t>Available Inventory</t>
  </si>
  <si>
    <t>Inv:28226</t>
  </si>
  <si>
    <t>300g UnRipe Plantain Chips (30x)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</si>
  <si>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</si>
  <si>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</si>
  <si>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</si>
  <si>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</si>
  <si>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</si>
  <si>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</si>
  <si>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0.50 Total</t>
  </si>
  <si>
    <t>300g Sweet Potato Chips (24x) Total</t>
  </si>
  <si>
    <t>1.00 Total</t>
  </si>
  <si>
    <t>0.25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</si>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</sst>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d-mmm-yy"/>
    <numFmt numFmtId="166" formatCode="dd&quot;/&quot;mm&quot;/&quot;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6" numFmtId="0" xfId="0" applyAlignment="1" applyFont="1">
      <alignment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6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3" fillId="0" fontId="7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7" numFmtId="4" xfId="0" applyAlignment="1" applyBorder="1" applyFont="1" applyNumberFormat="1">
      <alignment horizontal="right" readingOrder="0" shrinkToFit="0" vertical="top" wrapText="0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7" fillId="0" fontId="2" numFmtId="4" xfId="0" applyAlignment="1" applyBorder="1" applyFont="1" applyNumberFormat="1">
      <alignment horizontal="right" readingOrder="0" shrinkToFit="0" vertical="top" wrapText="0"/>
    </xf>
    <xf borderId="1" fillId="0" fontId="2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2" fontId="6" numFmtId="0" xfId="0" applyAlignment="1" applyBorder="1" applyFont="1">
      <alignment readingOrder="0" shrinkToFit="0" vertical="top" wrapText="0"/>
    </xf>
    <xf borderId="10" fillId="2" fontId="2" numFmtId="164" xfId="0" applyAlignment="1" applyBorder="1" applyFont="1" applyNumberFormat="1">
      <alignment horizontal="right" readingOrder="0" shrinkToFit="0" vertical="top" wrapText="0"/>
    </xf>
    <xf borderId="10" fillId="2" fontId="3" numFmtId="0" xfId="0" applyAlignment="1" applyBorder="1" applyFont="1">
      <alignment readingOrder="0" vertical="top"/>
    </xf>
    <xf borderId="10" fillId="2" fontId="3" numFmtId="0" xfId="0" applyAlignment="1" applyBorder="1" applyFont="1">
      <alignment readingOrder="0" shrinkToFit="0" vertical="top" wrapText="0"/>
    </xf>
    <xf borderId="10" fillId="2" fontId="2" numFmtId="0" xfId="0" applyAlignment="1" applyBorder="1" applyFont="1">
      <alignment horizontal="right" readingOrder="0" shrinkToFit="0" vertical="top" wrapText="0"/>
    </xf>
    <xf borderId="10" fillId="2" fontId="3" numFmtId="4" xfId="0" applyAlignment="1" applyBorder="1" applyFont="1" applyNumberFormat="1">
      <alignment horizontal="right" readingOrder="0" shrinkToFit="0" vertical="top" wrapText="0"/>
    </xf>
    <xf borderId="11" fillId="0" fontId="2" numFmtId="164" xfId="0" applyAlignment="1" applyBorder="1" applyFont="1" applyNumberFormat="1">
      <alignment horizontal="right" readingOrder="0" shrinkToFit="0" vertical="top" wrapText="0"/>
    </xf>
    <xf borderId="11" fillId="0" fontId="3" numFmtId="0" xfId="0" applyAlignment="1" applyBorder="1" applyFont="1">
      <alignment readingOrder="0" shrinkToFit="0" vertical="top" wrapText="0"/>
    </xf>
    <xf borderId="11" fillId="0" fontId="2" numFmtId="0" xfId="0" applyAlignment="1" applyBorder="1" applyFont="1">
      <alignment horizontal="right" readingOrder="0" shrinkToFit="0" vertical="top" wrapText="0"/>
    </xf>
    <xf borderId="12" fillId="0" fontId="2" numFmtId="0" xfId="0" applyAlignment="1" applyBorder="1" applyFont="1">
      <alignment horizontal="right" readingOrder="0" shrinkToFit="0" vertical="top" wrapText="0"/>
    </xf>
    <xf borderId="11" fillId="0" fontId="3" numFmtId="0" xfId="0" applyAlignment="1" applyBorder="1" applyFont="1">
      <alignment horizontal="right" readingOrder="0" shrinkToFit="0" vertical="top" wrapText="0"/>
    </xf>
    <xf borderId="0" fillId="0" fontId="4" numFmtId="166" xfId="0" applyFont="1" applyNumberFormat="1"/>
    <xf borderId="0" fillId="0" fontId="4" numFmtId="0" xfId="0" applyFon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164" xfId="0" applyFont="1" applyNumberFormat="1"/>
    <xf borderId="5" fillId="0" fontId="4" numFmtId="0" xfId="0" applyBorder="1" applyFont="1"/>
    <xf borderId="0" fillId="0" fontId="9" numFmtId="0" xfId="0" applyFont="1"/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3" fillId="0" fontId="4" numFmtId="0" xfId="0" applyBorder="1" applyFont="1"/>
    <xf borderId="0" fillId="2" fontId="1" numFmtId="0" xfId="0" applyAlignment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3" fillId="3" fontId="1" numFmtId="0" xfId="0" applyAlignment="1" applyBorder="1" applyFont="1">
      <alignment readingOrder="0" shrinkToFit="0" vertical="bottom" wrapText="0"/>
    </xf>
    <xf borderId="4" fillId="4" fontId="1" numFmtId="10" xfId="0" applyAlignment="1" applyBorder="1" applyFont="1" applyNumberFormat="1">
      <alignment horizontal="right" readingOrder="0" shrinkToFit="0" vertical="bottom" wrapText="0"/>
    </xf>
    <xf borderId="6" fillId="0" fontId="10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1" numFmtId="0" xfId="0" applyAlignment="1" applyBorder="1" applyFont="1">
      <alignment vertical="bottom"/>
    </xf>
    <xf borderId="4" fillId="0" fontId="10" numFmtId="4" xfId="0" applyAlignment="1" applyBorder="1" applyFont="1" applyNumberFormat="1">
      <alignment horizontal="right" vertical="bottom"/>
    </xf>
    <xf borderId="3" fillId="0" fontId="11" numFmtId="0" xfId="0" applyAlignment="1" applyBorder="1" applyFont="1">
      <alignment vertical="bottom"/>
    </xf>
    <xf borderId="4" fillId="0" fontId="10" numFmtId="0" xfId="0" applyAlignment="1" applyBorder="1" applyFont="1">
      <alignment vertical="bottom"/>
    </xf>
    <xf borderId="4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2-24T00:00:00Z"/>
        <d v="2026-02-25T00:00:00Z"/>
        <d v="2026-02-27T00:00:00Z"/>
        <d v="2026-02-28T00:00:00Z"/>
        <m/>
      </sharedItems>
    </cacheField>
    <cacheField name="Particulars" numFmtId="0">
      <sharedItems containsBlank="1">
        <s v="Ozzy Supermarket, mobile road"/>
        <s v="Renees Supermarket, FREEDOM WAY"/>
        <s v="Buymore Supermarket, ABULEGBA"/>
        <s v="Renees Supermarket, LEKKI CENTRAL MOSQUE"/>
        <s v="D'Emperor Superstore"/>
        <s v="Rance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165"/>
        <s v="DT:001171"/>
        <s v="DT:001193"/>
        <s v="DT:001208"/>
        <s v="DT:001282"/>
        <s v="DT:001298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39069.77"/>
        <n v="78139.53"/>
        <n v="19534.88"/>
        <m/>
      </sharedItems>
    </cacheField>
    <cacheField name="Total value" numFmtId="4">
      <sharedItems containsString="0" containsBlank="1" containsNumber="1">
        <n v="39069.77"/>
        <n v="78139.53"/>
        <n v="19534.88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6-02-24T00:00:00Z"/>
        <d v="2026-02-25T00:00:00Z"/>
        <d v="2026-02-27T00:00:00Z"/>
        <d v="2026-02-28T00:00:00Z"/>
        <m/>
      </sharedItems>
    </cacheField>
    <cacheField name="Particulars" numFmtId="0">
      <sharedItems containsBlank="1">
        <s v="Ozzy Supermarket, mobile road"/>
        <s v="Renees Supermarket, FREEDOM WAY"/>
        <s v="Buymore Supermarket, ABULEGBA"/>
        <s v="Renees Supermarket, LEKKI CENTRAL MOSQUE"/>
        <s v="D'Emperor Superstore"/>
        <s v="Rance Supermarket, Sangotedo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1165"/>
        <s v="DT:001171"/>
        <s v="DT:001193"/>
        <s v="DT:001208"/>
        <s v="DT:001282"/>
        <s v="DT:001298"/>
        <m/>
      </sharedItems>
    </cacheField>
    <cacheField name="Quantity" numFmtId="4">
      <sharedItems containsString="0" containsBlank="1" containsNumber="1">
        <n v="0.5"/>
        <n v="1.0"/>
        <n v="0.25"/>
        <m/>
      </sharedItems>
    </cacheField>
    <cacheField name="Value" numFmtId="4">
      <sharedItems containsString="0" containsBlank="1" containsNumber="1">
        <n v="39069.77"/>
        <n v="78139.53"/>
        <n v="19534.8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2"/>
        <item x="4"/>
        <item x="0"/>
        <item x="5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2"/>
        <item x="0"/>
        <item x="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2"/>
        <item x="4"/>
        <item x="0"/>
        <item x="5"/>
        <item x="1"/>
        <item x="3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1"/>
        <item x="2"/>
        <item x="3"/>
        <item x="4"/>
        <item x="5"/>
      </items>
    </pivotField>
    <pivotField name="Quantity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  <pivotField name="Value" axis="axisRow" compact="0" numFmtId="4" outline="0" multipleItemSelectionAllowed="1" showAll="0" sortType="ascending">
      <items>
        <item x="3"/>
        <item x="2"/>
        <item x="0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6</v>
      </c>
    </row>
    <row r="3">
      <c r="A3" s="11" t="s">
        <v>15</v>
      </c>
      <c r="B3" s="12">
        <v>46077.0</v>
      </c>
      <c r="C3" s="13" t="s">
        <v>16</v>
      </c>
      <c r="D3" s="13" t="s">
        <v>17</v>
      </c>
      <c r="E3" s="13" t="s">
        <v>18</v>
      </c>
      <c r="F3" s="14">
        <v>0.5</v>
      </c>
      <c r="G3" s="15">
        <v>39069.77</v>
      </c>
      <c r="I3" s="16" t="str">
        <f>IFERROR(__xludf.DUMMYFUNCTION("IFERROR(
  FILTER($A$3:$G1844, LEN($A$3:$A1844), LOWER(TRIM($D$3:$D1844))=""sales""),
)"),"300g Sweet Potato Chips (24x)")</f>
        <v>300g Sweet Potato Chips (24x)</v>
      </c>
      <c r="J3" s="17">
        <f>IFERROR(__xludf.DUMMYFUNCTION("""COMPUTED_VALUE"""),46077.0)</f>
        <v>46077</v>
      </c>
      <c r="K3" s="18" t="str">
        <f>IFERROR(__xludf.DUMMYFUNCTION("""COMPUTED_VALUE"""),"Ozzy Supermarket, mobile road")</f>
        <v>Ozzy Supermarket, mobile road</v>
      </c>
      <c r="L3" s="18" t="str">
        <f>IFERROR(__xludf.DUMMYFUNCTION("""COMPUTED_VALUE"""),"Sales")</f>
        <v>Sales</v>
      </c>
      <c r="M3" s="19" t="str">
        <f>IFERROR(__xludf.DUMMYFUNCTION("""COMPUTED_VALUE"""),"DT:001165")</f>
        <v>DT:001165</v>
      </c>
      <c r="N3" s="20">
        <f>IFERROR(__xludf.DUMMYFUNCTION("""COMPUTED_VALUE"""),0.5)</f>
        <v>0.5</v>
      </c>
      <c r="O3" s="21">
        <f>IFERROR(__xludf.DUMMYFUNCTION("""COMPUTED_VALUE"""),39069.77)</f>
        <v>39069.77</v>
      </c>
      <c r="P3" s="22">
        <f t="shared" ref="P3:P83" si="1">sumif(M:M,M3,O:O)</f>
        <v>39069.77</v>
      </c>
      <c r="Q3" s="23"/>
      <c r="R3" s="24" t="str">
        <f>IFERROR(__xludf.DUMMYFUNCTION("IFERROR(
  FILTER($A$3:$G1844, LEN($A$3:$A1844), REGEXMATCH(LOWER(TRIM($D$3:$D1844)), ""\bjournal\b"")),
)
"),"")</f>
        <v/>
      </c>
      <c r="S3" s="25"/>
      <c r="T3" s="26"/>
      <c r="U3" s="26"/>
      <c r="V3" s="2"/>
      <c r="W3" s="2"/>
      <c r="X3" s="27"/>
      <c r="Z3" s="23"/>
      <c r="AA3" s="23"/>
      <c r="AB3" s="23"/>
      <c r="AC3" s="23"/>
      <c r="AD3" s="23"/>
      <c r="AE3" s="23"/>
      <c r="AF3" s="23"/>
      <c r="AG3" s="23"/>
      <c r="AH3" s="28" t="str">
        <f>IFERROR(__xludf.DUMMYFUNCTION("IFERROR(FILTER($A$3:$G1844, LEN($A$3:$A1844), LOWER(TRIM($D$3:$D1844))=""Inventory Supplied by Brands""),)"),"")</f>
        <v/>
      </c>
      <c r="AI3" s="17"/>
      <c r="AJ3" s="18"/>
      <c r="AK3" s="18"/>
      <c r="AL3" s="19"/>
      <c r="AM3" s="20"/>
      <c r="AN3" s="21"/>
      <c r="AP3" s="29" t="str">
        <f>IFERROR(__xludf.DUMMYFUNCTION("IFERROR(FILTER($A$3:$G1844, LEN($A$3:$A1844), LOWER(TRIM($D$3:$D1844))=""Inventory Pickup by Dala""),)
"),"")</f>
        <v/>
      </c>
      <c r="AQ3" s="25"/>
      <c r="AR3" s="26"/>
      <c r="AS3" s="26"/>
      <c r="AT3" s="2"/>
      <c r="AU3" s="30"/>
      <c r="AV3" s="31"/>
    </row>
    <row r="4">
      <c r="A4" s="11" t="s">
        <v>15</v>
      </c>
      <c r="B4" s="12">
        <v>46077.0</v>
      </c>
      <c r="C4" s="13" t="s">
        <v>19</v>
      </c>
      <c r="D4" s="13" t="s">
        <v>17</v>
      </c>
      <c r="E4" s="13" t="s">
        <v>20</v>
      </c>
      <c r="F4" s="14">
        <v>1.0</v>
      </c>
      <c r="G4" s="15">
        <v>78139.53</v>
      </c>
      <c r="I4" s="16" t="str">
        <f>IFERROR(__xludf.DUMMYFUNCTION("""COMPUTED_VALUE"""),"300g Sweet Potato Chips (24x)")</f>
        <v>300g Sweet Potato Chips (24x)</v>
      </c>
      <c r="J4" s="17">
        <f>IFERROR(__xludf.DUMMYFUNCTION("""COMPUTED_VALUE"""),46077.0)</f>
        <v>46077</v>
      </c>
      <c r="K4" s="18" t="str">
        <f>IFERROR(__xludf.DUMMYFUNCTION("""COMPUTED_VALUE"""),"Renees Supermarket, FREEDOM WAY")</f>
        <v>Renees Supermarket, FREEDOM WAY</v>
      </c>
      <c r="L4" s="18" t="str">
        <f>IFERROR(__xludf.DUMMYFUNCTION("""COMPUTED_VALUE"""),"Sales")</f>
        <v>Sales</v>
      </c>
      <c r="M4" s="19" t="str">
        <f>IFERROR(__xludf.DUMMYFUNCTION("""COMPUTED_VALUE"""),"DT:001171")</f>
        <v>DT:001171</v>
      </c>
      <c r="N4" s="20">
        <f>IFERROR(__xludf.DUMMYFUNCTION("""COMPUTED_VALUE"""),1.0)</f>
        <v>1</v>
      </c>
      <c r="O4" s="21">
        <f>IFERROR(__xludf.DUMMYFUNCTION("""COMPUTED_VALUE"""),78139.53)</f>
        <v>78139.53</v>
      </c>
      <c r="P4" s="22">
        <f t="shared" si="1"/>
        <v>78139.53</v>
      </c>
      <c r="Q4" s="23"/>
      <c r="R4" s="24"/>
      <c r="S4" s="25"/>
      <c r="T4" s="32"/>
      <c r="U4" s="26"/>
      <c r="V4" s="2"/>
      <c r="W4" s="30"/>
      <c r="X4" s="27"/>
      <c r="Z4" s="23"/>
      <c r="AA4" s="23"/>
      <c r="AB4" s="23"/>
      <c r="AC4" s="23"/>
      <c r="AD4" s="23"/>
      <c r="AE4" s="23"/>
      <c r="AF4" s="23"/>
      <c r="AG4" s="23"/>
      <c r="AH4" s="24"/>
      <c r="AI4" s="25"/>
      <c r="AJ4" s="26"/>
      <c r="AK4" s="26"/>
      <c r="AL4" s="2"/>
      <c r="AM4" s="33"/>
      <c r="AN4" s="31"/>
      <c r="AP4" s="24"/>
      <c r="AQ4" s="25"/>
      <c r="AR4" s="26"/>
      <c r="AS4" s="26"/>
      <c r="AT4" s="2"/>
      <c r="AU4" s="30"/>
      <c r="AV4" s="31"/>
    </row>
    <row r="5">
      <c r="A5" s="11" t="s">
        <v>15</v>
      </c>
      <c r="B5" s="12">
        <v>46078.0</v>
      </c>
      <c r="C5" s="13" t="s">
        <v>21</v>
      </c>
      <c r="D5" s="13" t="s">
        <v>17</v>
      </c>
      <c r="E5" s="13" t="s">
        <v>22</v>
      </c>
      <c r="F5" s="14">
        <v>0.25</v>
      </c>
      <c r="G5" s="15">
        <v>19534.88</v>
      </c>
      <c r="I5" s="16" t="str">
        <f>IFERROR(__xludf.DUMMYFUNCTION("""COMPUTED_VALUE"""),"300g Sweet Potato Chips (24x)")</f>
        <v>300g Sweet Potato Chips (24x)</v>
      </c>
      <c r="J5" s="17">
        <f>IFERROR(__xludf.DUMMYFUNCTION("""COMPUTED_VALUE"""),46078.0)</f>
        <v>46078</v>
      </c>
      <c r="K5" s="18" t="str">
        <f>IFERROR(__xludf.DUMMYFUNCTION("""COMPUTED_VALUE"""),"Buymore Supermarket, ABULEGBA")</f>
        <v>Buymore Supermarket, ABULEGBA</v>
      </c>
      <c r="L5" s="18" t="str">
        <f>IFERROR(__xludf.DUMMYFUNCTION("""COMPUTED_VALUE"""),"Sales")</f>
        <v>Sales</v>
      </c>
      <c r="M5" s="19" t="str">
        <f>IFERROR(__xludf.DUMMYFUNCTION("""COMPUTED_VALUE"""),"DT:001193")</f>
        <v>DT:001193</v>
      </c>
      <c r="N5" s="20">
        <f>IFERROR(__xludf.DUMMYFUNCTION("""COMPUTED_VALUE"""),0.25)</f>
        <v>0.25</v>
      </c>
      <c r="O5" s="21">
        <f>IFERROR(__xludf.DUMMYFUNCTION("""COMPUTED_VALUE"""),19534.88)</f>
        <v>19534.88</v>
      </c>
      <c r="P5" s="22">
        <f t="shared" si="1"/>
        <v>19534.88</v>
      </c>
      <c r="Q5" s="23"/>
      <c r="R5" s="24"/>
      <c r="S5" s="25"/>
      <c r="T5" s="26"/>
      <c r="U5" s="26"/>
      <c r="V5" s="2"/>
      <c r="W5" s="30"/>
      <c r="X5" s="27"/>
      <c r="Z5" s="23"/>
      <c r="AA5" s="23"/>
      <c r="AB5" s="23"/>
      <c r="AC5" s="23"/>
      <c r="AD5" s="23"/>
      <c r="AE5" s="23"/>
      <c r="AF5" s="23"/>
      <c r="AG5" s="23"/>
      <c r="AH5" s="24"/>
      <c r="AI5" s="25"/>
      <c r="AJ5" s="26"/>
      <c r="AK5" s="26"/>
      <c r="AL5" s="2"/>
      <c r="AM5" s="33"/>
      <c r="AN5" s="31"/>
      <c r="AP5" s="24"/>
      <c r="AQ5" s="25"/>
      <c r="AR5" s="26"/>
      <c r="AS5" s="26"/>
      <c r="AT5" s="2"/>
      <c r="AU5" s="30"/>
      <c r="AV5" s="31"/>
    </row>
    <row r="6">
      <c r="A6" s="11" t="s">
        <v>15</v>
      </c>
      <c r="B6" s="12">
        <v>46078.0</v>
      </c>
      <c r="C6" s="13" t="s">
        <v>23</v>
      </c>
      <c r="D6" s="13" t="s">
        <v>17</v>
      </c>
      <c r="E6" s="13" t="s">
        <v>24</v>
      </c>
      <c r="F6" s="14">
        <v>1.0</v>
      </c>
      <c r="G6" s="15">
        <v>78139.53</v>
      </c>
      <c r="I6" s="16" t="str">
        <f>IFERROR(__xludf.DUMMYFUNCTION("""COMPUTED_VALUE"""),"300g Sweet Potato Chips (24x)")</f>
        <v>300g Sweet Potato Chips (24x)</v>
      </c>
      <c r="J6" s="17">
        <f>IFERROR(__xludf.DUMMYFUNCTION("""COMPUTED_VALUE"""),46078.0)</f>
        <v>46078</v>
      </c>
      <c r="K6" s="18" t="str">
        <f>IFERROR(__xludf.DUMMYFUNCTION("""COMPUTED_VALUE"""),"Renees Supermarket, LEKKI CENTRAL MOSQUE")</f>
        <v>Renees Supermarket, LEKKI CENTRAL MOSQUE</v>
      </c>
      <c r="L6" s="18" t="str">
        <f>IFERROR(__xludf.DUMMYFUNCTION("""COMPUTED_VALUE"""),"Sales")</f>
        <v>Sales</v>
      </c>
      <c r="M6" s="19" t="str">
        <f>IFERROR(__xludf.DUMMYFUNCTION("""COMPUTED_VALUE"""),"DT:001208")</f>
        <v>DT:001208</v>
      </c>
      <c r="N6" s="20">
        <f>IFERROR(__xludf.DUMMYFUNCTION("""COMPUTED_VALUE"""),1.0)</f>
        <v>1</v>
      </c>
      <c r="O6" s="21">
        <f>IFERROR(__xludf.DUMMYFUNCTION("""COMPUTED_VALUE"""),78139.53)</f>
        <v>78139.53</v>
      </c>
      <c r="P6" s="22">
        <f t="shared" si="1"/>
        <v>78139.53</v>
      </c>
      <c r="Q6" s="23"/>
      <c r="R6" s="24"/>
      <c r="S6" s="25"/>
      <c r="T6" s="26"/>
      <c r="U6" s="26"/>
      <c r="V6" s="2"/>
      <c r="W6" s="2"/>
      <c r="X6" s="27"/>
      <c r="Z6" s="23"/>
      <c r="AA6" s="23"/>
      <c r="AB6" s="23"/>
      <c r="AC6" s="23"/>
      <c r="AD6" s="23"/>
      <c r="AE6" s="23"/>
      <c r="AF6" s="23"/>
      <c r="AG6" s="23"/>
      <c r="AH6" s="24"/>
      <c r="AI6" s="25"/>
      <c r="AJ6" s="26"/>
      <c r="AK6" s="26"/>
      <c r="AL6" s="2"/>
      <c r="AM6" s="30"/>
      <c r="AN6" s="31"/>
      <c r="AP6" s="24"/>
      <c r="AQ6" s="25"/>
      <c r="AR6" s="26"/>
      <c r="AS6" s="26"/>
      <c r="AT6" s="2"/>
      <c r="AU6" s="30"/>
      <c r="AV6" s="31"/>
    </row>
    <row r="7">
      <c r="A7" s="11" t="s">
        <v>15</v>
      </c>
      <c r="B7" s="12">
        <v>46080.0</v>
      </c>
      <c r="C7" s="13" t="s">
        <v>25</v>
      </c>
      <c r="D7" s="13" t="s">
        <v>17</v>
      </c>
      <c r="E7" s="13" t="s">
        <v>26</v>
      </c>
      <c r="F7" s="14">
        <v>0.25</v>
      </c>
      <c r="G7" s="15">
        <v>19534.88</v>
      </c>
      <c r="I7" s="16" t="str">
        <f>IFERROR(__xludf.DUMMYFUNCTION("""COMPUTED_VALUE"""),"300g Sweet Potato Chips (24x)")</f>
        <v>300g Sweet Potato Chips (24x)</v>
      </c>
      <c r="J7" s="17">
        <f>IFERROR(__xludf.DUMMYFUNCTION("""COMPUTED_VALUE"""),46080.0)</f>
        <v>46080</v>
      </c>
      <c r="K7" s="18" t="str">
        <f>IFERROR(__xludf.DUMMYFUNCTION("""COMPUTED_VALUE"""),"D'Emperor Superstore")</f>
        <v>D'Emperor Superstore</v>
      </c>
      <c r="L7" s="18" t="str">
        <f>IFERROR(__xludf.DUMMYFUNCTION("""COMPUTED_VALUE"""),"Sales")</f>
        <v>Sales</v>
      </c>
      <c r="M7" s="19" t="str">
        <f>IFERROR(__xludf.DUMMYFUNCTION("""COMPUTED_VALUE"""),"DT:001282")</f>
        <v>DT:001282</v>
      </c>
      <c r="N7" s="20">
        <f>IFERROR(__xludf.DUMMYFUNCTION("""COMPUTED_VALUE"""),0.25)</f>
        <v>0.25</v>
      </c>
      <c r="O7" s="21">
        <f>IFERROR(__xludf.DUMMYFUNCTION("""COMPUTED_VALUE"""),19534.88)</f>
        <v>19534.88</v>
      </c>
      <c r="P7" s="22">
        <f t="shared" si="1"/>
        <v>19534.88</v>
      </c>
      <c r="Q7" s="23"/>
      <c r="R7" s="24"/>
      <c r="S7" s="25"/>
      <c r="T7" s="32"/>
      <c r="U7" s="26"/>
      <c r="V7" s="2"/>
      <c r="W7" s="30"/>
      <c r="X7" s="27"/>
      <c r="Z7" s="23"/>
      <c r="AA7" s="23"/>
      <c r="AB7" s="23"/>
      <c r="AC7" s="23"/>
      <c r="AD7" s="23"/>
      <c r="AE7" s="23"/>
      <c r="AF7" s="23"/>
      <c r="AG7" s="23"/>
      <c r="AH7" s="24"/>
      <c r="AI7" s="25"/>
      <c r="AJ7" s="26"/>
      <c r="AK7" s="26"/>
      <c r="AL7" s="2"/>
      <c r="AM7" s="2"/>
      <c r="AN7" s="27"/>
      <c r="AQ7" s="34"/>
      <c r="AV7" s="35"/>
    </row>
    <row r="8">
      <c r="A8" s="11" t="s">
        <v>15</v>
      </c>
      <c r="B8" s="12">
        <v>46081.0</v>
      </c>
      <c r="C8" s="13" t="s">
        <v>27</v>
      </c>
      <c r="D8" s="13" t="s">
        <v>17</v>
      </c>
      <c r="E8" s="13" t="s">
        <v>28</v>
      </c>
      <c r="F8" s="14">
        <v>0.25</v>
      </c>
      <c r="G8" s="15">
        <v>19534.88</v>
      </c>
      <c r="I8" s="16" t="str">
        <f>IFERROR(__xludf.DUMMYFUNCTION("""COMPUTED_VALUE"""),"300g Sweet Potato Chips (24x)")</f>
        <v>300g Sweet Potato Chips (24x)</v>
      </c>
      <c r="J8" s="17">
        <f>IFERROR(__xludf.DUMMYFUNCTION("""COMPUTED_VALUE"""),46081.0)</f>
        <v>46081</v>
      </c>
      <c r="K8" s="18" t="str">
        <f>IFERROR(__xludf.DUMMYFUNCTION("""COMPUTED_VALUE"""),"Rance Supermarket, Sangotedo")</f>
        <v>Rance Supermarket, Sangotedo</v>
      </c>
      <c r="L8" s="18" t="str">
        <f>IFERROR(__xludf.DUMMYFUNCTION("""COMPUTED_VALUE"""),"Sales")</f>
        <v>Sales</v>
      </c>
      <c r="M8" s="19" t="str">
        <f>IFERROR(__xludf.DUMMYFUNCTION("""COMPUTED_VALUE"""),"DT:001298")</f>
        <v>DT:001298</v>
      </c>
      <c r="N8" s="20">
        <f>IFERROR(__xludf.DUMMYFUNCTION("""COMPUTED_VALUE"""),0.25)</f>
        <v>0.25</v>
      </c>
      <c r="O8" s="21">
        <f>IFERROR(__xludf.DUMMYFUNCTION("""COMPUTED_VALUE"""),19534.88)</f>
        <v>19534.88</v>
      </c>
      <c r="P8" s="22">
        <f t="shared" si="1"/>
        <v>19534.88</v>
      </c>
      <c r="Q8" s="23"/>
      <c r="R8" s="24"/>
      <c r="S8" s="25"/>
      <c r="T8" s="26"/>
      <c r="U8" s="26"/>
      <c r="V8" s="2"/>
      <c r="W8" s="30"/>
      <c r="X8" s="27"/>
      <c r="Z8" s="23"/>
      <c r="AA8" s="23"/>
      <c r="AB8" s="23"/>
      <c r="AC8" s="23"/>
      <c r="AD8" s="23"/>
      <c r="AE8" s="23"/>
      <c r="AF8" s="23"/>
      <c r="AG8" s="23"/>
      <c r="AH8" s="24"/>
      <c r="AI8" s="25"/>
      <c r="AJ8" s="26"/>
      <c r="AK8" s="26"/>
      <c r="AL8" s="2"/>
      <c r="AM8" s="30"/>
      <c r="AN8" s="27"/>
      <c r="AQ8" s="34"/>
      <c r="AV8" s="35"/>
    </row>
    <row r="9">
      <c r="A9" s="36" t="s">
        <v>29</v>
      </c>
      <c r="B9" s="12">
        <v>46081.0</v>
      </c>
      <c r="C9" s="13" t="s">
        <v>30</v>
      </c>
      <c r="D9" s="13" t="s">
        <v>31</v>
      </c>
      <c r="E9" s="37" t="s">
        <v>32</v>
      </c>
      <c r="F9" s="38">
        <v>4.93</v>
      </c>
      <c r="G9" s="38">
        <v>593667.48</v>
      </c>
      <c r="I9" s="16"/>
      <c r="J9" s="17"/>
      <c r="K9" s="18"/>
      <c r="L9" s="18"/>
      <c r="M9" s="19"/>
      <c r="N9" s="20"/>
      <c r="O9" s="21"/>
      <c r="P9" s="22">
        <f t="shared" si="1"/>
        <v>0</v>
      </c>
      <c r="Q9" s="23"/>
      <c r="R9" s="24"/>
      <c r="S9" s="25"/>
      <c r="T9" s="26"/>
      <c r="U9" s="26"/>
      <c r="V9" s="2"/>
      <c r="W9" s="2"/>
      <c r="X9" s="27"/>
      <c r="AQ9" s="34"/>
      <c r="AV9" s="35"/>
    </row>
    <row r="10">
      <c r="A10" s="36" t="s">
        <v>15</v>
      </c>
      <c r="B10" s="39">
        <v>46081.0</v>
      </c>
      <c r="C10" s="13" t="s">
        <v>30</v>
      </c>
      <c r="D10" s="13" t="s">
        <v>31</v>
      </c>
      <c r="E10" s="37" t="s">
        <v>32</v>
      </c>
      <c r="F10" s="38">
        <v>19.25</v>
      </c>
      <c r="G10" s="38">
        <v>1518678.21</v>
      </c>
      <c r="I10" s="16"/>
      <c r="J10" s="17"/>
      <c r="K10" s="18"/>
      <c r="L10" s="18"/>
      <c r="M10" s="19"/>
      <c r="N10" s="20"/>
      <c r="O10" s="21"/>
      <c r="P10" s="22">
        <f t="shared" si="1"/>
        <v>0</v>
      </c>
      <c r="Q10" s="23"/>
      <c r="R10" s="24"/>
      <c r="S10" s="25"/>
      <c r="T10" s="26"/>
      <c r="U10" s="26"/>
      <c r="V10" s="2"/>
      <c r="W10" s="30"/>
      <c r="X10" s="27"/>
      <c r="AQ10" s="34"/>
      <c r="AV10" s="35"/>
    </row>
    <row r="11">
      <c r="A11" s="36" t="s">
        <v>33</v>
      </c>
      <c r="B11" s="39">
        <v>46081.0</v>
      </c>
      <c r="C11" s="13" t="s">
        <v>30</v>
      </c>
      <c r="D11" s="13" t="s">
        <v>31</v>
      </c>
      <c r="E11" s="37" t="s">
        <v>32</v>
      </c>
      <c r="F11" s="38">
        <v>3.77</v>
      </c>
      <c r="G11" s="38">
        <v>435277.76</v>
      </c>
      <c r="I11" s="16"/>
      <c r="J11" s="17"/>
      <c r="K11" s="18"/>
      <c r="L11" s="18"/>
      <c r="M11" s="19"/>
      <c r="N11" s="20"/>
      <c r="O11" s="21"/>
      <c r="P11" s="22">
        <f t="shared" si="1"/>
        <v>0</v>
      </c>
      <c r="Q11" s="23"/>
      <c r="R11" s="24"/>
      <c r="S11" s="25"/>
      <c r="T11" s="26"/>
      <c r="U11" s="26"/>
      <c r="V11" s="2"/>
      <c r="W11" s="2"/>
      <c r="X11" s="27"/>
      <c r="AQ11" s="34"/>
      <c r="AV11" s="35"/>
    </row>
    <row r="12">
      <c r="A12" s="40"/>
      <c r="B12" s="7"/>
      <c r="C12" s="9"/>
      <c r="D12" s="9"/>
      <c r="E12" s="7"/>
      <c r="F12" s="41"/>
      <c r="G12" s="42"/>
      <c r="I12" s="16"/>
      <c r="J12" s="17"/>
      <c r="K12" s="18"/>
      <c r="L12" s="18"/>
      <c r="M12" s="19"/>
      <c r="N12" s="20"/>
      <c r="O12" s="21"/>
      <c r="P12" s="22">
        <f t="shared" si="1"/>
        <v>0</v>
      </c>
      <c r="Q12" s="23"/>
      <c r="R12" s="24"/>
      <c r="S12" s="25"/>
      <c r="T12" s="26"/>
      <c r="U12" s="26"/>
      <c r="V12" s="2"/>
      <c r="W12" s="30"/>
      <c r="X12" s="27"/>
      <c r="AQ12" s="34"/>
      <c r="AV12" s="35"/>
    </row>
    <row r="13">
      <c r="A13" s="40"/>
      <c r="B13" s="7"/>
      <c r="C13" s="9"/>
      <c r="D13" s="9"/>
      <c r="E13" s="7"/>
      <c r="F13" s="41"/>
      <c r="G13" s="42"/>
      <c r="I13" s="16"/>
      <c r="J13" s="17"/>
      <c r="K13" s="18"/>
      <c r="L13" s="18"/>
      <c r="M13" s="19"/>
      <c r="N13" s="20"/>
      <c r="O13" s="21"/>
      <c r="P13" s="22">
        <f t="shared" si="1"/>
        <v>0</v>
      </c>
      <c r="Q13" s="23"/>
      <c r="R13" s="24"/>
      <c r="S13" s="25"/>
      <c r="T13" s="32"/>
      <c r="U13" s="26"/>
      <c r="V13" s="2"/>
      <c r="W13" s="2"/>
      <c r="X13" s="27"/>
      <c r="AQ13" s="34"/>
      <c r="AV13" s="35"/>
    </row>
    <row r="14">
      <c r="A14" s="40"/>
      <c r="B14" s="7"/>
      <c r="C14" s="9"/>
      <c r="D14" s="9"/>
      <c r="E14" s="7"/>
      <c r="F14" s="41"/>
      <c r="G14" s="42"/>
      <c r="I14" s="16"/>
      <c r="J14" s="17"/>
      <c r="K14" s="18"/>
      <c r="L14" s="18"/>
      <c r="M14" s="19"/>
      <c r="N14" s="19"/>
      <c r="O14" s="21"/>
      <c r="P14" s="22">
        <f t="shared" si="1"/>
        <v>0</v>
      </c>
      <c r="Q14" s="23"/>
      <c r="R14" s="24"/>
      <c r="S14" s="25"/>
      <c r="T14" s="32"/>
      <c r="U14" s="26"/>
      <c r="V14" s="2"/>
      <c r="W14" s="30"/>
      <c r="X14" s="27"/>
      <c r="AQ14" s="34"/>
      <c r="AV14" s="35"/>
    </row>
    <row r="15">
      <c r="A15" s="40"/>
      <c r="B15" s="7"/>
      <c r="C15" s="9"/>
      <c r="D15" s="9"/>
      <c r="E15" s="7"/>
      <c r="F15" s="43"/>
      <c r="G15" s="42"/>
      <c r="I15" s="16"/>
      <c r="J15" s="17"/>
      <c r="K15" s="18"/>
      <c r="L15" s="18"/>
      <c r="M15" s="19"/>
      <c r="N15" s="19"/>
      <c r="O15" s="21"/>
      <c r="P15" s="22">
        <f t="shared" si="1"/>
        <v>0</v>
      </c>
      <c r="Q15" s="23"/>
      <c r="R15" s="24"/>
      <c r="S15" s="25"/>
      <c r="T15" s="26"/>
      <c r="U15" s="26"/>
      <c r="V15" s="2"/>
      <c r="W15" s="30"/>
      <c r="X15" s="27"/>
      <c r="AQ15" s="34"/>
      <c r="AV15" s="35"/>
    </row>
    <row r="16">
      <c r="A16" s="40"/>
      <c r="B16" s="7"/>
      <c r="C16" s="9"/>
      <c r="D16" s="9"/>
      <c r="E16" s="7"/>
      <c r="F16" s="43"/>
      <c r="G16" s="42"/>
      <c r="I16" s="16"/>
      <c r="J16" s="17"/>
      <c r="K16" s="18"/>
      <c r="L16" s="18"/>
      <c r="M16" s="19"/>
      <c r="N16" s="19"/>
      <c r="O16" s="21"/>
      <c r="P16" s="22">
        <f t="shared" si="1"/>
        <v>0</v>
      </c>
      <c r="Q16" s="23"/>
      <c r="R16" s="24"/>
      <c r="S16" s="25"/>
      <c r="T16" s="26"/>
      <c r="U16" s="26"/>
      <c r="V16" s="2"/>
      <c r="W16" s="30"/>
      <c r="X16" s="27"/>
      <c r="AQ16" s="34"/>
      <c r="AV16" s="35"/>
    </row>
    <row r="17">
      <c r="A17" s="40"/>
      <c r="B17" s="7"/>
      <c r="C17" s="9"/>
      <c r="D17" s="9"/>
      <c r="E17" s="7"/>
      <c r="F17" s="43"/>
      <c r="G17" s="42"/>
      <c r="I17" s="16"/>
      <c r="J17" s="17"/>
      <c r="K17" s="18"/>
      <c r="L17" s="18"/>
      <c r="M17" s="19"/>
      <c r="N17" s="19"/>
      <c r="O17" s="21"/>
      <c r="P17" s="22">
        <f t="shared" si="1"/>
        <v>0</v>
      </c>
      <c r="Q17" s="23"/>
      <c r="R17" s="24"/>
      <c r="S17" s="25"/>
      <c r="T17" s="26"/>
      <c r="U17" s="26"/>
      <c r="V17" s="2"/>
      <c r="W17" s="30"/>
      <c r="X17" s="27"/>
      <c r="AQ17" s="34"/>
      <c r="AV17" s="35"/>
    </row>
    <row r="18">
      <c r="A18" s="40"/>
      <c r="B18" s="7"/>
      <c r="C18" s="9"/>
      <c r="D18" s="9"/>
      <c r="E18" s="7"/>
      <c r="F18" s="43"/>
      <c r="G18" s="42"/>
      <c r="I18" s="23"/>
      <c r="J18" s="44"/>
      <c r="K18" s="45"/>
      <c r="L18" s="45"/>
      <c r="M18" s="46"/>
      <c r="N18" s="47"/>
      <c r="O18" s="48"/>
      <c r="P18" s="22">
        <f t="shared" si="1"/>
        <v>0</v>
      </c>
      <c r="Q18" s="23"/>
      <c r="R18" s="24"/>
      <c r="S18" s="25"/>
      <c r="T18" s="26"/>
      <c r="U18" s="26"/>
      <c r="V18" s="2"/>
      <c r="W18" s="30"/>
      <c r="X18" s="27"/>
      <c r="AQ18" s="34"/>
      <c r="AV18" s="35"/>
    </row>
    <row r="19">
      <c r="A19" s="49"/>
      <c r="B19" s="50"/>
      <c r="C19" s="51"/>
      <c r="D19" s="51"/>
      <c r="E19" s="7"/>
      <c r="F19" s="43"/>
      <c r="G19" s="52"/>
      <c r="I19" s="53"/>
      <c r="J19" s="54"/>
      <c r="K19" s="55"/>
      <c r="L19" s="56"/>
      <c r="M19" s="57"/>
      <c r="N19" s="57"/>
      <c r="O19" s="58"/>
      <c r="P19" s="22">
        <f t="shared" si="1"/>
        <v>0</v>
      </c>
      <c r="Q19" s="23"/>
      <c r="R19" s="24"/>
      <c r="S19" s="25"/>
      <c r="T19" s="26"/>
      <c r="U19" s="26"/>
      <c r="V19" s="2"/>
      <c r="W19" s="30"/>
      <c r="X19" s="27"/>
      <c r="AQ19" s="34"/>
      <c r="AV19" s="35"/>
    </row>
    <row r="20">
      <c r="A20" s="53"/>
      <c r="B20" s="54"/>
      <c r="C20" s="55"/>
      <c r="D20" s="56"/>
      <c r="E20" s="57"/>
      <c r="F20" s="57"/>
      <c r="G20" s="58"/>
      <c r="I20" s="53"/>
      <c r="J20" s="54"/>
      <c r="K20" s="55"/>
      <c r="L20" s="56"/>
      <c r="M20" s="57"/>
      <c r="N20" s="57"/>
      <c r="O20" s="58"/>
      <c r="P20" s="22">
        <f t="shared" si="1"/>
        <v>0</v>
      </c>
      <c r="Q20" s="23"/>
      <c r="R20" s="24"/>
      <c r="S20" s="25"/>
      <c r="T20" s="26"/>
      <c r="U20" s="26"/>
      <c r="V20" s="2"/>
      <c r="W20" s="30"/>
      <c r="X20" s="27"/>
      <c r="AQ20" s="34"/>
      <c r="AV20" s="35"/>
    </row>
    <row r="21">
      <c r="A21" s="53"/>
      <c r="B21" s="54"/>
      <c r="C21" s="55"/>
      <c r="D21" s="56"/>
      <c r="E21" s="57"/>
      <c r="F21" s="57"/>
      <c r="G21" s="58"/>
      <c r="I21" s="24"/>
      <c r="J21" s="25"/>
      <c r="K21" s="32"/>
      <c r="L21" s="26"/>
      <c r="M21" s="2"/>
      <c r="N21" s="30"/>
      <c r="O21" s="31"/>
      <c r="P21" s="22">
        <f t="shared" si="1"/>
        <v>0</v>
      </c>
      <c r="Q21" s="23"/>
      <c r="R21" s="24"/>
      <c r="S21" s="25"/>
      <c r="T21" s="26"/>
      <c r="U21" s="26"/>
      <c r="V21" s="2"/>
      <c r="W21" s="30"/>
      <c r="X21" s="27"/>
      <c r="AQ21" s="34"/>
      <c r="AV21" s="35"/>
    </row>
    <row r="22">
      <c r="A22" s="24"/>
      <c r="B22" s="25"/>
      <c r="C22" s="32"/>
      <c r="D22" s="26"/>
      <c r="E22" s="2"/>
      <c r="F22" s="30"/>
      <c r="G22" s="31"/>
      <c r="I22" s="24"/>
      <c r="J22" s="25"/>
      <c r="K22" s="32"/>
      <c r="L22" s="26"/>
      <c r="M22" s="2"/>
      <c r="N22" s="30"/>
      <c r="O22" s="31"/>
      <c r="P22" s="22">
        <f t="shared" si="1"/>
        <v>0</v>
      </c>
      <c r="Q22" s="23"/>
      <c r="R22" s="24"/>
      <c r="S22" s="25"/>
      <c r="T22" s="32"/>
      <c r="U22" s="26"/>
      <c r="V22" s="2"/>
      <c r="W22" s="30"/>
      <c r="X22" s="27"/>
      <c r="AQ22" s="34"/>
      <c r="AV22" s="35"/>
    </row>
    <row r="23">
      <c r="A23" s="24"/>
      <c r="B23" s="25"/>
      <c r="C23" s="26"/>
      <c r="D23" s="26"/>
      <c r="E23" s="2"/>
      <c r="F23" s="30"/>
      <c r="G23" s="31"/>
      <c r="I23" s="24"/>
      <c r="J23" s="25"/>
      <c r="K23" s="32"/>
      <c r="L23" s="26"/>
      <c r="M23" s="2"/>
      <c r="N23" s="30"/>
      <c r="O23" s="31"/>
      <c r="P23" s="22">
        <f t="shared" si="1"/>
        <v>0</v>
      </c>
      <c r="Q23" s="23"/>
      <c r="R23" s="24"/>
      <c r="S23" s="25"/>
      <c r="T23" s="32"/>
      <c r="U23" s="26"/>
      <c r="V23" s="2"/>
      <c r="W23" s="30"/>
      <c r="X23" s="27"/>
      <c r="AQ23" s="34"/>
      <c r="AV23" s="35"/>
    </row>
    <row r="24">
      <c r="A24" s="24"/>
      <c r="B24" s="25"/>
      <c r="C24" s="32"/>
      <c r="D24" s="26"/>
      <c r="E24" s="2"/>
      <c r="F24" s="30"/>
      <c r="G24" s="31"/>
      <c r="I24" s="24"/>
      <c r="J24" s="25"/>
      <c r="K24" s="26"/>
      <c r="L24" s="26"/>
      <c r="M24" s="2"/>
      <c r="N24" s="30"/>
      <c r="O24" s="31"/>
      <c r="P24" s="22">
        <f t="shared" si="1"/>
        <v>0</v>
      </c>
      <c r="Q24" s="23"/>
      <c r="R24" s="24"/>
      <c r="S24" s="25"/>
      <c r="T24" s="32"/>
      <c r="U24" s="26"/>
      <c r="V24" s="2"/>
      <c r="W24" s="2"/>
      <c r="X24" s="27"/>
      <c r="AQ24" s="34"/>
      <c r="AV24" s="35"/>
    </row>
    <row r="25">
      <c r="A25" s="24"/>
      <c r="B25" s="25"/>
      <c r="C25" s="32"/>
      <c r="D25" s="26"/>
      <c r="E25" s="2"/>
      <c r="F25" s="30"/>
      <c r="G25" s="31"/>
      <c r="I25" s="24"/>
      <c r="J25" s="25"/>
      <c r="K25" s="26"/>
      <c r="L25" s="26"/>
      <c r="M25" s="2"/>
      <c r="N25" s="30"/>
      <c r="O25" s="31"/>
      <c r="P25" s="22">
        <f t="shared" si="1"/>
        <v>0</v>
      </c>
      <c r="Q25" s="23"/>
      <c r="R25" s="24"/>
      <c r="S25" s="25"/>
      <c r="T25" s="26"/>
      <c r="U25" s="26"/>
      <c r="V25" s="2"/>
      <c r="W25" s="30"/>
      <c r="X25" s="27"/>
      <c r="AQ25" s="34"/>
      <c r="AV25" s="35"/>
    </row>
    <row r="26">
      <c r="A26" s="24"/>
      <c r="B26" s="25"/>
      <c r="C26" s="32"/>
      <c r="D26" s="26"/>
      <c r="E26" s="2"/>
      <c r="F26" s="30"/>
      <c r="G26" s="31"/>
      <c r="I26" s="24"/>
      <c r="J26" s="25"/>
      <c r="K26" s="26"/>
      <c r="L26" s="26"/>
      <c r="M26" s="2"/>
      <c r="N26" s="30"/>
      <c r="O26" s="31"/>
      <c r="P26" s="22">
        <f t="shared" si="1"/>
        <v>0</v>
      </c>
      <c r="Q26" s="23"/>
      <c r="R26" s="24"/>
      <c r="S26" s="25"/>
      <c r="T26" s="26"/>
      <c r="U26" s="26"/>
      <c r="V26" s="2"/>
      <c r="W26" s="2"/>
      <c r="X26" s="27"/>
      <c r="AQ26" s="34"/>
      <c r="AV26" s="35"/>
    </row>
    <row r="27">
      <c r="A27" s="24"/>
      <c r="B27" s="25"/>
      <c r="C27" s="26"/>
      <c r="D27" s="26"/>
      <c r="E27" s="2"/>
      <c r="F27" s="30"/>
      <c r="G27" s="31"/>
      <c r="I27" s="24"/>
      <c r="J27" s="25"/>
      <c r="K27" s="26"/>
      <c r="L27" s="26"/>
      <c r="M27" s="2"/>
      <c r="N27" s="30"/>
      <c r="O27" s="31"/>
      <c r="P27" s="22">
        <f t="shared" si="1"/>
        <v>0</v>
      </c>
      <c r="Q27" s="23"/>
      <c r="R27" s="24"/>
      <c r="S27" s="25"/>
      <c r="T27" s="26"/>
      <c r="U27" s="26"/>
      <c r="V27" s="2"/>
      <c r="W27" s="30"/>
      <c r="X27" s="27"/>
      <c r="AQ27" s="34"/>
      <c r="AV27" s="35"/>
    </row>
    <row r="28">
      <c r="A28" s="24"/>
      <c r="B28" s="25"/>
      <c r="C28" s="26"/>
      <c r="D28" s="26"/>
      <c r="E28" s="2"/>
      <c r="F28" s="30"/>
      <c r="G28" s="31"/>
      <c r="I28" s="24"/>
      <c r="J28" s="25"/>
      <c r="K28" s="26"/>
      <c r="L28" s="26"/>
      <c r="M28" s="2"/>
      <c r="N28" s="30"/>
      <c r="O28" s="31"/>
      <c r="P28" s="22">
        <f t="shared" si="1"/>
        <v>0</v>
      </c>
      <c r="Q28" s="23"/>
      <c r="R28" s="24"/>
      <c r="S28" s="25"/>
      <c r="T28" s="26"/>
      <c r="U28" s="26"/>
      <c r="V28" s="2"/>
      <c r="W28" s="2"/>
      <c r="X28" s="27"/>
      <c r="AQ28" s="34"/>
      <c r="AV28" s="35"/>
    </row>
    <row r="29">
      <c r="A29" s="24"/>
      <c r="B29" s="25"/>
      <c r="C29" s="26"/>
      <c r="D29" s="26"/>
      <c r="E29" s="2"/>
      <c r="F29" s="30"/>
      <c r="G29" s="31"/>
      <c r="I29" s="24"/>
      <c r="J29" s="25"/>
      <c r="K29" s="26"/>
      <c r="L29" s="26"/>
      <c r="M29" s="2"/>
      <c r="N29" s="30"/>
      <c r="O29" s="31"/>
      <c r="P29" s="22">
        <f t="shared" si="1"/>
        <v>0</v>
      </c>
      <c r="Q29" s="23"/>
      <c r="R29" s="24"/>
      <c r="S29" s="25"/>
      <c r="T29" s="26"/>
      <c r="U29" s="26"/>
      <c r="V29" s="2"/>
      <c r="W29" s="30"/>
      <c r="X29" s="27"/>
      <c r="AQ29" s="34"/>
      <c r="AV29" s="35"/>
    </row>
    <row r="30">
      <c r="A30" s="24"/>
      <c r="B30" s="25"/>
      <c r="C30" s="26"/>
      <c r="D30" s="26"/>
      <c r="E30" s="2"/>
      <c r="F30" s="30"/>
      <c r="G30" s="31"/>
      <c r="I30" s="24"/>
      <c r="J30" s="25"/>
      <c r="K30" s="32"/>
      <c r="L30" s="26"/>
      <c r="M30" s="2"/>
      <c r="N30" s="30"/>
      <c r="O30" s="31"/>
      <c r="P30" s="22">
        <f t="shared" si="1"/>
        <v>0</v>
      </c>
      <c r="Q30" s="23"/>
      <c r="R30" s="24"/>
      <c r="S30" s="25"/>
      <c r="T30" s="26"/>
      <c r="U30" s="26"/>
      <c r="V30" s="2"/>
      <c r="W30" s="2"/>
      <c r="X30" s="27"/>
      <c r="AQ30" s="34"/>
      <c r="AV30" s="35"/>
    </row>
    <row r="31">
      <c r="A31" s="24"/>
      <c r="B31" s="25"/>
      <c r="C31" s="26"/>
      <c r="D31" s="26"/>
      <c r="E31" s="2"/>
      <c r="F31" s="30"/>
      <c r="G31" s="31"/>
      <c r="I31" s="24"/>
      <c r="J31" s="25"/>
      <c r="K31" s="32"/>
      <c r="L31" s="26"/>
      <c r="M31" s="2"/>
      <c r="N31" s="30"/>
      <c r="O31" s="31"/>
      <c r="P31" s="22">
        <f t="shared" si="1"/>
        <v>0</v>
      </c>
      <c r="Q31" s="23"/>
      <c r="R31" s="24"/>
      <c r="S31" s="25"/>
      <c r="T31" s="26"/>
      <c r="U31" s="26"/>
      <c r="V31" s="2"/>
      <c r="W31" s="30"/>
      <c r="X31" s="27"/>
      <c r="AQ31" s="34"/>
      <c r="AV31" s="35"/>
    </row>
    <row r="32">
      <c r="A32" s="24"/>
      <c r="B32" s="25"/>
      <c r="C32" s="26"/>
      <c r="D32" s="26"/>
      <c r="E32" s="2"/>
      <c r="F32" s="30"/>
      <c r="G32" s="31"/>
      <c r="I32" s="24"/>
      <c r="J32" s="25"/>
      <c r="K32" s="32"/>
      <c r="L32" s="26"/>
      <c r="M32" s="2"/>
      <c r="N32" s="30"/>
      <c r="O32" s="31"/>
      <c r="P32" s="22">
        <f t="shared" si="1"/>
        <v>0</v>
      </c>
      <c r="Q32" s="23"/>
      <c r="R32" s="24"/>
      <c r="S32" s="25"/>
      <c r="T32" s="26"/>
      <c r="U32" s="26"/>
      <c r="V32" s="2"/>
      <c r="W32" s="2"/>
      <c r="X32" s="27"/>
      <c r="AQ32" s="34"/>
      <c r="AV32" s="35"/>
    </row>
    <row r="33">
      <c r="A33" s="24"/>
      <c r="B33" s="25"/>
      <c r="C33" s="32"/>
      <c r="D33" s="26"/>
      <c r="E33" s="2"/>
      <c r="F33" s="30"/>
      <c r="G33" s="31"/>
      <c r="I33" s="24"/>
      <c r="J33" s="25"/>
      <c r="K33" s="26"/>
      <c r="L33" s="26"/>
      <c r="M33" s="2"/>
      <c r="N33" s="30"/>
      <c r="O33" s="31"/>
      <c r="P33" s="22">
        <f t="shared" si="1"/>
        <v>0</v>
      </c>
      <c r="Q33" s="23"/>
      <c r="R33" s="24"/>
      <c r="S33" s="25"/>
      <c r="T33" s="32"/>
      <c r="U33" s="26"/>
      <c r="V33" s="2"/>
      <c r="W33" s="30"/>
      <c r="X33" s="27"/>
      <c r="AQ33" s="34"/>
      <c r="AV33" s="35"/>
    </row>
    <row r="34">
      <c r="A34" s="24"/>
      <c r="B34" s="25"/>
      <c r="C34" s="32"/>
      <c r="D34" s="26"/>
      <c r="E34" s="2"/>
      <c r="F34" s="30"/>
      <c r="G34" s="31"/>
      <c r="I34" s="24"/>
      <c r="J34" s="25"/>
      <c r="K34" s="26"/>
      <c r="L34" s="26"/>
      <c r="M34" s="2"/>
      <c r="N34" s="30"/>
      <c r="O34" s="31"/>
      <c r="P34" s="22">
        <f t="shared" si="1"/>
        <v>0</v>
      </c>
      <c r="Q34" s="23"/>
      <c r="R34" s="24"/>
      <c r="S34" s="25"/>
      <c r="T34" s="32"/>
      <c r="U34" s="26"/>
      <c r="V34" s="2"/>
      <c r="W34" s="2"/>
      <c r="X34" s="27"/>
      <c r="AQ34" s="34"/>
      <c r="AV34" s="35"/>
    </row>
    <row r="35">
      <c r="A35" s="24"/>
      <c r="B35" s="25"/>
      <c r="C35" s="32"/>
      <c r="D35" s="26"/>
      <c r="E35" s="2"/>
      <c r="F35" s="30"/>
      <c r="G35" s="31"/>
      <c r="I35" s="24"/>
      <c r="J35" s="25"/>
      <c r="K35" s="26"/>
      <c r="L35" s="26"/>
      <c r="M35" s="2"/>
      <c r="N35" s="43"/>
      <c r="O35" s="52"/>
      <c r="P35" s="22">
        <f t="shared" si="1"/>
        <v>0</v>
      </c>
      <c r="Q35" s="23"/>
      <c r="R35" s="24"/>
      <c r="S35" s="25"/>
      <c r="T35" s="26"/>
      <c r="U35" s="26"/>
      <c r="V35" s="2"/>
      <c r="W35" s="30"/>
      <c r="X35" s="27"/>
      <c r="AQ35" s="34"/>
      <c r="AV35" s="35"/>
    </row>
    <row r="36">
      <c r="A36" s="24"/>
      <c r="B36" s="25"/>
      <c r="C36" s="26"/>
      <c r="D36" s="26"/>
      <c r="E36" s="2"/>
      <c r="F36" s="30"/>
      <c r="G36" s="31"/>
      <c r="I36" s="24"/>
      <c r="J36" s="25"/>
      <c r="K36" s="26"/>
      <c r="L36" s="26"/>
      <c r="M36" s="2"/>
      <c r="N36" s="30"/>
      <c r="O36" s="31"/>
      <c r="P36" s="22">
        <f t="shared" si="1"/>
        <v>0</v>
      </c>
      <c r="Q36" s="23"/>
      <c r="R36" s="24"/>
      <c r="S36" s="25"/>
      <c r="T36" s="26"/>
      <c r="U36" s="26"/>
      <c r="V36" s="2"/>
      <c r="W36" s="30"/>
      <c r="X36" s="27"/>
      <c r="AQ36" s="34"/>
      <c r="AV36" s="35"/>
    </row>
    <row r="37">
      <c r="A37" s="24"/>
      <c r="B37" s="25"/>
      <c r="C37" s="26"/>
      <c r="D37" s="26"/>
      <c r="E37" s="2"/>
      <c r="F37" s="30"/>
      <c r="G37" s="31"/>
      <c r="I37" s="24"/>
      <c r="J37" s="25"/>
      <c r="K37" s="32"/>
      <c r="L37" s="26"/>
      <c r="M37" s="2"/>
      <c r="N37" s="30"/>
      <c r="O37" s="31"/>
      <c r="P37" s="22">
        <f t="shared" si="1"/>
        <v>0</v>
      </c>
      <c r="Q37" s="23"/>
      <c r="R37" s="24"/>
      <c r="S37" s="25"/>
      <c r="T37" s="32"/>
      <c r="U37" s="26"/>
      <c r="V37" s="2"/>
      <c r="W37" s="30"/>
      <c r="X37" s="27"/>
      <c r="AQ37" s="34"/>
      <c r="AV37" s="35"/>
    </row>
    <row r="38">
      <c r="A38" s="24"/>
      <c r="B38" s="25"/>
      <c r="C38" s="26"/>
      <c r="D38" s="26"/>
      <c r="E38" s="2"/>
      <c r="F38" s="43"/>
      <c r="G38" s="52"/>
      <c r="I38" s="24"/>
      <c r="J38" s="25"/>
      <c r="K38" s="32"/>
      <c r="L38" s="26"/>
      <c r="M38" s="2"/>
      <c r="N38" s="43"/>
      <c r="O38" s="52"/>
      <c r="P38" s="22">
        <f t="shared" si="1"/>
        <v>0</v>
      </c>
      <c r="Q38" s="23"/>
      <c r="R38" s="24"/>
      <c r="S38" s="25"/>
      <c r="T38" s="26"/>
      <c r="U38" s="26"/>
      <c r="V38" s="2"/>
      <c r="W38" s="30"/>
      <c r="X38" s="27"/>
      <c r="AQ38" s="34"/>
      <c r="AV38" s="35"/>
    </row>
    <row r="39">
      <c r="A39" s="24"/>
      <c r="B39" s="25"/>
      <c r="C39" s="26"/>
      <c r="D39" s="26"/>
      <c r="E39" s="2"/>
      <c r="F39" s="30"/>
      <c r="G39" s="31"/>
      <c r="I39" s="24"/>
      <c r="J39" s="25"/>
      <c r="K39" s="32"/>
      <c r="L39" s="26"/>
      <c r="M39" s="2"/>
      <c r="N39" s="30"/>
      <c r="O39" s="31"/>
      <c r="P39" s="22">
        <f t="shared" si="1"/>
        <v>0</v>
      </c>
      <c r="Q39" s="23"/>
      <c r="R39" s="24"/>
      <c r="S39" s="25"/>
      <c r="T39" s="26"/>
      <c r="U39" s="26"/>
      <c r="V39" s="2"/>
      <c r="W39" s="30"/>
      <c r="X39" s="27"/>
      <c r="AQ39" s="34"/>
      <c r="AV39" s="35"/>
    </row>
    <row r="40">
      <c r="A40" s="24"/>
      <c r="B40" s="25"/>
      <c r="C40" s="32"/>
      <c r="D40" s="26"/>
      <c r="E40" s="2"/>
      <c r="F40" s="30"/>
      <c r="G40" s="31"/>
      <c r="I40" s="24"/>
      <c r="J40" s="25"/>
      <c r="K40" s="32"/>
      <c r="L40" s="26"/>
      <c r="M40" s="2"/>
      <c r="N40" s="30"/>
      <c r="O40" s="31"/>
      <c r="P40" s="22">
        <f t="shared" si="1"/>
        <v>0</v>
      </c>
      <c r="Q40" s="23"/>
      <c r="R40" s="24"/>
      <c r="S40" s="25"/>
      <c r="T40" s="26"/>
      <c r="U40" s="26"/>
      <c r="V40" s="2"/>
      <c r="W40" s="30"/>
      <c r="X40" s="27"/>
      <c r="AQ40" s="34"/>
      <c r="AV40" s="35"/>
    </row>
    <row r="41">
      <c r="A41" s="24"/>
      <c r="B41" s="25"/>
      <c r="C41" s="32"/>
      <c r="D41" s="26"/>
      <c r="E41" s="2"/>
      <c r="F41" s="43"/>
      <c r="G41" s="52"/>
      <c r="J41" s="34"/>
      <c r="O41" s="35"/>
      <c r="P41" s="22">
        <f t="shared" si="1"/>
        <v>0</v>
      </c>
      <c r="Q41" s="23"/>
      <c r="R41" s="24"/>
      <c r="S41" s="25"/>
      <c r="T41" s="32"/>
      <c r="U41" s="26"/>
      <c r="V41" s="2"/>
      <c r="W41" s="30"/>
      <c r="X41" s="27"/>
      <c r="AQ41" s="34"/>
      <c r="AV41" s="35"/>
    </row>
    <row r="42">
      <c r="A42" s="24"/>
      <c r="B42" s="25"/>
      <c r="C42" s="32"/>
      <c r="D42" s="26"/>
      <c r="E42" s="2"/>
      <c r="F42" s="30"/>
      <c r="G42" s="31"/>
      <c r="J42" s="34"/>
      <c r="O42" s="35"/>
      <c r="P42" s="22">
        <f t="shared" si="1"/>
        <v>0</v>
      </c>
      <c r="Q42" s="23"/>
      <c r="R42" s="24"/>
      <c r="S42" s="25"/>
      <c r="T42" s="26"/>
      <c r="U42" s="26"/>
      <c r="V42" s="2"/>
      <c r="W42" s="30"/>
      <c r="X42" s="27"/>
      <c r="AQ42" s="34"/>
      <c r="AV42" s="35"/>
    </row>
    <row r="43">
      <c r="A43" s="24"/>
      <c r="B43" s="25"/>
      <c r="C43" s="32"/>
      <c r="D43" s="26"/>
      <c r="E43" s="2"/>
      <c r="F43" s="30"/>
      <c r="G43" s="31"/>
      <c r="J43" s="34"/>
      <c r="O43" s="35"/>
      <c r="P43" s="22">
        <f t="shared" si="1"/>
        <v>0</v>
      </c>
      <c r="Q43" s="23"/>
      <c r="R43" s="23"/>
      <c r="S43" s="59"/>
      <c r="T43" s="60"/>
      <c r="U43" s="60"/>
      <c r="V43" s="61"/>
      <c r="W43" s="62"/>
      <c r="X43" s="63"/>
      <c r="AQ43" s="34"/>
      <c r="AV43" s="35"/>
    </row>
    <row r="44">
      <c r="B44" s="34"/>
      <c r="G44" s="35"/>
      <c r="J44" s="34"/>
      <c r="O44" s="35"/>
      <c r="P44" s="22">
        <f t="shared" si="1"/>
        <v>0</v>
      </c>
      <c r="Q44" s="23"/>
      <c r="R44" s="24"/>
      <c r="S44" s="25"/>
      <c r="T44" s="26"/>
      <c r="U44" s="26"/>
      <c r="V44" s="2"/>
      <c r="W44" s="2"/>
      <c r="X44" s="27"/>
      <c r="AQ44" s="34"/>
      <c r="AV44" s="35"/>
    </row>
    <row r="45">
      <c r="B45" s="34"/>
      <c r="G45" s="35"/>
      <c r="J45" s="34"/>
      <c r="O45" s="35"/>
      <c r="P45" s="22">
        <f t="shared" si="1"/>
        <v>0</v>
      </c>
      <c r="AQ45" s="34"/>
      <c r="AV45" s="35"/>
    </row>
    <row r="46">
      <c r="B46" s="34"/>
      <c r="G46" s="35"/>
      <c r="J46" s="34"/>
      <c r="O46" s="35"/>
      <c r="P46" s="22">
        <f t="shared" si="1"/>
        <v>0</v>
      </c>
      <c r="AQ46" s="34"/>
      <c r="AV46" s="35"/>
    </row>
    <row r="47">
      <c r="B47" s="34"/>
      <c r="G47" s="35"/>
      <c r="J47" s="34"/>
      <c r="O47" s="35"/>
      <c r="P47" s="22">
        <f t="shared" si="1"/>
        <v>0</v>
      </c>
      <c r="AQ47" s="34"/>
      <c r="AV47" s="35"/>
    </row>
    <row r="48">
      <c r="B48" s="34"/>
      <c r="G48" s="35"/>
      <c r="J48" s="34"/>
      <c r="O48" s="35"/>
      <c r="P48" s="22">
        <f t="shared" si="1"/>
        <v>0</v>
      </c>
      <c r="AQ48" s="34"/>
      <c r="AV48" s="35"/>
    </row>
    <row r="49">
      <c r="B49" s="34"/>
      <c r="G49" s="35"/>
      <c r="J49" s="34"/>
      <c r="O49" s="35"/>
      <c r="P49" s="22">
        <f t="shared" si="1"/>
        <v>0</v>
      </c>
      <c r="AQ49" s="34"/>
      <c r="AV49" s="35"/>
    </row>
    <row r="50">
      <c r="B50" s="34"/>
      <c r="G50" s="35"/>
      <c r="J50" s="34"/>
      <c r="O50" s="35"/>
      <c r="P50" s="22">
        <f t="shared" si="1"/>
        <v>0</v>
      </c>
      <c r="AQ50" s="34"/>
      <c r="AV50" s="35"/>
    </row>
    <row r="51">
      <c r="B51" s="34"/>
      <c r="G51" s="35"/>
      <c r="J51" s="34"/>
      <c r="O51" s="35"/>
      <c r="P51" s="22">
        <f t="shared" si="1"/>
        <v>0</v>
      </c>
      <c r="AQ51" s="34"/>
      <c r="AV51" s="35"/>
    </row>
    <row r="52">
      <c r="B52" s="34"/>
      <c r="G52" s="35"/>
      <c r="J52" s="34"/>
      <c r="O52" s="35"/>
      <c r="P52" s="22">
        <f t="shared" si="1"/>
        <v>0</v>
      </c>
      <c r="AQ52" s="34"/>
      <c r="AV52" s="35"/>
    </row>
    <row r="53">
      <c r="B53" s="34"/>
      <c r="G53" s="35"/>
      <c r="J53" s="34"/>
      <c r="O53" s="35"/>
      <c r="P53" s="22">
        <f t="shared" si="1"/>
        <v>0</v>
      </c>
      <c r="AQ53" s="34"/>
      <c r="AV53" s="35"/>
    </row>
    <row r="54">
      <c r="B54" s="34"/>
      <c r="G54" s="35"/>
      <c r="J54" s="34"/>
      <c r="O54" s="35"/>
      <c r="P54" s="22">
        <f t="shared" si="1"/>
        <v>0</v>
      </c>
      <c r="AQ54" s="34"/>
    </row>
    <row r="55">
      <c r="B55" s="34"/>
      <c r="G55" s="35"/>
      <c r="J55" s="34"/>
      <c r="O55" s="35"/>
      <c r="P55" s="22">
        <f t="shared" si="1"/>
        <v>0</v>
      </c>
      <c r="AQ55" s="34"/>
    </row>
    <row r="56">
      <c r="B56" s="34"/>
      <c r="G56" s="35"/>
      <c r="J56" s="34"/>
      <c r="O56" s="35"/>
      <c r="P56" s="22">
        <f t="shared" si="1"/>
        <v>0</v>
      </c>
      <c r="AQ56" s="34"/>
    </row>
    <row r="57">
      <c r="B57" s="34"/>
      <c r="G57" s="35"/>
      <c r="J57" s="34"/>
      <c r="O57" s="35"/>
      <c r="P57" s="22">
        <f t="shared" si="1"/>
        <v>0</v>
      </c>
      <c r="AQ57" s="34"/>
    </row>
    <row r="58">
      <c r="B58" s="34"/>
      <c r="G58" s="35"/>
      <c r="J58" s="34"/>
      <c r="O58" s="35"/>
      <c r="P58" s="22">
        <f t="shared" si="1"/>
        <v>0</v>
      </c>
      <c r="AQ58" s="34"/>
    </row>
    <row r="59">
      <c r="B59" s="34"/>
      <c r="G59" s="35"/>
      <c r="J59" s="34"/>
      <c r="O59" s="35"/>
      <c r="P59" s="22">
        <f t="shared" si="1"/>
        <v>0</v>
      </c>
      <c r="AQ59" s="34"/>
    </row>
    <row r="60">
      <c r="B60" s="34"/>
      <c r="G60" s="35"/>
      <c r="J60" s="34"/>
      <c r="O60" s="35"/>
      <c r="P60" s="22">
        <f t="shared" si="1"/>
        <v>0</v>
      </c>
      <c r="AQ60" s="34"/>
    </row>
    <row r="61">
      <c r="B61" s="34"/>
      <c r="G61" s="35"/>
      <c r="J61" s="34"/>
      <c r="O61" s="35"/>
      <c r="P61" s="22">
        <f t="shared" si="1"/>
        <v>0</v>
      </c>
      <c r="AQ61" s="34"/>
    </row>
    <row r="62">
      <c r="B62" s="34"/>
      <c r="G62" s="35"/>
      <c r="J62" s="34"/>
      <c r="O62" s="35"/>
      <c r="P62" s="22">
        <f t="shared" si="1"/>
        <v>0</v>
      </c>
      <c r="AQ62" s="34"/>
    </row>
    <row r="63">
      <c r="B63" s="34"/>
      <c r="G63" s="35"/>
      <c r="J63" s="34"/>
      <c r="O63" s="35"/>
      <c r="P63" s="22">
        <f t="shared" si="1"/>
        <v>0</v>
      </c>
      <c r="AQ63" s="34"/>
    </row>
    <row r="64">
      <c r="B64" s="34"/>
      <c r="G64" s="35"/>
      <c r="J64" s="34"/>
      <c r="O64" s="35"/>
      <c r="P64" s="22">
        <f t="shared" si="1"/>
        <v>0</v>
      </c>
      <c r="AQ64" s="34"/>
    </row>
    <row r="65">
      <c r="B65" s="34"/>
      <c r="G65" s="35"/>
      <c r="J65" s="34"/>
      <c r="O65" s="35"/>
      <c r="P65" s="22">
        <f t="shared" si="1"/>
        <v>0</v>
      </c>
      <c r="AQ65" s="34"/>
    </row>
    <row r="66">
      <c r="B66" s="34"/>
      <c r="G66" s="35"/>
      <c r="J66" s="34"/>
      <c r="O66" s="35"/>
      <c r="P66" s="22">
        <f t="shared" si="1"/>
        <v>0</v>
      </c>
      <c r="AQ66" s="34"/>
    </row>
    <row r="67">
      <c r="B67" s="34"/>
      <c r="G67" s="35"/>
      <c r="J67" s="34"/>
      <c r="O67" s="35"/>
      <c r="P67" s="22">
        <f t="shared" si="1"/>
        <v>0</v>
      </c>
      <c r="AQ67" s="34"/>
    </row>
    <row r="68">
      <c r="B68" s="34"/>
      <c r="G68" s="35"/>
      <c r="J68" s="34"/>
      <c r="O68" s="35"/>
      <c r="P68" s="22">
        <f t="shared" si="1"/>
        <v>0</v>
      </c>
      <c r="AQ68" s="34"/>
    </row>
    <row r="69">
      <c r="B69" s="34"/>
      <c r="G69" s="35"/>
      <c r="J69" s="34"/>
      <c r="O69" s="35"/>
      <c r="P69" s="22">
        <f t="shared" si="1"/>
        <v>0</v>
      </c>
      <c r="AQ69" s="34"/>
    </row>
    <row r="70">
      <c r="B70" s="34"/>
      <c r="G70" s="35"/>
      <c r="J70" s="34"/>
      <c r="O70" s="35"/>
      <c r="P70" s="22">
        <f t="shared" si="1"/>
        <v>0</v>
      </c>
      <c r="AQ70" s="34"/>
    </row>
    <row r="71">
      <c r="B71" s="34"/>
      <c r="G71" s="35"/>
      <c r="J71" s="34"/>
      <c r="O71" s="35"/>
      <c r="P71" s="22">
        <f t="shared" si="1"/>
        <v>0</v>
      </c>
      <c r="AQ71" s="34"/>
    </row>
    <row r="72">
      <c r="B72" s="34"/>
      <c r="G72" s="35"/>
      <c r="J72" s="34"/>
      <c r="O72" s="35"/>
      <c r="P72" s="22">
        <f t="shared" si="1"/>
        <v>0</v>
      </c>
      <c r="AQ72" s="34"/>
    </row>
    <row r="73">
      <c r="B73" s="34"/>
      <c r="G73" s="35"/>
      <c r="J73" s="34"/>
      <c r="O73" s="35"/>
      <c r="P73" s="22">
        <f t="shared" si="1"/>
        <v>0</v>
      </c>
      <c r="AQ73" s="34"/>
    </row>
    <row r="74">
      <c r="B74" s="34"/>
      <c r="G74" s="35"/>
      <c r="J74" s="34"/>
      <c r="O74" s="35"/>
      <c r="P74" s="22">
        <f t="shared" si="1"/>
        <v>0</v>
      </c>
      <c r="AQ74" s="34"/>
    </row>
    <row r="75">
      <c r="B75" s="34"/>
      <c r="G75" s="35"/>
      <c r="J75" s="34"/>
      <c r="O75" s="35"/>
      <c r="P75" s="22">
        <f t="shared" si="1"/>
        <v>0</v>
      </c>
      <c r="AQ75" s="34"/>
    </row>
    <row r="76">
      <c r="B76" s="34"/>
      <c r="G76" s="35"/>
      <c r="J76" s="34"/>
      <c r="O76" s="35"/>
      <c r="P76" s="22">
        <f t="shared" si="1"/>
        <v>0</v>
      </c>
      <c r="AQ76" s="34"/>
    </row>
    <row r="77">
      <c r="B77" s="34"/>
      <c r="G77" s="35"/>
      <c r="J77" s="34"/>
      <c r="O77" s="35"/>
      <c r="P77" s="22">
        <f t="shared" si="1"/>
        <v>0</v>
      </c>
      <c r="AQ77" s="34"/>
    </row>
    <row r="78">
      <c r="B78" s="34"/>
      <c r="G78" s="35"/>
      <c r="J78" s="34"/>
      <c r="O78" s="35"/>
      <c r="P78" s="22">
        <f t="shared" si="1"/>
        <v>0</v>
      </c>
      <c r="AQ78" s="34"/>
    </row>
    <row r="79">
      <c r="B79" s="34"/>
      <c r="G79" s="35"/>
      <c r="J79" s="34"/>
      <c r="O79" s="35"/>
      <c r="P79" s="22">
        <f t="shared" si="1"/>
        <v>0</v>
      </c>
      <c r="AQ79" s="34"/>
    </row>
    <row r="80">
      <c r="B80" s="34"/>
      <c r="G80" s="35"/>
      <c r="J80" s="34"/>
      <c r="O80" s="35"/>
      <c r="P80" s="22">
        <f t="shared" si="1"/>
        <v>0</v>
      </c>
      <c r="AQ80" s="34"/>
    </row>
    <row r="81">
      <c r="B81" s="34"/>
      <c r="G81" s="35"/>
      <c r="J81" s="34"/>
      <c r="O81" s="35"/>
      <c r="P81" s="22">
        <f t="shared" si="1"/>
        <v>0</v>
      </c>
      <c r="AQ81" s="34"/>
    </row>
    <row r="82">
      <c r="B82" s="34"/>
      <c r="G82" s="35"/>
      <c r="J82" s="34"/>
      <c r="O82" s="35"/>
      <c r="P82" s="22">
        <f t="shared" si="1"/>
        <v>0</v>
      </c>
      <c r="AQ82" s="34"/>
    </row>
    <row r="83">
      <c r="B83" s="34"/>
      <c r="G83" s="35"/>
      <c r="J83" s="34"/>
      <c r="O83" s="35"/>
      <c r="P83" s="22">
        <f t="shared" si="1"/>
        <v>0</v>
      </c>
      <c r="AQ83" s="34"/>
    </row>
    <row r="84">
      <c r="B84" s="34"/>
      <c r="G84" s="35"/>
      <c r="J84" s="34"/>
      <c r="O84" s="35"/>
      <c r="AQ84" s="34"/>
    </row>
    <row r="85">
      <c r="B85" s="34"/>
      <c r="G85" s="35"/>
      <c r="J85" s="34"/>
      <c r="O85" s="35"/>
      <c r="AQ85" s="34"/>
    </row>
    <row r="86">
      <c r="B86" s="34"/>
      <c r="G86" s="35"/>
      <c r="J86" s="34"/>
      <c r="O86" s="35"/>
      <c r="AQ86" s="34"/>
    </row>
    <row r="87">
      <c r="B87" s="34"/>
      <c r="G87" s="35"/>
      <c r="J87" s="34"/>
      <c r="O87" s="35"/>
      <c r="AQ87" s="34"/>
    </row>
    <row r="88">
      <c r="B88" s="34"/>
      <c r="G88" s="35"/>
      <c r="J88" s="34"/>
      <c r="O88" s="35"/>
      <c r="AQ88" s="34"/>
    </row>
    <row r="89">
      <c r="B89" s="34"/>
      <c r="G89" s="35"/>
      <c r="J89" s="34"/>
      <c r="O89" s="35"/>
      <c r="AQ89" s="34"/>
    </row>
    <row r="90">
      <c r="B90" s="34"/>
      <c r="G90" s="35"/>
      <c r="J90" s="34"/>
      <c r="O90" s="35"/>
      <c r="AQ90" s="34"/>
    </row>
    <row r="91">
      <c r="B91" s="34"/>
      <c r="G91" s="35"/>
      <c r="J91" s="34"/>
      <c r="O91" s="35"/>
      <c r="AQ91" s="34"/>
    </row>
    <row r="92">
      <c r="B92" s="34"/>
      <c r="G92" s="35"/>
      <c r="J92" s="34"/>
      <c r="O92" s="35"/>
      <c r="AQ92" s="34"/>
    </row>
    <row r="93">
      <c r="B93" s="34"/>
      <c r="G93" s="35"/>
      <c r="J93" s="34"/>
      <c r="O93" s="35"/>
      <c r="AQ93" s="34"/>
    </row>
    <row r="94">
      <c r="B94" s="34"/>
      <c r="G94" s="35"/>
      <c r="J94" s="34"/>
      <c r="O94" s="35"/>
      <c r="AQ94" s="34"/>
    </row>
    <row r="95">
      <c r="B95" s="34"/>
      <c r="G95" s="35"/>
      <c r="J95" s="34"/>
      <c r="O95" s="35"/>
      <c r="AQ95" s="34"/>
    </row>
    <row r="96">
      <c r="B96" s="34"/>
      <c r="G96" s="35"/>
      <c r="J96" s="34"/>
      <c r="O96" s="35"/>
      <c r="AQ96" s="34"/>
    </row>
    <row r="97">
      <c r="B97" s="34"/>
      <c r="G97" s="35"/>
      <c r="J97" s="34"/>
      <c r="O97" s="35"/>
      <c r="AQ97" s="34"/>
    </row>
    <row r="98">
      <c r="B98" s="34"/>
      <c r="G98" s="35"/>
      <c r="J98" s="34"/>
      <c r="O98" s="35"/>
      <c r="AQ98" s="34"/>
    </row>
    <row r="99">
      <c r="B99" s="34"/>
      <c r="G99" s="35"/>
      <c r="J99" s="34"/>
      <c r="O99" s="35"/>
      <c r="AQ99" s="34"/>
    </row>
    <row r="100">
      <c r="B100" s="34"/>
      <c r="G100" s="35"/>
      <c r="J100" s="34"/>
      <c r="O100" s="35"/>
      <c r="AQ100" s="34"/>
    </row>
    <row r="101">
      <c r="B101" s="34"/>
      <c r="G101" s="35"/>
      <c r="J101" s="34"/>
      <c r="O101" s="35"/>
      <c r="AQ101" s="34"/>
    </row>
    <row r="102">
      <c r="B102" s="34"/>
      <c r="G102" s="35"/>
      <c r="J102" s="34"/>
      <c r="O102" s="35"/>
      <c r="AQ102" s="34"/>
    </row>
    <row r="103">
      <c r="B103" s="34"/>
      <c r="G103" s="35"/>
      <c r="J103" s="34"/>
      <c r="O103" s="35"/>
      <c r="AQ103" s="34"/>
    </row>
    <row r="104">
      <c r="B104" s="34"/>
      <c r="G104" s="35"/>
      <c r="J104" s="34"/>
      <c r="O104" s="35"/>
      <c r="AQ104" s="34"/>
    </row>
    <row r="105">
      <c r="B105" s="34"/>
      <c r="G105" s="35"/>
      <c r="J105" s="34"/>
      <c r="O105" s="35"/>
      <c r="AQ105" s="34"/>
    </row>
    <row r="106">
      <c r="B106" s="34"/>
      <c r="G106" s="35"/>
      <c r="J106" s="34"/>
      <c r="O106" s="35"/>
      <c r="AQ106" s="34"/>
    </row>
    <row r="107">
      <c r="B107" s="34"/>
      <c r="G107" s="35"/>
      <c r="J107" s="34"/>
      <c r="O107" s="35"/>
      <c r="AQ107" s="34"/>
    </row>
    <row r="108">
      <c r="B108" s="34"/>
      <c r="G108" s="35"/>
      <c r="J108" s="34"/>
      <c r="O108" s="35"/>
      <c r="AQ108" s="34"/>
    </row>
    <row r="109">
      <c r="B109" s="34"/>
      <c r="G109" s="35"/>
      <c r="J109" s="34"/>
      <c r="O109" s="35"/>
      <c r="AQ109" s="34"/>
    </row>
    <row r="110">
      <c r="B110" s="34"/>
      <c r="G110" s="35"/>
      <c r="J110" s="34"/>
      <c r="O110" s="35"/>
      <c r="AQ110" s="34"/>
    </row>
    <row r="111">
      <c r="B111" s="34"/>
      <c r="G111" s="35"/>
      <c r="J111" s="34"/>
      <c r="O111" s="35"/>
      <c r="AQ111" s="34"/>
    </row>
    <row r="112">
      <c r="B112" s="34"/>
      <c r="G112" s="35"/>
      <c r="J112" s="34"/>
      <c r="O112" s="35"/>
      <c r="AQ112" s="34"/>
    </row>
    <row r="113">
      <c r="B113" s="34"/>
      <c r="G113" s="35"/>
      <c r="J113" s="34"/>
      <c r="O113" s="35"/>
      <c r="AQ113" s="34"/>
    </row>
    <row r="114">
      <c r="B114" s="34"/>
      <c r="G114" s="35"/>
      <c r="J114" s="34"/>
      <c r="O114" s="35"/>
      <c r="AQ114" s="34"/>
    </row>
    <row r="115">
      <c r="B115" s="34"/>
      <c r="G115" s="35"/>
      <c r="J115" s="34"/>
      <c r="O115" s="35"/>
      <c r="AQ115" s="34"/>
    </row>
    <row r="116">
      <c r="B116" s="34"/>
      <c r="G116" s="35"/>
      <c r="J116" s="34"/>
      <c r="O116" s="35"/>
      <c r="AQ116" s="34"/>
    </row>
    <row r="117">
      <c r="B117" s="34"/>
      <c r="G117" s="35"/>
      <c r="J117" s="34"/>
      <c r="O117" s="35"/>
      <c r="AQ117" s="34"/>
    </row>
    <row r="118">
      <c r="B118" s="34"/>
      <c r="G118" s="35"/>
      <c r="J118" s="34"/>
      <c r="O118" s="35"/>
      <c r="AQ118" s="34"/>
    </row>
    <row r="119">
      <c r="B119" s="34"/>
      <c r="G119" s="35"/>
      <c r="J119" s="34"/>
      <c r="O119" s="35"/>
      <c r="AQ119" s="34"/>
    </row>
    <row r="120">
      <c r="B120" s="34"/>
      <c r="G120" s="35"/>
      <c r="J120" s="34"/>
      <c r="O120" s="35"/>
      <c r="AQ120" s="34"/>
    </row>
    <row r="121">
      <c r="B121" s="34"/>
      <c r="G121" s="35"/>
      <c r="J121" s="34"/>
      <c r="O121" s="35"/>
      <c r="AQ121" s="34"/>
    </row>
    <row r="122">
      <c r="B122" s="34"/>
      <c r="G122" s="35"/>
      <c r="J122" s="34"/>
      <c r="O122" s="35"/>
      <c r="AQ122" s="34"/>
    </row>
    <row r="123">
      <c r="B123" s="34"/>
      <c r="G123" s="35"/>
      <c r="J123" s="34"/>
      <c r="O123" s="35"/>
      <c r="AQ123" s="34"/>
    </row>
    <row r="124">
      <c r="B124" s="34"/>
      <c r="G124" s="35"/>
      <c r="J124" s="34"/>
      <c r="O124" s="35"/>
      <c r="AQ124" s="34"/>
    </row>
    <row r="125">
      <c r="B125" s="34"/>
      <c r="G125" s="35"/>
      <c r="J125" s="34"/>
      <c r="O125" s="35"/>
      <c r="AQ125" s="34"/>
    </row>
    <row r="126">
      <c r="B126" s="34"/>
      <c r="G126" s="35"/>
      <c r="J126" s="34"/>
      <c r="O126" s="35"/>
      <c r="AQ126" s="34"/>
    </row>
    <row r="127">
      <c r="B127" s="34"/>
      <c r="G127" s="35"/>
      <c r="J127" s="34"/>
      <c r="O127" s="35"/>
      <c r="AQ127" s="34"/>
    </row>
    <row r="128">
      <c r="B128" s="34"/>
      <c r="G128" s="35"/>
      <c r="J128" s="34"/>
      <c r="O128" s="35"/>
      <c r="AQ128" s="34"/>
    </row>
    <row r="129">
      <c r="B129" s="34"/>
      <c r="G129" s="35"/>
      <c r="J129" s="34"/>
      <c r="O129" s="35"/>
      <c r="AQ129" s="34"/>
    </row>
    <row r="130">
      <c r="B130" s="34"/>
      <c r="G130" s="35"/>
      <c r="J130" s="34"/>
      <c r="O130" s="35"/>
      <c r="AQ130" s="34"/>
    </row>
    <row r="131">
      <c r="B131" s="34"/>
      <c r="G131" s="35"/>
      <c r="J131" s="34"/>
      <c r="O131" s="35"/>
      <c r="AQ131" s="34"/>
    </row>
    <row r="132">
      <c r="B132" s="34"/>
      <c r="G132" s="35"/>
      <c r="J132" s="34"/>
      <c r="O132" s="35"/>
      <c r="AQ132" s="34"/>
    </row>
    <row r="133">
      <c r="B133" s="34"/>
      <c r="G133" s="35"/>
      <c r="J133" s="34"/>
      <c r="O133" s="35"/>
      <c r="AQ133" s="34"/>
    </row>
    <row r="134">
      <c r="B134" s="34"/>
      <c r="G134" s="35"/>
      <c r="J134" s="34"/>
      <c r="O134" s="35"/>
      <c r="AQ134" s="34"/>
    </row>
    <row r="135">
      <c r="B135" s="34"/>
      <c r="G135" s="35"/>
      <c r="J135" s="34"/>
      <c r="O135" s="35"/>
      <c r="AQ135" s="34"/>
    </row>
    <row r="136">
      <c r="B136" s="34"/>
      <c r="G136" s="35"/>
      <c r="J136" s="34"/>
      <c r="O136" s="35"/>
      <c r="AQ136" s="34"/>
    </row>
    <row r="137">
      <c r="B137" s="34"/>
      <c r="G137" s="35"/>
      <c r="J137" s="34"/>
      <c r="O137" s="35"/>
      <c r="AQ137" s="34"/>
    </row>
    <row r="138">
      <c r="B138" s="34"/>
      <c r="G138" s="35"/>
      <c r="J138" s="34"/>
      <c r="O138" s="35"/>
      <c r="AQ138" s="34"/>
    </row>
    <row r="139">
      <c r="B139" s="34"/>
      <c r="G139" s="35"/>
      <c r="J139" s="34"/>
      <c r="O139" s="35"/>
      <c r="AQ139" s="34"/>
    </row>
    <row r="140">
      <c r="B140" s="34"/>
      <c r="G140" s="35"/>
      <c r="J140" s="34"/>
      <c r="O140" s="35"/>
      <c r="AQ140" s="34"/>
    </row>
    <row r="141">
      <c r="B141" s="34"/>
      <c r="G141" s="35"/>
      <c r="J141" s="34"/>
      <c r="O141" s="35"/>
      <c r="AQ141" s="34"/>
    </row>
    <row r="142">
      <c r="B142" s="34"/>
      <c r="G142" s="35"/>
      <c r="J142" s="34"/>
      <c r="O142" s="35"/>
      <c r="AQ142" s="34"/>
    </row>
    <row r="143">
      <c r="B143" s="34"/>
      <c r="G143" s="35"/>
      <c r="J143" s="34"/>
      <c r="O143" s="35"/>
      <c r="AQ143" s="34"/>
    </row>
    <row r="144">
      <c r="B144" s="34"/>
      <c r="G144" s="35"/>
      <c r="J144" s="34"/>
      <c r="O144" s="35"/>
      <c r="AQ144" s="34"/>
    </row>
    <row r="145">
      <c r="B145" s="34"/>
      <c r="G145" s="35"/>
      <c r="J145" s="34"/>
      <c r="O145" s="35"/>
      <c r="AQ145" s="34"/>
    </row>
    <row r="146">
      <c r="B146" s="34"/>
      <c r="G146" s="35"/>
      <c r="J146" s="34"/>
      <c r="O146" s="35"/>
      <c r="AQ146" s="34"/>
    </row>
    <row r="147">
      <c r="B147" s="34"/>
      <c r="G147" s="35"/>
      <c r="J147" s="34"/>
      <c r="O147" s="35"/>
      <c r="AQ147" s="34"/>
    </row>
    <row r="148">
      <c r="B148" s="34"/>
      <c r="G148" s="35"/>
      <c r="J148" s="34"/>
      <c r="O148" s="35"/>
      <c r="AQ148" s="34"/>
    </row>
    <row r="149">
      <c r="B149" s="34"/>
      <c r="G149" s="35"/>
      <c r="J149" s="34"/>
      <c r="O149" s="35"/>
      <c r="AQ149" s="34"/>
    </row>
    <row r="150">
      <c r="B150" s="34"/>
      <c r="G150" s="35"/>
      <c r="J150" s="34"/>
      <c r="O150" s="35"/>
      <c r="AQ150" s="34"/>
    </row>
    <row r="151">
      <c r="B151" s="34"/>
      <c r="G151" s="35"/>
      <c r="J151" s="34"/>
      <c r="O151" s="35"/>
      <c r="AQ151" s="34"/>
    </row>
    <row r="152">
      <c r="B152" s="34"/>
      <c r="G152" s="35"/>
      <c r="J152" s="34"/>
      <c r="O152" s="35"/>
      <c r="AQ152" s="34"/>
    </row>
    <row r="153">
      <c r="B153" s="34"/>
      <c r="G153" s="35"/>
      <c r="J153" s="34"/>
      <c r="O153" s="35"/>
      <c r="AQ153" s="34"/>
    </row>
    <row r="154">
      <c r="B154" s="34"/>
      <c r="G154" s="35"/>
      <c r="J154" s="34"/>
      <c r="O154" s="35"/>
      <c r="AQ154" s="34"/>
    </row>
    <row r="155">
      <c r="B155" s="34"/>
      <c r="G155" s="35"/>
      <c r="J155" s="34"/>
      <c r="O155" s="35"/>
      <c r="AQ155" s="34"/>
    </row>
    <row r="156">
      <c r="B156" s="34"/>
      <c r="G156" s="35"/>
      <c r="J156" s="34"/>
      <c r="O156" s="35"/>
      <c r="AQ156" s="34"/>
    </row>
    <row r="157">
      <c r="B157" s="34"/>
      <c r="G157" s="35"/>
      <c r="J157" s="34"/>
      <c r="O157" s="35"/>
      <c r="AQ157" s="34"/>
    </row>
    <row r="158">
      <c r="B158" s="34"/>
      <c r="G158" s="35"/>
      <c r="J158" s="34"/>
      <c r="O158" s="35"/>
      <c r="AQ158" s="34"/>
    </row>
    <row r="159">
      <c r="B159" s="34"/>
      <c r="G159" s="35"/>
      <c r="J159" s="34"/>
      <c r="O159" s="35"/>
      <c r="AQ159" s="34"/>
    </row>
    <row r="160">
      <c r="B160" s="34"/>
      <c r="G160" s="35"/>
      <c r="J160" s="34"/>
      <c r="O160" s="35"/>
      <c r="AQ160" s="34"/>
    </row>
    <row r="161">
      <c r="B161" s="34"/>
      <c r="G161" s="35"/>
      <c r="J161" s="34"/>
      <c r="O161" s="35"/>
      <c r="AQ161" s="34"/>
    </row>
    <row r="162">
      <c r="B162" s="34"/>
      <c r="G162" s="35"/>
      <c r="J162" s="34"/>
      <c r="O162" s="35"/>
      <c r="AQ162" s="34"/>
    </row>
    <row r="163">
      <c r="B163" s="34"/>
      <c r="G163" s="35"/>
      <c r="J163" s="34"/>
      <c r="O163" s="35"/>
      <c r="AQ163" s="34"/>
    </row>
    <row r="164">
      <c r="B164" s="34"/>
      <c r="G164" s="35"/>
      <c r="J164" s="34"/>
      <c r="O164" s="35"/>
      <c r="AQ164" s="34"/>
    </row>
    <row r="165">
      <c r="B165" s="34"/>
      <c r="G165" s="35"/>
      <c r="J165" s="34"/>
      <c r="O165" s="35"/>
      <c r="AQ165" s="34"/>
    </row>
    <row r="166">
      <c r="B166" s="34"/>
      <c r="G166" s="35"/>
      <c r="J166" s="34"/>
      <c r="O166" s="35"/>
      <c r="AQ166" s="34"/>
    </row>
    <row r="167">
      <c r="B167" s="34"/>
      <c r="G167" s="35"/>
      <c r="J167" s="34"/>
      <c r="O167" s="35"/>
      <c r="AQ167" s="34"/>
    </row>
    <row r="168">
      <c r="B168" s="34"/>
      <c r="G168" s="35"/>
      <c r="J168" s="34"/>
      <c r="O168" s="35"/>
      <c r="AQ168" s="34"/>
    </row>
    <row r="169">
      <c r="B169" s="34"/>
      <c r="G169" s="35"/>
      <c r="J169" s="34"/>
      <c r="O169" s="35"/>
      <c r="AQ169" s="34"/>
    </row>
    <row r="170">
      <c r="B170" s="34"/>
      <c r="G170" s="35"/>
      <c r="J170" s="34"/>
      <c r="O170" s="35"/>
      <c r="AQ170" s="34"/>
    </row>
    <row r="171">
      <c r="B171" s="34"/>
      <c r="G171" s="35"/>
      <c r="J171" s="34"/>
      <c r="O171" s="35"/>
      <c r="AQ171" s="34"/>
    </row>
    <row r="172">
      <c r="B172" s="34"/>
      <c r="G172" s="35"/>
      <c r="J172" s="34"/>
      <c r="O172" s="35"/>
      <c r="AQ172" s="34"/>
    </row>
    <row r="173">
      <c r="B173" s="34"/>
      <c r="G173" s="35"/>
      <c r="J173" s="34"/>
      <c r="O173" s="35"/>
      <c r="AQ173" s="34"/>
    </row>
    <row r="174">
      <c r="B174" s="34"/>
      <c r="G174" s="35"/>
      <c r="J174" s="34"/>
      <c r="O174" s="35"/>
      <c r="AQ174" s="34"/>
    </row>
    <row r="175">
      <c r="B175" s="34"/>
      <c r="G175" s="35"/>
      <c r="J175" s="34"/>
      <c r="O175" s="35"/>
      <c r="AQ175" s="34"/>
    </row>
    <row r="176">
      <c r="B176" s="34"/>
      <c r="G176" s="35"/>
      <c r="J176" s="34"/>
      <c r="O176" s="35"/>
      <c r="AQ176" s="34"/>
    </row>
    <row r="177">
      <c r="B177" s="34"/>
      <c r="G177" s="35"/>
      <c r="J177" s="34"/>
      <c r="O177" s="35"/>
      <c r="AQ177" s="34"/>
    </row>
    <row r="178">
      <c r="B178" s="34"/>
      <c r="G178" s="35"/>
      <c r="J178" s="34"/>
      <c r="O178" s="35"/>
      <c r="AQ178" s="34"/>
    </row>
    <row r="179">
      <c r="B179" s="34"/>
      <c r="G179" s="35"/>
      <c r="J179" s="34"/>
      <c r="O179" s="35"/>
      <c r="AQ179" s="34"/>
    </row>
    <row r="180">
      <c r="B180" s="34"/>
      <c r="G180" s="35"/>
      <c r="J180" s="34"/>
      <c r="O180" s="35"/>
      <c r="AQ180" s="34"/>
    </row>
    <row r="181">
      <c r="B181" s="34"/>
      <c r="G181" s="35"/>
      <c r="J181" s="34"/>
      <c r="O181" s="35"/>
      <c r="AQ181" s="34"/>
    </row>
    <row r="182">
      <c r="B182" s="34"/>
      <c r="G182" s="35"/>
      <c r="J182" s="34"/>
      <c r="O182" s="35"/>
      <c r="AQ182" s="34"/>
    </row>
    <row r="183">
      <c r="B183" s="34"/>
      <c r="G183" s="35"/>
      <c r="J183" s="34"/>
      <c r="O183" s="35"/>
      <c r="AQ183" s="34"/>
    </row>
    <row r="184">
      <c r="B184" s="34"/>
      <c r="G184" s="35"/>
      <c r="J184" s="34"/>
      <c r="O184" s="35"/>
      <c r="AQ184" s="34"/>
    </row>
    <row r="185">
      <c r="B185" s="34"/>
      <c r="G185" s="35"/>
      <c r="J185" s="34"/>
      <c r="O185" s="35"/>
      <c r="AQ185" s="34"/>
    </row>
    <row r="186">
      <c r="B186" s="34"/>
      <c r="G186" s="35"/>
      <c r="J186" s="34"/>
      <c r="O186" s="35"/>
      <c r="AQ186" s="34"/>
    </row>
    <row r="187">
      <c r="B187" s="34"/>
      <c r="G187" s="35"/>
      <c r="J187" s="34"/>
      <c r="O187" s="35"/>
      <c r="AQ187" s="34"/>
    </row>
    <row r="188">
      <c r="B188" s="34"/>
      <c r="G188" s="35"/>
      <c r="J188" s="34"/>
      <c r="O188" s="35"/>
      <c r="AQ188" s="34"/>
    </row>
    <row r="189">
      <c r="B189" s="34"/>
      <c r="G189" s="35"/>
      <c r="J189" s="34"/>
      <c r="O189" s="35"/>
      <c r="AQ189" s="34"/>
    </row>
    <row r="190">
      <c r="B190" s="34"/>
      <c r="G190" s="35"/>
      <c r="J190" s="34"/>
      <c r="O190" s="35"/>
      <c r="AQ190" s="34"/>
    </row>
    <row r="191">
      <c r="B191" s="34"/>
      <c r="G191" s="35"/>
      <c r="J191" s="34"/>
      <c r="O191" s="35"/>
      <c r="AQ191" s="34"/>
    </row>
    <row r="192">
      <c r="B192" s="34"/>
      <c r="G192" s="35"/>
      <c r="J192" s="34"/>
      <c r="O192" s="35"/>
      <c r="AQ192" s="34"/>
    </row>
    <row r="193">
      <c r="B193" s="34"/>
      <c r="G193" s="35"/>
      <c r="J193" s="34"/>
      <c r="O193" s="35"/>
      <c r="AQ193" s="34"/>
    </row>
    <row r="194">
      <c r="B194" s="34"/>
      <c r="G194" s="35"/>
      <c r="J194" s="34"/>
      <c r="O194" s="35"/>
      <c r="AQ194" s="34"/>
    </row>
    <row r="195">
      <c r="B195" s="34"/>
      <c r="G195" s="35"/>
      <c r="J195" s="34"/>
      <c r="O195" s="35"/>
      <c r="AQ195" s="34"/>
    </row>
    <row r="196">
      <c r="B196" s="34"/>
      <c r="G196" s="35"/>
      <c r="J196" s="34"/>
      <c r="O196" s="35"/>
      <c r="AQ196" s="34"/>
    </row>
    <row r="197">
      <c r="B197" s="34"/>
      <c r="G197" s="35"/>
      <c r="J197" s="34"/>
      <c r="O197" s="35"/>
      <c r="AQ197" s="34"/>
    </row>
    <row r="198">
      <c r="B198" s="34"/>
      <c r="G198" s="35"/>
      <c r="J198" s="34"/>
      <c r="O198" s="35"/>
      <c r="AQ198" s="34"/>
    </row>
    <row r="199">
      <c r="B199" s="34"/>
      <c r="G199" s="35"/>
      <c r="J199" s="34"/>
      <c r="O199" s="35"/>
      <c r="AQ199" s="34"/>
    </row>
    <row r="200">
      <c r="B200" s="34"/>
      <c r="G200" s="35"/>
      <c r="J200" s="34"/>
      <c r="O200" s="35"/>
      <c r="AQ200" s="34"/>
    </row>
    <row r="201">
      <c r="B201" s="34"/>
      <c r="G201" s="35"/>
      <c r="J201" s="34"/>
      <c r="O201" s="35"/>
      <c r="AQ201" s="34"/>
    </row>
    <row r="202">
      <c r="B202" s="34"/>
      <c r="G202" s="35"/>
      <c r="J202" s="34"/>
      <c r="O202" s="35"/>
      <c r="AQ202" s="34"/>
    </row>
    <row r="203">
      <c r="B203" s="34"/>
      <c r="G203" s="35"/>
      <c r="J203" s="34"/>
      <c r="O203" s="35"/>
      <c r="AQ203" s="34"/>
    </row>
    <row r="204">
      <c r="B204" s="34"/>
      <c r="G204" s="35"/>
      <c r="J204" s="34"/>
      <c r="O204" s="35"/>
      <c r="AQ204" s="34"/>
    </row>
    <row r="205">
      <c r="B205" s="34"/>
      <c r="G205" s="35"/>
      <c r="J205" s="34"/>
      <c r="O205" s="35"/>
      <c r="AQ205" s="34"/>
    </row>
    <row r="206">
      <c r="B206" s="34"/>
      <c r="G206" s="35"/>
      <c r="J206" s="34"/>
      <c r="O206" s="35"/>
      <c r="AQ206" s="34"/>
    </row>
    <row r="207">
      <c r="B207" s="34"/>
      <c r="G207" s="35"/>
      <c r="J207" s="34"/>
      <c r="O207" s="35"/>
      <c r="AQ207" s="34"/>
    </row>
    <row r="208">
      <c r="B208" s="34"/>
      <c r="G208" s="35"/>
      <c r="J208" s="34"/>
      <c r="O208" s="35"/>
      <c r="AQ208" s="34"/>
    </row>
    <row r="209">
      <c r="B209" s="34"/>
      <c r="G209" s="35"/>
      <c r="J209" s="34"/>
      <c r="O209" s="35"/>
      <c r="AQ209" s="34"/>
    </row>
    <row r="210">
      <c r="B210" s="34"/>
      <c r="G210" s="35"/>
      <c r="J210" s="34"/>
      <c r="O210" s="35"/>
      <c r="AQ210" s="34"/>
    </row>
    <row r="211">
      <c r="B211" s="34"/>
      <c r="G211" s="35"/>
      <c r="J211" s="34"/>
      <c r="O211" s="35"/>
      <c r="AQ211" s="34"/>
    </row>
    <row r="212">
      <c r="B212" s="34"/>
      <c r="G212" s="35"/>
      <c r="J212" s="34"/>
      <c r="O212" s="35"/>
      <c r="AQ212" s="34"/>
    </row>
    <row r="213">
      <c r="B213" s="34"/>
      <c r="G213" s="35"/>
      <c r="J213" s="34"/>
      <c r="O213" s="35"/>
      <c r="AQ213" s="34"/>
    </row>
    <row r="214">
      <c r="B214" s="34"/>
      <c r="G214" s="35"/>
      <c r="J214" s="34"/>
      <c r="O214" s="35"/>
      <c r="AQ214" s="34"/>
    </row>
    <row r="215">
      <c r="B215" s="34"/>
      <c r="G215" s="35"/>
      <c r="J215" s="34"/>
      <c r="O215" s="35"/>
      <c r="AQ215" s="34"/>
    </row>
    <row r="216">
      <c r="B216" s="34"/>
      <c r="G216" s="35"/>
      <c r="J216" s="34"/>
      <c r="O216" s="35"/>
      <c r="AQ216" s="34"/>
    </row>
    <row r="217">
      <c r="B217" s="34"/>
      <c r="G217" s="35"/>
      <c r="J217" s="34"/>
      <c r="O217" s="35"/>
      <c r="AQ217" s="34"/>
    </row>
    <row r="218">
      <c r="B218" s="34"/>
      <c r="G218" s="35"/>
      <c r="J218" s="34"/>
      <c r="O218" s="35"/>
      <c r="AQ218" s="34"/>
    </row>
    <row r="219">
      <c r="B219" s="34"/>
      <c r="G219" s="35"/>
      <c r="J219" s="34"/>
      <c r="O219" s="35"/>
      <c r="AQ219" s="34"/>
    </row>
    <row r="220">
      <c r="B220" s="34"/>
      <c r="G220" s="35"/>
      <c r="J220" s="34"/>
      <c r="O220" s="35"/>
      <c r="AQ220" s="34"/>
    </row>
    <row r="221">
      <c r="B221" s="34"/>
      <c r="G221" s="35"/>
      <c r="J221" s="34"/>
      <c r="O221" s="35"/>
      <c r="AQ221" s="34"/>
    </row>
    <row r="222">
      <c r="B222" s="34"/>
      <c r="G222" s="35"/>
      <c r="J222" s="34"/>
      <c r="O222" s="35"/>
      <c r="AQ222" s="34"/>
    </row>
    <row r="223">
      <c r="B223" s="34"/>
      <c r="G223" s="35"/>
      <c r="J223" s="34"/>
      <c r="O223" s="35"/>
      <c r="AQ223" s="34"/>
    </row>
    <row r="224">
      <c r="B224" s="34"/>
      <c r="G224" s="35"/>
      <c r="J224" s="34"/>
      <c r="O224" s="35"/>
      <c r="AQ224" s="34"/>
    </row>
    <row r="225">
      <c r="B225" s="34"/>
      <c r="G225" s="35"/>
      <c r="J225" s="34"/>
      <c r="O225" s="35"/>
      <c r="AQ225" s="34"/>
    </row>
    <row r="226">
      <c r="B226" s="34"/>
      <c r="G226" s="35"/>
      <c r="J226" s="34"/>
      <c r="O226" s="35"/>
      <c r="AQ226" s="34"/>
    </row>
    <row r="227">
      <c r="B227" s="34"/>
      <c r="G227" s="35"/>
      <c r="J227" s="34"/>
      <c r="O227" s="35"/>
      <c r="AQ227" s="34"/>
    </row>
    <row r="228">
      <c r="B228" s="34"/>
      <c r="G228" s="35"/>
      <c r="J228" s="34"/>
      <c r="O228" s="35"/>
      <c r="AQ228" s="34"/>
    </row>
    <row r="229">
      <c r="B229" s="34"/>
      <c r="G229" s="35"/>
      <c r="J229" s="34"/>
      <c r="O229" s="35"/>
      <c r="AQ229" s="34"/>
    </row>
    <row r="230">
      <c r="B230" s="34"/>
      <c r="G230" s="35"/>
      <c r="J230" s="34"/>
      <c r="O230" s="35"/>
      <c r="AQ230" s="34"/>
    </row>
    <row r="231">
      <c r="B231" s="34"/>
      <c r="G231" s="35"/>
      <c r="J231" s="34"/>
      <c r="O231" s="35"/>
      <c r="AQ231" s="34"/>
    </row>
    <row r="232">
      <c r="B232" s="34"/>
      <c r="G232" s="35"/>
      <c r="J232" s="34"/>
      <c r="O232" s="35"/>
      <c r="AQ232" s="34"/>
    </row>
    <row r="233">
      <c r="B233" s="34"/>
      <c r="G233" s="35"/>
      <c r="J233" s="34"/>
      <c r="O233" s="35"/>
      <c r="AQ233" s="34"/>
    </row>
    <row r="234">
      <c r="B234" s="34"/>
      <c r="G234" s="35"/>
      <c r="J234" s="34"/>
      <c r="O234" s="35"/>
      <c r="AQ234" s="34"/>
    </row>
    <row r="235">
      <c r="B235" s="34"/>
      <c r="G235" s="35"/>
      <c r="J235" s="34"/>
      <c r="O235" s="35"/>
      <c r="AQ235" s="34"/>
    </row>
    <row r="236">
      <c r="B236" s="34"/>
      <c r="G236" s="35"/>
      <c r="J236" s="34"/>
      <c r="O236" s="35"/>
      <c r="AQ236" s="34"/>
    </row>
    <row r="237">
      <c r="B237" s="34"/>
      <c r="G237" s="35"/>
      <c r="J237" s="34"/>
      <c r="O237" s="35"/>
      <c r="AQ237" s="34"/>
    </row>
    <row r="238">
      <c r="B238" s="34"/>
      <c r="G238" s="35"/>
      <c r="J238" s="34"/>
      <c r="O238" s="35"/>
      <c r="AQ238" s="34"/>
    </row>
    <row r="239">
      <c r="B239" s="34"/>
      <c r="G239" s="35"/>
      <c r="J239" s="34"/>
      <c r="O239" s="35"/>
      <c r="AQ239" s="34"/>
    </row>
    <row r="240">
      <c r="B240" s="34"/>
      <c r="G240" s="35"/>
      <c r="J240" s="34"/>
      <c r="O240" s="35"/>
      <c r="AQ240" s="34"/>
    </row>
    <row r="241">
      <c r="B241" s="34"/>
      <c r="G241" s="35"/>
      <c r="J241" s="34"/>
      <c r="O241" s="35"/>
      <c r="AQ241" s="34"/>
    </row>
    <row r="242">
      <c r="B242" s="34"/>
      <c r="G242" s="35"/>
      <c r="J242" s="34"/>
      <c r="O242" s="35"/>
      <c r="AQ242" s="34"/>
    </row>
    <row r="243">
      <c r="B243" s="34"/>
      <c r="G243" s="35"/>
      <c r="J243" s="34"/>
      <c r="O243" s="35"/>
      <c r="AQ243" s="34"/>
    </row>
    <row r="244">
      <c r="B244" s="34"/>
      <c r="G244" s="35"/>
      <c r="J244" s="34"/>
      <c r="O244" s="35"/>
      <c r="AQ244" s="34"/>
    </row>
    <row r="245">
      <c r="B245" s="34"/>
      <c r="G245" s="35"/>
      <c r="J245" s="34"/>
      <c r="O245" s="35"/>
      <c r="AQ245" s="34"/>
    </row>
    <row r="246">
      <c r="B246" s="34"/>
      <c r="G246" s="35"/>
      <c r="J246" s="34"/>
      <c r="O246" s="35"/>
      <c r="AQ246" s="34"/>
    </row>
    <row r="247">
      <c r="B247" s="34"/>
      <c r="G247" s="35"/>
      <c r="J247" s="34"/>
      <c r="O247" s="35"/>
      <c r="AQ247" s="34"/>
    </row>
    <row r="248">
      <c r="B248" s="34"/>
      <c r="G248" s="35"/>
      <c r="J248" s="34"/>
      <c r="O248" s="35"/>
      <c r="AQ248" s="34"/>
    </row>
    <row r="249">
      <c r="B249" s="34"/>
      <c r="G249" s="35"/>
      <c r="J249" s="34"/>
      <c r="O249" s="35"/>
      <c r="AQ249" s="34"/>
    </row>
    <row r="250">
      <c r="B250" s="34"/>
      <c r="G250" s="35"/>
      <c r="J250" s="34"/>
      <c r="O250" s="35"/>
      <c r="AQ250" s="34"/>
    </row>
    <row r="251">
      <c r="B251" s="34"/>
      <c r="G251" s="35"/>
      <c r="J251" s="34"/>
      <c r="O251" s="35"/>
      <c r="AQ251" s="34"/>
    </row>
    <row r="252">
      <c r="B252" s="34"/>
      <c r="G252" s="35"/>
      <c r="J252" s="34"/>
      <c r="O252" s="35"/>
      <c r="AQ252" s="34"/>
    </row>
    <row r="253">
      <c r="B253" s="34"/>
      <c r="G253" s="35"/>
      <c r="J253" s="34"/>
      <c r="O253" s="35"/>
      <c r="AQ253" s="34"/>
    </row>
    <row r="254">
      <c r="B254" s="34"/>
      <c r="G254" s="35"/>
      <c r="J254" s="34"/>
      <c r="O254" s="35"/>
      <c r="AQ254" s="34"/>
    </row>
    <row r="255">
      <c r="B255" s="34"/>
      <c r="G255" s="35"/>
      <c r="J255" s="34"/>
      <c r="O255" s="35"/>
      <c r="AQ255" s="34"/>
    </row>
    <row r="256">
      <c r="B256" s="34"/>
      <c r="G256" s="35"/>
      <c r="J256" s="34"/>
      <c r="O256" s="35"/>
      <c r="AQ256" s="34"/>
    </row>
    <row r="257">
      <c r="B257" s="34"/>
      <c r="G257" s="35"/>
      <c r="J257" s="34"/>
      <c r="O257" s="35"/>
      <c r="AQ257" s="34"/>
    </row>
    <row r="258">
      <c r="B258" s="34"/>
      <c r="G258" s="35"/>
      <c r="J258" s="34"/>
      <c r="O258" s="35"/>
      <c r="AQ258" s="34"/>
    </row>
    <row r="259">
      <c r="B259" s="34"/>
      <c r="G259" s="35"/>
      <c r="J259" s="34"/>
      <c r="O259" s="35"/>
      <c r="AQ259" s="34"/>
    </row>
    <row r="260">
      <c r="B260" s="34"/>
      <c r="G260" s="35"/>
      <c r="J260" s="34"/>
      <c r="O260" s="35"/>
      <c r="AQ260" s="34"/>
    </row>
    <row r="261">
      <c r="B261" s="34"/>
      <c r="G261" s="35"/>
      <c r="J261" s="34"/>
      <c r="O261" s="35"/>
      <c r="AQ261" s="34"/>
    </row>
    <row r="262">
      <c r="B262" s="34"/>
      <c r="G262" s="35"/>
      <c r="J262" s="34"/>
      <c r="O262" s="35"/>
      <c r="AQ262" s="34"/>
    </row>
    <row r="263">
      <c r="B263" s="34"/>
      <c r="G263" s="35"/>
      <c r="J263" s="34"/>
      <c r="O263" s="35"/>
      <c r="AQ263" s="34"/>
    </row>
    <row r="264">
      <c r="B264" s="34"/>
      <c r="G264" s="35"/>
      <c r="J264" s="34"/>
      <c r="O264" s="35"/>
      <c r="AQ264" s="34"/>
    </row>
    <row r="265">
      <c r="B265" s="34"/>
      <c r="G265" s="35"/>
      <c r="J265" s="34"/>
      <c r="O265" s="35"/>
      <c r="AQ265" s="34"/>
    </row>
    <row r="266">
      <c r="B266" s="34"/>
      <c r="G266" s="35"/>
      <c r="J266" s="34"/>
      <c r="O266" s="35"/>
      <c r="AQ266" s="34"/>
    </row>
    <row r="267">
      <c r="B267" s="34"/>
      <c r="G267" s="35"/>
      <c r="J267" s="34"/>
      <c r="O267" s="35"/>
      <c r="AQ267" s="34"/>
    </row>
    <row r="268">
      <c r="B268" s="34"/>
      <c r="G268" s="35"/>
      <c r="J268" s="34"/>
      <c r="O268" s="35"/>
      <c r="AQ268" s="34"/>
    </row>
    <row r="269">
      <c r="B269" s="34"/>
      <c r="G269" s="35"/>
      <c r="J269" s="34"/>
      <c r="O269" s="35"/>
      <c r="AQ269" s="34"/>
    </row>
    <row r="270">
      <c r="B270" s="34"/>
      <c r="G270" s="35"/>
      <c r="J270" s="34"/>
      <c r="O270" s="35"/>
      <c r="AQ270" s="34"/>
    </row>
    <row r="271">
      <c r="B271" s="34"/>
      <c r="G271" s="35"/>
      <c r="J271" s="34"/>
      <c r="O271" s="35"/>
      <c r="AQ271" s="34"/>
    </row>
    <row r="272">
      <c r="B272" s="34"/>
      <c r="G272" s="35"/>
      <c r="J272" s="34"/>
      <c r="O272" s="35"/>
      <c r="AQ272" s="34"/>
    </row>
    <row r="273">
      <c r="B273" s="34"/>
      <c r="G273" s="35"/>
      <c r="J273" s="34"/>
      <c r="O273" s="35"/>
      <c r="AQ273" s="34"/>
    </row>
    <row r="274">
      <c r="B274" s="34"/>
      <c r="G274" s="35"/>
      <c r="J274" s="34"/>
      <c r="O274" s="35"/>
      <c r="AQ274" s="34"/>
    </row>
    <row r="275">
      <c r="B275" s="34"/>
      <c r="G275" s="35"/>
      <c r="J275" s="34"/>
      <c r="O275" s="35"/>
      <c r="AQ275" s="34"/>
    </row>
    <row r="276">
      <c r="B276" s="34"/>
      <c r="G276" s="35"/>
      <c r="J276" s="34"/>
      <c r="O276" s="35"/>
      <c r="AQ276" s="34"/>
    </row>
    <row r="277">
      <c r="B277" s="34"/>
      <c r="G277" s="35"/>
      <c r="J277" s="34"/>
      <c r="O277" s="35"/>
      <c r="AQ277" s="34"/>
    </row>
    <row r="278">
      <c r="B278" s="34"/>
      <c r="G278" s="35"/>
      <c r="J278" s="34"/>
      <c r="O278" s="35"/>
      <c r="AQ278" s="34"/>
    </row>
    <row r="279">
      <c r="B279" s="34"/>
      <c r="G279" s="35"/>
      <c r="J279" s="34"/>
      <c r="O279" s="35"/>
      <c r="AQ279" s="34"/>
    </row>
    <row r="280">
      <c r="B280" s="34"/>
      <c r="G280" s="35"/>
      <c r="J280" s="34"/>
      <c r="O280" s="35"/>
      <c r="AQ280" s="34"/>
    </row>
    <row r="281">
      <c r="B281" s="34"/>
      <c r="G281" s="35"/>
      <c r="J281" s="34"/>
      <c r="O281" s="35"/>
      <c r="AQ281" s="34"/>
    </row>
    <row r="282">
      <c r="B282" s="34"/>
      <c r="G282" s="35"/>
      <c r="J282" s="34"/>
      <c r="O282" s="35"/>
      <c r="AQ282" s="34"/>
    </row>
    <row r="283">
      <c r="B283" s="34"/>
      <c r="G283" s="35"/>
      <c r="J283" s="34"/>
      <c r="O283" s="35"/>
      <c r="AQ283" s="34"/>
    </row>
    <row r="284">
      <c r="B284" s="34"/>
      <c r="G284" s="35"/>
      <c r="J284" s="34"/>
      <c r="O284" s="35"/>
      <c r="AQ284" s="34"/>
    </row>
    <row r="285">
      <c r="B285" s="34"/>
      <c r="G285" s="35"/>
      <c r="J285" s="34"/>
      <c r="O285" s="35"/>
      <c r="AQ285" s="34"/>
    </row>
    <row r="286">
      <c r="B286" s="34"/>
      <c r="G286" s="35"/>
      <c r="J286" s="34"/>
      <c r="O286" s="35"/>
      <c r="AQ286" s="34"/>
    </row>
    <row r="287">
      <c r="B287" s="34"/>
      <c r="G287" s="35"/>
      <c r="J287" s="34"/>
      <c r="O287" s="35"/>
      <c r="AQ287" s="34"/>
    </row>
    <row r="288">
      <c r="B288" s="34"/>
      <c r="G288" s="35"/>
      <c r="J288" s="34"/>
      <c r="O288" s="35"/>
      <c r="AQ288" s="34"/>
    </row>
    <row r="289">
      <c r="B289" s="34"/>
      <c r="G289" s="35"/>
      <c r="J289" s="34"/>
      <c r="O289" s="35"/>
      <c r="AQ289" s="34"/>
    </row>
    <row r="290">
      <c r="B290" s="34"/>
      <c r="G290" s="35"/>
      <c r="J290" s="34"/>
      <c r="O290" s="35"/>
      <c r="AQ290" s="34"/>
    </row>
    <row r="291">
      <c r="B291" s="34"/>
      <c r="G291" s="35"/>
      <c r="J291" s="34"/>
      <c r="O291" s="35"/>
      <c r="AQ291" s="34"/>
    </row>
    <row r="292">
      <c r="B292" s="34"/>
      <c r="G292" s="35"/>
      <c r="J292" s="34"/>
      <c r="O292" s="35"/>
      <c r="AQ292" s="34"/>
    </row>
    <row r="293">
      <c r="B293" s="34"/>
      <c r="G293" s="35"/>
      <c r="J293" s="34"/>
      <c r="O293" s="35"/>
      <c r="AQ293" s="34"/>
    </row>
    <row r="294">
      <c r="B294" s="34"/>
      <c r="G294" s="35"/>
      <c r="J294" s="34"/>
      <c r="O294" s="35"/>
      <c r="AQ294" s="34"/>
    </row>
    <row r="295">
      <c r="B295" s="34"/>
      <c r="G295" s="35"/>
      <c r="J295" s="34"/>
      <c r="O295" s="35"/>
      <c r="AQ295" s="34"/>
    </row>
    <row r="296">
      <c r="B296" s="34"/>
      <c r="G296" s="35"/>
      <c r="J296" s="34"/>
      <c r="O296" s="35"/>
      <c r="AQ296" s="34"/>
    </row>
    <row r="297">
      <c r="B297" s="34"/>
      <c r="G297" s="35"/>
      <c r="J297" s="34"/>
      <c r="O297" s="35"/>
      <c r="AQ297" s="34"/>
    </row>
    <row r="298">
      <c r="B298" s="34"/>
      <c r="G298" s="35"/>
      <c r="J298" s="34"/>
      <c r="O298" s="35"/>
      <c r="AQ298" s="34"/>
    </row>
    <row r="299">
      <c r="B299" s="34"/>
      <c r="G299" s="35"/>
      <c r="J299" s="34"/>
      <c r="O299" s="35"/>
      <c r="AQ299" s="34"/>
    </row>
    <row r="300">
      <c r="B300" s="34"/>
      <c r="G300" s="35"/>
      <c r="J300" s="34"/>
      <c r="O300" s="35"/>
      <c r="AQ300" s="34"/>
    </row>
    <row r="301">
      <c r="B301" s="34"/>
      <c r="G301" s="35"/>
      <c r="J301" s="34"/>
      <c r="O301" s="35"/>
      <c r="AQ301" s="34"/>
    </row>
    <row r="302">
      <c r="B302" s="34"/>
      <c r="G302" s="35"/>
      <c r="J302" s="34"/>
      <c r="O302" s="35"/>
      <c r="AQ302" s="34"/>
    </row>
    <row r="303">
      <c r="B303" s="34"/>
      <c r="G303" s="35"/>
      <c r="J303" s="34"/>
      <c r="O303" s="35"/>
      <c r="AQ303" s="34"/>
    </row>
    <row r="304">
      <c r="B304" s="34"/>
      <c r="G304" s="35"/>
      <c r="J304" s="34"/>
      <c r="O304" s="35"/>
      <c r="AQ304" s="34"/>
    </row>
    <row r="305">
      <c r="B305" s="34"/>
      <c r="G305" s="35"/>
      <c r="J305" s="34"/>
      <c r="O305" s="35"/>
      <c r="AQ305" s="34"/>
    </row>
    <row r="306">
      <c r="B306" s="34"/>
      <c r="G306" s="35"/>
      <c r="J306" s="34"/>
      <c r="O306" s="35"/>
      <c r="AQ306" s="34"/>
    </row>
    <row r="307">
      <c r="B307" s="34"/>
      <c r="G307" s="35"/>
      <c r="J307" s="34"/>
      <c r="O307" s="35"/>
      <c r="AQ307" s="34"/>
    </row>
    <row r="308">
      <c r="B308" s="34"/>
      <c r="G308" s="35"/>
      <c r="J308" s="34"/>
      <c r="O308" s="35"/>
      <c r="AQ308" s="34"/>
    </row>
    <row r="309">
      <c r="B309" s="34"/>
      <c r="G309" s="35"/>
      <c r="J309" s="34"/>
      <c r="O309" s="35"/>
      <c r="AQ309" s="34"/>
    </row>
    <row r="310">
      <c r="B310" s="34"/>
      <c r="G310" s="35"/>
      <c r="J310" s="34"/>
      <c r="O310" s="35"/>
      <c r="AQ310" s="34"/>
    </row>
    <row r="311">
      <c r="B311" s="34"/>
      <c r="G311" s="35"/>
      <c r="J311" s="34"/>
      <c r="O311" s="35"/>
      <c r="AQ311" s="34"/>
    </row>
    <row r="312">
      <c r="B312" s="34"/>
      <c r="G312" s="35"/>
      <c r="J312" s="34"/>
      <c r="O312" s="35"/>
      <c r="AQ312" s="34"/>
    </row>
    <row r="313">
      <c r="B313" s="34"/>
      <c r="G313" s="35"/>
      <c r="J313" s="34"/>
      <c r="O313" s="35"/>
      <c r="AQ313" s="34"/>
    </row>
    <row r="314">
      <c r="B314" s="34"/>
      <c r="G314" s="35"/>
      <c r="J314" s="34"/>
      <c r="O314" s="35"/>
      <c r="AQ314" s="34"/>
    </row>
    <row r="315">
      <c r="B315" s="34"/>
      <c r="G315" s="35"/>
      <c r="J315" s="34"/>
      <c r="O315" s="35"/>
      <c r="AQ315" s="34"/>
    </row>
    <row r="316">
      <c r="B316" s="34"/>
      <c r="G316" s="35"/>
      <c r="J316" s="34"/>
      <c r="O316" s="35"/>
      <c r="AQ316" s="34"/>
    </row>
    <row r="317">
      <c r="B317" s="34"/>
      <c r="G317" s="35"/>
      <c r="J317" s="34"/>
      <c r="O317" s="35"/>
      <c r="AQ317" s="34"/>
    </row>
    <row r="318">
      <c r="B318" s="34"/>
      <c r="G318" s="35"/>
      <c r="J318" s="34"/>
      <c r="O318" s="35"/>
      <c r="AQ318" s="34"/>
    </row>
    <row r="319">
      <c r="B319" s="34"/>
      <c r="G319" s="35"/>
      <c r="J319" s="34"/>
      <c r="O319" s="35"/>
      <c r="AQ319" s="34"/>
    </row>
    <row r="320">
      <c r="B320" s="34"/>
      <c r="G320" s="35"/>
      <c r="J320" s="34"/>
      <c r="O320" s="35"/>
      <c r="AQ320" s="34"/>
    </row>
    <row r="321">
      <c r="B321" s="34"/>
      <c r="G321" s="35"/>
      <c r="J321" s="34"/>
      <c r="O321" s="35"/>
      <c r="AQ321" s="34"/>
    </row>
    <row r="322">
      <c r="B322" s="34"/>
      <c r="G322" s="35"/>
      <c r="J322" s="34"/>
      <c r="O322" s="35"/>
      <c r="AQ322" s="34"/>
    </row>
    <row r="323">
      <c r="B323" s="34"/>
      <c r="G323" s="35"/>
      <c r="J323" s="34"/>
      <c r="O323" s="35"/>
      <c r="AQ323" s="34"/>
    </row>
    <row r="324">
      <c r="B324" s="34"/>
      <c r="G324" s="35"/>
      <c r="J324" s="34"/>
      <c r="O324" s="35"/>
      <c r="AQ324" s="34"/>
    </row>
    <row r="325">
      <c r="B325" s="34"/>
      <c r="G325" s="35"/>
      <c r="J325" s="34"/>
      <c r="O325" s="35"/>
      <c r="AQ325" s="34"/>
    </row>
    <row r="326">
      <c r="B326" s="34"/>
      <c r="G326" s="35"/>
      <c r="J326" s="34"/>
      <c r="O326" s="35"/>
      <c r="AQ326" s="34"/>
    </row>
    <row r="327">
      <c r="B327" s="34"/>
      <c r="G327" s="35"/>
      <c r="J327" s="34"/>
      <c r="O327" s="35"/>
      <c r="AQ327" s="34"/>
    </row>
    <row r="328">
      <c r="B328" s="34"/>
      <c r="G328" s="35"/>
      <c r="J328" s="34"/>
      <c r="O328" s="35"/>
      <c r="AQ328" s="34"/>
    </row>
    <row r="329">
      <c r="B329" s="34"/>
      <c r="G329" s="35"/>
      <c r="J329" s="34"/>
      <c r="O329" s="35"/>
      <c r="AQ329" s="34"/>
    </row>
    <row r="330">
      <c r="B330" s="34"/>
      <c r="G330" s="35"/>
      <c r="J330" s="34"/>
      <c r="O330" s="35"/>
      <c r="AQ330" s="34"/>
    </row>
    <row r="331">
      <c r="B331" s="34"/>
      <c r="G331" s="35"/>
      <c r="J331" s="34"/>
      <c r="O331" s="35"/>
      <c r="AQ331" s="34"/>
    </row>
    <row r="332">
      <c r="B332" s="34"/>
      <c r="G332" s="35"/>
      <c r="J332" s="34"/>
      <c r="O332" s="35"/>
      <c r="AQ332" s="34"/>
    </row>
    <row r="333">
      <c r="B333" s="34"/>
      <c r="G333" s="35"/>
      <c r="J333" s="34"/>
      <c r="O333" s="35"/>
      <c r="AQ333" s="34"/>
    </row>
    <row r="334">
      <c r="B334" s="34"/>
      <c r="G334" s="35"/>
      <c r="J334" s="34"/>
      <c r="O334" s="35"/>
      <c r="AQ334" s="34"/>
    </row>
    <row r="335">
      <c r="B335" s="34"/>
      <c r="G335" s="35"/>
      <c r="J335" s="34"/>
      <c r="O335" s="35"/>
      <c r="AQ335" s="34"/>
    </row>
    <row r="336">
      <c r="B336" s="34"/>
      <c r="G336" s="35"/>
      <c r="J336" s="34"/>
      <c r="O336" s="35"/>
      <c r="AQ336" s="34"/>
    </row>
    <row r="337">
      <c r="B337" s="34"/>
      <c r="G337" s="35"/>
      <c r="J337" s="34"/>
      <c r="O337" s="35"/>
      <c r="AQ337" s="34"/>
    </row>
    <row r="338">
      <c r="B338" s="34"/>
      <c r="G338" s="35"/>
      <c r="J338" s="34"/>
      <c r="O338" s="35"/>
      <c r="AQ338" s="34"/>
    </row>
    <row r="339">
      <c r="B339" s="34"/>
      <c r="G339" s="35"/>
      <c r="J339" s="34"/>
      <c r="O339" s="35"/>
      <c r="AQ339" s="34"/>
    </row>
    <row r="340">
      <c r="B340" s="34"/>
      <c r="G340" s="35"/>
      <c r="J340" s="34"/>
      <c r="O340" s="35"/>
      <c r="AQ340" s="34"/>
    </row>
    <row r="341">
      <c r="B341" s="34"/>
      <c r="G341" s="35"/>
      <c r="J341" s="34"/>
      <c r="O341" s="35"/>
      <c r="AQ341" s="34"/>
    </row>
    <row r="342">
      <c r="B342" s="34"/>
      <c r="G342" s="35"/>
      <c r="J342" s="34"/>
      <c r="O342" s="35"/>
      <c r="AQ342" s="34"/>
    </row>
    <row r="343">
      <c r="B343" s="34"/>
      <c r="G343" s="35"/>
      <c r="J343" s="34"/>
      <c r="O343" s="35"/>
      <c r="AQ343" s="34"/>
    </row>
    <row r="344">
      <c r="B344" s="34"/>
      <c r="G344" s="35"/>
      <c r="J344" s="34"/>
      <c r="O344" s="35"/>
      <c r="AQ344" s="34"/>
    </row>
    <row r="345">
      <c r="B345" s="34"/>
      <c r="G345" s="35"/>
      <c r="J345" s="34"/>
      <c r="O345" s="35"/>
      <c r="AQ345" s="34"/>
    </row>
    <row r="346">
      <c r="B346" s="34"/>
      <c r="G346" s="35"/>
      <c r="J346" s="34"/>
      <c r="O346" s="35"/>
      <c r="AQ346" s="34"/>
    </row>
    <row r="347">
      <c r="B347" s="34"/>
      <c r="G347" s="35"/>
      <c r="J347" s="34"/>
      <c r="O347" s="35"/>
      <c r="AQ347" s="34"/>
    </row>
    <row r="348">
      <c r="B348" s="34"/>
      <c r="G348" s="35"/>
      <c r="J348" s="34"/>
      <c r="O348" s="35"/>
      <c r="AQ348" s="34"/>
    </row>
    <row r="349">
      <c r="B349" s="34"/>
      <c r="G349" s="35"/>
      <c r="J349" s="34"/>
      <c r="O349" s="35"/>
      <c r="AQ349" s="34"/>
    </row>
    <row r="350">
      <c r="B350" s="34"/>
      <c r="G350" s="35"/>
      <c r="J350" s="34"/>
      <c r="O350" s="35"/>
      <c r="AQ350" s="34"/>
    </row>
    <row r="351">
      <c r="B351" s="34"/>
      <c r="G351" s="35"/>
      <c r="J351" s="34"/>
      <c r="O351" s="35"/>
      <c r="AQ351" s="34"/>
    </row>
    <row r="352">
      <c r="B352" s="34"/>
      <c r="G352" s="35"/>
      <c r="J352" s="34"/>
      <c r="O352" s="35"/>
      <c r="AQ352" s="34"/>
    </row>
    <row r="353">
      <c r="B353" s="34"/>
      <c r="G353" s="35"/>
      <c r="J353" s="34"/>
      <c r="O353" s="35"/>
      <c r="AQ353" s="34"/>
    </row>
    <row r="354">
      <c r="B354" s="34"/>
      <c r="G354" s="35"/>
      <c r="J354" s="34"/>
      <c r="O354" s="35"/>
      <c r="AQ354" s="34"/>
    </row>
    <row r="355">
      <c r="B355" s="34"/>
      <c r="G355" s="35"/>
      <c r="J355" s="34"/>
      <c r="O355" s="35"/>
      <c r="AQ355" s="34"/>
    </row>
    <row r="356">
      <c r="B356" s="34"/>
      <c r="G356" s="35"/>
      <c r="J356" s="34"/>
      <c r="O356" s="35"/>
      <c r="AQ356" s="34"/>
    </row>
    <row r="357">
      <c r="B357" s="34"/>
      <c r="G357" s="35"/>
      <c r="J357" s="34"/>
      <c r="O357" s="35"/>
      <c r="AQ357" s="34"/>
    </row>
    <row r="358">
      <c r="B358" s="34"/>
      <c r="G358" s="35"/>
      <c r="J358" s="34"/>
      <c r="O358" s="35"/>
      <c r="AQ358" s="34"/>
    </row>
    <row r="359">
      <c r="B359" s="34"/>
      <c r="G359" s="35"/>
      <c r="J359" s="34"/>
      <c r="O359" s="35"/>
      <c r="AQ359" s="34"/>
    </row>
    <row r="360">
      <c r="B360" s="34"/>
      <c r="G360" s="35"/>
      <c r="J360" s="34"/>
      <c r="O360" s="35"/>
      <c r="AQ360" s="34"/>
    </row>
    <row r="361">
      <c r="B361" s="34"/>
      <c r="G361" s="35"/>
      <c r="J361" s="34"/>
      <c r="O361" s="35"/>
      <c r="AQ361" s="34"/>
    </row>
    <row r="362">
      <c r="B362" s="34"/>
      <c r="G362" s="35"/>
      <c r="J362" s="34"/>
      <c r="O362" s="35"/>
      <c r="AQ362" s="34"/>
    </row>
    <row r="363">
      <c r="B363" s="34"/>
      <c r="G363" s="35"/>
      <c r="J363" s="34"/>
      <c r="O363" s="35"/>
      <c r="AQ363" s="34"/>
    </row>
    <row r="364">
      <c r="B364" s="34"/>
      <c r="G364" s="35"/>
      <c r="J364" s="34"/>
      <c r="O364" s="35"/>
      <c r="AQ364" s="34"/>
    </row>
    <row r="365">
      <c r="B365" s="34"/>
      <c r="G365" s="35"/>
      <c r="J365" s="34"/>
      <c r="O365" s="35"/>
      <c r="AQ365" s="34"/>
    </row>
    <row r="366">
      <c r="B366" s="34"/>
      <c r="G366" s="35"/>
      <c r="J366" s="34"/>
      <c r="O366" s="35"/>
      <c r="AQ366" s="34"/>
    </row>
    <row r="367">
      <c r="B367" s="34"/>
      <c r="G367" s="35"/>
      <c r="J367" s="34"/>
      <c r="O367" s="35"/>
      <c r="AQ367" s="34"/>
    </row>
    <row r="368">
      <c r="B368" s="34"/>
      <c r="G368" s="35"/>
      <c r="J368" s="34"/>
      <c r="O368" s="35"/>
      <c r="AQ368" s="34"/>
    </row>
    <row r="369">
      <c r="B369" s="34"/>
      <c r="G369" s="35"/>
      <c r="J369" s="34"/>
      <c r="O369" s="35"/>
      <c r="AQ369" s="34"/>
    </row>
    <row r="370">
      <c r="B370" s="34"/>
      <c r="G370" s="35"/>
      <c r="J370" s="34"/>
      <c r="O370" s="35"/>
      <c r="AQ370" s="34"/>
    </row>
    <row r="371">
      <c r="B371" s="34"/>
      <c r="G371" s="35"/>
      <c r="J371" s="34"/>
      <c r="O371" s="35"/>
      <c r="AQ371" s="34"/>
    </row>
    <row r="372">
      <c r="B372" s="34"/>
      <c r="G372" s="35"/>
      <c r="J372" s="34"/>
      <c r="O372" s="35"/>
      <c r="AQ372" s="34"/>
    </row>
    <row r="373">
      <c r="B373" s="34"/>
      <c r="G373" s="35"/>
      <c r="J373" s="34"/>
      <c r="O373" s="35"/>
      <c r="AQ373" s="34"/>
    </row>
    <row r="374">
      <c r="B374" s="34"/>
      <c r="G374" s="35"/>
      <c r="J374" s="34"/>
      <c r="O374" s="35"/>
      <c r="AQ374" s="34"/>
    </row>
    <row r="375">
      <c r="B375" s="34"/>
      <c r="G375" s="35"/>
      <c r="J375" s="34"/>
      <c r="O375" s="35"/>
      <c r="AQ375" s="34"/>
    </row>
    <row r="376">
      <c r="B376" s="34"/>
      <c r="G376" s="35"/>
      <c r="J376" s="34"/>
      <c r="O376" s="35"/>
      <c r="AQ376" s="34"/>
    </row>
    <row r="377">
      <c r="B377" s="34"/>
      <c r="G377" s="35"/>
      <c r="J377" s="34"/>
      <c r="O377" s="35"/>
      <c r="AQ377" s="34"/>
    </row>
    <row r="378">
      <c r="B378" s="34"/>
      <c r="G378" s="35"/>
      <c r="J378" s="34"/>
      <c r="O378" s="35"/>
      <c r="AQ378" s="34"/>
    </row>
    <row r="379">
      <c r="B379" s="34"/>
      <c r="G379" s="35"/>
      <c r="J379" s="34"/>
      <c r="O379" s="35"/>
      <c r="AQ379" s="34"/>
    </row>
    <row r="380">
      <c r="B380" s="34"/>
      <c r="G380" s="35"/>
      <c r="J380" s="34"/>
      <c r="O380" s="35"/>
      <c r="AQ380" s="34"/>
    </row>
    <row r="381">
      <c r="B381" s="34"/>
      <c r="G381" s="35"/>
      <c r="J381" s="34"/>
      <c r="O381" s="35"/>
      <c r="AQ381" s="34"/>
    </row>
    <row r="382">
      <c r="B382" s="34"/>
      <c r="G382" s="35"/>
      <c r="J382" s="34"/>
      <c r="O382" s="35"/>
      <c r="AQ382" s="34"/>
    </row>
    <row r="383">
      <c r="B383" s="34"/>
      <c r="G383" s="35"/>
      <c r="J383" s="34"/>
      <c r="O383" s="35"/>
      <c r="AQ383" s="34"/>
    </row>
    <row r="384">
      <c r="B384" s="34"/>
      <c r="G384" s="35"/>
      <c r="J384" s="34"/>
      <c r="O384" s="35"/>
      <c r="AQ384" s="34"/>
    </row>
    <row r="385">
      <c r="B385" s="34"/>
      <c r="G385" s="35"/>
      <c r="J385" s="34"/>
      <c r="O385" s="35"/>
      <c r="AQ385" s="34"/>
    </row>
    <row r="386">
      <c r="B386" s="34"/>
      <c r="G386" s="35"/>
      <c r="J386" s="34"/>
      <c r="O386" s="35"/>
      <c r="AQ386" s="34"/>
    </row>
    <row r="387">
      <c r="B387" s="34"/>
      <c r="G387" s="35"/>
      <c r="J387" s="34"/>
      <c r="O387" s="35"/>
      <c r="AQ387" s="34"/>
    </row>
    <row r="388">
      <c r="B388" s="34"/>
      <c r="G388" s="35"/>
      <c r="J388" s="34"/>
      <c r="O388" s="35"/>
      <c r="AQ388" s="34"/>
    </row>
    <row r="389">
      <c r="B389" s="34"/>
      <c r="G389" s="35"/>
      <c r="J389" s="34"/>
      <c r="O389" s="35"/>
      <c r="AQ389" s="34"/>
    </row>
    <row r="390">
      <c r="B390" s="34"/>
      <c r="G390" s="35"/>
      <c r="J390" s="34"/>
      <c r="O390" s="35"/>
      <c r="AQ390" s="34"/>
    </row>
    <row r="391">
      <c r="B391" s="34"/>
      <c r="G391" s="35"/>
      <c r="J391" s="34"/>
      <c r="O391" s="35"/>
      <c r="AQ391" s="34"/>
    </row>
    <row r="392">
      <c r="B392" s="34"/>
      <c r="G392" s="35"/>
      <c r="J392" s="34"/>
      <c r="O392" s="35"/>
      <c r="AQ392" s="34"/>
    </row>
    <row r="393">
      <c r="B393" s="34"/>
      <c r="G393" s="35"/>
      <c r="J393" s="34"/>
      <c r="O393" s="35"/>
      <c r="AQ393" s="34"/>
    </row>
    <row r="394">
      <c r="B394" s="34"/>
      <c r="G394" s="35"/>
      <c r="J394" s="34"/>
      <c r="O394" s="35"/>
      <c r="AQ394" s="34"/>
    </row>
    <row r="395">
      <c r="B395" s="34"/>
      <c r="G395" s="35"/>
      <c r="J395" s="34"/>
      <c r="O395" s="35"/>
      <c r="AQ395" s="34"/>
    </row>
    <row r="396">
      <c r="B396" s="34"/>
      <c r="G396" s="35"/>
      <c r="J396" s="34"/>
      <c r="O396" s="35"/>
      <c r="AQ396" s="34"/>
    </row>
    <row r="397">
      <c r="B397" s="34"/>
      <c r="G397" s="35"/>
      <c r="J397" s="34"/>
      <c r="O397" s="35"/>
      <c r="AQ397" s="34"/>
    </row>
    <row r="398">
      <c r="B398" s="34"/>
      <c r="G398" s="35"/>
      <c r="J398" s="34"/>
      <c r="O398" s="35"/>
      <c r="AQ398" s="34"/>
    </row>
    <row r="399">
      <c r="B399" s="34"/>
      <c r="G399" s="35"/>
      <c r="J399" s="34"/>
      <c r="O399" s="35"/>
      <c r="AQ399" s="34"/>
    </row>
    <row r="400">
      <c r="B400" s="34"/>
      <c r="G400" s="35"/>
      <c r="J400" s="34"/>
      <c r="O400" s="35"/>
      <c r="AQ400" s="34"/>
    </row>
    <row r="401">
      <c r="B401" s="34"/>
      <c r="G401" s="35"/>
      <c r="J401" s="34"/>
      <c r="O401" s="35"/>
      <c r="AQ401" s="34"/>
    </row>
    <row r="402">
      <c r="B402" s="34"/>
      <c r="G402" s="35"/>
      <c r="J402" s="34"/>
      <c r="O402" s="35"/>
      <c r="AQ402" s="34"/>
    </row>
    <row r="403">
      <c r="B403" s="34"/>
      <c r="G403" s="35"/>
      <c r="J403" s="34"/>
      <c r="O403" s="35"/>
      <c r="AQ403" s="34"/>
    </row>
    <row r="404">
      <c r="B404" s="34"/>
      <c r="G404" s="35"/>
      <c r="J404" s="34"/>
      <c r="O404" s="35"/>
      <c r="AQ404" s="34"/>
    </row>
    <row r="405">
      <c r="B405" s="34"/>
      <c r="G405" s="35"/>
      <c r="J405" s="34"/>
      <c r="O405" s="35"/>
      <c r="AQ405" s="34"/>
    </row>
    <row r="406">
      <c r="B406" s="34"/>
      <c r="G406" s="35"/>
      <c r="J406" s="34"/>
      <c r="O406" s="35"/>
      <c r="AQ406" s="34"/>
    </row>
    <row r="407">
      <c r="B407" s="34"/>
      <c r="G407" s="35"/>
      <c r="J407" s="34"/>
      <c r="O407" s="35"/>
      <c r="AQ407" s="34"/>
    </row>
    <row r="408">
      <c r="B408" s="34"/>
      <c r="G408" s="35"/>
      <c r="J408" s="34"/>
      <c r="O408" s="35"/>
      <c r="AQ408" s="34"/>
    </row>
    <row r="409">
      <c r="B409" s="34"/>
      <c r="G409" s="35"/>
      <c r="J409" s="34"/>
      <c r="O409" s="35"/>
      <c r="AQ409" s="34"/>
    </row>
    <row r="410">
      <c r="B410" s="34"/>
      <c r="G410" s="35"/>
      <c r="J410" s="34"/>
      <c r="O410" s="35"/>
      <c r="AQ410" s="34"/>
    </row>
    <row r="411">
      <c r="B411" s="34"/>
      <c r="G411" s="35"/>
      <c r="J411" s="34"/>
      <c r="O411" s="35"/>
      <c r="AQ411" s="34"/>
    </row>
    <row r="412">
      <c r="B412" s="34"/>
      <c r="G412" s="35"/>
      <c r="J412" s="34"/>
      <c r="O412" s="35"/>
      <c r="AQ412" s="34"/>
    </row>
    <row r="413">
      <c r="B413" s="34"/>
      <c r="G413" s="35"/>
      <c r="J413" s="34"/>
      <c r="O413" s="35"/>
      <c r="AQ413" s="34"/>
    </row>
    <row r="414">
      <c r="B414" s="34"/>
      <c r="G414" s="35"/>
      <c r="J414" s="34"/>
      <c r="O414" s="35"/>
      <c r="AQ414" s="34"/>
    </row>
    <row r="415">
      <c r="B415" s="34"/>
      <c r="G415" s="35"/>
      <c r="J415" s="34"/>
      <c r="O415" s="35"/>
      <c r="AQ415" s="34"/>
    </row>
    <row r="416">
      <c r="B416" s="34"/>
      <c r="G416" s="35"/>
      <c r="J416" s="34"/>
      <c r="O416" s="35"/>
      <c r="AQ416" s="34"/>
    </row>
    <row r="417">
      <c r="B417" s="34"/>
      <c r="G417" s="35"/>
      <c r="J417" s="34"/>
      <c r="O417" s="35"/>
      <c r="AQ417" s="34"/>
    </row>
    <row r="418">
      <c r="B418" s="34"/>
      <c r="G418" s="35"/>
      <c r="J418" s="34"/>
      <c r="O418" s="35"/>
      <c r="AQ418" s="34"/>
    </row>
    <row r="419">
      <c r="B419" s="34"/>
      <c r="G419" s="35"/>
      <c r="J419" s="34"/>
      <c r="O419" s="35"/>
      <c r="AQ419" s="34"/>
    </row>
    <row r="420">
      <c r="B420" s="34"/>
      <c r="G420" s="35"/>
      <c r="J420" s="34"/>
      <c r="O420" s="35"/>
      <c r="AQ420" s="34"/>
    </row>
    <row r="421">
      <c r="B421" s="34"/>
      <c r="G421" s="35"/>
      <c r="J421" s="34"/>
      <c r="O421" s="35"/>
      <c r="AQ421" s="34"/>
    </row>
    <row r="422">
      <c r="B422" s="34"/>
      <c r="G422" s="35"/>
      <c r="J422" s="34"/>
      <c r="O422" s="35"/>
      <c r="AQ422" s="34"/>
    </row>
    <row r="423">
      <c r="B423" s="34"/>
      <c r="G423" s="35"/>
      <c r="J423" s="34"/>
      <c r="O423" s="35"/>
      <c r="AQ423" s="34"/>
    </row>
    <row r="424">
      <c r="B424" s="34"/>
      <c r="G424" s="35"/>
      <c r="J424" s="34"/>
      <c r="O424" s="35"/>
      <c r="AQ424" s="34"/>
    </row>
    <row r="425">
      <c r="B425" s="34"/>
      <c r="G425" s="35"/>
      <c r="J425" s="34"/>
      <c r="O425" s="35"/>
      <c r="AQ425" s="34"/>
    </row>
    <row r="426">
      <c r="B426" s="34"/>
      <c r="G426" s="35"/>
      <c r="J426" s="34"/>
      <c r="O426" s="35"/>
      <c r="AQ426" s="34"/>
    </row>
    <row r="427">
      <c r="B427" s="34"/>
      <c r="G427" s="35"/>
      <c r="J427" s="34"/>
      <c r="O427" s="35"/>
      <c r="AQ427" s="34"/>
    </row>
    <row r="428">
      <c r="B428" s="34"/>
      <c r="G428" s="35"/>
      <c r="J428" s="34"/>
      <c r="O428" s="35"/>
      <c r="AQ428" s="34"/>
    </row>
    <row r="429">
      <c r="B429" s="34"/>
      <c r="G429" s="35"/>
      <c r="J429" s="34"/>
      <c r="O429" s="35"/>
      <c r="AQ429" s="34"/>
    </row>
    <row r="430">
      <c r="B430" s="34"/>
      <c r="G430" s="35"/>
      <c r="J430" s="34"/>
      <c r="O430" s="35"/>
      <c r="AQ430" s="34"/>
    </row>
    <row r="431">
      <c r="B431" s="34"/>
      <c r="G431" s="35"/>
      <c r="J431" s="34"/>
      <c r="O431" s="35"/>
      <c r="AQ431" s="34"/>
    </row>
    <row r="432">
      <c r="B432" s="34"/>
      <c r="G432" s="35"/>
      <c r="J432" s="34"/>
      <c r="O432" s="35"/>
      <c r="AQ432" s="34"/>
    </row>
    <row r="433">
      <c r="B433" s="34"/>
      <c r="G433" s="35"/>
      <c r="J433" s="34"/>
      <c r="O433" s="35"/>
      <c r="AQ433" s="34"/>
    </row>
    <row r="434">
      <c r="B434" s="34"/>
      <c r="G434" s="35"/>
      <c r="J434" s="34"/>
      <c r="O434" s="35"/>
      <c r="AQ434" s="34"/>
    </row>
    <row r="435">
      <c r="B435" s="34"/>
      <c r="G435" s="35"/>
      <c r="J435" s="34"/>
      <c r="O435" s="35"/>
      <c r="AQ435" s="34"/>
    </row>
    <row r="436">
      <c r="B436" s="34"/>
      <c r="G436" s="35"/>
      <c r="J436" s="34"/>
      <c r="O436" s="35"/>
      <c r="AQ436" s="34"/>
    </row>
    <row r="437">
      <c r="B437" s="34"/>
      <c r="G437" s="35"/>
      <c r="J437" s="34"/>
      <c r="O437" s="35"/>
      <c r="AQ437" s="34"/>
    </row>
    <row r="438">
      <c r="B438" s="34"/>
      <c r="G438" s="35"/>
      <c r="J438" s="34"/>
      <c r="O438" s="35"/>
      <c r="AQ438" s="34"/>
    </row>
    <row r="439">
      <c r="B439" s="34"/>
      <c r="G439" s="35"/>
      <c r="J439" s="34"/>
      <c r="O439" s="35"/>
      <c r="AQ439" s="34"/>
    </row>
    <row r="440">
      <c r="B440" s="34"/>
      <c r="G440" s="35"/>
      <c r="J440" s="34"/>
      <c r="O440" s="35"/>
      <c r="AQ440" s="34"/>
    </row>
    <row r="441">
      <c r="B441" s="34"/>
      <c r="G441" s="35"/>
      <c r="J441" s="34"/>
      <c r="O441" s="35"/>
      <c r="AQ441" s="34"/>
    </row>
    <row r="442">
      <c r="B442" s="34"/>
      <c r="G442" s="35"/>
      <c r="J442" s="34"/>
      <c r="O442" s="35"/>
      <c r="AQ442" s="34"/>
    </row>
    <row r="443">
      <c r="B443" s="34"/>
      <c r="G443" s="35"/>
      <c r="J443" s="34"/>
      <c r="O443" s="35"/>
      <c r="AQ443" s="34"/>
    </row>
    <row r="444">
      <c r="B444" s="34"/>
      <c r="G444" s="35"/>
      <c r="J444" s="34"/>
      <c r="O444" s="35"/>
      <c r="AQ444" s="34"/>
    </row>
    <row r="445">
      <c r="B445" s="34"/>
      <c r="G445" s="35"/>
      <c r="J445" s="34"/>
      <c r="O445" s="35"/>
      <c r="AQ445" s="34"/>
    </row>
    <row r="446">
      <c r="B446" s="34"/>
      <c r="G446" s="35"/>
      <c r="J446" s="34"/>
      <c r="O446" s="35"/>
      <c r="AQ446" s="34"/>
    </row>
    <row r="447">
      <c r="B447" s="34"/>
      <c r="G447" s="35"/>
      <c r="J447" s="34"/>
      <c r="O447" s="35"/>
      <c r="AQ447" s="34"/>
    </row>
    <row r="448">
      <c r="B448" s="34"/>
      <c r="G448" s="35"/>
      <c r="J448" s="34"/>
      <c r="O448" s="35"/>
      <c r="AQ448" s="34"/>
    </row>
    <row r="449">
      <c r="B449" s="34"/>
      <c r="G449" s="35"/>
      <c r="J449" s="34"/>
      <c r="O449" s="35"/>
      <c r="AQ449" s="34"/>
    </row>
    <row r="450">
      <c r="B450" s="34"/>
      <c r="G450" s="35"/>
      <c r="J450" s="34"/>
      <c r="O450" s="35"/>
      <c r="AQ450" s="34"/>
    </row>
    <row r="451">
      <c r="B451" s="34"/>
      <c r="G451" s="35"/>
      <c r="J451" s="34"/>
      <c r="O451" s="35"/>
      <c r="AQ451" s="34"/>
    </row>
    <row r="452">
      <c r="B452" s="34"/>
      <c r="G452" s="35"/>
      <c r="J452" s="34"/>
      <c r="O452" s="35"/>
      <c r="AQ452" s="34"/>
    </row>
    <row r="453">
      <c r="B453" s="34"/>
      <c r="G453" s="35"/>
      <c r="J453" s="34"/>
      <c r="O453" s="35"/>
      <c r="AQ453" s="34"/>
    </row>
    <row r="454">
      <c r="B454" s="34"/>
      <c r="G454" s="35"/>
      <c r="J454" s="34"/>
      <c r="O454" s="35"/>
      <c r="AQ454" s="34"/>
    </row>
    <row r="455">
      <c r="B455" s="34"/>
      <c r="G455" s="35"/>
      <c r="J455" s="34"/>
      <c r="O455" s="35"/>
      <c r="AQ455" s="34"/>
    </row>
    <row r="456">
      <c r="B456" s="34"/>
      <c r="G456" s="35"/>
      <c r="J456" s="34"/>
      <c r="O456" s="35"/>
      <c r="AQ456" s="34"/>
    </row>
    <row r="457">
      <c r="B457" s="34"/>
      <c r="G457" s="35"/>
      <c r="J457" s="34"/>
      <c r="O457" s="35"/>
      <c r="AQ457" s="34"/>
    </row>
    <row r="458">
      <c r="B458" s="34"/>
      <c r="G458" s="35"/>
      <c r="J458" s="34"/>
      <c r="O458" s="35"/>
      <c r="AQ458" s="34"/>
    </row>
    <row r="459">
      <c r="B459" s="34"/>
      <c r="G459" s="35"/>
      <c r="J459" s="34"/>
      <c r="O459" s="35"/>
      <c r="AQ459" s="34"/>
    </row>
    <row r="460">
      <c r="B460" s="34"/>
      <c r="G460" s="35"/>
      <c r="J460" s="34"/>
      <c r="O460" s="35"/>
      <c r="AQ460" s="34"/>
    </row>
    <row r="461">
      <c r="B461" s="34"/>
      <c r="G461" s="35"/>
      <c r="J461" s="34"/>
      <c r="O461" s="35"/>
      <c r="AQ461" s="34"/>
    </row>
    <row r="462">
      <c r="B462" s="34"/>
      <c r="G462" s="35"/>
      <c r="J462" s="34"/>
      <c r="O462" s="35"/>
      <c r="AQ462" s="34"/>
    </row>
    <row r="463">
      <c r="B463" s="34"/>
      <c r="G463" s="35"/>
      <c r="J463" s="34"/>
      <c r="O463" s="35"/>
      <c r="AQ463" s="34"/>
    </row>
    <row r="464">
      <c r="B464" s="34"/>
      <c r="G464" s="35"/>
      <c r="J464" s="34"/>
      <c r="O464" s="35"/>
      <c r="AQ464" s="34"/>
    </row>
    <row r="465">
      <c r="B465" s="34"/>
      <c r="G465" s="35"/>
      <c r="J465" s="34"/>
      <c r="O465" s="35"/>
      <c r="AQ465" s="34"/>
    </row>
    <row r="466">
      <c r="B466" s="34"/>
      <c r="G466" s="35"/>
      <c r="J466" s="34"/>
      <c r="O466" s="35"/>
      <c r="AQ466" s="34"/>
    </row>
    <row r="467">
      <c r="B467" s="34"/>
      <c r="G467" s="35"/>
      <c r="J467" s="34"/>
      <c r="O467" s="35"/>
      <c r="AQ467" s="34"/>
    </row>
    <row r="468">
      <c r="B468" s="34"/>
      <c r="G468" s="35"/>
      <c r="J468" s="34"/>
      <c r="O468" s="35"/>
      <c r="AQ468" s="34"/>
    </row>
    <row r="469">
      <c r="B469" s="34"/>
      <c r="G469" s="35"/>
      <c r="J469" s="34"/>
      <c r="O469" s="35"/>
      <c r="AQ469" s="34"/>
    </row>
    <row r="470">
      <c r="B470" s="34"/>
      <c r="G470" s="35"/>
      <c r="J470" s="34"/>
      <c r="O470" s="35"/>
      <c r="AQ470" s="34"/>
    </row>
    <row r="471">
      <c r="B471" s="34"/>
      <c r="G471" s="35"/>
      <c r="J471" s="34"/>
      <c r="O471" s="35"/>
      <c r="AQ471" s="34"/>
    </row>
    <row r="472">
      <c r="B472" s="34"/>
      <c r="G472" s="35"/>
      <c r="J472" s="34"/>
      <c r="O472" s="35"/>
      <c r="AQ472" s="34"/>
    </row>
    <row r="473">
      <c r="B473" s="34"/>
      <c r="G473" s="35"/>
      <c r="J473" s="34"/>
      <c r="O473" s="35"/>
      <c r="AQ473" s="34"/>
    </row>
    <row r="474">
      <c r="B474" s="34"/>
      <c r="G474" s="35"/>
      <c r="J474" s="34"/>
      <c r="O474" s="35"/>
      <c r="AQ474" s="34"/>
    </row>
    <row r="475">
      <c r="B475" s="34"/>
      <c r="G475" s="35"/>
      <c r="J475" s="34"/>
      <c r="O475" s="35"/>
      <c r="AQ475" s="34"/>
    </row>
    <row r="476">
      <c r="B476" s="34"/>
      <c r="G476" s="35"/>
      <c r="J476" s="34"/>
      <c r="O476" s="35"/>
      <c r="AQ476" s="34"/>
    </row>
    <row r="477">
      <c r="B477" s="34"/>
      <c r="G477" s="35"/>
      <c r="J477" s="34"/>
      <c r="O477" s="35"/>
      <c r="AQ477" s="34"/>
    </row>
    <row r="478">
      <c r="B478" s="34"/>
      <c r="G478" s="35"/>
      <c r="J478" s="34"/>
      <c r="O478" s="35"/>
      <c r="AQ478" s="34"/>
    </row>
    <row r="479">
      <c r="B479" s="34"/>
      <c r="G479" s="35"/>
      <c r="J479" s="34"/>
      <c r="O479" s="35"/>
      <c r="AQ479" s="34"/>
    </row>
    <row r="480">
      <c r="B480" s="34"/>
      <c r="G480" s="35"/>
      <c r="J480" s="34"/>
      <c r="O480" s="35"/>
      <c r="AQ480" s="34"/>
    </row>
    <row r="481">
      <c r="B481" s="34"/>
      <c r="G481" s="35"/>
      <c r="J481" s="34"/>
      <c r="O481" s="35"/>
      <c r="AQ481" s="34"/>
    </row>
    <row r="482">
      <c r="B482" s="34"/>
      <c r="G482" s="35"/>
      <c r="J482" s="34"/>
      <c r="O482" s="35"/>
      <c r="AQ482" s="34"/>
    </row>
    <row r="483">
      <c r="B483" s="34"/>
      <c r="G483" s="35"/>
      <c r="J483" s="34"/>
      <c r="O483" s="35"/>
      <c r="AQ483" s="34"/>
    </row>
    <row r="484">
      <c r="B484" s="34"/>
      <c r="G484" s="35"/>
      <c r="J484" s="34"/>
      <c r="O484" s="35"/>
      <c r="AQ484" s="34"/>
    </row>
    <row r="485">
      <c r="B485" s="34"/>
      <c r="G485" s="35"/>
      <c r="J485" s="34"/>
      <c r="O485" s="35"/>
      <c r="AQ485" s="34"/>
    </row>
    <row r="486">
      <c r="B486" s="34"/>
      <c r="G486" s="35"/>
      <c r="J486" s="34"/>
      <c r="O486" s="35"/>
      <c r="AQ486" s="34"/>
    </row>
    <row r="487">
      <c r="B487" s="34"/>
      <c r="G487" s="35"/>
      <c r="J487" s="34"/>
      <c r="O487" s="35"/>
      <c r="AQ487" s="34"/>
    </row>
    <row r="488">
      <c r="B488" s="34"/>
      <c r="G488" s="35"/>
      <c r="J488" s="34"/>
      <c r="O488" s="35"/>
      <c r="AQ488" s="34"/>
    </row>
    <row r="489">
      <c r="B489" s="34"/>
      <c r="G489" s="35"/>
      <c r="J489" s="34"/>
      <c r="O489" s="35"/>
      <c r="AQ489" s="34"/>
    </row>
    <row r="490">
      <c r="B490" s="34"/>
      <c r="G490" s="35"/>
      <c r="J490" s="34"/>
      <c r="O490" s="35"/>
      <c r="AQ490" s="34"/>
    </row>
    <row r="491">
      <c r="B491" s="34"/>
      <c r="G491" s="35"/>
      <c r="J491" s="34"/>
      <c r="O491" s="35"/>
      <c r="AQ491" s="34"/>
    </row>
    <row r="492">
      <c r="B492" s="34"/>
      <c r="G492" s="35"/>
      <c r="J492" s="34"/>
      <c r="O492" s="35"/>
      <c r="AQ492" s="34"/>
    </row>
    <row r="493">
      <c r="B493" s="34"/>
      <c r="G493" s="35"/>
      <c r="J493" s="34"/>
      <c r="O493" s="35"/>
      <c r="AQ493" s="34"/>
    </row>
    <row r="494">
      <c r="B494" s="34"/>
      <c r="G494" s="35"/>
      <c r="J494" s="34"/>
      <c r="O494" s="35"/>
      <c r="AQ494" s="34"/>
    </row>
    <row r="495">
      <c r="B495" s="34"/>
      <c r="G495" s="35"/>
      <c r="J495" s="34"/>
      <c r="O495" s="35"/>
      <c r="AQ495" s="34"/>
    </row>
    <row r="496">
      <c r="B496" s="34"/>
      <c r="G496" s="35"/>
      <c r="J496" s="34"/>
      <c r="O496" s="35"/>
      <c r="AQ496" s="34"/>
    </row>
    <row r="497">
      <c r="B497" s="34"/>
      <c r="G497" s="35"/>
      <c r="J497" s="34"/>
      <c r="O497" s="35"/>
      <c r="AQ497" s="34"/>
    </row>
    <row r="498">
      <c r="B498" s="34"/>
      <c r="G498" s="35"/>
      <c r="J498" s="34"/>
      <c r="O498" s="35"/>
      <c r="AQ498" s="34"/>
    </row>
    <row r="499">
      <c r="B499" s="34"/>
      <c r="G499" s="35"/>
      <c r="J499" s="34"/>
      <c r="O499" s="35"/>
      <c r="AQ499" s="34"/>
    </row>
    <row r="500">
      <c r="B500" s="34"/>
      <c r="G500" s="35"/>
      <c r="J500" s="34"/>
      <c r="O500" s="35"/>
      <c r="AQ500" s="34"/>
    </row>
    <row r="501">
      <c r="B501" s="34"/>
      <c r="G501" s="35"/>
      <c r="J501" s="34"/>
      <c r="O501" s="35"/>
      <c r="AQ501" s="34"/>
    </row>
    <row r="502">
      <c r="B502" s="34"/>
      <c r="G502" s="35"/>
      <c r="J502" s="34"/>
      <c r="O502" s="35"/>
      <c r="AQ502" s="34"/>
    </row>
    <row r="503">
      <c r="B503" s="34"/>
      <c r="G503" s="35"/>
      <c r="J503" s="34"/>
      <c r="O503" s="35"/>
      <c r="AQ503" s="34"/>
    </row>
    <row r="504">
      <c r="B504" s="34"/>
      <c r="G504" s="35"/>
      <c r="J504" s="34"/>
      <c r="O504" s="35"/>
      <c r="AQ504" s="34"/>
    </row>
    <row r="505">
      <c r="B505" s="34"/>
      <c r="G505" s="35"/>
      <c r="J505" s="34"/>
      <c r="O505" s="35"/>
      <c r="AQ505" s="34"/>
    </row>
    <row r="506">
      <c r="B506" s="34"/>
      <c r="G506" s="35"/>
      <c r="J506" s="34"/>
      <c r="O506" s="35"/>
      <c r="AQ506" s="34"/>
    </row>
    <row r="507">
      <c r="B507" s="34"/>
      <c r="G507" s="35"/>
      <c r="J507" s="34"/>
      <c r="O507" s="35"/>
      <c r="AQ507" s="34"/>
    </row>
    <row r="508">
      <c r="B508" s="34"/>
      <c r="G508" s="35"/>
      <c r="J508" s="34"/>
      <c r="O508" s="35"/>
      <c r="AQ508" s="34"/>
    </row>
    <row r="509">
      <c r="B509" s="34"/>
      <c r="G509" s="35"/>
      <c r="J509" s="34"/>
      <c r="O509" s="35"/>
      <c r="AQ509" s="34"/>
    </row>
    <row r="510">
      <c r="B510" s="34"/>
      <c r="G510" s="35"/>
      <c r="J510" s="34"/>
      <c r="O510" s="35"/>
      <c r="AQ510" s="34"/>
    </row>
    <row r="511">
      <c r="B511" s="34"/>
      <c r="G511" s="35"/>
      <c r="J511" s="34"/>
      <c r="O511" s="35"/>
      <c r="AQ511" s="34"/>
    </row>
    <row r="512">
      <c r="B512" s="34"/>
      <c r="G512" s="35"/>
      <c r="J512" s="34"/>
      <c r="O512" s="35"/>
      <c r="AQ512" s="34"/>
    </row>
    <row r="513">
      <c r="B513" s="34"/>
      <c r="G513" s="35"/>
      <c r="J513" s="34"/>
      <c r="O513" s="35"/>
      <c r="AQ513" s="34"/>
    </row>
    <row r="514">
      <c r="B514" s="34"/>
      <c r="G514" s="35"/>
      <c r="J514" s="34"/>
      <c r="O514" s="35"/>
      <c r="AQ514" s="34"/>
    </row>
    <row r="515">
      <c r="B515" s="34"/>
      <c r="G515" s="35"/>
      <c r="J515" s="34"/>
      <c r="O515" s="35"/>
      <c r="AQ515" s="34"/>
    </row>
    <row r="516">
      <c r="B516" s="34"/>
      <c r="G516" s="35"/>
      <c r="J516" s="34"/>
      <c r="O516" s="35"/>
      <c r="AQ516" s="34"/>
    </row>
    <row r="517">
      <c r="B517" s="34"/>
      <c r="G517" s="35"/>
      <c r="J517" s="34"/>
      <c r="O517" s="35"/>
      <c r="AQ517" s="34"/>
    </row>
    <row r="518">
      <c r="B518" s="34"/>
      <c r="G518" s="35"/>
      <c r="J518" s="34"/>
      <c r="O518" s="35"/>
    </row>
    <row r="519">
      <c r="B519" s="34"/>
      <c r="G519" s="35"/>
      <c r="J519" s="34"/>
      <c r="O519" s="35"/>
    </row>
    <row r="520">
      <c r="B520" s="34"/>
      <c r="G520" s="35"/>
      <c r="J520" s="34"/>
      <c r="O520" s="35"/>
    </row>
    <row r="521">
      <c r="B521" s="34"/>
      <c r="G521" s="35"/>
      <c r="J521" s="34"/>
      <c r="O521" s="35"/>
    </row>
    <row r="522">
      <c r="B522" s="34"/>
      <c r="G522" s="35"/>
      <c r="J522" s="34"/>
      <c r="O522" s="35"/>
    </row>
    <row r="523">
      <c r="B523" s="34"/>
      <c r="G523" s="35"/>
      <c r="J523" s="34"/>
      <c r="O523" s="35"/>
    </row>
    <row r="524">
      <c r="B524" s="34"/>
      <c r="G524" s="35"/>
      <c r="J524" s="34"/>
      <c r="O524" s="35"/>
    </row>
    <row r="525">
      <c r="B525" s="34"/>
      <c r="G525" s="35"/>
      <c r="J525" s="34"/>
      <c r="O525" s="35"/>
    </row>
    <row r="526">
      <c r="B526" s="34"/>
      <c r="G526" s="35"/>
      <c r="J526" s="34"/>
      <c r="O526" s="35"/>
    </row>
    <row r="527">
      <c r="B527" s="34"/>
      <c r="G527" s="35"/>
      <c r="J527" s="34"/>
      <c r="O527" s="35"/>
    </row>
    <row r="528">
      <c r="B528" s="34"/>
      <c r="G528" s="35"/>
      <c r="J528" s="34"/>
      <c r="O528" s="35"/>
    </row>
    <row r="529">
      <c r="B529" s="34"/>
      <c r="G529" s="35"/>
      <c r="J529" s="34"/>
      <c r="O529" s="35"/>
    </row>
    <row r="530">
      <c r="B530" s="34"/>
      <c r="G530" s="35"/>
      <c r="J530" s="34"/>
      <c r="O530" s="35"/>
    </row>
    <row r="531">
      <c r="B531" s="34"/>
      <c r="G531" s="35"/>
      <c r="J531" s="34"/>
      <c r="O531" s="35"/>
    </row>
    <row r="532">
      <c r="B532" s="34"/>
      <c r="G532" s="35"/>
      <c r="J532" s="34"/>
      <c r="O532" s="35"/>
    </row>
    <row r="533">
      <c r="B533" s="34"/>
      <c r="G533" s="35"/>
      <c r="J533" s="34"/>
      <c r="O533" s="35"/>
    </row>
    <row r="534">
      <c r="B534" s="34"/>
      <c r="G534" s="35"/>
      <c r="J534" s="34"/>
      <c r="O534" s="35"/>
    </row>
    <row r="535">
      <c r="B535" s="34"/>
      <c r="G535" s="35"/>
      <c r="J535" s="34"/>
      <c r="O535" s="35"/>
    </row>
    <row r="536">
      <c r="B536" s="34"/>
      <c r="G536" s="35"/>
      <c r="J536" s="34"/>
      <c r="O536" s="35"/>
    </row>
    <row r="537">
      <c r="B537" s="34"/>
      <c r="G537" s="35"/>
      <c r="J537" s="34"/>
      <c r="O537" s="35"/>
    </row>
    <row r="538">
      <c r="B538" s="34"/>
      <c r="G538" s="35"/>
      <c r="J538" s="34"/>
      <c r="O538" s="35"/>
    </row>
    <row r="539">
      <c r="B539" s="34"/>
      <c r="G539" s="35"/>
      <c r="J539" s="34"/>
      <c r="O539" s="35"/>
    </row>
    <row r="540">
      <c r="B540" s="34"/>
      <c r="G540" s="35"/>
      <c r="J540" s="34"/>
      <c r="O540" s="35"/>
    </row>
    <row r="541">
      <c r="B541" s="34"/>
      <c r="G541" s="35"/>
      <c r="J541" s="34"/>
      <c r="O541" s="35"/>
    </row>
    <row r="542">
      <c r="B542" s="34"/>
      <c r="G542" s="35"/>
      <c r="J542" s="34"/>
      <c r="O542" s="35"/>
    </row>
    <row r="543">
      <c r="B543" s="34"/>
      <c r="G543" s="35"/>
      <c r="J543" s="34"/>
      <c r="O543" s="35"/>
    </row>
    <row r="544">
      <c r="B544" s="34"/>
      <c r="G544" s="35"/>
      <c r="J544" s="34"/>
      <c r="O544" s="35"/>
    </row>
    <row r="545">
      <c r="B545" s="34"/>
      <c r="G545" s="35"/>
      <c r="J545" s="34"/>
      <c r="O545" s="35"/>
    </row>
    <row r="546">
      <c r="B546" s="34"/>
      <c r="G546" s="35"/>
      <c r="J546" s="34"/>
      <c r="O546" s="35"/>
    </row>
    <row r="547">
      <c r="B547" s="34"/>
      <c r="G547" s="35"/>
      <c r="J547" s="34"/>
      <c r="O547" s="35"/>
    </row>
    <row r="548">
      <c r="B548" s="34"/>
      <c r="G548" s="35"/>
      <c r="J548" s="34"/>
      <c r="O548" s="35"/>
    </row>
    <row r="549">
      <c r="B549" s="34"/>
      <c r="G549" s="35"/>
      <c r="J549" s="34"/>
      <c r="O549" s="35"/>
    </row>
    <row r="550">
      <c r="B550" s="34"/>
      <c r="G550" s="35"/>
      <c r="J550" s="34"/>
      <c r="O550" s="35"/>
    </row>
    <row r="551">
      <c r="B551" s="34"/>
      <c r="G551" s="35"/>
      <c r="J551" s="34"/>
      <c r="O551" s="35"/>
    </row>
    <row r="552">
      <c r="B552" s="34"/>
      <c r="G552" s="35"/>
      <c r="J552" s="34"/>
      <c r="O552" s="35"/>
    </row>
    <row r="553">
      <c r="B553" s="34"/>
      <c r="G553" s="35"/>
      <c r="J553" s="34"/>
      <c r="O553" s="35"/>
    </row>
    <row r="554">
      <c r="B554" s="34"/>
      <c r="G554" s="35"/>
      <c r="J554" s="34"/>
      <c r="O554" s="35"/>
    </row>
    <row r="555">
      <c r="B555" s="34"/>
      <c r="G555" s="35"/>
      <c r="J555" s="34"/>
      <c r="O555" s="35"/>
    </row>
    <row r="556">
      <c r="B556" s="34"/>
      <c r="G556" s="35"/>
      <c r="J556" s="34"/>
      <c r="O556" s="35"/>
    </row>
    <row r="557">
      <c r="B557" s="34"/>
      <c r="G557" s="35"/>
      <c r="J557" s="34"/>
      <c r="O557" s="35"/>
    </row>
    <row r="558">
      <c r="B558" s="34"/>
      <c r="G558" s="35"/>
      <c r="J558" s="34"/>
      <c r="O558" s="35"/>
    </row>
    <row r="559">
      <c r="B559" s="34"/>
      <c r="G559" s="35"/>
      <c r="J559" s="34"/>
      <c r="O559" s="35"/>
    </row>
    <row r="560">
      <c r="B560" s="34"/>
      <c r="G560" s="35"/>
      <c r="J560" s="34"/>
      <c r="O560" s="35"/>
    </row>
    <row r="561">
      <c r="B561" s="34"/>
      <c r="G561" s="35"/>
      <c r="J561" s="34"/>
      <c r="O561" s="35"/>
    </row>
    <row r="562">
      <c r="B562" s="34"/>
      <c r="G562" s="35"/>
      <c r="J562" s="34"/>
      <c r="O562" s="35"/>
    </row>
    <row r="563">
      <c r="B563" s="34"/>
      <c r="G563" s="35"/>
      <c r="J563" s="34"/>
      <c r="O563" s="35"/>
    </row>
    <row r="564">
      <c r="B564" s="34"/>
      <c r="G564" s="35"/>
      <c r="J564" s="34"/>
      <c r="O564" s="35"/>
    </row>
    <row r="565">
      <c r="B565" s="34"/>
      <c r="G565" s="35"/>
      <c r="J565" s="34"/>
      <c r="O565" s="35"/>
    </row>
    <row r="566">
      <c r="B566" s="34"/>
      <c r="G566" s="35"/>
      <c r="J566" s="34"/>
      <c r="O566" s="35"/>
    </row>
    <row r="567">
      <c r="B567" s="34"/>
      <c r="G567" s="35"/>
      <c r="J567" s="34"/>
      <c r="O567" s="35"/>
    </row>
    <row r="568">
      <c r="B568" s="34"/>
      <c r="G568" s="35"/>
      <c r="J568" s="34"/>
      <c r="O568" s="35"/>
    </row>
    <row r="569">
      <c r="B569" s="34"/>
      <c r="G569" s="35"/>
      <c r="J569" s="34"/>
      <c r="O569" s="35"/>
    </row>
    <row r="570">
      <c r="B570" s="34"/>
      <c r="G570" s="35"/>
      <c r="J570" s="34"/>
      <c r="O570" s="35"/>
    </row>
    <row r="571">
      <c r="B571" s="34"/>
      <c r="G571" s="35"/>
      <c r="J571" s="34"/>
      <c r="O571" s="35"/>
    </row>
    <row r="572">
      <c r="B572" s="34"/>
      <c r="G572" s="35"/>
      <c r="J572" s="34"/>
      <c r="O572" s="35"/>
    </row>
    <row r="573">
      <c r="B573" s="34"/>
      <c r="G573" s="35"/>
      <c r="J573" s="34"/>
      <c r="O573" s="35"/>
    </row>
    <row r="574">
      <c r="B574" s="34"/>
      <c r="G574" s="35"/>
      <c r="J574" s="34"/>
      <c r="O574" s="35"/>
    </row>
    <row r="575">
      <c r="B575" s="34"/>
      <c r="G575" s="35"/>
      <c r="J575" s="34"/>
      <c r="O575" s="35"/>
    </row>
    <row r="576">
      <c r="B576" s="34"/>
      <c r="G576" s="35"/>
      <c r="J576" s="34"/>
      <c r="O576" s="35"/>
    </row>
    <row r="577">
      <c r="B577" s="34"/>
      <c r="G577" s="35"/>
      <c r="J577" s="34"/>
      <c r="O577" s="35"/>
    </row>
    <row r="578">
      <c r="B578" s="34"/>
      <c r="G578" s="35"/>
      <c r="J578" s="34"/>
      <c r="O578" s="35"/>
    </row>
    <row r="579">
      <c r="B579" s="34"/>
      <c r="G579" s="35"/>
      <c r="J579" s="34"/>
      <c r="O579" s="35"/>
    </row>
    <row r="580">
      <c r="B580" s="34"/>
      <c r="G580" s="35"/>
      <c r="J580" s="34"/>
      <c r="O580" s="35"/>
    </row>
    <row r="581">
      <c r="B581" s="34"/>
      <c r="G581" s="35"/>
      <c r="J581" s="34"/>
      <c r="O581" s="35"/>
    </row>
    <row r="582">
      <c r="B582" s="34"/>
      <c r="G582" s="35"/>
      <c r="J582" s="34"/>
      <c r="O582" s="35"/>
    </row>
    <row r="583">
      <c r="B583" s="34"/>
      <c r="G583" s="35"/>
      <c r="J583" s="34"/>
      <c r="O583" s="35"/>
    </row>
    <row r="584">
      <c r="B584" s="34"/>
      <c r="G584" s="35"/>
      <c r="J584" s="34"/>
      <c r="O584" s="35"/>
    </row>
    <row r="585">
      <c r="B585" s="34"/>
      <c r="G585" s="35"/>
      <c r="J585" s="34"/>
      <c r="O585" s="35"/>
    </row>
    <row r="586">
      <c r="B586" s="34"/>
      <c r="G586" s="35"/>
      <c r="J586" s="34"/>
      <c r="O586" s="35"/>
    </row>
    <row r="587">
      <c r="B587" s="34"/>
      <c r="G587" s="35"/>
      <c r="J587" s="34"/>
      <c r="O587" s="35"/>
    </row>
    <row r="588">
      <c r="B588" s="34"/>
      <c r="G588" s="35"/>
      <c r="J588" s="34"/>
      <c r="O588" s="35"/>
    </row>
    <row r="589">
      <c r="B589" s="34"/>
      <c r="G589" s="35"/>
      <c r="J589" s="34"/>
      <c r="O589" s="35"/>
    </row>
    <row r="590">
      <c r="B590" s="34"/>
      <c r="G590" s="35"/>
      <c r="J590" s="34"/>
      <c r="O590" s="35"/>
    </row>
    <row r="591">
      <c r="B591" s="34"/>
      <c r="G591" s="35"/>
      <c r="J591" s="34"/>
      <c r="O591" s="35"/>
    </row>
    <row r="592">
      <c r="B592" s="34"/>
      <c r="G592" s="35"/>
      <c r="J592" s="34"/>
      <c r="O592" s="35"/>
    </row>
    <row r="593">
      <c r="B593" s="34"/>
      <c r="G593" s="35"/>
      <c r="J593" s="34"/>
      <c r="O593" s="35"/>
    </row>
    <row r="594">
      <c r="B594" s="34"/>
      <c r="G594" s="35"/>
      <c r="J594" s="34"/>
      <c r="O594" s="35"/>
    </row>
    <row r="595">
      <c r="B595" s="34"/>
      <c r="G595" s="35"/>
      <c r="J595" s="34"/>
      <c r="O595" s="35"/>
    </row>
    <row r="596">
      <c r="B596" s="34"/>
      <c r="G596" s="35"/>
      <c r="J596" s="34"/>
      <c r="O596" s="35"/>
    </row>
    <row r="597">
      <c r="B597" s="34"/>
      <c r="G597" s="35"/>
      <c r="J597" s="34"/>
      <c r="O597" s="35"/>
    </row>
    <row r="598">
      <c r="B598" s="34"/>
      <c r="G598" s="35"/>
      <c r="J598" s="34"/>
      <c r="O598" s="35"/>
    </row>
    <row r="599">
      <c r="B599" s="34"/>
      <c r="G599" s="35"/>
      <c r="J599" s="34"/>
      <c r="O599" s="35"/>
    </row>
    <row r="600">
      <c r="B600" s="34"/>
      <c r="G600" s="35"/>
      <c r="J600" s="34"/>
      <c r="O600" s="35"/>
    </row>
    <row r="601">
      <c r="B601" s="34"/>
      <c r="G601" s="35"/>
      <c r="J601" s="34"/>
      <c r="O601" s="35"/>
    </row>
    <row r="602">
      <c r="B602" s="34"/>
      <c r="G602" s="35"/>
      <c r="J602" s="34"/>
      <c r="O602" s="35"/>
    </row>
    <row r="603">
      <c r="B603" s="34"/>
      <c r="G603" s="35"/>
      <c r="J603" s="34"/>
      <c r="O603" s="35"/>
    </row>
    <row r="604">
      <c r="B604" s="34"/>
      <c r="G604" s="35"/>
      <c r="J604" s="34"/>
      <c r="O604" s="35"/>
    </row>
    <row r="605">
      <c r="B605" s="34"/>
      <c r="G605" s="35"/>
      <c r="J605" s="34"/>
      <c r="O605" s="35"/>
    </row>
    <row r="606">
      <c r="B606" s="34"/>
      <c r="G606" s="35"/>
      <c r="J606" s="34"/>
      <c r="O606" s="35"/>
    </row>
    <row r="607">
      <c r="B607" s="34"/>
      <c r="G607" s="35"/>
      <c r="J607" s="34"/>
      <c r="O607" s="35"/>
    </row>
    <row r="608">
      <c r="B608" s="34"/>
      <c r="G608" s="35"/>
      <c r="J608" s="34"/>
      <c r="O608" s="35"/>
    </row>
    <row r="609">
      <c r="B609" s="34"/>
      <c r="G609" s="35"/>
      <c r="J609" s="34"/>
      <c r="O609" s="35"/>
    </row>
    <row r="610">
      <c r="B610" s="34"/>
      <c r="G610" s="35"/>
      <c r="J610" s="34"/>
      <c r="O610" s="35"/>
    </row>
    <row r="611">
      <c r="B611" s="34"/>
      <c r="G611" s="35"/>
      <c r="J611" s="34"/>
      <c r="O611" s="35"/>
    </row>
    <row r="612">
      <c r="B612" s="34"/>
      <c r="G612" s="35"/>
      <c r="J612" s="34"/>
      <c r="O612" s="35"/>
    </row>
    <row r="613">
      <c r="B613" s="34"/>
      <c r="G613" s="35"/>
      <c r="J613" s="34"/>
      <c r="O613" s="35"/>
    </row>
    <row r="614">
      <c r="B614" s="34"/>
      <c r="G614" s="35"/>
      <c r="J614" s="34"/>
      <c r="O614" s="35"/>
    </row>
    <row r="615">
      <c r="B615" s="34"/>
      <c r="G615" s="35"/>
      <c r="J615" s="34"/>
      <c r="O615" s="35"/>
    </row>
    <row r="616">
      <c r="B616" s="34"/>
      <c r="G616" s="35"/>
      <c r="J616" s="34"/>
      <c r="O616" s="35"/>
    </row>
    <row r="617">
      <c r="B617" s="34"/>
      <c r="G617" s="35"/>
      <c r="J617" s="34"/>
      <c r="O617" s="35"/>
    </row>
    <row r="618">
      <c r="B618" s="34"/>
      <c r="G618" s="35"/>
      <c r="J618" s="34"/>
      <c r="O618" s="35"/>
    </row>
    <row r="619">
      <c r="B619" s="34"/>
      <c r="G619" s="35"/>
      <c r="J619" s="34"/>
      <c r="O619" s="35"/>
    </row>
    <row r="620">
      <c r="B620" s="34"/>
      <c r="G620" s="35"/>
      <c r="J620" s="34"/>
      <c r="O620" s="35"/>
    </row>
    <row r="621">
      <c r="B621" s="34"/>
      <c r="G621" s="35"/>
      <c r="J621" s="34"/>
      <c r="O621" s="35"/>
    </row>
    <row r="622">
      <c r="B622" s="34"/>
      <c r="G622" s="35"/>
      <c r="J622" s="34"/>
      <c r="O622" s="35"/>
    </row>
    <row r="623">
      <c r="B623" s="34"/>
      <c r="G623" s="35"/>
      <c r="J623" s="34"/>
      <c r="O623" s="35"/>
    </row>
    <row r="624">
      <c r="B624" s="34"/>
      <c r="G624" s="35"/>
      <c r="J624" s="34"/>
      <c r="O624" s="35"/>
    </row>
    <row r="625">
      <c r="B625" s="34"/>
      <c r="G625" s="35"/>
      <c r="J625" s="34"/>
      <c r="O625" s="35"/>
    </row>
    <row r="626">
      <c r="B626" s="34"/>
      <c r="G626" s="35"/>
      <c r="J626" s="34"/>
      <c r="O626" s="35"/>
    </row>
    <row r="627">
      <c r="B627" s="34"/>
      <c r="G627" s="35"/>
      <c r="J627" s="34"/>
      <c r="O627" s="35"/>
    </row>
    <row r="628">
      <c r="B628" s="34"/>
      <c r="G628" s="35"/>
      <c r="J628" s="34"/>
      <c r="O628" s="35"/>
    </row>
    <row r="629">
      <c r="B629" s="34"/>
      <c r="G629" s="35"/>
      <c r="J629" s="34"/>
      <c r="O629" s="35"/>
    </row>
    <row r="630">
      <c r="B630" s="34"/>
      <c r="G630" s="35"/>
      <c r="J630" s="34"/>
      <c r="O630" s="35"/>
    </row>
    <row r="631">
      <c r="B631" s="34"/>
      <c r="G631" s="35"/>
      <c r="J631" s="34"/>
      <c r="O631" s="35"/>
    </row>
    <row r="632">
      <c r="B632" s="34"/>
      <c r="G632" s="35"/>
      <c r="J632" s="34"/>
      <c r="O632" s="35"/>
    </row>
    <row r="633">
      <c r="B633" s="34"/>
      <c r="G633" s="35"/>
      <c r="J633" s="34"/>
      <c r="O633" s="35"/>
    </row>
    <row r="634">
      <c r="B634" s="34"/>
      <c r="G634" s="35"/>
      <c r="J634" s="34"/>
      <c r="O634" s="35"/>
    </row>
    <row r="635">
      <c r="B635" s="34"/>
      <c r="G635" s="35"/>
      <c r="J635" s="34"/>
      <c r="O635" s="35"/>
    </row>
    <row r="636">
      <c r="B636" s="34"/>
      <c r="G636" s="35"/>
      <c r="J636" s="34"/>
      <c r="O636" s="35"/>
    </row>
    <row r="637">
      <c r="B637" s="34"/>
      <c r="G637" s="35"/>
      <c r="J637" s="34"/>
      <c r="O637" s="35"/>
    </row>
    <row r="638">
      <c r="B638" s="34"/>
      <c r="G638" s="35"/>
      <c r="J638" s="34"/>
      <c r="O638" s="35"/>
    </row>
    <row r="639">
      <c r="B639" s="34"/>
      <c r="G639" s="35"/>
      <c r="J639" s="34"/>
      <c r="O639" s="35"/>
    </row>
    <row r="640">
      <c r="B640" s="34"/>
      <c r="G640" s="35"/>
      <c r="J640" s="34"/>
      <c r="O640" s="35"/>
    </row>
    <row r="641">
      <c r="B641" s="34"/>
      <c r="G641" s="35"/>
      <c r="J641" s="34"/>
      <c r="O641" s="35"/>
    </row>
    <row r="642">
      <c r="B642" s="34"/>
      <c r="G642" s="35"/>
      <c r="J642" s="34"/>
      <c r="O642" s="35"/>
    </row>
    <row r="643">
      <c r="B643" s="34"/>
      <c r="G643" s="35"/>
      <c r="J643" s="34"/>
      <c r="O643" s="35"/>
    </row>
    <row r="644">
      <c r="B644" s="34"/>
      <c r="G644" s="35"/>
      <c r="J644" s="34"/>
      <c r="O644" s="35"/>
    </row>
    <row r="645">
      <c r="B645" s="34"/>
      <c r="G645" s="35"/>
      <c r="J645" s="34"/>
      <c r="O645" s="35"/>
    </row>
    <row r="646">
      <c r="B646" s="34"/>
      <c r="G646" s="35"/>
      <c r="J646" s="34"/>
      <c r="O646" s="35"/>
    </row>
    <row r="647">
      <c r="B647" s="34"/>
      <c r="G647" s="35"/>
      <c r="J647" s="34"/>
      <c r="O647" s="35"/>
    </row>
    <row r="648">
      <c r="B648" s="34"/>
      <c r="G648" s="35"/>
      <c r="J648" s="34"/>
      <c r="O648" s="35"/>
    </row>
    <row r="649">
      <c r="B649" s="34"/>
      <c r="G649" s="35"/>
      <c r="J649" s="34"/>
      <c r="O649" s="35"/>
    </row>
    <row r="650">
      <c r="B650" s="34"/>
      <c r="G650" s="35"/>
      <c r="J650" s="34"/>
      <c r="O650" s="35"/>
    </row>
    <row r="651">
      <c r="B651" s="34"/>
      <c r="G651" s="35"/>
      <c r="J651" s="34"/>
      <c r="O651" s="35"/>
    </row>
    <row r="652">
      <c r="B652" s="34"/>
      <c r="G652" s="35"/>
      <c r="J652" s="34"/>
      <c r="O652" s="35"/>
    </row>
    <row r="653">
      <c r="B653" s="34"/>
      <c r="G653" s="35"/>
      <c r="J653" s="34"/>
      <c r="O653" s="35"/>
    </row>
    <row r="654">
      <c r="B654" s="34"/>
      <c r="G654" s="35"/>
      <c r="J654" s="34"/>
      <c r="O654" s="35"/>
    </row>
    <row r="655">
      <c r="B655" s="34"/>
      <c r="G655" s="35"/>
      <c r="J655" s="34"/>
      <c r="O655" s="35"/>
    </row>
    <row r="656">
      <c r="B656" s="34"/>
      <c r="G656" s="35"/>
      <c r="J656" s="34"/>
      <c r="O656" s="35"/>
    </row>
    <row r="657">
      <c r="B657" s="34"/>
      <c r="G657" s="35"/>
      <c r="J657" s="34"/>
      <c r="O657" s="35"/>
    </row>
    <row r="658">
      <c r="B658" s="34"/>
      <c r="G658" s="35"/>
      <c r="J658" s="34"/>
      <c r="O658" s="35"/>
    </row>
    <row r="659">
      <c r="B659" s="34"/>
      <c r="G659" s="35"/>
      <c r="J659" s="34"/>
      <c r="O659" s="35"/>
    </row>
    <row r="660">
      <c r="B660" s="34"/>
      <c r="G660" s="35"/>
      <c r="J660" s="34"/>
    </row>
    <row r="661">
      <c r="B661" s="34"/>
      <c r="G661" s="35"/>
    </row>
    <row r="662">
      <c r="B662" s="34"/>
      <c r="G662" s="35"/>
    </row>
    <row r="663">
      <c r="B663" s="34"/>
      <c r="G663" s="35"/>
    </row>
    <row r="664">
      <c r="B664" s="34"/>
      <c r="G664" s="35"/>
    </row>
    <row r="665">
      <c r="B665" s="34"/>
      <c r="G665" s="35"/>
    </row>
    <row r="666">
      <c r="B666" s="34"/>
      <c r="G666" s="35"/>
    </row>
    <row r="667">
      <c r="B667" s="34"/>
      <c r="G667" s="35"/>
    </row>
    <row r="668">
      <c r="B668" s="34"/>
      <c r="G668" s="35"/>
    </row>
    <row r="669">
      <c r="B669" s="34"/>
      <c r="G669" s="35"/>
    </row>
    <row r="670">
      <c r="B670" s="34"/>
      <c r="G670" s="35"/>
    </row>
    <row r="671">
      <c r="B671" s="34"/>
      <c r="G671" s="35"/>
    </row>
    <row r="672">
      <c r="B672" s="34"/>
      <c r="G672" s="35"/>
    </row>
    <row r="673">
      <c r="B673" s="34"/>
      <c r="G673" s="35"/>
    </row>
    <row r="674">
      <c r="B674" s="34"/>
      <c r="G674" s="35"/>
    </row>
    <row r="675">
      <c r="B675" s="34"/>
      <c r="G675" s="35"/>
    </row>
    <row r="676">
      <c r="B676" s="34"/>
      <c r="G676" s="35"/>
    </row>
    <row r="677">
      <c r="B677" s="34"/>
      <c r="G677" s="35"/>
    </row>
    <row r="678">
      <c r="B678" s="34"/>
      <c r="G678" s="35"/>
    </row>
    <row r="679">
      <c r="B679" s="34"/>
      <c r="G679" s="35"/>
    </row>
    <row r="680">
      <c r="B680" s="34"/>
      <c r="G680" s="35"/>
    </row>
    <row r="681">
      <c r="B681" s="34"/>
      <c r="G681" s="35"/>
    </row>
    <row r="682">
      <c r="B682" s="34"/>
      <c r="G682" s="35"/>
    </row>
    <row r="683">
      <c r="B683" s="34"/>
      <c r="G683" s="35"/>
    </row>
    <row r="684">
      <c r="B684" s="34"/>
      <c r="G684" s="35"/>
    </row>
    <row r="685">
      <c r="B685" s="34"/>
      <c r="G685" s="35"/>
    </row>
    <row r="686">
      <c r="B686" s="34"/>
      <c r="G686" s="35"/>
    </row>
    <row r="687">
      <c r="B687" s="34"/>
      <c r="G687" s="35"/>
    </row>
    <row r="688">
      <c r="B688" s="34"/>
      <c r="G688" s="35"/>
    </row>
    <row r="689">
      <c r="B689" s="34"/>
      <c r="G689" s="35"/>
    </row>
    <row r="690">
      <c r="B690" s="34"/>
      <c r="G690" s="35"/>
    </row>
    <row r="691">
      <c r="B691" s="34"/>
      <c r="G691" s="35"/>
    </row>
    <row r="692">
      <c r="B692" s="34"/>
      <c r="G692" s="35"/>
    </row>
    <row r="693">
      <c r="B693" s="34"/>
      <c r="G693" s="35"/>
    </row>
    <row r="694">
      <c r="B694" s="34"/>
      <c r="G694" s="35"/>
    </row>
    <row r="695">
      <c r="B695" s="34"/>
      <c r="G695" s="35"/>
    </row>
    <row r="696">
      <c r="B696" s="34"/>
      <c r="G696" s="35"/>
    </row>
    <row r="697">
      <c r="B697" s="34"/>
      <c r="G697" s="35"/>
    </row>
    <row r="698">
      <c r="B698" s="34"/>
      <c r="G698" s="35"/>
    </row>
    <row r="699">
      <c r="B699" s="34"/>
      <c r="G699" s="35"/>
    </row>
    <row r="700">
      <c r="B700" s="34"/>
      <c r="G700" s="35"/>
    </row>
    <row r="701">
      <c r="B701" s="34"/>
      <c r="G701" s="35"/>
    </row>
    <row r="702">
      <c r="B702" s="34"/>
      <c r="G702" s="35"/>
    </row>
    <row r="703">
      <c r="B703" s="34"/>
      <c r="G703" s="35"/>
    </row>
    <row r="704">
      <c r="B704" s="34"/>
      <c r="G704" s="35"/>
    </row>
    <row r="705">
      <c r="B705" s="34"/>
      <c r="G705" s="35"/>
    </row>
    <row r="706">
      <c r="B706" s="34"/>
      <c r="G706" s="35"/>
    </row>
    <row r="707">
      <c r="B707" s="34"/>
      <c r="G707" s="35"/>
    </row>
    <row r="708">
      <c r="B708" s="34"/>
      <c r="G708" s="35"/>
    </row>
    <row r="709">
      <c r="B709" s="34"/>
      <c r="G709" s="35"/>
    </row>
    <row r="710">
      <c r="B710" s="34"/>
      <c r="G710" s="35"/>
    </row>
    <row r="711">
      <c r="B711" s="34"/>
      <c r="G711" s="35"/>
    </row>
    <row r="712">
      <c r="B712" s="34"/>
      <c r="G712" s="35"/>
    </row>
    <row r="713">
      <c r="B713" s="34"/>
      <c r="G713" s="35"/>
    </row>
    <row r="714">
      <c r="B714" s="34"/>
      <c r="G714" s="35"/>
    </row>
    <row r="715">
      <c r="B715" s="34"/>
    </row>
    <row r="716">
      <c r="B716" s="34"/>
    </row>
    <row r="717">
      <c r="B717" s="34"/>
    </row>
    <row r="718">
      <c r="B718" s="34"/>
    </row>
    <row r="719">
      <c r="B719" s="34"/>
    </row>
    <row r="720">
      <c r="B720" s="34"/>
    </row>
    <row r="721">
      <c r="B721" s="34"/>
    </row>
    <row r="722">
      <c r="B722" s="34"/>
    </row>
    <row r="723">
      <c r="B723" s="34"/>
    </row>
    <row r="724">
      <c r="B724" s="34"/>
    </row>
    <row r="725">
      <c r="B725" s="34"/>
    </row>
    <row r="726">
      <c r="B726" s="34"/>
    </row>
    <row r="727">
      <c r="B727" s="3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22">
        <f>SUM(D:D)</f>
        <v>253953.47</v>
      </c>
    </row>
    <row r="3"/>
    <row r="4"/>
    <row r="5"/>
    <row r="6"/>
    <row r="7"/>
    <row r="8"/>
    <row r="9">
      <c r="A9" s="64"/>
      <c r="D9" s="22"/>
    </row>
    <row r="10">
      <c r="A10" s="64"/>
      <c r="D10" s="22"/>
    </row>
    <row r="11">
      <c r="A11" s="64"/>
      <c r="D11" s="22"/>
    </row>
    <row r="12">
      <c r="A12" s="64"/>
      <c r="D12" s="22"/>
    </row>
    <row r="13">
      <c r="A13" s="64"/>
      <c r="D13" s="22"/>
    </row>
    <row r="14">
      <c r="A14" s="64"/>
      <c r="D14" s="22"/>
    </row>
    <row r="15">
      <c r="A15" s="64"/>
      <c r="D15" s="22"/>
    </row>
    <row r="16">
      <c r="A16" s="64"/>
      <c r="D16" s="22"/>
    </row>
    <row r="17">
      <c r="A17" s="64"/>
      <c r="D17" s="22"/>
    </row>
    <row r="18">
      <c r="A18" s="64"/>
      <c r="D18" s="22"/>
    </row>
    <row r="19">
      <c r="A19" s="64"/>
      <c r="D19" s="22"/>
    </row>
    <row r="20">
      <c r="A20" s="64"/>
      <c r="D20" s="22"/>
    </row>
    <row r="21">
      <c r="A21" s="64"/>
      <c r="D21" s="22"/>
    </row>
    <row r="22">
      <c r="A22" s="64"/>
      <c r="D22" s="22"/>
    </row>
    <row r="23">
      <c r="A23" s="64"/>
      <c r="D23" s="22"/>
    </row>
    <row r="24">
      <c r="A24" s="64"/>
      <c r="D24" s="22"/>
    </row>
    <row r="25">
      <c r="A25" s="64"/>
      <c r="D25" s="22"/>
    </row>
    <row r="26">
      <c r="A26" s="64"/>
      <c r="D26" s="22"/>
    </row>
    <row r="27">
      <c r="A27" s="64"/>
      <c r="D27" s="22"/>
    </row>
    <row r="28">
      <c r="A28" s="64"/>
      <c r="D28" s="22"/>
    </row>
    <row r="29">
      <c r="A29" s="64"/>
      <c r="D29" s="22"/>
    </row>
    <row r="30">
      <c r="A30" s="64"/>
      <c r="D30" s="22"/>
    </row>
    <row r="31">
      <c r="A31" s="64"/>
      <c r="D31" s="22"/>
    </row>
    <row r="32">
      <c r="A32" s="64"/>
      <c r="D32" s="22"/>
    </row>
    <row r="33">
      <c r="A33" s="64"/>
      <c r="D33" s="22"/>
    </row>
    <row r="34">
      <c r="A34" s="64"/>
      <c r="D34" s="22"/>
    </row>
    <row r="35">
      <c r="A35" s="64"/>
      <c r="D35" s="22"/>
    </row>
    <row r="36">
      <c r="A36" s="64"/>
      <c r="D36" s="22"/>
    </row>
    <row r="37">
      <c r="A37" s="64"/>
      <c r="D37" s="22"/>
    </row>
    <row r="38">
      <c r="A38" s="64"/>
      <c r="D38" s="22"/>
    </row>
    <row r="39">
      <c r="A39" s="64"/>
      <c r="D39" s="22"/>
    </row>
    <row r="40">
      <c r="A40" s="64"/>
      <c r="D40" s="22"/>
    </row>
    <row r="41">
      <c r="A41" s="64"/>
      <c r="D41" s="22"/>
    </row>
    <row r="42">
      <c r="A42" s="64"/>
      <c r="D42" s="22"/>
    </row>
    <row r="43">
      <c r="A43" s="64"/>
      <c r="D43" s="22"/>
    </row>
    <row r="44">
      <c r="A44" s="64"/>
      <c r="D44" s="22"/>
    </row>
    <row r="45">
      <c r="A45" s="64"/>
      <c r="D45" s="22"/>
    </row>
    <row r="46">
      <c r="A46" s="64"/>
      <c r="D46" s="22"/>
    </row>
    <row r="47">
      <c r="A47" s="64"/>
      <c r="D47" s="22"/>
    </row>
    <row r="48">
      <c r="A48" s="64"/>
      <c r="D48" s="22"/>
    </row>
    <row r="49">
      <c r="A49" s="64"/>
      <c r="D49" s="22"/>
    </row>
    <row r="50">
      <c r="A50" s="64"/>
      <c r="D50" s="22"/>
    </row>
    <row r="51">
      <c r="A51" s="64"/>
      <c r="D51" s="22"/>
    </row>
    <row r="52">
      <c r="A52" s="64"/>
      <c r="D52" s="22"/>
    </row>
    <row r="53">
      <c r="A53" s="64"/>
      <c r="D53" s="22"/>
    </row>
    <row r="54">
      <c r="A54" s="64"/>
      <c r="D54" s="22"/>
    </row>
    <row r="55">
      <c r="A55" s="64"/>
      <c r="D55" s="22"/>
    </row>
    <row r="56">
      <c r="A56" s="64"/>
      <c r="D56" s="22"/>
    </row>
    <row r="57">
      <c r="A57" s="64"/>
      <c r="D57" s="22"/>
    </row>
    <row r="58">
      <c r="A58" s="64"/>
      <c r="D58" s="22"/>
    </row>
    <row r="59">
      <c r="A59" s="64"/>
      <c r="D59" s="22"/>
    </row>
    <row r="60">
      <c r="A60" s="64"/>
      <c r="D60" s="22"/>
    </row>
    <row r="61">
      <c r="A61" s="64"/>
      <c r="D61" s="22"/>
    </row>
    <row r="62">
      <c r="A62" s="64"/>
      <c r="D62" s="22"/>
    </row>
    <row r="63">
      <c r="A63" s="64"/>
      <c r="D63" s="22"/>
    </row>
    <row r="64">
      <c r="A64" s="64"/>
      <c r="D64" s="22"/>
    </row>
    <row r="65">
      <c r="A65" s="64"/>
      <c r="D65" s="22"/>
    </row>
    <row r="66">
      <c r="A66" s="64"/>
      <c r="D66" s="22"/>
    </row>
    <row r="67">
      <c r="A67" s="64"/>
      <c r="D67" s="22"/>
    </row>
    <row r="68">
      <c r="A68" s="64"/>
      <c r="D68" s="22"/>
    </row>
    <row r="69">
      <c r="A69" s="64"/>
      <c r="D69" s="22"/>
    </row>
    <row r="70">
      <c r="A70" s="64"/>
      <c r="D70" s="22"/>
    </row>
    <row r="71">
      <c r="A71" s="64"/>
      <c r="D71" s="22"/>
    </row>
    <row r="72">
      <c r="A72" s="64"/>
      <c r="D72" s="22"/>
    </row>
    <row r="73">
      <c r="A73" s="64"/>
      <c r="D73" s="22"/>
    </row>
    <row r="74">
      <c r="A74" s="64"/>
      <c r="D74" s="22"/>
    </row>
    <row r="75">
      <c r="A75" s="64"/>
      <c r="D75" s="22"/>
    </row>
    <row r="76">
      <c r="A76" s="64"/>
      <c r="D76" s="22"/>
    </row>
    <row r="77">
      <c r="A77" s="64"/>
      <c r="D77" s="22"/>
    </row>
    <row r="78">
      <c r="A78" s="64"/>
      <c r="D78" s="22"/>
    </row>
    <row r="79">
      <c r="A79" s="64"/>
      <c r="D79" s="22"/>
    </row>
    <row r="80">
      <c r="A80" s="64"/>
      <c r="D80" s="22"/>
    </row>
    <row r="81">
      <c r="A81" s="64"/>
      <c r="D81" s="22"/>
    </row>
    <row r="82">
      <c r="A82" s="64"/>
      <c r="D82" s="22"/>
    </row>
    <row r="83">
      <c r="A83" s="64"/>
      <c r="D83" s="22"/>
    </row>
    <row r="84">
      <c r="A84" s="64"/>
      <c r="D84" s="22"/>
    </row>
    <row r="85">
      <c r="A85" s="64"/>
      <c r="D85" s="22"/>
    </row>
    <row r="86">
      <c r="A86" s="64"/>
      <c r="D86" s="22"/>
    </row>
    <row r="87">
      <c r="A87" s="64"/>
      <c r="D87" s="22"/>
    </row>
    <row r="88">
      <c r="A88" s="64"/>
      <c r="D88" s="22"/>
    </row>
    <row r="89">
      <c r="A89" s="64"/>
      <c r="D89" s="22"/>
    </row>
    <row r="90">
      <c r="A90" s="64"/>
      <c r="D90" s="22"/>
    </row>
    <row r="91">
      <c r="A91" s="64"/>
      <c r="D91" s="22"/>
    </row>
    <row r="92">
      <c r="A92" s="64"/>
      <c r="D92" s="22"/>
    </row>
    <row r="93">
      <c r="A93" s="64"/>
      <c r="D93" s="22"/>
    </row>
    <row r="94">
      <c r="A94" s="64"/>
      <c r="D94" s="22"/>
    </row>
    <row r="95">
      <c r="A95" s="64"/>
      <c r="D95" s="22"/>
    </row>
    <row r="96">
      <c r="A96" s="64"/>
      <c r="D96" s="22"/>
    </row>
    <row r="97">
      <c r="A97" s="64"/>
      <c r="D97" s="22"/>
    </row>
    <row r="98">
      <c r="A98" s="64"/>
      <c r="D98" s="22"/>
    </row>
    <row r="99">
      <c r="A99" s="64"/>
      <c r="D99" s="22"/>
    </row>
    <row r="100">
      <c r="A100" s="64"/>
      <c r="D100" s="22"/>
    </row>
    <row r="101">
      <c r="A101" s="64"/>
      <c r="D101" s="22"/>
    </row>
    <row r="102">
      <c r="A102" s="64"/>
      <c r="D102" s="22"/>
    </row>
    <row r="103">
      <c r="A103" s="64"/>
      <c r="D103" s="22"/>
    </row>
    <row r="104">
      <c r="A104" s="64"/>
      <c r="D104" s="22"/>
    </row>
    <row r="105">
      <c r="A105" s="64"/>
      <c r="D105" s="22"/>
    </row>
    <row r="106">
      <c r="A106" s="64"/>
      <c r="D106" s="22"/>
    </row>
    <row r="107">
      <c r="A107" s="64"/>
      <c r="D107" s="22"/>
    </row>
    <row r="108">
      <c r="A108" s="64"/>
      <c r="D108" s="22"/>
    </row>
    <row r="109">
      <c r="A109" s="64"/>
      <c r="D109" s="22"/>
    </row>
    <row r="110">
      <c r="A110" s="64"/>
      <c r="D110" s="22"/>
    </row>
    <row r="111">
      <c r="A111" s="64"/>
      <c r="D111" s="22"/>
    </row>
    <row r="112">
      <c r="A112" s="64"/>
      <c r="D112" s="22"/>
    </row>
    <row r="113">
      <c r="A113" s="64"/>
      <c r="D113" s="22"/>
    </row>
    <row r="114">
      <c r="A114" s="64"/>
      <c r="D114" s="22"/>
    </row>
    <row r="115">
      <c r="A115" s="64"/>
      <c r="D115" s="22"/>
    </row>
    <row r="116">
      <c r="A116" s="64"/>
      <c r="D116" s="22"/>
    </row>
    <row r="117">
      <c r="A117" s="64"/>
      <c r="D117" s="22"/>
    </row>
    <row r="118">
      <c r="A118" s="64"/>
      <c r="D118" s="22"/>
    </row>
    <row r="119">
      <c r="A119" s="64"/>
      <c r="D119" s="22"/>
    </row>
    <row r="120">
      <c r="A120" s="64"/>
      <c r="D120" s="22"/>
    </row>
    <row r="121">
      <c r="A121" s="64"/>
      <c r="D121" s="22"/>
    </row>
    <row r="122">
      <c r="A122" s="64"/>
      <c r="D122" s="22"/>
    </row>
    <row r="123">
      <c r="A123" s="64"/>
      <c r="D123" s="22"/>
    </row>
    <row r="124">
      <c r="A124" s="64"/>
      <c r="D124" s="22"/>
    </row>
    <row r="125">
      <c r="A125" s="64"/>
      <c r="D125" s="22"/>
    </row>
    <row r="126">
      <c r="A126" s="64"/>
      <c r="D126" s="22"/>
    </row>
    <row r="127">
      <c r="A127" s="64"/>
      <c r="D127" s="22"/>
    </row>
    <row r="128">
      <c r="A128" s="64"/>
      <c r="D128" s="22"/>
    </row>
    <row r="129">
      <c r="A129" s="64"/>
      <c r="D129" s="22"/>
    </row>
    <row r="130">
      <c r="A130" s="64"/>
      <c r="D130" s="22"/>
    </row>
    <row r="131">
      <c r="A131" s="64"/>
      <c r="D131" s="22"/>
    </row>
    <row r="132">
      <c r="A132" s="64"/>
      <c r="D132" s="22"/>
    </row>
    <row r="133">
      <c r="A133" s="64"/>
      <c r="D133" s="22"/>
    </row>
    <row r="134">
      <c r="A134" s="64"/>
      <c r="D134" s="22"/>
    </row>
    <row r="135">
      <c r="A135" s="64"/>
      <c r="D135" s="22"/>
    </row>
    <row r="136">
      <c r="A136" s="64"/>
      <c r="D136" s="22"/>
    </row>
    <row r="137">
      <c r="A137" s="64"/>
      <c r="D137" s="22"/>
    </row>
    <row r="138">
      <c r="A138" s="64"/>
      <c r="D138" s="22"/>
    </row>
    <row r="139">
      <c r="A139" s="64"/>
      <c r="D139" s="22"/>
    </row>
    <row r="140">
      <c r="A140" s="64"/>
      <c r="D140" s="22"/>
    </row>
    <row r="141">
      <c r="A141" s="64"/>
      <c r="D141" s="22"/>
    </row>
    <row r="142">
      <c r="A142" s="64"/>
      <c r="D142" s="22"/>
    </row>
    <row r="143">
      <c r="A143" s="64"/>
      <c r="D143" s="22"/>
    </row>
    <row r="144">
      <c r="A144" s="64"/>
      <c r="D144" s="22"/>
    </row>
    <row r="145">
      <c r="A145" s="64"/>
      <c r="D145" s="22"/>
    </row>
    <row r="146">
      <c r="A146" s="64"/>
      <c r="D146" s="22"/>
    </row>
    <row r="147">
      <c r="A147" s="64"/>
      <c r="D147" s="22"/>
    </row>
    <row r="148">
      <c r="A148" s="64"/>
      <c r="D148" s="22"/>
    </row>
    <row r="149">
      <c r="A149" s="64"/>
      <c r="D149" s="22"/>
    </row>
    <row r="150">
      <c r="A150" s="64"/>
      <c r="D150" s="22"/>
    </row>
    <row r="151">
      <c r="A151" s="64"/>
      <c r="D151" s="22"/>
    </row>
    <row r="152">
      <c r="A152" s="64"/>
      <c r="D152" s="22"/>
    </row>
    <row r="153">
      <c r="A153" s="64"/>
      <c r="D153" s="22"/>
    </row>
    <row r="154">
      <c r="A154" s="64"/>
      <c r="D154" s="22"/>
    </row>
    <row r="155">
      <c r="A155" s="64"/>
      <c r="D155" s="22"/>
    </row>
    <row r="156">
      <c r="A156" s="64"/>
      <c r="D156" s="22"/>
    </row>
    <row r="157">
      <c r="A157" s="64"/>
      <c r="D157" s="22"/>
    </row>
    <row r="158">
      <c r="A158" s="64"/>
      <c r="D158" s="22"/>
    </row>
    <row r="159">
      <c r="A159" s="64"/>
      <c r="D159" s="22"/>
    </row>
    <row r="160">
      <c r="A160" s="64"/>
      <c r="D160" s="22"/>
    </row>
    <row r="161">
      <c r="A161" s="64"/>
      <c r="D161" s="22"/>
    </row>
    <row r="162">
      <c r="A162" s="64"/>
      <c r="D162" s="22"/>
    </row>
    <row r="163">
      <c r="A163" s="64"/>
      <c r="D163" s="22"/>
    </row>
    <row r="164">
      <c r="A164" s="64"/>
      <c r="D164" s="22"/>
    </row>
    <row r="165">
      <c r="A165" s="64"/>
      <c r="D165" s="22"/>
    </row>
    <row r="166">
      <c r="A166" s="64"/>
      <c r="D166" s="22"/>
    </row>
    <row r="167">
      <c r="A167" s="64"/>
      <c r="D167" s="22"/>
    </row>
    <row r="168">
      <c r="A168" s="64"/>
      <c r="D168" s="22"/>
    </row>
    <row r="169">
      <c r="A169" s="64"/>
      <c r="D169" s="22"/>
    </row>
    <row r="170">
      <c r="A170" s="64"/>
      <c r="D170" s="22"/>
    </row>
    <row r="171">
      <c r="A171" s="64"/>
      <c r="D171" s="22"/>
    </row>
    <row r="172">
      <c r="A172" s="64"/>
      <c r="D172" s="22"/>
    </row>
    <row r="173">
      <c r="A173" s="64"/>
      <c r="D173" s="22"/>
    </row>
    <row r="174">
      <c r="A174" s="64"/>
      <c r="D174" s="22"/>
    </row>
    <row r="175">
      <c r="A175" s="64"/>
      <c r="D175" s="22"/>
    </row>
    <row r="176">
      <c r="A176" s="64"/>
      <c r="D176" s="22"/>
    </row>
    <row r="177">
      <c r="A177" s="64"/>
      <c r="D177" s="22"/>
    </row>
    <row r="178">
      <c r="A178" s="64"/>
      <c r="D178" s="22"/>
    </row>
    <row r="179">
      <c r="A179" s="64"/>
      <c r="D179" s="22"/>
    </row>
    <row r="180">
      <c r="A180" s="64"/>
      <c r="D180" s="22"/>
    </row>
    <row r="181">
      <c r="A181" s="64"/>
      <c r="D181" s="22"/>
    </row>
    <row r="182">
      <c r="A182" s="64"/>
      <c r="D182" s="22"/>
    </row>
    <row r="183">
      <c r="A183" s="64"/>
      <c r="D183" s="22"/>
    </row>
    <row r="184">
      <c r="A184" s="64"/>
      <c r="D184" s="22"/>
    </row>
    <row r="185">
      <c r="A185" s="64"/>
      <c r="D185" s="22"/>
    </row>
    <row r="186">
      <c r="A186" s="64"/>
      <c r="D186" s="22"/>
    </row>
    <row r="187">
      <c r="A187" s="64"/>
      <c r="D187" s="22"/>
    </row>
    <row r="188">
      <c r="A188" s="64"/>
      <c r="D188" s="22"/>
    </row>
    <row r="189">
      <c r="A189" s="64"/>
      <c r="D189" s="22"/>
    </row>
    <row r="190">
      <c r="A190" s="64"/>
      <c r="D190" s="22"/>
    </row>
    <row r="191">
      <c r="A191" s="64"/>
      <c r="D191" s="22"/>
    </row>
    <row r="192">
      <c r="A192" s="64"/>
      <c r="D192" s="22"/>
    </row>
    <row r="193">
      <c r="A193" s="64"/>
      <c r="D193" s="22"/>
    </row>
    <row r="194">
      <c r="A194" s="64"/>
      <c r="D194" s="22"/>
    </row>
    <row r="195">
      <c r="A195" s="64"/>
      <c r="D195" s="22"/>
    </row>
    <row r="196">
      <c r="A196" s="64"/>
      <c r="D196" s="22"/>
    </row>
    <row r="197">
      <c r="A197" s="64"/>
      <c r="D197" s="22"/>
    </row>
    <row r="198">
      <c r="A198" s="64"/>
      <c r="D198" s="22"/>
    </row>
    <row r="199">
      <c r="A199" s="64"/>
      <c r="D199" s="22"/>
    </row>
    <row r="200">
      <c r="A200" s="64"/>
      <c r="D200" s="22"/>
    </row>
    <row r="201">
      <c r="A201" s="64"/>
      <c r="D201" s="22"/>
    </row>
    <row r="202">
      <c r="A202" s="64"/>
      <c r="D202" s="22"/>
    </row>
    <row r="203">
      <c r="A203" s="64"/>
      <c r="D203" s="22"/>
    </row>
    <row r="204">
      <c r="A204" s="64"/>
      <c r="D204" s="22"/>
    </row>
    <row r="205">
      <c r="A205" s="64"/>
      <c r="D205" s="22"/>
    </row>
    <row r="206">
      <c r="A206" s="64"/>
      <c r="D206" s="22"/>
    </row>
    <row r="207">
      <c r="A207" s="64"/>
      <c r="D207" s="22"/>
    </row>
    <row r="208">
      <c r="A208" s="64"/>
      <c r="D208" s="22"/>
    </row>
    <row r="209">
      <c r="A209" s="64"/>
      <c r="D209" s="22"/>
    </row>
    <row r="210">
      <c r="A210" s="64"/>
      <c r="D210" s="22"/>
    </row>
    <row r="211">
      <c r="A211" s="64"/>
      <c r="D211" s="22"/>
    </row>
    <row r="212">
      <c r="A212" s="64"/>
      <c r="D212" s="22"/>
    </row>
    <row r="213">
      <c r="A213" s="64"/>
      <c r="D213" s="22"/>
    </row>
    <row r="214">
      <c r="A214" s="64"/>
      <c r="D214" s="22"/>
    </row>
    <row r="215">
      <c r="A215" s="64"/>
      <c r="D215" s="22"/>
    </row>
    <row r="216">
      <c r="A216" s="64"/>
      <c r="D216" s="22"/>
    </row>
    <row r="217">
      <c r="A217" s="64"/>
      <c r="D217" s="22"/>
    </row>
    <row r="218">
      <c r="A218" s="64"/>
      <c r="D218" s="22"/>
    </row>
    <row r="219">
      <c r="A219" s="64"/>
      <c r="D219" s="22"/>
    </row>
    <row r="220">
      <c r="A220" s="64"/>
      <c r="D220" s="22"/>
    </row>
    <row r="221">
      <c r="A221" s="64"/>
      <c r="D221" s="22"/>
    </row>
    <row r="222">
      <c r="A222" s="64"/>
      <c r="D222" s="22"/>
    </row>
    <row r="223">
      <c r="A223" s="64"/>
      <c r="D223" s="22"/>
    </row>
    <row r="224">
      <c r="A224" s="64"/>
      <c r="D224" s="22"/>
    </row>
    <row r="225">
      <c r="A225" s="64"/>
      <c r="D225" s="22"/>
    </row>
    <row r="226">
      <c r="A226" s="64"/>
      <c r="D226" s="22"/>
    </row>
    <row r="227">
      <c r="A227" s="64"/>
      <c r="D227" s="22"/>
    </row>
    <row r="228">
      <c r="A228" s="64"/>
      <c r="D228" s="22"/>
    </row>
    <row r="229">
      <c r="A229" s="64"/>
      <c r="D229" s="22"/>
    </row>
    <row r="230">
      <c r="A230" s="64"/>
      <c r="D230" s="22"/>
    </row>
    <row r="231">
      <c r="A231" s="64"/>
      <c r="D231" s="22"/>
    </row>
    <row r="232">
      <c r="A232" s="64"/>
      <c r="D232" s="22"/>
    </row>
    <row r="233">
      <c r="A233" s="64"/>
      <c r="D233" s="22"/>
    </row>
    <row r="234">
      <c r="A234" s="64"/>
      <c r="D234" s="22"/>
    </row>
    <row r="235">
      <c r="A235" s="64"/>
      <c r="D235" s="22"/>
    </row>
    <row r="236">
      <c r="A236" s="64"/>
      <c r="D236" s="22"/>
    </row>
    <row r="237">
      <c r="A237" s="64"/>
      <c r="D237" s="22"/>
    </row>
    <row r="238">
      <c r="A238" s="64"/>
      <c r="D238" s="22"/>
    </row>
    <row r="239">
      <c r="A239" s="64"/>
      <c r="D239" s="22"/>
    </row>
    <row r="240">
      <c r="A240" s="64"/>
      <c r="D240" s="22"/>
    </row>
    <row r="241">
      <c r="A241" s="64"/>
      <c r="D241" s="22"/>
    </row>
    <row r="242">
      <c r="A242" s="64"/>
      <c r="D242" s="22"/>
    </row>
    <row r="243">
      <c r="A243" s="64"/>
      <c r="D243" s="22"/>
    </row>
    <row r="244">
      <c r="A244" s="64"/>
      <c r="D244" s="22"/>
    </row>
    <row r="245">
      <c r="A245" s="64"/>
      <c r="D245" s="22"/>
    </row>
    <row r="246">
      <c r="A246" s="64"/>
      <c r="D246" s="22"/>
    </row>
    <row r="247">
      <c r="A247" s="64"/>
      <c r="D247" s="22"/>
    </row>
    <row r="248">
      <c r="A248" s="64"/>
      <c r="D248" s="22"/>
    </row>
    <row r="249">
      <c r="A249" s="64"/>
      <c r="D249" s="22"/>
    </row>
    <row r="250">
      <c r="A250" s="64"/>
      <c r="D250" s="22"/>
    </row>
    <row r="251">
      <c r="A251" s="64"/>
      <c r="D251" s="22"/>
    </row>
    <row r="252">
      <c r="A252" s="64"/>
      <c r="D252" s="22"/>
    </row>
    <row r="253">
      <c r="A253" s="64"/>
      <c r="D253" s="22"/>
    </row>
    <row r="254">
      <c r="A254" s="64"/>
      <c r="D254" s="22"/>
    </row>
    <row r="255">
      <c r="A255" s="64"/>
      <c r="D255" s="22"/>
    </row>
    <row r="256">
      <c r="A256" s="64"/>
      <c r="D256" s="22"/>
    </row>
    <row r="257">
      <c r="A257" s="64"/>
      <c r="D257" s="22"/>
    </row>
    <row r="258">
      <c r="A258" s="64"/>
      <c r="D258" s="22"/>
    </row>
    <row r="259">
      <c r="A259" s="64"/>
      <c r="D259" s="22"/>
    </row>
    <row r="260">
      <c r="A260" s="64"/>
      <c r="D260" s="22"/>
    </row>
    <row r="261">
      <c r="A261" s="64"/>
      <c r="D261" s="22"/>
    </row>
    <row r="262">
      <c r="A262" s="64"/>
      <c r="D262" s="22"/>
    </row>
    <row r="263">
      <c r="A263" s="64"/>
      <c r="D263" s="22"/>
    </row>
    <row r="264">
      <c r="A264" s="64"/>
      <c r="D264" s="22"/>
    </row>
    <row r="265">
      <c r="A265" s="64"/>
      <c r="D265" s="22"/>
    </row>
    <row r="266">
      <c r="A266" s="64"/>
      <c r="D266" s="22"/>
    </row>
    <row r="267">
      <c r="A267" s="64"/>
      <c r="D267" s="22"/>
    </row>
    <row r="268">
      <c r="A268" s="64"/>
      <c r="D268" s="22"/>
    </row>
    <row r="269">
      <c r="A269" s="64"/>
      <c r="D269" s="22"/>
    </row>
    <row r="270">
      <c r="A270" s="64"/>
      <c r="D270" s="22"/>
    </row>
    <row r="271">
      <c r="A271" s="64"/>
      <c r="D271" s="22"/>
    </row>
    <row r="272">
      <c r="A272" s="64"/>
      <c r="D272" s="22"/>
    </row>
    <row r="273">
      <c r="A273" s="64"/>
      <c r="D273" s="22"/>
    </row>
    <row r="274">
      <c r="A274" s="64"/>
      <c r="D274" s="22"/>
    </row>
    <row r="275">
      <c r="A275" s="64"/>
      <c r="D275" s="22"/>
    </row>
    <row r="276">
      <c r="A276" s="64"/>
      <c r="D276" s="22"/>
    </row>
    <row r="277">
      <c r="A277" s="64"/>
      <c r="D277" s="22"/>
    </row>
    <row r="278">
      <c r="A278" s="64"/>
      <c r="D278" s="22"/>
    </row>
    <row r="279">
      <c r="A279" s="64"/>
      <c r="D279" s="22"/>
    </row>
    <row r="280">
      <c r="A280" s="64"/>
      <c r="D280" s="22"/>
    </row>
    <row r="281">
      <c r="A281" s="64"/>
      <c r="D281" s="22"/>
    </row>
    <row r="282">
      <c r="A282" s="64"/>
      <c r="D282" s="22"/>
    </row>
    <row r="283">
      <c r="A283" s="64"/>
      <c r="D283" s="22"/>
    </row>
    <row r="284">
      <c r="A284" s="64"/>
      <c r="D284" s="22"/>
    </row>
    <row r="285">
      <c r="A285" s="64"/>
      <c r="D285" s="22"/>
    </row>
    <row r="286">
      <c r="A286" s="64"/>
      <c r="D286" s="22"/>
    </row>
    <row r="287">
      <c r="A287" s="64"/>
      <c r="D287" s="22"/>
    </row>
    <row r="288">
      <c r="A288" s="64"/>
      <c r="D288" s="22"/>
    </row>
    <row r="289">
      <c r="A289" s="64"/>
      <c r="D289" s="22"/>
    </row>
    <row r="290">
      <c r="A290" s="64"/>
      <c r="D290" s="22"/>
    </row>
    <row r="291">
      <c r="A291" s="64"/>
      <c r="D291" s="22"/>
    </row>
    <row r="292">
      <c r="A292" s="64"/>
      <c r="D292" s="22"/>
    </row>
    <row r="293">
      <c r="A293" s="64"/>
      <c r="D293" s="22"/>
    </row>
    <row r="294">
      <c r="A294" s="64"/>
      <c r="D294" s="22"/>
    </row>
    <row r="295">
      <c r="A295" s="64"/>
      <c r="D295" s="22"/>
    </row>
    <row r="296">
      <c r="A296" s="64"/>
      <c r="D296" s="22"/>
    </row>
    <row r="297">
      <c r="A297" s="64"/>
      <c r="D297" s="22"/>
    </row>
    <row r="298">
      <c r="A298" s="64"/>
      <c r="D298" s="22"/>
    </row>
    <row r="299">
      <c r="A299" s="64"/>
      <c r="D299" s="22"/>
    </row>
    <row r="300">
      <c r="A300" s="64"/>
      <c r="D300" s="22"/>
    </row>
    <row r="301">
      <c r="A301" s="64"/>
      <c r="D301" s="22"/>
    </row>
    <row r="302">
      <c r="A302" s="64"/>
      <c r="D302" s="22"/>
    </row>
    <row r="303">
      <c r="A303" s="64"/>
      <c r="D303" s="22"/>
    </row>
    <row r="304">
      <c r="A304" s="64"/>
      <c r="D304" s="22"/>
    </row>
    <row r="305">
      <c r="A305" s="64"/>
      <c r="D305" s="22"/>
    </row>
    <row r="306">
      <c r="A306" s="64"/>
      <c r="D306" s="22"/>
    </row>
    <row r="307">
      <c r="A307" s="64"/>
      <c r="D307" s="22"/>
    </row>
    <row r="308">
      <c r="A308" s="64"/>
      <c r="D308" s="22"/>
    </row>
    <row r="309">
      <c r="A309" s="64"/>
      <c r="D309" s="22"/>
    </row>
    <row r="310">
      <c r="A310" s="64"/>
      <c r="D310" s="22"/>
    </row>
    <row r="311">
      <c r="A311" s="64"/>
      <c r="D311" s="22"/>
    </row>
    <row r="312">
      <c r="A312" s="64"/>
      <c r="D312" s="22"/>
    </row>
    <row r="313">
      <c r="A313" s="64"/>
      <c r="D313" s="22"/>
    </row>
    <row r="314">
      <c r="A314" s="64"/>
      <c r="D314" s="22"/>
    </row>
    <row r="315">
      <c r="A315" s="64"/>
      <c r="D315" s="22"/>
    </row>
    <row r="316">
      <c r="A316" s="64"/>
      <c r="D316" s="22"/>
    </row>
    <row r="317">
      <c r="A317" s="64"/>
      <c r="D317" s="22"/>
    </row>
    <row r="318">
      <c r="A318" s="64"/>
      <c r="D318" s="22"/>
    </row>
    <row r="319">
      <c r="A319" s="64"/>
      <c r="D319" s="22"/>
    </row>
    <row r="320">
      <c r="A320" s="64"/>
      <c r="D320" s="22"/>
    </row>
    <row r="321">
      <c r="A321" s="64"/>
      <c r="D321" s="22"/>
    </row>
    <row r="322">
      <c r="A322" s="64"/>
      <c r="D322" s="22"/>
    </row>
    <row r="323">
      <c r="A323" s="64"/>
      <c r="D323" s="22"/>
    </row>
    <row r="324">
      <c r="A324" s="64"/>
      <c r="D324" s="22"/>
    </row>
    <row r="325">
      <c r="A325" s="64"/>
      <c r="D325" s="22"/>
    </row>
    <row r="326">
      <c r="A326" s="64"/>
      <c r="D326" s="22"/>
    </row>
    <row r="327">
      <c r="A327" s="64"/>
      <c r="D327" s="22"/>
    </row>
    <row r="328">
      <c r="A328" s="64"/>
      <c r="D328" s="22"/>
    </row>
    <row r="329">
      <c r="A329" s="64"/>
      <c r="D329" s="22"/>
    </row>
    <row r="330">
      <c r="A330" s="64"/>
      <c r="D330" s="22"/>
    </row>
    <row r="331">
      <c r="A331" s="64"/>
      <c r="D331" s="22"/>
    </row>
    <row r="332">
      <c r="A332" s="64"/>
      <c r="D332" s="22"/>
    </row>
    <row r="333">
      <c r="A333" s="64"/>
      <c r="D333" s="22"/>
    </row>
    <row r="334">
      <c r="A334" s="64"/>
      <c r="D334" s="22"/>
    </row>
    <row r="335">
      <c r="A335" s="64"/>
      <c r="D335" s="22"/>
    </row>
    <row r="336">
      <c r="A336" s="64"/>
      <c r="D336" s="22"/>
    </row>
    <row r="337">
      <c r="A337" s="64"/>
      <c r="D337" s="22"/>
    </row>
    <row r="338">
      <c r="A338" s="64"/>
      <c r="D338" s="22"/>
    </row>
    <row r="339">
      <c r="A339" s="64"/>
      <c r="D339" s="22"/>
    </row>
    <row r="340">
      <c r="A340" s="64"/>
      <c r="D340" s="22"/>
    </row>
    <row r="341">
      <c r="A341" s="64"/>
      <c r="D341" s="22"/>
    </row>
    <row r="342">
      <c r="A342" s="64"/>
      <c r="D342" s="22"/>
    </row>
    <row r="343">
      <c r="A343" s="64"/>
      <c r="D343" s="22"/>
    </row>
    <row r="344">
      <c r="A344" s="64"/>
      <c r="D344" s="22"/>
    </row>
    <row r="345">
      <c r="A345" s="64"/>
      <c r="D345" s="22"/>
    </row>
    <row r="346">
      <c r="A346" s="64"/>
      <c r="D346" s="22"/>
    </row>
    <row r="347">
      <c r="A347" s="64"/>
      <c r="D347" s="22"/>
    </row>
    <row r="348">
      <c r="A348" s="64"/>
      <c r="D348" s="22"/>
    </row>
    <row r="349">
      <c r="A349" s="64"/>
      <c r="D349" s="22"/>
    </row>
    <row r="350">
      <c r="A350" s="64"/>
      <c r="D350" s="22"/>
    </row>
    <row r="351">
      <c r="A351" s="64"/>
      <c r="D351" s="22"/>
    </row>
    <row r="352">
      <c r="A352" s="64"/>
      <c r="D352" s="22"/>
    </row>
    <row r="353">
      <c r="A353" s="64"/>
      <c r="D353" s="22"/>
    </row>
    <row r="354">
      <c r="A354" s="64"/>
      <c r="D354" s="22"/>
    </row>
    <row r="355">
      <c r="A355" s="64"/>
      <c r="D355" s="22"/>
    </row>
    <row r="356">
      <c r="A356" s="64"/>
      <c r="D356" s="22"/>
    </row>
    <row r="357">
      <c r="A357" s="64"/>
      <c r="D357" s="22"/>
    </row>
    <row r="358">
      <c r="A358" s="64"/>
      <c r="D358" s="22"/>
    </row>
    <row r="359">
      <c r="A359" s="64"/>
      <c r="D359" s="22"/>
    </row>
    <row r="360">
      <c r="A360" s="64"/>
      <c r="D360" s="22"/>
    </row>
    <row r="361">
      <c r="A361" s="64"/>
      <c r="D361" s="22"/>
    </row>
    <row r="362">
      <c r="A362" s="64"/>
      <c r="D362" s="22"/>
    </row>
    <row r="363">
      <c r="A363" s="64"/>
      <c r="D363" s="22"/>
    </row>
    <row r="364">
      <c r="A364" s="64"/>
      <c r="D364" s="22"/>
    </row>
    <row r="365">
      <c r="A365" s="64"/>
      <c r="D365" s="22"/>
    </row>
    <row r="366">
      <c r="A366" s="64"/>
      <c r="D366" s="22"/>
    </row>
    <row r="367">
      <c r="A367" s="64"/>
      <c r="D367" s="22"/>
    </row>
    <row r="368">
      <c r="A368" s="64"/>
      <c r="D368" s="22"/>
    </row>
    <row r="369">
      <c r="A369" s="64"/>
      <c r="D369" s="22"/>
    </row>
    <row r="370">
      <c r="A370" s="64"/>
      <c r="D370" s="22"/>
    </row>
    <row r="371">
      <c r="A371" s="64"/>
      <c r="D371" s="22"/>
    </row>
    <row r="372">
      <c r="A372" s="64"/>
      <c r="D372" s="22"/>
    </row>
    <row r="373">
      <c r="A373" s="64"/>
      <c r="D373" s="22"/>
    </row>
    <row r="374">
      <c r="A374" s="64"/>
      <c r="D374" s="22"/>
    </row>
    <row r="375">
      <c r="A375" s="64"/>
      <c r="D375" s="22"/>
    </row>
    <row r="376">
      <c r="A376" s="64"/>
      <c r="D376" s="22"/>
    </row>
    <row r="377">
      <c r="A377" s="64"/>
      <c r="D377" s="22"/>
    </row>
    <row r="378">
      <c r="A378" s="64"/>
      <c r="D378" s="22"/>
    </row>
    <row r="379">
      <c r="A379" s="64"/>
      <c r="D379" s="22"/>
    </row>
    <row r="380">
      <c r="A380" s="64"/>
      <c r="D380" s="22"/>
    </row>
    <row r="381">
      <c r="A381" s="64"/>
      <c r="D381" s="22"/>
    </row>
    <row r="382">
      <c r="A382" s="64"/>
      <c r="D382" s="22"/>
    </row>
    <row r="383">
      <c r="A383" s="64"/>
      <c r="D383" s="22"/>
    </row>
    <row r="384">
      <c r="A384" s="64"/>
      <c r="D384" s="22"/>
    </row>
    <row r="385">
      <c r="A385" s="64"/>
      <c r="D385" s="22"/>
    </row>
    <row r="386">
      <c r="A386" s="64"/>
      <c r="D386" s="22"/>
    </row>
    <row r="387">
      <c r="A387" s="64"/>
      <c r="D387" s="22"/>
    </row>
    <row r="388">
      <c r="A388" s="64"/>
      <c r="D388" s="22"/>
    </row>
    <row r="389">
      <c r="A389" s="64"/>
      <c r="D389" s="22"/>
    </row>
    <row r="390">
      <c r="A390" s="64"/>
      <c r="D390" s="22"/>
    </row>
    <row r="391">
      <c r="A391" s="64"/>
      <c r="D391" s="22"/>
    </row>
    <row r="392">
      <c r="A392" s="64"/>
      <c r="D392" s="22"/>
    </row>
    <row r="393">
      <c r="A393" s="64"/>
      <c r="D393" s="22"/>
    </row>
    <row r="394">
      <c r="A394" s="64"/>
      <c r="D394" s="22"/>
    </row>
    <row r="395">
      <c r="A395" s="64"/>
      <c r="D395" s="22"/>
    </row>
    <row r="396">
      <c r="A396" s="64"/>
      <c r="D396" s="22"/>
    </row>
    <row r="397">
      <c r="A397" s="64"/>
      <c r="D397" s="22"/>
    </row>
    <row r="398">
      <c r="A398" s="64"/>
      <c r="D398" s="22"/>
    </row>
    <row r="399">
      <c r="A399" s="64"/>
      <c r="D399" s="22"/>
    </row>
    <row r="400">
      <c r="A400" s="64"/>
      <c r="D400" s="22"/>
    </row>
    <row r="401">
      <c r="A401" s="64"/>
      <c r="D401" s="22"/>
    </row>
    <row r="402">
      <c r="A402" s="64"/>
      <c r="D402" s="22"/>
    </row>
    <row r="403">
      <c r="A403" s="64"/>
      <c r="D403" s="22"/>
    </row>
    <row r="404">
      <c r="A404" s="64"/>
      <c r="D404" s="22"/>
    </row>
    <row r="405">
      <c r="A405" s="64"/>
      <c r="D405" s="22"/>
    </row>
    <row r="406">
      <c r="A406" s="64"/>
      <c r="D406" s="22"/>
    </row>
    <row r="407">
      <c r="A407" s="64"/>
      <c r="D407" s="22"/>
    </row>
    <row r="408">
      <c r="A408" s="64"/>
      <c r="D408" s="22"/>
    </row>
    <row r="409">
      <c r="A409" s="64"/>
      <c r="D409" s="22"/>
    </row>
    <row r="410">
      <c r="A410" s="64"/>
      <c r="D410" s="22"/>
    </row>
    <row r="411">
      <c r="A411" s="64"/>
      <c r="D411" s="22"/>
    </row>
    <row r="412">
      <c r="A412" s="64"/>
      <c r="D412" s="22"/>
    </row>
    <row r="413">
      <c r="A413" s="64"/>
      <c r="D413" s="22"/>
    </row>
    <row r="414">
      <c r="A414" s="64"/>
      <c r="D414" s="22"/>
    </row>
    <row r="415">
      <c r="A415" s="64"/>
      <c r="D415" s="22"/>
    </row>
    <row r="416">
      <c r="A416" s="64"/>
      <c r="D416" s="22"/>
    </row>
    <row r="417">
      <c r="A417" s="64"/>
      <c r="D417" s="22"/>
    </row>
    <row r="418">
      <c r="A418" s="64"/>
      <c r="D418" s="22"/>
    </row>
    <row r="419">
      <c r="A419" s="64"/>
      <c r="D419" s="22"/>
    </row>
    <row r="420">
      <c r="A420" s="64"/>
      <c r="D420" s="22"/>
    </row>
    <row r="421">
      <c r="A421" s="64"/>
      <c r="D421" s="22"/>
    </row>
    <row r="422">
      <c r="A422" s="64"/>
      <c r="D422" s="22"/>
    </row>
    <row r="423">
      <c r="A423" s="64"/>
      <c r="D423" s="22"/>
    </row>
    <row r="424">
      <c r="A424" s="64"/>
      <c r="D424" s="22"/>
    </row>
    <row r="425">
      <c r="A425" s="64"/>
      <c r="D425" s="22"/>
    </row>
    <row r="426">
      <c r="A426" s="64"/>
      <c r="D426" s="22"/>
    </row>
    <row r="427">
      <c r="A427" s="64"/>
      <c r="D427" s="22"/>
    </row>
    <row r="428">
      <c r="A428" s="64"/>
      <c r="D428" s="22"/>
    </row>
    <row r="429">
      <c r="A429" s="64"/>
      <c r="D429" s="22"/>
    </row>
    <row r="430">
      <c r="A430" s="64"/>
      <c r="D430" s="22"/>
    </row>
    <row r="431">
      <c r="A431" s="64"/>
      <c r="D431" s="22"/>
    </row>
    <row r="432">
      <c r="A432" s="64"/>
      <c r="D432" s="22"/>
    </row>
    <row r="433">
      <c r="A433" s="64"/>
      <c r="D433" s="22"/>
    </row>
    <row r="434">
      <c r="A434" s="64"/>
      <c r="D434" s="22"/>
    </row>
    <row r="435">
      <c r="A435" s="64"/>
      <c r="D435" s="22"/>
    </row>
    <row r="436">
      <c r="A436" s="64"/>
      <c r="D436" s="22"/>
    </row>
    <row r="437">
      <c r="A437" s="64"/>
      <c r="D437" s="22"/>
    </row>
    <row r="438">
      <c r="A438" s="64"/>
      <c r="D438" s="22"/>
    </row>
    <row r="439">
      <c r="A439" s="64"/>
      <c r="D439" s="22"/>
    </row>
    <row r="440">
      <c r="A440" s="64"/>
      <c r="D440" s="22"/>
    </row>
    <row r="441">
      <c r="A441" s="64"/>
      <c r="D441" s="22"/>
    </row>
    <row r="442">
      <c r="A442" s="64"/>
      <c r="D442" s="22"/>
    </row>
    <row r="443">
      <c r="A443" s="64"/>
      <c r="D443" s="22"/>
    </row>
    <row r="444">
      <c r="A444" s="64"/>
      <c r="D444" s="22"/>
    </row>
    <row r="445">
      <c r="A445" s="64"/>
      <c r="D445" s="22"/>
    </row>
    <row r="446">
      <c r="A446" s="64"/>
      <c r="D446" s="22"/>
    </row>
    <row r="447">
      <c r="A447" s="64"/>
      <c r="D447" s="22"/>
    </row>
    <row r="448">
      <c r="A448" s="64"/>
      <c r="D448" s="22"/>
    </row>
    <row r="449">
      <c r="A449" s="64"/>
      <c r="D449" s="22"/>
    </row>
    <row r="450">
      <c r="A450" s="64"/>
      <c r="D450" s="22"/>
    </row>
    <row r="451">
      <c r="A451" s="64"/>
      <c r="D451" s="22"/>
    </row>
    <row r="452">
      <c r="A452" s="64"/>
      <c r="D452" s="22"/>
    </row>
    <row r="453">
      <c r="A453" s="64"/>
      <c r="D453" s="22"/>
    </row>
    <row r="454">
      <c r="A454" s="64"/>
      <c r="D454" s="22"/>
    </row>
    <row r="455">
      <c r="A455" s="64"/>
      <c r="D455" s="22"/>
    </row>
    <row r="456">
      <c r="A456" s="64"/>
      <c r="D456" s="22"/>
    </row>
    <row r="457">
      <c r="A457" s="64"/>
      <c r="D457" s="22"/>
    </row>
    <row r="458">
      <c r="A458" s="64"/>
      <c r="D458" s="22"/>
    </row>
    <row r="459">
      <c r="A459" s="64"/>
      <c r="D459" s="22"/>
    </row>
    <row r="460">
      <c r="A460" s="64"/>
      <c r="D460" s="22"/>
    </row>
    <row r="461">
      <c r="A461" s="64"/>
      <c r="D461" s="22"/>
    </row>
    <row r="462">
      <c r="A462" s="64"/>
      <c r="D462" s="22"/>
    </row>
    <row r="463">
      <c r="A463" s="64"/>
      <c r="D463" s="22"/>
    </row>
    <row r="464">
      <c r="A464" s="64"/>
      <c r="D464" s="22"/>
    </row>
    <row r="465">
      <c r="A465" s="64"/>
      <c r="D465" s="22"/>
    </row>
    <row r="466">
      <c r="A466" s="64"/>
      <c r="D466" s="22"/>
    </row>
    <row r="467">
      <c r="A467" s="64"/>
      <c r="D467" s="22"/>
    </row>
    <row r="468">
      <c r="A468" s="64"/>
      <c r="D468" s="22"/>
    </row>
    <row r="469">
      <c r="A469" s="64"/>
      <c r="D469" s="22"/>
    </row>
    <row r="470">
      <c r="A470" s="64"/>
      <c r="D470" s="22"/>
    </row>
    <row r="471">
      <c r="A471" s="64"/>
      <c r="D471" s="22"/>
    </row>
    <row r="472">
      <c r="A472" s="64"/>
      <c r="D472" s="22"/>
    </row>
    <row r="473">
      <c r="A473" s="64"/>
      <c r="D473" s="22"/>
    </row>
    <row r="474">
      <c r="A474" s="64"/>
      <c r="D474" s="22"/>
    </row>
    <row r="475">
      <c r="A475" s="64"/>
      <c r="D475" s="22"/>
    </row>
    <row r="476">
      <c r="A476" s="64"/>
      <c r="D476" s="22"/>
    </row>
    <row r="477">
      <c r="A477" s="64"/>
      <c r="D477" s="22"/>
    </row>
    <row r="478">
      <c r="A478" s="64"/>
      <c r="D478" s="22"/>
    </row>
    <row r="479">
      <c r="A479" s="64"/>
      <c r="D479" s="22"/>
    </row>
    <row r="480">
      <c r="A480" s="64"/>
      <c r="D480" s="22"/>
    </row>
    <row r="481">
      <c r="A481" s="64"/>
      <c r="D481" s="22"/>
    </row>
    <row r="482">
      <c r="A482" s="64"/>
      <c r="D482" s="22"/>
    </row>
    <row r="483">
      <c r="A483" s="64"/>
      <c r="D483" s="22"/>
    </row>
    <row r="484">
      <c r="A484" s="64"/>
      <c r="D484" s="22"/>
    </row>
    <row r="485">
      <c r="A485" s="64"/>
      <c r="D485" s="22"/>
    </row>
    <row r="486">
      <c r="A486" s="64"/>
      <c r="D486" s="22"/>
    </row>
    <row r="487">
      <c r="A487" s="64"/>
      <c r="D487" s="22"/>
    </row>
    <row r="488">
      <c r="A488" s="64"/>
      <c r="D488" s="22"/>
    </row>
    <row r="489">
      <c r="A489" s="64"/>
      <c r="D489" s="22"/>
    </row>
    <row r="490">
      <c r="A490" s="64"/>
      <c r="D490" s="22"/>
    </row>
    <row r="491">
      <c r="A491" s="64"/>
      <c r="D491" s="22"/>
    </row>
    <row r="492">
      <c r="A492" s="64"/>
      <c r="D492" s="22"/>
    </row>
    <row r="493">
      <c r="A493" s="64"/>
      <c r="D493" s="22"/>
    </row>
    <row r="494">
      <c r="A494" s="64"/>
      <c r="D494" s="22"/>
    </row>
    <row r="495">
      <c r="A495" s="64"/>
      <c r="D495" s="22"/>
    </row>
    <row r="496">
      <c r="A496" s="64"/>
      <c r="D496" s="22"/>
    </row>
    <row r="497">
      <c r="A497" s="64"/>
      <c r="D497" s="22"/>
    </row>
    <row r="498">
      <c r="A498" s="64"/>
      <c r="D498" s="22"/>
    </row>
    <row r="499">
      <c r="A499" s="64"/>
      <c r="D499" s="22"/>
    </row>
    <row r="500">
      <c r="A500" s="64"/>
      <c r="D500" s="22"/>
    </row>
    <row r="501">
      <c r="A501" s="64"/>
      <c r="D501" s="22"/>
    </row>
    <row r="502">
      <c r="A502" s="64"/>
      <c r="D502" s="22"/>
    </row>
    <row r="503">
      <c r="A503" s="64"/>
      <c r="D503" s="22"/>
    </row>
    <row r="504">
      <c r="A504" s="64"/>
      <c r="D504" s="22"/>
    </row>
    <row r="505">
      <c r="A505" s="64"/>
      <c r="D505" s="22"/>
    </row>
    <row r="506">
      <c r="A506" s="64"/>
      <c r="D506" s="22"/>
    </row>
    <row r="507">
      <c r="A507" s="64"/>
      <c r="D507" s="22"/>
    </row>
    <row r="508">
      <c r="A508" s="64"/>
      <c r="D508" s="22"/>
    </row>
    <row r="509">
      <c r="A509" s="64"/>
      <c r="D509" s="22"/>
    </row>
    <row r="510">
      <c r="A510" s="64"/>
      <c r="D510" s="22"/>
    </row>
    <row r="511">
      <c r="A511" s="64"/>
      <c r="D511" s="22"/>
    </row>
    <row r="512">
      <c r="A512" s="64"/>
      <c r="D512" s="22"/>
    </row>
    <row r="513">
      <c r="A513" s="64"/>
      <c r="D513" s="22"/>
    </row>
    <row r="514">
      <c r="A514" s="64"/>
      <c r="D514" s="22"/>
    </row>
    <row r="515">
      <c r="A515" s="64"/>
      <c r="D515" s="22"/>
    </row>
    <row r="516">
      <c r="A516" s="64"/>
      <c r="D516" s="22"/>
    </row>
    <row r="517">
      <c r="A517" s="64"/>
      <c r="D517" s="22"/>
    </row>
    <row r="518">
      <c r="A518" s="64"/>
      <c r="D518" s="22"/>
    </row>
    <row r="519">
      <c r="A519" s="64"/>
      <c r="D519" s="22"/>
    </row>
    <row r="520">
      <c r="A520" s="64"/>
      <c r="D520" s="22"/>
    </row>
    <row r="521">
      <c r="A521" s="64"/>
      <c r="D521" s="22"/>
    </row>
    <row r="522">
      <c r="A522" s="64"/>
      <c r="D522" s="22"/>
    </row>
    <row r="523">
      <c r="A523" s="64"/>
      <c r="D523" s="22"/>
    </row>
    <row r="524">
      <c r="A524" s="64"/>
      <c r="D524" s="22"/>
    </row>
    <row r="525">
      <c r="A525" s="64"/>
      <c r="D525" s="22"/>
    </row>
    <row r="526">
      <c r="A526" s="64"/>
      <c r="D526" s="22"/>
    </row>
    <row r="527">
      <c r="A527" s="64"/>
      <c r="D527" s="22"/>
    </row>
    <row r="528">
      <c r="A528" s="64"/>
      <c r="D528" s="22"/>
    </row>
    <row r="529">
      <c r="A529" s="64"/>
      <c r="D529" s="22"/>
    </row>
    <row r="530">
      <c r="A530" s="64"/>
      <c r="D530" s="22"/>
    </row>
    <row r="531">
      <c r="A531" s="64"/>
      <c r="D531" s="22"/>
    </row>
    <row r="532">
      <c r="A532" s="64"/>
      <c r="D532" s="22"/>
    </row>
    <row r="533">
      <c r="A533" s="64"/>
      <c r="D533" s="22"/>
    </row>
    <row r="534">
      <c r="A534" s="64"/>
      <c r="D534" s="22"/>
    </row>
    <row r="535">
      <c r="A535" s="64"/>
      <c r="D535" s="22"/>
    </row>
    <row r="536">
      <c r="A536" s="64"/>
      <c r="D536" s="22"/>
    </row>
    <row r="537">
      <c r="A537" s="64"/>
      <c r="D537" s="22"/>
    </row>
    <row r="538">
      <c r="A538" s="64"/>
      <c r="D538" s="22"/>
    </row>
    <row r="539">
      <c r="A539" s="64"/>
      <c r="D539" s="22"/>
    </row>
    <row r="540">
      <c r="A540" s="64"/>
      <c r="D540" s="22"/>
    </row>
    <row r="541">
      <c r="A541" s="64"/>
      <c r="D541" s="22"/>
    </row>
    <row r="542">
      <c r="A542" s="64"/>
      <c r="D542" s="22"/>
    </row>
    <row r="543">
      <c r="A543" s="64"/>
      <c r="D543" s="22"/>
    </row>
    <row r="544">
      <c r="A544" s="64"/>
      <c r="D544" s="22"/>
    </row>
    <row r="545">
      <c r="A545" s="64"/>
      <c r="D545" s="22"/>
    </row>
    <row r="546">
      <c r="A546" s="64"/>
      <c r="D546" s="22"/>
    </row>
    <row r="547">
      <c r="A547" s="64"/>
      <c r="D547" s="22"/>
    </row>
    <row r="548">
      <c r="A548" s="64"/>
      <c r="D548" s="22"/>
    </row>
    <row r="549">
      <c r="A549" s="64"/>
      <c r="D549" s="22"/>
    </row>
    <row r="550">
      <c r="A550" s="64"/>
      <c r="D550" s="22"/>
    </row>
    <row r="551">
      <c r="A551" s="64"/>
      <c r="D551" s="22"/>
    </row>
    <row r="552">
      <c r="A552" s="64"/>
      <c r="D552" s="22"/>
    </row>
    <row r="553">
      <c r="A553" s="64"/>
      <c r="D553" s="22"/>
    </row>
    <row r="554">
      <c r="A554" s="64"/>
      <c r="D554" s="22"/>
    </row>
    <row r="555">
      <c r="A555" s="64"/>
      <c r="D555" s="22"/>
    </row>
    <row r="556">
      <c r="A556" s="64"/>
      <c r="D556" s="22"/>
    </row>
    <row r="557">
      <c r="A557" s="64"/>
      <c r="D557" s="22"/>
    </row>
    <row r="558">
      <c r="A558" s="64"/>
      <c r="D558" s="22"/>
    </row>
    <row r="559">
      <c r="A559" s="64"/>
      <c r="D559" s="22"/>
    </row>
    <row r="560">
      <c r="A560" s="64"/>
      <c r="D560" s="22"/>
    </row>
    <row r="561">
      <c r="A561" s="64"/>
      <c r="D561" s="22"/>
    </row>
    <row r="562">
      <c r="A562" s="64"/>
      <c r="D562" s="22"/>
    </row>
    <row r="563">
      <c r="A563" s="64"/>
      <c r="D563" s="22"/>
    </row>
    <row r="564">
      <c r="A564" s="64"/>
      <c r="D564" s="22"/>
    </row>
    <row r="565">
      <c r="A565" s="64"/>
      <c r="D565" s="22"/>
    </row>
    <row r="566">
      <c r="A566" s="64"/>
      <c r="D566" s="22"/>
    </row>
    <row r="567">
      <c r="A567" s="64"/>
      <c r="D567" s="22"/>
    </row>
    <row r="568">
      <c r="A568" s="64"/>
      <c r="D568" s="22"/>
    </row>
    <row r="569">
      <c r="A569" s="64"/>
      <c r="D569" s="22"/>
    </row>
    <row r="570">
      <c r="A570" s="64"/>
      <c r="D570" s="22"/>
    </row>
    <row r="571">
      <c r="A571" s="64"/>
      <c r="D571" s="22"/>
    </row>
    <row r="572">
      <c r="A572" s="64"/>
      <c r="D572" s="22"/>
    </row>
    <row r="573">
      <c r="A573" s="64"/>
      <c r="D573" s="22"/>
    </row>
    <row r="574">
      <c r="A574" s="64"/>
      <c r="D574" s="22"/>
    </row>
    <row r="575">
      <c r="A575" s="64"/>
      <c r="D575" s="22"/>
    </row>
    <row r="576">
      <c r="A576" s="64"/>
      <c r="D576" s="22"/>
    </row>
    <row r="577">
      <c r="A577" s="64"/>
      <c r="D577" s="22"/>
    </row>
    <row r="578">
      <c r="A578" s="64"/>
      <c r="D578" s="22"/>
    </row>
    <row r="579">
      <c r="A579" s="64"/>
      <c r="D579" s="22"/>
    </row>
    <row r="580">
      <c r="A580" s="64"/>
      <c r="D580" s="22"/>
    </row>
    <row r="581">
      <c r="A581" s="64"/>
      <c r="D581" s="22"/>
    </row>
    <row r="582">
      <c r="A582" s="64"/>
      <c r="D582" s="22"/>
    </row>
    <row r="583">
      <c r="A583" s="64"/>
      <c r="D583" s="22"/>
    </row>
    <row r="584">
      <c r="A584" s="64"/>
      <c r="D584" s="22"/>
    </row>
    <row r="585">
      <c r="A585" s="64"/>
      <c r="D585" s="22"/>
    </row>
    <row r="586">
      <c r="A586" s="64"/>
      <c r="D586" s="22"/>
    </row>
    <row r="587">
      <c r="A587" s="64"/>
      <c r="D587" s="22"/>
    </row>
    <row r="588">
      <c r="A588" s="64"/>
      <c r="D588" s="22"/>
    </row>
    <row r="589">
      <c r="A589" s="64"/>
      <c r="D589" s="22"/>
    </row>
    <row r="590">
      <c r="A590" s="64"/>
      <c r="D590" s="22"/>
    </row>
    <row r="591">
      <c r="A591" s="64"/>
      <c r="D591" s="22"/>
    </row>
    <row r="592">
      <c r="A592" s="64"/>
      <c r="D592" s="22"/>
    </row>
    <row r="593">
      <c r="A593" s="64"/>
      <c r="D593" s="22"/>
    </row>
    <row r="594">
      <c r="A594" s="64"/>
      <c r="D594" s="22"/>
    </row>
    <row r="595">
      <c r="A595" s="64"/>
      <c r="D595" s="22"/>
    </row>
    <row r="596">
      <c r="A596" s="64"/>
      <c r="D596" s="22"/>
    </row>
    <row r="597">
      <c r="A597" s="64"/>
      <c r="D597" s="22"/>
    </row>
    <row r="598">
      <c r="A598" s="64"/>
      <c r="D598" s="22"/>
    </row>
    <row r="599">
      <c r="A599" s="64"/>
      <c r="D599" s="22"/>
    </row>
    <row r="600">
      <c r="A600" s="64"/>
      <c r="D600" s="22"/>
    </row>
    <row r="601">
      <c r="A601" s="64"/>
      <c r="D601" s="22"/>
    </row>
    <row r="602">
      <c r="A602" s="64"/>
      <c r="D602" s="22"/>
    </row>
    <row r="603">
      <c r="A603" s="64"/>
      <c r="D603" s="22"/>
    </row>
    <row r="604">
      <c r="A604" s="64"/>
      <c r="D604" s="22"/>
    </row>
    <row r="605">
      <c r="A605" s="64"/>
      <c r="D605" s="22"/>
    </row>
    <row r="606">
      <c r="A606" s="64"/>
      <c r="D606" s="22"/>
    </row>
    <row r="607">
      <c r="A607" s="64"/>
      <c r="D607" s="22"/>
    </row>
    <row r="608">
      <c r="A608" s="64"/>
      <c r="D608" s="22"/>
    </row>
    <row r="609">
      <c r="A609" s="64"/>
      <c r="D609" s="22"/>
    </row>
    <row r="610">
      <c r="A610" s="64"/>
      <c r="D610" s="22"/>
    </row>
    <row r="611">
      <c r="A611" s="64"/>
      <c r="D611" s="22"/>
    </row>
    <row r="612">
      <c r="A612" s="64"/>
      <c r="D612" s="22"/>
    </row>
    <row r="613">
      <c r="A613" s="64"/>
      <c r="D613" s="22"/>
    </row>
    <row r="614">
      <c r="A614" s="64"/>
      <c r="D614" s="22"/>
    </row>
    <row r="615">
      <c r="A615" s="64"/>
      <c r="D615" s="22"/>
    </row>
    <row r="616">
      <c r="A616" s="64"/>
      <c r="D616" s="22"/>
    </row>
    <row r="617">
      <c r="A617" s="64"/>
      <c r="D617" s="22"/>
    </row>
    <row r="618">
      <c r="A618" s="64"/>
      <c r="D618" s="22"/>
    </row>
    <row r="619">
      <c r="A619" s="64"/>
      <c r="D619" s="22"/>
    </row>
    <row r="620">
      <c r="A620" s="64"/>
      <c r="D620" s="22"/>
    </row>
    <row r="621">
      <c r="A621" s="64"/>
      <c r="D621" s="22"/>
    </row>
    <row r="622">
      <c r="A622" s="64"/>
      <c r="D622" s="22"/>
    </row>
    <row r="623">
      <c r="A623" s="64"/>
      <c r="D623" s="22"/>
    </row>
    <row r="624">
      <c r="A624" s="64"/>
      <c r="D624" s="22"/>
    </row>
    <row r="625">
      <c r="A625" s="64"/>
      <c r="D625" s="22"/>
    </row>
    <row r="626">
      <c r="A626" s="64"/>
      <c r="D626" s="22"/>
    </row>
    <row r="627">
      <c r="A627" s="64"/>
      <c r="D627" s="22"/>
    </row>
    <row r="628">
      <c r="A628" s="64"/>
      <c r="D628" s="22"/>
    </row>
    <row r="629">
      <c r="A629" s="64"/>
      <c r="D629" s="22"/>
    </row>
    <row r="630">
      <c r="A630" s="64"/>
      <c r="D630" s="22"/>
    </row>
    <row r="631">
      <c r="A631" s="64"/>
      <c r="D631" s="22"/>
    </row>
    <row r="632">
      <c r="A632" s="64"/>
      <c r="D632" s="22"/>
    </row>
    <row r="633">
      <c r="A633" s="64"/>
      <c r="D633" s="22"/>
    </row>
    <row r="634">
      <c r="A634" s="64"/>
      <c r="D634" s="22"/>
    </row>
    <row r="635">
      <c r="A635" s="64"/>
      <c r="D635" s="22"/>
    </row>
    <row r="636">
      <c r="A636" s="64"/>
      <c r="D636" s="22"/>
    </row>
    <row r="637">
      <c r="A637" s="64"/>
      <c r="D637" s="22"/>
    </row>
    <row r="638">
      <c r="A638" s="64"/>
      <c r="D638" s="22"/>
    </row>
    <row r="639">
      <c r="A639" s="64"/>
      <c r="D639" s="22"/>
    </row>
    <row r="640">
      <c r="A640" s="64"/>
      <c r="D640" s="22"/>
    </row>
    <row r="641">
      <c r="A641" s="64"/>
      <c r="D641" s="22"/>
    </row>
    <row r="642">
      <c r="A642" s="64"/>
      <c r="D642" s="22"/>
    </row>
    <row r="643">
      <c r="A643" s="64"/>
      <c r="D643" s="22"/>
    </row>
    <row r="644">
      <c r="A644" s="64"/>
      <c r="D644" s="22"/>
    </row>
    <row r="645">
      <c r="A645" s="64"/>
      <c r="D645" s="22"/>
    </row>
    <row r="646">
      <c r="A646" s="64"/>
      <c r="D646" s="22"/>
    </row>
    <row r="647">
      <c r="A647" s="64"/>
      <c r="D647" s="22"/>
    </row>
    <row r="648">
      <c r="A648" s="64"/>
      <c r="D648" s="22"/>
    </row>
    <row r="649">
      <c r="A649" s="64"/>
      <c r="D649" s="22"/>
    </row>
    <row r="650">
      <c r="A650" s="64"/>
      <c r="D650" s="22"/>
    </row>
    <row r="651">
      <c r="A651" s="64"/>
      <c r="D651" s="22"/>
    </row>
    <row r="652">
      <c r="A652" s="64"/>
      <c r="D652" s="22"/>
    </row>
    <row r="653">
      <c r="A653" s="64"/>
      <c r="D653" s="22"/>
    </row>
    <row r="654">
      <c r="A654" s="64"/>
      <c r="D654" s="22"/>
    </row>
    <row r="655">
      <c r="A655" s="64"/>
      <c r="D655" s="22"/>
    </row>
    <row r="656">
      <c r="A656" s="64"/>
      <c r="D656" s="22"/>
    </row>
    <row r="657">
      <c r="A657" s="64"/>
      <c r="D657" s="22"/>
    </row>
    <row r="658">
      <c r="A658" s="64"/>
      <c r="D658" s="22"/>
    </row>
    <row r="659">
      <c r="A659" s="64"/>
      <c r="D659" s="22"/>
    </row>
    <row r="660">
      <c r="A660" s="64"/>
      <c r="D660" s="22"/>
    </row>
    <row r="661">
      <c r="A661" s="64"/>
      <c r="D661" s="22"/>
    </row>
    <row r="662">
      <c r="A662" s="64"/>
      <c r="D662" s="22"/>
    </row>
    <row r="663">
      <c r="A663" s="64"/>
      <c r="D663" s="22"/>
    </row>
    <row r="664">
      <c r="A664" s="64"/>
      <c r="D664" s="22"/>
    </row>
    <row r="665">
      <c r="A665" s="64"/>
      <c r="D665" s="22"/>
    </row>
    <row r="666">
      <c r="A666" s="64"/>
      <c r="D666" s="22"/>
    </row>
    <row r="667">
      <c r="A667" s="64"/>
      <c r="D667" s="22"/>
    </row>
    <row r="668">
      <c r="A668" s="64"/>
      <c r="D668" s="22"/>
    </row>
    <row r="669">
      <c r="A669" s="64"/>
      <c r="D669" s="22"/>
    </row>
    <row r="670">
      <c r="A670" s="64"/>
      <c r="D670" s="22"/>
    </row>
    <row r="671">
      <c r="A671" s="64"/>
      <c r="D671" s="22"/>
    </row>
    <row r="672">
      <c r="A672" s="64"/>
      <c r="D672" s="22"/>
    </row>
    <row r="673">
      <c r="A673" s="64"/>
      <c r="D673" s="22"/>
    </row>
    <row r="674">
      <c r="A674" s="64"/>
      <c r="D674" s="22"/>
    </row>
    <row r="675">
      <c r="A675" s="64"/>
      <c r="D675" s="22"/>
    </row>
    <row r="676">
      <c r="A676" s="64"/>
      <c r="D676" s="22"/>
    </row>
    <row r="677">
      <c r="A677" s="64"/>
      <c r="D677" s="22"/>
    </row>
    <row r="678">
      <c r="A678" s="64"/>
      <c r="D678" s="22"/>
    </row>
    <row r="679">
      <c r="A679" s="64"/>
      <c r="D679" s="22"/>
    </row>
    <row r="680">
      <c r="A680" s="64"/>
      <c r="D680" s="22"/>
    </row>
    <row r="681">
      <c r="A681" s="64"/>
      <c r="D681" s="22"/>
    </row>
    <row r="682">
      <c r="A682" s="64"/>
      <c r="D682" s="22"/>
    </row>
    <row r="683">
      <c r="A683" s="64"/>
      <c r="D683" s="22"/>
    </row>
    <row r="684">
      <c r="A684" s="64"/>
      <c r="D684" s="22"/>
    </row>
    <row r="685">
      <c r="A685" s="64"/>
      <c r="D685" s="22"/>
    </row>
    <row r="686">
      <c r="A686" s="64"/>
      <c r="D686" s="22"/>
    </row>
    <row r="687">
      <c r="A687" s="64"/>
      <c r="D687" s="22"/>
    </row>
    <row r="688">
      <c r="A688" s="64"/>
      <c r="D688" s="22"/>
    </row>
    <row r="689">
      <c r="A689" s="64"/>
      <c r="D689" s="22"/>
    </row>
    <row r="690">
      <c r="A690" s="64"/>
      <c r="D690" s="22"/>
    </row>
    <row r="691">
      <c r="A691" s="64"/>
      <c r="D691" s="22"/>
    </row>
    <row r="692">
      <c r="A692" s="64"/>
      <c r="D692" s="22"/>
    </row>
    <row r="693">
      <c r="A693" s="64"/>
      <c r="D693" s="22"/>
    </row>
    <row r="694">
      <c r="A694" s="64"/>
      <c r="D694" s="22"/>
    </row>
    <row r="695">
      <c r="A695" s="64"/>
      <c r="D695" s="22"/>
    </row>
    <row r="696">
      <c r="A696" s="64"/>
      <c r="D696" s="22"/>
    </row>
    <row r="697">
      <c r="A697" s="64"/>
      <c r="D697" s="22"/>
    </row>
    <row r="698">
      <c r="A698" s="64"/>
      <c r="D698" s="22"/>
    </row>
    <row r="699">
      <c r="A699" s="64"/>
      <c r="D699" s="22"/>
    </row>
    <row r="700">
      <c r="A700" s="64"/>
      <c r="D700" s="22"/>
    </row>
    <row r="701">
      <c r="A701" s="64"/>
      <c r="D701" s="22"/>
    </row>
    <row r="702">
      <c r="A702" s="64"/>
      <c r="D702" s="22"/>
    </row>
    <row r="703">
      <c r="A703" s="64"/>
      <c r="D703" s="22"/>
    </row>
    <row r="704">
      <c r="A704" s="64"/>
      <c r="D704" s="22"/>
    </row>
    <row r="705">
      <c r="A705" s="64"/>
      <c r="D705" s="22"/>
    </row>
    <row r="706">
      <c r="A706" s="64"/>
      <c r="D706" s="22"/>
    </row>
    <row r="707">
      <c r="A707" s="64"/>
      <c r="D707" s="22"/>
    </row>
    <row r="708">
      <c r="A708" s="64"/>
      <c r="D708" s="22"/>
    </row>
    <row r="709">
      <c r="A709" s="64"/>
      <c r="D709" s="22"/>
    </row>
    <row r="710">
      <c r="A710" s="64"/>
      <c r="D710" s="22"/>
    </row>
    <row r="711">
      <c r="A711" s="64"/>
      <c r="D711" s="22"/>
    </row>
    <row r="712">
      <c r="A712" s="64"/>
      <c r="D712" s="22"/>
    </row>
    <row r="713">
      <c r="A713" s="64"/>
      <c r="D713" s="22"/>
    </row>
    <row r="714">
      <c r="A714" s="64"/>
      <c r="D714" s="22"/>
    </row>
    <row r="715">
      <c r="A715" s="64"/>
      <c r="D715" s="22"/>
    </row>
    <row r="716">
      <c r="A716" s="64"/>
      <c r="D716" s="22"/>
    </row>
    <row r="717">
      <c r="A717" s="64"/>
      <c r="D717" s="22"/>
    </row>
    <row r="718">
      <c r="A718" s="64"/>
      <c r="D718" s="22"/>
    </row>
    <row r="719">
      <c r="A719" s="64"/>
      <c r="D719" s="22"/>
    </row>
    <row r="720">
      <c r="A720" s="64"/>
      <c r="D720" s="22"/>
    </row>
    <row r="721">
      <c r="A721" s="64"/>
      <c r="D721" s="22"/>
    </row>
    <row r="722">
      <c r="A722" s="64"/>
      <c r="D722" s="22"/>
    </row>
    <row r="723">
      <c r="A723" s="64"/>
      <c r="D723" s="22"/>
    </row>
    <row r="724">
      <c r="A724" s="64"/>
      <c r="D724" s="22"/>
    </row>
    <row r="725">
      <c r="A725" s="64"/>
      <c r="D725" s="22"/>
    </row>
    <row r="726">
      <c r="A726" s="64"/>
      <c r="D726" s="22"/>
    </row>
    <row r="727">
      <c r="A727" s="64"/>
      <c r="D727" s="22"/>
    </row>
    <row r="728">
      <c r="A728" s="64"/>
      <c r="D728" s="22"/>
    </row>
    <row r="729">
      <c r="A729" s="64"/>
      <c r="D729" s="22"/>
    </row>
    <row r="730">
      <c r="A730" s="64"/>
      <c r="D730" s="22"/>
    </row>
    <row r="731">
      <c r="A731" s="64"/>
      <c r="D731" s="22"/>
    </row>
    <row r="732">
      <c r="A732" s="64"/>
      <c r="D732" s="22"/>
    </row>
    <row r="733">
      <c r="A733" s="64"/>
      <c r="D733" s="22"/>
    </row>
    <row r="734">
      <c r="A734" s="64"/>
      <c r="D734" s="22"/>
    </row>
    <row r="735">
      <c r="A735" s="64"/>
      <c r="D735" s="22"/>
    </row>
    <row r="736">
      <c r="A736" s="64"/>
      <c r="D736" s="22"/>
    </row>
    <row r="737">
      <c r="A737" s="64"/>
      <c r="D737" s="22"/>
    </row>
    <row r="738">
      <c r="A738" s="64"/>
      <c r="D738" s="22"/>
    </row>
    <row r="739">
      <c r="A739" s="64"/>
      <c r="D739" s="22"/>
    </row>
    <row r="740">
      <c r="A740" s="64"/>
      <c r="D740" s="22"/>
    </row>
    <row r="741">
      <c r="A741" s="64"/>
      <c r="D741" s="22"/>
    </row>
    <row r="742">
      <c r="A742" s="64"/>
      <c r="D742" s="22"/>
    </row>
    <row r="743">
      <c r="A743" s="64"/>
      <c r="D743" s="22"/>
    </row>
    <row r="744">
      <c r="A744" s="64"/>
      <c r="D744" s="22"/>
    </row>
    <row r="745">
      <c r="A745" s="64"/>
      <c r="D745" s="22"/>
    </row>
    <row r="746">
      <c r="A746" s="64"/>
      <c r="D746" s="22"/>
    </row>
    <row r="747">
      <c r="A747" s="64"/>
      <c r="D747" s="22"/>
    </row>
    <row r="748">
      <c r="A748" s="64"/>
      <c r="D748" s="22"/>
    </row>
    <row r="749">
      <c r="A749" s="64"/>
      <c r="D749" s="22"/>
    </row>
    <row r="750">
      <c r="A750" s="64"/>
      <c r="D750" s="22"/>
    </row>
    <row r="751">
      <c r="A751" s="64"/>
      <c r="D751" s="22"/>
    </row>
    <row r="752">
      <c r="A752" s="64"/>
      <c r="D752" s="22"/>
    </row>
    <row r="753">
      <c r="A753" s="64"/>
      <c r="D753" s="22"/>
    </row>
    <row r="754">
      <c r="A754" s="64"/>
      <c r="D754" s="22"/>
    </row>
    <row r="755">
      <c r="A755" s="64"/>
      <c r="D755" s="22"/>
    </row>
    <row r="756">
      <c r="A756" s="64"/>
      <c r="D756" s="22"/>
    </row>
    <row r="757">
      <c r="A757" s="64"/>
      <c r="D757" s="22"/>
    </row>
    <row r="758">
      <c r="A758" s="64"/>
      <c r="D758" s="22"/>
    </row>
    <row r="759">
      <c r="A759" s="64"/>
      <c r="D759" s="22"/>
    </row>
    <row r="760">
      <c r="A760" s="64"/>
      <c r="D760" s="22"/>
    </row>
    <row r="761">
      <c r="A761" s="64"/>
      <c r="D761" s="22"/>
    </row>
    <row r="762">
      <c r="A762" s="64"/>
      <c r="D762" s="22"/>
    </row>
    <row r="763">
      <c r="A763" s="64"/>
      <c r="D763" s="22"/>
    </row>
    <row r="764">
      <c r="A764" s="64"/>
      <c r="D764" s="22"/>
    </row>
    <row r="765">
      <c r="A765" s="64"/>
      <c r="D765" s="22"/>
    </row>
    <row r="766">
      <c r="A766" s="64"/>
      <c r="D766" s="22"/>
    </row>
    <row r="767">
      <c r="A767" s="64"/>
      <c r="D767" s="22"/>
    </row>
    <row r="768">
      <c r="A768" s="64"/>
      <c r="D768" s="22"/>
    </row>
    <row r="769">
      <c r="A769" s="64"/>
      <c r="D769" s="22"/>
    </row>
    <row r="770">
      <c r="A770" s="64"/>
      <c r="D770" s="22"/>
    </row>
    <row r="771">
      <c r="A771" s="64"/>
      <c r="D771" s="22"/>
    </row>
    <row r="772">
      <c r="A772" s="64"/>
      <c r="D772" s="22"/>
    </row>
    <row r="773">
      <c r="A773" s="64"/>
      <c r="D773" s="22"/>
    </row>
    <row r="774">
      <c r="A774" s="64"/>
      <c r="D774" s="22"/>
    </row>
    <row r="775">
      <c r="A775" s="64"/>
      <c r="D775" s="22"/>
    </row>
    <row r="776">
      <c r="A776" s="64"/>
      <c r="D776" s="22"/>
    </row>
    <row r="777">
      <c r="A777" s="64"/>
      <c r="D777" s="22"/>
    </row>
    <row r="778">
      <c r="A778" s="64"/>
      <c r="D778" s="22"/>
    </row>
    <row r="779">
      <c r="A779" s="64"/>
      <c r="D779" s="22"/>
    </row>
    <row r="780">
      <c r="A780" s="64"/>
      <c r="D780" s="22"/>
    </row>
    <row r="781">
      <c r="A781" s="64"/>
      <c r="D781" s="22"/>
    </row>
    <row r="782">
      <c r="A782" s="64"/>
      <c r="D782" s="22"/>
    </row>
    <row r="783">
      <c r="A783" s="64"/>
      <c r="D783" s="22"/>
    </row>
    <row r="784">
      <c r="A784" s="64"/>
      <c r="D784" s="22"/>
    </row>
    <row r="785">
      <c r="A785" s="64"/>
      <c r="D785" s="22"/>
    </row>
    <row r="786">
      <c r="A786" s="64"/>
      <c r="D786" s="22"/>
    </row>
    <row r="787">
      <c r="A787" s="64"/>
      <c r="D787" s="22"/>
    </row>
    <row r="788">
      <c r="A788" s="64"/>
      <c r="D788" s="22"/>
    </row>
    <row r="789">
      <c r="A789" s="64"/>
      <c r="D789" s="22"/>
    </row>
    <row r="790">
      <c r="A790" s="64"/>
      <c r="D790" s="22"/>
    </row>
    <row r="791">
      <c r="A791" s="64"/>
      <c r="D791" s="22"/>
    </row>
    <row r="792">
      <c r="A792" s="64"/>
      <c r="D792" s="22"/>
    </row>
    <row r="793">
      <c r="A793" s="64"/>
      <c r="D793" s="22"/>
    </row>
    <row r="794">
      <c r="A794" s="64"/>
      <c r="D794" s="22"/>
    </row>
    <row r="795">
      <c r="A795" s="64"/>
      <c r="D795" s="22"/>
    </row>
    <row r="796">
      <c r="A796" s="64"/>
      <c r="D796" s="22"/>
    </row>
    <row r="797">
      <c r="A797" s="64"/>
      <c r="D797" s="22"/>
    </row>
    <row r="798">
      <c r="A798" s="64"/>
      <c r="D798" s="22"/>
    </row>
    <row r="799">
      <c r="A799" s="64"/>
      <c r="D799" s="22"/>
    </row>
    <row r="800">
      <c r="A800" s="64"/>
      <c r="D800" s="22"/>
    </row>
    <row r="801">
      <c r="A801" s="64"/>
      <c r="D801" s="22"/>
    </row>
    <row r="802">
      <c r="A802" s="64"/>
      <c r="D802" s="22"/>
    </row>
    <row r="803">
      <c r="A803" s="64"/>
      <c r="D803" s="22"/>
    </row>
    <row r="804">
      <c r="A804" s="64"/>
      <c r="D804" s="22"/>
    </row>
    <row r="805">
      <c r="A805" s="64"/>
      <c r="D805" s="22"/>
    </row>
    <row r="806">
      <c r="A806" s="64"/>
      <c r="D806" s="22"/>
    </row>
    <row r="807">
      <c r="A807" s="64"/>
      <c r="D807" s="22"/>
    </row>
    <row r="808">
      <c r="A808" s="64"/>
      <c r="D808" s="22"/>
    </row>
    <row r="809">
      <c r="A809" s="64"/>
      <c r="D809" s="22"/>
    </row>
    <row r="810">
      <c r="A810" s="64"/>
      <c r="D810" s="22"/>
    </row>
    <row r="811">
      <c r="A811" s="64"/>
      <c r="D811" s="22"/>
    </row>
    <row r="812">
      <c r="A812" s="64"/>
      <c r="D812" s="22"/>
    </row>
    <row r="813">
      <c r="A813" s="64"/>
      <c r="D813" s="22"/>
    </row>
    <row r="814">
      <c r="A814" s="64"/>
      <c r="D814" s="22"/>
    </row>
    <row r="815">
      <c r="A815" s="64"/>
      <c r="D815" s="22"/>
    </row>
    <row r="816">
      <c r="A816" s="64"/>
      <c r="D816" s="22"/>
    </row>
    <row r="817">
      <c r="A817" s="64"/>
      <c r="D817" s="22"/>
    </row>
    <row r="818">
      <c r="A818" s="64"/>
      <c r="D818" s="22"/>
    </row>
    <row r="819">
      <c r="A819" s="64"/>
      <c r="D819" s="22"/>
    </row>
    <row r="820">
      <c r="A820" s="64"/>
      <c r="D820" s="22"/>
    </row>
    <row r="821">
      <c r="A821" s="64"/>
      <c r="D821" s="22"/>
    </row>
    <row r="822">
      <c r="A822" s="64"/>
      <c r="D822" s="22"/>
    </row>
    <row r="823">
      <c r="A823" s="64"/>
      <c r="D823" s="22"/>
    </row>
    <row r="824">
      <c r="A824" s="64"/>
      <c r="D824" s="22"/>
    </row>
    <row r="825">
      <c r="A825" s="64"/>
      <c r="D825" s="22"/>
    </row>
    <row r="826">
      <c r="A826" s="64"/>
      <c r="D826" s="22"/>
    </row>
    <row r="827">
      <c r="A827" s="64"/>
      <c r="D827" s="22"/>
    </row>
    <row r="828">
      <c r="A828" s="64"/>
      <c r="D828" s="22"/>
    </row>
    <row r="829">
      <c r="A829" s="64"/>
      <c r="D829" s="22"/>
    </row>
    <row r="830">
      <c r="A830" s="64"/>
      <c r="D830" s="22"/>
    </row>
    <row r="831">
      <c r="A831" s="64"/>
      <c r="D831" s="22"/>
    </row>
    <row r="832">
      <c r="A832" s="64"/>
      <c r="D832" s="22"/>
    </row>
    <row r="833">
      <c r="A833" s="64"/>
      <c r="D833" s="22"/>
    </row>
    <row r="834">
      <c r="A834" s="64"/>
      <c r="D834" s="22"/>
    </row>
    <row r="835">
      <c r="A835" s="64"/>
      <c r="D835" s="22"/>
    </row>
    <row r="836">
      <c r="A836" s="64"/>
      <c r="D836" s="22"/>
    </row>
    <row r="837">
      <c r="A837" s="64"/>
      <c r="D837" s="22"/>
    </row>
    <row r="838">
      <c r="A838" s="64"/>
      <c r="D838" s="22"/>
    </row>
    <row r="839">
      <c r="A839" s="64"/>
      <c r="D839" s="22"/>
    </row>
    <row r="840">
      <c r="A840" s="64"/>
      <c r="D840" s="22"/>
    </row>
    <row r="841">
      <c r="A841" s="64"/>
      <c r="D841" s="22"/>
    </row>
    <row r="842">
      <c r="A842" s="64"/>
      <c r="D842" s="22"/>
    </row>
    <row r="843">
      <c r="A843" s="64"/>
      <c r="D843" s="22"/>
    </row>
    <row r="844">
      <c r="A844" s="64"/>
      <c r="D844" s="22"/>
    </row>
    <row r="845">
      <c r="A845" s="64"/>
      <c r="D845" s="22"/>
    </row>
    <row r="846">
      <c r="A846" s="64"/>
      <c r="D846" s="22"/>
    </row>
    <row r="847">
      <c r="A847" s="64"/>
      <c r="D847" s="22"/>
    </row>
    <row r="848">
      <c r="A848" s="64"/>
      <c r="D848" s="22"/>
    </row>
    <row r="849">
      <c r="A849" s="64"/>
      <c r="D849" s="22"/>
    </row>
    <row r="850">
      <c r="A850" s="64"/>
      <c r="D850" s="22"/>
    </row>
    <row r="851">
      <c r="A851" s="64"/>
      <c r="D851" s="22"/>
    </row>
    <row r="852">
      <c r="A852" s="64"/>
      <c r="D852" s="22"/>
    </row>
    <row r="853">
      <c r="A853" s="64"/>
      <c r="D853" s="22"/>
    </row>
    <row r="854">
      <c r="A854" s="64"/>
      <c r="D854" s="22"/>
    </row>
    <row r="855">
      <c r="A855" s="64"/>
      <c r="D855" s="22"/>
    </row>
    <row r="856">
      <c r="A856" s="64"/>
      <c r="D856" s="22"/>
    </row>
    <row r="857">
      <c r="A857" s="64"/>
      <c r="D857" s="22"/>
    </row>
    <row r="858">
      <c r="A858" s="64"/>
      <c r="D858" s="22"/>
    </row>
    <row r="859">
      <c r="A859" s="64"/>
      <c r="D859" s="22"/>
    </row>
    <row r="860">
      <c r="A860" s="64"/>
      <c r="D860" s="22"/>
    </row>
    <row r="861">
      <c r="A861" s="64"/>
      <c r="D861" s="22"/>
    </row>
    <row r="862">
      <c r="A862" s="64"/>
      <c r="D862" s="22"/>
    </row>
    <row r="863">
      <c r="A863" s="64"/>
      <c r="D863" s="22"/>
    </row>
    <row r="864">
      <c r="A864" s="64"/>
      <c r="D864" s="22"/>
    </row>
    <row r="865">
      <c r="A865" s="64"/>
      <c r="D865" s="22"/>
    </row>
    <row r="866">
      <c r="A866" s="64"/>
      <c r="D866" s="22"/>
    </row>
    <row r="867">
      <c r="A867" s="64"/>
      <c r="D867" s="22"/>
    </row>
    <row r="868">
      <c r="A868" s="64"/>
      <c r="D868" s="22"/>
    </row>
    <row r="869">
      <c r="A869" s="64"/>
      <c r="D869" s="22"/>
    </row>
    <row r="870">
      <c r="A870" s="64"/>
      <c r="D870" s="22"/>
    </row>
    <row r="871">
      <c r="A871" s="64"/>
      <c r="D871" s="22"/>
    </row>
    <row r="872">
      <c r="A872" s="64"/>
      <c r="D872" s="22"/>
    </row>
    <row r="873">
      <c r="A873" s="64"/>
      <c r="D873" s="22"/>
    </row>
    <row r="874">
      <c r="A874" s="64"/>
      <c r="D874" s="22"/>
    </row>
    <row r="875">
      <c r="A875" s="64"/>
      <c r="D875" s="22"/>
    </row>
    <row r="876">
      <c r="A876" s="64"/>
      <c r="D876" s="22"/>
    </row>
    <row r="877">
      <c r="A877" s="64"/>
      <c r="D877" s="22"/>
    </row>
    <row r="878">
      <c r="A878" s="64"/>
      <c r="D878" s="22"/>
    </row>
    <row r="879">
      <c r="A879" s="64"/>
      <c r="D879" s="22"/>
    </row>
    <row r="880">
      <c r="A880" s="64"/>
      <c r="D880" s="22"/>
    </row>
    <row r="881">
      <c r="A881" s="64"/>
      <c r="D881" s="22"/>
    </row>
    <row r="882">
      <c r="A882" s="64"/>
      <c r="D882" s="22"/>
    </row>
    <row r="883">
      <c r="A883" s="64"/>
      <c r="D883" s="22"/>
    </row>
    <row r="884">
      <c r="A884" s="64"/>
      <c r="D884" s="22"/>
    </row>
    <row r="885">
      <c r="A885" s="64"/>
      <c r="D885" s="22"/>
    </row>
    <row r="886">
      <c r="A886" s="64"/>
      <c r="D886" s="22"/>
    </row>
    <row r="887">
      <c r="A887" s="64"/>
      <c r="D887" s="22"/>
    </row>
    <row r="888">
      <c r="A888" s="64"/>
      <c r="D888" s="22"/>
    </row>
    <row r="889">
      <c r="A889" s="64"/>
      <c r="D889" s="22"/>
    </row>
    <row r="890">
      <c r="A890" s="64"/>
      <c r="D890" s="22"/>
    </row>
    <row r="891">
      <c r="A891" s="64"/>
      <c r="D891" s="22"/>
    </row>
    <row r="892">
      <c r="A892" s="64"/>
      <c r="D892" s="22"/>
    </row>
    <row r="893">
      <c r="A893" s="64"/>
      <c r="D893" s="22"/>
    </row>
    <row r="894">
      <c r="A894" s="64"/>
      <c r="D894" s="22"/>
    </row>
    <row r="895">
      <c r="A895" s="64"/>
      <c r="D895" s="22"/>
    </row>
    <row r="896">
      <c r="A896" s="64"/>
      <c r="D896" s="22"/>
    </row>
    <row r="897">
      <c r="A897" s="64"/>
      <c r="D897" s="22"/>
    </row>
    <row r="898">
      <c r="A898" s="64"/>
      <c r="D898" s="22"/>
    </row>
    <row r="899">
      <c r="A899" s="64"/>
      <c r="D899" s="22"/>
    </row>
    <row r="900">
      <c r="A900" s="64"/>
      <c r="D900" s="22"/>
    </row>
    <row r="901">
      <c r="A901" s="64"/>
      <c r="D901" s="22"/>
    </row>
    <row r="902">
      <c r="A902" s="64"/>
      <c r="D902" s="22"/>
    </row>
    <row r="903">
      <c r="A903" s="64"/>
      <c r="D903" s="22"/>
    </row>
    <row r="904">
      <c r="A904" s="64"/>
      <c r="D904" s="22"/>
    </row>
    <row r="905">
      <c r="A905" s="64"/>
      <c r="D905" s="22"/>
    </row>
    <row r="906">
      <c r="A906" s="64"/>
      <c r="D906" s="22"/>
    </row>
    <row r="907">
      <c r="A907" s="64"/>
      <c r="D907" s="22"/>
    </row>
    <row r="908">
      <c r="A908" s="64"/>
      <c r="D908" s="22"/>
    </row>
    <row r="909">
      <c r="A909" s="64"/>
      <c r="D909" s="22"/>
    </row>
    <row r="910">
      <c r="A910" s="64"/>
      <c r="D910" s="22"/>
    </row>
    <row r="911">
      <c r="A911" s="64"/>
      <c r="D911" s="22"/>
    </row>
    <row r="912">
      <c r="A912" s="64"/>
      <c r="D912" s="22"/>
    </row>
    <row r="913">
      <c r="A913" s="64"/>
      <c r="D913" s="22"/>
    </row>
    <row r="914">
      <c r="A914" s="64"/>
      <c r="D914" s="22"/>
    </row>
    <row r="915">
      <c r="A915" s="64"/>
      <c r="D915" s="22"/>
    </row>
    <row r="916">
      <c r="A916" s="64"/>
      <c r="D916" s="22"/>
    </row>
    <row r="917">
      <c r="A917" s="64"/>
      <c r="D917" s="22"/>
    </row>
    <row r="918">
      <c r="A918" s="64"/>
      <c r="D918" s="22"/>
    </row>
    <row r="919">
      <c r="A919" s="64"/>
      <c r="D919" s="22"/>
    </row>
    <row r="920">
      <c r="A920" s="64"/>
      <c r="D920" s="22"/>
    </row>
    <row r="921">
      <c r="A921" s="64"/>
      <c r="D921" s="22"/>
    </row>
    <row r="922">
      <c r="A922" s="64"/>
      <c r="D922" s="22"/>
    </row>
    <row r="923">
      <c r="A923" s="64"/>
      <c r="D923" s="22"/>
    </row>
    <row r="924">
      <c r="A924" s="64"/>
      <c r="D924" s="22"/>
    </row>
    <row r="925">
      <c r="A925" s="64"/>
      <c r="D925" s="22"/>
    </row>
    <row r="926">
      <c r="A926" s="64"/>
      <c r="D926" s="22"/>
    </row>
    <row r="927">
      <c r="A927" s="64"/>
      <c r="D927" s="22"/>
    </row>
    <row r="928">
      <c r="A928" s="64"/>
      <c r="D928" s="22"/>
    </row>
    <row r="929">
      <c r="A929" s="64"/>
      <c r="D929" s="22"/>
    </row>
    <row r="930">
      <c r="A930" s="64"/>
      <c r="D930" s="22"/>
    </row>
    <row r="931">
      <c r="A931" s="64"/>
      <c r="D931" s="22"/>
    </row>
    <row r="932">
      <c r="A932" s="64"/>
      <c r="D932" s="22"/>
    </row>
    <row r="933">
      <c r="A933" s="64"/>
      <c r="D933" s="22"/>
    </row>
    <row r="934">
      <c r="A934" s="64"/>
      <c r="D934" s="22"/>
    </row>
    <row r="935">
      <c r="A935" s="64"/>
      <c r="D935" s="22"/>
    </row>
    <row r="936">
      <c r="A936" s="64"/>
      <c r="D936" s="22"/>
    </row>
    <row r="937">
      <c r="A937" s="64"/>
      <c r="D937" s="22"/>
    </row>
    <row r="938">
      <c r="A938" s="64"/>
      <c r="D938" s="22"/>
    </row>
    <row r="939">
      <c r="A939" s="64"/>
      <c r="D939" s="22"/>
    </row>
    <row r="940">
      <c r="A940" s="64"/>
      <c r="D940" s="22"/>
    </row>
    <row r="941">
      <c r="A941" s="64"/>
      <c r="D941" s="22"/>
    </row>
    <row r="942">
      <c r="A942" s="64"/>
      <c r="D942" s="22"/>
    </row>
    <row r="943">
      <c r="A943" s="64"/>
      <c r="D943" s="22"/>
    </row>
    <row r="944">
      <c r="A944" s="64"/>
      <c r="D944" s="22"/>
    </row>
    <row r="945">
      <c r="A945" s="64"/>
      <c r="D945" s="22"/>
    </row>
    <row r="946">
      <c r="A946" s="64"/>
      <c r="D946" s="22"/>
    </row>
    <row r="947">
      <c r="A947" s="64"/>
      <c r="D947" s="22"/>
    </row>
    <row r="948">
      <c r="A948" s="64"/>
      <c r="D948" s="22"/>
    </row>
    <row r="949">
      <c r="A949" s="64"/>
      <c r="D949" s="22"/>
    </row>
    <row r="950">
      <c r="A950" s="64"/>
      <c r="D950" s="22"/>
    </row>
    <row r="951">
      <c r="A951" s="64"/>
      <c r="D951" s="22"/>
    </row>
    <row r="952">
      <c r="A952" s="64"/>
      <c r="D952" s="22"/>
    </row>
    <row r="953">
      <c r="A953" s="64"/>
      <c r="D953" s="22"/>
    </row>
    <row r="954">
      <c r="A954" s="64"/>
      <c r="D954" s="22"/>
    </row>
    <row r="955">
      <c r="A955" s="64"/>
      <c r="D955" s="22"/>
    </row>
    <row r="956">
      <c r="A956" s="64"/>
      <c r="D956" s="22"/>
    </row>
    <row r="957">
      <c r="A957" s="64"/>
      <c r="D957" s="22"/>
    </row>
    <row r="958">
      <c r="A958" s="64"/>
      <c r="D958" s="22"/>
    </row>
    <row r="959">
      <c r="A959" s="64"/>
      <c r="D959" s="22"/>
    </row>
    <row r="960">
      <c r="A960" s="64"/>
      <c r="D960" s="22"/>
    </row>
    <row r="961">
      <c r="A961" s="64"/>
      <c r="D961" s="22"/>
    </row>
    <row r="962">
      <c r="A962" s="64"/>
      <c r="D962" s="22"/>
    </row>
    <row r="963">
      <c r="A963" s="64"/>
      <c r="D963" s="22"/>
    </row>
    <row r="964">
      <c r="A964" s="64"/>
      <c r="D964" s="22"/>
    </row>
    <row r="965">
      <c r="A965" s="64"/>
      <c r="D965" s="22"/>
    </row>
    <row r="966">
      <c r="A966" s="64"/>
      <c r="D966" s="22"/>
    </row>
    <row r="967">
      <c r="A967" s="64"/>
      <c r="D967" s="22"/>
    </row>
    <row r="968">
      <c r="A968" s="64"/>
      <c r="D968" s="22"/>
    </row>
    <row r="969">
      <c r="A969" s="64"/>
      <c r="D969" s="22"/>
    </row>
    <row r="970">
      <c r="A970" s="64"/>
      <c r="D970" s="22"/>
    </row>
    <row r="971">
      <c r="A971" s="64"/>
      <c r="D971" s="22"/>
    </row>
    <row r="972">
      <c r="A972" s="64"/>
      <c r="D972" s="22"/>
    </row>
    <row r="973">
      <c r="A973" s="64"/>
      <c r="D973" s="22"/>
    </row>
    <row r="974">
      <c r="A974" s="64"/>
      <c r="D974" s="22"/>
    </row>
    <row r="975">
      <c r="A975" s="64"/>
      <c r="D975" s="22"/>
    </row>
    <row r="976">
      <c r="A976" s="64"/>
      <c r="D976" s="22"/>
    </row>
    <row r="977">
      <c r="A977" s="64"/>
      <c r="D977" s="22"/>
    </row>
    <row r="978">
      <c r="A978" s="64"/>
      <c r="D978" s="22"/>
    </row>
    <row r="979">
      <c r="A979" s="64"/>
      <c r="D979" s="22"/>
    </row>
    <row r="980">
      <c r="A980" s="64"/>
      <c r="D980" s="22"/>
    </row>
    <row r="981">
      <c r="A981" s="64"/>
      <c r="D981" s="22"/>
    </row>
    <row r="982">
      <c r="A982" s="64"/>
      <c r="D982" s="22"/>
    </row>
    <row r="983">
      <c r="A983" s="64"/>
      <c r="D983" s="22"/>
    </row>
    <row r="984">
      <c r="A984" s="64"/>
      <c r="D984" s="22"/>
    </row>
    <row r="985">
      <c r="A985" s="64"/>
      <c r="D985" s="22"/>
    </row>
    <row r="986">
      <c r="A986" s="64"/>
      <c r="D986" s="22"/>
    </row>
    <row r="987">
      <c r="A987" s="64"/>
      <c r="D987" s="22"/>
    </row>
    <row r="988">
      <c r="A988" s="64"/>
      <c r="D988" s="22"/>
    </row>
    <row r="989">
      <c r="A989" s="64"/>
      <c r="D989" s="22"/>
    </row>
    <row r="990">
      <c r="A990" s="64"/>
      <c r="D990" s="22"/>
    </row>
    <row r="991">
      <c r="A991" s="64"/>
      <c r="D991" s="22"/>
    </row>
    <row r="992">
      <c r="A992" s="64"/>
      <c r="D992" s="22"/>
    </row>
    <row r="993">
      <c r="A993" s="64"/>
      <c r="D993" s="22"/>
    </row>
    <row r="994">
      <c r="A994" s="64"/>
      <c r="D994" s="22"/>
    </row>
    <row r="995">
      <c r="A995" s="64"/>
      <c r="D995" s="22"/>
    </row>
    <row r="996">
      <c r="A996" s="64"/>
      <c r="D996" s="22"/>
    </row>
    <row r="997">
      <c r="A997" s="64"/>
      <c r="D997" s="22"/>
    </row>
    <row r="998">
      <c r="A998" s="64"/>
      <c r="D998" s="22"/>
    </row>
    <row r="999">
      <c r="A999" s="64"/>
      <c r="D999" s="22"/>
    </row>
    <row r="1000">
      <c r="A1000" s="64"/>
      <c r="D1000" s="22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66" t="s">
        <v>35</v>
      </c>
      <c r="I1" s="67">
        <f>countifs(B:B,"&lt;&gt;",F:F,"&lt;&gt;")-1</f>
        <v>6</v>
      </c>
      <c r="K1" s="6" t="s">
        <v>36</v>
      </c>
      <c r="L1" s="6" t="s">
        <v>37</v>
      </c>
      <c r="M1" s="6" t="s">
        <v>13</v>
      </c>
    </row>
    <row r="2">
      <c r="H2" s="66" t="s">
        <v>38</v>
      </c>
      <c r="I2" s="67">
        <f t="array" ref="I2">(COUNTA(UNIQUE(C:C))-1)</f>
        <v>6</v>
      </c>
      <c r="K2" s="68" t="str">
        <f>'Internal Summary'!B40</f>
        <v>300g Ripe Plantain Chips (30x)</v>
      </c>
      <c r="L2" s="67">
        <f t="shared" ref="L2:L13" si="1">sumif(D:D,K2,E:E)</f>
        <v>0</v>
      </c>
      <c r="M2" s="67">
        <f t="shared" ref="M2:M13" si="2">sumif(D:D,K2,F:F)</f>
        <v>0</v>
      </c>
      <c r="N2" s="69"/>
    </row>
    <row r="3">
      <c r="H3" s="66" t="s">
        <v>39</v>
      </c>
      <c r="I3" s="67">
        <f>sum(F:F)</f>
        <v>253953.47</v>
      </c>
      <c r="K3" s="68" t="str">
        <f>'Internal Summary'!B41</f>
        <v>300g Sweet Potato Chips (24x)</v>
      </c>
      <c r="L3" s="67">
        <f t="shared" si="1"/>
        <v>3.25</v>
      </c>
      <c r="M3" s="67">
        <f t="shared" si="2"/>
        <v>253953.47</v>
      </c>
      <c r="N3" s="69"/>
    </row>
    <row r="4">
      <c r="H4" s="1"/>
      <c r="K4" s="68" t="str">
        <f>'Internal Summary'!B42</f>
        <v>300g UnRipe Plantain Chips (30x)</v>
      </c>
      <c r="L4" s="67">
        <f t="shared" si="1"/>
        <v>0</v>
      </c>
      <c r="M4" s="67">
        <f t="shared" si="2"/>
        <v>0</v>
      </c>
      <c r="N4" s="69"/>
    </row>
    <row r="5">
      <c r="H5" s="1"/>
      <c r="K5" s="68" t="str">
        <f>'Internal Summary'!B43</f>
        <v/>
      </c>
      <c r="L5" s="67">
        <f t="shared" si="1"/>
        <v>0</v>
      </c>
      <c r="M5" s="67">
        <f t="shared" si="2"/>
        <v>0</v>
      </c>
      <c r="N5" s="69"/>
    </row>
    <row r="6">
      <c r="K6" s="68" t="str">
        <f>'Internal Summary'!B44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67">
        <f t="shared" si="2"/>
        <v>0</v>
      </c>
    </row>
    <row r="12">
      <c r="A12" s="34"/>
      <c r="K12" s="68" t="str">
        <f>'Internal Summary'!B50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67">
        <f t="shared" si="2"/>
        <v>0</v>
      </c>
    </row>
    <row r="14"/>
    <row r="15">
      <c r="I15" s="22"/>
    </row>
    <row r="16" hidden="1"/>
    <row r="17" hidden="1"/>
    <row r="18">
      <c r="I18" s="22"/>
    </row>
    <row r="19" hidden="1"/>
    <row r="20" hidden="1"/>
    <row r="21">
      <c r="I21" s="22"/>
    </row>
    <row r="22" hidden="1"/>
    <row r="23" hidden="1"/>
    <row r="24">
      <c r="I24" s="22"/>
    </row>
    <row r="25" hidden="1"/>
    <row r="26" hidden="1"/>
    <row r="27">
      <c r="I27" s="22"/>
    </row>
    <row r="28" hidden="1"/>
    <row r="29" hidden="1"/>
    <row r="30">
      <c r="I30" s="22"/>
    </row>
    <row r="31" hidden="1"/>
    <row r="32" hidden="1"/>
    <row r="33">
      <c r="I33" s="22"/>
    </row>
    <row r="34" hidden="1"/>
    <row r="35" hidden="1"/>
    <row r="36">
      <c r="I36" s="22"/>
    </row>
    <row r="37" hidden="1"/>
    <row r="38" hidden="1"/>
    <row r="39">
      <c r="I39" s="22"/>
    </row>
    <row r="40" hidden="1"/>
    <row r="41" hidden="1"/>
    <row r="42">
      <c r="I42" s="22"/>
    </row>
    <row r="43" hidden="1"/>
    <row r="44" hidden="1"/>
    <row r="45">
      <c r="I45" s="22"/>
    </row>
    <row r="46" hidden="1"/>
    <row r="47" hidden="1"/>
    <row r="48">
      <c r="I48" s="22"/>
    </row>
    <row r="49" hidden="1"/>
    <row r="50" hidden="1"/>
    <row r="51">
      <c r="I51" s="22"/>
    </row>
    <row r="52" hidden="1"/>
    <row r="53" hidden="1"/>
    <row r="54">
      <c r="I54" s="22"/>
    </row>
    <row r="55" hidden="1"/>
    <row r="56" hidden="1"/>
    <row r="57">
      <c r="I57" s="22"/>
    </row>
    <row r="58" hidden="1"/>
    <row r="59" hidden="1"/>
    <row r="60">
      <c r="I60" s="22"/>
    </row>
    <row r="61" hidden="1"/>
    <row r="62" hidden="1"/>
    <row r="63">
      <c r="I63" s="22"/>
    </row>
    <row r="64" hidden="1"/>
    <row r="65" hidden="1"/>
    <row r="66">
      <c r="I66" s="22"/>
    </row>
    <row r="67" hidden="1"/>
    <row r="68" hidden="1"/>
    <row r="69">
      <c r="I69" s="22"/>
    </row>
    <row r="70" hidden="1"/>
    <row r="71" hidden="1"/>
    <row r="72">
      <c r="I72" s="22"/>
    </row>
    <row r="73" hidden="1"/>
    <row r="74" hidden="1"/>
    <row r="75">
      <c r="I75" s="22"/>
    </row>
    <row r="76" hidden="1"/>
    <row r="77" hidden="1"/>
    <row r="78">
      <c r="I78" s="22"/>
    </row>
    <row r="79" hidden="1"/>
    <row r="80" hidden="1"/>
    <row r="81">
      <c r="I81" s="22"/>
    </row>
    <row r="82" hidden="1"/>
    <row r="83" hidden="1"/>
    <row r="84">
      <c r="I84" s="22"/>
    </row>
    <row r="85" hidden="1"/>
    <row r="86" hidden="1"/>
    <row r="87">
      <c r="I87" s="22"/>
    </row>
    <row r="88" hidden="1"/>
    <row r="89" hidden="1"/>
    <row r="90">
      <c r="I90" s="22"/>
    </row>
    <row r="91" hidden="1"/>
    <row r="92" hidden="1"/>
    <row r="93">
      <c r="I93" s="22"/>
    </row>
    <row r="94" hidden="1"/>
    <row r="95" hidden="1"/>
    <row r="96">
      <c r="I96" s="22"/>
    </row>
    <row r="97" hidden="1"/>
    <row r="98" hidden="1"/>
    <row r="99">
      <c r="I99" s="22"/>
    </row>
    <row r="100" hidden="1"/>
    <row r="101" hidden="1"/>
    <row r="102">
      <c r="I102" s="22"/>
    </row>
    <row r="103" hidden="1"/>
    <row r="104" hidden="1"/>
    <row r="105">
      <c r="I105" s="22"/>
    </row>
    <row r="106" hidden="1"/>
    <row r="107" hidden="1"/>
    <row r="108">
      <c r="I108" s="22"/>
    </row>
    <row r="109" hidden="1"/>
    <row r="110" hidden="1"/>
    <row r="111">
      <c r="I111" s="22"/>
    </row>
    <row r="112" hidden="1"/>
    <row r="113" hidden="1"/>
    <row r="114">
      <c r="I114" s="22"/>
    </row>
    <row r="115" hidden="1"/>
    <row r="116" hidden="1"/>
    <row r="117">
      <c r="I117" s="22"/>
    </row>
    <row r="118" hidden="1"/>
    <row r="119" hidden="1"/>
    <row r="120">
      <c r="I120" s="22"/>
    </row>
    <row r="121" hidden="1"/>
    <row r="122" hidden="1"/>
    <row r="123">
      <c r="I123" s="22"/>
    </row>
    <row r="124" hidden="1"/>
    <row r="125" hidden="1"/>
    <row r="126">
      <c r="I126" s="22"/>
    </row>
    <row r="127" hidden="1"/>
    <row r="128" hidden="1"/>
    <row r="129">
      <c r="I129" s="22"/>
    </row>
    <row r="130" hidden="1"/>
    <row r="131" hidden="1"/>
    <row r="132">
      <c r="I132" s="22"/>
    </row>
    <row r="133" hidden="1"/>
    <row r="134" hidden="1"/>
    <row r="135">
      <c r="I135" s="22"/>
    </row>
    <row r="136" hidden="1"/>
    <row r="137" hidden="1"/>
    <row r="138">
      <c r="I138" s="22"/>
    </row>
    <row r="139" hidden="1"/>
    <row r="140" hidden="1"/>
    <row r="141">
      <c r="I141" s="22"/>
    </row>
    <row r="142" hidden="1"/>
    <row r="143" hidden="1"/>
    <row r="144">
      <c r="I144" s="22"/>
    </row>
    <row r="145" hidden="1"/>
    <row r="146" hidden="1"/>
    <row r="147">
      <c r="I147" s="22"/>
    </row>
    <row r="148" hidden="1"/>
    <row r="149" hidden="1"/>
    <row r="150">
      <c r="I150" s="22"/>
    </row>
    <row r="151" hidden="1"/>
    <row r="152" hidden="1"/>
    <row r="153">
      <c r="I153" s="22"/>
    </row>
    <row r="154" hidden="1"/>
    <row r="155" hidden="1"/>
    <row r="156">
      <c r="I156" s="22"/>
    </row>
    <row r="157" hidden="1"/>
    <row r="158" hidden="1"/>
    <row r="159">
      <c r="I159" s="22"/>
    </row>
    <row r="160" hidden="1"/>
    <row r="161" hidden="1"/>
    <row r="162">
      <c r="I162" s="22"/>
    </row>
    <row r="163" hidden="1"/>
    <row r="164" hidden="1"/>
    <row r="165">
      <c r="I165" s="22"/>
    </row>
    <row r="166" hidden="1"/>
    <row r="167" hidden="1"/>
    <row r="168">
      <c r="I168" s="22"/>
    </row>
    <row r="169" hidden="1"/>
    <row r="170" hidden="1"/>
    <row r="171">
      <c r="I171" s="22"/>
    </row>
    <row r="172" hidden="1"/>
    <row r="173" hidden="1"/>
    <row r="174">
      <c r="I174" s="22"/>
    </row>
    <row r="175" hidden="1"/>
    <row r="176" hidden="1"/>
    <row r="177">
      <c r="I177" s="22"/>
    </row>
    <row r="178" hidden="1"/>
    <row r="179" hidden="1"/>
    <row r="180">
      <c r="I180" s="22"/>
    </row>
    <row r="181" hidden="1"/>
    <row r="182" hidden="1"/>
    <row r="183">
      <c r="I183" s="22"/>
    </row>
    <row r="184" hidden="1"/>
    <row r="185" hidden="1"/>
    <row r="186">
      <c r="I186" s="22"/>
    </row>
    <row r="187" hidden="1"/>
    <row r="188" hidden="1"/>
    <row r="189">
      <c r="I189" s="22"/>
    </row>
    <row r="190" hidden="1"/>
    <row r="191" hidden="1"/>
    <row r="192">
      <c r="I192" s="22"/>
    </row>
    <row r="193" hidden="1"/>
    <row r="194" hidden="1"/>
    <row r="195">
      <c r="I195" s="22"/>
    </row>
    <row r="196" hidden="1"/>
    <row r="197" hidden="1"/>
    <row r="198">
      <c r="I198" s="22"/>
    </row>
    <row r="199" hidden="1"/>
    <row r="200" hidden="1"/>
    <row r="201">
      <c r="I201" s="22"/>
    </row>
    <row r="202" hidden="1"/>
    <row r="203" hidden="1"/>
    <row r="204">
      <c r="I204" s="22"/>
    </row>
    <row r="205" hidden="1"/>
    <row r="206" hidden="1"/>
    <row r="207">
      <c r="I207" s="22"/>
    </row>
    <row r="208" hidden="1"/>
    <row r="209" hidden="1"/>
    <row r="210">
      <c r="I210" s="22"/>
    </row>
    <row r="211" hidden="1"/>
    <row r="212" hidden="1"/>
    <row r="213">
      <c r="I213" s="22"/>
    </row>
    <row r="214" hidden="1"/>
    <row r="215" hidden="1"/>
    <row r="216">
      <c r="I216" s="22"/>
    </row>
    <row r="217" hidden="1"/>
    <row r="218" hidden="1"/>
    <row r="219">
      <c r="I219" s="22"/>
    </row>
    <row r="220" hidden="1"/>
    <row r="221" hidden="1"/>
    <row r="222">
      <c r="I222" s="22"/>
    </row>
    <row r="223" hidden="1"/>
    <row r="224" hidden="1"/>
    <row r="225">
      <c r="I225" s="22"/>
    </row>
    <row r="226" hidden="1"/>
    <row r="227" hidden="1"/>
    <row r="228">
      <c r="I228" s="22"/>
    </row>
    <row r="229" hidden="1"/>
    <row r="230" hidden="1"/>
    <row r="231">
      <c r="I231" s="22"/>
    </row>
    <row r="232" hidden="1"/>
    <row r="233" hidden="1"/>
    <row r="234">
      <c r="I234" s="22"/>
    </row>
    <row r="235" hidden="1"/>
    <row r="236" hidden="1"/>
    <row r="237">
      <c r="I237" s="22"/>
    </row>
    <row r="238" hidden="1"/>
    <row r="239" hidden="1"/>
    <row r="240">
      <c r="I240" s="22"/>
    </row>
    <row r="241" hidden="1"/>
    <row r="242" hidden="1"/>
    <row r="243">
      <c r="I243" s="2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2"/>
    </row>
    <row r="321">
      <c r="I321" s="22"/>
    </row>
    <row r="324">
      <c r="I324" s="22"/>
    </row>
    <row r="327">
      <c r="I327" s="22"/>
    </row>
    <row r="330">
      <c r="I330" s="22"/>
    </row>
    <row r="333">
      <c r="I333" s="22"/>
    </row>
    <row r="336">
      <c r="I336" s="22"/>
    </row>
    <row r="339">
      <c r="I339" s="22"/>
    </row>
    <row r="342">
      <c r="I342" s="22"/>
    </row>
    <row r="345">
      <c r="I345" s="22"/>
    </row>
    <row r="348">
      <c r="I348" s="22"/>
    </row>
    <row r="351">
      <c r="I351" s="22"/>
    </row>
    <row r="354">
      <c r="I354" s="22"/>
    </row>
    <row r="357">
      <c r="I357" s="22"/>
    </row>
    <row r="360">
      <c r="I360" s="22"/>
    </row>
    <row r="363">
      <c r="I363" s="22"/>
    </row>
    <row r="366">
      <c r="I366" s="22"/>
    </row>
    <row r="369">
      <c r="I369" s="22"/>
    </row>
    <row r="372">
      <c r="I372" s="22"/>
    </row>
    <row r="375">
      <c r="I375" s="22"/>
    </row>
    <row r="378">
      <c r="I378" s="22"/>
    </row>
    <row r="381">
      <c r="I381" s="22"/>
    </row>
    <row r="384">
      <c r="I384" s="22"/>
    </row>
    <row r="387">
      <c r="I387" s="22"/>
    </row>
    <row r="390">
      <c r="I390" s="22"/>
    </row>
    <row r="393">
      <c r="I393" s="22"/>
    </row>
    <row r="396">
      <c r="I396" s="22"/>
    </row>
    <row r="399">
      <c r="I399" s="22"/>
    </row>
    <row r="402">
      <c r="I402" s="22"/>
    </row>
    <row r="405">
      <c r="I405" s="22"/>
    </row>
    <row r="408">
      <c r="I408" s="22"/>
    </row>
    <row r="411">
      <c r="I411" s="22"/>
    </row>
    <row r="414">
      <c r="I414" s="22"/>
    </row>
    <row r="417">
      <c r="I417" s="22"/>
    </row>
    <row r="420">
      <c r="I420" s="22"/>
    </row>
    <row r="423">
      <c r="I423" s="22"/>
    </row>
    <row r="426">
      <c r="I426" s="22"/>
    </row>
    <row r="429">
      <c r="I429" s="22"/>
    </row>
    <row r="432">
      <c r="I432" s="22"/>
    </row>
    <row r="435">
      <c r="I435" s="22"/>
    </row>
    <row r="438">
      <c r="I438" s="22"/>
    </row>
    <row r="441">
      <c r="I441" s="22"/>
    </row>
    <row r="444">
      <c r="I444" s="22"/>
    </row>
    <row r="447">
      <c r="I447" s="22"/>
    </row>
    <row r="450">
      <c r="I450" s="22"/>
    </row>
    <row r="453">
      <c r="I453" s="22"/>
    </row>
    <row r="456">
      <c r="I456" s="22"/>
    </row>
    <row r="459">
      <c r="I459" s="22"/>
    </row>
    <row r="462">
      <c r="I462" s="22"/>
    </row>
    <row r="465">
      <c r="I465" s="22"/>
    </row>
    <row r="468">
      <c r="I468" s="22"/>
    </row>
    <row r="471">
      <c r="I471" s="22"/>
    </row>
    <row r="474">
      <c r="I474" s="22"/>
    </row>
    <row r="477">
      <c r="I477" s="22"/>
    </row>
    <row r="480">
      <c r="I480" s="22"/>
    </row>
    <row r="483">
      <c r="I483" s="22"/>
    </row>
    <row r="486">
      <c r="I486" s="22"/>
    </row>
    <row r="489">
      <c r="I489" s="22"/>
    </row>
    <row r="492">
      <c r="I492" s="22"/>
    </row>
    <row r="495">
      <c r="I495" s="22"/>
    </row>
    <row r="498">
      <c r="I498" s="22"/>
    </row>
    <row r="501">
      <c r="I501" s="22"/>
    </row>
    <row r="504">
      <c r="I504" s="22"/>
    </row>
    <row r="507">
      <c r="I507" s="22"/>
    </row>
    <row r="510">
      <c r="I510" s="22"/>
    </row>
    <row r="513">
      <c r="I513" s="22"/>
    </row>
    <row r="516">
      <c r="I516" s="22"/>
    </row>
    <row r="519">
      <c r="I519" s="22"/>
    </row>
    <row r="522">
      <c r="I522" s="22"/>
    </row>
    <row r="525">
      <c r="I525" s="22"/>
    </row>
    <row r="528">
      <c r="I528" s="22"/>
    </row>
    <row r="531">
      <c r="I531" s="22"/>
    </row>
    <row r="534">
      <c r="I534" s="22"/>
    </row>
    <row r="537">
      <c r="I537" s="22"/>
    </row>
    <row r="540">
      <c r="I540" s="22"/>
    </row>
    <row r="543">
      <c r="I543" s="22"/>
    </row>
    <row r="546">
      <c r="I546" s="22"/>
    </row>
    <row r="549">
      <c r="I549" s="22"/>
    </row>
    <row r="552">
      <c r="I552" s="22"/>
    </row>
    <row r="555">
      <c r="I555" s="22"/>
    </row>
    <row r="558">
      <c r="I558" s="22"/>
    </row>
    <row r="561">
      <c r="I561" s="22"/>
    </row>
    <row r="564">
      <c r="I564" s="22"/>
    </row>
    <row r="567">
      <c r="I567" s="22"/>
    </row>
    <row r="570">
      <c r="I570" s="22"/>
    </row>
    <row r="573">
      <c r="I573" s="22"/>
    </row>
    <row r="576">
      <c r="I576" s="22"/>
    </row>
    <row r="579">
      <c r="I579" s="22"/>
    </row>
    <row r="582">
      <c r="I582" s="22"/>
    </row>
    <row r="585">
      <c r="I585" s="22"/>
    </row>
    <row r="588">
      <c r="I588" s="22"/>
    </row>
    <row r="591">
      <c r="I591" s="22"/>
    </row>
    <row r="594">
      <c r="I594" s="22"/>
    </row>
    <row r="597">
      <c r="I597" s="22"/>
    </row>
    <row r="600">
      <c r="I600" s="22"/>
    </row>
    <row r="603">
      <c r="I603" s="22"/>
    </row>
    <row r="606">
      <c r="I606" s="22"/>
    </row>
  </sheetData>
  <autoFilter ref="$A$14:$F$316">
    <filterColumn colId="5">
      <filters>
        <filter val="39,069.77"/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66" t="s">
        <v>35</v>
      </c>
      <c r="I1" s="67">
        <f>countifs(B:B,"&lt;&gt;",F:F,"&lt;&gt;")-1</f>
        <v>0</v>
      </c>
      <c r="K1" s="68" t="s">
        <v>36</v>
      </c>
      <c r="L1" s="68" t="s">
        <v>37</v>
      </c>
      <c r="M1" s="68" t="s">
        <v>13</v>
      </c>
    </row>
    <row r="2">
      <c r="H2" s="66" t="s">
        <v>38</v>
      </c>
      <c r="I2" s="67">
        <f t="array" ref="I2">(COUNTA(UNIQUE(C:C))-1)</f>
        <v>0</v>
      </c>
      <c r="K2" s="68" t="str">
        <f>'Internal Summary'!B40</f>
        <v>300g Ripe Plantain Chips (30x)</v>
      </c>
      <c r="L2" s="67">
        <f t="shared" ref="L2:L13" si="1">sumif(D:D,K2,E:E)</f>
        <v>0</v>
      </c>
      <c r="M2" s="67">
        <f t="shared" ref="M2:M13" si="2">sumif(D:D,K2,F:F)</f>
        <v>0</v>
      </c>
    </row>
    <row r="3">
      <c r="H3" s="66" t="s">
        <v>39</v>
      </c>
      <c r="I3" s="67">
        <f>sum(F:F)</f>
        <v>0</v>
      </c>
      <c r="K3" s="68" t="str">
        <f>'Internal Summary'!B41</f>
        <v>300g Sweet Potato Chips (24x)</v>
      </c>
      <c r="L3" s="67">
        <f t="shared" si="1"/>
        <v>0</v>
      </c>
      <c r="M3" s="67">
        <f t="shared" si="2"/>
        <v>0</v>
      </c>
    </row>
    <row r="4">
      <c r="H4" s="1"/>
      <c r="K4" s="68" t="str">
        <f>'Internal Summary'!B42</f>
        <v>300g UnRipe Plantain Chips (30x)</v>
      </c>
      <c r="L4" s="67">
        <f t="shared" si="1"/>
        <v>0</v>
      </c>
      <c r="M4" s="67">
        <f t="shared" si="2"/>
        <v>0</v>
      </c>
    </row>
    <row r="5">
      <c r="H5" s="1"/>
      <c r="K5" s="68" t="str">
        <f>'Internal Summary'!B43</f>
        <v/>
      </c>
      <c r="L5" s="67">
        <f t="shared" si="1"/>
        <v>0</v>
      </c>
      <c r="M5" s="67">
        <f t="shared" si="2"/>
        <v>0</v>
      </c>
    </row>
    <row r="6">
      <c r="K6" s="68" t="str">
        <f>'Internal Summary'!B44</f>
        <v/>
      </c>
      <c r="L6" s="67">
        <f t="shared" si="1"/>
        <v>0</v>
      </c>
      <c r="M6" s="67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67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67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67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67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67">
        <f t="shared" si="2"/>
        <v>0</v>
      </c>
    </row>
    <row r="12">
      <c r="K12" s="68" t="str">
        <f>'Internal Summary'!B50</f>
        <v/>
      </c>
      <c r="L12" s="67">
        <f t="shared" si="1"/>
        <v>0</v>
      </c>
      <c r="M12" s="67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67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66" t="s">
        <v>35</v>
      </c>
      <c r="I1" s="67">
        <f>countifs(B:B,"&lt;&gt;",F:F,"&lt;&gt;")-1</f>
        <v>0</v>
      </c>
      <c r="K1" s="68" t="s">
        <v>36</v>
      </c>
      <c r="L1" s="68" t="s">
        <v>44</v>
      </c>
      <c r="M1" s="68" t="s">
        <v>13</v>
      </c>
    </row>
    <row r="2">
      <c r="H2" s="66" t="s">
        <v>38</v>
      </c>
      <c r="I2" s="67">
        <f t="array" ref="I2">(COUNTA(UNIQUE(C:C))-1)</f>
        <v>0</v>
      </c>
      <c r="K2" s="68" t="str">
        <f>'Internal Summary'!B40</f>
        <v>300g Ripe Plantain Chips (30x)</v>
      </c>
      <c r="L2" s="67">
        <f t="shared" ref="L2:L13" si="1">sumif(D:D,K2,E:E)</f>
        <v>0</v>
      </c>
      <c r="M2" s="71">
        <f t="shared" ref="M2:M13" si="2">sumif(D:D,K2,F:F)</f>
        <v>0</v>
      </c>
    </row>
    <row r="3">
      <c r="H3" s="66" t="s">
        <v>39</v>
      </c>
      <c r="I3" s="67">
        <f>sum(F:F)</f>
        <v>0</v>
      </c>
      <c r="K3" s="68" t="str">
        <f>'Internal Summary'!B41</f>
        <v>300g Sweet Potato Chips (24x)</v>
      </c>
      <c r="L3" s="67">
        <f t="shared" si="1"/>
        <v>0</v>
      </c>
      <c r="M3" s="71">
        <f t="shared" si="2"/>
        <v>0</v>
      </c>
    </row>
    <row r="4">
      <c r="H4" s="1"/>
      <c r="K4" s="68" t="str">
        <f>'Internal Summary'!B42</f>
        <v>300g UnRipe Plantain Chips (30x)</v>
      </c>
      <c r="L4" s="67">
        <f t="shared" si="1"/>
        <v>0</v>
      </c>
      <c r="M4" s="71">
        <f t="shared" si="2"/>
        <v>0</v>
      </c>
    </row>
    <row r="5">
      <c r="H5" s="1"/>
      <c r="K5" s="68" t="str">
        <f>'Internal Summary'!B43</f>
        <v/>
      </c>
      <c r="L5" s="67">
        <f t="shared" si="1"/>
        <v>0</v>
      </c>
      <c r="M5" s="71">
        <f t="shared" si="2"/>
        <v>0</v>
      </c>
    </row>
    <row r="6">
      <c r="K6" s="68" t="str">
        <f>'Internal Summary'!B44</f>
        <v/>
      </c>
      <c r="L6" s="67">
        <f t="shared" si="1"/>
        <v>0</v>
      </c>
      <c r="M6" s="71">
        <f t="shared" si="2"/>
        <v>0</v>
      </c>
    </row>
    <row r="7">
      <c r="K7" s="68" t="str">
        <f>'Internal Summary'!B45</f>
        <v/>
      </c>
      <c r="L7" s="67">
        <f t="shared" si="1"/>
        <v>0</v>
      </c>
      <c r="M7" s="71">
        <f t="shared" si="2"/>
        <v>0</v>
      </c>
    </row>
    <row r="8">
      <c r="K8" s="68" t="str">
        <f>'Internal Summary'!B46</f>
        <v/>
      </c>
      <c r="L8" s="67">
        <f t="shared" si="1"/>
        <v>0</v>
      </c>
      <c r="M8" s="71">
        <f t="shared" si="2"/>
        <v>0</v>
      </c>
    </row>
    <row r="9">
      <c r="K9" s="68" t="str">
        <f>'Internal Summary'!B47</f>
        <v/>
      </c>
      <c r="L9" s="67">
        <f t="shared" si="1"/>
        <v>0</v>
      </c>
      <c r="M9" s="71">
        <f t="shared" si="2"/>
        <v>0</v>
      </c>
    </row>
    <row r="10">
      <c r="K10" s="68" t="str">
        <f>'Internal Summary'!B48</f>
        <v/>
      </c>
      <c r="L10" s="67">
        <f t="shared" si="1"/>
        <v>0</v>
      </c>
      <c r="M10" s="71">
        <f t="shared" si="2"/>
        <v>0</v>
      </c>
    </row>
    <row r="11">
      <c r="K11" s="68" t="str">
        <f>'Internal Summary'!B49</f>
        <v/>
      </c>
      <c r="L11" s="67">
        <f t="shared" si="1"/>
        <v>0</v>
      </c>
      <c r="M11" s="71">
        <f t="shared" si="2"/>
        <v>0</v>
      </c>
    </row>
    <row r="12">
      <c r="K12" s="68" t="str">
        <f>'Internal Summary'!B50</f>
        <v/>
      </c>
      <c r="L12" s="67">
        <f t="shared" si="1"/>
        <v>0</v>
      </c>
      <c r="M12" s="71">
        <f t="shared" si="2"/>
        <v>0</v>
      </c>
    </row>
    <row r="13">
      <c r="K13" s="68" t="str">
        <f>'Internal Summary'!B51</f>
        <v/>
      </c>
      <c r="L13" s="67">
        <f t="shared" si="1"/>
        <v>0</v>
      </c>
      <c r="M13" s="71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66" t="s">
        <v>35</v>
      </c>
      <c r="I1" s="67">
        <f>countifs(B:B,"&lt;&gt;",F:F,"&lt;&gt;")-1</f>
        <v>0</v>
      </c>
      <c r="K1" s="68" t="s">
        <v>36</v>
      </c>
      <c r="L1" s="68" t="s">
        <v>37</v>
      </c>
    </row>
    <row r="2">
      <c r="H2" s="66" t="s">
        <v>38</v>
      </c>
      <c r="I2" s="67">
        <f t="array" ref="I2">(COUNTA(UNIQUE(C:C,,0))-1)</f>
        <v>0</v>
      </c>
      <c r="K2" s="68" t="str">
        <f>'Internal Summary'!B40</f>
        <v>300g Ripe Plantain Chips (30x)</v>
      </c>
      <c r="L2" s="67">
        <f t="shared" ref="L2:L13" si="1">sumif(D:D,K2,E:E)</f>
        <v>0</v>
      </c>
    </row>
    <row r="3">
      <c r="H3" s="66" t="s">
        <v>39</v>
      </c>
      <c r="I3" s="67">
        <f>sum(F:F)</f>
        <v>0</v>
      </c>
      <c r="K3" s="68" t="str">
        <f>'Internal Summary'!B41</f>
        <v>300g Sweet Potato Chips (24x)</v>
      </c>
      <c r="L3" s="67">
        <f t="shared" si="1"/>
        <v>0</v>
      </c>
    </row>
    <row r="4">
      <c r="H4" s="1"/>
      <c r="K4" s="68" t="str">
        <f>'Internal Summary'!B42</f>
        <v>300g UnRipe Plantain Chips (30x)</v>
      </c>
      <c r="L4" s="67">
        <f t="shared" si="1"/>
        <v>0</v>
      </c>
    </row>
    <row r="5">
      <c r="H5" s="1"/>
      <c r="K5" s="68" t="str">
        <f>'Internal Summary'!B43</f>
        <v/>
      </c>
      <c r="L5" s="67">
        <f t="shared" si="1"/>
        <v>0</v>
      </c>
    </row>
    <row r="6">
      <c r="K6" s="68" t="str">
        <f>'Internal Summary'!B44</f>
        <v/>
      </c>
      <c r="L6" s="67">
        <f t="shared" si="1"/>
        <v>0</v>
      </c>
    </row>
    <row r="7">
      <c r="K7" s="68" t="str">
        <f>'Internal Summary'!B45</f>
        <v/>
      </c>
      <c r="L7" s="67">
        <f t="shared" si="1"/>
        <v>0</v>
      </c>
    </row>
    <row r="8">
      <c r="K8" s="68" t="str">
        <f>'Internal Summary'!B46</f>
        <v/>
      </c>
      <c r="L8" s="67">
        <f t="shared" si="1"/>
        <v>0</v>
      </c>
    </row>
    <row r="9">
      <c r="K9" s="68" t="str">
        <f>'Internal Summary'!B47</f>
        <v/>
      </c>
      <c r="L9" s="67">
        <f t="shared" si="1"/>
        <v>0</v>
      </c>
    </row>
    <row r="10">
      <c r="K10" s="68" t="str">
        <f>'Internal Summary'!B48</f>
        <v/>
      </c>
      <c r="L10" s="67">
        <f t="shared" si="1"/>
        <v>0</v>
      </c>
    </row>
    <row r="11">
      <c r="K11" s="68" t="str">
        <f>'Internal Summary'!B49</f>
        <v/>
      </c>
      <c r="L11" s="67">
        <f t="shared" si="1"/>
        <v>0</v>
      </c>
    </row>
    <row r="12">
      <c r="K12" s="68" t="str">
        <f>'Internal Summary'!B50</f>
        <v/>
      </c>
      <c r="L12" s="67">
        <f t="shared" si="1"/>
        <v>0</v>
      </c>
    </row>
    <row r="13">
      <c r="K13" s="68" t="str">
        <f>'Internal Summary'!B51</f>
        <v/>
      </c>
      <c r="L13" s="67">
        <f t="shared" si="1"/>
        <v>0</v>
      </c>
    </row>
    <row r="14"/>
    <row r="15"/>
    <row r="16"/>
    <row r="17"/>
    <row r="132" ht="14.25" customHeight="1"/>
    <row r="138">
      <c r="A138" s="7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66" t="s">
        <v>35</v>
      </c>
      <c r="I1" s="67">
        <f>countifs(B:B,"&lt;&gt;",F:F,"&lt;&gt;")-1</f>
        <v>0</v>
      </c>
      <c r="K1" s="68" t="s">
        <v>36</v>
      </c>
      <c r="L1" s="68" t="s">
        <v>37</v>
      </c>
    </row>
    <row r="2">
      <c r="H2" s="66" t="s">
        <v>38</v>
      </c>
      <c r="I2" s="67">
        <f t="array" ref="I2">(COUNTA(UNIQUE(C:C,,0))-1)</f>
        <v>0</v>
      </c>
      <c r="K2" s="68" t="str">
        <f>'Internal Summary'!B40</f>
        <v>300g Ripe Plantain Chips (30x)</v>
      </c>
      <c r="L2" s="67">
        <f t="shared" ref="L2:L13" si="1">sumif(D:D,K2,E:E)</f>
        <v>0</v>
      </c>
    </row>
    <row r="3">
      <c r="H3" s="66" t="s">
        <v>39</v>
      </c>
      <c r="I3" s="67">
        <f>sum(F:F)</f>
        <v>0</v>
      </c>
      <c r="K3" s="68" t="str">
        <f>'Internal Summary'!B41</f>
        <v>300g Sweet Potato Chips (24x)</v>
      </c>
      <c r="L3" s="67">
        <f t="shared" si="1"/>
        <v>0</v>
      </c>
    </row>
    <row r="4">
      <c r="H4" s="1"/>
      <c r="K4" s="68" t="str">
        <f>'Internal Summary'!B42</f>
        <v>300g UnRipe Plantain Chips (30x)</v>
      </c>
      <c r="L4" s="67">
        <f t="shared" si="1"/>
        <v>0</v>
      </c>
    </row>
    <row r="5">
      <c r="H5" s="1"/>
      <c r="K5" s="68" t="str">
        <f>'Internal Summary'!B43</f>
        <v/>
      </c>
      <c r="L5" s="67">
        <f t="shared" si="1"/>
        <v>0</v>
      </c>
    </row>
    <row r="6">
      <c r="K6" s="68" t="str">
        <f>'Internal Summary'!B44</f>
        <v/>
      </c>
      <c r="L6" s="67">
        <f t="shared" si="1"/>
        <v>0</v>
      </c>
    </row>
    <row r="7">
      <c r="K7" s="68" t="str">
        <f>'Internal Summary'!B45</f>
        <v/>
      </c>
      <c r="L7" s="67">
        <f t="shared" si="1"/>
        <v>0</v>
      </c>
    </row>
    <row r="8">
      <c r="K8" s="68" t="str">
        <f>'Internal Summary'!B46</f>
        <v/>
      </c>
      <c r="L8" s="67">
        <f t="shared" si="1"/>
        <v>0</v>
      </c>
    </row>
    <row r="9">
      <c r="K9" s="68" t="str">
        <f>'Internal Summary'!B47</f>
        <v/>
      </c>
      <c r="L9" s="67">
        <f t="shared" si="1"/>
        <v>0</v>
      </c>
    </row>
    <row r="10">
      <c r="K10" s="68" t="str">
        <f>'Internal Summary'!B48</f>
        <v/>
      </c>
      <c r="L10" s="67">
        <f t="shared" si="1"/>
        <v>0</v>
      </c>
    </row>
    <row r="11">
      <c r="K11" s="68" t="str">
        <f>'Internal Summary'!B49</f>
        <v/>
      </c>
      <c r="L11" s="67">
        <f t="shared" si="1"/>
        <v>0</v>
      </c>
    </row>
    <row r="12">
      <c r="K12" s="68" t="str">
        <f>'Internal Summary'!B50</f>
        <v/>
      </c>
      <c r="L12" s="67">
        <f t="shared" si="1"/>
        <v>0</v>
      </c>
    </row>
    <row r="13">
      <c r="K13" s="68" t="str">
        <f>'Internal Summary'!B51</f>
        <v/>
      </c>
      <c r="L13" s="67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73"/>
      <c r="B1" s="66" t="s">
        <v>45</v>
      </c>
      <c r="C1" s="66" t="s">
        <v>37</v>
      </c>
      <c r="D1" s="66" t="s">
        <v>46</v>
      </c>
      <c r="E1" s="66" t="s">
        <v>47</v>
      </c>
      <c r="F1" s="74"/>
    </row>
    <row r="2">
      <c r="A2" s="75" t="s">
        <v>48</v>
      </c>
      <c r="B2" s="76" t="s">
        <v>35</v>
      </c>
      <c r="C2" s="77"/>
      <c r="D2" s="78"/>
      <c r="E2" s="79">
        <f>'Dala Sales &amp; Deliveries'!I1+'External Delivery Fulfillment'!I1</f>
        <v>6</v>
      </c>
      <c r="F2" s="74"/>
    </row>
    <row r="3">
      <c r="A3" s="80"/>
      <c r="B3" s="76" t="s">
        <v>49</v>
      </c>
      <c r="C3" s="77"/>
      <c r="D3" s="78"/>
      <c r="E3" s="37">
        <f>'Raw Data'!AX2</f>
        <v>6</v>
      </c>
      <c r="F3" s="74"/>
    </row>
    <row r="4">
      <c r="B4" s="81" t="s">
        <v>50</v>
      </c>
      <c r="C4" s="74"/>
      <c r="D4" s="82"/>
      <c r="E4" s="22">
        <f>'Dala Sales &amp; Deliveries'!I3</f>
        <v>253953.47</v>
      </c>
      <c r="F4" s="74"/>
    </row>
    <row r="5">
      <c r="B5" s="81" t="s">
        <v>51</v>
      </c>
      <c r="C5" s="74"/>
      <c r="D5" s="82"/>
      <c r="E5" s="22">
        <f>'External Delivery Fulfillment'!I3</f>
        <v>0</v>
      </c>
      <c r="F5" s="74"/>
    </row>
    <row r="6">
      <c r="A6" s="83"/>
      <c r="B6" s="84" t="s">
        <v>52</v>
      </c>
      <c r="C6" s="77"/>
      <c r="D6" s="78"/>
      <c r="E6" s="85">
        <f>E4*1.075-E4</f>
        <v>19046.51025</v>
      </c>
      <c r="F6" s="74"/>
    </row>
    <row r="7">
      <c r="A7" s="86"/>
      <c r="B7" s="87" t="s">
        <v>53</v>
      </c>
      <c r="C7" s="88"/>
      <c r="D7" s="78"/>
      <c r="E7" s="89">
        <f>sum(E4:E6)</f>
        <v>272999.9803</v>
      </c>
      <c r="F7" s="74"/>
    </row>
    <row r="8">
      <c r="A8" s="75" t="s">
        <v>54</v>
      </c>
      <c r="B8" s="76" t="s">
        <v>55</v>
      </c>
      <c r="C8" s="78"/>
      <c r="D8" s="90"/>
      <c r="E8" s="91">
        <v>0.0</v>
      </c>
    </row>
    <row r="9">
      <c r="A9" s="86"/>
      <c r="B9" s="87" t="s">
        <v>56</v>
      </c>
      <c r="C9" s="92">
        <v>0.1</v>
      </c>
      <c r="D9" s="93"/>
      <c r="E9" s="89">
        <f>E8*(C9+100%)-E8</f>
        <v>0</v>
      </c>
      <c r="K9" s="22"/>
      <c r="L9" s="22"/>
      <c r="M9" s="22"/>
    </row>
    <row r="10">
      <c r="A10" s="94" t="s">
        <v>57</v>
      </c>
      <c r="B10" s="87" t="s">
        <v>58</v>
      </c>
      <c r="C10" s="95"/>
      <c r="D10" s="93"/>
      <c r="E10" s="89">
        <f>E7-E8-E9</f>
        <v>272999.9803</v>
      </c>
    </row>
    <row r="11">
      <c r="A11" s="75" t="s">
        <v>59</v>
      </c>
      <c r="B11" s="76" t="s">
        <v>60</v>
      </c>
      <c r="C11" s="96">
        <v>1.0</v>
      </c>
      <c r="D11" s="79"/>
      <c r="E11" s="79" t="s">
        <v>61</v>
      </c>
    </row>
    <row r="12">
      <c r="A12" s="80"/>
      <c r="B12" s="76" t="s">
        <v>56</v>
      </c>
      <c r="C12" s="97"/>
      <c r="D12" s="90"/>
      <c r="E12" s="79">
        <f>E10*C9</f>
        <v>27299.99803</v>
      </c>
    </row>
    <row r="13">
      <c r="A13" s="80"/>
      <c r="B13" s="98" t="s">
        <v>62</v>
      </c>
      <c r="C13" s="99"/>
      <c r="D13" s="100"/>
      <c r="E13" s="101">
        <f>C26</f>
        <v>11212.5</v>
      </c>
    </row>
    <row r="14">
      <c r="A14" s="80"/>
      <c r="B14" s="98" t="s">
        <v>63</v>
      </c>
      <c r="C14" s="102"/>
      <c r="D14" s="103" t="s">
        <v>64</v>
      </c>
      <c r="E14" s="101">
        <f>C28+C22</f>
        <v>0</v>
      </c>
    </row>
    <row r="15">
      <c r="A15" s="80"/>
      <c r="B15" s="76" t="s">
        <v>65</v>
      </c>
      <c r="C15" s="90"/>
      <c r="D15" s="90"/>
      <c r="E15" s="104">
        <v>0.0</v>
      </c>
    </row>
    <row r="16">
      <c r="A16" s="80"/>
      <c r="B16" s="76" t="s">
        <v>66</v>
      </c>
      <c r="C16" s="90"/>
      <c r="D16" s="90"/>
      <c r="E16" s="37">
        <v>0.0</v>
      </c>
    </row>
    <row r="17">
      <c r="A17" s="86"/>
      <c r="B17" s="87" t="s">
        <v>67</v>
      </c>
      <c r="C17" s="93"/>
      <c r="D17" s="93"/>
      <c r="E17" s="89">
        <f>sum(E11:E16)</f>
        <v>38512.49803</v>
      </c>
      <c r="H17" s="1"/>
      <c r="I17" s="1"/>
    </row>
    <row r="18">
      <c r="A18" s="94" t="s">
        <v>68</v>
      </c>
      <c r="B18" s="87" t="s">
        <v>69</v>
      </c>
      <c r="C18" s="93"/>
      <c r="D18" s="93"/>
      <c r="E18" s="89">
        <f>E10-E17+C36</f>
        <v>234487.4822</v>
      </c>
      <c r="H18" s="1"/>
      <c r="I18" s="85"/>
      <c r="J18" s="105"/>
      <c r="K18" s="105"/>
      <c r="L18" s="105"/>
      <c r="M18" s="105"/>
      <c r="N18" s="105"/>
    </row>
    <row r="19">
      <c r="A19" s="106"/>
      <c r="B19" s="106"/>
      <c r="C19" s="106"/>
      <c r="D19" s="106"/>
      <c r="E19" s="106"/>
      <c r="H19" s="1"/>
      <c r="I19" s="1"/>
      <c r="J19" s="105"/>
      <c r="K19" s="105"/>
      <c r="L19" s="105"/>
      <c r="M19" s="105"/>
      <c r="N19" s="105"/>
    </row>
    <row r="20">
      <c r="A20" s="1" t="s">
        <v>70</v>
      </c>
      <c r="B20" s="106"/>
      <c r="C20" s="106"/>
      <c r="D20" s="106"/>
      <c r="E20" s="106"/>
      <c r="H20" s="1"/>
      <c r="I20" s="1"/>
      <c r="J20" s="105"/>
      <c r="K20" s="105"/>
      <c r="L20" s="105"/>
      <c r="M20" s="105"/>
      <c r="N20" s="105"/>
    </row>
    <row r="21">
      <c r="A21" s="106"/>
      <c r="B21" s="66" t="s">
        <v>71</v>
      </c>
      <c r="C21" s="107">
        <f>U69</f>
        <v>0</v>
      </c>
      <c r="H21" s="1"/>
      <c r="I21" s="1"/>
      <c r="J21" s="108"/>
      <c r="K21" s="108"/>
      <c r="L21" s="109"/>
      <c r="M21" s="105"/>
      <c r="N21" s="105"/>
    </row>
    <row r="22">
      <c r="A22" s="106"/>
      <c r="B22" s="66" t="s">
        <v>72</v>
      </c>
      <c r="C22" s="107">
        <f>V69</f>
        <v>0</v>
      </c>
      <c r="H22" s="1"/>
      <c r="I22" s="1"/>
      <c r="J22" s="108"/>
      <c r="K22" s="108"/>
      <c r="L22" s="109"/>
      <c r="M22" s="105"/>
      <c r="N22" s="105"/>
    </row>
    <row r="23">
      <c r="A23" s="106"/>
      <c r="B23" s="66" t="s">
        <v>73</v>
      </c>
      <c r="C23" s="107">
        <f>S69</f>
        <v>0</v>
      </c>
      <c r="H23" s="1"/>
      <c r="I23" s="1"/>
      <c r="J23" s="108"/>
      <c r="K23" s="108"/>
      <c r="L23" s="109"/>
      <c r="M23" s="105"/>
      <c r="N23" s="105"/>
    </row>
    <row r="24">
      <c r="A24" s="106"/>
      <c r="B24" s="66" t="s">
        <v>74</v>
      </c>
      <c r="C24" s="107">
        <f>T69</f>
        <v>0</v>
      </c>
      <c r="H24" s="1"/>
      <c r="I24" s="85"/>
      <c r="J24" s="108"/>
      <c r="K24" s="108"/>
      <c r="L24" s="109"/>
      <c r="M24" s="105"/>
      <c r="N24" s="105"/>
    </row>
    <row r="25">
      <c r="A25" s="106"/>
      <c r="B25" s="66" t="s">
        <v>75</v>
      </c>
      <c r="C25" s="107">
        <v>0.0</v>
      </c>
      <c r="H25" s="1"/>
      <c r="I25" s="1"/>
    </row>
    <row r="26">
      <c r="A26" s="106"/>
      <c r="B26" s="66" t="s">
        <v>76</v>
      </c>
      <c r="C26" s="110">
        <f>P69</f>
        <v>11212.5</v>
      </c>
      <c r="H26" s="1"/>
      <c r="I26" s="1"/>
    </row>
    <row r="27">
      <c r="A27" s="106"/>
      <c r="B27" s="66" t="s">
        <v>77</v>
      </c>
      <c r="C27" s="67">
        <f>Q69</f>
        <v>0</v>
      </c>
      <c r="H27" s="1"/>
      <c r="I27" s="1"/>
    </row>
    <row r="28">
      <c r="A28" s="106"/>
      <c r="B28" s="66" t="s">
        <v>78</v>
      </c>
      <c r="C28" s="67">
        <f>R69</f>
        <v>0</v>
      </c>
      <c r="H28" s="1"/>
      <c r="I28" s="1"/>
    </row>
    <row r="29">
      <c r="A29" s="106"/>
      <c r="B29" s="66" t="s">
        <v>79</v>
      </c>
      <c r="C29" s="107">
        <f>F69</f>
        <v>0</v>
      </c>
      <c r="D29" s="106"/>
      <c r="H29" s="1"/>
      <c r="I29" s="1"/>
    </row>
    <row r="30">
      <c r="A30" s="106"/>
      <c r="B30" s="66" t="s">
        <v>80</v>
      </c>
      <c r="C30" s="107">
        <v>0.0</v>
      </c>
      <c r="D30" s="106"/>
      <c r="H30" s="1"/>
      <c r="I30" s="1"/>
    </row>
    <row r="31">
      <c r="A31" s="106"/>
      <c r="B31" s="66" t="s">
        <v>81</v>
      </c>
      <c r="C31" s="107">
        <f>I69</f>
        <v>0</v>
      </c>
      <c r="D31" s="106"/>
      <c r="H31" s="1"/>
      <c r="I31" s="1"/>
    </row>
    <row r="32">
      <c r="A32" s="106"/>
      <c r="B32" s="66" t="s">
        <v>82</v>
      </c>
      <c r="C32" s="107">
        <f>J69</f>
        <v>0</v>
      </c>
      <c r="D32" s="106"/>
      <c r="H32" s="1"/>
      <c r="I32" s="1"/>
    </row>
    <row r="33">
      <c r="B33" s="66" t="s">
        <v>83</v>
      </c>
      <c r="C33" s="107">
        <v>0.0</v>
      </c>
    </row>
    <row r="34">
      <c r="B34" s="66" t="s">
        <v>84</v>
      </c>
      <c r="C34" s="67">
        <f>K69</f>
        <v>0</v>
      </c>
    </row>
    <row r="35">
      <c r="B35" s="66" t="s">
        <v>85</v>
      </c>
      <c r="C35" s="107">
        <v>0.0</v>
      </c>
    </row>
    <row r="36">
      <c r="B36" s="66" t="s">
        <v>86</v>
      </c>
      <c r="C36" s="107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66" t="s">
        <v>87</v>
      </c>
      <c r="C39" s="66" t="s">
        <v>88</v>
      </c>
      <c r="D39" s="66" t="s">
        <v>89</v>
      </c>
      <c r="E39" s="66" t="s">
        <v>90</v>
      </c>
      <c r="F39" s="68" t="s">
        <v>91</v>
      </c>
      <c r="G39" s="68" t="s">
        <v>92</v>
      </c>
      <c r="H39" s="68" t="s">
        <v>93</v>
      </c>
      <c r="I39" s="68" t="s">
        <v>94</v>
      </c>
      <c r="J39" s="68" t="s">
        <v>95</v>
      </c>
      <c r="K39" s="68" t="s">
        <v>96</v>
      </c>
      <c r="L39" s="68" t="s">
        <v>83</v>
      </c>
      <c r="M39" s="68" t="s">
        <v>85</v>
      </c>
      <c r="N39" s="68" t="s">
        <v>97</v>
      </c>
      <c r="O39" s="68" t="s">
        <v>98</v>
      </c>
      <c r="P39" s="68" t="s">
        <v>99</v>
      </c>
      <c r="Q39" s="68" t="s">
        <v>100</v>
      </c>
      <c r="R39" s="68" t="s">
        <v>101</v>
      </c>
      <c r="S39" s="68" t="s">
        <v>102</v>
      </c>
      <c r="T39" s="68" t="s">
        <v>74</v>
      </c>
      <c r="U39" s="68" t="s">
        <v>103</v>
      </c>
      <c r="V39" s="68" t="s">
        <v>104</v>
      </c>
      <c r="W39" s="68" t="s">
        <v>105</v>
      </c>
    </row>
    <row r="40">
      <c r="B40" s="111" t="s">
        <v>29</v>
      </c>
      <c r="C40" s="112">
        <v>84000.0</v>
      </c>
      <c r="D40" s="111">
        <v>1150.0</v>
      </c>
      <c r="E40" s="112">
        <v>2350.0</v>
      </c>
      <c r="F40" s="111"/>
      <c r="G40" s="71">
        <f t="shared" ref="G40:G68" si="1">F40*C40</f>
        <v>0</v>
      </c>
      <c r="H40" s="111"/>
      <c r="I40" s="111"/>
      <c r="J40" s="111"/>
      <c r="K40" s="111"/>
      <c r="L40" s="68"/>
      <c r="M40" s="71">
        <f t="shared" ref="M40:M68" si="2">K40-L40</f>
        <v>0</v>
      </c>
      <c r="N40" s="71">
        <f t="shared" ref="N40:N68" si="3">M40*C40</f>
        <v>0</v>
      </c>
      <c r="O40" s="67">
        <f>'Dala Sales &amp; Deliveries'!L2</f>
        <v>0</v>
      </c>
      <c r="P40" s="71">
        <f t="shared" ref="P40:P68" si="4">O40*E40</f>
        <v>0</v>
      </c>
      <c r="Q40" s="67">
        <f>'External Delivery Fulfillment'!L2</f>
        <v>0</v>
      </c>
      <c r="R40" s="71">
        <f t="shared" ref="R40:R68" si="5">Q40*E40</f>
        <v>0</v>
      </c>
      <c r="S40" s="67">
        <f>'Forwarding From Client'!L2</f>
        <v>0</v>
      </c>
      <c r="T40" s="71">
        <f t="shared" ref="T40:T68" si="6">S40*E40</f>
        <v>0</v>
      </c>
      <c r="U40" s="67">
        <f>'Dala Restocking'!L2</f>
        <v>0</v>
      </c>
      <c r="V40" s="71">
        <f t="shared" ref="V40:V68" si="7">U40*D40</f>
        <v>0</v>
      </c>
      <c r="W40" s="67">
        <f>'Client Restocking'!L2</f>
        <v>0</v>
      </c>
    </row>
    <row r="41">
      <c r="B41" s="111" t="s">
        <v>15</v>
      </c>
      <c r="C41" s="112">
        <v>120000.0</v>
      </c>
      <c r="D41" s="111">
        <v>1600.0</v>
      </c>
      <c r="E41" s="112">
        <v>3450.0</v>
      </c>
      <c r="F41" s="113"/>
      <c r="G41" s="71">
        <f t="shared" si="1"/>
        <v>0</v>
      </c>
      <c r="H41" s="111"/>
      <c r="I41" s="111"/>
      <c r="J41" s="113"/>
      <c r="K41" s="111"/>
      <c r="L41" s="68"/>
      <c r="M41" s="71">
        <f t="shared" si="2"/>
        <v>0</v>
      </c>
      <c r="N41" s="71">
        <f t="shared" si="3"/>
        <v>0</v>
      </c>
      <c r="O41" s="67">
        <f>'Dala Sales &amp; Deliveries'!L3</f>
        <v>3.25</v>
      </c>
      <c r="P41" s="71">
        <f t="shared" si="4"/>
        <v>11212.5</v>
      </c>
      <c r="Q41" s="67">
        <f>'External Delivery Fulfillment'!L3</f>
        <v>0</v>
      </c>
      <c r="R41" s="71">
        <f t="shared" si="5"/>
        <v>0</v>
      </c>
      <c r="S41" s="67">
        <f>'Forwarding From Client'!L3</f>
        <v>0</v>
      </c>
      <c r="T41" s="71">
        <f t="shared" si="6"/>
        <v>0</v>
      </c>
      <c r="U41" s="67">
        <f>'Dala Restocking'!L3</f>
        <v>0</v>
      </c>
      <c r="V41" s="71">
        <f t="shared" si="7"/>
        <v>0</v>
      </c>
      <c r="W41" s="67">
        <f>'Client Restocking'!L3</f>
        <v>0</v>
      </c>
    </row>
    <row r="42">
      <c r="B42" s="111" t="s">
        <v>33</v>
      </c>
      <c r="C42" s="112">
        <v>120000.0</v>
      </c>
      <c r="D42" s="111">
        <v>1600.0</v>
      </c>
      <c r="E42" s="112">
        <v>3450.0</v>
      </c>
      <c r="F42" s="113"/>
      <c r="G42" s="71">
        <f t="shared" si="1"/>
        <v>0</v>
      </c>
      <c r="H42" s="111"/>
      <c r="I42" s="111"/>
      <c r="J42" s="113"/>
      <c r="K42" s="111"/>
      <c r="L42" s="68"/>
      <c r="M42" s="71">
        <f t="shared" si="2"/>
        <v>0</v>
      </c>
      <c r="N42" s="71">
        <f t="shared" si="3"/>
        <v>0</v>
      </c>
      <c r="O42" s="67">
        <f>'Dala Sales &amp; Deliveries'!L4</f>
        <v>0</v>
      </c>
      <c r="P42" s="71">
        <f t="shared" si="4"/>
        <v>0</v>
      </c>
      <c r="Q42" s="67">
        <f>'External Delivery Fulfillment'!L4</f>
        <v>0</v>
      </c>
      <c r="R42" s="71">
        <f t="shared" si="5"/>
        <v>0</v>
      </c>
      <c r="S42" s="67">
        <f>'Forwarding From Client'!L4</f>
        <v>0</v>
      </c>
      <c r="T42" s="71">
        <f t="shared" si="6"/>
        <v>0</v>
      </c>
      <c r="U42" s="67">
        <f>'Dala Restocking'!L4</f>
        <v>0</v>
      </c>
      <c r="V42" s="71">
        <f t="shared" si="7"/>
        <v>0</v>
      </c>
      <c r="W42" s="67">
        <f>'Client Restocking'!L4</f>
        <v>0</v>
      </c>
    </row>
    <row r="43">
      <c r="B43" s="111"/>
      <c r="C43" s="112"/>
      <c r="D43" s="111"/>
      <c r="E43" s="112"/>
      <c r="F43" s="113"/>
      <c r="G43" s="71">
        <f t="shared" si="1"/>
        <v>0</v>
      </c>
      <c r="H43" s="113"/>
      <c r="I43" s="111"/>
      <c r="J43" s="113"/>
      <c r="K43" s="113"/>
      <c r="L43" s="68"/>
      <c r="M43" s="71">
        <f t="shared" si="2"/>
        <v>0</v>
      </c>
      <c r="N43" s="71">
        <f t="shared" si="3"/>
        <v>0</v>
      </c>
      <c r="O43" s="67">
        <f>'Dala Sales &amp; Deliveries'!L5</f>
        <v>0</v>
      </c>
      <c r="P43" s="71">
        <f t="shared" si="4"/>
        <v>0</v>
      </c>
      <c r="Q43" s="67">
        <f>'External Delivery Fulfillment'!L5</f>
        <v>0</v>
      </c>
      <c r="R43" s="71">
        <f t="shared" si="5"/>
        <v>0</v>
      </c>
      <c r="S43" s="67">
        <f>'Forwarding From Client'!L5</f>
        <v>0</v>
      </c>
      <c r="T43" s="71">
        <f t="shared" si="6"/>
        <v>0</v>
      </c>
      <c r="U43" s="67">
        <f>'Dala Restocking'!L5</f>
        <v>0</v>
      </c>
      <c r="V43" s="71">
        <f t="shared" si="7"/>
        <v>0</v>
      </c>
      <c r="W43" s="67">
        <f>'Client Restocking'!L5</f>
        <v>0</v>
      </c>
    </row>
    <row r="44">
      <c r="B44" s="111"/>
      <c r="C44" s="112"/>
      <c r="D44" s="111"/>
      <c r="E44" s="112"/>
      <c r="F44" s="113"/>
      <c r="G44" s="71">
        <f t="shared" si="1"/>
        <v>0</v>
      </c>
      <c r="H44" s="113"/>
      <c r="I44" s="113"/>
      <c r="J44" s="113"/>
      <c r="K44" s="113"/>
      <c r="L44" s="110">
        <f t="shared" ref="L44:L68" si="8">H44+U44+W44-O44-Q44-I44-J44</f>
        <v>0</v>
      </c>
      <c r="M44" s="67">
        <f t="shared" si="2"/>
        <v>0</v>
      </c>
      <c r="N44" s="71">
        <f t="shared" si="3"/>
        <v>0</v>
      </c>
      <c r="O44" s="67">
        <f>'Dala Sales &amp; Deliveries'!L6</f>
        <v>0</v>
      </c>
      <c r="P44" s="71">
        <f t="shared" si="4"/>
        <v>0</v>
      </c>
      <c r="Q44" s="67">
        <f>'External Delivery Fulfillment'!L6</f>
        <v>0</v>
      </c>
      <c r="R44" s="71">
        <f t="shared" si="5"/>
        <v>0</v>
      </c>
      <c r="S44" s="67">
        <f>'Forwarding From Client'!L6</f>
        <v>0</v>
      </c>
      <c r="T44" s="71">
        <f t="shared" si="6"/>
        <v>0</v>
      </c>
      <c r="U44" s="67">
        <f>'Dala Restocking'!L6</f>
        <v>0</v>
      </c>
      <c r="V44" s="71">
        <f t="shared" si="7"/>
        <v>0</v>
      </c>
      <c r="W44" s="67">
        <f>'Client Restocking'!L6</f>
        <v>0</v>
      </c>
    </row>
    <row r="45">
      <c r="B45" s="111"/>
      <c r="C45" s="112"/>
      <c r="D45" s="111"/>
      <c r="E45" s="112"/>
      <c r="F45" s="113"/>
      <c r="G45" s="71">
        <f t="shared" si="1"/>
        <v>0</v>
      </c>
      <c r="H45" s="113"/>
      <c r="I45" s="113"/>
      <c r="J45" s="113"/>
      <c r="K45" s="113"/>
      <c r="L45" s="110">
        <f t="shared" si="8"/>
        <v>0</v>
      </c>
      <c r="M45" s="67">
        <f t="shared" si="2"/>
        <v>0</v>
      </c>
      <c r="N45" s="71">
        <f t="shared" si="3"/>
        <v>0</v>
      </c>
      <c r="O45" s="67">
        <f>'Dala Sales &amp; Deliveries'!L7</f>
        <v>0</v>
      </c>
      <c r="P45" s="71">
        <f t="shared" si="4"/>
        <v>0</v>
      </c>
      <c r="Q45" s="67">
        <f>'External Delivery Fulfillment'!L7</f>
        <v>0</v>
      </c>
      <c r="R45" s="71">
        <f t="shared" si="5"/>
        <v>0</v>
      </c>
      <c r="S45" s="67">
        <f>'Forwarding From Client'!L7</f>
        <v>0</v>
      </c>
      <c r="T45" s="71">
        <f t="shared" si="6"/>
        <v>0</v>
      </c>
      <c r="U45" s="67">
        <f>'Dala Restocking'!L7</f>
        <v>0</v>
      </c>
      <c r="V45" s="71">
        <f t="shared" si="7"/>
        <v>0</v>
      </c>
      <c r="W45" s="67">
        <f>'Client Restocking'!L7</f>
        <v>0</v>
      </c>
    </row>
    <row r="46">
      <c r="B46" s="111"/>
      <c r="C46" s="112"/>
      <c r="D46" s="111"/>
      <c r="E46" s="112"/>
      <c r="F46" s="113"/>
      <c r="G46" s="71">
        <f t="shared" si="1"/>
        <v>0</v>
      </c>
      <c r="H46" s="113"/>
      <c r="I46" s="113"/>
      <c r="J46" s="113"/>
      <c r="K46" s="113"/>
      <c r="L46" s="110">
        <f t="shared" si="8"/>
        <v>0</v>
      </c>
      <c r="M46" s="67">
        <f t="shared" si="2"/>
        <v>0</v>
      </c>
      <c r="N46" s="71">
        <f t="shared" si="3"/>
        <v>0</v>
      </c>
      <c r="O46" s="67">
        <f>'Dala Sales &amp; Deliveries'!L8</f>
        <v>0</v>
      </c>
      <c r="P46" s="71">
        <f t="shared" si="4"/>
        <v>0</v>
      </c>
      <c r="Q46" s="67">
        <f>'External Delivery Fulfillment'!L8</f>
        <v>0</v>
      </c>
      <c r="R46" s="71">
        <f t="shared" si="5"/>
        <v>0</v>
      </c>
      <c r="S46" s="67">
        <f>'Forwarding From Client'!L8</f>
        <v>0</v>
      </c>
      <c r="T46" s="71">
        <f t="shared" si="6"/>
        <v>0</v>
      </c>
      <c r="U46" s="67">
        <f>'Dala Restocking'!L8</f>
        <v>0</v>
      </c>
      <c r="V46" s="71">
        <f t="shared" si="7"/>
        <v>0</v>
      </c>
      <c r="W46" s="67">
        <f>'Client Restocking'!L8</f>
        <v>0</v>
      </c>
    </row>
    <row r="47">
      <c r="B47" s="111"/>
      <c r="C47" s="112"/>
      <c r="D47" s="111"/>
      <c r="E47" s="112"/>
      <c r="F47" s="113"/>
      <c r="G47" s="71">
        <f t="shared" si="1"/>
        <v>0</v>
      </c>
      <c r="H47" s="113"/>
      <c r="I47" s="113"/>
      <c r="J47" s="113"/>
      <c r="K47" s="113"/>
      <c r="L47" s="110">
        <f t="shared" si="8"/>
        <v>0</v>
      </c>
      <c r="M47" s="67">
        <f t="shared" si="2"/>
        <v>0</v>
      </c>
      <c r="N47" s="71">
        <f t="shared" si="3"/>
        <v>0</v>
      </c>
      <c r="O47" s="67">
        <f>'Dala Sales &amp; Deliveries'!L9</f>
        <v>0</v>
      </c>
      <c r="P47" s="71">
        <f t="shared" si="4"/>
        <v>0</v>
      </c>
      <c r="Q47" s="67">
        <f>'External Delivery Fulfillment'!L9</f>
        <v>0</v>
      </c>
      <c r="R47" s="71">
        <f t="shared" si="5"/>
        <v>0</v>
      </c>
      <c r="S47" s="67">
        <f>'Forwarding From Client'!L9</f>
        <v>0</v>
      </c>
      <c r="T47" s="71">
        <f t="shared" si="6"/>
        <v>0</v>
      </c>
      <c r="U47" s="67">
        <f>'Dala Restocking'!L9</f>
        <v>0</v>
      </c>
      <c r="V47" s="71">
        <f t="shared" si="7"/>
        <v>0</v>
      </c>
      <c r="W47" s="67">
        <f>'Client Restocking'!L9</f>
        <v>0</v>
      </c>
    </row>
    <row r="48">
      <c r="B48" s="111"/>
      <c r="C48" s="112"/>
      <c r="D48" s="111"/>
      <c r="E48" s="112"/>
      <c r="F48" s="113"/>
      <c r="G48" s="71">
        <f t="shared" si="1"/>
        <v>0</v>
      </c>
      <c r="H48" s="113"/>
      <c r="I48" s="113"/>
      <c r="J48" s="113"/>
      <c r="K48" s="113"/>
      <c r="L48" s="110">
        <f t="shared" si="8"/>
        <v>0</v>
      </c>
      <c r="M48" s="67">
        <f t="shared" si="2"/>
        <v>0</v>
      </c>
      <c r="N48" s="71">
        <f t="shared" si="3"/>
        <v>0</v>
      </c>
      <c r="O48" s="67">
        <f>'Dala Sales &amp; Deliveries'!L10</f>
        <v>0</v>
      </c>
      <c r="P48" s="71">
        <f t="shared" si="4"/>
        <v>0</v>
      </c>
      <c r="Q48" s="67">
        <f>'External Delivery Fulfillment'!L10</f>
        <v>0</v>
      </c>
      <c r="R48" s="71">
        <f t="shared" si="5"/>
        <v>0</v>
      </c>
      <c r="S48" s="67">
        <f>'Forwarding From Client'!L10</f>
        <v>0</v>
      </c>
      <c r="T48" s="71">
        <f t="shared" si="6"/>
        <v>0</v>
      </c>
      <c r="U48" s="67">
        <f>'Dala Restocking'!L10</f>
        <v>0</v>
      </c>
      <c r="V48" s="71">
        <f t="shared" si="7"/>
        <v>0</v>
      </c>
      <c r="W48" s="67">
        <f>'Client Restocking'!L10</f>
        <v>0</v>
      </c>
    </row>
    <row r="49">
      <c r="B49" s="111"/>
      <c r="C49" s="112"/>
      <c r="D49" s="111"/>
      <c r="E49" s="112"/>
      <c r="F49" s="113"/>
      <c r="G49" s="71">
        <f t="shared" si="1"/>
        <v>0</v>
      </c>
      <c r="H49" s="113"/>
      <c r="I49" s="113"/>
      <c r="J49" s="113"/>
      <c r="K49" s="113"/>
      <c r="L49" s="110">
        <f t="shared" si="8"/>
        <v>0</v>
      </c>
      <c r="M49" s="67">
        <f t="shared" si="2"/>
        <v>0</v>
      </c>
      <c r="N49" s="71">
        <f t="shared" si="3"/>
        <v>0</v>
      </c>
      <c r="O49" s="67">
        <f>'Dala Sales &amp; Deliveries'!L11</f>
        <v>0</v>
      </c>
      <c r="P49" s="71">
        <f t="shared" si="4"/>
        <v>0</v>
      </c>
      <c r="Q49" s="67">
        <f>'External Delivery Fulfillment'!L11</f>
        <v>0</v>
      </c>
      <c r="R49" s="71">
        <f t="shared" si="5"/>
        <v>0</v>
      </c>
      <c r="S49" s="67">
        <f>'Forwarding From Client'!L11</f>
        <v>0</v>
      </c>
      <c r="T49" s="71">
        <f t="shared" si="6"/>
        <v>0</v>
      </c>
      <c r="U49" s="67">
        <f>'Dala Restocking'!L11</f>
        <v>0</v>
      </c>
      <c r="V49" s="71">
        <f t="shared" si="7"/>
        <v>0</v>
      </c>
      <c r="W49" s="67">
        <f>'Client Restocking'!L11</f>
        <v>0</v>
      </c>
    </row>
    <row r="50">
      <c r="B50" s="111"/>
      <c r="C50" s="112"/>
      <c r="D50" s="111"/>
      <c r="E50" s="112"/>
      <c r="F50" s="113"/>
      <c r="G50" s="71">
        <f t="shared" si="1"/>
        <v>0</v>
      </c>
      <c r="H50" s="113"/>
      <c r="I50" s="113"/>
      <c r="J50" s="113"/>
      <c r="K50" s="113"/>
      <c r="L50" s="110">
        <f t="shared" si="8"/>
        <v>0</v>
      </c>
      <c r="M50" s="67">
        <f t="shared" si="2"/>
        <v>0</v>
      </c>
      <c r="N50" s="71">
        <f t="shared" si="3"/>
        <v>0</v>
      </c>
      <c r="O50" s="67">
        <f>'Dala Sales &amp; Deliveries'!L12</f>
        <v>0</v>
      </c>
      <c r="P50" s="71">
        <f t="shared" si="4"/>
        <v>0</v>
      </c>
      <c r="Q50" s="67">
        <f>'External Delivery Fulfillment'!L12</f>
        <v>0</v>
      </c>
      <c r="R50" s="71">
        <f t="shared" si="5"/>
        <v>0</v>
      </c>
      <c r="S50" s="67">
        <f>'Forwarding From Client'!L12</f>
        <v>0</v>
      </c>
      <c r="T50" s="71">
        <f t="shared" si="6"/>
        <v>0</v>
      </c>
      <c r="U50" s="67">
        <f>'Dala Restocking'!L12</f>
        <v>0</v>
      </c>
      <c r="V50" s="71">
        <f t="shared" si="7"/>
        <v>0</v>
      </c>
      <c r="W50" s="67">
        <f>'Client Restocking'!L12</f>
        <v>0</v>
      </c>
    </row>
    <row r="51">
      <c r="B51" s="111"/>
      <c r="C51" s="112"/>
      <c r="D51" s="111"/>
      <c r="E51" s="112"/>
      <c r="F51" s="113"/>
      <c r="G51" s="71">
        <f t="shared" si="1"/>
        <v>0</v>
      </c>
      <c r="H51" s="113"/>
      <c r="I51" s="113"/>
      <c r="J51" s="113"/>
      <c r="K51" s="113"/>
      <c r="L51" s="110">
        <f t="shared" si="8"/>
        <v>0</v>
      </c>
      <c r="M51" s="67">
        <f t="shared" si="2"/>
        <v>0</v>
      </c>
      <c r="N51" s="71">
        <f t="shared" si="3"/>
        <v>0</v>
      </c>
      <c r="O51" s="67">
        <f>'Dala Sales &amp; Deliveries'!L13</f>
        <v>0</v>
      </c>
      <c r="P51" s="71">
        <f t="shared" si="4"/>
        <v>0</v>
      </c>
      <c r="Q51" s="67">
        <f>'External Delivery Fulfillment'!L13</f>
        <v>0</v>
      </c>
      <c r="R51" s="71">
        <f t="shared" si="5"/>
        <v>0</v>
      </c>
      <c r="S51" s="67">
        <f>'Forwarding From Client'!L13</f>
        <v>0</v>
      </c>
      <c r="T51" s="71">
        <f t="shared" si="6"/>
        <v>0</v>
      </c>
      <c r="U51" s="67">
        <f>'Dala Restocking'!L13</f>
        <v>0</v>
      </c>
      <c r="V51" s="71">
        <f t="shared" si="7"/>
        <v>0</v>
      </c>
      <c r="W51" s="67">
        <f>'Client Restocking'!L13</f>
        <v>0</v>
      </c>
    </row>
    <row r="52">
      <c r="B52" s="113"/>
      <c r="C52" s="113"/>
      <c r="D52" s="113"/>
      <c r="E52" s="113"/>
      <c r="F52" s="113"/>
      <c r="G52" s="71">
        <f t="shared" si="1"/>
        <v>0</v>
      </c>
      <c r="H52" s="113"/>
      <c r="I52" s="113"/>
      <c r="J52" s="113"/>
      <c r="K52" s="113"/>
      <c r="L52" s="68">
        <f t="shared" si="8"/>
        <v>0</v>
      </c>
      <c r="M52" s="71">
        <f t="shared" si="2"/>
        <v>0</v>
      </c>
      <c r="N52" s="71">
        <f t="shared" si="3"/>
        <v>0</v>
      </c>
      <c r="O52" s="71" t="str">
        <f>'Dala Sales &amp; Deliveries'!L14</f>
        <v/>
      </c>
      <c r="P52" s="71">
        <f t="shared" si="4"/>
        <v>0</v>
      </c>
      <c r="Q52" s="71" t="str">
        <f>'External Delivery Fulfillment'!L14</f>
        <v/>
      </c>
      <c r="R52" s="71">
        <f t="shared" si="5"/>
        <v>0</v>
      </c>
      <c r="S52" s="71" t="str">
        <f>'Forwarding From Client'!L14</f>
        <v/>
      </c>
      <c r="T52" s="71">
        <f t="shared" si="6"/>
        <v>0</v>
      </c>
      <c r="U52" s="71" t="str">
        <f>'Dala Restocking'!L14</f>
        <v/>
      </c>
      <c r="V52" s="71">
        <f t="shared" si="7"/>
        <v>0</v>
      </c>
      <c r="W52" s="71" t="str">
        <f>'Client Restocking'!L14</f>
        <v/>
      </c>
    </row>
    <row r="53">
      <c r="B53" s="113"/>
      <c r="C53" s="113"/>
      <c r="D53" s="113"/>
      <c r="E53" s="113"/>
      <c r="F53" s="113"/>
      <c r="G53" s="71">
        <f t="shared" si="1"/>
        <v>0</v>
      </c>
      <c r="H53" s="113"/>
      <c r="I53" s="113"/>
      <c r="J53" s="113"/>
      <c r="K53" s="113"/>
      <c r="L53" s="68">
        <f t="shared" si="8"/>
        <v>0</v>
      </c>
      <c r="M53" s="71">
        <f t="shared" si="2"/>
        <v>0</v>
      </c>
      <c r="N53" s="71">
        <f t="shared" si="3"/>
        <v>0</v>
      </c>
      <c r="O53" s="71" t="str">
        <f>'Dala Sales &amp; Deliveries'!L15</f>
        <v/>
      </c>
      <c r="P53" s="71">
        <f t="shared" si="4"/>
        <v>0</v>
      </c>
      <c r="Q53" s="71" t="str">
        <f>'External Delivery Fulfillment'!L15</f>
        <v/>
      </c>
      <c r="R53" s="71">
        <f t="shared" si="5"/>
        <v>0</v>
      </c>
      <c r="S53" s="71" t="str">
        <f>'Forwarding From Client'!L15</f>
        <v/>
      </c>
      <c r="T53" s="71">
        <f t="shared" si="6"/>
        <v>0</v>
      </c>
      <c r="U53" s="71" t="str">
        <f>'Dala Restocking'!L15</f>
        <v/>
      </c>
      <c r="V53" s="71">
        <f t="shared" si="7"/>
        <v>0</v>
      </c>
      <c r="W53" s="71" t="str">
        <f>'Client Restocking'!L15</f>
        <v/>
      </c>
    </row>
    <row r="54">
      <c r="B54" s="113"/>
      <c r="C54" s="113"/>
      <c r="D54" s="113"/>
      <c r="E54" s="113"/>
      <c r="F54" s="113"/>
      <c r="G54" s="71">
        <f t="shared" si="1"/>
        <v>0</v>
      </c>
      <c r="H54" s="113"/>
      <c r="I54" s="113"/>
      <c r="J54" s="113"/>
      <c r="K54" s="113"/>
      <c r="L54" s="68">
        <f t="shared" si="8"/>
        <v>0</v>
      </c>
      <c r="M54" s="71">
        <f t="shared" si="2"/>
        <v>0</v>
      </c>
      <c r="N54" s="71">
        <f t="shared" si="3"/>
        <v>0</v>
      </c>
      <c r="O54" s="71" t="str">
        <f>'Dala Sales &amp; Deliveries'!L16</f>
        <v/>
      </c>
      <c r="P54" s="71">
        <f t="shared" si="4"/>
        <v>0</v>
      </c>
      <c r="Q54" s="71" t="str">
        <f>'External Delivery Fulfillment'!L16</f>
        <v/>
      </c>
      <c r="R54" s="71">
        <f t="shared" si="5"/>
        <v>0</v>
      </c>
      <c r="S54" s="71" t="str">
        <f>'Forwarding From Client'!L16</f>
        <v/>
      </c>
      <c r="T54" s="71">
        <f t="shared" si="6"/>
        <v>0</v>
      </c>
      <c r="U54" s="71" t="str">
        <f>'Dala Restocking'!L16</f>
        <v/>
      </c>
      <c r="V54" s="71">
        <f t="shared" si="7"/>
        <v>0</v>
      </c>
      <c r="W54" s="71" t="str">
        <f>'Client Restocking'!L16</f>
        <v/>
      </c>
    </row>
    <row r="55">
      <c r="B55" s="113"/>
      <c r="C55" s="113"/>
      <c r="D55" s="113"/>
      <c r="E55" s="113"/>
      <c r="F55" s="113"/>
      <c r="G55" s="71">
        <f t="shared" si="1"/>
        <v>0</v>
      </c>
      <c r="H55" s="113"/>
      <c r="I55" s="113"/>
      <c r="J55" s="113"/>
      <c r="K55" s="113"/>
      <c r="L55" s="68">
        <f t="shared" si="8"/>
        <v>0</v>
      </c>
      <c r="M55" s="71">
        <f t="shared" si="2"/>
        <v>0</v>
      </c>
      <c r="N55" s="71">
        <f t="shared" si="3"/>
        <v>0</v>
      </c>
      <c r="O55" s="71" t="str">
        <f>'Dala Sales &amp; Deliveries'!L17</f>
        <v/>
      </c>
      <c r="P55" s="71">
        <f t="shared" si="4"/>
        <v>0</v>
      </c>
      <c r="Q55" s="71" t="str">
        <f>'External Delivery Fulfillment'!L17</f>
        <v/>
      </c>
      <c r="R55" s="71">
        <f t="shared" si="5"/>
        <v>0</v>
      </c>
      <c r="S55" s="71" t="str">
        <f>'Forwarding From Client'!L17</f>
        <v/>
      </c>
      <c r="T55" s="71">
        <f t="shared" si="6"/>
        <v>0</v>
      </c>
      <c r="U55" s="71" t="str">
        <f>'Dala Restocking'!L17</f>
        <v/>
      </c>
      <c r="V55" s="71">
        <f t="shared" si="7"/>
        <v>0</v>
      </c>
      <c r="W55" s="71" t="str">
        <f>'Client Restocking'!L17</f>
        <v/>
      </c>
    </row>
    <row r="56">
      <c r="B56" s="113"/>
      <c r="C56" s="113"/>
      <c r="D56" s="113"/>
      <c r="E56" s="113"/>
      <c r="F56" s="113"/>
      <c r="G56" s="71">
        <f t="shared" si="1"/>
        <v>0</v>
      </c>
      <c r="H56" s="113"/>
      <c r="I56" s="113"/>
      <c r="J56" s="113"/>
      <c r="K56" s="113"/>
      <c r="L56" s="68">
        <f t="shared" si="8"/>
        <v>0</v>
      </c>
      <c r="M56" s="71">
        <f t="shared" si="2"/>
        <v>0</v>
      </c>
      <c r="N56" s="71">
        <f t="shared" si="3"/>
        <v>0</v>
      </c>
      <c r="O56" s="71" t="str">
        <f>'Dala Sales &amp; Deliveries'!L18</f>
        <v/>
      </c>
      <c r="P56" s="71">
        <f t="shared" si="4"/>
        <v>0</v>
      </c>
      <c r="Q56" s="71" t="str">
        <f>'External Delivery Fulfillment'!L18</f>
        <v/>
      </c>
      <c r="R56" s="71">
        <f t="shared" si="5"/>
        <v>0</v>
      </c>
      <c r="S56" s="71" t="str">
        <f>'Forwarding From Client'!L18</f>
        <v/>
      </c>
      <c r="T56" s="71">
        <f t="shared" si="6"/>
        <v>0</v>
      </c>
      <c r="U56" s="71" t="str">
        <f>'Dala Restocking'!L18</f>
        <v/>
      </c>
      <c r="V56" s="71">
        <f t="shared" si="7"/>
        <v>0</v>
      </c>
      <c r="W56" s="71" t="str">
        <f>'Client Restocking'!L18</f>
        <v/>
      </c>
    </row>
    <row r="57">
      <c r="B57" s="113"/>
      <c r="C57" s="113"/>
      <c r="D57" s="113"/>
      <c r="E57" s="113"/>
      <c r="F57" s="113"/>
      <c r="G57" s="71">
        <f t="shared" si="1"/>
        <v>0</v>
      </c>
      <c r="H57" s="113"/>
      <c r="I57" s="113"/>
      <c r="J57" s="113"/>
      <c r="K57" s="113"/>
      <c r="L57" s="68">
        <f t="shared" si="8"/>
        <v>0</v>
      </c>
      <c r="M57" s="71">
        <f t="shared" si="2"/>
        <v>0</v>
      </c>
      <c r="N57" s="71">
        <f t="shared" si="3"/>
        <v>0</v>
      </c>
      <c r="O57" s="71" t="str">
        <f>'Dala Sales &amp; Deliveries'!L19</f>
        <v/>
      </c>
      <c r="P57" s="71">
        <f t="shared" si="4"/>
        <v>0</v>
      </c>
      <c r="Q57" s="71" t="str">
        <f>'External Delivery Fulfillment'!L19</f>
        <v/>
      </c>
      <c r="R57" s="71">
        <f t="shared" si="5"/>
        <v>0</v>
      </c>
      <c r="S57" s="71" t="str">
        <f>'Forwarding From Client'!L19</f>
        <v/>
      </c>
      <c r="T57" s="71">
        <f t="shared" si="6"/>
        <v>0</v>
      </c>
      <c r="U57" s="71" t="str">
        <f>'Dala Restocking'!L19</f>
        <v/>
      </c>
      <c r="V57" s="71">
        <f t="shared" si="7"/>
        <v>0</v>
      </c>
      <c r="W57" s="71" t="str">
        <f>'Client Restocking'!L19</f>
        <v/>
      </c>
    </row>
    <row r="58">
      <c r="B58" s="113"/>
      <c r="C58" s="113"/>
      <c r="D58" s="113"/>
      <c r="E58" s="113"/>
      <c r="F58" s="113"/>
      <c r="G58" s="71">
        <f t="shared" si="1"/>
        <v>0</v>
      </c>
      <c r="H58" s="113"/>
      <c r="I58" s="113"/>
      <c r="J58" s="113"/>
      <c r="K58" s="113"/>
      <c r="L58" s="68">
        <f t="shared" si="8"/>
        <v>0</v>
      </c>
      <c r="M58" s="71">
        <f t="shared" si="2"/>
        <v>0</v>
      </c>
      <c r="N58" s="71">
        <f t="shared" si="3"/>
        <v>0</v>
      </c>
      <c r="O58" s="71" t="str">
        <f>'Dala Sales &amp; Deliveries'!L20</f>
        <v/>
      </c>
      <c r="P58" s="71">
        <f t="shared" si="4"/>
        <v>0</v>
      </c>
      <c r="Q58" s="71" t="str">
        <f>'External Delivery Fulfillment'!L20</f>
        <v/>
      </c>
      <c r="R58" s="71">
        <f t="shared" si="5"/>
        <v>0</v>
      </c>
      <c r="S58" s="71" t="str">
        <f>'Forwarding From Client'!L20</f>
        <v/>
      </c>
      <c r="T58" s="71">
        <f t="shared" si="6"/>
        <v>0</v>
      </c>
      <c r="U58" s="71" t="str">
        <f>'Dala Restocking'!L20</f>
        <v/>
      </c>
      <c r="V58" s="71">
        <f t="shared" si="7"/>
        <v>0</v>
      </c>
      <c r="W58" s="71" t="str">
        <f>'Client Restocking'!L20</f>
        <v/>
      </c>
    </row>
    <row r="59">
      <c r="B59" s="113"/>
      <c r="C59" s="113"/>
      <c r="D59" s="113"/>
      <c r="E59" s="113"/>
      <c r="F59" s="113"/>
      <c r="G59" s="71">
        <f t="shared" si="1"/>
        <v>0</v>
      </c>
      <c r="H59" s="113"/>
      <c r="I59" s="113"/>
      <c r="J59" s="113"/>
      <c r="K59" s="113"/>
      <c r="L59" s="68">
        <f t="shared" si="8"/>
        <v>0</v>
      </c>
      <c r="M59" s="71">
        <f t="shared" si="2"/>
        <v>0</v>
      </c>
      <c r="N59" s="71">
        <f t="shared" si="3"/>
        <v>0</v>
      </c>
      <c r="O59" s="71" t="str">
        <f>'Dala Sales &amp; Deliveries'!L21</f>
        <v/>
      </c>
      <c r="P59" s="71">
        <f t="shared" si="4"/>
        <v>0</v>
      </c>
      <c r="Q59" s="71" t="str">
        <f>'External Delivery Fulfillment'!L21</f>
        <v/>
      </c>
      <c r="R59" s="71">
        <f t="shared" si="5"/>
        <v>0</v>
      </c>
      <c r="S59" s="71" t="str">
        <f>'Forwarding From Client'!L21</f>
        <v/>
      </c>
      <c r="T59" s="71">
        <f t="shared" si="6"/>
        <v>0</v>
      </c>
      <c r="U59" s="71" t="str">
        <f>'Dala Restocking'!L21</f>
        <v/>
      </c>
      <c r="V59" s="71">
        <f t="shared" si="7"/>
        <v>0</v>
      </c>
      <c r="W59" s="71" t="str">
        <f>'Client Restocking'!L21</f>
        <v/>
      </c>
    </row>
    <row r="60">
      <c r="B60" s="113"/>
      <c r="C60" s="113"/>
      <c r="D60" s="113"/>
      <c r="E60" s="113"/>
      <c r="F60" s="113"/>
      <c r="G60" s="71">
        <f t="shared" si="1"/>
        <v>0</v>
      </c>
      <c r="H60" s="113"/>
      <c r="I60" s="113"/>
      <c r="J60" s="113"/>
      <c r="K60" s="113"/>
      <c r="L60" s="68">
        <f t="shared" si="8"/>
        <v>0</v>
      </c>
      <c r="M60" s="71">
        <f t="shared" si="2"/>
        <v>0</v>
      </c>
      <c r="N60" s="71">
        <f t="shared" si="3"/>
        <v>0</v>
      </c>
      <c r="O60" s="71" t="str">
        <f>'Dala Sales &amp; Deliveries'!L22</f>
        <v/>
      </c>
      <c r="P60" s="71">
        <f t="shared" si="4"/>
        <v>0</v>
      </c>
      <c r="Q60" s="71" t="str">
        <f>'External Delivery Fulfillment'!L22</f>
        <v/>
      </c>
      <c r="R60" s="71">
        <f t="shared" si="5"/>
        <v>0</v>
      </c>
      <c r="S60" s="71" t="str">
        <f>'Forwarding From Client'!L22</f>
        <v/>
      </c>
      <c r="T60" s="71">
        <f t="shared" si="6"/>
        <v>0</v>
      </c>
      <c r="U60" s="71" t="str">
        <f>'Dala Restocking'!L22</f>
        <v/>
      </c>
      <c r="V60" s="71">
        <f t="shared" si="7"/>
        <v>0</v>
      </c>
      <c r="W60" s="71" t="str">
        <f>'Client Restocking'!L22</f>
        <v/>
      </c>
    </row>
    <row r="61">
      <c r="B61" s="113"/>
      <c r="C61" s="113"/>
      <c r="D61" s="113"/>
      <c r="E61" s="113"/>
      <c r="F61" s="113"/>
      <c r="G61" s="71">
        <f t="shared" si="1"/>
        <v>0</v>
      </c>
      <c r="H61" s="113"/>
      <c r="I61" s="113"/>
      <c r="J61" s="113"/>
      <c r="K61" s="113"/>
      <c r="L61" s="68">
        <f t="shared" si="8"/>
        <v>0</v>
      </c>
      <c r="M61" s="71">
        <f t="shared" si="2"/>
        <v>0</v>
      </c>
      <c r="N61" s="71">
        <f t="shared" si="3"/>
        <v>0</v>
      </c>
      <c r="O61" s="71" t="str">
        <f>'Dala Sales &amp; Deliveries'!L23</f>
        <v/>
      </c>
      <c r="P61" s="71">
        <f t="shared" si="4"/>
        <v>0</v>
      </c>
      <c r="Q61" s="71" t="str">
        <f>'External Delivery Fulfillment'!L23</f>
        <v/>
      </c>
      <c r="R61" s="71">
        <f t="shared" si="5"/>
        <v>0</v>
      </c>
      <c r="S61" s="71" t="str">
        <f>'Forwarding From Client'!L23</f>
        <v/>
      </c>
      <c r="T61" s="71">
        <f t="shared" si="6"/>
        <v>0</v>
      </c>
      <c r="U61" s="71" t="str">
        <f>'Dala Restocking'!L23</f>
        <v/>
      </c>
      <c r="V61" s="71">
        <f t="shared" si="7"/>
        <v>0</v>
      </c>
      <c r="W61" s="71" t="str">
        <f>'Client Restocking'!L23</f>
        <v/>
      </c>
    </row>
    <row r="62">
      <c r="B62" s="113"/>
      <c r="C62" s="113"/>
      <c r="D62" s="113"/>
      <c r="E62" s="113"/>
      <c r="F62" s="113"/>
      <c r="G62" s="71">
        <f t="shared" si="1"/>
        <v>0</v>
      </c>
      <c r="H62" s="113"/>
      <c r="I62" s="113"/>
      <c r="J62" s="113"/>
      <c r="K62" s="113"/>
      <c r="L62" s="68">
        <f t="shared" si="8"/>
        <v>0</v>
      </c>
      <c r="M62" s="71">
        <f t="shared" si="2"/>
        <v>0</v>
      </c>
      <c r="N62" s="71">
        <f t="shared" si="3"/>
        <v>0</v>
      </c>
      <c r="O62" s="71" t="str">
        <f>'Dala Sales &amp; Deliveries'!L24</f>
        <v/>
      </c>
      <c r="P62" s="71">
        <f t="shared" si="4"/>
        <v>0</v>
      </c>
      <c r="Q62" s="71" t="str">
        <f>'External Delivery Fulfillment'!L24</f>
        <v/>
      </c>
      <c r="R62" s="71">
        <f t="shared" si="5"/>
        <v>0</v>
      </c>
      <c r="S62" s="71" t="str">
        <f>'Forwarding From Client'!L24</f>
        <v/>
      </c>
      <c r="T62" s="71">
        <f t="shared" si="6"/>
        <v>0</v>
      </c>
      <c r="U62" s="71" t="str">
        <f>'Dala Restocking'!L24</f>
        <v/>
      </c>
      <c r="V62" s="71">
        <f t="shared" si="7"/>
        <v>0</v>
      </c>
      <c r="W62" s="71" t="str">
        <f>'Client Restocking'!L24</f>
        <v/>
      </c>
    </row>
    <row r="63">
      <c r="B63" s="113"/>
      <c r="C63" s="113"/>
      <c r="D63" s="113"/>
      <c r="E63" s="113"/>
      <c r="F63" s="113"/>
      <c r="G63" s="71">
        <f t="shared" si="1"/>
        <v>0</v>
      </c>
      <c r="H63" s="113"/>
      <c r="I63" s="113"/>
      <c r="J63" s="113"/>
      <c r="K63" s="113"/>
      <c r="L63" s="68">
        <f t="shared" si="8"/>
        <v>0</v>
      </c>
      <c r="M63" s="71">
        <f t="shared" si="2"/>
        <v>0</v>
      </c>
      <c r="N63" s="71">
        <f t="shared" si="3"/>
        <v>0</v>
      </c>
      <c r="O63" s="71" t="str">
        <f>'Dala Sales &amp; Deliveries'!L25</f>
        <v/>
      </c>
      <c r="P63" s="71">
        <f t="shared" si="4"/>
        <v>0</v>
      </c>
      <c r="Q63" s="71" t="str">
        <f>'External Delivery Fulfillment'!L25</f>
        <v/>
      </c>
      <c r="R63" s="71">
        <f t="shared" si="5"/>
        <v>0</v>
      </c>
      <c r="S63" s="71" t="str">
        <f>'Forwarding From Client'!L25</f>
        <v/>
      </c>
      <c r="T63" s="71">
        <f t="shared" si="6"/>
        <v>0</v>
      </c>
      <c r="U63" s="71" t="str">
        <f>'Dala Restocking'!L25</f>
        <v/>
      </c>
      <c r="V63" s="71">
        <f t="shared" si="7"/>
        <v>0</v>
      </c>
      <c r="W63" s="71" t="str">
        <f>'Client Restocking'!L25</f>
        <v/>
      </c>
    </row>
    <row r="64">
      <c r="B64" s="113"/>
      <c r="C64" s="113"/>
      <c r="D64" s="113"/>
      <c r="E64" s="113"/>
      <c r="F64" s="113"/>
      <c r="G64" s="71">
        <f t="shared" si="1"/>
        <v>0</v>
      </c>
      <c r="H64" s="113"/>
      <c r="I64" s="113"/>
      <c r="J64" s="113"/>
      <c r="K64" s="113"/>
      <c r="L64" s="68">
        <f t="shared" si="8"/>
        <v>0</v>
      </c>
      <c r="M64" s="71">
        <f t="shared" si="2"/>
        <v>0</v>
      </c>
      <c r="N64" s="71">
        <f t="shared" si="3"/>
        <v>0</v>
      </c>
      <c r="O64" s="71" t="str">
        <f>'Dala Sales &amp; Deliveries'!L26</f>
        <v/>
      </c>
      <c r="P64" s="71">
        <f t="shared" si="4"/>
        <v>0</v>
      </c>
      <c r="Q64" s="71" t="str">
        <f>'External Delivery Fulfillment'!L26</f>
        <v/>
      </c>
      <c r="R64" s="71">
        <f t="shared" si="5"/>
        <v>0</v>
      </c>
      <c r="S64" s="71" t="str">
        <f>'Forwarding From Client'!L26</f>
        <v/>
      </c>
      <c r="T64" s="71">
        <f t="shared" si="6"/>
        <v>0</v>
      </c>
      <c r="U64" s="71" t="str">
        <f>'Dala Restocking'!L26</f>
        <v/>
      </c>
      <c r="V64" s="71">
        <f t="shared" si="7"/>
        <v>0</v>
      </c>
      <c r="W64" s="71" t="str">
        <f>'Client Restocking'!L26</f>
        <v/>
      </c>
    </row>
    <row r="65">
      <c r="B65" s="113"/>
      <c r="C65" s="113"/>
      <c r="D65" s="113"/>
      <c r="E65" s="113"/>
      <c r="F65" s="113"/>
      <c r="G65" s="71">
        <f t="shared" si="1"/>
        <v>0</v>
      </c>
      <c r="H65" s="113"/>
      <c r="I65" s="113"/>
      <c r="J65" s="113"/>
      <c r="K65" s="113"/>
      <c r="L65" s="68">
        <f t="shared" si="8"/>
        <v>0</v>
      </c>
      <c r="M65" s="71">
        <f t="shared" si="2"/>
        <v>0</v>
      </c>
      <c r="N65" s="71">
        <f t="shared" si="3"/>
        <v>0</v>
      </c>
      <c r="O65" s="71" t="str">
        <f>'Dala Sales &amp; Deliveries'!L27</f>
        <v/>
      </c>
      <c r="P65" s="71">
        <f t="shared" si="4"/>
        <v>0</v>
      </c>
      <c r="Q65" s="71" t="str">
        <f>'External Delivery Fulfillment'!L27</f>
        <v/>
      </c>
      <c r="R65" s="71">
        <f t="shared" si="5"/>
        <v>0</v>
      </c>
      <c r="S65" s="71" t="str">
        <f>'Forwarding From Client'!L27</f>
        <v/>
      </c>
      <c r="T65" s="71">
        <f t="shared" si="6"/>
        <v>0</v>
      </c>
      <c r="U65" s="71" t="str">
        <f>'Dala Restocking'!L27</f>
        <v/>
      </c>
      <c r="V65" s="71">
        <f t="shared" si="7"/>
        <v>0</v>
      </c>
      <c r="W65" s="71" t="str">
        <f>'Client Restocking'!L27</f>
        <v/>
      </c>
    </row>
    <row r="66">
      <c r="B66" s="113"/>
      <c r="C66" s="113"/>
      <c r="D66" s="113"/>
      <c r="E66" s="113"/>
      <c r="F66" s="113"/>
      <c r="G66" s="71">
        <f t="shared" si="1"/>
        <v>0</v>
      </c>
      <c r="H66" s="113"/>
      <c r="I66" s="113"/>
      <c r="J66" s="113"/>
      <c r="K66" s="113"/>
      <c r="L66" s="68">
        <f t="shared" si="8"/>
        <v>0</v>
      </c>
      <c r="M66" s="71">
        <f t="shared" si="2"/>
        <v>0</v>
      </c>
      <c r="N66" s="71">
        <f t="shared" si="3"/>
        <v>0</v>
      </c>
      <c r="O66" s="71" t="str">
        <f>'Dala Sales &amp; Deliveries'!L28</f>
        <v/>
      </c>
      <c r="P66" s="71">
        <f t="shared" si="4"/>
        <v>0</v>
      </c>
      <c r="Q66" s="71" t="str">
        <f>'External Delivery Fulfillment'!L28</f>
        <v/>
      </c>
      <c r="R66" s="71">
        <f t="shared" si="5"/>
        <v>0</v>
      </c>
      <c r="S66" s="71" t="str">
        <f>'Forwarding From Client'!L28</f>
        <v/>
      </c>
      <c r="T66" s="71">
        <f t="shared" si="6"/>
        <v>0</v>
      </c>
      <c r="U66" s="71" t="str">
        <f>'Dala Restocking'!L28</f>
        <v/>
      </c>
      <c r="V66" s="71">
        <f t="shared" si="7"/>
        <v>0</v>
      </c>
      <c r="W66" s="71" t="str">
        <f>'Client Restocking'!L28</f>
        <v/>
      </c>
    </row>
    <row r="67">
      <c r="B67" s="113"/>
      <c r="C67" s="113"/>
      <c r="D67" s="113"/>
      <c r="E67" s="113"/>
      <c r="F67" s="113"/>
      <c r="G67" s="71">
        <f t="shared" si="1"/>
        <v>0</v>
      </c>
      <c r="H67" s="113"/>
      <c r="I67" s="113"/>
      <c r="J67" s="113"/>
      <c r="K67" s="113"/>
      <c r="L67" s="68">
        <f t="shared" si="8"/>
        <v>0</v>
      </c>
      <c r="M67" s="71">
        <f t="shared" si="2"/>
        <v>0</v>
      </c>
      <c r="N67" s="71">
        <f t="shared" si="3"/>
        <v>0</v>
      </c>
      <c r="O67" s="71" t="str">
        <f>'Dala Sales &amp; Deliveries'!L29</f>
        <v/>
      </c>
      <c r="P67" s="71">
        <f t="shared" si="4"/>
        <v>0</v>
      </c>
      <c r="Q67" s="71" t="str">
        <f>'External Delivery Fulfillment'!L29</f>
        <v/>
      </c>
      <c r="R67" s="71">
        <f t="shared" si="5"/>
        <v>0</v>
      </c>
      <c r="S67" s="71" t="str">
        <f>'Forwarding From Client'!L29</f>
        <v/>
      </c>
      <c r="T67" s="71">
        <f t="shared" si="6"/>
        <v>0</v>
      </c>
      <c r="U67" s="71" t="str">
        <f>'Dala Restocking'!L29</f>
        <v/>
      </c>
      <c r="V67" s="71">
        <f t="shared" si="7"/>
        <v>0</v>
      </c>
      <c r="W67" s="71" t="str">
        <f>'Client Restocking'!L29</f>
        <v/>
      </c>
    </row>
    <row r="68">
      <c r="B68" s="113"/>
      <c r="C68" s="113"/>
      <c r="D68" s="113"/>
      <c r="E68" s="113"/>
      <c r="F68" s="113"/>
      <c r="G68" s="71">
        <f t="shared" si="1"/>
        <v>0</v>
      </c>
      <c r="H68" s="113"/>
      <c r="I68" s="113"/>
      <c r="J68" s="113"/>
      <c r="K68" s="113"/>
      <c r="L68" s="68">
        <f t="shared" si="8"/>
        <v>0</v>
      </c>
      <c r="M68" s="71">
        <f t="shared" si="2"/>
        <v>0</v>
      </c>
      <c r="N68" s="71">
        <f t="shared" si="3"/>
        <v>0</v>
      </c>
      <c r="O68" s="71" t="str">
        <f>'Dala Sales &amp; Deliveries'!L30</f>
        <v/>
      </c>
      <c r="P68" s="71">
        <f t="shared" si="4"/>
        <v>0</v>
      </c>
      <c r="Q68" s="71" t="str">
        <f>'External Delivery Fulfillment'!L30</f>
        <v/>
      </c>
      <c r="R68" s="71">
        <f t="shared" si="5"/>
        <v>0</v>
      </c>
      <c r="S68" s="71" t="str">
        <f>'Forwarding From Client'!L30</f>
        <v/>
      </c>
      <c r="T68" s="71">
        <f t="shared" si="6"/>
        <v>0</v>
      </c>
      <c r="U68" s="71" t="str">
        <f>'Dala Restocking'!L30</f>
        <v/>
      </c>
      <c r="V68" s="71">
        <f t="shared" si="7"/>
        <v>0</v>
      </c>
      <c r="W68" s="71" t="str">
        <f>'Client Restocking'!L30</f>
        <v/>
      </c>
    </row>
    <row r="69">
      <c r="B69" s="68" t="s">
        <v>106</v>
      </c>
      <c r="C69" s="68"/>
      <c r="D69" s="68"/>
      <c r="E69" s="71"/>
      <c r="F69" s="114">
        <f t="shared" ref="F69:W69" si="9">sum(F40:F68)</f>
        <v>0</v>
      </c>
      <c r="G69" s="114">
        <f t="shared" si="9"/>
        <v>0</v>
      </c>
      <c r="H69" s="114">
        <f t="shared" si="9"/>
        <v>0</v>
      </c>
      <c r="I69" s="114">
        <f t="shared" si="9"/>
        <v>0</v>
      </c>
      <c r="J69" s="114">
        <f t="shared" si="9"/>
        <v>0</v>
      </c>
      <c r="K69" s="114">
        <f t="shared" si="9"/>
        <v>0</v>
      </c>
      <c r="L69" s="71">
        <f t="shared" si="9"/>
        <v>0</v>
      </c>
      <c r="M69" s="71">
        <f t="shared" si="9"/>
        <v>0</v>
      </c>
      <c r="N69" s="71">
        <f t="shared" si="9"/>
        <v>0</v>
      </c>
      <c r="O69" s="67">
        <f t="shared" si="9"/>
        <v>3.25</v>
      </c>
      <c r="P69" s="71">
        <f t="shared" si="9"/>
        <v>11212.5</v>
      </c>
      <c r="Q69" s="67">
        <f t="shared" si="9"/>
        <v>0</v>
      </c>
      <c r="R69" s="71">
        <f t="shared" si="9"/>
        <v>0</v>
      </c>
      <c r="S69" s="67">
        <f t="shared" si="9"/>
        <v>0</v>
      </c>
      <c r="T69" s="71">
        <f t="shared" si="9"/>
        <v>0</v>
      </c>
      <c r="U69" s="67">
        <f t="shared" si="9"/>
        <v>0</v>
      </c>
      <c r="V69" s="71">
        <f t="shared" si="9"/>
        <v>0</v>
      </c>
      <c r="W69" s="67">
        <f t="shared" si="9"/>
        <v>0</v>
      </c>
    </row>
    <row r="70">
      <c r="C70" s="6" t="s">
        <v>107</v>
      </c>
      <c r="D70" s="6" t="s">
        <v>107</v>
      </c>
      <c r="E70" s="6" t="s">
        <v>107</v>
      </c>
      <c r="F70" s="6" t="s">
        <v>107</v>
      </c>
      <c r="G70" s="6" t="s">
        <v>107</v>
      </c>
      <c r="H70" s="6" t="s">
        <v>107</v>
      </c>
      <c r="I70" s="6" t="s">
        <v>107</v>
      </c>
      <c r="J70" s="6" t="s">
        <v>107</v>
      </c>
      <c r="K70" s="6" t="s">
        <v>107</v>
      </c>
      <c r="L70" s="6" t="s">
        <v>107</v>
      </c>
      <c r="M70" s="6" t="s">
        <v>107</v>
      </c>
      <c r="N70" s="6" t="s">
        <v>107</v>
      </c>
      <c r="O70" s="6" t="s">
        <v>107</v>
      </c>
      <c r="P70" s="6" t="s">
        <v>107</v>
      </c>
      <c r="Q70" s="6" t="s">
        <v>107</v>
      </c>
      <c r="R70" s="6" t="s">
        <v>107</v>
      </c>
      <c r="S70" s="6" t="s">
        <v>107</v>
      </c>
      <c r="T70" s="6" t="s">
        <v>107</v>
      </c>
      <c r="U70" s="6" t="s">
        <v>107</v>
      </c>
      <c r="V70" s="6" t="s">
        <v>107</v>
      </c>
      <c r="W70" s="6" t="s">
        <v>107</v>
      </c>
    </row>
  </sheetData>
  <drawing r:id="rId1"/>
</worksheet>
</file>