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<sst xmlns="http://schemas.openxmlformats.org/spreadsheetml/2006/main" count="248" uniqueCount="98">
  <si>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</si>
  <si>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</si>
  <si>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</si>
  <si>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</si>
  <si>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</si>
  <si>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</si>
  <si>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</si>
  <si>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</si>
  <si>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</si>
  <si>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</si>
  <si>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</si>
  <si>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</si>
  <si>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</si>
  <si>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</si>
  <si>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</si>
  <si>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Blended Locust Beans (12x)</t>
  </si>
  <si>
    <t>Mega Mart</t>
  </si>
  <si>
    <t>Sales</t>
  </si>
  <si>
    <t>DT:000563</t>
  </si>
  <si>
    <t>Overseas Supermarket, FESTAC</t>
  </si>
  <si>
    <t>DT:000553</t>
  </si>
  <si>
    <t>Zeef 1kg Groundrice Flour (12x)</t>
  </si>
  <si>
    <t>Taiwo Supermarket, ISOLO</t>
  </si>
  <si>
    <t>DT:000552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</si>
  <si>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</si>
  <si>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</si>
  <si>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</si>
  <si>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</si>
  <si>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</si>
  <si>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</si>
  <si>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</si>
  <si>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Zeef 1kg Groundrice Flour (12x) Total</t>
  </si>
  <si>
    <t>0.50 Total</t>
  </si>
  <si>
    <t>Zeef 250g Blended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</si>
  <si>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</si>
  <si>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</si>
  <si>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</si>
  <si>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</si>
  <si>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</si>
  <si>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</si>
  <si>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</si>
  <si>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</si>
  <si>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</si>
  <si>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</si>
  <si>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</si>
  <si>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</si>
  <si>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</si>
  <si>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</si>
  <si>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</si>
  <si>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</si>
  <si>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</si>
  <si>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</si>
  <si>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</si>
  <si>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</si>
  <si>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</si>
  <si>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</si>
  <si>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</si>
  <si>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</si>
  <si>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</si>
  <si>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</si>
  <si>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</si>
  <si>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</si>
  <si>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</si>
  <si>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</si>
  <si>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</si>
  <si>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</si>
  <si>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</si>
  <si>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</si>
  <si>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</si>
  <si>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</si>
  <si>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</si>
  <si>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</si>
  <si>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</si>
  <si>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</si>
  <si>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</si>
  <si>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</si>
  <si>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</si>
  <si>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</si>
  <si>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</si>
  <si>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</si>
  <si>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</si>
  <si>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</si>
  <si>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</si>
  <si>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</si>
  <si>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</si>
  <si>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</si>
  <si>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</si>
  <si>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</si>
  <si>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</si>
  <si>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</si>
  <si>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</si>
  <si>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</si>
  <si>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</si>
  <si>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</si>
  <si>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</si>
  <si>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250g Locust Beans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</si>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</sst>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3" fillId="2" fontId="6" numFmtId="0" xfId="0" applyAlignment="1" applyBorder="1" applyFont="1">
      <alignment readingOrder="0" shrinkToFit="0" vertical="top" wrapText="0"/>
    </xf>
    <xf borderId="3" fillId="2" fontId="2" numFmtId="166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3" fillId="0" fontId="4" numFmtId="0" xfId="0" applyBorder="1" applyFon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Blended Locust Beans (12x)"/>
        <s v="Zeef 1kg Groundrice Flour (12x)"/>
        <m/>
      </sharedItems>
    </cacheField>
    <cacheField name="Date" numFmtId="164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s v="Overseas Supermarket, FESTAC"/>
        <s v="Taiwo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3"/>
        <s v="DT:000553"/>
        <s v="DT:00055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21209.3"/>
        <n v="21189.59"/>
        <n v="50232.56"/>
        <m/>
      </sharedItems>
    </cacheField>
    <cacheField name="Total Value" numFmtId="4">
      <sharedItems containsSemiMixedTypes="0" containsString="0" containsNumber="1">
        <n v="21209.3"/>
        <n v="21189.59"/>
        <n v="50232.56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Blended Locust Beans (12x)"/>
        <s v="Zeef 1kg Groundrice Flour (12x)"/>
        <m/>
      </sharedItems>
    </cacheField>
    <cacheField name="Date" numFmtId="164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s v="Overseas Supermarket, FESTAC"/>
        <s v="Taiwo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3"/>
        <s v="DT:000553"/>
        <s v="DT:00055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21209.3"/>
        <n v="21189.59"/>
        <n v="50232.5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2</v>
      </c>
    </row>
    <row r="3">
      <c r="A3" s="15" t="s">
        <v>15</v>
      </c>
      <c r="B3" s="16">
        <v>46055.0</v>
      </c>
      <c r="C3" s="17" t="s">
        <v>16</v>
      </c>
      <c r="D3" s="17" t="s">
        <v>17</v>
      </c>
      <c r="E3" s="18" t="s">
        <v>18</v>
      </c>
      <c r="F3" s="19">
        <v>0.5</v>
      </c>
      <c r="G3" s="20">
        <v>21209.3</v>
      </c>
      <c r="I3" s="21" t="str">
        <f>IFERROR(__xludf.DUMMYFUNCTION("IFERROR(
  FILTER($A$3:$G1844, LEN($A$3:$A1844), LOWER(TRIM($D$3:$D1844))=""sales""),
)"),"Zeef 250g Blended Locust Beans (12x)")</f>
        <v>Zeef 250g Blended Locust Beans (12x)</v>
      </c>
      <c r="J3" s="2">
        <f>IFERROR(__xludf.DUMMYFUNCTION("""COMPUTED_VALUE"""),46055.0)</f>
        <v>46055</v>
      </c>
      <c r="K3" s="22" t="str">
        <f>IFERROR(__xludf.DUMMYFUNCTION("""COMPUTED_VALUE"""),"Mega Mart")</f>
        <v>Mega Mart</v>
      </c>
      <c r="L3" s="22" t="str">
        <f>IFERROR(__xludf.DUMMYFUNCTION("""COMPUTED_VALUE"""),"Sales")</f>
        <v>Sales</v>
      </c>
      <c r="M3" s="5" t="str">
        <f>IFERROR(__xludf.DUMMYFUNCTION("""COMPUTED_VALUE"""),"DT:000563")</f>
        <v>DT:000563</v>
      </c>
      <c r="N3" s="23">
        <f>IFERROR(__xludf.DUMMYFUNCTION("""COMPUTED_VALUE"""),0.5)</f>
        <v>0.5</v>
      </c>
      <c r="O3" s="24">
        <f>IFERROR(__xludf.DUMMYFUNCTION("""COMPUTED_VALUE"""),21209.3)</f>
        <v>21209.3</v>
      </c>
      <c r="P3" s="8">
        <f t="shared" ref="P3:P66" si="1">SUMIF(M:M,M3,O:O)</f>
        <v>21209.3</v>
      </c>
      <c r="Q3" s="25" t="str">
        <f>IFERROR(__xludf.DUMMYFUNCTION("IFERROR(
  FILTER($A$3:$G1844, LEN($A$3:$A1844), REGEXMATCH(LOWER(TRIM($D$3:$D1844)), ""\bjournal\b"")),
)"),"")</f>
        <v/>
      </c>
      <c r="R3" s="26"/>
      <c r="S3" s="22"/>
      <c r="T3" s="22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1" t="str">
        <f>IFERROR(__xludf.DUMMYFUNCTION("IFERROR(
  FILTER($A$3:$G1844, LEN($A$3:$A1844), LOWER(TRIM($D$3:$D1844))=""Inventory Supplied by Brands""),
)"),"")</f>
        <v/>
      </c>
      <c r="AH3" s="29"/>
      <c r="AI3" s="30"/>
      <c r="AJ3" s="30"/>
      <c r="AK3" s="31"/>
      <c r="AL3" s="32"/>
      <c r="AM3" s="32"/>
      <c r="AO3" s="21" t="str">
        <f>IFERROR(__xludf.DUMMYFUNCTION("IFERROR(
  FILTER($A$3:$G1844, LEN($A$3:$A1844), LOWER(TRIM($D$3:$D1844))=""Inventory Pickup by Dala""),
)"),"")</f>
        <v/>
      </c>
      <c r="AP3" s="26"/>
      <c r="AQ3" s="22"/>
      <c r="AR3" s="22"/>
      <c r="AS3" s="5"/>
      <c r="AT3" s="33"/>
      <c r="AU3" s="34"/>
    </row>
    <row r="4">
      <c r="A4" s="15" t="s">
        <v>15</v>
      </c>
      <c r="B4" s="16">
        <v>46055.0</v>
      </c>
      <c r="C4" s="17" t="s">
        <v>19</v>
      </c>
      <c r="D4" s="17" t="s">
        <v>17</v>
      </c>
      <c r="E4" s="18" t="s">
        <v>20</v>
      </c>
      <c r="F4" s="19">
        <v>0.5</v>
      </c>
      <c r="G4" s="20">
        <v>21189.59</v>
      </c>
      <c r="I4" s="25" t="str">
        <f>IFERROR(__xludf.DUMMYFUNCTION("""COMPUTED_VALUE"""),"Zeef 250g Blended Locust Beans (12x)")</f>
        <v>Zeef 250g Blended Locust Beans (12x)</v>
      </c>
      <c r="J4" s="26">
        <f>IFERROR(__xludf.DUMMYFUNCTION("""COMPUTED_VALUE"""),46055.0)</f>
        <v>46055</v>
      </c>
      <c r="K4" s="22" t="str">
        <f>IFERROR(__xludf.DUMMYFUNCTION("""COMPUTED_VALUE"""),"Overseas Supermarket, FESTAC")</f>
        <v>Overseas Supermarket, FESTAC</v>
      </c>
      <c r="L4" s="22" t="str">
        <f>IFERROR(__xludf.DUMMYFUNCTION("""COMPUTED_VALUE"""),"Sales")</f>
        <v>Sales</v>
      </c>
      <c r="M4" s="5" t="str">
        <f>IFERROR(__xludf.DUMMYFUNCTION("""COMPUTED_VALUE"""),"DT:000553")</f>
        <v>DT:000553</v>
      </c>
      <c r="N4" s="23">
        <f>IFERROR(__xludf.DUMMYFUNCTION("""COMPUTED_VALUE"""),0.5)</f>
        <v>0.5</v>
      </c>
      <c r="O4" s="24">
        <f>IFERROR(__xludf.DUMMYFUNCTION("""COMPUTED_VALUE"""),21189.59)</f>
        <v>21189.59</v>
      </c>
      <c r="P4" s="8">
        <f t="shared" si="1"/>
        <v>21189.59</v>
      </c>
      <c r="Q4" s="25"/>
      <c r="R4" s="26"/>
      <c r="S4" s="35"/>
      <c r="T4" s="22"/>
      <c r="U4" s="5"/>
      <c r="V4" s="36"/>
      <c r="W4" s="27"/>
      <c r="Y4" s="28"/>
      <c r="Z4" s="28"/>
      <c r="AA4" s="28"/>
      <c r="AB4" s="28"/>
      <c r="AC4" s="28"/>
      <c r="AD4" s="28"/>
      <c r="AE4" s="28"/>
      <c r="AF4" s="28"/>
      <c r="AG4" s="37"/>
      <c r="AH4" s="38"/>
      <c r="AI4" s="39"/>
      <c r="AJ4" s="39"/>
      <c r="AK4" s="40"/>
      <c r="AL4" s="41"/>
      <c r="AM4" s="42"/>
      <c r="AO4" s="43"/>
      <c r="AP4" s="26"/>
      <c r="AQ4" s="22"/>
      <c r="AR4" s="22"/>
      <c r="AS4" s="5"/>
      <c r="AT4" s="23"/>
      <c r="AU4" s="24"/>
    </row>
    <row r="5">
      <c r="A5" s="15" t="s">
        <v>21</v>
      </c>
      <c r="B5" s="44">
        <v>46055.0</v>
      </c>
      <c r="C5" s="17" t="s">
        <v>22</v>
      </c>
      <c r="D5" s="17" t="s">
        <v>17</v>
      </c>
      <c r="E5" s="18" t="s">
        <v>23</v>
      </c>
      <c r="F5" s="19">
        <v>1.0</v>
      </c>
      <c r="G5" s="20">
        <v>50232.56</v>
      </c>
      <c r="I5" s="25" t="str">
        <f>IFERROR(__xludf.DUMMYFUNCTION("""COMPUTED_VALUE"""),"Zeef 1kg Groundrice Flour (12x)")</f>
        <v>Zeef 1kg Groundrice Flour (12x)</v>
      </c>
      <c r="J5" s="26">
        <f>IFERROR(__xludf.DUMMYFUNCTION("""COMPUTED_VALUE"""),46055.0)</f>
        <v>46055</v>
      </c>
      <c r="K5" s="22" t="str">
        <f>IFERROR(__xludf.DUMMYFUNCTION("""COMPUTED_VALUE"""),"Taiwo Supermarket, ISOLO")</f>
        <v>Taiwo Supermarket, ISOLO</v>
      </c>
      <c r="L5" s="22" t="str">
        <f>IFERROR(__xludf.DUMMYFUNCTION("""COMPUTED_VALUE"""),"Sales")</f>
        <v>Sales</v>
      </c>
      <c r="M5" s="5" t="str">
        <f>IFERROR(__xludf.DUMMYFUNCTION("""COMPUTED_VALUE"""),"DT:000552")</f>
        <v>DT:000552</v>
      </c>
      <c r="N5" s="23">
        <f>IFERROR(__xludf.DUMMYFUNCTION("""COMPUTED_VALUE"""),1.0)</f>
        <v>1</v>
      </c>
      <c r="O5" s="24">
        <f>IFERROR(__xludf.DUMMYFUNCTION("""COMPUTED_VALUE"""),50232.56)</f>
        <v>50232.56</v>
      </c>
      <c r="P5" s="8">
        <f t="shared" si="1"/>
        <v>50232.56</v>
      </c>
      <c r="Q5" s="25"/>
      <c r="R5" s="26"/>
      <c r="S5" s="22"/>
      <c r="T5" s="22"/>
      <c r="U5" s="5"/>
      <c r="V5" s="36"/>
      <c r="W5" s="27"/>
      <c r="Y5" s="28"/>
      <c r="Z5" s="28"/>
      <c r="AA5" s="28"/>
      <c r="AB5" s="28"/>
      <c r="AC5" s="28"/>
      <c r="AD5" s="28"/>
      <c r="AE5" s="28"/>
      <c r="AF5" s="28"/>
      <c r="AG5" s="37"/>
      <c r="AH5" s="38"/>
      <c r="AI5" s="39"/>
      <c r="AJ5" s="39"/>
      <c r="AK5" s="40"/>
      <c r="AL5" s="42"/>
      <c r="AM5" s="42"/>
      <c r="AO5" s="43"/>
      <c r="AP5" s="26"/>
      <c r="AQ5" s="22"/>
      <c r="AR5" s="22"/>
      <c r="AS5" s="5"/>
      <c r="AT5" s="23"/>
      <c r="AU5" s="24"/>
    </row>
    <row r="6">
      <c r="A6" s="45"/>
      <c r="B6" s="9"/>
      <c r="C6" s="11"/>
      <c r="D6" s="11"/>
      <c r="E6" s="12"/>
      <c r="F6" s="46"/>
      <c r="G6" s="47"/>
      <c r="I6" s="25"/>
      <c r="J6" s="26"/>
      <c r="K6" s="22"/>
      <c r="L6" s="22"/>
      <c r="M6" s="5"/>
      <c r="N6" s="36"/>
      <c r="O6" s="24"/>
      <c r="P6" s="8">
        <f t="shared" si="1"/>
        <v>0</v>
      </c>
      <c r="Q6" s="25"/>
      <c r="R6" s="26"/>
      <c r="S6" s="22"/>
      <c r="T6" s="22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5"/>
      <c r="AH6" s="26"/>
      <c r="AI6" s="22"/>
      <c r="AJ6" s="22"/>
      <c r="AK6" s="5"/>
      <c r="AL6" s="36"/>
      <c r="AM6" s="24"/>
      <c r="AO6" s="43"/>
      <c r="AP6" s="26"/>
      <c r="AQ6" s="22"/>
      <c r="AR6" s="22"/>
      <c r="AS6" s="5"/>
      <c r="AT6" s="23"/>
      <c r="AU6" s="24"/>
    </row>
    <row r="7">
      <c r="A7" s="45"/>
      <c r="B7" s="9"/>
      <c r="C7" s="11"/>
      <c r="D7" s="11"/>
      <c r="E7" s="12"/>
      <c r="F7" s="33"/>
      <c r="G7" s="47"/>
      <c r="I7" s="25"/>
      <c r="J7" s="26"/>
      <c r="K7" s="22"/>
      <c r="L7" s="22"/>
      <c r="M7" s="5"/>
      <c r="N7" s="23"/>
      <c r="O7" s="24"/>
      <c r="P7" s="8">
        <f t="shared" si="1"/>
        <v>0</v>
      </c>
      <c r="Q7" s="25"/>
      <c r="R7" s="26"/>
      <c r="S7" s="35"/>
      <c r="T7" s="22"/>
      <c r="U7" s="5"/>
      <c r="V7" s="36"/>
      <c r="W7" s="27"/>
      <c r="Y7" s="28"/>
      <c r="Z7" s="28"/>
      <c r="AA7" s="28"/>
      <c r="AB7" s="28"/>
      <c r="AC7" s="28"/>
      <c r="AD7" s="28"/>
      <c r="AE7" s="28"/>
      <c r="AF7" s="28"/>
      <c r="AG7" s="25"/>
      <c r="AH7" s="26"/>
      <c r="AI7" s="22"/>
      <c r="AJ7" s="22"/>
      <c r="AK7" s="5"/>
      <c r="AL7" s="5"/>
      <c r="AM7" s="27"/>
      <c r="AO7" s="43"/>
      <c r="AP7" s="26"/>
      <c r="AQ7" s="22"/>
      <c r="AR7" s="22"/>
      <c r="AS7" s="5"/>
      <c r="AT7" s="23"/>
      <c r="AU7" s="24"/>
    </row>
    <row r="8">
      <c r="A8" s="45"/>
      <c r="B8" s="9"/>
      <c r="C8" s="11"/>
      <c r="D8" s="11"/>
      <c r="E8" s="12"/>
      <c r="F8" s="33"/>
      <c r="G8" s="47"/>
      <c r="I8" s="25"/>
      <c r="J8" s="26"/>
      <c r="K8" s="22"/>
      <c r="L8" s="22"/>
      <c r="M8" s="5"/>
      <c r="N8" s="23"/>
      <c r="O8" s="24"/>
      <c r="P8" s="8">
        <f t="shared" si="1"/>
        <v>0</v>
      </c>
      <c r="Q8" s="25"/>
      <c r="R8" s="26"/>
      <c r="S8" s="22"/>
      <c r="T8" s="22"/>
      <c r="U8" s="5"/>
      <c r="V8" s="36"/>
      <c r="W8" s="27"/>
      <c r="Y8" s="28"/>
      <c r="Z8" s="28"/>
      <c r="AA8" s="28"/>
      <c r="AB8" s="28"/>
      <c r="AC8" s="28"/>
      <c r="AD8" s="28"/>
      <c r="AE8" s="28"/>
      <c r="AF8" s="28"/>
      <c r="AG8" s="25"/>
      <c r="AH8" s="26"/>
      <c r="AI8" s="22"/>
      <c r="AJ8" s="22"/>
      <c r="AK8" s="5"/>
      <c r="AL8" s="36"/>
      <c r="AM8" s="27"/>
      <c r="AP8" s="48"/>
      <c r="AU8" s="14"/>
    </row>
    <row r="9">
      <c r="A9" s="45"/>
      <c r="B9" s="9"/>
      <c r="C9" s="11"/>
      <c r="D9" s="11"/>
      <c r="E9" s="12"/>
      <c r="F9" s="33"/>
      <c r="G9" s="47"/>
      <c r="I9" s="25"/>
      <c r="J9" s="26"/>
      <c r="K9" s="22"/>
      <c r="L9" s="22"/>
      <c r="M9" s="5"/>
      <c r="N9" s="23"/>
      <c r="O9" s="24"/>
      <c r="P9" s="8">
        <f t="shared" si="1"/>
        <v>0</v>
      </c>
      <c r="Q9" s="25"/>
      <c r="R9" s="26"/>
      <c r="S9" s="22"/>
      <c r="T9" s="22"/>
      <c r="U9" s="5"/>
      <c r="V9" s="5"/>
      <c r="W9" s="27"/>
      <c r="AP9" s="48"/>
      <c r="AU9" s="14"/>
    </row>
    <row r="10">
      <c r="A10" s="45"/>
      <c r="B10" s="9"/>
      <c r="C10" s="11"/>
      <c r="D10" s="11"/>
      <c r="E10" s="12"/>
      <c r="F10" s="33"/>
      <c r="G10" s="47"/>
      <c r="I10" s="25"/>
      <c r="J10" s="26"/>
      <c r="K10" s="22"/>
      <c r="L10" s="22"/>
      <c r="M10" s="5"/>
      <c r="N10" s="23"/>
      <c r="O10" s="24"/>
      <c r="P10" s="8">
        <f t="shared" si="1"/>
        <v>0</v>
      </c>
      <c r="Q10" s="25"/>
      <c r="R10" s="26"/>
      <c r="S10" s="22"/>
      <c r="T10" s="22"/>
      <c r="U10" s="5"/>
      <c r="V10" s="36"/>
      <c r="W10" s="27"/>
      <c r="AP10" s="48"/>
      <c r="AU10" s="14"/>
    </row>
    <row r="11">
      <c r="A11" s="45"/>
      <c r="B11" s="12"/>
      <c r="C11" s="11"/>
      <c r="D11" s="11"/>
      <c r="E11" s="12"/>
      <c r="F11" s="33"/>
      <c r="G11" s="47"/>
      <c r="I11" s="25"/>
      <c r="J11" s="26"/>
      <c r="K11" s="22"/>
      <c r="L11" s="22"/>
      <c r="M11" s="5"/>
      <c r="N11" s="23"/>
      <c r="O11" s="24"/>
      <c r="P11" s="8">
        <f t="shared" si="1"/>
        <v>0</v>
      </c>
      <c r="Q11" s="25"/>
      <c r="R11" s="26"/>
      <c r="S11" s="22"/>
      <c r="T11" s="22"/>
      <c r="U11" s="5"/>
      <c r="V11" s="5"/>
      <c r="W11" s="27"/>
      <c r="AP11" s="48"/>
      <c r="AU11" s="14"/>
    </row>
    <row r="12">
      <c r="A12" s="49"/>
      <c r="B12" s="44"/>
      <c r="C12" s="17"/>
      <c r="D12" s="17"/>
      <c r="E12" s="18"/>
      <c r="F12" s="18"/>
      <c r="G12" s="20"/>
      <c r="I12" s="49"/>
      <c r="J12" s="50"/>
      <c r="K12" s="17"/>
      <c r="L12" s="17"/>
      <c r="M12" s="18"/>
      <c r="N12" s="18"/>
      <c r="O12" s="20"/>
      <c r="P12" s="8">
        <f t="shared" si="1"/>
        <v>0</v>
      </c>
      <c r="Q12" s="25"/>
      <c r="R12" s="26"/>
      <c r="S12" s="22"/>
      <c r="T12" s="22"/>
      <c r="U12" s="5"/>
      <c r="V12" s="36"/>
      <c r="W12" s="27"/>
      <c r="AP12" s="48"/>
      <c r="AU12" s="14"/>
    </row>
    <row r="13">
      <c r="A13" s="49"/>
      <c r="B13" s="44"/>
      <c r="C13" s="17"/>
      <c r="D13" s="17"/>
      <c r="E13" s="18"/>
      <c r="F13" s="19"/>
      <c r="G13" s="20"/>
      <c r="I13" s="49"/>
      <c r="J13" s="50"/>
      <c r="K13" s="17"/>
      <c r="L13" s="17"/>
      <c r="M13" s="18"/>
      <c r="N13" s="19"/>
      <c r="O13" s="20"/>
      <c r="P13" s="8">
        <f t="shared" si="1"/>
        <v>0</v>
      </c>
      <c r="Q13" s="25"/>
      <c r="R13" s="26"/>
      <c r="S13" s="35"/>
      <c r="T13" s="22"/>
      <c r="U13" s="5"/>
      <c r="V13" s="5"/>
      <c r="W13" s="27"/>
      <c r="AP13" s="48"/>
      <c r="AU13" s="14"/>
    </row>
    <row r="14">
      <c r="A14" s="49"/>
      <c r="B14" s="44"/>
      <c r="C14" s="17"/>
      <c r="D14" s="17"/>
      <c r="E14" s="18"/>
      <c r="F14" s="19"/>
      <c r="G14" s="20"/>
      <c r="I14" s="49"/>
      <c r="J14" s="50"/>
      <c r="K14" s="17"/>
      <c r="L14" s="17"/>
      <c r="M14" s="18"/>
      <c r="N14" s="19"/>
      <c r="O14" s="20"/>
      <c r="P14" s="8">
        <f t="shared" si="1"/>
        <v>0</v>
      </c>
      <c r="Q14" s="25"/>
      <c r="R14" s="26"/>
      <c r="S14" s="35"/>
      <c r="T14" s="22"/>
      <c r="U14" s="5"/>
      <c r="V14" s="36"/>
      <c r="W14" s="27"/>
      <c r="AP14" s="48"/>
      <c r="AU14" s="14"/>
    </row>
    <row r="15">
      <c r="A15" s="49"/>
      <c r="B15" s="44"/>
      <c r="C15" s="17"/>
      <c r="D15" s="17"/>
      <c r="E15" s="18"/>
      <c r="F15" s="18"/>
      <c r="G15" s="20"/>
      <c r="I15" s="49"/>
      <c r="J15" s="50"/>
      <c r="K15" s="17"/>
      <c r="L15" s="17"/>
      <c r="M15" s="18"/>
      <c r="N15" s="18"/>
      <c r="O15" s="20"/>
      <c r="P15" s="8">
        <f t="shared" si="1"/>
        <v>0</v>
      </c>
      <c r="Q15" s="25"/>
      <c r="R15" s="26"/>
      <c r="S15" s="22"/>
      <c r="T15" s="22"/>
      <c r="U15" s="5"/>
      <c r="V15" s="36"/>
      <c r="W15" s="27"/>
      <c r="AP15" s="48"/>
      <c r="AU15" s="14"/>
    </row>
    <row r="16">
      <c r="A16" s="49"/>
      <c r="B16" s="44"/>
      <c r="C16" s="17"/>
      <c r="D16" s="17"/>
      <c r="E16" s="18"/>
      <c r="F16" s="19"/>
      <c r="G16" s="20"/>
      <c r="I16" s="49"/>
      <c r="J16" s="50"/>
      <c r="K16" s="17"/>
      <c r="L16" s="17"/>
      <c r="M16" s="18"/>
      <c r="N16" s="19"/>
      <c r="O16" s="20"/>
      <c r="P16" s="8">
        <f t="shared" si="1"/>
        <v>0</v>
      </c>
      <c r="Q16" s="25"/>
      <c r="R16" s="26"/>
      <c r="S16" s="22"/>
      <c r="T16" s="22"/>
      <c r="U16" s="5"/>
      <c r="V16" s="36"/>
      <c r="W16" s="27"/>
      <c r="AP16" s="48"/>
      <c r="AU16" s="14"/>
    </row>
    <row r="17">
      <c r="A17" s="49"/>
      <c r="B17" s="44"/>
      <c r="C17" s="17"/>
      <c r="D17" s="17"/>
      <c r="E17" s="18"/>
      <c r="F17" s="18"/>
      <c r="G17" s="20"/>
      <c r="I17" s="49"/>
      <c r="J17" s="50"/>
      <c r="K17" s="17"/>
      <c r="L17" s="17"/>
      <c r="M17" s="18"/>
      <c r="N17" s="18"/>
      <c r="O17" s="20"/>
      <c r="P17" s="8">
        <f t="shared" si="1"/>
        <v>0</v>
      </c>
      <c r="Q17" s="25"/>
      <c r="R17" s="26"/>
      <c r="S17" s="22"/>
      <c r="T17" s="22"/>
      <c r="U17" s="5"/>
      <c r="V17" s="36"/>
      <c r="W17" s="27"/>
      <c r="AP17" s="48"/>
      <c r="AU17" s="14"/>
    </row>
    <row r="18">
      <c r="A18" s="49"/>
      <c r="B18" s="44"/>
      <c r="C18" s="17"/>
      <c r="D18" s="17"/>
      <c r="E18" s="18"/>
      <c r="F18" s="19"/>
      <c r="G18" s="20"/>
      <c r="I18" s="49"/>
      <c r="J18" s="50"/>
      <c r="K18" s="17"/>
      <c r="L18" s="17"/>
      <c r="M18" s="18"/>
      <c r="N18" s="19"/>
      <c r="O18" s="20"/>
      <c r="P18" s="8">
        <f t="shared" si="1"/>
        <v>0</v>
      </c>
      <c r="Q18" s="25"/>
      <c r="R18" s="26"/>
      <c r="S18" s="22"/>
      <c r="T18" s="22"/>
      <c r="U18" s="5"/>
      <c r="V18" s="36"/>
      <c r="W18" s="27"/>
      <c r="AP18" s="48"/>
      <c r="AU18" s="14"/>
    </row>
    <row r="19">
      <c r="A19" s="49"/>
      <c r="B19" s="44"/>
      <c r="C19" s="17"/>
      <c r="D19" s="17"/>
      <c r="E19" s="18"/>
      <c r="F19" s="18"/>
      <c r="G19" s="20"/>
      <c r="I19" s="49"/>
      <c r="J19" s="50"/>
      <c r="K19" s="17"/>
      <c r="L19" s="17"/>
      <c r="M19" s="18"/>
      <c r="N19" s="18"/>
      <c r="O19" s="20"/>
      <c r="P19" s="8">
        <f t="shared" si="1"/>
        <v>0</v>
      </c>
      <c r="Q19" s="25"/>
      <c r="R19" s="26"/>
      <c r="S19" s="22"/>
      <c r="T19" s="22"/>
      <c r="U19" s="5"/>
      <c r="V19" s="36"/>
      <c r="W19" s="27"/>
      <c r="AP19" s="48"/>
      <c r="AU19" s="14"/>
    </row>
    <row r="20">
      <c r="A20" s="49"/>
      <c r="B20" s="44"/>
      <c r="C20" s="17"/>
      <c r="D20" s="17"/>
      <c r="E20" s="18"/>
      <c r="F20" s="18"/>
      <c r="G20" s="20"/>
      <c r="I20" s="49"/>
      <c r="J20" s="50"/>
      <c r="K20" s="17"/>
      <c r="L20" s="17"/>
      <c r="M20" s="18"/>
      <c r="N20" s="18"/>
      <c r="O20" s="20"/>
      <c r="P20" s="8">
        <f t="shared" si="1"/>
        <v>0</v>
      </c>
      <c r="Q20" s="25"/>
      <c r="R20" s="26"/>
      <c r="S20" s="22"/>
      <c r="T20" s="22"/>
      <c r="U20" s="5"/>
      <c r="V20" s="36"/>
      <c r="W20" s="27"/>
      <c r="AP20" s="48"/>
      <c r="AU20" s="14"/>
    </row>
    <row r="21">
      <c r="A21" s="49"/>
      <c r="B21" s="44"/>
      <c r="C21" s="17"/>
      <c r="D21" s="17"/>
      <c r="E21" s="18"/>
      <c r="F21" s="18"/>
      <c r="G21" s="20"/>
      <c r="I21" s="49"/>
      <c r="J21" s="50"/>
      <c r="K21" s="17"/>
      <c r="L21" s="17"/>
      <c r="M21" s="18"/>
      <c r="N21" s="18"/>
      <c r="O21" s="20"/>
      <c r="P21" s="8">
        <f t="shared" si="1"/>
        <v>0</v>
      </c>
      <c r="Q21" s="25"/>
      <c r="R21" s="26"/>
      <c r="S21" s="22"/>
      <c r="T21" s="22"/>
      <c r="U21" s="5"/>
      <c r="V21" s="36"/>
      <c r="W21" s="27"/>
      <c r="AP21" s="48"/>
      <c r="AU21" s="14"/>
    </row>
    <row r="22">
      <c r="A22" s="49"/>
      <c r="B22" s="44"/>
      <c r="C22" s="17"/>
      <c r="D22" s="17"/>
      <c r="E22" s="18"/>
      <c r="F22" s="18"/>
      <c r="G22" s="20"/>
      <c r="I22" s="49"/>
      <c r="J22" s="50"/>
      <c r="K22" s="17"/>
      <c r="L22" s="17"/>
      <c r="M22" s="18"/>
      <c r="N22" s="18"/>
      <c r="O22" s="20"/>
      <c r="P22" s="8">
        <f t="shared" si="1"/>
        <v>0</v>
      </c>
      <c r="Q22" s="25"/>
      <c r="R22" s="26"/>
      <c r="S22" s="35"/>
      <c r="T22" s="22"/>
      <c r="U22" s="5"/>
      <c r="V22" s="36"/>
      <c r="W22" s="27"/>
      <c r="AP22" s="48"/>
      <c r="AU22" s="14"/>
    </row>
    <row r="23">
      <c r="A23" s="43"/>
      <c r="B23" s="2"/>
      <c r="C23" s="22"/>
      <c r="D23" s="22"/>
      <c r="E23" s="5"/>
      <c r="F23" s="46"/>
      <c r="G23" s="34"/>
      <c r="I23" s="25"/>
      <c r="J23" s="26"/>
      <c r="K23" s="22"/>
      <c r="L23" s="22"/>
      <c r="M23" s="5"/>
      <c r="N23" s="46"/>
      <c r="O23" s="34"/>
      <c r="P23" s="8">
        <f t="shared" si="1"/>
        <v>0</v>
      </c>
      <c r="Q23" s="25"/>
      <c r="R23" s="26"/>
      <c r="S23" s="35"/>
      <c r="T23" s="22"/>
      <c r="U23" s="5"/>
      <c r="V23" s="36"/>
      <c r="W23" s="27"/>
      <c r="AP23" s="48"/>
      <c r="AU23" s="14"/>
    </row>
    <row r="24">
      <c r="A24" s="43"/>
      <c r="B24" s="2"/>
      <c r="C24" s="35"/>
      <c r="D24" s="22"/>
      <c r="E24" s="5"/>
      <c r="F24" s="36"/>
      <c r="G24" s="24"/>
      <c r="I24" s="25"/>
      <c r="J24" s="26"/>
      <c r="K24" s="35"/>
      <c r="L24" s="22"/>
      <c r="M24" s="5"/>
      <c r="N24" s="36"/>
      <c r="O24" s="24"/>
      <c r="P24" s="8">
        <f t="shared" si="1"/>
        <v>0</v>
      </c>
      <c r="Q24" s="25"/>
      <c r="R24" s="26"/>
      <c r="S24" s="35"/>
      <c r="T24" s="22"/>
      <c r="U24" s="5"/>
      <c r="V24" s="5"/>
      <c r="W24" s="27"/>
      <c r="AP24" s="48"/>
      <c r="AU24" s="14"/>
    </row>
    <row r="25">
      <c r="A25" s="43"/>
      <c r="B25" s="2"/>
      <c r="C25" s="22"/>
      <c r="D25" s="22"/>
      <c r="E25" s="5"/>
      <c r="F25" s="36"/>
      <c r="G25" s="24"/>
      <c r="I25" s="25"/>
      <c r="J25" s="26"/>
      <c r="K25" s="35"/>
      <c r="L25" s="22"/>
      <c r="M25" s="5"/>
      <c r="N25" s="36"/>
      <c r="O25" s="24"/>
      <c r="P25" s="8">
        <f t="shared" si="1"/>
        <v>0</v>
      </c>
      <c r="Q25" s="25"/>
      <c r="R25" s="26"/>
      <c r="S25" s="22"/>
      <c r="T25" s="22"/>
      <c r="U25" s="5"/>
      <c r="V25" s="36"/>
      <c r="W25" s="27"/>
      <c r="AP25" s="48"/>
      <c r="AU25" s="14"/>
    </row>
    <row r="26">
      <c r="A26" s="43"/>
      <c r="B26" s="2"/>
      <c r="C26" s="22"/>
      <c r="D26" s="22"/>
      <c r="E26" s="5"/>
      <c r="F26" s="36"/>
      <c r="G26" s="24"/>
      <c r="I26" s="25"/>
      <c r="J26" s="26"/>
      <c r="K26" s="35"/>
      <c r="L26" s="22"/>
      <c r="M26" s="5"/>
      <c r="N26" s="36"/>
      <c r="O26" s="24"/>
      <c r="P26" s="8">
        <f t="shared" si="1"/>
        <v>0</v>
      </c>
      <c r="Q26" s="25"/>
      <c r="R26" s="26"/>
      <c r="S26" s="22"/>
      <c r="T26" s="22"/>
      <c r="U26" s="5"/>
      <c r="V26" s="5"/>
      <c r="W26" s="27"/>
      <c r="AP26" s="48"/>
      <c r="AU26" s="14"/>
    </row>
    <row r="27">
      <c r="A27" s="43"/>
      <c r="B27" s="2"/>
      <c r="C27" s="22"/>
      <c r="D27" s="22"/>
      <c r="E27" s="5"/>
      <c r="F27" s="36"/>
      <c r="G27" s="24"/>
      <c r="I27" s="25"/>
      <c r="J27" s="26"/>
      <c r="K27" s="35"/>
      <c r="L27" s="22"/>
      <c r="M27" s="5"/>
      <c r="N27" s="36"/>
      <c r="O27" s="24"/>
      <c r="P27" s="8">
        <f t="shared" si="1"/>
        <v>0</v>
      </c>
      <c r="Q27" s="25"/>
      <c r="R27" s="26"/>
      <c r="S27" s="22"/>
      <c r="T27" s="22"/>
      <c r="U27" s="5"/>
      <c r="V27" s="36"/>
      <c r="W27" s="27"/>
      <c r="AP27" s="48"/>
      <c r="AU27" s="14"/>
    </row>
    <row r="28">
      <c r="A28" s="25"/>
      <c r="B28" s="2"/>
      <c r="C28" s="22"/>
      <c r="D28" s="22"/>
      <c r="E28" s="5"/>
      <c r="F28" s="36"/>
      <c r="G28" s="24"/>
      <c r="I28" s="25"/>
      <c r="J28" s="26"/>
      <c r="K28" s="22"/>
      <c r="L28" s="22"/>
      <c r="M28" s="5"/>
      <c r="N28" s="36"/>
      <c r="O28" s="24"/>
      <c r="P28" s="8">
        <f t="shared" si="1"/>
        <v>0</v>
      </c>
      <c r="Q28" s="25"/>
      <c r="R28" s="26"/>
      <c r="S28" s="22"/>
      <c r="T28" s="22"/>
      <c r="U28" s="5"/>
      <c r="V28" s="5"/>
      <c r="W28" s="27"/>
      <c r="AP28" s="48"/>
      <c r="AU28" s="14"/>
    </row>
    <row r="29">
      <c r="A29" s="25"/>
      <c r="B29" s="2"/>
      <c r="C29" s="35"/>
      <c r="D29" s="22"/>
      <c r="E29" s="5"/>
      <c r="F29" s="36"/>
      <c r="G29" s="24"/>
      <c r="I29" s="25"/>
      <c r="J29" s="26"/>
      <c r="K29" s="22"/>
      <c r="L29" s="22"/>
      <c r="M29" s="5"/>
      <c r="N29" s="36"/>
      <c r="O29" s="24"/>
      <c r="P29" s="8">
        <f t="shared" si="1"/>
        <v>0</v>
      </c>
      <c r="Q29" s="25"/>
      <c r="R29" s="26"/>
      <c r="S29" s="22"/>
      <c r="T29" s="22"/>
      <c r="U29" s="5"/>
      <c r="V29" s="36"/>
      <c r="W29" s="27"/>
      <c r="AP29" s="48"/>
      <c r="AU29" s="14"/>
    </row>
    <row r="30">
      <c r="A30" s="25"/>
      <c r="B30" s="2"/>
      <c r="C30" s="35"/>
      <c r="D30" s="22"/>
      <c r="E30" s="5"/>
      <c r="F30" s="36"/>
      <c r="G30" s="24"/>
      <c r="I30" s="25"/>
      <c r="J30" s="26"/>
      <c r="K30" s="35"/>
      <c r="L30" s="22"/>
      <c r="M30" s="5"/>
      <c r="N30" s="36"/>
      <c r="O30" s="24"/>
      <c r="P30" s="8">
        <f t="shared" si="1"/>
        <v>0</v>
      </c>
      <c r="Q30" s="25"/>
      <c r="R30" s="26"/>
      <c r="S30" s="22"/>
      <c r="T30" s="22"/>
      <c r="U30" s="5"/>
      <c r="V30" s="5"/>
      <c r="W30" s="27"/>
      <c r="AP30" s="48"/>
      <c r="AU30" s="14"/>
    </row>
    <row r="31">
      <c r="A31" s="25"/>
      <c r="B31" s="2"/>
      <c r="C31" s="35"/>
      <c r="D31" s="22"/>
      <c r="E31" s="5"/>
      <c r="F31" s="36"/>
      <c r="G31" s="24"/>
      <c r="I31" s="25"/>
      <c r="J31" s="26"/>
      <c r="K31" s="35"/>
      <c r="L31" s="22"/>
      <c r="M31" s="5"/>
      <c r="N31" s="36"/>
      <c r="O31" s="24"/>
      <c r="P31" s="8">
        <f t="shared" si="1"/>
        <v>0</v>
      </c>
      <c r="Q31" s="25"/>
      <c r="R31" s="26"/>
      <c r="S31" s="22"/>
      <c r="T31" s="22"/>
      <c r="U31" s="5"/>
      <c r="V31" s="36"/>
      <c r="W31" s="27"/>
      <c r="AP31" s="48"/>
      <c r="AU31" s="14"/>
    </row>
    <row r="32">
      <c r="A32" s="25"/>
      <c r="B32" s="2"/>
      <c r="C32" s="22"/>
      <c r="D32" s="22"/>
      <c r="E32" s="5"/>
      <c r="F32" s="36"/>
      <c r="G32" s="24"/>
      <c r="I32" s="25"/>
      <c r="J32" s="26"/>
      <c r="K32" s="35"/>
      <c r="L32" s="22"/>
      <c r="M32" s="5"/>
      <c r="N32" s="36"/>
      <c r="O32" s="24"/>
      <c r="P32" s="8">
        <f t="shared" si="1"/>
        <v>0</v>
      </c>
      <c r="Q32" s="25"/>
      <c r="R32" s="26"/>
      <c r="S32" s="22"/>
      <c r="T32" s="22"/>
      <c r="U32" s="5"/>
      <c r="V32" s="5"/>
      <c r="W32" s="27"/>
      <c r="AP32" s="48"/>
      <c r="AU32" s="14"/>
    </row>
    <row r="33">
      <c r="A33" s="25"/>
      <c r="B33" s="2"/>
      <c r="C33" s="22"/>
      <c r="D33" s="22"/>
      <c r="E33" s="5"/>
      <c r="F33" s="36"/>
      <c r="G33" s="24"/>
      <c r="I33" s="25"/>
      <c r="J33" s="26"/>
      <c r="K33" s="35"/>
      <c r="L33" s="22"/>
      <c r="M33" s="5"/>
      <c r="N33" s="36"/>
      <c r="O33" s="24"/>
      <c r="P33" s="8">
        <f t="shared" si="1"/>
        <v>0</v>
      </c>
      <c r="Q33" s="25"/>
      <c r="R33" s="26"/>
      <c r="S33" s="35"/>
      <c r="T33" s="22"/>
      <c r="U33" s="5"/>
      <c r="V33" s="36"/>
      <c r="W33" s="27"/>
      <c r="AP33" s="48"/>
      <c r="AU33" s="14"/>
    </row>
    <row r="34">
      <c r="A34" s="25"/>
      <c r="B34" s="2"/>
      <c r="C34" s="35"/>
      <c r="D34" s="22"/>
      <c r="E34" s="5"/>
      <c r="F34" s="36"/>
      <c r="G34" s="24"/>
      <c r="I34" s="25"/>
      <c r="J34" s="26"/>
      <c r="K34" s="35"/>
      <c r="L34" s="22"/>
      <c r="M34" s="5"/>
      <c r="N34" s="36"/>
      <c r="O34" s="24"/>
      <c r="P34" s="8">
        <f t="shared" si="1"/>
        <v>0</v>
      </c>
      <c r="Q34" s="25"/>
      <c r="R34" s="26"/>
      <c r="S34" s="35"/>
      <c r="T34" s="22"/>
      <c r="U34" s="5"/>
      <c r="V34" s="5"/>
      <c r="W34" s="27"/>
      <c r="AP34" s="48"/>
      <c r="AU34" s="14"/>
    </row>
    <row r="35">
      <c r="A35" s="25"/>
      <c r="B35" s="2"/>
      <c r="C35" s="35"/>
      <c r="D35" s="22"/>
      <c r="E35" s="5"/>
      <c r="F35" s="36"/>
      <c r="G35" s="24"/>
      <c r="I35" s="25"/>
      <c r="J35" s="26"/>
      <c r="K35" s="35"/>
      <c r="L35" s="22"/>
      <c r="M35" s="5"/>
      <c r="N35" s="36"/>
      <c r="O35" s="24"/>
      <c r="P35" s="8">
        <f t="shared" si="1"/>
        <v>0</v>
      </c>
      <c r="Q35" s="25"/>
      <c r="R35" s="26"/>
      <c r="S35" s="22"/>
      <c r="T35" s="22"/>
      <c r="U35" s="5"/>
      <c r="V35" s="36"/>
      <c r="W35" s="27"/>
      <c r="AP35" s="48"/>
      <c r="AU35" s="14"/>
    </row>
    <row r="36">
      <c r="A36" s="25"/>
      <c r="B36" s="2"/>
      <c r="C36" s="35"/>
      <c r="D36" s="22"/>
      <c r="E36" s="5"/>
      <c r="F36" s="36"/>
      <c r="G36" s="24"/>
      <c r="I36" s="25"/>
      <c r="J36" s="26"/>
      <c r="K36" s="35"/>
      <c r="L36" s="22"/>
      <c r="M36" s="5"/>
      <c r="N36" s="36"/>
      <c r="O36" s="24"/>
      <c r="P36" s="8">
        <f t="shared" si="1"/>
        <v>0</v>
      </c>
      <c r="Q36" s="25"/>
      <c r="R36" s="26"/>
      <c r="S36" s="22"/>
      <c r="T36" s="22"/>
      <c r="U36" s="5"/>
      <c r="V36" s="36"/>
      <c r="W36" s="27"/>
      <c r="AP36" s="48"/>
      <c r="AU36" s="14"/>
    </row>
    <row r="37">
      <c r="A37" s="25"/>
      <c r="B37" s="2"/>
      <c r="C37" s="35"/>
      <c r="D37" s="22"/>
      <c r="E37" s="5"/>
      <c r="F37" s="36"/>
      <c r="G37" s="24"/>
      <c r="I37" s="25"/>
      <c r="J37" s="26"/>
      <c r="K37" s="35"/>
      <c r="L37" s="22"/>
      <c r="M37" s="5"/>
      <c r="N37" s="36"/>
      <c r="O37" s="24"/>
      <c r="P37" s="8">
        <f t="shared" si="1"/>
        <v>0</v>
      </c>
      <c r="Q37" s="25"/>
      <c r="R37" s="26"/>
      <c r="S37" s="35"/>
      <c r="T37" s="22"/>
      <c r="U37" s="5"/>
      <c r="V37" s="36"/>
      <c r="W37" s="27"/>
      <c r="AP37" s="48"/>
      <c r="AU37" s="14"/>
    </row>
    <row r="38">
      <c r="A38" s="25"/>
      <c r="B38" s="2"/>
      <c r="C38" s="35"/>
      <c r="D38" s="22"/>
      <c r="E38" s="5"/>
      <c r="F38" s="36"/>
      <c r="G38" s="24"/>
      <c r="I38" s="25"/>
      <c r="J38" s="26"/>
      <c r="K38" s="35"/>
      <c r="L38" s="22"/>
      <c r="M38" s="5"/>
      <c r="N38" s="36"/>
      <c r="O38" s="24"/>
      <c r="P38" s="8">
        <f t="shared" si="1"/>
        <v>0</v>
      </c>
      <c r="Q38" s="25"/>
      <c r="R38" s="26"/>
      <c r="S38" s="22"/>
      <c r="T38" s="22"/>
      <c r="U38" s="5"/>
      <c r="V38" s="36"/>
      <c r="W38" s="27"/>
      <c r="AP38" s="48"/>
      <c r="AU38" s="14"/>
    </row>
    <row r="39">
      <c r="A39" s="25"/>
      <c r="B39" s="2"/>
      <c r="C39" s="35"/>
      <c r="D39" s="22"/>
      <c r="E39" s="5"/>
      <c r="F39" s="36"/>
      <c r="G39" s="24"/>
      <c r="J39" s="48"/>
      <c r="O39" s="14"/>
      <c r="P39" s="8">
        <f t="shared" si="1"/>
        <v>0</v>
      </c>
      <c r="Q39" s="25"/>
      <c r="R39" s="26"/>
      <c r="S39" s="22"/>
      <c r="T39" s="22"/>
      <c r="U39" s="5"/>
      <c r="V39" s="36"/>
      <c r="W39" s="27"/>
      <c r="AP39" s="48"/>
      <c r="AU39" s="14"/>
    </row>
    <row r="40">
      <c r="A40" s="25"/>
      <c r="B40" s="2"/>
      <c r="C40" s="35"/>
      <c r="D40" s="22"/>
      <c r="E40" s="5"/>
      <c r="F40" s="36"/>
      <c r="G40" s="24"/>
      <c r="J40" s="48"/>
      <c r="O40" s="14"/>
      <c r="P40" s="8">
        <f t="shared" si="1"/>
        <v>0</v>
      </c>
      <c r="Q40" s="25"/>
      <c r="R40" s="26"/>
      <c r="S40" s="22"/>
      <c r="T40" s="22"/>
      <c r="U40" s="5"/>
      <c r="V40" s="36"/>
      <c r="W40" s="27"/>
      <c r="AP40" s="48"/>
      <c r="AU40" s="14"/>
    </row>
    <row r="41">
      <c r="A41" s="25"/>
      <c r="B41" s="2"/>
      <c r="C41" s="35"/>
      <c r="D41" s="22"/>
      <c r="E41" s="5"/>
      <c r="F41" s="36"/>
      <c r="G41" s="24"/>
      <c r="J41" s="48"/>
      <c r="O41" s="14"/>
      <c r="P41" s="8">
        <f t="shared" si="1"/>
        <v>0</v>
      </c>
      <c r="Q41" s="25"/>
      <c r="R41" s="26"/>
      <c r="S41" s="35"/>
      <c r="T41" s="22"/>
      <c r="U41" s="5"/>
      <c r="V41" s="36"/>
      <c r="W41" s="27"/>
      <c r="AP41" s="48"/>
      <c r="AU41" s="14"/>
    </row>
    <row r="42">
      <c r="B42" s="51"/>
      <c r="G42" s="14"/>
      <c r="J42" s="48"/>
      <c r="O42" s="14"/>
      <c r="P42" s="8">
        <f t="shared" si="1"/>
        <v>0</v>
      </c>
      <c r="Q42" s="25"/>
      <c r="R42" s="26"/>
      <c r="S42" s="22"/>
      <c r="T42" s="22"/>
      <c r="U42" s="5"/>
      <c r="V42" s="36"/>
      <c r="W42" s="27"/>
      <c r="AP42" s="48"/>
      <c r="AU42" s="14"/>
    </row>
    <row r="43">
      <c r="B43" s="51"/>
      <c r="G43" s="14"/>
      <c r="J43" s="48"/>
      <c r="O43" s="14"/>
      <c r="P43" s="8">
        <f t="shared" si="1"/>
        <v>0</v>
      </c>
      <c r="Q43" s="28"/>
      <c r="R43" s="52"/>
      <c r="S43" s="53"/>
      <c r="T43" s="53"/>
      <c r="U43" s="54"/>
      <c r="V43" s="55"/>
      <c r="W43" s="56"/>
      <c r="AP43" s="48"/>
      <c r="AU43" s="14"/>
    </row>
    <row r="44">
      <c r="B44" s="51"/>
      <c r="G44" s="14"/>
      <c r="J44" s="48"/>
      <c r="O44" s="14"/>
      <c r="P44" s="8">
        <f t="shared" si="1"/>
        <v>0</v>
      </c>
      <c r="Q44" s="25"/>
      <c r="R44" s="26"/>
      <c r="S44" s="22"/>
      <c r="T44" s="22"/>
      <c r="U44" s="5"/>
      <c r="V44" s="5"/>
      <c r="W44" s="27"/>
      <c r="AP44" s="48"/>
      <c r="AU44" s="14"/>
    </row>
    <row r="45">
      <c r="B45" s="51"/>
      <c r="G45" s="14"/>
      <c r="J45" s="48"/>
      <c r="O45" s="14"/>
      <c r="P45" s="8">
        <f t="shared" si="1"/>
        <v>0</v>
      </c>
      <c r="AP45" s="48"/>
      <c r="AU45" s="14"/>
    </row>
    <row r="46">
      <c r="B46" s="51"/>
      <c r="G46" s="14"/>
      <c r="J46" s="48"/>
      <c r="O46" s="14"/>
      <c r="P46" s="8">
        <f t="shared" si="1"/>
        <v>0</v>
      </c>
      <c r="AP46" s="48"/>
      <c r="AU46" s="14"/>
    </row>
    <row r="47">
      <c r="B47" s="51"/>
      <c r="G47" s="14"/>
      <c r="J47" s="48"/>
      <c r="O47" s="14"/>
      <c r="P47" s="8">
        <f t="shared" si="1"/>
        <v>0</v>
      </c>
      <c r="AP47" s="48"/>
      <c r="AU47" s="14"/>
    </row>
    <row r="48">
      <c r="B48" s="51"/>
      <c r="G48" s="14"/>
      <c r="J48" s="48"/>
      <c r="O48" s="14"/>
      <c r="P48" s="8">
        <f t="shared" si="1"/>
        <v>0</v>
      </c>
      <c r="AP48" s="48"/>
      <c r="AU48" s="14"/>
    </row>
    <row r="49">
      <c r="B49" s="51"/>
      <c r="G49" s="14"/>
      <c r="J49" s="48"/>
      <c r="O49" s="14"/>
      <c r="P49" s="8">
        <f t="shared" si="1"/>
        <v>0</v>
      </c>
      <c r="AP49" s="48"/>
      <c r="AU49" s="14"/>
    </row>
    <row r="50">
      <c r="B50" s="51"/>
      <c r="G50" s="14"/>
      <c r="J50" s="48"/>
      <c r="O50" s="14"/>
      <c r="P50" s="8">
        <f t="shared" si="1"/>
        <v>0</v>
      </c>
      <c r="AP50" s="48"/>
      <c r="AU50" s="14"/>
    </row>
    <row r="51">
      <c r="B51" s="51"/>
      <c r="G51" s="14"/>
      <c r="J51" s="48"/>
      <c r="O51" s="14"/>
      <c r="P51" s="8">
        <f t="shared" si="1"/>
        <v>0</v>
      </c>
      <c r="AP51" s="48"/>
      <c r="AU51" s="14"/>
    </row>
    <row r="52">
      <c r="B52" s="51"/>
      <c r="G52" s="14"/>
      <c r="J52" s="48"/>
      <c r="O52" s="14"/>
      <c r="P52" s="8">
        <f t="shared" si="1"/>
        <v>0</v>
      </c>
      <c r="AP52" s="48"/>
      <c r="AU52" s="14"/>
    </row>
    <row r="53">
      <c r="B53" s="51"/>
      <c r="G53" s="14"/>
      <c r="J53" s="48"/>
      <c r="O53" s="14"/>
      <c r="P53" s="8">
        <f t="shared" si="1"/>
        <v>0</v>
      </c>
      <c r="AP53" s="48"/>
      <c r="AU53" s="14"/>
    </row>
    <row r="54">
      <c r="B54" s="51"/>
      <c r="G54" s="14"/>
      <c r="J54" s="48"/>
      <c r="O54" s="14"/>
      <c r="P54" s="8">
        <f t="shared" si="1"/>
        <v>0</v>
      </c>
      <c r="AP54" s="48"/>
    </row>
    <row r="55">
      <c r="B55" s="51"/>
      <c r="G55" s="14"/>
      <c r="J55" s="48"/>
      <c r="O55" s="14"/>
      <c r="P55" s="8">
        <f t="shared" si="1"/>
        <v>0</v>
      </c>
      <c r="AP55" s="48"/>
    </row>
    <row r="56">
      <c r="B56" s="51"/>
      <c r="G56" s="14"/>
      <c r="J56" s="48"/>
      <c r="O56" s="14"/>
      <c r="P56" s="8">
        <f t="shared" si="1"/>
        <v>0</v>
      </c>
      <c r="AP56" s="48"/>
    </row>
    <row r="57">
      <c r="B57" s="51"/>
      <c r="G57" s="14"/>
      <c r="J57" s="48"/>
      <c r="O57" s="14"/>
      <c r="P57" s="8">
        <f t="shared" si="1"/>
        <v>0</v>
      </c>
      <c r="AP57" s="48"/>
    </row>
    <row r="58">
      <c r="B58" s="51"/>
      <c r="G58" s="14"/>
      <c r="J58" s="48"/>
      <c r="O58" s="14"/>
      <c r="P58" s="8">
        <f t="shared" si="1"/>
        <v>0</v>
      </c>
      <c r="AP58" s="48"/>
    </row>
    <row r="59">
      <c r="B59" s="51"/>
      <c r="G59" s="14"/>
      <c r="J59" s="48"/>
      <c r="O59" s="14"/>
      <c r="P59" s="8">
        <f t="shared" si="1"/>
        <v>0</v>
      </c>
      <c r="AP59" s="48"/>
    </row>
    <row r="60">
      <c r="B60" s="51"/>
      <c r="G60" s="14"/>
      <c r="J60" s="48"/>
      <c r="O60" s="14"/>
      <c r="P60" s="8">
        <f t="shared" si="1"/>
        <v>0</v>
      </c>
      <c r="AP60" s="48"/>
    </row>
    <row r="61">
      <c r="B61" s="51"/>
      <c r="G61" s="14"/>
      <c r="J61" s="48"/>
      <c r="O61" s="14"/>
      <c r="P61" s="8">
        <f t="shared" si="1"/>
        <v>0</v>
      </c>
      <c r="AP61" s="48"/>
    </row>
    <row r="62">
      <c r="B62" s="51"/>
      <c r="G62" s="14"/>
      <c r="J62" s="48"/>
      <c r="O62" s="14"/>
      <c r="P62" s="8">
        <f t="shared" si="1"/>
        <v>0</v>
      </c>
      <c r="AP62" s="48"/>
    </row>
    <row r="63">
      <c r="B63" s="51"/>
      <c r="G63" s="14"/>
      <c r="J63" s="48"/>
      <c r="O63" s="14"/>
      <c r="P63" s="8">
        <f t="shared" si="1"/>
        <v>0</v>
      </c>
      <c r="AP63" s="48"/>
    </row>
    <row r="64">
      <c r="B64" s="51"/>
      <c r="G64" s="14"/>
      <c r="J64" s="48"/>
      <c r="O64" s="14"/>
      <c r="P64" s="8">
        <f t="shared" si="1"/>
        <v>0</v>
      </c>
      <c r="AP64" s="48"/>
    </row>
    <row r="65">
      <c r="B65" s="51"/>
      <c r="G65" s="14"/>
      <c r="J65" s="48"/>
      <c r="O65" s="14"/>
      <c r="P65" s="8">
        <f t="shared" si="1"/>
        <v>0</v>
      </c>
      <c r="AP65" s="48"/>
    </row>
    <row r="66">
      <c r="B66" s="51"/>
      <c r="G66" s="14"/>
      <c r="J66" s="48"/>
      <c r="O66" s="14"/>
      <c r="P66" s="8">
        <f t="shared" si="1"/>
        <v>0</v>
      </c>
      <c r="AP66" s="48"/>
    </row>
    <row r="67">
      <c r="B67" s="51"/>
      <c r="G67" s="14"/>
      <c r="J67" s="48"/>
      <c r="O67" s="14"/>
      <c r="P67" s="8"/>
      <c r="AP67" s="48"/>
    </row>
    <row r="68">
      <c r="B68" s="51"/>
      <c r="G68" s="14"/>
      <c r="J68" s="48"/>
      <c r="O68" s="14"/>
      <c r="P68" s="8"/>
      <c r="AP68" s="48"/>
    </row>
    <row r="69">
      <c r="B69" s="51"/>
      <c r="G69" s="14"/>
      <c r="J69" s="48"/>
      <c r="O69" s="14"/>
      <c r="P69" s="8"/>
      <c r="AP69" s="48"/>
    </row>
    <row r="70">
      <c r="B70" s="51"/>
      <c r="G70" s="14"/>
      <c r="J70" s="48"/>
      <c r="O70" s="14"/>
      <c r="P70" s="8"/>
      <c r="AP70" s="48"/>
    </row>
    <row r="71">
      <c r="B71" s="51"/>
      <c r="G71" s="14"/>
      <c r="J71" s="48"/>
      <c r="O71" s="14"/>
      <c r="P71" s="8"/>
      <c r="AP71" s="48"/>
    </row>
    <row r="72">
      <c r="B72" s="51"/>
      <c r="G72" s="14"/>
      <c r="J72" s="48"/>
      <c r="O72" s="14"/>
      <c r="P72" s="8"/>
      <c r="AP72" s="48"/>
    </row>
    <row r="73">
      <c r="B73" s="51"/>
      <c r="G73" s="14"/>
      <c r="J73" s="48"/>
      <c r="O73" s="14"/>
      <c r="P73" s="8"/>
      <c r="AP73" s="48"/>
    </row>
    <row r="74">
      <c r="B74" s="51"/>
      <c r="G74" s="14"/>
      <c r="J74" s="48"/>
      <c r="O74" s="14"/>
      <c r="P74" s="8"/>
      <c r="AP74" s="48"/>
    </row>
    <row r="75">
      <c r="B75" s="51"/>
      <c r="G75" s="14"/>
      <c r="J75" s="48"/>
      <c r="O75" s="14"/>
      <c r="P75" s="8"/>
      <c r="AP75" s="48"/>
    </row>
    <row r="76">
      <c r="B76" s="51"/>
      <c r="G76" s="14"/>
      <c r="J76" s="48"/>
      <c r="O76" s="14"/>
      <c r="P76" s="8"/>
      <c r="AP76" s="48"/>
    </row>
    <row r="77">
      <c r="B77" s="51"/>
      <c r="G77" s="14"/>
      <c r="J77" s="48"/>
      <c r="O77" s="14"/>
      <c r="P77" s="8"/>
      <c r="AP77" s="48"/>
    </row>
    <row r="78">
      <c r="B78" s="51"/>
      <c r="G78" s="14"/>
      <c r="J78" s="48"/>
      <c r="O78" s="14"/>
      <c r="P78" s="8"/>
      <c r="AP78" s="48"/>
    </row>
    <row r="79">
      <c r="B79" s="51"/>
      <c r="G79" s="14"/>
      <c r="J79" s="48"/>
      <c r="O79" s="14"/>
      <c r="P79" s="8"/>
      <c r="AP79" s="48"/>
    </row>
    <row r="80">
      <c r="B80" s="51"/>
      <c r="G80" s="14"/>
      <c r="J80" s="48"/>
      <c r="O80" s="14"/>
      <c r="P80" s="8"/>
      <c r="AP80" s="48"/>
    </row>
    <row r="81">
      <c r="B81" s="51"/>
      <c r="G81" s="14"/>
      <c r="J81" s="48"/>
      <c r="O81" s="14"/>
      <c r="P81" s="8"/>
      <c r="AP81" s="48"/>
    </row>
    <row r="82">
      <c r="B82" s="51"/>
      <c r="G82" s="14"/>
      <c r="J82" s="48"/>
      <c r="O82" s="14"/>
      <c r="P82" s="8"/>
      <c r="AP82" s="48"/>
    </row>
    <row r="83">
      <c r="B83" s="51"/>
      <c r="G83" s="14"/>
      <c r="J83" s="48"/>
      <c r="O83" s="14"/>
      <c r="P83" s="8"/>
      <c r="AP83" s="48"/>
    </row>
    <row r="84">
      <c r="B84" s="51"/>
      <c r="G84" s="14"/>
      <c r="J84" s="48"/>
      <c r="O84" s="14"/>
      <c r="P84" s="8"/>
      <c r="AP84" s="48"/>
    </row>
    <row r="85">
      <c r="B85" s="51"/>
      <c r="G85" s="14"/>
      <c r="J85" s="48"/>
      <c r="O85" s="14"/>
      <c r="P85" s="8"/>
      <c r="AP85" s="48"/>
    </row>
    <row r="86">
      <c r="B86" s="51"/>
      <c r="G86" s="14"/>
      <c r="J86" s="48"/>
      <c r="O86" s="14"/>
      <c r="P86" s="8"/>
      <c r="AP86" s="48"/>
    </row>
    <row r="87">
      <c r="B87" s="51"/>
      <c r="G87" s="14"/>
      <c r="J87" s="48"/>
      <c r="O87" s="14"/>
      <c r="P87" s="8"/>
      <c r="AP87" s="48"/>
    </row>
    <row r="88">
      <c r="B88" s="51"/>
      <c r="G88" s="14"/>
      <c r="J88" s="48"/>
      <c r="O88" s="14"/>
      <c r="P88" s="8"/>
      <c r="AP88" s="48"/>
    </row>
    <row r="89">
      <c r="B89" s="51"/>
      <c r="G89" s="14"/>
      <c r="J89" s="48"/>
      <c r="O89" s="14"/>
      <c r="P89" s="8"/>
      <c r="AP89" s="48"/>
    </row>
    <row r="90">
      <c r="B90" s="51"/>
      <c r="G90" s="14"/>
      <c r="J90" s="48"/>
      <c r="O90" s="14"/>
      <c r="P90" s="8"/>
      <c r="AP90" s="48"/>
    </row>
    <row r="91">
      <c r="B91" s="51"/>
      <c r="G91" s="14"/>
      <c r="J91" s="48"/>
      <c r="O91" s="14"/>
      <c r="P91" s="8"/>
      <c r="AP91" s="48"/>
    </row>
    <row r="92">
      <c r="B92" s="51"/>
      <c r="G92" s="14"/>
      <c r="J92" s="48"/>
      <c r="O92" s="14"/>
      <c r="P92" s="8"/>
      <c r="AP92" s="48"/>
    </row>
    <row r="93">
      <c r="B93" s="51"/>
      <c r="G93" s="14"/>
      <c r="J93" s="48"/>
      <c r="O93" s="14"/>
      <c r="P93" s="8"/>
      <c r="AP93" s="48"/>
    </row>
    <row r="94">
      <c r="B94" s="51"/>
      <c r="G94" s="14"/>
      <c r="J94" s="48"/>
      <c r="O94" s="14"/>
      <c r="P94" s="8"/>
      <c r="AP94" s="48"/>
    </row>
    <row r="95">
      <c r="B95" s="51"/>
      <c r="G95" s="14"/>
      <c r="J95" s="48"/>
      <c r="O95" s="14"/>
      <c r="P95" s="8"/>
      <c r="AP95" s="48"/>
    </row>
    <row r="96">
      <c r="B96" s="51"/>
      <c r="G96" s="14"/>
      <c r="J96" s="48"/>
      <c r="O96" s="14"/>
      <c r="P96" s="8"/>
      <c r="AP96" s="48"/>
    </row>
    <row r="97">
      <c r="B97" s="51"/>
      <c r="G97" s="14"/>
      <c r="J97" s="48"/>
      <c r="O97" s="14"/>
      <c r="P97" s="8"/>
      <c r="AP97" s="48"/>
    </row>
    <row r="98">
      <c r="B98" s="51"/>
      <c r="G98" s="14"/>
      <c r="J98" s="48"/>
      <c r="O98" s="14"/>
      <c r="P98" s="8"/>
      <c r="AP98" s="48"/>
    </row>
    <row r="99">
      <c r="B99" s="51"/>
      <c r="G99" s="14"/>
      <c r="J99" s="48"/>
      <c r="O99" s="14"/>
      <c r="P99" s="8"/>
      <c r="AP99" s="48"/>
    </row>
    <row r="100">
      <c r="B100" s="51"/>
      <c r="G100" s="14"/>
      <c r="J100" s="48"/>
      <c r="O100" s="14"/>
      <c r="P100" s="8"/>
      <c r="AP100" s="48"/>
    </row>
    <row r="101">
      <c r="B101" s="51"/>
      <c r="G101" s="14"/>
      <c r="J101" s="48"/>
      <c r="O101" s="14"/>
      <c r="P101" s="8"/>
      <c r="AP101" s="48"/>
    </row>
    <row r="102">
      <c r="B102" s="51"/>
      <c r="G102" s="14"/>
      <c r="J102" s="48"/>
      <c r="O102" s="14"/>
      <c r="P102" s="8"/>
      <c r="AP102" s="48"/>
    </row>
    <row r="103">
      <c r="B103" s="51"/>
      <c r="G103" s="14"/>
      <c r="J103" s="48"/>
      <c r="O103" s="14"/>
      <c r="P103" s="8"/>
      <c r="AP103" s="48"/>
    </row>
    <row r="104">
      <c r="B104" s="51"/>
      <c r="G104" s="14"/>
      <c r="J104" s="48"/>
      <c r="O104" s="14"/>
      <c r="P104" s="8"/>
      <c r="AP104" s="48"/>
    </row>
    <row r="105">
      <c r="B105" s="51"/>
      <c r="G105" s="14"/>
      <c r="J105" s="48"/>
      <c r="O105" s="14"/>
      <c r="P105" s="8"/>
      <c r="AP105" s="48"/>
    </row>
    <row r="106">
      <c r="B106" s="51"/>
      <c r="G106" s="14"/>
      <c r="J106" s="48"/>
      <c r="O106" s="14"/>
      <c r="P106" s="8"/>
      <c r="AP106" s="48"/>
    </row>
    <row r="107">
      <c r="B107" s="51"/>
      <c r="G107" s="14"/>
      <c r="J107" s="48"/>
      <c r="O107" s="14"/>
      <c r="P107" s="8"/>
      <c r="AP107" s="48"/>
    </row>
    <row r="108">
      <c r="B108" s="51"/>
      <c r="G108" s="14"/>
      <c r="J108" s="48"/>
      <c r="O108" s="14"/>
      <c r="P108" s="8"/>
      <c r="AP108" s="48"/>
    </row>
    <row r="109">
      <c r="B109" s="51"/>
      <c r="G109" s="14"/>
      <c r="J109" s="48"/>
      <c r="O109" s="14"/>
      <c r="P109" s="8"/>
      <c r="AP109" s="48"/>
    </row>
    <row r="110">
      <c r="B110" s="51"/>
      <c r="G110" s="14"/>
      <c r="J110" s="48"/>
      <c r="O110" s="14"/>
      <c r="P110" s="8"/>
      <c r="AP110" s="48"/>
    </row>
    <row r="111">
      <c r="B111" s="51"/>
      <c r="G111" s="14"/>
      <c r="J111" s="48"/>
      <c r="O111" s="14"/>
      <c r="P111" s="8"/>
      <c r="AP111" s="48"/>
    </row>
    <row r="112">
      <c r="B112" s="51"/>
      <c r="G112" s="14"/>
      <c r="J112" s="48"/>
      <c r="O112" s="14"/>
      <c r="P112" s="8"/>
      <c r="AP112" s="48"/>
    </row>
    <row r="113">
      <c r="B113" s="51"/>
      <c r="G113" s="14"/>
      <c r="J113" s="48"/>
      <c r="O113" s="14"/>
      <c r="P113" s="8"/>
      <c r="AP113" s="48"/>
    </row>
    <row r="114">
      <c r="B114" s="51"/>
      <c r="G114" s="14"/>
      <c r="J114" s="48"/>
      <c r="O114" s="14"/>
      <c r="P114" s="8"/>
      <c r="AP114" s="48"/>
    </row>
    <row r="115">
      <c r="B115" s="51"/>
      <c r="G115" s="14"/>
      <c r="J115" s="48"/>
      <c r="O115" s="14"/>
      <c r="P115" s="8"/>
      <c r="AP115" s="48"/>
    </row>
    <row r="116">
      <c r="B116" s="51"/>
      <c r="G116" s="14"/>
      <c r="J116" s="48"/>
      <c r="O116" s="14"/>
      <c r="P116" s="8"/>
      <c r="AP116" s="48"/>
    </row>
    <row r="117">
      <c r="B117" s="51"/>
      <c r="G117" s="14"/>
      <c r="J117" s="48"/>
      <c r="O117" s="14"/>
      <c r="P117" s="8"/>
      <c r="AP117" s="48"/>
    </row>
    <row r="118">
      <c r="B118" s="51"/>
      <c r="G118" s="14"/>
      <c r="J118" s="48"/>
      <c r="O118" s="14"/>
      <c r="P118" s="8"/>
      <c r="AP118" s="48"/>
    </row>
    <row r="119">
      <c r="B119" s="51"/>
      <c r="G119" s="14"/>
      <c r="J119" s="48"/>
      <c r="O119" s="14"/>
      <c r="P119" s="8"/>
      <c r="AP119" s="48"/>
    </row>
    <row r="120">
      <c r="B120" s="51"/>
      <c r="G120" s="14"/>
      <c r="J120" s="48"/>
      <c r="O120" s="14"/>
      <c r="P120" s="8"/>
      <c r="AP120" s="48"/>
    </row>
    <row r="121">
      <c r="B121" s="51"/>
      <c r="G121" s="14"/>
      <c r="J121" s="48"/>
      <c r="O121" s="14"/>
      <c r="P121" s="8"/>
      <c r="AP121" s="48"/>
    </row>
    <row r="122">
      <c r="B122" s="51"/>
      <c r="G122" s="14"/>
      <c r="J122" s="48"/>
      <c r="O122" s="14"/>
      <c r="P122" s="8"/>
      <c r="AP122" s="48"/>
    </row>
    <row r="123">
      <c r="B123" s="51"/>
      <c r="G123" s="14"/>
      <c r="J123" s="48"/>
      <c r="O123" s="14"/>
      <c r="P123" s="8"/>
      <c r="AP123" s="48"/>
    </row>
    <row r="124">
      <c r="B124" s="51"/>
      <c r="G124" s="14"/>
      <c r="J124" s="48"/>
      <c r="O124" s="14"/>
      <c r="P124" s="8"/>
      <c r="AP124" s="48"/>
    </row>
    <row r="125">
      <c r="B125" s="51"/>
      <c r="G125" s="14"/>
      <c r="J125" s="48"/>
      <c r="O125" s="14"/>
      <c r="P125" s="8"/>
      <c r="AP125" s="48"/>
    </row>
    <row r="126">
      <c r="B126" s="51"/>
      <c r="G126" s="14"/>
      <c r="J126" s="48"/>
      <c r="O126" s="14"/>
      <c r="P126" s="8"/>
      <c r="AP126" s="48"/>
    </row>
    <row r="127">
      <c r="B127" s="51"/>
      <c r="G127" s="14"/>
      <c r="J127" s="48"/>
      <c r="O127" s="14"/>
      <c r="P127" s="8"/>
      <c r="AP127" s="48"/>
    </row>
    <row r="128">
      <c r="B128" s="51"/>
      <c r="G128" s="14"/>
      <c r="J128" s="48"/>
      <c r="O128" s="14"/>
      <c r="P128" s="8"/>
      <c r="AP128" s="48"/>
    </row>
    <row r="129">
      <c r="B129" s="51"/>
      <c r="G129" s="14"/>
      <c r="J129" s="48"/>
      <c r="O129" s="14"/>
      <c r="P129" s="8"/>
      <c r="AP129" s="48"/>
    </row>
    <row r="130">
      <c r="B130" s="51"/>
      <c r="G130" s="14"/>
      <c r="J130" s="48"/>
      <c r="O130" s="14"/>
      <c r="P130" s="8"/>
      <c r="AP130" s="48"/>
    </row>
    <row r="131">
      <c r="B131" s="51"/>
      <c r="G131" s="14"/>
      <c r="J131" s="48"/>
      <c r="O131" s="14"/>
      <c r="P131" s="8"/>
      <c r="AP131" s="48"/>
    </row>
    <row r="132">
      <c r="B132" s="51"/>
      <c r="G132" s="14"/>
      <c r="J132" s="48"/>
      <c r="O132" s="14"/>
      <c r="P132" s="8"/>
      <c r="AP132" s="48"/>
    </row>
    <row r="133">
      <c r="B133" s="51"/>
      <c r="G133" s="14"/>
      <c r="J133" s="48"/>
      <c r="O133" s="14"/>
      <c r="P133" s="8"/>
      <c r="AP133" s="48"/>
    </row>
    <row r="134">
      <c r="B134" s="51"/>
      <c r="G134" s="14"/>
      <c r="J134" s="48"/>
      <c r="O134" s="14"/>
      <c r="P134" s="8"/>
      <c r="AP134" s="48"/>
    </row>
    <row r="135">
      <c r="B135" s="51"/>
      <c r="G135" s="14"/>
      <c r="J135" s="48"/>
      <c r="O135" s="14"/>
      <c r="P135" s="8"/>
      <c r="AP135" s="48"/>
    </row>
    <row r="136">
      <c r="B136" s="51"/>
      <c r="G136" s="14"/>
      <c r="J136" s="48"/>
      <c r="O136" s="14"/>
      <c r="P136" s="8"/>
      <c r="AP136" s="48"/>
    </row>
    <row r="137">
      <c r="B137" s="51"/>
      <c r="G137" s="14"/>
      <c r="J137" s="48"/>
      <c r="O137" s="14"/>
      <c r="P137" s="8"/>
      <c r="AP137" s="48"/>
    </row>
    <row r="138">
      <c r="B138" s="51"/>
      <c r="G138" s="14"/>
      <c r="J138" s="48"/>
      <c r="O138" s="14"/>
      <c r="P138" s="8"/>
      <c r="AP138" s="48"/>
    </row>
    <row r="139">
      <c r="B139" s="51"/>
      <c r="G139" s="14"/>
      <c r="J139" s="48"/>
      <c r="O139" s="14"/>
      <c r="P139" s="8"/>
      <c r="AP139" s="48"/>
    </row>
    <row r="140">
      <c r="B140" s="51"/>
      <c r="G140" s="14"/>
      <c r="J140" s="48"/>
      <c r="O140" s="14"/>
      <c r="P140" s="8"/>
      <c r="AP140" s="48"/>
    </row>
    <row r="141">
      <c r="B141" s="51"/>
      <c r="G141" s="14"/>
      <c r="J141" s="48"/>
      <c r="O141" s="14"/>
      <c r="P141" s="8"/>
      <c r="AP141" s="48"/>
    </row>
    <row r="142">
      <c r="B142" s="51"/>
      <c r="G142" s="14"/>
      <c r="J142" s="48"/>
      <c r="O142" s="14"/>
      <c r="P142" s="8"/>
      <c r="AP142" s="48"/>
    </row>
    <row r="143">
      <c r="B143" s="51"/>
      <c r="G143" s="14"/>
      <c r="J143" s="48"/>
      <c r="O143" s="14"/>
      <c r="P143" s="8"/>
      <c r="AP143" s="48"/>
    </row>
    <row r="144">
      <c r="B144" s="51"/>
      <c r="G144" s="14"/>
      <c r="J144" s="48"/>
      <c r="O144" s="14"/>
      <c r="P144" s="8"/>
      <c r="AP144" s="48"/>
    </row>
    <row r="145">
      <c r="B145" s="51"/>
      <c r="G145" s="14"/>
      <c r="J145" s="48"/>
      <c r="O145" s="14"/>
      <c r="P145" s="8"/>
      <c r="AP145" s="48"/>
    </row>
    <row r="146">
      <c r="B146" s="51"/>
      <c r="G146" s="14"/>
      <c r="J146" s="48"/>
      <c r="O146" s="14"/>
      <c r="P146" s="8"/>
      <c r="AP146" s="48"/>
    </row>
    <row r="147">
      <c r="B147" s="51"/>
      <c r="G147" s="14"/>
      <c r="J147" s="48"/>
      <c r="O147" s="14"/>
      <c r="P147" s="8"/>
      <c r="AP147" s="48"/>
    </row>
    <row r="148">
      <c r="B148" s="51"/>
      <c r="G148" s="14"/>
      <c r="J148" s="48"/>
      <c r="O148" s="14"/>
      <c r="P148" s="8"/>
      <c r="AP148" s="48"/>
    </row>
    <row r="149">
      <c r="B149" s="51"/>
      <c r="G149" s="14"/>
      <c r="J149" s="48"/>
      <c r="O149" s="14"/>
      <c r="P149" s="8"/>
      <c r="AP149" s="48"/>
    </row>
    <row r="150">
      <c r="B150" s="51"/>
      <c r="G150" s="14"/>
      <c r="J150" s="48"/>
      <c r="O150" s="14"/>
      <c r="P150" s="8"/>
      <c r="AP150" s="48"/>
    </row>
    <row r="151">
      <c r="B151" s="51"/>
      <c r="G151" s="14"/>
      <c r="J151" s="48"/>
      <c r="O151" s="14"/>
      <c r="P151" s="8"/>
      <c r="AP151" s="48"/>
    </row>
    <row r="152">
      <c r="B152" s="51"/>
      <c r="G152" s="14"/>
      <c r="J152" s="48"/>
      <c r="O152" s="14"/>
      <c r="P152" s="8"/>
      <c r="AP152" s="48"/>
    </row>
    <row r="153">
      <c r="B153" s="51"/>
      <c r="G153" s="14"/>
      <c r="J153" s="48"/>
      <c r="O153" s="14"/>
      <c r="P153" s="8"/>
      <c r="AP153" s="48"/>
    </row>
    <row r="154">
      <c r="B154" s="51"/>
      <c r="G154" s="14"/>
      <c r="J154" s="48"/>
      <c r="O154" s="14"/>
      <c r="P154" s="8"/>
      <c r="AP154" s="48"/>
    </row>
    <row r="155">
      <c r="B155" s="51"/>
      <c r="G155" s="14"/>
      <c r="J155" s="48"/>
      <c r="O155" s="14"/>
      <c r="P155" s="8"/>
      <c r="AP155" s="48"/>
    </row>
    <row r="156">
      <c r="B156" s="51"/>
      <c r="G156" s="14"/>
      <c r="J156" s="48"/>
      <c r="O156" s="14"/>
      <c r="P156" s="8"/>
      <c r="AP156" s="48"/>
    </row>
    <row r="157">
      <c r="B157" s="51"/>
      <c r="G157" s="14"/>
      <c r="J157" s="48"/>
      <c r="O157" s="14"/>
      <c r="P157" s="8"/>
      <c r="AP157" s="48"/>
    </row>
    <row r="158">
      <c r="B158" s="51"/>
      <c r="G158" s="14"/>
      <c r="J158" s="48"/>
      <c r="O158" s="14"/>
      <c r="P158" s="8"/>
      <c r="AP158" s="48"/>
    </row>
    <row r="159">
      <c r="B159" s="51"/>
      <c r="G159" s="14"/>
      <c r="J159" s="48"/>
      <c r="O159" s="14"/>
      <c r="P159" s="8"/>
      <c r="AP159" s="48"/>
    </row>
    <row r="160">
      <c r="B160" s="51"/>
      <c r="G160" s="14"/>
      <c r="J160" s="48"/>
      <c r="O160" s="14"/>
      <c r="P160" s="8"/>
      <c r="AP160" s="48"/>
    </row>
    <row r="161">
      <c r="B161" s="51"/>
      <c r="G161" s="14"/>
      <c r="J161" s="48"/>
      <c r="O161" s="14"/>
      <c r="P161" s="8"/>
      <c r="AP161" s="48"/>
    </row>
    <row r="162">
      <c r="B162" s="51"/>
      <c r="G162" s="14"/>
      <c r="J162" s="48"/>
      <c r="O162" s="14"/>
      <c r="P162" s="8"/>
      <c r="AP162" s="48"/>
    </row>
    <row r="163">
      <c r="B163" s="51"/>
      <c r="G163" s="14"/>
      <c r="J163" s="48"/>
      <c r="O163" s="14"/>
      <c r="P163" s="8"/>
      <c r="AP163" s="48"/>
    </row>
    <row r="164">
      <c r="B164" s="51"/>
      <c r="G164" s="14"/>
      <c r="J164" s="48"/>
      <c r="O164" s="14"/>
      <c r="P164" s="8"/>
      <c r="AP164" s="48"/>
    </row>
    <row r="165">
      <c r="B165" s="51"/>
      <c r="G165" s="14"/>
      <c r="J165" s="48"/>
      <c r="O165" s="14"/>
      <c r="P165" s="8"/>
      <c r="AP165" s="48"/>
    </row>
    <row r="166">
      <c r="B166" s="51"/>
      <c r="G166" s="14"/>
      <c r="J166" s="48"/>
      <c r="O166" s="14"/>
      <c r="P166" s="8"/>
      <c r="AP166" s="48"/>
    </row>
    <row r="167">
      <c r="B167" s="51"/>
      <c r="G167" s="14"/>
      <c r="J167" s="48"/>
      <c r="O167" s="14"/>
      <c r="P167" s="8"/>
      <c r="AP167" s="48"/>
    </row>
    <row r="168">
      <c r="B168" s="51"/>
      <c r="G168" s="14"/>
      <c r="J168" s="48"/>
      <c r="O168" s="14"/>
      <c r="P168" s="8"/>
      <c r="AP168" s="48"/>
    </row>
    <row r="169">
      <c r="B169" s="51"/>
      <c r="G169" s="14"/>
      <c r="J169" s="48"/>
      <c r="O169" s="14"/>
      <c r="P169" s="8"/>
      <c r="AP169" s="48"/>
    </row>
    <row r="170">
      <c r="B170" s="51"/>
      <c r="G170" s="14"/>
      <c r="J170" s="48"/>
      <c r="O170" s="14"/>
      <c r="P170" s="8"/>
      <c r="AP170" s="48"/>
    </row>
    <row r="171">
      <c r="B171" s="51"/>
      <c r="G171" s="14"/>
      <c r="J171" s="48"/>
      <c r="O171" s="14"/>
      <c r="P171" s="8"/>
      <c r="AP171" s="48"/>
    </row>
    <row r="172">
      <c r="B172" s="51"/>
      <c r="G172" s="14"/>
      <c r="J172" s="48"/>
      <c r="O172" s="14"/>
      <c r="P172" s="8"/>
      <c r="AP172" s="48"/>
    </row>
    <row r="173">
      <c r="B173" s="51"/>
      <c r="G173" s="14"/>
      <c r="J173" s="48"/>
      <c r="O173" s="14"/>
      <c r="P173" s="8"/>
      <c r="AP173" s="48"/>
    </row>
    <row r="174">
      <c r="B174" s="51"/>
      <c r="G174" s="14"/>
      <c r="J174" s="48"/>
      <c r="O174" s="14"/>
      <c r="P174" s="8"/>
      <c r="AP174" s="48"/>
    </row>
    <row r="175">
      <c r="B175" s="51"/>
      <c r="G175" s="14"/>
      <c r="J175" s="48"/>
      <c r="O175" s="14"/>
      <c r="P175" s="8"/>
      <c r="AP175" s="48"/>
    </row>
    <row r="176">
      <c r="B176" s="51"/>
      <c r="G176" s="14"/>
      <c r="J176" s="48"/>
      <c r="O176" s="14"/>
      <c r="P176" s="8"/>
      <c r="AP176" s="48"/>
    </row>
    <row r="177">
      <c r="B177" s="51"/>
      <c r="G177" s="14"/>
      <c r="J177" s="48"/>
      <c r="O177" s="14"/>
      <c r="P177" s="8"/>
      <c r="AP177" s="48"/>
    </row>
    <row r="178">
      <c r="B178" s="51"/>
      <c r="G178" s="14"/>
      <c r="J178" s="48"/>
      <c r="O178" s="14"/>
      <c r="P178" s="8"/>
      <c r="AP178" s="48"/>
    </row>
    <row r="179">
      <c r="B179" s="51"/>
      <c r="G179" s="14"/>
      <c r="J179" s="48"/>
      <c r="O179" s="14"/>
      <c r="P179" s="8"/>
      <c r="AP179" s="48"/>
    </row>
    <row r="180">
      <c r="B180" s="51"/>
      <c r="G180" s="14"/>
      <c r="J180" s="48"/>
      <c r="O180" s="14"/>
      <c r="P180" s="8"/>
      <c r="AP180" s="48"/>
    </row>
    <row r="181">
      <c r="B181" s="51"/>
      <c r="G181" s="14"/>
      <c r="J181" s="48"/>
      <c r="O181" s="14"/>
      <c r="P181" s="8"/>
      <c r="AP181" s="48"/>
    </row>
    <row r="182">
      <c r="B182" s="51"/>
      <c r="G182" s="14"/>
      <c r="J182" s="48"/>
      <c r="O182" s="14"/>
      <c r="P182" s="8"/>
      <c r="AP182" s="48"/>
    </row>
    <row r="183">
      <c r="B183" s="51"/>
      <c r="G183" s="14"/>
      <c r="J183" s="48"/>
      <c r="O183" s="14"/>
      <c r="P183" s="8"/>
      <c r="AP183" s="48"/>
    </row>
    <row r="184">
      <c r="B184" s="51"/>
      <c r="G184" s="14"/>
      <c r="J184" s="48"/>
      <c r="O184" s="14"/>
      <c r="P184" s="8"/>
      <c r="AP184" s="48"/>
    </row>
    <row r="185">
      <c r="B185" s="51"/>
      <c r="G185" s="14"/>
      <c r="J185" s="48"/>
      <c r="O185" s="14"/>
      <c r="P185" s="8"/>
      <c r="AP185" s="48"/>
    </row>
    <row r="186">
      <c r="B186" s="51"/>
      <c r="G186" s="14"/>
      <c r="J186" s="48"/>
      <c r="O186" s="14"/>
      <c r="P186" s="8"/>
      <c r="AP186" s="48"/>
    </row>
    <row r="187">
      <c r="B187" s="51"/>
      <c r="G187" s="14"/>
      <c r="J187" s="48"/>
      <c r="O187" s="14"/>
      <c r="P187" s="8"/>
      <c r="AP187" s="48"/>
    </row>
    <row r="188">
      <c r="B188" s="51"/>
      <c r="G188" s="14"/>
      <c r="J188" s="48"/>
      <c r="O188" s="14"/>
      <c r="P188" s="8"/>
      <c r="AP188" s="48"/>
    </row>
    <row r="189">
      <c r="B189" s="51"/>
      <c r="G189" s="14"/>
      <c r="J189" s="48"/>
      <c r="O189" s="14"/>
      <c r="P189" s="8"/>
      <c r="AP189" s="48"/>
    </row>
    <row r="190">
      <c r="B190" s="51"/>
      <c r="G190" s="14"/>
      <c r="J190" s="48"/>
      <c r="O190" s="14"/>
      <c r="P190" s="8"/>
      <c r="AP190" s="48"/>
    </row>
    <row r="191">
      <c r="B191" s="51"/>
      <c r="G191" s="14"/>
      <c r="J191" s="48"/>
      <c r="O191" s="14"/>
      <c r="P191" s="8"/>
      <c r="AP191" s="48"/>
    </row>
    <row r="192">
      <c r="B192" s="51"/>
      <c r="G192" s="14"/>
      <c r="J192" s="48"/>
      <c r="O192" s="14"/>
      <c r="P192" s="8"/>
      <c r="AP192" s="48"/>
    </row>
    <row r="193">
      <c r="B193" s="51"/>
      <c r="G193" s="14"/>
      <c r="J193" s="48"/>
      <c r="O193" s="14"/>
      <c r="P193" s="8"/>
      <c r="AP193" s="48"/>
    </row>
    <row r="194">
      <c r="B194" s="51"/>
      <c r="G194" s="14"/>
      <c r="J194" s="48"/>
      <c r="O194" s="14"/>
      <c r="P194" s="8"/>
      <c r="AP194" s="48"/>
    </row>
    <row r="195">
      <c r="B195" s="51"/>
      <c r="G195" s="14"/>
      <c r="J195" s="48"/>
      <c r="O195" s="14"/>
      <c r="P195" s="8"/>
      <c r="AP195" s="48"/>
    </row>
    <row r="196">
      <c r="B196" s="51"/>
      <c r="G196" s="14"/>
      <c r="J196" s="48"/>
      <c r="O196" s="14"/>
      <c r="P196" s="8"/>
      <c r="AP196" s="48"/>
    </row>
    <row r="197">
      <c r="B197" s="51"/>
      <c r="G197" s="14"/>
      <c r="J197" s="48"/>
      <c r="O197" s="14"/>
      <c r="P197" s="8"/>
      <c r="AP197" s="48"/>
    </row>
    <row r="198">
      <c r="B198" s="51"/>
      <c r="G198" s="14"/>
      <c r="J198" s="48"/>
      <c r="O198" s="14"/>
      <c r="P198" s="8"/>
      <c r="AP198" s="48"/>
    </row>
    <row r="199">
      <c r="B199" s="51"/>
      <c r="G199" s="14"/>
      <c r="J199" s="48"/>
      <c r="O199" s="14"/>
      <c r="P199" s="8"/>
      <c r="AP199" s="48"/>
    </row>
    <row r="200">
      <c r="B200" s="51"/>
      <c r="G200" s="14"/>
      <c r="J200" s="48"/>
      <c r="O200" s="14"/>
      <c r="P200" s="8"/>
      <c r="AP200" s="48"/>
    </row>
    <row r="201">
      <c r="B201" s="51"/>
      <c r="G201" s="14"/>
      <c r="J201" s="48"/>
      <c r="O201" s="14"/>
      <c r="P201" s="8"/>
      <c r="AP201" s="48"/>
    </row>
    <row r="202">
      <c r="B202" s="51"/>
      <c r="G202" s="14"/>
      <c r="J202" s="48"/>
      <c r="O202" s="14"/>
      <c r="P202" s="8"/>
      <c r="AP202" s="48"/>
    </row>
    <row r="203">
      <c r="B203" s="51"/>
      <c r="G203" s="14"/>
      <c r="J203" s="48"/>
      <c r="O203" s="14"/>
      <c r="P203" s="8"/>
      <c r="AP203" s="48"/>
    </row>
    <row r="204">
      <c r="B204" s="51"/>
      <c r="G204" s="14"/>
      <c r="J204" s="48"/>
      <c r="O204" s="14"/>
      <c r="P204" s="8"/>
      <c r="AP204" s="48"/>
    </row>
    <row r="205">
      <c r="B205" s="51"/>
      <c r="G205" s="14"/>
      <c r="J205" s="48"/>
      <c r="O205" s="14"/>
      <c r="P205" s="8"/>
      <c r="AP205" s="48"/>
    </row>
    <row r="206">
      <c r="B206" s="51"/>
      <c r="G206" s="14"/>
      <c r="J206" s="48"/>
      <c r="O206" s="14"/>
      <c r="P206" s="8"/>
      <c r="AP206" s="48"/>
    </row>
    <row r="207">
      <c r="B207" s="51"/>
      <c r="G207" s="14"/>
      <c r="J207" s="48"/>
      <c r="O207" s="14"/>
      <c r="P207" s="8"/>
      <c r="AP207" s="48"/>
    </row>
    <row r="208">
      <c r="B208" s="51"/>
      <c r="G208" s="14"/>
      <c r="J208" s="48"/>
      <c r="O208" s="14"/>
      <c r="P208" s="8"/>
      <c r="AP208" s="48"/>
    </row>
    <row r="209">
      <c r="B209" s="51"/>
      <c r="G209" s="14"/>
      <c r="J209" s="48"/>
      <c r="O209" s="14"/>
      <c r="P209" s="8"/>
      <c r="AP209" s="48"/>
    </row>
    <row r="210">
      <c r="B210" s="51"/>
      <c r="G210" s="14"/>
      <c r="J210" s="48"/>
      <c r="O210" s="14"/>
      <c r="P210" s="8"/>
      <c r="AP210" s="48"/>
    </row>
    <row r="211">
      <c r="B211" s="51"/>
      <c r="G211" s="14"/>
      <c r="J211" s="48"/>
      <c r="O211" s="14"/>
      <c r="P211" s="8"/>
      <c r="AP211" s="48"/>
    </row>
    <row r="212">
      <c r="B212" s="51"/>
      <c r="G212" s="14"/>
      <c r="J212" s="48"/>
      <c r="O212" s="14"/>
      <c r="P212" s="8"/>
      <c r="AP212" s="48"/>
    </row>
    <row r="213">
      <c r="B213" s="51"/>
      <c r="G213" s="14"/>
      <c r="J213" s="48"/>
      <c r="O213" s="14"/>
      <c r="P213" s="8"/>
      <c r="AP213" s="48"/>
    </row>
    <row r="214">
      <c r="B214" s="51"/>
      <c r="G214" s="14"/>
      <c r="J214" s="48"/>
      <c r="O214" s="14"/>
      <c r="P214" s="8"/>
      <c r="AP214" s="48"/>
    </row>
    <row r="215">
      <c r="B215" s="51"/>
      <c r="G215" s="14"/>
      <c r="J215" s="48"/>
      <c r="O215" s="14"/>
      <c r="P215" s="8"/>
      <c r="AP215" s="48"/>
    </row>
    <row r="216">
      <c r="B216" s="51"/>
      <c r="G216" s="14"/>
      <c r="J216" s="48"/>
      <c r="O216" s="14"/>
      <c r="P216" s="8"/>
      <c r="AP216" s="48"/>
    </row>
    <row r="217">
      <c r="B217" s="51"/>
      <c r="G217" s="14"/>
      <c r="J217" s="48"/>
      <c r="O217" s="14"/>
      <c r="P217" s="8"/>
      <c r="AP217" s="48"/>
    </row>
    <row r="218">
      <c r="B218" s="51"/>
      <c r="G218" s="14"/>
      <c r="J218" s="48"/>
      <c r="O218" s="14"/>
      <c r="P218" s="8"/>
      <c r="AP218" s="48"/>
    </row>
    <row r="219">
      <c r="B219" s="51"/>
      <c r="G219" s="14"/>
      <c r="J219" s="48"/>
      <c r="O219" s="14"/>
      <c r="P219" s="8"/>
      <c r="AP219" s="48"/>
    </row>
    <row r="220">
      <c r="B220" s="51"/>
      <c r="G220" s="14"/>
      <c r="J220" s="48"/>
      <c r="O220" s="14"/>
      <c r="P220" s="8"/>
      <c r="AP220" s="48"/>
    </row>
    <row r="221">
      <c r="B221" s="51"/>
      <c r="G221" s="14"/>
      <c r="J221" s="48"/>
      <c r="O221" s="14"/>
      <c r="P221" s="8"/>
      <c r="AP221" s="48"/>
    </row>
    <row r="222">
      <c r="B222" s="51"/>
      <c r="G222" s="14"/>
      <c r="J222" s="48"/>
      <c r="O222" s="14"/>
      <c r="P222" s="8"/>
      <c r="AP222" s="48"/>
    </row>
    <row r="223">
      <c r="B223" s="51"/>
      <c r="G223" s="14"/>
      <c r="J223" s="48"/>
      <c r="O223" s="14"/>
      <c r="P223" s="8"/>
      <c r="AP223" s="48"/>
    </row>
    <row r="224">
      <c r="B224" s="51"/>
      <c r="G224" s="14"/>
      <c r="J224" s="48"/>
      <c r="O224" s="14"/>
      <c r="P224" s="8"/>
      <c r="AP224" s="48"/>
    </row>
    <row r="225">
      <c r="B225" s="51"/>
      <c r="G225" s="14"/>
      <c r="J225" s="48"/>
      <c r="O225" s="14"/>
      <c r="P225" s="8"/>
      <c r="AP225" s="48"/>
    </row>
    <row r="226">
      <c r="B226" s="51"/>
      <c r="G226" s="14"/>
      <c r="J226" s="48"/>
      <c r="O226" s="14"/>
      <c r="P226" s="8"/>
      <c r="AP226" s="48"/>
    </row>
    <row r="227">
      <c r="B227" s="51"/>
      <c r="G227" s="14"/>
      <c r="J227" s="48"/>
      <c r="O227" s="14"/>
      <c r="P227" s="8"/>
      <c r="AP227" s="48"/>
    </row>
    <row r="228">
      <c r="B228" s="51"/>
      <c r="G228" s="14"/>
      <c r="J228" s="48"/>
      <c r="O228" s="14"/>
      <c r="P228" s="8"/>
      <c r="AP228" s="48"/>
    </row>
    <row r="229">
      <c r="B229" s="51"/>
      <c r="G229" s="14"/>
      <c r="J229" s="48"/>
      <c r="O229" s="14"/>
      <c r="P229" s="8"/>
      <c r="AP229" s="48"/>
    </row>
    <row r="230">
      <c r="B230" s="51"/>
      <c r="G230" s="14"/>
      <c r="J230" s="48"/>
      <c r="O230" s="14"/>
      <c r="P230" s="8"/>
      <c r="AP230" s="48"/>
    </row>
    <row r="231">
      <c r="B231" s="51"/>
      <c r="G231" s="14"/>
      <c r="J231" s="48"/>
      <c r="O231" s="14"/>
      <c r="P231" s="8"/>
      <c r="AP231" s="48"/>
    </row>
    <row r="232">
      <c r="B232" s="51"/>
      <c r="G232" s="14"/>
      <c r="J232" s="48"/>
      <c r="O232" s="14"/>
      <c r="P232" s="8"/>
      <c r="AP232" s="48"/>
    </row>
    <row r="233">
      <c r="B233" s="51"/>
      <c r="G233" s="14"/>
      <c r="J233" s="48"/>
      <c r="O233" s="14"/>
      <c r="P233" s="8"/>
      <c r="AP233" s="48"/>
    </row>
    <row r="234">
      <c r="B234" s="51"/>
      <c r="G234" s="14"/>
      <c r="J234" s="48"/>
      <c r="O234" s="14"/>
      <c r="P234" s="8"/>
      <c r="AP234" s="48"/>
    </row>
    <row r="235">
      <c r="B235" s="51"/>
      <c r="G235" s="14"/>
      <c r="J235" s="48"/>
      <c r="O235" s="14"/>
      <c r="P235" s="8"/>
      <c r="AP235" s="48"/>
    </row>
    <row r="236">
      <c r="B236" s="51"/>
      <c r="G236" s="14"/>
      <c r="J236" s="48"/>
      <c r="O236" s="14"/>
      <c r="P236" s="8"/>
      <c r="AP236" s="48"/>
    </row>
    <row r="237">
      <c r="B237" s="51"/>
      <c r="G237" s="14"/>
      <c r="J237" s="48"/>
      <c r="O237" s="14"/>
      <c r="P237" s="8"/>
      <c r="AP237" s="48"/>
    </row>
    <row r="238">
      <c r="B238" s="51"/>
      <c r="G238" s="14"/>
      <c r="J238" s="48"/>
      <c r="O238" s="14"/>
      <c r="P238" s="8"/>
      <c r="AP238" s="48"/>
    </row>
    <row r="239">
      <c r="B239" s="51"/>
      <c r="G239" s="14"/>
      <c r="J239" s="48"/>
      <c r="O239" s="14"/>
      <c r="P239" s="8"/>
      <c r="AP239" s="48"/>
    </row>
    <row r="240">
      <c r="B240" s="51"/>
      <c r="G240" s="14"/>
      <c r="J240" s="48"/>
      <c r="O240" s="14"/>
      <c r="P240" s="8"/>
      <c r="AP240" s="48"/>
    </row>
    <row r="241">
      <c r="B241" s="51"/>
      <c r="G241" s="14"/>
      <c r="J241" s="48"/>
      <c r="O241" s="14"/>
      <c r="P241" s="8"/>
      <c r="AP241" s="48"/>
    </row>
    <row r="242">
      <c r="B242" s="51"/>
      <c r="G242" s="14"/>
      <c r="J242" s="48"/>
      <c r="O242" s="14"/>
      <c r="P242" s="8"/>
      <c r="AP242" s="48"/>
    </row>
    <row r="243">
      <c r="B243" s="51"/>
      <c r="G243" s="14"/>
      <c r="J243" s="48"/>
      <c r="O243" s="14"/>
      <c r="P243" s="8"/>
      <c r="AP243" s="48"/>
    </row>
    <row r="244">
      <c r="B244" s="51"/>
      <c r="G244" s="14"/>
      <c r="J244" s="48"/>
      <c r="O244" s="14"/>
      <c r="P244" s="8"/>
      <c r="AP244" s="48"/>
    </row>
    <row r="245">
      <c r="B245" s="51"/>
      <c r="G245" s="14"/>
      <c r="J245" s="48"/>
      <c r="O245" s="14"/>
      <c r="P245" s="8"/>
      <c r="AP245" s="48"/>
    </row>
    <row r="246">
      <c r="B246" s="51"/>
      <c r="G246" s="14"/>
      <c r="J246" s="48"/>
      <c r="O246" s="14"/>
      <c r="P246" s="8"/>
      <c r="AP246" s="48"/>
    </row>
    <row r="247">
      <c r="B247" s="51"/>
      <c r="G247" s="14"/>
      <c r="J247" s="48"/>
      <c r="O247" s="14"/>
      <c r="P247" s="8"/>
      <c r="AP247" s="48"/>
    </row>
    <row r="248">
      <c r="B248" s="51"/>
      <c r="G248" s="14"/>
      <c r="J248" s="48"/>
      <c r="O248" s="14"/>
      <c r="P248" s="8"/>
      <c r="AP248" s="48"/>
    </row>
    <row r="249">
      <c r="B249" s="51"/>
      <c r="G249" s="14"/>
      <c r="J249" s="48"/>
      <c r="O249" s="14"/>
      <c r="P249" s="8"/>
      <c r="AP249" s="48"/>
    </row>
    <row r="250">
      <c r="B250" s="51"/>
      <c r="G250" s="14"/>
      <c r="J250" s="48"/>
      <c r="O250" s="14"/>
      <c r="P250" s="8"/>
      <c r="AP250" s="48"/>
    </row>
    <row r="251">
      <c r="B251" s="51"/>
      <c r="G251" s="14"/>
      <c r="J251" s="48"/>
      <c r="O251" s="14"/>
      <c r="P251" s="8"/>
      <c r="AP251" s="48"/>
    </row>
    <row r="252">
      <c r="B252" s="51"/>
      <c r="G252" s="14"/>
      <c r="J252" s="48"/>
      <c r="O252" s="14"/>
      <c r="P252" s="8"/>
      <c r="AP252" s="48"/>
    </row>
    <row r="253">
      <c r="B253" s="51"/>
      <c r="G253" s="14"/>
      <c r="J253" s="48"/>
      <c r="O253" s="14"/>
      <c r="P253" s="8"/>
      <c r="AP253" s="48"/>
    </row>
    <row r="254">
      <c r="B254" s="51"/>
      <c r="G254" s="14"/>
      <c r="J254" s="48"/>
      <c r="O254" s="14"/>
      <c r="P254" s="8"/>
      <c r="AP254" s="48"/>
    </row>
    <row r="255">
      <c r="B255" s="51"/>
      <c r="G255" s="14"/>
      <c r="J255" s="48"/>
      <c r="O255" s="14"/>
      <c r="P255" s="8"/>
      <c r="AP255" s="48"/>
    </row>
    <row r="256">
      <c r="B256" s="51"/>
      <c r="G256" s="14"/>
      <c r="J256" s="48"/>
      <c r="O256" s="14"/>
      <c r="P256" s="8"/>
      <c r="AP256" s="48"/>
    </row>
    <row r="257">
      <c r="B257" s="51"/>
      <c r="G257" s="14"/>
      <c r="J257" s="48"/>
      <c r="O257" s="14"/>
      <c r="P257" s="8"/>
      <c r="AP257" s="48"/>
    </row>
    <row r="258">
      <c r="B258" s="51"/>
      <c r="G258" s="14"/>
      <c r="J258" s="48"/>
      <c r="O258" s="14"/>
      <c r="P258" s="8"/>
      <c r="AP258" s="48"/>
    </row>
    <row r="259">
      <c r="B259" s="51"/>
      <c r="G259" s="14"/>
      <c r="J259" s="48"/>
      <c r="O259" s="14"/>
      <c r="P259" s="8"/>
      <c r="AP259" s="48"/>
    </row>
    <row r="260">
      <c r="B260" s="51"/>
      <c r="G260" s="14"/>
      <c r="J260" s="48"/>
      <c r="O260" s="14"/>
      <c r="P260" s="8"/>
      <c r="AP260" s="48"/>
    </row>
    <row r="261">
      <c r="B261" s="51"/>
      <c r="G261" s="14"/>
      <c r="J261" s="48"/>
      <c r="O261" s="14"/>
      <c r="P261" s="8"/>
      <c r="AP261" s="48"/>
    </row>
    <row r="262">
      <c r="B262" s="51"/>
      <c r="G262" s="14"/>
      <c r="J262" s="48"/>
      <c r="O262" s="14"/>
      <c r="P262" s="8"/>
      <c r="AP262" s="48"/>
    </row>
    <row r="263">
      <c r="B263" s="51"/>
      <c r="G263" s="14"/>
      <c r="J263" s="48"/>
      <c r="O263" s="14"/>
      <c r="P263" s="8"/>
      <c r="AP263" s="48"/>
    </row>
    <row r="264">
      <c r="B264" s="51"/>
      <c r="G264" s="14"/>
      <c r="J264" s="48"/>
      <c r="O264" s="14"/>
      <c r="P264" s="8"/>
      <c r="AP264" s="48"/>
    </row>
    <row r="265">
      <c r="B265" s="51"/>
      <c r="G265" s="14"/>
      <c r="J265" s="48"/>
      <c r="O265" s="14"/>
      <c r="P265" s="8"/>
      <c r="AP265" s="48"/>
    </row>
    <row r="266">
      <c r="B266" s="51"/>
      <c r="G266" s="14"/>
      <c r="J266" s="48"/>
      <c r="O266" s="14"/>
      <c r="P266" s="8"/>
      <c r="AP266" s="48"/>
    </row>
    <row r="267">
      <c r="B267" s="51"/>
      <c r="G267" s="14"/>
      <c r="J267" s="48"/>
      <c r="O267" s="14"/>
      <c r="P267" s="8"/>
      <c r="AP267" s="48"/>
    </row>
    <row r="268">
      <c r="B268" s="51"/>
      <c r="G268" s="14"/>
      <c r="J268" s="48"/>
      <c r="O268" s="14"/>
      <c r="P268" s="8"/>
      <c r="AP268" s="48"/>
    </row>
    <row r="269">
      <c r="B269" s="51"/>
      <c r="G269" s="14"/>
      <c r="J269" s="48"/>
      <c r="O269" s="14"/>
      <c r="P269" s="8"/>
      <c r="AP269" s="48"/>
    </row>
    <row r="270">
      <c r="B270" s="51"/>
      <c r="G270" s="14"/>
      <c r="J270" s="48"/>
      <c r="O270" s="14"/>
      <c r="P270" s="8"/>
      <c r="AP270" s="48"/>
    </row>
    <row r="271">
      <c r="B271" s="51"/>
      <c r="G271" s="14"/>
      <c r="J271" s="48"/>
      <c r="O271" s="14"/>
      <c r="P271" s="8"/>
      <c r="AP271" s="48"/>
    </row>
    <row r="272">
      <c r="B272" s="51"/>
      <c r="G272" s="14"/>
      <c r="J272" s="48"/>
      <c r="O272" s="14"/>
      <c r="P272" s="8"/>
      <c r="AP272" s="48"/>
    </row>
    <row r="273">
      <c r="B273" s="51"/>
      <c r="G273" s="14"/>
      <c r="J273" s="48"/>
      <c r="O273" s="14"/>
      <c r="P273" s="8"/>
      <c r="AP273" s="48"/>
    </row>
    <row r="274">
      <c r="B274" s="51"/>
      <c r="G274" s="14"/>
      <c r="J274" s="48"/>
      <c r="O274" s="14"/>
      <c r="P274" s="8"/>
      <c r="AP274" s="48"/>
    </row>
    <row r="275">
      <c r="B275" s="51"/>
      <c r="G275" s="14"/>
      <c r="J275" s="48"/>
      <c r="O275" s="14"/>
      <c r="P275" s="8"/>
      <c r="AP275" s="48"/>
    </row>
    <row r="276">
      <c r="B276" s="51"/>
      <c r="G276" s="14"/>
      <c r="J276" s="48"/>
      <c r="O276" s="14"/>
      <c r="P276" s="8"/>
      <c r="AP276" s="48"/>
    </row>
    <row r="277">
      <c r="B277" s="51"/>
      <c r="G277" s="14"/>
      <c r="J277" s="48"/>
      <c r="O277" s="14"/>
      <c r="P277" s="8"/>
      <c r="AP277" s="48"/>
    </row>
    <row r="278">
      <c r="B278" s="51"/>
      <c r="G278" s="14"/>
      <c r="J278" s="48"/>
      <c r="O278" s="14"/>
      <c r="P278" s="8"/>
      <c r="AP278" s="48"/>
    </row>
    <row r="279">
      <c r="B279" s="51"/>
      <c r="G279" s="14"/>
      <c r="J279" s="48"/>
      <c r="O279" s="14"/>
      <c r="P279" s="8"/>
      <c r="AP279" s="48"/>
    </row>
    <row r="280">
      <c r="B280" s="51"/>
      <c r="G280" s="14"/>
      <c r="J280" s="48"/>
      <c r="O280" s="14"/>
      <c r="P280" s="8"/>
      <c r="AP280" s="48"/>
    </row>
    <row r="281">
      <c r="B281" s="51"/>
      <c r="G281" s="14"/>
      <c r="J281" s="48"/>
      <c r="O281" s="14"/>
      <c r="P281" s="8"/>
      <c r="AP281" s="48"/>
    </row>
    <row r="282">
      <c r="B282" s="51"/>
      <c r="G282" s="14"/>
      <c r="J282" s="48"/>
      <c r="O282" s="14"/>
      <c r="P282" s="8"/>
      <c r="AP282" s="48"/>
    </row>
    <row r="283">
      <c r="B283" s="51"/>
      <c r="G283" s="14"/>
      <c r="J283" s="48"/>
      <c r="O283" s="14"/>
      <c r="P283" s="8"/>
      <c r="AP283" s="48"/>
    </row>
    <row r="284">
      <c r="B284" s="51"/>
      <c r="G284" s="14"/>
      <c r="J284" s="48"/>
      <c r="O284" s="14"/>
      <c r="P284" s="8"/>
      <c r="AP284" s="48"/>
    </row>
    <row r="285">
      <c r="B285" s="51"/>
      <c r="G285" s="14"/>
      <c r="J285" s="48"/>
      <c r="O285" s="14"/>
      <c r="P285" s="8"/>
      <c r="AP285" s="48"/>
    </row>
    <row r="286">
      <c r="B286" s="51"/>
      <c r="G286" s="14"/>
      <c r="J286" s="48"/>
      <c r="O286" s="14"/>
      <c r="P286" s="8"/>
      <c r="AP286" s="48"/>
    </row>
    <row r="287">
      <c r="B287" s="51"/>
      <c r="G287" s="14"/>
      <c r="J287" s="48"/>
      <c r="O287" s="14"/>
      <c r="P287" s="8"/>
      <c r="AP287" s="48"/>
    </row>
    <row r="288">
      <c r="B288" s="51"/>
      <c r="G288" s="14"/>
      <c r="J288" s="48"/>
      <c r="O288" s="14"/>
      <c r="P288" s="8"/>
      <c r="AP288" s="48"/>
    </row>
    <row r="289">
      <c r="B289" s="51"/>
      <c r="G289" s="14"/>
      <c r="J289" s="48"/>
      <c r="O289" s="14"/>
      <c r="P289" s="8"/>
      <c r="AP289" s="48"/>
    </row>
    <row r="290">
      <c r="B290" s="51"/>
      <c r="G290" s="14"/>
      <c r="J290" s="48"/>
      <c r="O290" s="14"/>
      <c r="P290" s="8"/>
      <c r="AP290" s="48"/>
    </row>
    <row r="291">
      <c r="B291" s="51"/>
      <c r="G291" s="14"/>
      <c r="J291" s="48"/>
      <c r="O291" s="14"/>
      <c r="P291" s="8"/>
      <c r="AP291" s="48"/>
    </row>
    <row r="292">
      <c r="B292" s="51"/>
      <c r="G292" s="14"/>
      <c r="J292" s="48"/>
      <c r="O292" s="14"/>
      <c r="P292" s="8"/>
      <c r="AP292" s="48"/>
    </row>
    <row r="293">
      <c r="B293" s="51"/>
      <c r="G293" s="14"/>
      <c r="J293" s="48"/>
      <c r="O293" s="14"/>
      <c r="P293" s="8"/>
      <c r="AP293" s="48"/>
    </row>
    <row r="294">
      <c r="B294" s="51"/>
      <c r="G294" s="14"/>
      <c r="J294" s="48"/>
      <c r="O294" s="14"/>
      <c r="P294" s="8"/>
      <c r="AP294" s="48"/>
    </row>
    <row r="295">
      <c r="B295" s="51"/>
      <c r="G295" s="14"/>
      <c r="J295" s="48"/>
      <c r="O295" s="14"/>
      <c r="P295" s="8"/>
      <c r="AP295" s="48"/>
    </row>
    <row r="296">
      <c r="B296" s="51"/>
      <c r="G296" s="14"/>
      <c r="J296" s="48"/>
      <c r="O296" s="14"/>
      <c r="P296" s="8"/>
      <c r="AP296" s="48"/>
    </row>
    <row r="297">
      <c r="B297" s="51"/>
      <c r="G297" s="14"/>
      <c r="J297" s="48"/>
      <c r="O297" s="14"/>
      <c r="P297" s="8"/>
      <c r="AP297" s="48"/>
    </row>
    <row r="298">
      <c r="B298" s="51"/>
      <c r="G298" s="14"/>
      <c r="J298" s="48"/>
      <c r="O298" s="14"/>
      <c r="P298" s="8"/>
      <c r="AP298" s="48"/>
    </row>
    <row r="299">
      <c r="B299" s="51"/>
      <c r="G299" s="14"/>
      <c r="J299" s="48"/>
      <c r="O299" s="14"/>
      <c r="P299" s="8"/>
      <c r="AP299" s="48"/>
    </row>
    <row r="300">
      <c r="B300" s="51"/>
      <c r="G300" s="14"/>
      <c r="J300" s="48"/>
      <c r="O300" s="14"/>
      <c r="P300" s="8"/>
      <c r="AP300" s="48"/>
    </row>
    <row r="301">
      <c r="B301" s="51"/>
      <c r="G301" s="14"/>
      <c r="J301" s="48"/>
      <c r="O301" s="14"/>
      <c r="P301" s="8"/>
      <c r="AP301" s="48"/>
    </row>
    <row r="302">
      <c r="B302" s="51"/>
      <c r="G302" s="14"/>
      <c r="J302" s="48"/>
      <c r="O302" s="14"/>
      <c r="P302" s="8"/>
      <c r="AP302" s="48"/>
    </row>
    <row r="303">
      <c r="B303" s="51"/>
      <c r="G303" s="14"/>
      <c r="J303" s="48"/>
      <c r="O303" s="14"/>
      <c r="P303" s="8"/>
      <c r="AP303" s="48"/>
    </row>
    <row r="304">
      <c r="B304" s="51"/>
      <c r="G304" s="14"/>
      <c r="J304" s="48"/>
      <c r="O304" s="14"/>
      <c r="P304" s="8"/>
      <c r="AP304" s="48"/>
    </row>
    <row r="305">
      <c r="B305" s="51"/>
      <c r="G305" s="14"/>
      <c r="J305" s="48"/>
      <c r="O305" s="14"/>
      <c r="P305" s="8"/>
      <c r="AP305" s="48"/>
    </row>
    <row r="306">
      <c r="B306" s="51"/>
      <c r="G306" s="14"/>
      <c r="J306" s="48"/>
      <c r="O306" s="14"/>
      <c r="P306" s="8"/>
      <c r="AP306" s="48"/>
    </row>
    <row r="307">
      <c r="B307" s="51"/>
      <c r="G307" s="14"/>
      <c r="J307" s="48"/>
      <c r="O307" s="14"/>
      <c r="P307" s="8"/>
      <c r="AP307" s="48"/>
    </row>
    <row r="308">
      <c r="B308" s="51"/>
      <c r="G308" s="14"/>
      <c r="J308" s="48"/>
      <c r="O308" s="14"/>
      <c r="P308" s="8"/>
      <c r="AP308" s="48"/>
    </row>
    <row r="309">
      <c r="B309" s="51"/>
      <c r="G309" s="14"/>
      <c r="J309" s="48"/>
      <c r="O309" s="14"/>
      <c r="P309" s="8"/>
      <c r="AP309" s="48"/>
    </row>
    <row r="310">
      <c r="B310" s="51"/>
      <c r="G310" s="14"/>
      <c r="J310" s="48"/>
      <c r="O310" s="14"/>
      <c r="P310" s="8"/>
      <c r="AP310" s="48"/>
    </row>
    <row r="311">
      <c r="B311" s="51"/>
      <c r="G311" s="14"/>
      <c r="J311" s="48"/>
      <c r="O311" s="14"/>
      <c r="P311" s="8"/>
      <c r="AP311" s="48"/>
    </row>
    <row r="312">
      <c r="B312" s="51"/>
      <c r="G312" s="14"/>
      <c r="J312" s="48"/>
      <c r="O312" s="14"/>
      <c r="P312" s="8"/>
      <c r="AP312" s="48"/>
    </row>
    <row r="313">
      <c r="B313" s="51"/>
      <c r="G313" s="14"/>
      <c r="J313" s="48"/>
      <c r="O313" s="14"/>
      <c r="P313" s="8"/>
      <c r="AP313" s="48"/>
    </row>
    <row r="314">
      <c r="B314" s="51"/>
      <c r="G314" s="14"/>
      <c r="J314" s="48"/>
      <c r="O314" s="14"/>
      <c r="P314" s="8"/>
      <c r="AP314" s="48"/>
    </row>
    <row r="315">
      <c r="B315" s="51"/>
      <c r="G315" s="14"/>
      <c r="J315" s="48"/>
      <c r="O315" s="14"/>
      <c r="P315" s="8"/>
      <c r="AP315" s="48"/>
    </row>
    <row r="316">
      <c r="B316" s="51"/>
      <c r="G316" s="14"/>
      <c r="J316" s="48"/>
      <c r="O316" s="14"/>
      <c r="P316" s="8"/>
      <c r="AP316" s="48"/>
    </row>
    <row r="317">
      <c r="B317" s="51"/>
      <c r="G317" s="14"/>
      <c r="J317" s="48"/>
      <c r="O317" s="14"/>
      <c r="P317" s="8"/>
      <c r="AP317" s="48"/>
    </row>
    <row r="318">
      <c r="B318" s="51"/>
      <c r="G318" s="14"/>
      <c r="J318" s="48"/>
      <c r="O318" s="14"/>
      <c r="P318" s="8"/>
      <c r="AP318" s="48"/>
    </row>
    <row r="319">
      <c r="B319" s="51"/>
      <c r="G319" s="14"/>
      <c r="J319" s="48"/>
      <c r="O319" s="14"/>
      <c r="P319" s="8"/>
      <c r="AP319" s="48"/>
    </row>
    <row r="320">
      <c r="B320" s="51"/>
      <c r="G320" s="14"/>
      <c r="J320" s="48"/>
      <c r="O320" s="14"/>
      <c r="P320" s="8"/>
      <c r="AP320" s="48"/>
    </row>
    <row r="321">
      <c r="B321" s="51"/>
      <c r="G321" s="14"/>
      <c r="J321" s="48"/>
      <c r="O321" s="14"/>
      <c r="P321" s="8"/>
      <c r="AP321" s="48"/>
    </row>
    <row r="322">
      <c r="B322" s="51"/>
      <c r="G322" s="14"/>
      <c r="J322" s="48"/>
      <c r="O322" s="14"/>
      <c r="P322" s="8"/>
      <c r="AP322" s="48"/>
    </row>
    <row r="323">
      <c r="B323" s="51"/>
      <c r="G323" s="14"/>
      <c r="J323" s="48"/>
      <c r="O323" s="14"/>
      <c r="P323" s="8"/>
      <c r="AP323" s="48"/>
    </row>
    <row r="324">
      <c r="B324" s="51"/>
      <c r="G324" s="14"/>
      <c r="J324" s="48"/>
      <c r="O324" s="14"/>
      <c r="P324" s="8"/>
      <c r="AP324" s="48"/>
    </row>
    <row r="325">
      <c r="B325" s="51"/>
      <c r="G325" s="14"/>
      <c r="J325" s="48"/>
      <c r="O325" s="14"/>
      <c r="P325" s="8"/>
      <c r="AP325" s="48"/>
    </row>
    <row r="326">
      <c r="B326" s="51"/>
      <c r="G326" s="14"/>
      <c r="J326" s="48"/>
      <c r="O326" s="14"/>
      <c r="P326" s="8"/>
      <c r="AP326" s="48"/>
    </row>
    <row r="327">
      <c r="B327" s="51"/>
      <c r="G327" s="14"/>
      <c r="J327" s="48"/>
      <c r="O327" s="14"/>
      <c r="P327" s="8"/>
      <c r="AP327" s="48"/>
    </row>
    <row r="328">
      <c r="B328" s="51"/>
      <c r="G328" s="14"/>
      <c r="J328" s="48"/>
      <c r="O328" s="14"/>
      <c r="P328" s="8"/>
      <c r="AP328" s="48"/>
    </row>
    <row r="329">
      <c r="B329" s="51"/>
      <c r="G329" s="14"/>
      <c r="J329" s="48"/>
      <c r="O329" s="14"/>
      <c r="P329" s="8"/>
      <c r="AP329" s="48"/>
    </row>
    <row r="330">
      <c r="B330" s="51"/>
      <c r="G330" s="14"/>
      <c r="J330" s="48"/>
      <c r="O330" s="14"/>
      <c r="P330" s="8"/>
      <c r="AP330" s="48"/>
    </row>
    <row r="331">
      <c r="B331" s="51"/>
      <c r="G331" s="14"/>
      <c r="J331" s="48"/>
      <c r="O331" s="14"/>
      <c r="P331" s="8"/>
      <c r="AP331" s="48"/>
    </row>
    <row r="332">
      <c r="B332" s="51"/>
      <c r="G332" s="14"/>
      <c r="J332" s="48"/>
      <c r="O332" s="14"/>
      <c r="P332" s="8"/>
      <c r="AP332" s="48"/>
    </row>
    <row r="333">
      <c r="B333" s="51"/>
      <c r="G333" s="14"/>
      <c r="J333" s="48"/>
      <c r="O333" s="14"/>
      <c r="P333" s="8"/>
      <c r="AP333" s="48"/>
    </row>
    <row r="334">
      <c r="B334" s="51"/>
      <c r="G334" s="14"/>
      <c r="J334" s="48"/>
      <c r="O334" s="14"/>
      <c r="P334" s="8"/>
      <c r="AP334" s="48"/>
    </row>
    <row r="335">
      <c r="B335" s="51"/>
      <c r="G335" s="14"/>
      <c r="J335" s="48"/>
      <c r="O335" s="14"/>
      <c r="P335" s="8"/>
      <c r="AP335" s="48"/>
    </row>
    <row r="336">
      <c r="B336" s="51"/>
      <c r="G336" s="14"/>
      <c r="J336" s="48"/>
      <c r="O336" s="14"/>
      <c r="P336" s="8"/>
      <c r="AP336" s="48"/>
    </row>
    <row r="337">
      <c r="B337" s="51"/>
      <c r="G337" s="14"/>
      <c r="J337" s="48"/>
      <c r="O337" s="14"/>
      <c r="P337" s="8"/>
      <c r="AP337" s="48"/>
    </row>
    <row r="338">
      <c r="B338" s="51"/>
      <c r="G338" s="14"/>
      <c r="J338" s="48"/>
      <c r="O338" s="14"/>
      <c r="P338" s="8"/>
      <c r="AP338" s="48"/>
    </row>
    <row r="339">
      <c r="B339" s="51"/>
      <c r="G339" s="14"/>
      <c r="J339" s="48"/>
      <c r="O339" s="14"/>
      <c r="P339" s="8"/>
      <c r="AP339" s="48"/>
    </row>
    <row r="340">
      <c r="B340" s="51"/>
      <c r="G340" s="14"/>
      <c r="J340" s="48"/>
      <c r="O340" s="14"/>
      <c r="P340" s="8"/>
      <c r="AP340" s="48"/>
    </row>
    <row r="341">
      <c r="B341" s="51"/>
      <c r="G341" s="14"/>
      <c r="J341" s="48"/>
      <c r="O341" s="14"/>
      <c r="P341" s="8"/>
      <c r="AP341" s="48"/>
    </row>
    <row r="342">
      <c r="B342" s="51"/>
      <c r="G342" s="14"/>
      <c r="J342" s="48"/>
      <c r="O342" s="14"/>
      <c r="P342" s="8"/>
      <c r="AP342" s="48"/>
    </row>
    <row r="343">
      <c r="B343" s="51"/>
      <c r="G343" s="14"/>
      <c r="J343" s="48"/>
      <c r="O343" s="14"/>
      <c r="P343" s="8"/>
      <c r="AP343" s="48"/>
    </row>
    <row r="344">
      <c r="B344" s="51"/>
      <c r="G344" s="14"/>
      <c r="J344" s="48"/>
      <c r="O344" s="14"/>
      <c r="P344" s="8"/>
      <c r="AP344" s="48"/>
    </row>
    <row r="345">
      <c r="B345" s="51"/>
      <c r="G345" s="14"/>
      <c r="J345" s="48"/>
      <c r="O345" s="14"/>
      <c r="P345" s="8"/>
      <c r="AP345" s="48"/>
    </row>
    <row r="346">
      <c r="B346" s="51"/>
      <c r="G346" s="14"/>
      <c r="J346" s="48"/>
      <c r="O346" s="14"/>
      <c r="P346" s="8"/>
      <c r="AP346" s="48"/>
    </row>
    <row r="347">
      <c r="B347" s="51"/>
      <c r="G347" s="14"/>
      <c r="J347" s="48"/>
      <c r="O347" s="14"/>
      <c r="P347" s="8"/>
      <c r="AP347" s="48"/>
    </row>
    <row r="348">
      <c r="B348" s="51"/>
      <c r="G348" s="14"/>
      <c r="J348" s="48"/>
      <c r="O348" s="14"/>
      <c r="P348" s="8"/>
      <c r="AP348" s="48"/>
    </row>
    <row r="349">
      <c r="B349" s="51"/>
      <c r="G349" s="14"/>
      <c r="J349" s="48"/>
      <c r="O349" s="14"/>
      <c r="P349" s="8"/>
      <c r="AP349" s="48"/>
    </row>
    <row r="350">
      <c r="B350" s="51"/>
      <c r="G350" s="14"/>
      <c r="J350" s="48"/>
      <c r="O350" s="14"/>
      <c r="P350" s="8"/>
      <c r="AP350" s="48"/>
    </row>
    <row r="351">
      <c r="B351" s="51"/>
      <c r="G351" s="14"/>
      <c r="J351" s="48"/>
      <c r="O351" s="14"/>
      <c r="P351" s="8"/>
      <c r="AP351" s="48"/>
    </row>
    <row r="352">
      <c r="B352" s="51"/>
      <c r="G352" s="14"/>
      <c r="J352" s="48"/>
      <c r="O352" s="14"/>
      <c r="P352" s="8"/>
      <c r="AP352" s="48"/>
    </row>
    <row r="353">
      <c r="B353" s="51"/>
      <c r="G353" s="14"/>
      <c r="J353" s="48"/>
      <c r="O353" s="14"/>
      <c r="P353" s="8"/>
      <c r="AP353" s="48"/>
    </row>
    <row r="354">
      <c r="B354" s="51"/>
      <c r="G354" s="14"/>
      <c r="J354" s="48"/>
      <c r="O354" s="14"/>
      <c r="P354" s="8"/>
      <c r="AP354" s="48"/>
    </row>
    <row r="355">
      <c r="B355" s="51"/>
      <c r="G355" s="14"/>
      <c r="J355" s="48"/>
      <c r="O355" s="14"/>
      <c r="P355" s="8"/>
      <c r="AP355" s="48"/>
    </row>
    <row r="356">
      <c r="B356" s="51"/>
      <c r="G356" s="14"/>
      <c r="J356" s="48"/>
      <c r="O356" s="14"/>
      <c r="P356" s="8"/>
      <c r="AP356" s="48"/>
    </row>
    <row r="357">
      <c r="B357" s="51"/>
      <c r="G357" s="14"/>
      <c r="J357" s="48"/>
      <c r="O357" s="14"/>
      <c r="P357" s="8"/>
      <c r="AP357" s="48"/>
    </row>
    <row r="358">
      <c r="B358" s="51"/>
      <c r="G358" s="14"/>
      <c r="J358" s="48"/>
      <c r="O358" s="14"/>
      <c r="P358" s="8"/>
      <c r="AP358" s="48"/>
    </row>
    <row r="359">
      <c r="B359" s="51"/>
      <c r="G359" s="14"/>
      <c r="J359" s="48"/>
      <c r="O359" s="14"/>
      <c r="P359" s="8"/>
      <c r="AP359" s="48"/>
    </row>
    <row r="360">
      <c r="B360" s="51"/>
      <c r="G360" s="14"/>
      <c r="J360" s="48"/>
      <c r="O360" s="14"/>
      <c r="P360" s="8"/>
      <c r="AP360" s="48"/>
    </row>
    <row r="361">
      <c r="B361" s="51"/>
      <c r="G361" s="14"/>
      <c r="J361" s="48"/>
      <c r="O361" s="14"/>
      <c r="P361" s="8"/>
      <c r="AP361" s="48"/>
    </row>
    <row r="362">
      <c r="B362" s="51"/>
      <c r="G362" s="14"/>
      <c r="J362" s="48"/>
      <c r="O362" s="14"/>
      <c r="P362" s="8"/>
      <c r="AP362" s="48"/>
    </row>
    <row r="363">
      <c r="B363" s="51"/>
      <c r="G363" s="14"/>
      <c r="J363" s="48"/>
      <c r="O363" s="14"/>
      <c r="P363" s="8"/>
      <c r="AP363" s="48"/>
    </row>
    <row r="364">
      <c r="B364" s="51"/>
      <c r="G364" s="14"/>
      <c r="J364" s="48"/>
      <c r="O364" s="14"/>
      <c r="P364" s="8"/>
      <c r="AP364" s="48"/>
    </row>
    <row r="365">
      <c r="B365" s="51"/>
      <c r="G365" s="14"/>
      <c r="J365" s="48"/>
      <c r="O365" s="14"/>
      <c r="P365" s="8"/>
      <c r="AP365" s="48"/>
    </row>
    <row r="366">
      <c r="B366" s="51"/>
      <c r="G366" s="14"/>
      <c r="J366" s="48"/>
      <c r="O366" s="14"/>
      <c r="P366" s="8"/>
      <c r="AP366" s="48"/>
    </row>
    <row r="367">
      <c r="B367" s="51"/>
      <c r="G367" s="14"/>
      <c r="J367" s="48"/>
      <c r="O367" s="14"/>
      <c r="P367" s="8"/>
      <c r="AP367" s="48"/>
    </row>
    <row r="368">
      <c r="B368" s="51"/>
      <c r="G368" s="14"/>
      <c r="J368" s="48"/>
      <c r="O368" s="14"/>
      <c r="P368" s="8"/>
      <c r="AP368" s="48"/>
    </row>
    <row r="369">
      <c r="B369" s="51"/>
      <c r="G369" s="14"/>
      <c r="J369" s="48"/>
      <c r="O369" s="14"/>
      <c r="P369" s="8"/>
      <c r="AP369" s="48"/>
    </row>
    <row r="370">
      <c r="B370" s="51"/>
      <c r="G370" s="14"/>
      <c r="J370" s="48"/>
      <c r="O370" s="14"/>
      <c r="P370" s="8"/>
      <c r="AP370" s="48"/>
    </row>
    <row r="371">
      <c r="B371" s="51"/>
      <c r="G371" s="14"/>
      <c r="J371" s="48"/>
      <c r="O371" s="14"/>
      <c r="P371" s="8"/>
      <c r="AP371" s="48"/>
    </row>
    <row r="372">
      <c r="B372" s="51"/>
      <c r="G372" s="14"/>
      <c r="J372" s="48"/>
      <c r="O372" s="14"/>
      <c r="P372" s="8"/>
      <c r="AP372" s="48"/>
    </row>
    <row r="373">
      <c r="B373" s="51"/>
      <c r="G373" s="14"/>
      <c r="J373" s="48"/>
      <c r="O373" s="14"/>
      <c r="P373" s="8"/>
      <c r="AP373" s="48"/>
    </row>
    <row r="374">
      <c r="B374" s="51"/>
      <c r="G374" s="14"/>
      <c r="J374" s="48"/>
      <c r="O374" s="14"/>
      <c r="P374" s="8"/>
      <c r="AP374" s="48"/>
    </row>
    <row r="375">
      <c r="B375" s="51"/>
      <c r="G375" s="14"/>
      <c r="J375" s="48"/>
      <c r="O375" s="14"/>
      <c r="P375" s="8"/>
      <c r="AP375" s="48"/>
    </row>
    <row r="376">
      <c r="B376" s="51"/>
      <c r="G376" s="14"/>
      <c r="J376" s="48"/>
      <c r="O376" s="14"/>
      <c r="P376" s="8"/>
      <c r="AP376" s="48"/>
    </row>
    <row r="377">
      <c r="B377" s="51"/>
      <c r="G377" s="14"/>
      <c r="J377" s="48"/>
      <c r="O377" s="14"/>
      <c r="P377" s="8"/>
      <c r="AP377" s="48"/>
    </row>
    <row r="378">
      <c r="B378" s="51"/>
      <c r="G378" s="14"/>
      <c r="J378" s="48"/>
      <c r="O378" s="14"/>
      <c r="P378" s="8"/>
      <c r="AP378" s="48"/>
    </row>
    <row r="379">
      <c r="B379" s="51"/>
      <c r="G379" s="14"/>
      <c r="J379" s="48"/>
      <c r="O379" s="14"/>
      <c r="P379" s="8"/>
      <c r="AP379" s="48"/>
    </row>
    <row r="380">
      <c r="B380" s="51"/>
      <c r="G380" s="14"/>
      <c r="J380" s="48"/>
      <c r="O380" s="14"/>
      <c r="P380" s="8"/>
      <c r="AP380" s="48"/>
    </row>
    <row r="381">
      <c r="B381" s="51"/>
      <c r="G381" s="14"/>
      <c r="J381" s="48"/>
      <c r="O381" s="14"/>
      <c r="P381" s="8"/>
      <c r="AP381" s="48"/>
    </row>
    <row r="382">
      <c r="B382" s="51"/>
      <c r="G382" s="14"/>
      <c r="J382" s="48"/>
      <c r="O382" s="14"/>
      <c r="P382" s="8"/>
      <c r="AP382" s="48"/>
    </row>
    <row r="383">
      <c r="B383" s="51"/>
      <c r="G383" s="14"/>
      <c r="J383" s="48"/>
      <c r="O383" s="14"/>
      <c r="P383" s="8"/>
      <c r="AP383" s="48"/>
    </row>
    <row r="384">
      <c r="B384" s="51"/>
      <c r="G384" s="14"/>
      <c r="J384" s="48"/>
      <c r="O384" s="14"/>
      <c r="P384" s="8"/>
      <c r="AP384" s="48"/>
    </row>
    <row r="385">
      <c r="B385" s="51"/>
      <c r="G385" s="14"/>
      <c r="J385" s="48"/>
      <c r="O385" s="14"/>
      <c r="P385" s="8"/>
      <c r="AP385" s="48"/>
    </row>
    <row r="386">
      <c r="B386" s="51"/>
      <c r="G386" s="14"/>
      <c r="J386" s="48"/>
      <c r="O386" s="14"/>
      <c r="P386" s="8"/>
      <c r="AP386" s="48"/>
    </row>
    <row r="387">
      <c r="B387" s="51"/>
      <c r="G387" s="14"/>
      <c r="J387" s="48"/>
      <c r="O387" s="14"/>
      <c r="P387" s="8"/>
      <c r="AP387" s="48"/>
    </row>
    <row r="388">
      <c r="B388" s="51"/>
      <c r="G388" s="14"/>
      <c r="J388" s="48"/>
      <c r="O388" s="14"/>
      <c r="P388" s="8"/>
      <c r="AP388" s="48"/>
    </row>
    <row r="389">
      <c r="B389" s="51"/>
      <c r="G389" s="14"/>
      <c r="J389" s="48"/>
      <c r="O389" s="14"/>
      <c r="P389" s="8"/>
      <c r="AP389" s="48"/>
    </row>
    <row r="390">
      <c r="B390" s="51"/>
      <c r="G390" s="14"/>
      <c r="J390" s="48"/>
      <c r="O390" s="14"/>
      <c r="P390" s="8"/>
      <c r="AP390" s="48"/>
    </row>
    <row r="391">
      <c r="B391" s="51"/>
      <c r="G391" s="14"/>
      <c r="J391" s="48"/>
      <c r="O391" s="14"/>
      <c r="P391" s="8"/>
      <c r="AP391" s="48"/>
    </row>
    <row r="392">
      <c r="B392" s="51"/>
      <c r="G392" s="14"/>
      <c r="J392" s="48"/>
      <c r="O392" s="14"/>
      <c r="P392" s="8"/>
      <c r="AP392" s="48"/>
    </row>
    <row r="393">
      <c r="B393" s="51"/>
      <c r="G393" s="14"/>
      <c r="J393" s="48"/>
      <c r="O393" s="14"/>
      <c r="P393" s="8"/>
      <c r="AP393" s="48"/>
    </row>
    <row r="394">
      <c r="B394" s="51"/>
      <c r="G394" s="14"/>
      <c r="J394" s="48"/>
      <c r="O394" s="14"/>
      <c r="P394" s="8"/>
      <c r="AP394" s="48"/>
    </row>
    <row r="395">
      <c r="B395" s="51"/>
      <c r="G395" s="14"/>
      <c r="J395" s="48"/>
      <c r="O395" s="14"/>
      <c r="P395" s="8"/>
      <c r="AP395" s="48"/>
    </row>
    <row r="396">
      <c r="B396" s="51"/>
      <c r="G396" s="14"/>
      <c r="J396" s="48"/>
      <c r="O396" s="14"/>
      <c r="P396" s="8"/>
      <c r="AP396" s="48"/>
    </row>
    <row r="397">
      <c r="B397" s="51"/>
      <c r="G397" s="14"/>
      <c r="J397" s="48"/>
      <c r="O397" s="14"/>
      <c r="P397" s="8"/>
      <c r="AP397" s="48"/>
    </row>
    <row r="398">
      <c r="B398" s="51"/>
      <c r="G398" s="14"/>
      <c r="J398" s="48"/>
      <c r="O398" s="14"/>
      <c r="P398" s="8"/>
      <c r="AP398" s="48"/>
    </row>
    <row r="399">
      <c r="B399" s="51"/>
      <c r="G399" s="14"/>
      <c r="J399" s="48"/>
      <c r="O399" s="14"/>
      <c r="P399" s="8"/>
      <c r="AP399" s="48"/>
    </row>
    <row r="400">
      <c r="B400" s="51"/>
      <c r="G400" s="14"/>
      <c r="J400" s="48"/>
      <c r="O400" s="14"/>
      <c r="P400" s="8"/>
      <c r="AP400" s="48"/>
    </row>
    <row r="401">
      <c r="B401" s="51"/>
      <c r="G401" s="14"/>
      <c r="J401" s="48"/>
      <c r="O401" s="14"/>
      <c r="P401" s="8"/>
      <c r="AP401" s="48"/>
    </row>
    <row r="402">
      <c r="B402" s="51"/>
      <c r="G402" s="14"/>
      <c r="J402" s="48"/>
      <c r="O402" s="14"/>
      <c r="P402" s="8"/>
      <c r="AP402" s="48"/>
    </row>
    <row r="403">
      <c r="B403" s="51"/>
      <c r="G403" s="14"/>
      <c r="J403" s="48"/>
      <c r="O403" s="14"/>
      <c r="P403" s="8"/>
      <c r="AP403" s="48"/>
    </row>
    <row r="404">
      <c r="B404" s="51"/>
      <c r="G404" s="14"/>
      <c r="J404" s="48"/>
      <c r="O404" s="14"/>
      <c r="P404" s="8"/>
      <c r="AP404" s="48"/>
    </row>
    <row r="405">
      <c r="B405" s="51"/>
      <c r="G405" s="14"/>
      <c r="J405" s="48"/>
      <c r="O405" s="14"/>
      <c r="P405" s="8"/>
      <c r="AP405" s="48"/>
    </row>
    <row r="406">
      <c r="B406" s="51"/>
      <c r="G406" s="14"/>
      <c r="J406" s="48"/>
      <c r="O406" s="14"/>
      <c r="P406" s="8"/>
      <c r="AP406" s="48"/>
    </row>
    <row r="407">
      <c r="B407" s="51"/>
      <c r="G407" s="14"/>
      <c r="J407" s="48"/>
      <c r="O407" s="14"/>
      <c r="P407" s="8"/>
      <c r="AP407" s="48"/>
    </row>
    <row r="408">
      <c r="B408" s="51"/>
      <c r="G408" s="14"/>
      <c r="J408" s="48"/>
      <c r="O408" s="14"/>
      <c r="P408" s="8"/>
      <c r="AP408" s="48"/>
    </row>
    <row r="409">
      <c r="B409" s="51"/>
      <c r="G409" s="14"/>
      <c r="J409" s="48"/>
      <c r="O409" s="14"/>
      <c r="P409" s="8"/>
      <c r="AP409" s="48"/>
    </row>
    <row r="410">
      <c r="B410" s="51"/>
      <c r="G410" s="14"/>
      <c r="J410" s="48"/>
      <c r="O410" s="14"/>
      <c r="P410" s="8"/>
      <c r="AP410" s="48"/>
    </row>
    <row r="411">
      <c r="B411" s="51"/>
      <c r="G411" s="14"/>
      <c r="J411" s="48"/>
      <c r="O411" s="14"/>
      <c r="P411" s="8"/>
      <c r="AP411" s="48"/>
    </row>
    <row r="412">
      <c r="B412" s="51"/>
      <c r="G412" s="14"/>
      <c r="J412" s="48"/>
      <c r="O412" s="14"/>
      <c r="P412" s="8"/>
      <c r="AP412" s="48"/>
    </row>
    <row r="413">
      <c r="B413" s="51"/>
      <c r="G413" s="14"/>
      <c r="J413" s="48"/>
      <c r="O413" s="14"/>
      <c r="P413" s="8"/>
      <c r="AP413" s="48"/>
    </row>
    <row r="414">
      <c r="B414" s="51"/>
      <c r="G414" s="14"/>
      <c r="J414" s="48"/>
      <c r="O414" s="14"/>
      <c r="P414" s="8"/>
      <c r="AP414" s="48"/>
    </row>
    <row r="415">
      <c r="B415" s="51"/>
      <c r="G415" s="14"/>
      <c r="J415" s="48"/>
      <c r="O415" s="14"/>
      <c r="P415" s="8"/>
      <c r="AP415" s="48"/>
    </row>
    <row r="416">
      <c r="B416" s="51"/>
      <c r="G416" s="14"/>
      <c r="J416" s="48"/>
      <c r="O416" s="14"/>
      <c r="P416" s="8"/>
      <c r="AP416" s="48"/>
    </row>
    <row r="417">
      <c r="B417" s="51"/>
      <c r="G417" s="14"/>
      <c r="J417" s="48"/>
      <c r="O417" s="14"/>
      <c r="P417" s="8"/>
      <c r="AP417" s="48"/>
    </row>
    <row r="418">
      <c r="B418" s="51"/>
      <c r="G418" s="14"/>
      <c r="J418" s="48"/>
      <c r="O418" s="14"/>
      <c r="P418" s="8"/>
      <c r="AP418" s="48"/>
    </row>
    <row r="419">
      <c r="B419" s="51"/>
      <c r="G419" s="14"/>
      <c r="J419" s="48"/>
      <c r="O419" s="14"/>
      <c r="P419" s="8"/>
      <c r="AP419" s="48"/>
    </row>
    <row r="420">
      <c r="B420" s="51"/>
      <c r="G420" s="14"/>
      <c r="J420" s="48"/>
      <c r="O420" s="14"/>
      <c r="P420" s="8"/>
      <c r="AP420" s="48"/>
    </row>
    <row r="421">
      <c r="B421" s="51"/>
      <c r="G421" s="14"/>
      <c r="J421" s="48"/>
      <c r="O421" s="14"/>
      <c r="P421" s="8"/>
      <c r="AP421" s="48"/>
    </row>
    <row r="422">
      <c r="B422" s="51"/>
      <c r="G422" s="14"/>
      <c r="J422" s="48"/>
      <c r="O422" s="14"/>
      <c r="P422" s="8"/>
      <c r="AP422" s="48"/>
    </row>
    <row r="423">
      <c r="B423" s="51"/>
      <c r="G423" s="14"/>
      <c r="J423" s="48"/>
      <c r="O423" s="14"/>
      <c r="P423" s="8"/>
      <c r="AP423" s="48"/>
    </row>
    <row r="424">
      <c r="B424" s="51"/>
      <c r="G424" s="14"/>
      <c r="J424" s="48"/>
      <c r="O424" s="14"/>
      <c r="P424" s="8"/>
      <c r="AP424" s="48"/>
    </row>
    <row r="425">
      <c r="B425" s="51"/>
      <c r="G425" s="14"/>
      <c r="J425" s="48"/>
      <c r="O425" s="14"/>
      <c r="P425" s="8"/>
      <c r="AP425" s="48"/>
    </row>
    <row r="426">
      <c r="B426" s="51"/>
      <c r="G426" s="14"/>
      <c r="J426" s="48"/>
      <c r="O426" s="14"/>
      <c r="P426" s="8"/>
      <c r="AP426" s="48"/>
    </row>
    <row r="427">
      <c r="B427" s="51"/>
      <c r="G427" s="14"/>
      <c r="J427" s="48"/>
      <c r="O427" s="14"/>
      <c r="P427" s="8"/>
      <c r="AP427" s="48"/>
    </row>
    <row r="428">
      <c r="B428" s="51"/>
      <c r="G428" s="14"/>
      <c r="J428" s="48"/>
      <c r="O428" s="14"/>
      <c r="P428" s="8"/>
      <c r="AP428" s="48"/>
    </row>
    <row r="429">
      <c r="B429" s="51"/>
      <c r="G429" s="14"/>
      <c r="J429" s="48"/>
      <c r="O429" s="14"/>
      <c r="P429" s="8"/>
      <c r="AP429" s="48"/>
    </row>
    <row r="430">
      <c r="B430" s="51"/>
      <c r="G430" s="14"/>
      <c r="J430" s="48"/>
      <c r="O430" s="14"/>
      <c r="P430" s="8"/>
      <c r="AP430" s="48"/>
    </row>
    <row r="431">
      <c r="B431" s="51"/>
      <c r="G431" s="14"/>
      <c r="J431" s="48"/>
      <c r="O431" s="14"/>
      <c r="P431" s="8"/>
      <c r="AP431" s="48"/>
    </row>
    <row r="432">
      <c r="B432" s="51"/>
      <c r="G432" s="14"/>
      <c r="J432" s="48"/>
      <c r="O432" s="14"/>
      <c r="P432" s="8"/>
      <c r="AP432" s="48"/>
    </row>
    <row r="433">
      <c r="B433" s="51"/>
      <c r="G433" s="14"/>
      <c r="J433" s="48"/>
      <c r="O433" s="14"/>
      <c r="P433" s="8"/>
      <c r="AP433" s="48"/>
    </row>
    <row r="434">
      <c r="B434" s="51"/>
      <c r="G434" s="14"/>
      <c r="J434" s="48"/>
      <c r="O434" s="14"/>
      <c r="P434" s="8"/>
      <c r="AP434" s="48"/>
    </row>
    <row r="435">
      <c r="B435" s="51"/>
      <c r="G435" s="14"/>
      <c r="J435" s="48"/>
      <c r="O435" s="14"/>
      <c r="P435" s="8"/>
      <c r="AP435" s="48"/>
    </row>
    <row r="436">
      <c r="B436" s="51"/>
      <c r="G436" s="14"/>
      <c r="J436" s="48"/>
      <c r="O436" s="14"/>
      <c r="P436" s="8"/>
      <c r="AP436" s="48"/>
    </row>
    <row r="437">
      <c r="B437" s="51"/>
      <c r="G437" s="14"/>
      <c r="J437" s="48"/>
      <c r="O437" s="14"/>
      <c r="P437" s="8"/>
      <c r="AP437" s="48"/>
    </row>
    <row r="438">
      <c r="B438" s="51"/>
      <c r="G438" s="14"/>
      <c r="J438" s="48"/>
      <c r="O438" s="14"/>
      <c r="P438" s="8"/>
      <c r="AP438" s="48"/>
    </row>
    <row r="439">
      <c r="B439" s="51"/>
      <c r="G439" s="14"/>
      <c r="J439" s="48"/>
      <c r="O439" s="14"/>
      <c r="P439" s="8"/>
      <c r="AP439" s="48"/>
    </row>
    <row r="440">
      <c r="B440" s="51"/>
      <c r="G440" s="14"/>
      <c r="J440" s="48"/>
      <c r="O440" s="14"/>
      <c r="P440" s="8"/>
      <c r="AP440" s="48"/>
    </row>
    <row r="441">
      <c r="B441" s="51"/>
      <c r="G441" s="14"/>
      <c r="J441" s="48"/>
      <c r="O441" s="14"/>
      <c r="P441" s="8"/>
      <c r="AP441" s="48"/>
    </row>
    <row r="442">
      <c r="B442" s="51"/>
      <c r="G442" s="14"/>
      <c r="J442" s="48"/>
      <c r="O442" s="14"/>
      <c r="P442" s="8"/>
      <c r="AP442" s="48"/>
    </row>
    <row r="443">
      <c r="B443" s="51"/>
      <c r="G443" s="14"/>
      <c r="J443" s="48"/>
      <c r="O443" s="14"/>
      <c r="P443" s="8"/>
      <c r="AP443" s="48"/>
    </row>
    <row r="444">
      <c r="B444" s="51"/>
      <c r="G444" s="14"/>
      <c r="J444" s="48"/>
      <c r="O444" s="14"/>
      <c r="P444" s="8"/>
      <c r="AP444" s="48"/>
    </row>
    <row r="445">
      <c r="B445" s="51"/>
      <c r="G445" s="14"/>
      <c r="J445" s="48"/>
      <c r="O445" s="14"/>
      <c r="P445" s="8"/>
      <c r="AP445" s="48"/>
    </row>
    <row r="446">
      <c r="B446" s="51"/>
      <c r="G446" s="14"/>
      <c r="J446" s="48"/>
      <c r="O446" s="14"/>
      <c r="P446" s="8"/>
      <c r="AP446" s="48"/>
    </row>
    <row r="447">
      <c r="B447" s="51"/>
      <c r="G447" s="14"/>
      <c r="J447" s="48"/>
      <c r="O447" s="14"/>
      <c r="P447" s="8"/>
      <c r="AP447" s="48"/>
    </row>
    <row r="448">
      <c r="B448" s="51"/>
      <c r="G448" s="14"/>
      <c r="J448" s="48"/>
      <c r="O448" s="14"/>
      <c r="P448" s="8"/>
      <c r="AP448" s="48"/>
    </row>
    <row r="449">
      <c r="B449" s="51"/>
      <c r="G449" s="14"/>
      <c r="J449" s="48"/>
      <c r="O449" s="14"/>
      <c r="P449" s="8"/>
      <c r="AP449" s="48"/>
    </row>
    <row r="450">
      <c r="B450" s="51"/>
      <c r="G450" s="14"/>
      <c r="J450" s="48"/>
      <c r="O450" s="14"/>
      <c r="P450" s="8"/>
      <c r="AP450" s="48"/>
    </row>
    <row r="451">
      <c r="B451" s="51"/>
      <c r="G451" s="14"/>
      <c r="J451" s="48"/>
      <c r="O451" s="14"/>
      <c r="P451" s="8"/>
      <c r="AP451" s="48"/>
    </row>
    <row r="452">
      <c r="B452" s="51"/>
      <c r="G452" s="14"/>
      <c r="J452" s="48"/>
      <c r="O452" s="14"/>
      <c r="P452" s="8"/>
      <c r="AP452" s="48"/>
    </row>
    <row r="453">
      <c r="B453" s="51"/>
      <c r="G453" s="14"/>
      <c r="J453" s="48"/>
      <c r="O453" s="14"/>
      <c r="P453" s="8"/>
      <c r="AP453" s="48"/>
    </row>
    <row r="454">
      <c r="B454" s="51"/>
      <c r="G454" s="14"/>
      <c r="J454" s="48"/>
      <c r="O454" s="14"/>
      <c r="P454" s="8"/>
      <c r="AP454" s="48"/>
    </row>
    <row r="455">
      <c r="B455" s="51"/>
      <c r="G455" s="14"/>
      <c r="J455" s="48"/>
      <c r="O455" s="14"/>
      <c r="P455" s="8"/>
      <c r="AP455" s="48"/>
    </row>
    <row r="456">
      <c r="B456" s="51"/>
      <c r="G456" s="14"/>
      <c r="J456" s="48"/>
      <c r="O456" s="14"/>
      <c r="P456" s="8"/>
      <c r="AP456" s="48"/>
    </row>
    <row r="457">
      <c r="B457" s="51"/>
      <c r="G457" s="14"/>
      <c r="J457" s="48"/>
      <c r="O457" s="14"/>
      <c r="P457" s="8"/>
      <c r="AP457" s="48"/>
    </row>
    <row r="458">
      <c r="B458" s="51"/>
      <c r="G458" s="14"/>
      <c r="J458" s="48"/>
      <c r="O458" s="14"/>
      <c r="P458" s="8"/>
      <c r="AP458" s="48"/>
    </row>
    <row r="459">
      <c r="B459" s="51"/>
      <c r="G459" s="14"/>
      <c r="J459" s="48"/>
      <c r="O459" s="14"/>
      <c r="P459" s="8"/>
      <c r="AP459" s="48"/>
    </row>
    <row r="460">
      <c r="B460" s="51"/>
      <c r="G460" s="14"/>
      <c r="J460" s="48"/>
      <c r="O460" s="14"/>
      <c r="P460" s="8"/>
      <c r="AP460" s="48"/>
    </row>
    <row r="461">
      <c r="B461" s="51"/>
      <c r="G461" s="14"/>
      <c r="J461" s="48"/>
      <c r="O461" s="14"/>
      <c r="P461" s="8"/>
      <c r="AP461" s="48"/>
    </row>
    <row r="462">
      <c r="B462" s="51"/>
      <c r="G462" s="14"/>
      <c r="J462" s="48"/>
      <c r="O462" s="14"/>
      <c r="P462" s="8"/>
      <c r="AP462" s="48"/>
    </row>
    <row r="463">
      <c r="B463" s="51"/>
      <c r="G463" s="14"/>
      <c r="J463" s="48"/>
      <c r="O463" s="14"/>
      <c r="P463" s="8"/>
      <c r="AP463" s="48"/>
    </row>
    <row r="464">
      <c r="B464" s="51"/>
      <c r="G464" s="14"/>
      <c r="J464" s="48"/>
      <c r="O464" s="14"/>
      <c r="P464" s="8"/>
      <c r="AP464" s="48"/>
    </row>
    <row r="465">
      <c r="B465" s="51"/>
      <c r="G465" s="14"/>
      <c r="J465" s="48"/>
      <c r="O465" s="14"/>
      <c r="P465" s="8"/>
      <c r="AP465" s="48"/>
    </row>
    <row r="466">
      <c r="B466" s="51"/>
      <c r="G466" s="14"/>
      <c r="J466" s="48"/>
      <c r="O466" s="14"/>
      <c r="P466" s="8"/>
      <c r="AP466" s="48"/>
    </row>
    <row r="467">
      <c r="B467" s="51"/>
      <c r="G467" s="14"/>
      <c r="J467" s="48"/>
      <c r="O467" s="14"/>
      <c r="P467" s="8"/>
      <c r="AP467" s="48"/>
    </row>
    <row r="468">
      <c r="B468" s="51"/>
      <c r="G468" s="14"/>
      <c r="J468" s="48"/>
      <c r="O468" s="14"/>
      <c r="P468" s="8"/>
      <c r="AP468" s="48"/>
    </row>
    <row r="469">
      <c r="B469" s="51"/>
      <c r="G469" s="14"/>
      <c r="J469" s="48"/>
      <c r="O469" s="14"/>
      <c r="P469" s="8"/>
      <c r="AP469" s="48"/>
    </row>
    <row r="470">
      <c r="B470" s="51"/>
      <c r="G470" s="14"/>
      <c r="J470" s="48"/>
      <c r="O470" s="14"/>
      <c r="P470" s="8"/>
      <c r="AP470" s="48"/>
    </row>
    <row r="471">
      <c r="B471" s="51"/>
      <c r="G471" s="14"/>
      <c r="J471" s="48"/>
      <c r="O471" s="14"/>
      <c r="P471" s="8"/>
      <c r="AP471" s="48"/>
    </row>
    <row r="472">
      <c r="B472" s="51"/>
      <c r="G472" s="14"/>
      <c r="J472" s="48"/>
      <c r="O472" s="14"/>
      <c r="P472" s="8"/>
      <c r="AP472" s="48"/>
    </row>
    <row r="473">
      <c r="B473" s="51"/>
      <c r="G473" s="14"/>
      <c r="J473" s="48"/>
      <c r="O473" s="14"/>
      <c r="P473" s="8"/>
      <c r="AP473" s="48"/>
    </row>
    <row r="474">
      <c r="B474" s="51"/>
      <c r="G474" s="14"/>
      <c r="J474" s="48"/>
      <c r="O474" s="14"/>
      <c r="P474" s="8"/>
      <c r="AP474" s="48"/>
    </row>
    <row r="475">
      <c r="B475" s="51"/>
      <c r="G475" s="14"/>
      <c r="J475" s="48"/>
      <c r="O475" s="14"/>
      <c r="P475" s="8"/>
      <c r="AP475" s="48"/>
    </row>
    <row r="476">
      <c r="B476" s="51"/>
      <c r="G476" s="14"/>
      <c r="J476" s="48"/>
      <c r="O476" s="14"/>
      <c r="P476" s="8"/>
      <c r="AP476" s="48"/>
    </row>
    <row r="477">
      <c r="B477" s="51"/>
      <c r="G477" s="14"/>
      <c r="J477" s="48"/>
      <c r="O477" s="14"/>
      <c r="P477" s="8"/>
      <c r="AP477" s="48"/>
    </row>
    <row r="478">
      <c r="B478" s="51"/>
      <c r="G478" s="14"/>
      <c r="J478" s="48"/>
      <c r="O478" s="14"/>
      <c r="P478" s="8"/>
      <c r="AP478" s="48"/>
    </row>
    <row r="479">
      <c r="B479" s="51"/>
      <c r="G479" s="14"/>
      <c r="J479" s="48"/>
      <c r="O479" s="14"/>
      <c r="P479" s="8"/>
      <c r="AP479" s="48"/>
    </row>
    <row r="480">
      <c r="B480" s="51"/>
      <c r="G480" s="14"/>
      <c r="J480" s="48"/>
      <c r="O480" s="14"/>
      <c r="P480" s="8"/>
      <c r="AP480" s="48"/>
    </row>
    <row r="481">
      <c r="B481" s="51"/>
      <c r="G481" s="14"/>
      <c r="J481" s="48"/>
      <c r="O481" s="14"/>
      <c r="P481" s="8"/>
      <c r="AP481" s="48"/>
    </row>
    <row r="482">
      <c r="B482" s="51"/>
      <c r="G482" s="14"/>
      <c r="J482" s="48"/>
      <c r="O482" s="14"/>
      <c r="P482" s="8"/>
      <c r="AP482" s="48"/>
    </row>
    <row r="483">
      <c r="B483" s="51"/>
      <c r="G483" s="14"/>
      <c r="J483" s="48"/>
      <c r="O483" s="14"/>
      <c r="P483" s="8"/>
      <c r="AP483" s="48"/>
    </row>
    <row r="484">
      <c r="B484" s="51"/>
      <c r="G484" s="14"/>
      <c r="J484" s="48"/>
      <c r="O484" s="14"/>
      <c r="P484" s="8"/>
      <c r="AP484" s="48"/>
    </row>
    <row r="485">
      <c r="B485" s="51"/>
      <c r="G485" s="14"/>
      <c r="J485" s="48"/>
      <c r="O485" s="14"/>
      <c r="P485" s="8"/>
      <c r="AP485" s="48"/>
    </row>
    <row r="486">
      <c r="B486" s="51"/>
      <c r="G486" s="14"/>
      <c r="J486" s="48"/>
      <c r="O486" s="14"/>
      <c r="P486" s="8"/>
      <c r="AP486" s="48"/>
    </row>
    <row r="487">
      <c r="B487" s="51"/>
      <c r="G487" s="14"/>
      <c r="J487" s="48"/>
      <c r="O487" s="14"/>
      <c r="P487" s="8"/>
      <c r="AP487" s="48"/>
    </row>
    <row r="488">
      <c r="B488" s="51"/>
      <c r="G488" s="14"/>
      <c r="J488" s="48"/>
      <c r="O488" s="14"/>
      <c r="P488" s="8"/>
      <c r="AP488" s="48"/>
    </row>
    <row r="489">
      <c r="B489" s="51"/>
      <c r="G489" s="14"/>
      <c r="J489" s="48"/>
      <c r="O489" s="14"/>
      <c r="P489" s="8"/>
      <c r="AP489" s="48"/>
    </row>
    <row r="490">
      <c r="B490" s="51"/>
      <c r="G490" s="14"/>
      <c r="J490" s="48"/>
      <c r="O490" s="14"/>
      <c r="P490" s="8"/>
      <c r="AP490" s="48"/>
    </row>
    <row r="491">
      <c r="B491" s="51"/>
      <c r="G491" s="14"/>
      <c r="J491" s="48"/>
      <c r="O491" s="14"/>
      <c r="P491" s="8"/>
      <c r="AP491" s="48"/>
    </row>
    <row r="492">
      <c r="B492" s="51"/>
      <c r="G492" s="14"/>
      <c r="J492" s="48"/>
      <c r="O492" s="14"/>
      <c r="P492" s="8"/>
      <c r="AP492" s="48"/>
    </row>
    <row r="493">
      <c r="B493" s="51"/>
      <c r="G493" s="14"/>
      <c r="J493" s="48"/>
      <c r="O493" s="14"/>
      <c r="P493" s="8"/>
      <c r="AP493" s="48"/>
    </row>
    <row r="494">
      <c r="B494" s="51"/>
      <c r="G494" s="14"/>
      <c r="J494" s="48"/>
      <c r="O494" s="14"/>
      <c r="P494" s="8"/>
      <c r="AP494" s="48"/>
    </row>
    <row r="495">
      <c r="B495" s="51"/>
      <c r="G495" s="14"/>
      <c r="J495" s="48"/>
      <c r="O495" s="14"/>
      <c r="P495" s="8"/>
      <c r="AP495" s="48"/>
    </row>
    <row r="496">
      <c r="B496" s="51"/>
      <c r="G496" s="14"/>
      <c r="J496" s="48"/>
      <c r="O496" s="14"/>
      <c r="P496" s="8"/>
      <c r="AP496" s="48"/>
    </row>
    <row r="497">
      <c r="B497" s="51"/>
      <c r="G497" s="14"/>
      <c r="J497" s="48"/>
      <c r="O497" s="14"/>
      <c r="P497" s="8"/>
      <c r="AP497" s="48"/>
    </row>
    <row r="498">
      <c r="B498" s="51"/>
      <c r="G498" s="14"/>
      <c r="J498" s="48"/>
      <c r="O498" s="14"/>
      <c r="P498" s="8"/>
      <c r="AP498" s="48"/>
    </row>
    <row r="499">
      <c r="B499" s="51"/>
      <c r="G499" s="14"/>
      <c r="J499" s="48"/>
      <c r="O499" s="14"/>
      <c r="P499" s="8"/>
      <c r="AP499" s="48"/>
    </row>
    <row r="500">
      <c r="B500" s="51"/>
      <c r="G500" s="14"/>
      <c r="J500" s="48"/>
      <c r="O500" s="14"/>
      <c r="P500" s="8"/>
      <c r="AP500" s="48"/>
    </row>
    <row r="501">
      <c r="B501" s="51"/>
      <c r="G501" s="14"/>
      <c r="J501" s="48"/>
      <c r="O501" s="14"/>
      <c r="P501" s="8"/>
      <c r="AP501" s="48"/>
    </row>
    <row r="502">
      <c r="B502" s="51"/>
      <c r="G502" s="14"/>
      <c r="J502" s="48"/>
      <c r="O502" s="14"/>
      <c r="P502" s="8"/>
      <c r="AP502" s="48"/>
    </row>
    <row r="503">
      <c r="B503" s="51"/>
      <c r="G503" s="14"/>
      <c r="J503" s="48"/>
      <c r="O503" s="14"/>
      <c r="P503" s="8"/>
      <c r="AP503" s="48"/>
    </row>
    <row r="504">
      <c r="B504" s="51"/>
      <c r="G504" s="14"/>
      <c r="J504" s="48"/>
      <c r="O504" s="14"/>
      <c r="P504" s="8"/>
      <c r="AP504" s="48"/>
    </row>
    <row r="505">
      <c r="B505" s="51"/>
      <c r="G505" s="14"/>
      <c r="J505" s="48"/>
      <c r="O505" s="14"/>
      <c r="P505" s="8"/>
      <c r="AP505" s="48"/>
    </row>
    <row r="506">
      <c r="B506" s="51"/>
      <c r="G506" s="14"/>
      <c r="J506" s="48"/>
      <c r="O506" s="14"/>
      <c r="P506" s="8"/>
      <c r="AP506" s="48"/>
    </row>
    <row r="507">
      <c r="B507" s="51"/>
      <c r="G507" s="14"/>
      <c r="J507" s="48"/>
      <c r="O507" s="14"/>
      <c r="P507" s="8"/>
      <c r="AP507" s="48"/>
    </row>
    <row r="508">
      <c r="B508" s="51"/>
      <c r="G508" s="14"/>
      <c r="J508" s="48"/>
      <c r="O508" s="14"/>
      <c r="P508" s="8"/>
      <c r="AP508" s="48"/>
    </row>
    <row r="509">
      <c r="B509" s="51"/>
      <c r="G509" s="14"/>
      <c r="J509" s="48"/>
      <c r="O509" s="14"/>
      <c r="P509" s="8"/>
      <c r="AP509" s="48"/>
    </row>
    <row r="510">
      <c r="B510" s="51"/>
      <c r="G510" s="14"/>
      <c r="J510" s="48"/>
      <c r="O510" s="14"/>
      <c r="P510" s="8"/>
      <c r="AP510" s="48"/>
    </row>
    <row r="511">
      <c r="B511" s="51"/>
      <c r="G511" s="14"/>
      <c r="J511" s="48"/>
      <c r="O511" s="14"/>
      <c r="P511" s="8"/>
      <c r="AP511" s="48"/>
    </row>
    <row r="512">
      <c r="B512" s="51"/>
      <c r="G512" s="14"/>
      <c r="J512" s="48"/>
      <c r="O512" s="14"/>
      <c r="P512" s="8"/>
      <c r="AP512" s="48"/>
    </row>
    <row r="513">
      <c r="B513" s="51"/>
      <c r="G513" s="14"/>
      <c r="J513" s="48"/>
      <c r="O513" s="14"/>
      <c r="P513" s="8"/>
      <c r="AP513" s="48"/>
    </row>
    <row r="514">
      <c r="B514" s="51"/>
      <c r="G514" s="14"/>
      <c r="J514" s="48"/>
      <c r="O514" s="14"/>
      <c r="P514" s="8"/>
      <c r="AP514" s="48"/>
    </row>
    <row r="515">
      <c r="B515" s="51"/>
      <c r="G515" s="14"/>
      <c r="J515" s="48"/>
      <c r="O515" s="14"/>
      <c r="P515" s="8"/>
      <c r="AP515" s="48"/>
    </row>
    <row r="516">
      <c r="B516" s="51"/>
      <c r="G516" s="14"/>
      <c r="J516" s="48"/>
      <c r="O516" s="14"/>
      <c r="P516" s="8"/>
      <c r="AP516" s="48"/>
    </row>
    <row r="517">
      <c r="B517" s="51"/>
      <c r="G517" s="14"/>
      <c r="J517" s="48"/>
      <c r="O517" s="14"/>
      <c r="P517" s="8"/>
      <c r="AP517" s="48"/>
    </row>
    <row r="518">
      <c r="B518" s="51"/>
      <c r="G518" s="14"/>
      <c r="J518" s="48"/>
      <c r="O518" s="14"/>
      <c r="P518" s="8"/>
    </row>
    <row r="519">
      <c r="B519" s="51"/>
      <c r="G519" s="14"/>
      <c r="J519" s="48"/>
      <c r="O519" s="14"/>
      <c r="P519" s="8"/>
    </row>
    <row r="520">
      <c r="B520" s="51"/>
      <c r="G520" s="14"/>
      <c r="J520" s="48"/>
      <c r="O520" s="14"/>
      <c r="P520" s="8"/>
    </row>
    <row r="521">
      <c r="B521" s="51"/>
      <c r="G521" s="14"/>
      <c r="J521" s="48"/>
      <c r="O521" s="14"/>
      <c r="P521" s="8"/>
    </row>
    <row r="522">
      <c r="B522" s="51"/>
      <c r="G522" s="14"/>
      <c r="J522" s="48"/>
      <c r="O522" s="14"/>
      <c r="P522" s="8"/>
    </row>
    <row r="523">
      <c r="B523" s="51"/>
      <c r="G523" s="14"/>
      <c r="J523" s="48"/>
      <c r="O523" s="14"/>
      <c r="P523" s="8"/>
    </row>
    <row r="524">
      <c r="B524" s="51"/>
      <c r="G524" s="14"/>
      <c r="J524" s="48"/>
      <c r="O524" s="14"/>
      <c r="P524" s="8"/>
    </row>
    <row r="525">
      <c r="B525" s="51"/>
      <c r="G525" s="14"/>
      <c r="J525" s="48"/>
      <c r="O525" s="14"/>
      <c r="P525" s="8"/>
    </row>
    <row r="526">
      <c r="B526" s="51"/>
      <c r="G526" s="14"/>
      <c r="J526" s="48"/>
      <c r="O526" s="14"/>
      <c r="P526" s="8"/>
    </row>
    <row r="527">
      <c r="B527" s="51"/>
      <c r="G527" s="14"/>
      <c r="J527" s="48"/>
      <c r="O527" s="14"/>
      <c r="P527" s="8"/>
    </row>
    <row r="528">
      <c r="B528" s="51"/>
      <c r="G528" s="14"/>
      <c r="J528" s="48"/>
      <c r="O528" s="14"/>
      <c r="P528" s="8"/>
    </row>
    <row r="529">
      <c r="B529" s="51"/>
      <c r="G529" s="14"/>
      <c r="J529" s="48"/>
      <c r="O529" s="14"/>
      <c r="P529" s="8"/>
    </row>
    <row r="530">
      <c r="B530" s="51"/>
      <c r="G530" s="14"/>
      <c r="J530" s="48"/>
      <c r="O530" s="14"/>
      <c r="P530" s="8"/>
    </row>
    <row r="531">
      <c r="B531" s="51"/>
      <c r="G531" s="14"/>
      <c r="J531" s="48"/>
      <c r="O531" s="14"/>
      <c r="P531" s="8"/>
    </row>
    <row r="532">
      <c r="B532" s="51"/>
      <c r="G532" s="14"/>
      <c r="J532" s="48"/>
      <c r="O532" s="14"/>
      <c r="P532" s="8"/>
    </row>
    <row r="533">
      <c r="B533" s="51"/>
      <c r="G533" s="14"/>
      <c r="J533" s="48"/>
      <c r="O533" s="14"/>
      <c r="P533" s="8"/>
    </row>
    <row r="534">
      <c r="B534" s="51"/>
      <c r="G534" s="14"/>
      <c r="J534" s="48"/>
      <c r="O534" s="14"/>
      <c r="P534" s="8"/>
    </row>
    <row r="535">
      <c r="B535" s="51"/>
      <c r="G535" s="14"/>
      <c r="J535" s="48"/>
      <c r="O535" s="14"/>
      <c r="P535" s="8"/>
    </row>
    <row r="536">
      <c r="B536" s="51"/>
      <c r="G536" s="14"/>
      <c r="J536" s="48"/>
      <c r="O536" s="14"/>
      <c r="P536" s="8"/>
    </row>
    <row r="537">
      <c r="B537" s="51"/>
      <c r="G537" s="14"/>
      <c r="J537" s="48"/>
      <c r="O537" s="14"/>
      <c r="P537" s="8"/>
    </row>
    <row r="538">
      <c r="B538" s="51"/>
      <c r="G538" s="14"/>
      <c r="J538" s="48"/>
      <c r="O538" s="14"/>
      <c r="P538" s="8"/>
    </row>
    <row r="539">
      <c r="B539" s="51"/>
      <c r="G539" s="14"/>
      <c r="J539" s="48"/>
      <c r="O539" s="14"/>
      <c r="P539" s="8"/>
    </row>
    <row r="540">
      <c r="B540" s="51"/>
      <c r="G540" s="14"/>
      <c r="J540" s="48"/>
      <c r="O540" s="14"/>
      <c r="P540" s="8"/>
    </row>
    <row r="541">
      <c r="B541" s="51"/>
      <c r="G541" s="14"/>
      <c r="J541" s="48"/>
      <c r="O541" s="14"/>
      <c r="P541" s="8"/>
    </row>
    <row r="542">
      <c r="B542" s="51"/>
      <c r="G542" s="14"/>
      <c r="J542" s="48"/>
      <c r="O542" s="14"/>
      <c r="P542" s="8"/>
    </row>
    <row r="543">
      <c r="B543" s="51"/>
      <c r="G543" s="14"/>
      <c r="J543" s="48"/>
      <c r="O543" s="14"/>
      <c r="P543" s="8"/>
    </row>
    <row r="544">
      <c r="B544" s="51"/>
      <c r="G544" s="14"/>
      <c r="J544" s="48"/>
      <c r="O544" s="14"/>
      <c r="P544" s="8"/>
    </row>
    <row r="545">
      <c r="B545" s="51"/>
      <c r="G545" s="14"/>
      <c r="J545" s="48"/>
      <c r="O545" s="14"/>
      <c r="P545" s="8"/>
    </row>
    <row r="546">
      <c r="B546" s="51"/>
      <c r="G546" s="14"/>
      <c r="J546" s="48"/>
      <c r="O546" s="14"/>
      <c r="P546" s="8"/>
    </row>
    <row r="547">
      <c r="B547" s="51"/>
      <c r="G547" s="14"/>
      <c r="J547" s="48"/>
      <c r="O547" s="14"/>
      <c r="P547" s="8"/>
    </row>
    <row r="548">
      <c r="B548" s="51"/>
      <c r="G548" s="14"/>
      <c r="J548" s="48"/>
      <c r="O548" s="14"/>
      <c r="P548" s="8"/>
    </row>
    <row r="549">
      <c r="B549" s="51"/>
      <c r="G549" s="14"/>
      <c r="J549" s="48"/>
      <c r="O549" s="14"/>
      <c r="P549" s="8"/>
    </row>
    <row r="550">
      <c r="B550" s="51"/>
      <c r="G550" s="14"/>
      <c r="J550" s="48"/>
      <c r="O550" s="14"/>
      <c r="P550" s="8"/>
    </row>
    <row r="551">
      <c r="B551" s="51"/>
      <c r="G551" s="14"/>
      <c r="J551" s="48"/>
      <c r="O551" s="14"/>
      <c r="P551" s="8"/>
    </row>
    <row r="552">
      <c r="B552" s="51"/>
      <c r="G552" s="14"/>
      <c r="J552" s="48"/>
      <c r="O552" s="14"/>
      <c r="P552" s="8"/>
    </row>
    <row r="553">
      <c r="B553" s="51"/>
      <c r="G553" s="14"/>
      <c r="J553" s="48"/>
      <c r="O553" s="14"/>
      <c r="P553" s="8"/>
    </row>
    <row r="554">
      <c r="B554" s="51"/>
      <c r="G554" s="14"/>
      <c r="J554" s="48"/>
      <c r="O554" s="14"/>
      <c r="P554" s="8"/>
    </row>
    <row r="555">
      <c r="B555" s="51"/>
      <c r="G555" s="14"/>
      <c r="J555" s="48"/>
      <c r="O555" s="14"/>
      <c r="P555" s="8"/>
    </row>
    <row r="556">
      <c r="B556" s="51"/>
      <c r="G556" s="14"/>
      <c r="J556" s="48"/>
      <c r="O556" s="14"/>
      <c r="P556" s="8"/>
    </row>
    <row r="557">
      <c r="B557" s="51"/>
      <c r="G557" s="14"/>
      <c r="J557" s="48"/>
      <c r="O557" s="14"/>
      <c r="P557" s="8"/>
    </row>
    <row r="558">
      <c r="B558" s="51"/>
      <c r="G558" s="14"/>
      <c r="J558" s="48"/>
      <c r="O558" s="14"/>
      <c r="P558" s="8"/>
    </row>
    <row r="559">
      <c r="B559" s="51"/>
      <c r="G559" s="14"/>
      <c r="J559" s="48"/>
      <c r="O559" s="14"/>
      <c r="P559" s="8"/>
    </row>
    <row r="560">
      <c r="B560" s="51"/>
      <c r="G560" s="14"/>
      <c r="J560" s="48"/>
      <c r="O560" s="14"/>
      <c r="P560" s="8"/>
    </row>
    <row r="561">
      <c r="B561" s="51"/>
      <c r="G561" s="14"/>
      <c r="J561" s="48"/>
      <c r="O561" s="14"/>
      <c r="P561" s="8"/>
    </row>
    <row r="562">
      <c r="B562" s="51"/>
      <c r="G562" s="14"/>
      <c r="J562" s="48"/>
      <c r="O562" s="14"/>
      <c r="P562" s="8"/>
    </row>
    <row r="563">
      <c r="B563" s="51"/>
      <c r="G563" s="14"/>
      <c r="J563" s="48"/>
      <c r="O563" s="14"/>
      <c r="P563" s="8"/>
    </row>
    <row r="564">
      <c r="B564" s="51"/>
      <c r="G564" s="14"/>
      <c r="J564" s="48"/>
      <c r="O564" s="14"/>
      <c r="P564" s="8"/>
    </row>
    <row r="565">
      <c r="B565" s="51"/>
      <c r="G565" s="14"/>
      <c r="J565" s="48"/>
      <c r="O565" s="14"/>
      <c r="P565" s="8"/>
    </row>
    <row r="566">
      <c r="B566" s="51"/>
      <c r="G566" s="14"/>
      <c r="J566" s="48"/>
      <c r="O566" s="14"/>
      <c r="P566" s="8"/>
    </row>
    <row r="567">
      <c r="B567" s="51"/>
      <c r="G567" s="14"/>
      <c r="J567" s="48"/>
      <c r="O567" s="14"/>
      <c r="P567" s="8"/>
    </row>
    <row r="568">
      <c r="B568" s="51"/>
      <c r="G568" s="14"/>
      <c r="J568" s="48"/>
      <c r="O568" s="14"/>
      <c r="P568" s="8"/>
    </row>
    <row r="569">
      <c r="B569" s="51"/>
      <c r="G569" s="14"/>
      <c r="J569" s="48"/>
      <c r="O569" s="14"/>
      <c r="P569" s="8"/>
    </row>
    <row r="570">
      <c r="B570" s="51"/>
      <c r="G570" s="14"/>
      <c r="J570" s="48"/>
      <c r="O570" s="14"/>
      <c r="P570" s="8"/>
    </row>
    <row r="571">
      <c r="B571" s="51"/>
      <c r="G571" s="14"/>
      <c r="J571" s="48"/>
      <c r="O571" s="14"/>
      <c r="P571" s="8"/>
    </row>
    <row r="572">
      <c r="B572" s="51"/>
      <c r="G572" s="14"/>
      <c r="J572" s="48"/>
      <c r="O572" s="14"/>
      <c r="P572" s="8"/>
    </row>
    <row r="573">
      <c r="B573" s="51"/>
      <c r="G573" s="14"/>
      <c r="J573" s="48"/>
      <c r="O573" s="14"/>
      <c r="P573" s="8"/>
    </row>
    <row r="574">
      <c r="B574" s="51"/>
      <c r="G574" s="14"/>
      <c r="J574" s="48"/>
      <c r="O574" s="14"/>
      <c r="P574" s="8"/>
    </row>
    <row r="575">
      <c r="B575" s="51"/>
      <c r="G575" s="14"/>
      <c r="J575" s="48"/>
      <c r="O575" s="14"/>
      <c r="P575" s="8"/>
    </row>
    <row r="576">
      <c r="B576" s="51"/>
      <c r="G576" s="14"/>
      <c r="J576" s="48"/>
      <c r="O576" s="14"/>
      <c r="P576" s="8"/>
    </row>
    <row r="577">
      <c r="B577" s="51"/>
      <c r="G577" s="14"/>
      <c r="J577" s="48"/>
      <c r="O577" s="14"/>
      <c r="P577" s="8"/>
    </row>
    <row r="578">
      <c r="B578" s="51"/>
      <c r="G578" s="14"/>
      <c r="J578" s="48"/>
      <c r="O578" s="14"/>
      <c r="P578" s="8"/>
    </row>
    <row r="579">
      <c r="B579" s="51"/>
      <c r="G579" s="14"/>
      <c r="J579" s="48"/>
      <c r="O579" s="14"/>
      <c r="P579" s="8"/>
    </row>
    <row r="580">
      <c r="B580" s="51"/>
      <c r="G580" s="14"/>
      <c r="J580" s="48"/>
      <c r="O580" s="14"/>
      <c r="P580" s="8"/>
    </row>
    <row r="581">
      <c r="B581" s="51"/>
      <c r="G581" s="14"/>
      <c r="J581" s="48"/>
      <c r="O581" s="14"/>
      <c r="P581" s="8"/>
    </row>
    <row r="582">
      <c r="B582" s="51"/>
      <c r="G582" s="14"/>
      <c r="J582" s="48"/>
      <c r="O582" s="14"/>
      <c r="P582" s="8"/>
    </row>
    <row r="583">
      <c r="B583" s="51"/>
      <c r="G583" s="14"/>
      <c r="J583" s="48"/>
      <c r="O583" s="14"/>
      <c r="P583" s="8"/>
    </row>
    <row r="584">
      <c r="B584" s="51"/>
      <c r="G584" s="14"/>
      <c r="J584" s="48"/>
      <c r="O584" s="14"/>
      <c r="P584" s="8"/>
    </row>
    <row r="585">
      <c r="B585" s="51"/>
      <c r="G585" s="14"/>
      <c r="J585" s="48"/>
      <c r="O585" s="14"/>
      <c r="P585" s="8"/>
    </row>
    <row r="586">
      <c r="B586" s="51"/>
      <c r="G586" s="14"/>
      <c r="J586" s="48"/>
      <c r="O586" s="14"/>
      <c r="P586" s="8"/>
    </row>
    <row r="587">
      <c r="B587" s="51"/>
      <c r="G587" s="14"/>
      <c r="J587" s="48"/>
      <c r="O587" s="14"/>
      <c r="P587" s="8"/>
    </row>
    <row r="588">
      <c r="B588" s="51"/>
      <c r="G588" s="14"/>
      <c r="J588" s="48"/>
      <c r="O588" s="14"/>
      <c r="P588" s="8"/>
    </row>
    <row r="589">
      <c r="B589" s="51"/>
      <c r="G589" s="14"/>
      <c r="J589" s="48"/>
      <c r="O589" s="14"/>
      <c r="P589" s="8"/>
    </row>
    <row r="590">
      <c r="B590" s="51"/>
      <c r="G590" s="14"/>
      <c r="J590" s="48"/>
      <c r="O590" s="14"/>
      <c r="P590" s="8"/>
    </row>
    <row r="591">
      <c r="B591" s="51"/>
      <c r="G591" s="14"/>
      <c r="J591" s="48"/>
      <c r="O591" s="14"/>
      <c r="P591" s="8"/>
    </row>
    <row r="592">
      <c r="B592" s="51"/>
      <c r="G592" s="14"/>
      <c r="J592" s="48"/>
      <c r="O592" s="14"/>
      <c r="P592" s="8"/>
    </row>
    <row r="593">
      <c r="B593" s="51"/>
      <c r="G593" s="14"/>
      <c r="J593" s="48"/>
      <c r="O593" s="14"/>
      <c r="P593" s="8"/>
    </row>
    <row r="594">
      <c r="B594" s="51"/>
      <c r="G594" s="14"/>
      <c r="J594" s="48"/>
      <c r="O594" s="14"/>
      <c r="P594" s="8"/>
    </row>
    <row r="595">
      <c r="B595" s="51"/>
      <c r="G595" s="14"/>
      <c r="J595" s="48"/>
      <c r="O595" s="14"/>
      <c r="P595" s="8"/>
    </row>
    <row r="596">
      <c r="B596" s="51"/>
      <c r="G596" s="14"/>
      <c r="J596" s="48"/>
      <c r="O596" s="14"/>
      <c r="P596" s="8"/>
    </row>
    <row r="597">
      <c r="B597" s="51"/>
      <c r="G597" s="14"/>
      <c r="J597" s="48"/>
      <c r="O597" s="14"/>
      <c r="P597" s="8"/>
    </row>
    <row r="598">
      <c r="B598" s="51"/>
      <c r="G598" s="14"/>
      <c r="J598" s="48"/>
      <c r="O598" s="14"/>
      <c r="P598" s="8"/>
    </row>
    <row r="599">
      <c r="B599" s="51"/>
      <c r="G599" s="14"/>
      <c r="J599" s="48"/>
      <c r="O599" s="14"/>
      <c r="P599" s="8"/>
    </row>
    <row r="600">
      <c r="B600" s="51"/>
      <c r="G600" s="14"/>
      <c r="J600" s="48"/>
      <c r="O600" s="14"/>
      <c r="P600" s="8"/>
    </row>
    <row r="601">
      <c r="B601" s="51"/>
      <c r="G601" s="14"/>
      <c r="J601" s="48"/>
      <c r="O601" s="14"/>
      <c r="P601" s="8"/>
    </row>
    <row r="602">
      <c r="B602" s="51"/>
      <c r="G602" s="14"/>
      <c r="J602" s="48"/>
      <c r="O602" s="14"/>
      <c r="P602" s="8"/>
    </row>
    <row r="603">
      <c r="B603" s="51"/>
      <c r="G603" s="14"/>
      <c r="J603" s="48"/>
      <c r="O603" s="14"/>
      <c r="P603" s="8"/>
    </row>
    <row r="604">
      <c r="B604" s="51"/>
      <c r="G604" s="14"/>
      <c r="J604" s="48"/>
      <c r="O604" s="14"/>
      <c r="P604" s="8"/>
    </row>
    <row r="605">
      <c r="B605" s="51"/>
      <c r="G605" s="14"/>
      <c r="J605" s="48"/>
      <c r="O605" s="14"/>
      <c r="P605" s="8"/>
    </row>
    <row r="606">
      <c r="B606" s="51"/>
      <c r="G606" s="14"/>
      <c r="J606" s="48"/>
      <c r="O606" s="14"/>
      <c r="P606" s="8"/>
    </row>
    <row r="607">
      <c r="B607" s="51"/>
      <c r="G607" s="14"/>
      <c r="J607" s="48"/>
      <c r="O607" s="14"/>
      <c r="P607" s="8"/>
    </row>
    <row r="608">
      <c r="B608" s="51"/>
      <c r="G608" s="14"/>
      <c r="J608" s="48"/>
      <c r="O608" s="14"/>
      <c r="P608" s="8"/>
    </row>
    <row r="609">
      <c r="B609" s="51"/>
      <c r="G609" s="14"/>
      <c r="J609" s="48"/>
      <c r="O609" s="14"/>
      <c r="P609" s="8"/>
    </row>
    <row r="610">
      <c r="B610" s="51"/>
      <c r="G610" s="14"/>
      <c r="J610" s="48"/>
      <c r="O610" s="14"/>
      <c r="P610" s="8"/>
    </row>
    <row r="611">
      <c r="B611" s="51"/>
      <c r="G611" s="14"/>
      <c r="J611" s="48"/>
      <c r="O611" s="14"/>
      <c r="P611" s="8"/>
    </row>
    <row r="612">
      <c r="B612" s="51"/>
      <c r="G612" s="14"/>
      <c r="J612" s="48"/>
      <c r="O612" s="14"/>
      <c r="P612" s="8"/>
    </row>
    <row r="613">
      <c r="B613" s="51"/>
      <c r="G613" s="14"/>
      <c r="J613" s="48"/>
      <c r="O613" s="14"/>
      <c r="P613" s="8"/>
    </row>
    <row r="614">
      <c r="B614" s="51"/>
      <c r="G614" s="14"/>
      <c r="J614" s="48"/>
      <c r="O614" s="14"/>
      <c r="P614" s="8"/>
    </row>
    <row r="615">
      <c r="B615" s="51"/>
      <c r="G615" s="14"/>
      <c r="J615" s="48"/>
      <c r="O615" s="14"/>
      <c r="P615" s="8"/>
    </row>
    <row r="616">
      <c r="B616" s="51"/>
      <c r="G616" s="14"/>
      <c r="J616" s="48"/>
      <c r="O616" s="14"/>
      <c r="P616" s="8"/>
    </row>
    <row r="617">
      <c r="B617" s="51"/>
      <c r="G617" s="14"/>
      <c r="J617" s="48"/>
      <c r="O617" s="14"/>
      <c r="P617" s="8"/>
    </row>
    <row r="618">
      <c r="B618" s="51"/>
      <c r="G618" s="14"/>
      <c r="J618" s="48"/>
      <c r="O618" s="14"/>
      <c r="P618" s="8"/>
    </row>
    <row r="619">
      <c r="B619" s="51"/>
      <c r="G619" s="14"/>
      <c r="J619" s="48"/>
      <c r="O619" s="14"/>
      <c r="P619" s="8"/>
    </row>
    <row r="620">
      <c r="B620" s="51"/>
      <c r="G620" s="14"/>
      <c r="J620" s="48"/>
      <c r="O620" s="14"/>
      <c r="P620" s="8"/>
    </row>
    <row r="621">
      <c r="B621" s="51"/>
      <c r="G621" s="14"/>
      <c r="J621" s="48"/>
      <c r="O621" s="14"/>
      <c r="P621" s="8"/>
    </row>
    <row r="622">
      <c r="B622" s="51"/>
      <c r="G622" s="14"/>
      <c r="J622" s="48"/>
      <c r="O622" s="14"/>
      <c r="P622" s="8"/>
    </row>
    <row r="623">
      <c r="B623" s="51"/>
      <c r="G623" s="14"/>
      <c r="J623" s="48"/>
      <c r="O623" s="14"/>
      <c r="P623" s="8"/>
    </row>
    <row r="624">
      <c r="B624" s="51"/>
      <c r="G624" s="14"/>
      <c r="J624" s="48"/>
      <c r="O624" s="14"/>
      <c r="P624" s="8"/>
    </row>
    <row r="625">
      <c r="B625" s="51"/>
      <c r="G625" s="14"/>
      <c r="J625" s="48"/>
      <c r="O625" s="14"/>
      <c r="P625" s="8"/>
    </row>
    <row r="626">
      <c r="B626" s="51"/>
      <c r="G626" s="14"/>
      <c r="J626" s="48"/>
      <c r="O626" s="14"/>
      <c r="P626" s="8"/>
    </row>
    <row r="627">
      <c r="B627" s="51"/>
      <c r="G627" s="14"/>
      <c r="J627" s="48"/>
      <c r="O627" s="14"/>
      <c r="P627" s="8"/>
    </row>
    <row r="628">
      <c r="B628" s="51"/>
      <c r="G628" s="14"/>
      <c r="J628" s="48"/>
      <c r="O628" s="14"/>
      <c r="P628" s="8"/>
    </row>
    <row r="629">
      <c r="B629" s="51"/>
      <c r="G629" s="14"/>
      <c r="J629" s="48"/>
      <c r="O629" s="14"/>
      <c r="P629" s="8"/>
    </row>
    <row r="630">
      <c r="B630" s="51"/>
      <c r="G630" s="14"/>
      <c r="J630" s="48"/>
      <c r="O630" s="14"/>
      <c r="P630" s="8"/>
    </row>
    <row r="631">
      <c r="B631" s="51"/>
      <c r="G631" s="14"/>
      <c r="J631" s="48"/>
      <c r="O631" s="14"/>
      <c r="P631" s="8"/>
    </row>
    <row r="632">
      <c r="B632" s="51"/>
      <c r="G632" s="14"/>
      <c r="J632" s="48"/>
      <c r="O632" s="14"/>
      <c r="P632" s="8"/>
    </row>
    <row r="633">
      <c r="B633" s="51"/>
      <c r="G633" s="14"/>
      <c r="J633" s="48"/>
      <c r="O633" s="14"/>
      <c r="P633" s="8"/>
    </row>
    <row r="634">
      <c r="B634" s="51"/>
      <c r="G634" s="14"/>
      <c r="J634" s="48"/>
      <c r="O634" s="14"/>
      <c r="P634" s="8"/>
    </row>
    <row r="635">
      <c r="B635" s="51"/>
      <c r="G635" s="14"/>
      <c r="J635" s="48"/>
      <c r="O635" s="14"/>
      <c r="P635" s="8"/>
    </row>
    <row r="636">
      <c r="B636" s="51"/>
      <c r="G636" s="14"/>
      <c r="J636" s="48"/>
      <c r="O636" s="14"/>
      <c r="P636" s="8"/>
    </row>
    <row r="637">
      <c r="B637" s="51"/>
      <c r="G637" s="14"/>
      <c r="J637" s="48"/>
      <c r="O637" s="14"/>
      <c r="P637" s="8"/>
    </row>
    <row r="638">
      <c r="B638" s="51"/>
      <c r="G638" s="14"/>
      <c r="J638" s="48"/>
      <c r="O638" s="14"/>
      <c r="P638" s="8"/>
    </row>
    <row r="639">
      <c r="B639" s="51"/>
      <c r="G639" s="14"/>
      <c r="J639" s="48"/>
      <c r="O639" s="14"/>
      <c r="P639" s="8"/>
    </row>
    <row r="640">
      <c r="B640" s="51"/>
      <c r="G640" s="14"/>
      <c r="J640" s="48"/>
      <c r="O640" s="14"/>
      <c r="P640" s="8"/>
    </row>
    <row r="641">
      <c r="B641" s="51"/>
      <c r="G641" s="14"/>
      <c r="J641" s="48"/>
      <c r="O641" s="14"/>
      <c r="P641" s="8"/>
    </row>
    <row r="642">
      <c r="B642" s="51"/>
      <c r="G642" s="14"/>
      <c r="J642" s="48"/>
      <c r="O642" s="14"/>
      <c r="P642" s="8"/>
    </row>
    <row r="643">
      <c r="B643" s="51"/>
      <c r="G643" s="14"/>
      <c r="J643" s="48"/>
      <c r="O643" s="14"/>
      <c r="P643" s="8"/>
    </row>
    <row r="644">
      <c r="B644" s="51"/>
      <c r="G644" s="14"/>
      <c r="J644" s="48"/>
      <c r="O644" s="14"/>
      <c r="P644" s="8"/>
    </row>
    <row r="645">
      <c r="B645" s="51"/>
      <c r="G645" s="14"/>
      <c r="J645" s="48"/>
      <c r="O645" s="14"/>
      <c r="P645" s="8"/>
    </row>
    <row r="646">
      <c r="B646" s="51"/>
      <c r="G646" s="14"/>
      <c r="J646" s="48"/>
      <c r="O646" s="14"/>
      <c r="P646" s="8"/>
    </row>
    <row r="647">
      <c r="B647" s="51"/>
      <c r="G647" s="14"/>
      <c r="J647" s="48"/>
      <c r="O647" s="14"/>
      <c r="P647" s="8"/>
    </row>
    <row r="648">
      <c r="B648" s="51"/>
      <c r="G648" s="14"/>
      <c r="J648" s="48"/>
      <c r="O648" s="14"/>
      <c r="P648" s="8"/>
    </row>
    <row r="649">
      <c r="B649" s="51"/>
      <c r="G649" s="14"/>
      <c r="J649" s="48"/>
      <c r="O649" s="14"/>
      <c r="P649" s="8"/>
    </row>
    <row r="650">
      <c r="B650" s="51"/>
      <c r="G650" s="14"/>
      <c r="J650" s="48"/>
      <c r="O650" s="14"/>
      <c r="P650" s="8"/>
    </row>
    <row r="651">
      <c r="B651" s="51"/>
      <c r="G651" s="14"/>
      <c r="J651" s="48"/>
      <c r="O651" s="14"/>
      <c r="P651" s="8"/>
    </row>
    <row r="652">
      <c r="B652" s="51"/>
      <c r="G652" s="14"/>
      <c r="J652" s="48"/>
      <c r="O652" s="14"/>
      <c r="P652" s="8"/>
    </row>
    <row r="653">
      <c r="B653" s="51"/>
      <c r="G653" s="14"/>
      <c r="J653" s="48"/>
      <c r="O653" s="14"/>
      <c r="P653" s="8"/>
    </row>
    <row r="654">
      <c r="B654" s="51"/>
      <c r="G654" s="14"/>
      <c r="J654" s="48"/>
      <c r="O654" s="14"/>
      <c r="P654" s="8"/>
    </row>
    <row r="655">
      <c r="B655" s="51"/>
      <c r="G655" s="14"/>
      <c r="J655" s="48"/>
      <c r="O655" s="14"/>
      <c r="P655" s="8"/>
    </row>
    <row r="656">
      <c r="B656" s="51"/>
      <c r="G656" s="14"/>
      <c r="J656" s="48"/>
      <c r="O656" s="14"/>
      <c r="P656" s="8"/>
    </row>
    <row r="657">
      <c r="B657" s="51"/>
      <c r="G657" s="14"/>
      <c r="J657" s="48"/>
      <c r="O657" s="14"/>
      <c r="P657" s="8"/>
    </row>
    <row r="658">
      <c r="B658" s="51"/>
      <c r="G658" s="14"/>
      <c r="J658" s="48"/>
      <c r="O658" s="14"/>
      <c r="P658" s="8"/>
    </row>
    <row r="659">
      <c r="B659" s="51"/>
      <c r="G659" s="14"/>
      <c r="J659" s="48"/>
      <c r="O659" s="14"/>
      <c r="P659" s="8"/>
    </row>
    <row r="660">
      <c r="B660" s="51"/>
      <c r="G660" s="14"/>
      <c r="J660" s="48"/>
      <c r="P660" s="8"/>
    </row>
    <row r="661">
      <c r="B661" s="51"/>
      <c r="G661" s="14"/>
      <c r="P661" s="8"/>
    </row>
    <row r="662">
      <c r="B662" s="51"/>
      <c r="G662" s="14"/>
      <c r="P662" s="8"/>
    </row>
    <row r="663">
      <c r="B663" s="51"/>
      <c r="G663" s="14"/>
      <c r="P663" s="8"/>
    </row>
    <row r="664">
      <c r="B664" s="51"/>
      <c r="G664" s="14"/>
      <c r="P664" s="8"/>
    </row>
    <row r="665">
      <c r="B665" s="51"/>
      <c r="G665" s="14"/>
      <c r="P665" s="8"/>
    </row>
    <row r="666">
      <c r="B666" s="51"/>
      <c r="G666" s="14"/>
      <c r="P666" s="8"/>
    </row>
    <row r="667">
      <c r="B667" s="51"/>
      <c r="G667" s="14"/>
      <c r="P667" s="8"/>
    </row>
    <row r="668">
      <c r="B668" s="51"/>
      <c r="G668" s="14"/>
      <c r="P668" s="8"/>
    </row>
    <row r="669">
      <c r="B669" s="51"/>
      <c r="G669" s="14"/>
      <c r="P669" s="8"/>
    </row>
    <row r="670">
      <c r="B670" s="51"/>
      <c r="G670" s="14"/>
      <c r="P670" s="8"/>
    </row>
    <row r="671">
      <c r="B671" s="51"/>
      <c r="G671" s="14"/>
      <c r="P671" s="8"/>
    </row>
    <row r="672">
      <c r="B672" s="51"/>
      <c r="G672" s="14"/>
      <c r="P672" s="8"/>
    </row>
    <row r="673">
      <c r="B673" s="51"/>
      <c r="G673" s="14"/>
      <c r="P673" s="8"/>
    </row>
    <row r="674">
      <c r="B674" s="51"/>
      <c r="G674" s="14"/>
      <c r="P674" s="8"/>
    </row>
    <row r="675">
      <c r="B675" s="51"/>
      <c r="G675" s="14"/>
      <c r="P675" s="8"/>
    </row>
    <row r="676">
      <c r="B676" s="51"/>
      <c r="G676" s="14"/>
      <c r="P676" s="8"/>
    </row>
    <row r="677">
      <c r="B677" s="51"/>
      <c r="G677" s="14"/>
      <c r="P677" s="8"/>
    </row>
    <row r="678">
      <c r="B678" s="51"/>
      <c r="G678" s="14"/>
      <c r="P678" s="8"/>
    </row>
    <row r="679">
      <c r="B679" s="51"/>
      <c r="G679" s="14"/>
      <c r="P679" s="8"/>
    </row>
    <row r="680">
      <c r="B680" s="51"/>
      <c r="G680" s="14"/>
      <c r="P680" s="8"/>
    </row>
    <row r="681">
      <c r="B681" s="51"/>
      <c r="G681" s="14"/>
      <c r="P681" s="8"/>
    </row>
    <row r="682">
      <c r="B682" s="51"/>
      <c r="G682" s="14"/>
      <c r="P682" s="8"/>
    </row>
    <row r="683">
      <c r="B683" s="51"/>
      <c r="G683" s="14"/>
      <c r="P683" s="8"/>
    </row>
    <row r="684">
      <c r="B684" s="51"/>
      <c r="G684" s="14"/>
      <c r="P684" s="8"/>
    </row>
    <row r="685">
      <c r="B685" s="51"/>
      <c r="G685" s="14"/>
      <c r="P685" s="8"/>
    </row>
    <row r="686">
      <c r="B686" s="51"/>
      <c r="G686" s="14"/>
      <c r="P686" s="8"/>
    </row>
    <row r="687">
      <c r="B687" s="51"/>
      <c r="G687" s="14"/>
      <c r="P687" s="8"/>
    </row>
    <row r="688">
      <c r="B688" s="51"/>
      <c r="G688" s="14"/>
      <c r="P688" s="8"/>
    </row>
    <row r="689">
      <c r="B689" s="51"/>
      <c r="G689" s="14"/>
      <c r="P689" s="8"/>
    </row>
    <row r="690">
      <c r="B690" s="51"/>
      <c r="G690" s="14"/>
      <c r="P690" s="8"/>
    </row>
    <row r="691">
      <c r="B691" s="51"/>
      <c r="G691" s="14"/>
      <c r="P691" s="8"/>
    </row>
    <row r="692">
      <c r="B692" s="51"/>
      <c r="G692" s="14"/>
      <c r="P692" s="8"/>
    </row>
    <row r="693">
      <c r="B693" s="51"/>
      <c r="G693" s="14"/>
      <c r="P693" s="8"/>
    </row>
    <row r="694">
      <c r="B694" s="51"/>
      <c r="G694" s="14"/>
      <c r="P694" s="8"/>
    </row>
    <row r="695">
      <c r="B695" s="51"/>
      <c r="G695" s="14"/>
      <c r="P695" s="8"/>
    </row>
    <row r="696">
      <c r="B696" s="51"/>
      <c r="G696" s="14"/>
      <c r="P696" s="8"/>
    </row>
    <row r="697">
      <c r="B697" s="51"/>
      <c r="G697" s="14"/>
      <c r="P697" s="8"/>
    </row>
    <row r="698">
      <c r="B698" s="51"/>
      <c r="G698" s="14"/>
      <c r="P698" s="8"/>
    </row>
    <row r="699">
      <c r="B699" s="51"/>
      <c r="G699" s="14"/>
      <c r="P699" s="8"/>
    </row>
    <row r="700">
      <c r="B700" s="51"/>
      <c r="G700" s="14"/>
      <c r="P700" s="8"/>
    </row>
    <row r="701">
      <c r="B701" s="51"/>
      <c r="G701" s="14"/>
      <c r="P701" s="8"/>
    </row>
    <row r="702">
      <c r="B702" s="51"/>
      <c r="G702" s="14"/>
      <c r="P702" s="8"/>
    </row>
    <row r="703">
      <c r="B703" s="51"/>
      <c r="G703" s="14"/>
      <c r="P703" s="8"/>
    </row>
    <row r="704">
      <c r="B704" s="51"/>
      <c r="G704" s="14"/>
      <c r="P704" s="8"/>
    </row>
    <row r="705">
      <c r="B705" s="51"/>
      <c r="G705" s="14"/>
      <c r="P705" s="8"/>
    </row>
    <row r="706">
      <c r="B706" s="51"/>
      <c r="G706" s="14"/>
      <c r="P706" s="8"/>
    </row>
    <row r="707">
      <c r="B707" s="51"/>
      <c r="G707" s="14"/>
      <c r="P707" s="8"/>
    </row>
    <row r="708">
      <c r="B708" s="51"/>
      <c r="G708" s="14"/>
      <c r="P708" s="8"/>
    </row>
    <row r="709">
      <c r="B709" s="51"/>
      <c r="G709" s="14"/>
      <c r="P709" s="8"/>
    </row>
    <row r="710">
      <c r="B710" s="51"/>
      <c r="G710" s="14"/>
      <c r="P710" s="8"/>
    </row>
    <row r="711">
      <c r="B711" s="51"/>
      <c r="G711" s="14"/>
      <c r="P711" s="8"/>
    </row>
    <row r="712">
      <c r="B712" s="51"/>
      <c r="G712" s="14"/>
      <c r="P712" s="8"/>
    </row>
    <row r="713">
      <c r="B713" s="51"/>
      <c r="G713" s="14"/>
      <c r="P713" s="8"/>
    </row>
    <row r="714">
      <c r="B714" s="51"/>
      <c r="G714" s="14"/>
      <c r="P714" s="8"/>
    </row>
    <row r="715">
      <c r="B715" s="51"/>
      <c r="P715" s="8"/>
    </row>
    <row r="716">
      <c r="B716" s="51"/>
      <c r="P716" s="8"/>
    </row>
    <row r="717">
      <c r="B717" s="51"/>
      <c r="P717" s="8"/>
    </row>
    <row r="718">
      <c r="B718" s="51"/>
      <c r="P718" s="8"/>
    </row>
    <row r="719">
      <c r="B719" s="51"/>
      <c r="P719" s="8"/>
    </row>
    <row r="720">
      <c r="B720" s="51"/>
      <c r="P720" s="8"/>
    </row>
    <row r="721">
      <c r="B721" s="51"/>
      <c r="P721" s="8"/>
    </row>
    <row r="722">
      <c r="B722" s="51"/>
      <c r="P722" s="8"/>
    </row>
    <row r="723">
      <c r="B723" s="51"/>
      <c r="P723" s="8"/>
    </row>
    <row r="724">
      <c r="B724" s="51"/>
      <c r="P724" s="8"/>
    </row>
    <row r="725">
      <c r="B725" s="51"/>
      <c r="P725" s="8"/>
    </row>
    <row r="726">
      <c r="B726" s="51"/>
      <c r="P726" s="8"/>
    </row>
    <row r="727">
      <c r="B727" s="51"/>
      <c r="P727" s="8"/>
    </row>
    <row r="728">
      <c r="B728" s="57"/>
      <c r="P728" s="8"/>
    </row>
    <row r="729">
      <c r="B729" s="57"/>
      <c r="P729" s="8"/>
    </row>
    <row r="730">
      <c r="B730" s="57"/>
      <c r="P730" s="8"/>
    </row>
    <row r="731">
      <c r="B731" s="57"/>
      <c r="P731" s="8"/>
    </row>
    <row r="732">
      <c r="B732" s="57"/>
      <c r="P732" s="8"/>
    </row>
    <row r="733">
      <c r="B733" s="57"/>
      <c r="P733" s="8"/>
    </row>
    <row r="734">
      <c r="B734" s="57"/>
      <c r="P734" s="8"/>
    </row>
    <row r="735">
      <c r="B735" s="57"/>
      <c r="P735" s="8"/>
    </row>
    <row r="736">
      <c r="B736" s="57"/>
      <c r="P736" s="8"/>
    </row>
    <row r="737">
      <c r="B737" s="57"/>
      <c r="P737" s="8"/>
    </row>
    <row r="738">
      <c r="B738" s="57"/>
      <c r="P738" s="8"/>
    </row>
    <row r="739">
      <c r="B739" s="57"/>
      <c r="P739" s="8"/>
    </row>
    <row r="740">
      <c r="B740" s="57"/>
      <c r="P740" s="8"/>
    </row>
    <row r="741">
      <c r="B741" s="57"/>
      <c r="P741" s="8"/>
    </row>
    <row r="742">
      <c r="B742" s="57"/>
      <c r="P742" s="8"/>
    </row>
    <row r="743">
      <c r="B743" s="57"/>
      <c r="P743" s="8"/>
    </row>
    <row r="744">
      <c r="B744" s="57"/>
      <c r="P744" s="8"/>
    </row>
    <row r="745">
      <c r="B745" s="57"/>
      <c r="P745" s="8"/>
    </row>
    <row r="746">
      <c r="B746" s="57"/>
      <c r="P746" s="8"/>
    </row>
    <row r="747">
      <c r="B747" s="57"/>
      <c r="P747" s="8"/>
    </row>
    <row r="748">
      <c r="B748" s="57"/>
      <c r="P748" s="8"/>
    </row>
    <row r="749">
      <c r="B749" s="57"/>
      <c r="P749" s="8"/>
    </row>
    <row r="750">
      <c r="B750" s="57"/>
      <c r="P750" s="8"/>
    </row>
    <row r="751">
      <c r="B751" s="57"/>
      <c r="P751" s="8"/>
    </row>
    <row r="752">
      <c r="B752" s="57"/>
      <c r="P752" s="8"/>
    </row>
    <row r="753">
      <c r="B753" s="57"/>
      <c r="P753" s="8"/>
    </row>
    <row r="754">
      <c r="B754" s="57"/>
      <c r="P754" s="8"/>
    </row>
    <row r="755">
      <c r="B755" s="57"/>
      <c r="P755" s="8"/>
    </row>
    <row r="756">
      <c r="B756" s="57"/>
      <c r="P756" s="8"/>
    </row>
    <row r="757">
      <c r="B757" s="57"/>
      <c r="P757" s="8"/>
    </row>
    <row r="758">
      <c r="B758" s="57"/>
      <c r="P758" s="8"/>
    </row>
    <row r="759">
      <c r="B759" s="57"/>
      <c r="P759" s="8"/>
    </row>
    <row r="760">
      <c r="B760" s="57"/>
      <c r="P760" s="8"/>
    </row>
    <row r="761">
      <c r="B761" s="57"/>
      <c r="P761" s="8"/>
    </row>
    <row r="762">
      <c r="B762" s="57"/>
      <c r="P762" s="8"/>
    </row>
    <row r="763">
      <c r="B763" s="57"/>
      <c r="P763" s="8"/>
    </row>
    <row r="764">
      <c r="B764" s="57"/>
      <c r="P764" s="8"/>
    </row>
    <row r="765">
      <c r="B765" s="57"/>
      <c r="P765" s="8"/>
    </row>
    <row r="766">
      <c r="B766" s="57"/>
      <c r="P766" s="8"/>
    </row>
    <row r="767">
      <c r="B767" s="57"/>
      <c r="P767" s="8"/>
    </row>
    <row r="768">
      <c r="B768" s="57"/>
      <c r="P768" s="8"/>
    </row>
    <row r="769">
      <c r="B769" s="57"/>
      <c r="P769" s="8"/>
    </row>
    <row r="770">
      <c r="B770" s="57"/>
      <c r="P770" s="8"/>
    </row>
    <row r="771">
      <c r="B771" s="57"/>
      <c r="P771" s="8"/>
    </row>
    <row r="772">
      <c r="B772" s="57"/>
      <c r="P772" s="8"/>
    </row>
    <row r="773">
      <c r="B773" s="57"/>
      <c r="P773" s="8"/>
    </row>
    <row r="774">
      <c r="B774" s="57"/>
      <c r="P774" s="8"/>
    </row>
    <row r="775">
      <c r="B775" s="57"/>
      <c r="P775" s="8"/>
    </row>
    <row r="776">
      <c r="B776" s="57"/>
      <c r="P776" s="8"/>
    </row>
    <row r="777">
      <c r="B777" s="57"/>
      <c r="P777" s="8"/>
    </row>
    <row r="778">
      <c r="B778" s="57"/>
      <c r="P778" s="8"/>
    </row>
    <row r="779">
      <c r="B779" s="57"/>
      <c r="P779" s="8"/>
    </row>
    <row r="780">
      <c r="B780" s="57"/>
      <c r="P780" s="8"/>
    </row>
    <row r="781">
      <c r="B781" s="57"/>
      <c r="P781" s="8"/>
    </row>
    <row r="782">
      <c r="B782" s="57"/>
      <c r="P782" s="8"/>
    </row>
    <row r="783">
      <c r="B783" s="57"/>
      <c r="P783" s="8"/>
    </row>
    <row r="784">
      <c r="B784" s="57"/>
      <c r="P784" s="8"/>
    </row>
    <row r="785">
      <c r="B785" s="57"/>
      <c r="P785" s="8"/>
    </row>
    <row r="786">
      <c r="B786" s="57"/>
      <c r="P786" s="8"/>
    </row>
    <row r="787">
      <c r="B787" s="57"/>
      <c r="P787" s="8"/>
    </row>
    <row r="788">
      <c r="B788" s="57"/>
      <c r="P788" s="8"/>
    </row>
    <row r="789">
      <c r="B789" s="57"/>
      <c r="P789" s="8"/>
    </row>
    <row r="790">
      <c r="B790" s="57"/>
      <c r="P790" s="8"/>
    </row>
    <row r="791">
      <c r="B791" s="57"/>
      <c r="P791" s="8"/>
    </row>
    <row r="792">
      <c r="B792" s="57"/>
      <c r="P792" s="8"/>
    </row>
    <row r="793">
      <c r="B793" s="57"/>
      <c r="P793" s="8"/>
    </row>
    <row r="794">
      <c r="B794" s="57"/>
      <c r="P794" s="8"/>
    </row>
    <row r="795">
      <c r="B795" s="57"/>
      <c r="P795" s="8"/>
    </row>
    <row r="796">
      <c r="B796" s="57"/>
      <c r="P796" s="8"/>
    </row>
    <row r="797">
      <c r="B797" s="57"/>
      <c r="P797" s="8"/>
    </row>
    <row r="798">
      <c r="B798" s="57"/>
      <c r="P798" s="8"/>
    </row>
    <row r="799">
      <c r="B799" s="57"/>
      <c r="P799" s="8"/>
    </row>
    <row r="800">
      <c r="B800" s="57"/>
      <c r="P800" s="8"/>
    </row>
    <row r="801">
      <c r="B801" s="57"/>
      <c r="P801" s="8"/>
    </row>
    <row r="802">
      <c r="B802" s="57"/>
      <c r="P802" s="8"/>
    </row>
    <row r="803">
      <c r="B803" s="57"/>
      <c r="P803" s="8"/>
    </row>
    <row r="804">
      <c r="B804" s="57"/>
      <c r="P804" s="8"/>
    </row>
    <row r="805">
      <c r="B805" s="57"/>
      <c r="P805" s="8"/>
    </row>
    <row r="806">
      <c r="B806" s="57"/>
      <c r="P806" s="8"/>
    </row>
    <row r="807">
      <c r="B807" s="57"/>
      <c r="P807" s="8"/>
    </row>
    <row r="808">
      <c r="B808" s="57"/>
      <c r="P808" s="8"/>
    </row>
    <row r="809">
      <c r="B809" s="57"/>
      <c r="P809" s="8"/>
    </row>
    <row r="810">
      <c r="B810" s="57"/>
      <c r="P810" s="8"/>
    </row>
    <row r="811">
      <c r="B811" s="57"/>
      <c r="P811" s="8"/>
    </row>
    <row r="812">
      <c r="B812" s="57"/>
      <c r="P812" s="8"/>
    </row>
    <row r="813">
      <c r="B813" s="57"/>
      <c r="P813" s="8"/>
    </row>
    <row r="814">
      <c r="B814" s="57"/>
      <c r="P814" s="8"/>
    </row>
    <row r="815">
      <c r="B815" s="57"/>
      <c r="P815" s="8"/>
    </row>
    <row r="816">
      <c r="B816" s="57"/>
      <c r="P816" s="8"/>
    </row>
    <row r="817">
      <c r="B817" s="57"/>
      <c r="P817" s="8"/>
    </row>
    <row r="818">
      <c r="B818" s="57"/>
      <c r="P818" s="8"/>
    </row>
    <row r="819">
      <c r="B819" s="57"/>
      <c r="P819" s="8"/>
    </row>
    <row r="820">
      <c r="B820" s="57"/>
      <c r="P820" s="8"/>
    </row>
    <row r="821">
      <c r="B821" s="57"/>
      <c r="P821" s="8"/>
    </row>
    <row r="822">
      <c r="B822" s="57"/>
      <c r="P822" s="8"/>
    </row>
    <row r="823">
      <c r="B823" s="57"/>
      <c r="P823" s="8"/>
    </row>
    <row r="824">
      <c r="B824" s="57"/>
      <c r="P824" s="8"/>
    </row>
    <row r="825">
      <c r="B825" s="57"/>
      <c r="P825" s="8"/>
    </row>
    <row r="826">
      <c r="B826" s="57"/>
      <c r="P826" s="8"/>
    </row>
    <row r="827">
      <c r="B827" s="57"/>
      <c r="P827" s="8"/>
    </row>
    <row r="828">
      <c r="B828" s="57"/>
      <c r="P828" s="8"/>
    </row>
    <row r="829">
      <c r="B829" s="57"/>
      <c r="P829" s="8"/>
    </row>
    <row r="830">
      <c r="B830" s="57"/>
      <c r="P830" s="8"/>
    </row>
    <row r="831">
      <c r="B831" s="57"/>
      <c r="P831" s="8"/>
    </row>
    <row r="832">
      <c r="B832" s="57"/>
      <c r="P832" s="8"/>
    </row>
    <row r="833">
      <c r="B833" s="57"/>
      <c r="P833" s="8"/>
    </row>
    <row r="834">
      <c r="B834" s="57"/>
      <c r="P834" s="8"/>
    </row>
    <row r="835">
      <c r="B835" s="57"/>
      <c r="P835" s="8"/>
    </row>
    <row r="836">
      <c r="B836" s="57"/>
      <c r="P836" s="8"/>
    </row>
    <row r="837">
      <c r="B837" s="57"/>
      <c r="P837" s="8"/>
    </row>
    <row r="838">
      <c r="B838" s="57"/>
      <c r="P838" s="8"/>
    </row>
    <row r="839">
      <c r="B839" s="57"/>
      <c r="P839" s="8"/>
    </row>
    <row r="840">
      <c r="B840" s="57"/>
      <c r="P840" s="8"/>
    </row>
    <row r="841">
      <c r="B841" s="57"/>
      <c r="P841" s="8"/>
    </row>
    <row r="842">
      <c r="B842" s="57"/>
      <c r="P842" s="8"/>
    </row>
    <row r="843">
      <c r="B843" s="57"/>
      <c r="P843" s="8"/>
    </row>
    <row r="844">
      <c r="B844" s="57"/>
      <c r="P844" s="8"/>
    </row>
    <row r="845">
      <c r="B845" s="57"/>
      <c r="P845" s="8"/>
    </row>
    <row r="846">
      <c r="B846" s="57"/>
      <c r="P846" s="8"/>
    </row>
    <row r="847">
      <c r="B847" s="57"/>
      <c r="P847" s="8"/>
    </row>
    <row r="848">
      <c r="B848" s="57"/>
      <c r="P848" s="8"/>
    </row>
    <row r="849">
      <c r="B849" s="57"/>
      <c r="P849" s="8"/>
    </row>
    <row r="850">
      <c r="B850" s="57"/>
      <c r="P850" s="8"/>
    </row>
    <row r="851">
      <c r="B851" s="57"/>
      <c r="P851" s="8"/>
    </row>
    <row r="852">
      <c r="B852" s="57"/>
      <c r="P852" s="8"/>
    </row>
    <row r="853">
      <c r="B853" s="57"/>
      <c r="P853" s="8"/>
    </row>
    <row r="854">
      <c r="B854" s="57"/>
      <c r="P854" s="8"/>
    </row>
    <row r="855">
      <c r="B855" s="57"/>
      <c r="P855" s="8"/>
    </row>
    <row r="856">
      <c r="B856" s="57"/>
      <c r="P856" s="8"/>
    </row>
    <row r="857">
      <c r="B857" s="57"/>
      <c r="P857" s="8"/>
    </row>
    <row r="858">
      <c r="B858" s="57"/>
      <c r="P858" s="8"/>
    </row>
    <row r="859">
      <c r="B859" s="57"/>
      <c r="P859" s="8"/>
    </row>
    <row r="860">
      <c r="B860" s="57"/>
      <c r="P860" s="8"/>
    </row>
    <row r="861">
      <c r="B861" s="57"/>
      <c r="P861" s="8"/>
    </row>
    <row r="862">
      <c r="B862" s="57"/>
      <c r="P862" s="8"/>
    </row>
    <row r="863">
      <c r="B863" s="57"/>
      <c r="P863" s="8"/>
    </row>
    <row r="864">
      <c r="B864" s="57"/>
      <c r="P864" s="8"/>
    </row>
    <row r="865">
      <c r="B865" s="57"/>
      <c r="P865" s="8"/>
    </row>
    <row r="866">
      <c r="B866" s="57"/>
      <c r="P866" s="8"/>
    </row>
    <row r="867">
      <c r="B867" s="57"/>
      <c r="P867" s="8"/>
    </row>
    <row r="868">
      <c r="B868" s="57"/>
      <c r="P868" s="8"/>
    </row>
    <row r="869">
      <c r="B869" s="57"/>
      <c r="P869" s="8"/>
    </row>
    <row r="870">
      <c r="B870" s="57"/>
      <c r="P870" s="8"/>
    </row>
    <row r="871">
      <c r="B871" s="57"/>
      <c r="P871" s="8"/>
    </row>
    <row r="872">
      <c r="B872" s="57"/>
      <c r="P872" s="8"/>
    </row>
    <row r="873">
      <c r="B873" s="57"/>
      <c r="P873" s="8"/>
    </row>
    <row r="874">
      <c r="B874" s="57"/>
      <c r="P874" s="8"/>
    </row>
    <row r="875">
      <c r="B875" s="57"/>
      <c r="P875" s="8"/>
    </row>
    <row r="876">
      <c r="B876" s="57"/>
      <c r="P876" s="8"/>
    </row>
    <row r="877">
      <c r="B877" s="57"/>
      <c r="P877" s="8"/>
    </row>
    <row r="878">
      <c r="B878" s="57"/>
      <c r="P878" s="8"/>
    </row>
    <row r="879">
      <c r="B879" s="57"/>
      <c r="P879" s="8"/>
    </row>
    <row r="880">
      <c r="B880" s="57"/>
      <c r="P880" s="8"/>
    </row>
    <row r="881">
      <c r="B881" s="57"/>
      <c r="P881" s="8"/>
    </row>
    <row r="882">
      <c r="B882" s="57"/>
      <c r="P882" s="8"/>
    </row>
    <row r="883">
      <c r="B883" s="57"/>
      <c r="P883" s="8"/>
    </row>
    <row r="884">
      <c r="B884" s="57"/>
      <c r="P884" s="8"/>
    </row>
    <row r="885">
      <c r="B885" s="57"/>
      <c r="P885" s="8"/>
    </row>
    <row r="886">
      <c r="B886" s="57"/>
      <c r="P886" s="8"/>
    </row>
    <row r="887">
      <c r="B887" s="57"/>
      <c r="P887" s="8"/>
    </row>
    <row r="888">
      <c r="B888" s="57"/>
      <c r="P888" s="8"/>
    </row>
    <row r="889">
      <c r="B889" s="57"/>
      <c r="P889" s="8"/>
    </row>
    <row r="890">
      <c r="B890" s="57"/>
      <c r="P890" s="8"/>
    </row>
    <row r="891">
      <c r="B891" s="57"/>
      <c r="P891" s="8"/>
    </row>
    <row r="892">
      <c r="B892" s="57"/>
      <c r="P892" s="8"/>
    </row>
    <row r="893">
      <c r="B893" s="57"/>
      <c r="P893" s="8"/>
    </row>
    <row r="894">
      <c r="B894" s="57"/>
      <c r="P894" s="8"/>
    </row>
    <row r="895">
      <c r="B895" s="57"/>
      <c r="P895" s="8"/>
    </row>
    <row r="896">
      <c r="B896" s="57"/>
      <c r="P896" s="8"/>
    </row>
    <row r="897">
      <c r="B897" s="57"/>
      <c r="P897" s="8"/>
    </row>
    <row r="898">
      <c r="B898" s="57"/>
      <c r="P898" s="8"/>
    </row>
    <row r="899">
      <c r="B899" s="57"/>
      <c r="P899" s="8"/>
    </row>
    <row r="900">
      <c r="B900" s="57"/>
      <c r="P900" s="8"/>
    </row>
    <row r="901">
      <c r="B901" s="57"/>
      <c r="P901" s="8"/>
    </row>
    <row r="902">
      <c r="B902" s="57"/>
      <c r="P902" s="8"/>
    </row>
    <row r="903">
      <c r="B903" s="57"/>
      <c r="P903" s="8"/>
    </row>
    <row r="904">
      <c r="B904" s="57"/>
      <c r="P904" s="8"/>
    </row>
    <row r="905">
      <c r="B905" s="57"/>
      <c r="P905" s="8"/>
    </row>
    <row r="906">
      <c r="B906" s="57"/>
      <c r="P906" s="8"/>
    </row>
    <row r="907">
      <c r="B907" s="57"/>
      <c r="P907" s="8"/>
    </row>
    <row r="908">
      <c r="B908" s="57"/>
      <c r="P908" s="8"/>
    </row>
    <row r="909">
      <c r="B909" s="57"/>
      <c r="P909" s="8"/>
    </row>
    <row r="910">
      <c r="B910" s="57"/>
      <c r="P910" s="8"/>
    </row>
    <row r="911">
      <c r="B911" s="57"/>
      <c r="P911" s="8"/>
    </row>
    <row r="912">
      <c r="B912" s="57"/>
      <c r="P912" s="8"/>
    </row>
    <row r="913">
      <c r="B913" s="57"/>
      <c r="P913" s="8"/>
    </row>
    <row r="914">
      <c r="B914" s="57"/>
      <c r="P914" s="8"/>
    </row>
    <row r="915">
      <c r="B915" s="57"/>
      <c r="P915" s="8"/>
    </row>
    <row r="916">
      <c r="B916" s="57"/>
      <c r="P916" s="8"/>
    </row>
    <row r="917">
      <c r="B917" s="57"/>
      <c r="P917" s="8"/>
    </row>
    <row r="918">
      <c r="B918" s="57"/>
      <c r="P918" s="8"/>
    </row>
    <row r="919">
      <c r="B919" s="57"/>
      <c r="P919" s="8"/>
    </row>
    <row r="920">
      <c r="B920" s="57"/>
      <c r="P920" s="8"/>
    </row>
    <row r="921">
      <c r="B921" s="57"/>
      <c r="P921" s="8"/>
    </row>
    <row r="922">
      <c r="B922" s="57"/>
      <c r="P922" s="8"/>
    </row>
    <row r="923">
      <c r="B923" s="57"/>
      <c r="P923" s="8"/>
    </row>
    <row r="924">
      <c r="B924" s="57"/>
      <c r="P924" s="8"/>
    </row>
    <row r="925">
      <c r="B925" s="57"/>
      <c r="P925" s="8"/>
    </row>
    <row r="926">
      <c r="B926" s="57"/>
      <c r="P926" s="8"/>
    </row>
    <row r="927">
      <c r="B927" s="57"/>
      <c r="P927" s="8"/>
    </row>
    <row r="928">
      <c r="B928" s="57"/>
      <c r="P928" s="8"/>
    </row>
    <row r="929">
      <c r="B929" s="57"/>
      <c r="P929" s="8"/>
    </row>
    <row r="930">
      <c r="B930" s="57"/>
      <c r="P930" s="8"/>
    </row>
    <row r="931">
      <c r="B931" s="57"/>
      <c r="P931" s="8"/>
    </row>
    <row r="932">
      <c r="B932" s="57"/>
      <c r="P932" s="8"/>
    </row>
    <row r="933">
      <c r="B933" s="57"/>
      <c r="P933" s="8"/>
    </row>
    <row r="934">
      <c r="B934" s="57"/>
      <c r="P934" s="8"/>
    </row>
    <row r="935">
      <c r="B935" s="57"/>
      <c r="P935" s="8"/>
    </row>
    <row r="936">
      <c r="B936" s="57"/>
      <c r="P936" s="8"/>
    </row>
    <row r="937">
      <c r="B937" s="57"/>
      <c r="P937" s="8"/>
    </row>
    <row r="938">
      <c r="B938" s="57"/>
      <c r="P938" s="8"/>
    </row>
    <row r="939">
      <c r="B939" s="57"/>
      <c r="P939" s="8"/>
    </row>
    <row r="940">
      <c r="B940" s="57"/>
      <c r="P940" s="8"/>
    </row>
    <row r="941">
      <c r="B941" s="57"/>
      <c r="P941" s="8"/>
    </row>
    <row r="942">
      <c r="B942" s="57"/>
      <c r="P942" s="8"/>
    </row>
    <row r="943">
      <c r="B943" s="57"/>
      <c r="P943" s="8"/>
    </row>
    <row r="944">
      <c r="B944" s="57"/>
      <c r="P944" s="8"/>
    </row>
    <row r="945">
      <c r="B945" s="57"/>
      <c r="P945" s="8"/>
    </row>
    <row r="946">
      <c r="B946" s="57"/>
      <c r="P946" s="8"/>
    </row>
    <row r="947">
      <c r="B947" s="57"/>
      <c r="P947" s="8"/>
    </row>
    <row r="948">
      <c r="B948" s="57"/>
      <c r="P948" s="8"/>
    </row>
    <row r="949">
      <c r="B949" s="57"/>
      <c r="P949" s="8"/>
    </row>
    <row r="950">
      <c r="B950" s="57"/>
      <c r="P950" s="8"/>
    </row>
    <row r="951">
      <c r="B951" s="57"/>
      <c r="P951" s="8"/>
    </row>
    <row r="952">
      <c r="B952" s="57"/>
      <c r="P952" s="8"/>
    </row>
    <row r="953">
      <c r="B953" s="57"/>
      <c r="P953" s="8"/>
    </row>
    <row r="954">
      <c r="B954" s="57"/>
      <c r="P954" s="8"/>
    </row>
    <row r="955">
      <c r="B955" s="57"/>
      <c r="P955" s="8"/>
    </row>
    <row r="956">
      <c r="B956" s="57"/>
      <c r="P956" s="8"/>
    </row>
    <row r="957">
      <c r="B957" s="57"/>
      <c r="P957" s="8"/>
    </row>
    <row r="958">
      <c r="B958" s="57"/>
      <c r="P958" s="8"/>
    </row>
    <row r="959">
      <c r="B959" s="57"/>
      <c r="P959" s="8"/>
    </row>
    <row r="960">
      <c r="B960" s="57"/>
      <c r="P960" s="8"/>
    </row>
    <row r="961">
      <c r="B961" s="57"/>
      <c r="P961" s="8"/>
    </row>
    <row r="962">
      <c r="B962" s="57"/>
      <c r="P962" s="8"/>
    </row>
    <row r="963">
      <c r="B963" s="57"/>
      <c r="P963" s="8"/>
    </row>
    <row r="964">
      <c r="B964" s="57"/>
      <c r="P964" s="8"/>
    </row>
    <row r="965">
      <c r="B965" s="57"/>
      <c r="P965" s="8"/>
    </row>
    <row r="966">
      <c r="B966" s="57"/>
      <c r="P966" s="8"/>
    </row>
    <row r="967">
      <c r="B967" s="57"/>
      <c r="P967" s="8"/>
    </row>
    <row r="968">
      <c r="B968" s="57"/>
      <c r="P968" s="8"/>
    </row>
    <row r="969">
      <c r="B969" s="57"/>
      <c r="P969" s="8"/>
    </row>
    <row r="970">
      <c r="B970" s="57"/>
      <c r="P970" s="8"/>
    </row>
    <row r="971">
      <c r="B971" s="57"/>
      <c r="P971" s="8"/>
    </row>
    <row r="972">
      <c r="B972" s="57"/>
      <c r="P972" s="8"/>
    </row>
    <row r="973">
      <c r="B973" s="57"/>
      <c r="P973" s="8"/>
    </row>
    <row r="974">
      <c r="B974" s="57"/>
      <c r="P974" s="8"/>
    </row>
    <row r="975">
      <c r="B975" s="57"/>
      <c r="P975" s="8"/>
      <c r="T975" s="58">
        <f t="array" ref="T975">counta(UNIQUE(S2:S960))-1</f>
        <v>0</v>
      </c>
      <c r="AI975" s="58" t="str">
        <f t="array" ref="AI975:AI976">UNIQUE(AI2:AI590)</f>
        <v>Particulars</v>
      </c>
      <c r="AQ975" s="58" t="str">
        <f t="array" ref="AQ975:AQ976">UNIQUE(AQ2:AQ590)</f>
        <v>Particulars</v>
      </c>
    </row>
    <row r="976">
      <c r="B976" s="57"/>
      <c r="P976" s="8"/>
      <c r="AI976" s="58"/>
      <c r="AQ976" s="58"/>
    </row>
    <row r="977">
      <c r="B977" s="57"/>
      <c r="P977" s="8"/>
    </row>
    <row r="978">
      <c r="B978" s="57"/>
      <c r="P978" s="8"/>
    </row>
    <row r="979">
      <c r="B979" s="57"/>
      <c r="P979" s="8"/>
    </row>
    <row r="980">
      <c r="B980" s="57"/>
      <c r="P980" s="8"/>
    </row>
    <row r="981">
      <c r="B981" s="57"/>
      <c r="P981" s="8"/>
    </row>
    <row r="982">
      <c r="B982" s="57"/>
      <c r="P982" s="8"/>
    </row>
    <row r="983">
      <c r="B983" s="57"/>
      <c r="P983" s="8"/>
    </row>
    <row r="984">
      <c r="B984" s="57"/>
      <c r="P984" s="8"/>
    </row>
    <row r="985">
      <c r="B985" s="57"/>
      <c r="P985" s="8"/>
    </row>
    <row r="986">
      <c r="B986" s="57"/>
      <c r="P986" s="8"/>
    </row>
    <row r="987">
      <c r="B987" s="57"/>
      <c r="P987" s="8"/>
    </row>
    <row r="988">
      <c r="B988" s="57"/>
      <c r="P988" s="8"/>
    </row>
    <row r="989">
      <c r="B989" s="57"/>
      <c r="P989" s="8"/>
    </row>
    <row r="990">
      <c r="B990" s="57"/>
      <c r="P990" s="8"/>
    </row>
    <row r="991">
      <c r="B991" s="57"/>
      <c r="P991" s="8"/>
    </row>
    <row r="992">
      <c r="B992" s="57"/>
      <c r="P992" s="8"/>
    </row>
    <row r="993">
      <c r="B993" s="57"/>
      <c r="P993" s="8"/>
    </row>
    <row r="994">
      <c r="B994" s="57"/>
      <c r="P994" s="8"/>
    </row>
    <row r="995">
      <c r="B995" s="57"/>
      <c r="P995" s="8"/>
    </row>
    <row r="996">
      <c r="B996" s="57"/>
      <c r="P996" s="8"/>
    </row>
    <row r="997">
      <c r="B997" s="57"/>
      <c r="P997" s="8"/>
    </row>
    <row r="998">
      <c r="B998" s="57"/>
      <c r="P998" s="8"/>
    </row>
    <row r="999">
      <c r="B999" s="57"/>
      <c r="P999" s="8"/>
    </row>
    <row r="1000">
      <c r="B1000" s="57"/>
      <c r="P1000" s="8"/>
    </row>
    <row r="1001">
      <c r="B1001" s="57"/>
      <c r="P1001" s="8"/>
    </row>
    <row r="1002">
      <c r="B1002" s="57"/>
      <c r="P1002" s="8"/>
    </row>
    <row r="1003">
      <c r="B1003" s="57"/>
      <c r="P1003" s="8"/>
    </row>
    <row r="1004">
      <c r="B1004" s="57"/>
      <c r="P1004" s="8"/>
    </row>
    <row r="1005">
      <c r="B1005" s="57"/>
      <c r="P1005" s="8"/>
    </row>
    <row r="1006">
      <c r="B1006" s="57"/>
      <c r="P1006" s="8"/>
    </row>
    <row r="1007">
      <c r="B1007" s="57"/>
      <c r="P1007" s="8"/>
    </row>
    <row r="1008">
      <c r="B1008" s="57"/>
      <c r="P1008" s="8"/>
    </row>
    <row r="1009">
      <c r="B1009" s="57"/>
      <c r="P1009" s="8"/>
    </row>
    <row r="1010">
      <c r="B1010" s="57"/>
      <c r="P1010" s="8"/>
    </row>
    <row r="1011">
      <c r="B1011" s="57"/>
      <c r="P1011" s="8"/>
    </row>
    <row r="1012">
      <c r="B1012" s="57"/>
      <c r="P1012" s="8"/>
    </row>
    <row r="1013">
      <c r="B1013" s="57"/>
      <c r="P1013" s="8"/>
    </row>
    <row r="1014">
      <c r="B1014" s="57"/>
      <c r="P1014" s="8"/>
    </row>
    <row r="1015">
      <c r="B1015" s="57"/>
      <c r="P1015" s="8"/>
    </row>
    <row r="1016">
      <c r="B1016" s="57"/>
      <c r="P1016" s="8"/>
    </row>
    <row r="1017">
      <c r="B1017" s="57"/>
      <c r="P1017" s="8"/>
    </row>
    <row r="1018">
      <c r="B1018" s="57"/>
      <c r="P1018" s="8"/>
    </row>
    <row r="1019">
      <c r="B1019" s="57"/>
      <c r="P1019" s="8"/>
    </row>
    <row r="1020">
      <c r="B1020" s="57"/>
      <c r="P1020" s="8"/>
    </row>
    <row r="1021">
      <c r="B1021" s="57"/>
      <c r="P1021" s="8"/>
    </row>
    <row r="1022">
      <c r="B1022" s="57"/>
      <c r="P1022" s="8"/>
    </row>
    <row r="1023">
      <c r="B1023" s="57"/>
      <c r="P1023" s="8"/>
    </row>
    <row r="1024">
      <c r="B1024" s="57"/>
      <c r="P1024" s="8"/>
    </row>
    <row r="1025">
      <c r="B1025" s="57"/>
      <c r="P1025" s="8"/>
    </row>
    <row r="1026">
      <c r="B1026" s="57"/>
      <c r="P1026" s="8"/>
    </row>
    <row r="1027">
      <c r="B1027" s="57"/>
      <c r="P1027" s="8"/>
    </row>
    <row r="1028">
      <c r="B1028" s="57"/>
      <c r="P1028" s="8"/>
    </row>
    <row r="1029">
      <c r="B1029" s="57"/>
      <c r="P1029" s="8"/>
    </row>
    <row r="1030">
      <c r="B1030" s="57"/>
      <c r="P1030" s="8"/>
    </row>
    <row r="1031">
      <c r="B1031" s="57"/>
      <c r="P1031" s="8"/>
    </row>
    <row r="1032">
      <c r="B1032" s="57"/>
      <c r="P1032" s="8"/>
    </row>
    <row r="1033">
      <c r="B1033" s="57"/>
      <c r="P1033" s="8"/>
    </row>
    <row r="1034">
      <c r="B1034" s="57"/>
      <c r="P1034" s="8"/>
    </row>
    <row r="1035">
      <c r="B1035" s="57"/>
      <c r="P1035" s="8"/>
    </row>
    <row r="1036">
      <c r="B1036" s="57"/>
      <c r="P1036" s="8"/>
    </row>
    <row r="1037">
      <c r="B1037" s="57"/>
      <c r="P1037" s="8"/>
    </row>
    <row r="1038">
      <c r="B1038" s="57"/>
      <c r="P1038" s="8"/>
    </row>
    <row r="1039">
      <c r="B1039" s="57"/>
      <c r="P1039" s="8"/>
    </row>
    <row r="1040">
      <c r="B1040" s="57"/>
      <c r="P1040" s="8"/>
    </row>
    <row r="1041">
      <c r="B1041" s="57"/>
      <c r="P1041" s="8"/>
    </row>
    <row r="1042">
      <c r="B1042" s="57"/>
      <c r="P1042" s="8"/>
    </row>
    <row r="1043">
      <c r="B1043" s="57"/>
      <c r="P1043" s="8"/>
    </row>
    <row r="1044">
      <c r="B1044" s="57"/>
      <c r="P1044" s="8"/>
    </row>
    <row r="1045">
      <c r="B1045" s="57"/>
      <c r="P1045" s="8"/>
    </row>
    <row r="1046">
      <c r="B1046" s="57"/>
      <c r="P1046" s="8"/>
    </row>
    <row r="1047">
      <c r="B1047" s="57"/>
      <c r="P1047" s="8"/>
    </row>
    <row r="1048">
      <c r="B1048" s="57"/>
      <c r="P1048" s="8"/>
    </row>
    <row r="1049">
      <c r="B1049" s="57"/>
      <c r="P1049" s="8"/>
    </row>
    <row r="1050">
      <c r="B1050" s="57"/>
      <c r="P1050" s="8"/>
    </row>
    <row r="1051">
      <c r="B1051" s="57"/>
      <c r="P1051" s="8"/>
    </row>
    <row r="1052">
      <c r="B1052" s="57"/>
      <c r="P1052" s="8"/>
    </row>
    <row r="1053">
      <c r="B1053" s="57"/>
      <c r="P1053" s="8"/>
    </row>
    <row r="1054">
      <c r="B1054" s="57"/>
      <c r="P1054" s="8"/>
    </row>
    <row r="1055">
      <c r="B1055" s="57"/>
      <c r="P1055" s="8"/>
    </row>
    <row r="1056">
      <c r="B1056" s="57"/>
      <c r="P1056" s="8"/>
    </row>
    <row r="1057">
      <c r="B1057" s="57"/>
      <c r="P1057" s="8"/>
    </row>
    <row r="1058">
      <c r="B1058" s="57"/>
      <c r="P1058" s="8"/>
    </row>
    <row r="1059">
      <c r="B1059" s="57"/>
      <c r="P1059" s="8"/>
    </row>
    <row r="1060">
      <c r="B1060" s="57"/>
      <c r="P1060" s="8"/>
    </row>
    <row r="1061">
      <c r="B1061" s="57"/>
      <c r="P1061" s="8"/>
    </row>
    <row r="1062">
      <c r="B1062" s="57"/>
      <c r="P1062" s="8"/>
    </row>
    <row r="1063">
      <c r="B1063" s="57"/>
      <c r="P1063" s="8"/>
    </row>
    <row r="1064">
      <c r="B1064" s="57"/>
      <c r="P1064" s="8"/>
    </row>
    <row r="1065">
      <c r="B1065" s="57"/>
      <c r="P1065" s="8"/>
    </row>
    <row r="1066">
      <c r="B1066" s="57"/>
      <c r="P1066" s="8"/>
    </row>
    <row r="1067">
      <c r="B1067" s="57"/>
      <c r="P1067" s="8"/>
    </row>
    <row r="1068">
      <c r="B1068" s="57"/>
      <c r="P1068" s="8"/>
    </row>
    <row r="1069">
      <c r="B1069" s="57"/>
      <c r="P1069" s="8"/>
    </row>
    <row r="1070">
      <c r="B1070" s="57"/>
      <c r="P1070" s="8"/>
    </row>
    <row r="1071">
      <c r="B1071" s="57"/>
      <c r="P1071" s="8"/>
    </row>
    <row r="1072">
      <c r="B1072" s="57"/>
      <c r="P1072" s="8"/>
    </row>
    <row r="1073">
      <c r="B1073" s="57"/>
      <c r="P1073" s="8"/>
    </row>
    <row r="1074">
      <c r="B1074" s="57"/>
      <c r="P1074" s="8"/>
    </row>
    <row r="1075">
      <c r="B1075" s="57"/>
      <c r="P1075" s="8"/>
    </row>
    <row r="1076">
      <c r="B1076" s="57"/>
      <c r="P1076" s="8"/>
    </row>
    <row r="1077">
      <c r="B1077" s="57"/>
      <c r="P1077" s="8"/>
    </row>
    <row r="1078">
      <c r="B1078" s="57"/>
      <c r="P1078" s="8"/>
    </row>
    <row r="1079">
      <c r="B1079" s="57"/>
      <c r="P1079" s="8"/>
    </row>
    <row r="1080">
      <c r="B1080" s="57"/>
      <c r="P1080" s="8"/>
    </row>
    <row r="1081">
      <c r="B1081" s="57"/>
      <c r="P1081" s="8"/>
    </row>
    <row r="1082">
      <c r="B1082" s="57"/>
      <c r="P1082" s="8"/>
    </row>
    <row r="1083">
      <c r="B1083" s="57"/>
      <c r="P1083" s="8"/>
    </row>
    <row r="1084">
      <c r="B1084" s="57"/>
      <c r="P1084" s="8"/>
    </row>
    <row r="1085">
      <c r="B1085" s="57"/>
      <c r="P1085" s="8"/>
    </row>
    <row r="1086">
      <c r="B1086" s="57"/>
      <c r="P1086" s="8"/>
    </row>
    <row r="1087">
      <c r="B1087" s="57"/>
      <c r="P1087" s="8"/>
    </row>
    <row r="1088">
      <c r="B1088" s="57"/>
      <c r="P1088" s="8"/>
    </row>
    <row r="1089">
      <c r="B1089" s="57"/>
      <c r="P1089" s="8"/>
    </row>
    <row r="1090">
      <c r="B1090" s="57"/>
      <c r="P1090" s="8"/>
    </row>
    <row r="1091">
      <c r="B1091" s="57"/>
      <c r="P1091" s="8"/>
    </row>
    <row r="1092">
      <c r="B1092" s="57"/>
      <c r="P1092" s="8"/>
    </row>
    <row r="1093">
      <c r="B1093" s="57"/>
      <c r="P1093" s="8"/>
    </row>
    <row r="1094">
      <c r="B1094" s="57"/>
      <c r="P1094" s="8"/>
    </row>
    <row r="1095">
      <c r="B1095" s="57"/>
      <c r="P1095" s="8"/>
    </row>
    <row r="1096">
      <c r="B1096" s="57"/>
      <c r="P1096" s="8"/>
    </row>
    <row r="1097">
      <c r="B1097" s="57"/>
      <c r="P1097" s="8"/>
    </row>
    <row r="1098">
      <c r="B1098" s="57"/>
      <c r="P1098" s="8"/>
    </row>
    <row r="1099">
      <c r="B1099" s="57"/>
      <c r="P1099" s="8"/>
    </row>
    <row r="1100">
      <c r="B1100" s="57"/>
      <c r="P1100" s="8"/>
    </row>
    <row r="1101">
      <c r="B1101" s="57"/>
      <c r="P1101" s="8"/>
    </row>
    <row r="1102">
      <c r="B1102" s="57"/>
      <c r="P1102" s="8"/>
    </row>
    <row r="1103">
      <c r="B1103" s="57"/>
      <c r="P1103" s="8"/>
    </row>
    <row r="1104">
      <c r="B1104" s="57"/>
      <c r="P1104" s="8"/>
    </row>
    <row r="1105">
      <c r="B1105" s="57"/>
      <c r="P1105" s="8"/>
    </row>
    <row r="1106">
      <c r="B1106" s="57"/>
      <c r="P1106" s="8"/>
    </row>
    <row r="1107">
      <c r="B1107" s="57"/>
      <c r="P1107" s="8"/>
    </row>
    <row r="1108">
      <c r="B1108" s="57"/>
      <c r="P1108" s="8"/>
    </row>
    <row r="1109">
      <c r="B1109" s="57"/>
      <c r="P1109" s="8"/>
    </row>
    <row r="1110">
      <c r="B1110" s="57"/>
      <c r="P1110" s="8"/>
    </row>
    <row r="1111">
      <c r="B1111" s="57"/>
      <c r="P1111" s="8"/>
    </row>
    <row r="1112">
      <c r="B1112" s="57"/>
      <c r="P1112" s="8"/>
    </row>
    <row r="1113">
      <c r="B1113" s="57"/>
      <c r="P1113" s="8"/>
    </row>
    <row r="1114">
      <c r="B1114" s="57"/>
      <c r="P1114" s="8"/>
    </row>
    <row r="1115">
      <c r="B1115" s="57"/>
      <c r="P1115" s="8"/>
    </row>
    <row r="1116">
      <c r="B1116" s="57"/>
      <c r="P1116" s="8"/>
    </row>
    <row r="1117">
      <c r="B1117" s="57"/>
      <c r="P1117" s="8"/>
    </row>
    <row r="1118">
      <c r="B1118" s="57"/>
      <c r="P1118" s="8"/>
    </row>
    <row r="1119">
      <c r="B1119" s="57"/>
      <c r="P1119" s="8"/>
    </row>
    <row r="1120">
      <c r="B1120" s="57"/>
      <c r="P1120" s="8"/>
    </row>
    <row r="1121">
      <c r="B1121" s="57"/>
      <c r="P1121" s="8"/>
    </row>
    <row r="1122">
      <c r="B1122" s="57"/>
      <c r="P1122" s="8"/>
    </row>
    <row r="1123">
      <c r="B1123" s="57"/>
      <c r="P1123" s="8"/>
    </row>
    <row r="1124">
      <c r="B1124" s="57"/>
      <c r="P1124" s="8"/>
    </row>
    <row r="1125">
      <c r="B1125" s="57"/>
      <c r="P1125" s="8"/>
    </row>
    <row r="1126">
      <c r="B1126" s="57"/>
      <c r="P1126" s="8"/>
    </row>
    <row r="1127">
      <c r="B1127" s="57"/>
      <c r="P1127" s="8"/>
    </row>
    <row r="1128">
      <c r="B1128" s="57"/>
      <c r="P1128" s="8"/>
    </row>
    <row r="1129">
      <c r="B1129" s="57"/>
      <c r="P1129" s="8"/>
    </row>
    <row r="1130">
      <c r="B1130" s="57"/>
      <c r="P1130" s="8"/>
    </row>
    <row r="1131">
      <c r="B1131" s="57"/>
      <c r="P1131" s="8"/>
    </row>
    <row r="1132">
      <c r="B1132" s="57"/>
      <c r="P1132" s="8"/>
    </row>
    <row r="1133">
      <c r="B1133" s="57"/>
      <c r="P1133" s="8"/>
    </row>
    <row r="1134">
      <c r="B1134" s="57"/>
      <c r="P1134" s="8"/>
    </row>
    <row r="1135">
      <c r="B1135" s="57"/>
      <c r="P1135" s="8"/>
    </row>
    <row r="1136">
      <c r="B1136" s="57"/>
      <c r="P1136" s="8"/>
    </row>
    <row r="1137">
      <c r="B1137" s="57"/>
      <c r="P1137" s="8"/>
    </row>
    <row r="1138">
      <c r="B1138" s="57"/>
      <c r="P1138" s="8"/>
    </row>
    <row r="1139">
      <c r="B1139" s="57"/>
      <c r="P1139" s="8"/>
    </row>
    <row r="1140">
      <c r="B1140" s="57"/>
      <c r="P1140" s="8"/>
    </row>
    <row r="1141">
      <c r="B1141" s="57"/>
      <c r="P1141" s="8"/>
    </row>
    <row r="1142">
      <c r="B1142" s="57"/>
      <c r="P1142" s="8"/>
    </row>
    <row r="1143">
      <c r="B1143" s="57"/>
      <c r="P1143" s="8"/>
    </row>
    <row r="1144">
      <c r="B1144" s="57"/>
      <c r="P1144" s="8"/>
    </row>
    <row r="1145">
      <c r="B1145" s="57"/>
      <c r="P1145" s="8"/>
    </row>
    <row r="1146">
      <c r="B1146" s="57"/>
      <c r="P1146" s="8"/>
    </row>
    <row r="1147">
      <c r="B1147" s="57"/>
      <c r="P1147" s="8"/>
    </row>
    <row r="1148">
      <c r="B1148" s="57"/>
      <c r="P1148" s="8"/>
    </row>
    <row r="1149">
      <c r="B1149" s="57"/>
      <c r="P1149" s="8"/>
    </row>
    <row r="1150">
      <c r="B1150" s="57"/>
      <c r="P1150" s="8"/>
    </row>
    <row r="1151">
      <c r="B1151" s="57"/>
      <c r="P1151" s="8"/>
    </row>
    <row r="1152">
      <c r="B1152" s="57"/>
      <c r="P1152" s="8"/>
    </row>
    <row r="1153">
      <c r="B1153" s="57"/>
      <c r="P1153" s="8"/>
    </row>
    <row r="1154">
      <c r="B1154" s="57"/>
      <c r="P1154" s="8"/>
    </row>
    <row r="1155">
      <c r="B1155" s="57"/>
      <c r="P1155" s="8"/>
    </row>
    <row r="1156">
      <c r="B1156" s="57"/>
      <c r="P1156" s="8"/>
    </row>
    <row r="1157">
      <c r="B1157" s="57"/>
      <c r="P1157" s="8"/>
    </row>
    <row r="1158">
      <c r="B1158" s="57"/>
      <c r="P1158" s="8"/>
    </row>
    <row r="1159">
      <c r="B1159" s="57"/>
      <c r="P1159" s="8"/>
    </row>
    <row r="1160">
      <c r="B1160" s="57"/>
      <c r="P1160" s="8"/>
    </row>
    <row r="1161">
      <c r="B1161" s="57"/>
      <c r="P1161" s="8"/>
    </row>
    <row r="1162">
      <c r="B1162" s="57"/>
      <c r="P1162" s="8"/>
    </row>
    <row r="1163">
      <c r="B1163" s="57"/>
      <c r="P1163" s="8"/>
    </row>
    <row r="1164">
      <c r="B1164" s="57"/>
      <c r="P1164" s="8"/>
    </row>
    <row r="1165">
      <c r="B1165" s="57"/>
      <c r="P1165" s="8"/>
    </row>
    <row r="1166">
      <c r="B1166" s="57"/>
      <c r="P1166" s="8"/>
    </row>
    <row r="1167">
      <c r="B1167" s="57"/>
      <c r="P1167" s="8"/>
    </row>
    <row r="1168">
      <c r="B1168" s="57"/>
      <c r="P1168" s="8"/>
    </row>
    <row r="1169">
      <c r="B1169" s="57"/>
      <c r="P1169" s="8"/>
    </row>
    <row r="1170">
      <c r="B1170" s="57"/>
      <c r="P1170" s="8"/>
    </row>
    <row r="1171">
      <c r="B1171" s="57"/>
      <c r="P1171" s="8"/>
    </row>
    <row r="1172">
      <c r="B1172" s="57"/>
      <c r="P1172" s="8"/>
    </row>
    <row r="1173">
      <c r="B1173" s="57"/>
      <c r="P1173" s="8"/>
    </row>
    <row r="1174">
      <c r="B1174" s="57"/>
      <c r="P1174" s="8"/>
    </row>
    <row r="1175">
      <c r="B1175" s="57"/>
      <c r="P1175" s="8"/>
    </row>
    <row r="1176">
      <c r="B1176" s="57"/>
      <c r="P1176" s="8"/>
    </row>
    <row r="1177">
      <c r="B1177" s="57"/>
      <c r="P1177" s="8"/>
    </row>
    <row r="1178">
      <c r="B1178" s="57"/>
      <c r="P1178" s="8"/>
    </row>
    <row r="1179">
      <c r="B1179" s="57"/>
      <c r="P1179" s="8"/>
    </row>
    <row r="1180">
      <c r="B1180" s="57"/>
      <c r="P1180" s="8"/>
    </row>
    <row r="1181">
      <c r="B1181" s="57"/>
      <c r="P1181" s="8"/>
    </row>
    <row r="1182">
      <c r="B1182" s="57"/>
      <c r="P1182" s="8"/>
    </row>
    <row r="1183">
      <c r="B1183" s="57"/>
      <c r="P1183" s="8"/>
    </row>
    <row r="1184">
      <c r="B1184" s="57"/>
      <c r="P1184" s="8"/>
    </row>
    <row r="1185">
      <c r="B1185" s="57"/>
      <c r="P1185" s="8"/>
    </row>
    <row r="1186">
      <c r="B1186" s="57"/>
      <c r="P1186" s="8"/>
    </row>
    <row r="1187">
      <c r="B1187" s="57"/>
      <c r="P1187" s="8"/>
    </row>
    <row r="1188">
      <c r="B1188" s="57"/>
      <c r="P1188" s="8"/>
    </row>
    <row r="1189">
      <c r="B1189" s="57"/>
      <c r="P1189" s="8"/>
    </row>
    <row r="1190">
      <c r="B1190" s="57"/>
      <c r="P1190" s="8"/>
    </row>
    <row r="1191">
      <c r="B1191" s="57"/>
      <c r="P1191" s="8"/>
    </row>
    <row r="1192">
      <c r="B1192" s="57"/>
      <c r="P1192" s="8"/>
    </row>
    <row r="1193">
      <c r="B1193" s="57"/>
      <c r="P1193" s="8"/>
    </row>
    <row r="1194">
      <c r="B1194" s="57"/>
      <c r="P1194" s="8"/>
    </row>
    <row r="1195">
      <c r="B1195" s="57"/>
      <c r="P1195" s="8"/>
    </row>
    <row r="1196">
      <c r="B1196" s="57"/>
      <c r="P1196" s="8"/>
    </row>
    <row r="1197">
      <c r="B1197" s="57"/>
      <c r="P1197" s="8"/>
    </row>
    <row r="1198">
      <c r="B1198" s="57"/>
      <c r="P1198" s="8"/>
    </row>
    <row r="1199">
      <c r="B1199" s="57"/>
      <c r="P1199" s="8"/>
    </row>
    <row r="1200">
      <c r="B1200" s="57"/>
      <c r="P1200" s="8"/>
    </row>
    <row r="1201">
      <c r="B1201" s="57"/>
      <c r="P1201" s="8"/>
    </row>
    <row r="1202">
      <c r="B1202" s="57"/>
      <c r="P1202" s="8"/>
    </row>
    <row r="1203">
      <c r="B1203" s="57"/>
      <c r="P1203" s="8"/>
    </row>
    <row r="1204">
      <c r="B1204" s="57"/>
      <c r="P1204" s="8"/>
    </row>
    <row r="1205">
      <c r="B1205" s="57"/>
      <c r="P1205" s="8"/>
    </row>
    <row r="1206">
      <c r="B1206" s="57"/>
      <c r="P1206" s="8"/>
    </row>
    <row r="1207">
      <c r="B1207" s="57"/>
      <c r="P1207" s="8"/>
    </row>
    <row r="1208">
      <c r="B1208" s="57"/>
      <c r="P1208" s="8"/>
    </row>
    <row r="1209">
      <c r="B1209" s="57"/>
      <c r="P1209" s="8"/>
    </row>
    <row r="1210">
      <c r="B1210" s="57"/>
      <c r="P1210" s="8"/>
    </row>
    <row r="1211">
      <c r="B1211" s="57"/>
      <c r="P1211" s="8"/>
    </row>
    <row r="1212">
      <c r="B1212" s="57"/>
      <c r="P1212" s="8"/>
    </row>
    <row r="1213">
      <c r="B1213" s="57"/>
      <c r="P1213" s="8"/>
    </row>
    <row r="1214">
      <c r="B1214" s="57"/>
      <c r="P1214" s="8"/>
    </row>
    <row r="1215">
      <c r="B1215" s="57"/>
      <c r="P1215" s="8"/>
    </row>
    <row r="1216">
      <c r="B1216" s="57"/>
      <c r="P1216" s="8"/>
    </row>
    <row r="1217">
      <c r="B1217" s="57"/>
      <c r="P1217" s="8"/>
    </row>
    <row r="1218">
      <c r="B1218" s="57"/>
      <c r="P1218" s="8"/>
    </row>
    <row r="1219">
      <c r="B1219" s="57"/>
      <c r="P1219" s="8"/>
    </row>
    <row r="1220">
      <c r="B1220" s="57"/>
      <c r="P1220" s="8"/>
    </row>
    <row r="1221">
      <c r="B1221" s="57"/>
      <c r="P1221" s="8"/>
    </row>
    <row r="1222">
      <c r="B1222" s="57"/>
      <c r="P1222" s="8"/>
    </row>
    <row r="1223">
      <c r="B1223" s="57"/>
      <c r="P1223" s="8"/>
    </row>
    <row r="1224">
      <c r="B1224" s="57"/>
      <c r="P1224" s="8"/>
    </row>
    <row r="1225">
      <c r="B1225" s="57"/>
      <c r="P1225" s="8"/>
    </row>
    <row r="1226">
      <c r="B1226" s="57"/>
      <c r="P1226" s="8"/>
    </row>
    <row r="1227">
      <c r="B1227" s="57"/>
      <c r="P1227" s="8"/>
    </row>
    <row r="1228">
      <c r="B1228" s="57"/>
      <c r="P1228" s="8"/>
    </row>
    <row r="1229">
      <c r="B1229" s="57"/>
      <c r="P1229" s="8"/>
    </row>
    <row r="1230">
      <c r="B1230" s="57"/>
      <c r="P1230" s="8"/>
    </row>
    <row r="1231">
      <c r="B1231" s="57"/>
      <c r="P1231" s="8"/>
    </row>
    <row r="1232">
      <c r="B1232" s="57"/>
      <c r="P1232" s="8"/>
    </row>
    <row r="1233">
      <c r="B1233" s="57"/>
      <c r="P1233" s="8"/>
    </row>
    <row r="1234">
      <c r="B1234" s="57"/>
      <c r="P1234" s="8"/>
    </row>
    <row r="1235">
      <c r="B1235" s="57"/>
      <c r="P1235" s="8"/>
    </row>
    <row r="1236">
      <c r="B1236" s="57"/>
      <c r="P1236" s="8"/>
    </row>
    <row r="1237">
      <c r="B1237" s="57"/>
      <c r="P1237" s="8"/>
    </row>
    <row r="1238">
      <c r="B1238" s="57"/>
      <c r="P1238" s="8"/>
    </row>
    <row r="1239">
      <c r="B1239" s="57"/>
      <c r="P1239" s="8"/>
    </row>
    <row r="1240">
      <c r="B1240" s="57"/>
      <c r="P1240" s="8"/>
    </row>
    <row r="1241">
      <c r="B1241" s="57"/>
      <c r="P1241" s="8"/>
    </row>
    <row r="1242">
      <c r="B1242" s="57"/>
      <c r="P1242" s="8"/>
    </row>
    <row r="1243">
      <c r="B1243" s="57"/>
      <c r="P1243" s="8"/>
    </row>
    <row r="1244">
      <c r="B1244" s="57"/>
      <c r="P1244" s="8"/>
    </row>
    <row r="1245">
      <c r="B1245" s="57"/>
      <c r="P1245" s="8"/>
    </row>
    <row r="1246">
      <c r="B1246" s="57"/>
      <c r="P1246" s="8"/>
    </row>
    <row r="1247">
      <c r="B1247" s="57"/>
      <c r="P1247" s="8"/>
    </row>
    <row r="1248">
      <c r="B1248" s="57"/>
      <c r="P1248" s="8"/>
    </row>
    <row r="1249">
      <c r="B1249" s="57"/>
      <c r="P1249" s="8"/>
    </row>
    <row r="1250">
      <c r="B1250" s="57"/>
      <c r="P1250" s="8"/>
    </row>
    <row r="1251">
      <c r="B1251" s="57"/>
      <c r="P1251" s="8"/>
    </row>
    <row r="1252">
      <c r="B1252" s="57"/>
      <c r="P1252" s="8"/>
    </row>
    <row r="1253">
      <c r="B1253" s="57"/>
      <c r="P1253" s="8"/>
    </row>
    <row r="1254">
      <c r="B1254" s="57"/>
      <c r="P1254" s="8"/>
    </row>
    <row r="1255">
      <c r="B1255" s="57"/>
      <c r="P1255" s="8"/>
    </row>
    <row r="1256">
      <c r="B1256" s="57"/>
      <c r="P1256" s="8"/>
    </row>
    <row r="1257">
      <c r="B1257" s="57"/>
      <c r="P1257" s="8"/>
    </row>
    <row r="1258">
      <c r="B1258" s="57"/>
      <c r="P1258" s="8"/>
    </row>
    <row r="1259">
      <c r="B1259" s="57"/>
      <c r="P1259" s="8"/>
    </row>
    <row r="1260">
      <c r="B1260" s="57"/>
      <c r="P1260" s="8"/>
    </row>
    <row r="1261">
      <c r="B1261" s="57"/>
      <c r="P1261" s="8"/>
    </row>
    <row r="1262">
      <c r="B1262" s="57"/>
      <c r="P1262" s="8"/>
    </row>
    <row r="1263">
      <c r="B1263" s="57"/>
      <c r="P1263" s="8"/>
    </row>
    <row r="1264">
      <c r="B1264" s="57"/>
      <c r="P1264" s="8"/>
    </row>
    <row r="1265">
      <c r="B1265" s="57"/>
      <c r="P1265" s="8"/>
    </row>
    <row r="1266">
      <c r="B1266" s="57"/>
      <c r="P1266" s="8"/>
    </row>
    <row r="1267">
      <c r="B1267" s="57"/>
      <c r="P1267" s="8"/>
    </row>
    <row r="1268">
      <c r="B1268" s="57"/>
      <c r="P1268" s="8"/>
    </row>
    <row r="1269">
      <c r="B1269" s="57"/>
      <c r="P1269" s="8"/>
    </row>
    <row r="1270">
      <c r="B1270" s="57"/>
      <c r="P1270" s="8"/>
    </row>
    <row r="1271">
      <c r="B1271" s="57"/>
      <c r="P1271" s="8"/>
    </row>
    <row r="1272">
      <c r="B1272" s="57"/>
      <c r="P1272" s="8"/>
    </row>
    <row r="1273">
      <c r="B1273" s="57"/>
      <c r="P1273" s="8"/>
    </row>
    <row r="1274">
      <c r="B1274" s="57"/>
      <c r="P1274" s="8"/>
    </row>
    <row r="1275">
      <c r="B1275" s="57"/>
      <c r="P1275" s="8"/>
    </row>
    <row r="1276">
      <c r="B1276" s="57"/>
      <c r="P1276" s="8"/>
    </row>
    <row r="1277">
      <c r="B1277" s="57"/>
      <c r="P1277" s="8"/>
    </row>
    <row r="1278">
      <c r="B1278" s="57"/>
      <c r="P1278" s="8"/>
    </row>
    <row r="1279">
      <c r="B1279" s="57"/>
      <c r="P1279" s="8"/>
    </row>
    <row r="1280">
      <c r="B1280" s="57"/>
      <c r="P1280" s="8"/>
    </row>
    <row r="1281">
      <c r="B1281" s="57"/>
      <c r="P1281" s="8"/>
    </row>
    <row r="1282">
      <c r="B1282" s="57"/>
      <c r="P1282" s="8"/>
    </row>
    <row r="1283">
      <c r="B1283" s="57"/>
      <c r="P1283" s="8"/>
    </row>
    <row r="1284">
      <c r="B1284" s="57"/>
      <c r="P1284" s="8"/>
    </row>
    <row r="1285">
      <c r="B1285" s="57"/>
      <c r="P1285" s="8"/>
    </row>
    <row r="1286">
      <c r="B1286" s="57"/>
      <c r="P1286" s="8"/>
    </row>
    <row r="1287">
      <c r="B1287" s="57"/>
      <c r="P1287" s="8"/>
    </row>
    <row r="1288">
      <c r="B1288" s="57"/>
      <c r="P1288" s="8"/>
    </row>
    <row r="1289">
      <c r="B1289" s="57"/>
      <c r="P1289" s="8"/>
    </row>
    <row r="1290">
      <c r="B1290" s="57"/>
      <c r="P1290" s="8"/>
    </row>
    <row r="1291">
      <c r="B1291" s="57"/>
      <c r="P1291" s="8"/>
    </row>
    <row r="1292">
      <c r="B1292" s="57"/>
      <c r="P1292" s="8"/>
    </row>
    <row r="1293">
      <c r="B1293" s="57"/>
      <c r="P1293" s="8"/>
    </row>
    <row r="1294">
      <c r="B1294" s="57"/>
      <c r="P1294" s="8"/>
    </row>
    <row r="1295">
      <c r="B1295" s="57"/>
      <c r="P1295" s="8"/>
    </row>
    <row r="1296">
      <c r="B1296" s="57"/>
      <c r="P1296" s="8"/>
    </row>
    <row r="1297">
      <c r="B1297" s="57"/>
      <c r="P1297" s="8"/>
    </row>
    <row r="1298">
      <c r="B1298" s="57"/>
      <c r="P1298" s="8"/>
    </row>
    <row r="1299">
      <c r="B1299" s="57"/>
      <c r="P1299" s="8"/>
    </row>
    <row r="1300">
      <c r="B1300" s="57"/>
      <c r="P1300" s="8"/>
    </row>
    <row r="1301">
      <c r="B1301" s="57"/>
      <c r="P1301" s="8"/>
    </row>
    <row r="1302">
      <c r="B1302" s="57"/>
      <c r="P1302" s="8"/>
    </row>
    <row r="1303">
      <c r="B1303" s="57"/>
      <c r="P1303" s="8"/>
    </row>
    <row r="1304">
      <c r="B1304" s="57"/>
      <c r="P1304" s="8"/>
    </row>
    <row r="1305">
      <c r="B1305" s="57"/>
      <c r="P1305" s="8"/>
    </row>
    <row r="1306">
      <c r="B1306" s="57"/>
      <c r="P1306" s="8"/>
    </row>
    <row r="1307">
      <c r="B1307" s="57"/>
      <c r="P1307" s="8"/>
    </row>
    <row r="1308">
      <c r="B1308" s="57"/>
      <c r="P1308" s="8"/>
    </row>
    <row r="1309">
      <c r="B1309" s="57"/>
      <c r="P1309" s="8"/>
    </row>
    <row r="1310">
      <c r="B1310" s="57"/>
      <c r="P1310" s="8"/>
    </row>
    <row r="1311">
      <c r="B1311" s="57"/>
      <c r="P1311" s="8"/>
    </row>
    <row r="1312">
      <c r="B1312" s="57"/>
      <c r="P1312" s="8"/>
    </row>
    <row r="1313">
      <c r="B1313" s="57"/>
      <c r="P1313" s="8"/>
    </row>
    <row r="1314">
      <c r="B1314" s="57"/>
      <c r="P1314" s="8"/>
    </row>
    <row r="1315">
      <c r="B1315" s="57"/>
      <c r="P1315" s="8"/>
    </row>
    <row r="1316">
      <c r="B1316" s="57"/>
      <c r="P1316" s="8"/>
    </row>
    <row r="1317">
      <c r="B1317" s="57"/>
      <c r="P1317" s="8"/>
    </row>
    <row r="1318">
      <c r="B1318" s="57"/>
      <c r="P1318" s="8"/>
    </row>
    <row r="1319">
      <c r="B1319" s="57"/>
      <c r="P1319" s="8"/>
    </row>
    <row r="1320">
      <c r="B1320" s="57"/>
      <c r="P1320" s="8"/>
    </row>
    <row r="1321">
      <c r="B1321" s="57"/>
      <c r="P1321" s="8"/>
    </row>
    <row r="1322">
      <c r="B1322" s="57"/>
      <c r="P1322" s="8"/>
    </row>
    <row r="1323">
      <c r="B1323" s="57"/>
      <c r="P1323" s="8"/>
    </row>
    <row r="1324">
      <c r="B1324" s="57"/>
      <c r="P1324" s="8"/>
    </row>
    <row r="1325">
      <c r="B1325" s="57"/>
      <c r="P1325" s="8"/>
    </row>
    <row r="1326">
      <c r="B1326" s="57"/>
      <c r="P1326" s="8"/>
    </row>
    <row r="1327">
      <c r="B1327" s="57"/>
      <c r="P1327" s="8"/>
    </row>
    <row r="1328">
      <c r="B1328" s="57"/>
      <c r="P1328" s="8"/>
    </row>
    <row r="1329">
      <c r="B1329" s="57"/>
      <c r="P1329" s="8"/>
    </row>
    <row r="1330">
      <c r="B1330" s="57"/>
      <c r="P1330" s="8"/>
    </row>
    <row r="1331">
      <c r="B1331" s="57"/>
      <c r="P1331" s="8"/>
    </row>
    <row r="1332">
      <c r="B1332" s="57"/>
      <c r="P1332" s="8"/>
    </row>
    <row r="1333">
      <c r="B1333" s="57"/>
      <c r="P1333" s="8"/>
    </row>
    <row r="1334">
      <c r="B1334" s="57"/>
      <c r="P1334" s="8"/>
    </row>
    <row r="1335">
      <c r="B1335" s="57"/>
      <c r="P1335" s="8"/>
    </row>
    <row r="1336">
      <c r="B1336" s="57"/>
      <c r="P1336" s="8"/>
    </row>
    <row r="1337">
      <c r="B1337" s="57"/>
      <c r="P1337" s="8"/>
    </row>
    <row r="1338">
      <c r="B1338" s="57"/>
      <c r="P1338" s="8"/>
    </row>
    <row r="1339">
      <c r="B1339" s="57"/>
      <c r="P1339" s="8"/>
    </row>
    <row r="1340">
      <c r="B1340" s="57"/>
      <c r="P1340" s="8"/>
    </row>
    <row r="1341">
      <c r="B1341" s="57"/>
      <c r="P1341" s="8"/>
    </row>
    <row r="1342">
      <c r="B1342" s="57"/>
      <c r="P1342" s="8"/>
    </row>
    <row r="1343">
      <c r="B1343" s="57"/>
      <c r="P1343" s="8"/>
    </row>
    <row r="1344">
      <c r="B1344" s="57"/>
      <c r="P1344" s="8"/>
    </row>
    <row r="1345">
      <c r="B1345" s="57"/>
      <c r="P1345" s="8"/>
    </row>
    <row r="1346">
      <c r="B1346" s="57"/>
      <c r="P1346" s="8"/>
    </row>
    <row r="1347">
      <c r="B1347" s="57"/>
      <c r="P1347" s="8"/>
    </row>
    <row r="1348">
      <c r="B1348" s="57"/>
      <c r="P1348" s="8"/>
    </row>
    <row r="1349">
      <c r="B1349" s="57"/>
      <c r="P1349" s="8"/>
    </row>
    <row r="1350">
      <c r="B1350" s="57"/>
      <c r="P1350" s="8"/>
    </row>
    <row r="1351">
      <c r="B1351" s="57"/>
      <c r="P1351" s="8"/>
    </row>
    <row r="1352">
      <c r="B1352" s="57"/>
      <c r="P1352" s="8"/>
    </row>
    <row r="1353">
      <c r="B1353" s="57"/>
      <c r="P1353" s="8"/>
    </row>
    <row r="1354">
      <c r="B1354" s="57"/>
      <c r="P1354" s="8"/>
    </row>
    <row r="1355">
      <c r="B1355" s="57"/>
      <c r="P1355" s="8"/>
    </row>
    <row r="1356">
      <c r="B1356" s="57"/>
      <c r="P1356" s="8"/>
    </row>
    <row r="1357">
      <c r="B1357" s="57"/>
      <c r="P1357" s="8"/>
    </row>
    <row r="1358">
      <c r="B1358" s="57"/>
      <c r="P1358" s="8"/>
    </row>
    <row r="1359">
      <c r="B1359" s="57"/>
      <c r="P1359" s="8"/>
    </row>
    <row r="1360">
      <c r="B1360" s="57"/>
      <c r="P1360" s="8"/>
    </row>
    <row r="1361">
      <c r="B1361" s="57"/>
      <c r="P1361" s="8"/>
    </row>
    <row r="1362">
      <c r="B1362" s="57"/>
      <c r="P1362" s="8"/>
    </row>
    <row r="1363">
      <c r="B1363" s="57"/>
      <c r="P1363" s="8"/>
    </row>
    <row r="1364">
      <c r="B1364" s="57"/>
      <c r="P1364" s="8"/>
    </row>
    <row r="1365">
      <c r="B1365" s="57"/>
      <c r="P1365" s="8"/>
    </row>
    <row r="1366">
      <c r="B1366" s="57"/>
      <c r="P1366" s="8"/>
    </row>
    <row r="1367">
      <c r="B1367" s="57"/>
      <c r="P1367" s="8"/>
    </row>
    <row r="1368">
      <c r="B1368" s="57"/>
      <c r="P1368" s="8"/>
    </row>
    <row r="1369">
      <c r="B1369" s="57"/>
      <c r="P1369" s="8"/>
    </row>
    <row r="1370">
      <c r="B1370" s="57"/>
      <c r="P1370" s="8"/>
    </row>
    <row r="1371">
      <c r="B1371" s="57"/>
      <c r="P1371" s="8"/>
    </row>
    <row r="1372">
      <c r="B1372" s="57"/>
      <c r="P1372" s="8"/>
    </row>
    <row r="1373">
      <c r="B1373" s="57"/>
      <c r="P1373" s="8"/>
    </row>
    <row r="1374">
      <c r="B1374" s="57"/>
      <c r="P1374" s="8"/>
    </row>
    <row r="1375">
      <c r="B1375" s="57"/>
      <c r="P1375" s="8"/>
    </row>
    <row r="1376">
      <c r="B1376" s="57"/>
      <c r="P1376" s="8"/>
    </row>
    <row r="1377">
      <c r="B1377" s="57"/>
      <c r="P1377" s="8"/>
    </row>
    <row r="1378">
      <c r="B1378" s="57"/>
      <c r="P1378" s="8"/>
    </row>
    <row r="1379">
      <c r="B1379" s="57"/>
      <c r="P1379" s="8"/>
    </row>
    <row r="1380">
      <c r="B1380" s="57"/>
      <c r="P1380" s="8"/>
    </row>
    <row r="1381">
      <c r="B1381" s="57"/>
      <c r="P1381" s="8"/>
    </row>
    <row r="1382">
      <c r="B1382" s="57"/>
      <c r="P1382" s="8"/>
    </row>
    <row r="1383">
      <c r="B1383" s="57"/>
      <c r="P1383" s="8"/>
    </row>
    <row r="1384">
      <c r="B1384" s="57"/>
      <c r="P1384" s="8"/>
    </row>
    <row r="1385">
      <c r="B1385" s="57"/>
      <c r="P1385" s="8"/>
    </row>
    <row r="1386">
      <c r="B1386" s="57"/>
      <c r="P1386" s="8"/>
    </row>
    <row r="1387">
      <c r="B1387" s="57"/>
      <c r="P1387" s="8"/>
    </row>
    <row r="1388">
      <c r="B1388" s="57"/>
      <c r="P1388" s="8"/>
    </row>
    <row r="1389">
      <c r="B1389" s="57"/>
      <c r="P1389" s="8"/>
    </row>
    <row r="1390">
      <c r="B1390" s="57"/>
      <c r="P1390" s="8"/>
    </row>
    <row r="1391">
      <c r="B1391" s="57"/>
      <c r="P1391" s="8"/>
    </row>
    <row r="1392">
      <c r="B1392" s="57"/>
      <c r="P1392" s="8"/>
    </row>
    <row r="1393">
      <c r="B1393" s="57"/>
      <c r="P1393" s="8"/>
    </row>
    <row r="1394">
      <c r="B1394" s="57"/>
      <c r="P1394" s="8"/>
    </row>
    <row r="1395">
      <c r="B1395" s="57"/>
      <c r="P1395" s="8"/>
    </row>
    <row r="1396">
      <c r="B1396" s="57"/>
      <c r="P1396" s="8"/>
    </row>
    <row r="1397">
      <c r="B1397" s="57"/>
      <c r="P1397" s="8"/>
    </row>
    <row r="1398">
      <c r="B1398" s="57"/>
      <c r="P1398" s="8"/>
    </row>
    <row r="1399">
      <c r="B1399" s="57"/>
      <c r="P1399" s="8"/>
    </row>
    <row r="1400">
      <c r="B1400" s="57"/>
      <c r="P1400" s="8"/>
    </row>
    <row r="1401">
      <c r="B1401" s="57"/>
      <c r="P1401" s="8"/>
    </row>
    <row r="1402">
      <c r="B1402" s="57"/>
      <c r="P1402" s="8"/>
    </row>
    <row r="1403">
      <c r="B1403" s="57"/>
      <c r="P1403" s="8"/>
    </row>
    <row r="1404">
      <c r="B1404" s="57"/>
      <c r="P1404" s="8"/>
    </row>
    <row r="1405">
      <c r="B1405" s="57"/>
      <c r="P1405" s="8"/>
    </row>
    <row r="1406">
      <c r="B1406" s="57"/>
      <c r="P1406" s="8"/>
    </row>
    <row r="1407">
      <c r="B1407" s="57"/>
      <c r="P1407" s="8"/>
    </row>
    <row r="1408">
      <c r="B1408" s="57"/>
      <c r="P1408" s="8"/>
    </row>
    <row r="1409">
      <c r="B1409" s="57"/>
      <c r="P1409" s="8"/>
    </row>
    <row r="1410">
      <c r="B1410" s="57"/>
      <c r="P1410" s="8"/>
    </row>
    <row r="1411">
      <c r="B1411" s="57"/>
      <c r="P1411" s="8"/>
    </row>
    <row r="1412">
      <c r="B1412" s="57"/>
      <c r="P1412" s="8"/>
    </row>
    <row r="1413">
      <c r="B1413" s="57"/>
      <c r="P1413" s="8"/>
    </row>
    <row r="1414">
      <c r="B1414" s="57"/>
      <c r="P1414" s="8"/>
    </row>
    <row r="1415">
      <c r="B1415" s="57"/>
      <c r="P1415" s="8"/>
    </row>
    <row r="1416">
      <c r="B1416" s="57"/>
      <c r="P1416" s="8"/>
    </row>
    <row r="1417">
      <c r="B1417" s="57"/>
      <c r="P1417" s="8"/>
    </row>
    <row r="1418">
      <c r="B1418" s="57"/>
      <c r="P1418" s="8"/>
    </row>
    <row r="1419">
      <c r="B1419" s="57"/>
      <c r="P1419" s="8"/>
    </row>
    <row r="1420">
      <c r="B1420" s="57"/>
      <c r="P1420" s="8"/>
    </row>
    <row r="1421">
      <c r="B1421" s="57"/>
      <c r="P1421" s="8"/>
    </row>
    <row r="1422">
      <c r="B1422" s="57"/>
      <c r="P1422" s="8"/>
    </row>
    <row r="1423">
      <c r="B1423" s="57"/>
      <c r="P1423" s="8"/>
    </row>
    <row r="1424">
      <c r="B1424" s="57"/>
      <c r="P1424" s="8"/>
    </row>
    <row r="1425">
      <c r="B1425" s="57"/>
      <c r="P1425" s="8"/>
    </row>
    <row r="1426">
      <c r="B1426" s="57"/>
      <c r="P1426" s="8"/>
    </row>
    <row r="1427">
      <c r="B1427" s="57"/>
      <c r="P1427" s="8"/>
    </row>
    <row r="1428">
      <c r="B1428" s="57"/>
      <c r="P1428" s="8"/>
    </row>
    <row r="1429">
      <c r="B1429" s="57"/>
      <c r="P1429" s="8"/>
    </row>
    <row r="1430">
      <c r="B1430" s="57"/>
      <c r="P1430" s="8"/>
    </row>
    <row r="1431">
      <c r="B1431" s="57"/>
      <c r="P1431" s="8"/>
    </row>
    <row r="1432">
      <c r="B1432" s="57"/>
      <c r="P1432" s="8"/>
    </row>
    <row r="1433">
      <c r="B1433" s="57"/>
      <c r="P1433" s="8"/>
    </row>
    <row r="1434">
      <c r="B1434" s="57"/>
      <c r="P1434" s="8"/>
    </row>
    <row r="1435">
      <c r="B1435" s="57"/>
      <c r="P1435" s="8"/>
    </row>
    <row r="1436">
      <c r="B1436" s="57"/>
      <c r="P1436" s="8"/>
    </row>
    <row r="1437">
      <c r="B1437" s="57"/>
      <c r="P1437" s="8"/>
    </row>
    <row r="1438">
      <c r="B1438" s="57"/>
      <c r="P1438" s="8"/>
    </row>
    <row r="1439">
      <c r="B1439" s="57"/>
      <c r="P1439" s="8"/>
    </row>
    <row r="1440">
      <c r="B1440" s="57"/>
      <c r="P1440" s="8"/>
    </row>
    <row r="1441">
      <c r="B1441" s="57"/>
      <c r="P1441" s="8"/>
    </row>
    <row r="1442">
      <c r="B1442" s="57"/>
      <c r="P1442" s="8"/>
    </row>
    <row r="1443">
      <c r="B1443" s="57"/>
      <c r="P1443" s="8"/>
    </row>
    <row r="1444">
      <c r="B1444" s="57"/>
      <c r="P1444" s="8"/>
    </row>
    <row r="1445">
      <c r="B1445" s="57"/>
      <c r="P1445" s="8"/>
    </row>
    <row r="1446">
      <c r="B1446" s="57"/>
      <c r="P1446" s="8"/>
    </row>
    <row r="1447">
      <c r="B1447" s="57"/>
      <c r="P1447" s="8"/>
    </row>
    <row r="1448">
      <c r="B1448" s="57"/>
      <c r="P1448" s="8"/>
    </row>
    <row r="1449">
      <c r="B1449" s="57"/>
      <c r="P1449" s="8"/>
    </row>
    <row r="1450">
      <c r="B1450" s="57"/>
      <c r="P1450" s="8"/>
    </row>
    <row r="1451">
      <c r="B1451" s="57"/>
      <c r="P1451" s="8"/>
    </row>
    <row r="1452">
      <c r="B1452" s="57"/>
      <c r="P1452" s="8"/>
    </row>
    <row r="1453">
      <c r="B1453" s="57"/>
      <c r="P1453" s="8"/>
    </row>
    <row r="1454">
      <c r="B1454" s="57"/>
      <c r="P1454" s="8"/>
    </row>
    <row r="1455">
      <c r="B1455" s="57"/>
      <c r="P1455" s="8"/>
    </row>
    <row r="1456">
      <c r="B1456" s="57"/>
      <c r="P1456" s="8"/>
    </row>
    <row r="1457">
      <c r="B1457" s="57"/>
      <c r="P1457" s="8"/>
    </row>
    <row r="1458">
      <c r="B1458" s="57"/>
      <c r="P1458" s="8"/>
    </row>
    <row r="1459">
      <c r="B1459" s="57"/>
      <c r="P1459" s="8"/>
    </row>
    <row r="1460">
      <c r="B1460" s="57"/>
      <c r="P1460" s="8"/>
    </row>
    <row r="1461">
      <c r="B1461" s="57"/>
      <c r="P1461" s="8"/>
    </row>
    <row r="1462">
      <c r="B1462" s="57"/>
      <c r="P1462" s="8"/>
    </row>
    <row r="1463">
      <c r="B1463" s="57"/>
      <c r="P1463" s="8"/>
    </row>
    <row r="1464">
      <c r="B1464" s="57"/>
      <c r="P1464" s="8"/>
    </row>
    <row r="1465">
      <c r="B1465" s="57"/>
      <c r="P1465" s="8"/>
    </row>
    <row r="1466">
      <c r="B1466" s="57"/>
      <c r="P1466" s="8"/>
    </row>
    <row r="1467">
      <c r="B1467" s="57"/>
      <c r="P1467" s="8"/>
    </row>
    <row r="1468">
      <c r="B1468" s="57"/>
      <c r="P1468" s="8"/>
    </row>
    <row r="1469">
      <c r="B1469" s="57"/>
      <c r="P1469" s="8"/>
    </row>
    <row r="1470">
      <c r="B1470" s="57"/>
      <c r="P1470" s="8"/>
    </row>
    <row r="1471">
      <c r="B1471" s="57"/>
      <c r="P1471" s="8"/>
    </row>
    <row r="1472">
      <c r="B1472" s="57"/>
      <c r="P1472" s="8"/>
    </row>
    <row r="1473">
      <c r="B1473" s="57"/>
      <c r="P1473" s="8"/>
    </row>
    <row r="1474">
      <c r="B1474" s="57"/>
      <c r="P1474" s="8"/>
    </row>
    <row r="1475">
      <c r="B1475" s="57"/>
      <c r="P1475" s="8"/>
    </row>
    <row r="1476">
      <c r="B1476" s="57"/>
      <c r="P1476" s="8"/>
    </row>
    <row r="1477">
      <c r="B1477" s="57"/>
      <c r="P1477" s="8"/>
    </row>
    <row r="1478">
      <c r="B1478" s="57"/>
      <c r="P1478" s="8"/>
    </row>
    <row r="1479">
      <c r="B1479" s="57"/>
      <c r="P1479" s="8"/>
    </row>
    <row r="1480">
      <c r="B1480" s="57"/>
      <c r="P1480" s="8"/>
    </row>
    <row r="1481">
      <c r="B1481" s="57"/>
      <c r="P1481" s="8"/>
    </row>
    <row r="1482">
      <c r="B1482" s="57"/>
      <c r="P1482" s="8"/>
    </row>
    <row r="1483">
      <c r="B1483" s="57"/>
      <c r="P1483" s="8"/>
    </row>
    <row r="1484">
      <c r="B1484" s="57"/>
      <c r="P1484" s="8"/>
    </row>
    <row r="1485">
      <c r="B1485" s="57"/>
      <c r="P1485" s="8"/>
    </row>
    <row r="1486">
      <c r="B1486" s="57"/>
      <c r="P1486" s="8"/>
    </row>
    <row r="1487">
      <c r="B1487" s="57"/>
      <c r="P1487" s="8"/>
    </row>
    <row r="1488">
      <c r="B1488" s="57"/>
      <c r="P1488" s="8"/>
    </row>
    <row r="1489">
      <c r="B1489" s="57"/>
      <c r="P1489" s="8"/>
    </row>
    <row r="1490">
      <c r="B1490" s="57"/>
      <c r="P1490" s="8"/>
    </row>
    <row r="1491">
      <c r="B1491" s="57"/>
      <c r="P1491" s="8"/>
    </row>
    <row r="1492">
      <c r="B1492" s="57"/>
      <c r="P1492" s="8"/>
    </row>
    <row r="1493">
      <c r="B1493" s="57"/>
      <c r="P1493" s="8"/>
    </row>
    <row r="1494">
      <c r="B1494" s="57"/>
      <c r="P1494" s="8"/>
    </row>
    <row r="1495">
      <c r="B1495" s="57"/>
      <c r="P1495" s="8"/>
    </row>
    <row r="1496">
      <c r="B1496" s="57"/>
      <c r="P1496" s="8"/>
    </row>
    <row r="1497">
      <c r="B1497" s="57"/>
      <c r="P1497" s="8"/>
    </row>
    <row r="1498">
      <c r="B1498" s="57"/>
      <c r="P1498" s="8"/>
    </row>
    <row r="1499">
      <c r="B1499" s="57"/>
      <c r="P1499" s="8"/>
    </row>
    <row r="1500">
      <c r="B1500" s="57"/>
      <c r="P1500" s="8"/>
    </row>
    <row r="1501">
      <c r="B1501" s="57"/>
      <c r="P1501" s="8"/>
    </row>
    <row r="1502">
      <c r="B1502" s="57"/>
      <c r="P1502" s="8"/>
    </row>
    <row r="1503">
      <c r="B1503" s="57"/>
      <c r="P1503" s="8"/>
    </row>
    <row r="1504">
      <c r="B1504" s="57"/>
      <c r="P1504" s="8"/>
    </row>
    <row r="1505">
      <c r="B1505" s="57"/>
      <c r="P1505" s="8"/>
    </row>
    <row r="1506">
      <c r="B1506" s="57"/>
      <c r="P1506" s="8"/>
    </row>
    <row r="1507">
      <c r="B1507" s="57"/>
      <c r="P1507" s="8"/>
    </row>
    <row r="1508">
      <c r="B1508" s="57"/>
      <c r="P1508" s="8"/>
    </row>
    <row r="1509">
      <c r="B1509" s="57"/>
      <c r="P1509" s="8"/>
    </row>
    <row r="1510">
      <c r="B1510" s="57"/>
      <c r="P1510" s="8"/>
    </row>
    <row r="1511">
      <c r="B1511" s="57"/>
      <c r="P1511" s="8"/>
    </row>
    <row r="1512">
      <c r="B1512" s="57"/>
      <c r="P1512" s="8"/>
    </row>
    <row r="1513">
      <c r="B1513" s="57"/>
      <c r="P1513" s="8"/>
    </row>
    <row r="1514">
      <c r="B1514" s="57"/>
      <c r="P1514" s="8"/>
    </row>
    <row r="1515">
      <c r="B1515" s="57"/>
      <c r="P1515" s="8"/>
    </row>
    <row r="1516">
      <c r="B1516" s="57"/>
      <c r="P1516" s="8"/>
    </row>
    <row r="1517">
      <c r="B1517" s="57"/>
      <c r="P1517" s="8"/>
    </row>
    <row r="1518">
      <c r="B1518" s="57"/>
      <c r="P1518" s="8"/>
    </row>
    <row r="1519">
      <c r="B1519" s="57"/>
      <c r="P1519" s="8"/>
    </row>
    <row r="1520">
      <c r="B1520" s="57"/>
      <c r="P1520" s="8"/>
    </row>
    <row r="1521">
      <c r="B1521" s="57"/>
      <c r="P1521" s="8"/>
    </row>
    <row r="1522">
      <c r="B1522" s="57"/>
      <c r="P1522" s="8"/>
    </row>
    <row r="1523">
      <c r="B1523" s="57"/>
      <c r="P1523" s="8"/>
    </row>
    <row r="1524">
      <c r="B1524" s="57"/>
      <c r="P1524" s="8"/>
    </row>
    <row r="1525">
      <c r="B1525" s="57"/>
      <c r="P1525" s="8"/>
    </row>
    <row r="1526">
      <c r="B1526" s="57"/>
      <c r="P1526" s="8"/>
    </row>
    <row r="1527">
      <c r="B1527" s="57"/>
      <c r="P1527" s="8"/>
    </row>
    <row r="1528">
      <c r="B1528" s="57"/>
      <c r="P1528" s="8"/>
    </row>
    <row r="1529">
      <c r="B1529" s="57"/>
      <c r="P1529" s="8"/>
    </row>
    <row r="1530">
      <c r="B1530" s="57"/>
      <c r="P1530" s="8"/>
    </row>
    <row r="1531">
      <c r="B1531" s="57"/>
      <c r="P1531" s="8"/>
    </row>
    <row r="1532">
      <c r="B1532" s="57"/>
      <c r="P1532" s="8"/>
    </row>
    <row r="1533">
      <c r="B1533" s="57"/>
      <c r="P1533" s="8"/>
    </row>
    <row r="1534">
      <c r="B1534" s="57"/>
      <c r="P1534" s="8"/>
    </row>
    <row r="1535">
      <c r="B1535" s="57"/>
      <c r="P1535" s="8"/>
    </row>
    <row r="1536">
      <c r="B1536" s="57"/>
      <c r="P1536" s="8"/>
    </row>
    <row r="1537">
      <c r="B1537" s="57"/>
      <c r="P1537" s="8"/>
    </row>
    <row r="1538">
      <c r="B1538" s="57"/>
      <c r="P1538" s="8"/>
    </row>
    <row r="1539">
      <c r="B1539" s="57"/>
      <c r="P1539" s="8"/>
    </row>
    <row r="1540">
      <c r="B1540" s="57"/>
      <c r="P1540" s="8"/>
    </row>
    <row r="1541">
      <c r="B1541" s="57"/>
      <c r="P1541" s="8"/>
    </row>
    <row r="1542">
      <c r="B1542" s="57"/>
      <c r="P1542" s="8"/>
    </row>
    <row r="1543">
      <c r="B1543" s="57"/>
      <c r="P1543" s="8"/>
    </row>
    <row r="1544">
      <c r="B1544" s="57"/>
      <c r="P1544" s="8"/>
    </row>
    <row r="1545">
      <c r="B1545" s="57"/>
      <c r="P1545" s="8"/>
    </row>
    <row r="1546">
      <c r="B1546" s="57"/>
      <c r="P1546" s="8"/>
    </row>
    <row r="1547">
      <c r="B1547" s="57"/>
      <c r="P1547" s="8"/>
    </row>
    <row r="1548">
      <c r="B1548" s="57"/>
      <c r="P1548" s="8"/>
    </row>
    <row r="1549">
      <c r="B1549" s="57"/>
      <c r="P1549" s="8"/>
    </row>
    <row r="1550">
      <c r="B1550" s="57"/>
      <c r="P1550" s="8"/>
    </row>
    <row r="1551">
      <c r="B1551" s="57"/>
      <c r="P1551" s="8"/>
    </row>
    <row r="1552">
      <c r="B1552" s="57"/>
      <c r="P1552" s="8"/>
    </row>
    <row r="1553">
      <c r="B1553" s="57"/>
      <c r="P1553" s="8"/>
    </row>
    <row r="1554">
      <c r="B1554" s="57"/>
      <c r="P1554" s="8"/>
    </row>
    <row r="1555">
      <c r="B1555" s="57"/>
      <c r="P1555" s="8"/>
    </row>
    <row r="1556">
      <c r="B1556" s="57"/>
      <c r="P1556" s="8"/>
    </row>
    <row r="1557">
      <c r="B1557" s="57"/>
      <c r="P1557" s="8"/>
    </row>
    <row r="1558">
      <c r="B1558" s="57"/>
      <c r="P1558" s="8"/>
    </row>
    <row r="1559">
      <c r="B1559" s="57"/>
      <c r="P1559" s="8"/>
    </row>
    <row r="1560">
      <c r="B1560" s="57"/>
      <c r="P1560" s="8"/>
    </row>
    <row r="1561">
      <c r="B1561" s="57"/>
      <c r="P1561" s="8"/>
    </row>
    <row r="1562">
      <c r="B1562" s="57"/>
      <c r="P1562" s="8"/>
    </row>
    <row r="1563">
      <c r="B1563" s="57"/>
      <c r="P1563" s="8"/>
    </row>
    <row r="1564">
      <c r="B1564" s="57"/>
      <c r="P1564" s="8"/>
    </row>
    <row r="1565">
      <c r="B1565" s="57"/>
      <c r="P1565" s="8"/>
    </row>
    <row r="1566">
      <c r="B1566" s="57"/>
      <c r="P1566" s="8"/>
    </row>
    <row r="1567">
      <c r="B1567" s="57"/>
      <c r="P1567" s="8"/>
    </row>
    <row r="1568">
      <c r="B1568" s="57"/>
      <c r="P1568" s="8"/>
    </row>
    <row r="1569">
      <c r="B1569" s="57"/>
      <c r="P1569" s="8"/>
    </row>
    <row r="1570">
      <c r="B1570" s="57"/>
      <c r="P1570" s="8"/>
    </row>
    <row r="1571">
      <c r="B1571" s="57"/>
      <c r="P1571" s="8"/>
    </row>
    <row r="1572">
      <c r="B1572" s="57"/>
      <c r="P1572" s="8"/>
    </row>
    <row r="1573">
      <c r="B1573" s="57"/>
      <c r="P1573" s="8"/>
    </row>
    <row r="1574">
      <c r="B1574" s="57"/>
      <c r="P1574" s="8"/>
    </row>
    <row r="1575">
      <c r="B1575" s="57"/>
      <c r="P1575" s="8"/>
    </row>
    <row r="1576">
      <c r="B1576" s="57"/>
      <c r="P1576" s="8"/>
    </row>
    <row r="1577">
      <c r="B1577" s="57"/>
      <c r="P1577" s="8"/>
    </row>
    <row r="1578">
      <c r="B1578" s="57"/>
      <c r="P1578" s="8"/>
    </row>
    <row r="1579">
      <c r="B1579" s="57"/>
      <c r="P1579" s="8"/>
    </row>
    <row r="1580">
      <c r="B1580" s="57"/>
      <c r="P1580" s="8"/>
    </row>
    <row r="1581">
      <c r="B1581" s="57"/>
      <c r="P1581" s="8"/>
    </row>
    <row r="1582">
      <c r="B1582" s="57"/>
      <c r="P1582" s="8"/>
    </row>
    <row r="1583">
      <c r="B1583" s="57"/>
      <c r="P1583" s="8"/>
    </row>
    <row r="1584">
      <c r="B1584" s="57"/>
      <c r="P1584" s="8"/>
    </row>
    <row r="1585">
      <c r="B1585" s="57"/>
      <c r="P1585" s="8"/>
    </row>
    <row r="1586">
      <c r="B1586" s="57"/>
      <c r="P1586" s="8"/>
    </row>
    <row r="1587">
      <c r="B1587" s="57"/>
      <c r="P1587" s="8"/>
    </row>
    <row r="1588">
      <c r="B1588" s="57"/>
      <c r="P1588" s="8"/>
    </row>
    <row r="1589">
      <c r="B1589" s="57"/>
      <c r="P1589" s="8"/>
    </row>
    <row r="1590">
      <c r="B1590" s="57"/>
      <c r="P1590" s="8"/>
    </row>
    <row r="1591">
      <c r="B1591" s="57"/>
      <c r="P1591" s="8"/>
    </row>
    <row r="1592">
      <c r="B1592" s="57"/>
      <c r="P1592" s="8"/>
    </row>
    <row r="1593">
      <c r="B1593" s="57"/>
      <c r="P1593" s="8"/>
    </row>
    <row r="1594">
      <c r="B1594" s="57"/>
      <c r="P1594" s="8"/>
    </row>
    <row r="1595">
      <c r="B1595" s="57"/>
      <c r="P1595" s="8"/>
    </row>
    <row r="1596">
      <c r="B1596" s="57"/>
      <c r="P1596" s="8"/>
    </row>
    <row r="1597">
      <c r="B1597" s="57"/>
      <c r="P1597" s="8"/>
    </row>
    <row r="1598">
      <c r="B1598" s="57"/>
      <c r="P1598" s="8"/>
    </row>
    <row r="1599">
      <c r="B1599" s="57"/>
      <c r="P1599" s="8"/>
    </row>
    <row r="1600">
      <c r="B1600" s="57"/>
      <c r="P1600" s="8"/>
    </row>
    <row r="1601">
      <c r="B1601" s="57"/>
      <c r="P1601" s="8"/>
    </row>
    <row r="1602">
      <c r="B1602" s="57"/>
      <c r="P1602" s="8"/>
    </row>
    <row r="1603">
      <c r="B1603" s="57"/>
      <c r="P1603" s="8"/>
    </row>
    <row r="1604">
      <c r="B1604" s="57"/>
      <c r="P1604" s="8"/>
    </row>
    <row r="1605">
      <c r="B1605" s="57"/>
      <c r="P1605" s="8"/>
    </row>
    <row r="1606">
      <c r="B1606" s="57"/>
      <c r="P1606" s="8"/>
    </row>
    <row r="1607">
      <c r="B1607" s="57"/>
      <c r="P1607" s="8"/>
    </row>
    <row r="1608">
      <c r="B1608" s="57"/>
      <c r="P1608" s="8"/>
    </row>
    <row r="1609">
      <c r="B1609" s="57"/>
      <c r="P1609" s="8"/>
    </row>
    <row r="1610">
      <c r="B1610" s="57"/>
      <c r="P1610" s="8"/>
    </row>
    <row r="1611">
      <c r="B1611" s="57"/>
      <c r="P1611" s="8"/>
    </row>
    <row r="1612">
      <c r="B1612" s="57"/>
      <c r="P1612" s="8"/>
    </row>
    <row r="1613">
      <c r="B1613" s="57"/>
      <c r="P1613" s="8"/>
    </row>
    <row r="1614">
      <c r="B1614" s="57"/>
      <c r="P1614" s="8"/>
    </row>
    <row r="1615">
      <c r="B1615" s="57"/>
      <c r="P1615" s="8"/>
    </row>
    <row r="1616">
      <c r="B1616" s="57"/>
      <c r="P1616" s="8"/>
    </row>
    <row r="1617">
      <c r="B1617" s="57"/>
      <c r="P1617" s="8"/>
    </row>
    <row r="1618">
      <c r="B1618" s="57"/>
      <c r="P1618" s="8"/>
    </row>
    <row r="1619">
      <c r="B1619" s="57"/>
      <c r="P1619" s="8"/>
    </row>
    <row r="1620">
      <c r="B1620" s="57"/>
      <c r="P1620" s="8"/>
    </row>
    <row r="1621">
      <c r="B1621" s="57"/>
      <c r="P1621" s="8"/>
    </row>
    <row r="1622">
      <c r="B1622" s="57"/>
      <c r="P1622" s="8"/>
    </row>
    <row r="1623">
      <c r="B1623" s="57"/>
      <c r="P1623" s="8"/>
    </row>
    <row r="1624">
      <c r="B1624" s="57"/>
      <c r="P1624" s="8"/>
    </row>
    <row r="1625">
      <c r="B1625" s="57"/>
      <c r="P1625" s="8"/>
    </row>
    <row r="1626">
      <c r="B1626" s="57"/>
      <c r="P1626" s="8"/>
    </row>
    <row r="1627">
      <c r="B1627" s="57"/>
      <c r="P1627" s="8"/>
    </row>
    <row r="1628">
      <c r="B1628" s="57"/>
      <c r="P1628" s="8"/>
    </row>
    <row r="1629">
      <c r="B1629" s="57"/>
      <c r="P1629" s="8"/>
    </row>
    <row r="1630">
      <c r="B1630" s="57"/>
      <c r="P1630" s="8"/>
    </row>
    <row r="1631">
      <c r="B1631" s="57"/>
      <c r="P1631" s="8"/>
    </row>
    <row r="1632">
      <c r="B1632" s="57"/>
      <c r="P1632" s="8"/>
    </row>
    <row r="1633">
      <c r="B1633" s="57"/>
      <c r="P1633" s="8"/>
    </row>
    <row r="1634">
      <c r="B1634" s="57"/>
      <c r="P1634" s="8"/>
    </row>
    <row r="1635">
      <c r="B1635" s="57"/>
      <c r="P1635" s="8"/>
    </row>
    <row r="1636">
      <c r="B1636" s="57"/>
      <c r="P1636" s="8"/>
    </row>
    <row r="1637">
      <c r="B1637" s="57"/>
      <c r="P1637" s="8"/>
    </row>
    <row r="1638">
      <c r="B1638" s="57"/>
      <c r="P1638" s="8"/>
    </row>
    <row r="1639">
      <c r="B1639" s="57"/>
      <c r="P1639" s="8"/>
    </row>
    <row r="1640">
      <c r="B1640" s="57"/>
      <c r="P1640" s="8"/>
    </row>
    <row r="1641">
      <c r="B1641" s="57"/>
      <c r="P1641" s="8"/>
    </row>
    <row r="1642">
      <c r="B1642" s="57"/>
      <c r="P1642" s="8"/>
    </row>
    <row r="1643">
      <c r="B1643" s="57"/>
      <c r="P1643" s="8"/>
    </row>
    <row r="1644">
      <c r="B1644" s="57"/>
      <c r="P1644" s="8"/>
    </row>
    <row r="1645">
      <c r="B1645" s="57"/>
      <c r="P1645" s="8"/>
    </row>
    <row r="1646">
      <c r="B1646" s="57"/>
      <c r="P1646" s="8"/>
    </row>
    <row r="1647">
      <c r="B1647" s="57"/>
      <c r="P1647" s="8"/>
    </row>
    <row r="1648">
      <c r="B1648" s="57"/>
      <c r="P1648" s="8"/>
    </row>
    <row r="1649">
      <c r="B1649" s="57"/>
      <c r="P1649" s="8"/>
    </row>
    <row r="1650">
      <c r="B1650" s="57"/>
      <c r="P1650" s="8"/>
    </row>
    <row r="1651">
      <c r="B1651" s="57"/>
      <c r="P1651" s="8"/>
    </row>
    <row r="1652">
      <c r="B1652" s="57"/>
      <c r="P1652" s="8"/>
    </row>
    <row r="1653">
      <c r="B1653" s="57"/>
      <c r="P1653" s="8"/>
    </row>
    <row r="1654">
      <c r="B1654" s="57"/>
      <c r="P1654" s="8"/>
    </row>
    <row r="1655">
      <c r="B1655" s="57"/>
      <c r="P1655" s="8"/>
    </row>
    <row r="1656">
      <c r="B1656" s="57"/>
      <c r="P1656" s="8"/>
    </row>
    <row r="1657">
      <c r="B1657" s="57"/>
      <c r="P1657" s="8"/>
    </row>
    <row r="1658">
      <c r="B1658" s="57"/>
      <c r="P1658" s="8"/>
    </row>
    <row r="1659">
      <c r="B1659" s="57"/>
      <c r="P1659" s="8"/>
    </row>
    <row r="1660">
      <c r="B1660" s="57"/>
      <c r="P1660" s="8"/>
    </row>
    <row r="1661">
      <c r="B1661" s="57"/>
      <c r="P1661" s="8"/>
    </row>
    <row r="1662">
      <c r="B1662" s="57"/>
      <c r="P1662" s="8"/>
    </row>
    <row r="1663">
      <c r="B1663" s="57"/>
      <c r="P1663" s="8"/>
    </row>
    <row r="1664">
      <c r="B1664" s="57"/>
      <c r="P1664" s="8"/>
    </row>
    <row r="1665">
      <c r="B1665" s="57"/>
      <c r="P1665" s="8"/>
    </row>
    <row r="1666">
      <c r="B1666" s="57"/>
      <c r="P1666" s="8"/>
    </row>
    <row r="1667">
      <c r="B1667" s="57"/>
      <c r="P1667" s="8"/>
    </row>
    <row r="1668">
      <c r="B1668" s="57"/>
      <c r="P1668" s="8"/>
    </row>
    <row r="1669">
      <c r="B1669" s="57"/>
      <c r="P1669" s="8"/>
    </row>
    <row r="1670">
      <c r="B1670" s="57"/>
      <c r="P1670" s="8"/>
    </row>
    <row r="1671">
      <c r="B1671" s="57"/>
      <c r="P1671" s="8"/>
    </row>
    <row r="1672">
      <c r="B1672" s="57"/>
      <c r="P1672" s="8"/>
    </row>
    <row r="1673">
      <c r="B1673" s="57"/>
      <c r="P1673" s="8"/>
    </row>
    <row r="1674">
      <c r="B1674" s="57"/>
      <c r="P1674" s="8"/>
    </row>
    <row r="1675">
      <c r="B1675" s="57"/>
      <c r="P1675" s="8"/>
    </row>
    <row r="1676">
      <c r="B1676" s="57"/>
      <c r="P1676" s="8"/>
    </row>
    <row r="1677">
      <c r="B1677" s="57"/>
      <c r="P1677" s="8"/>
    </row>
    <row r="1678">
      <c r="B1678" s="57"/>
      <c r="P1678" s="8"/>
    </row>
    <row r="1679">
      <c r="B1679" s="57"/>
      <c r="P1679" s="8"/>
    </row>
    <row r="1680">
      <c r="B1680" s="57"/>
      <c r="P1680" s="8"/>
    </row>
    <row r="1681">
      <c r="B1681" s="57"/>
      <c r="P1681" s="8"/>
    </row>
    <row r="1682">
      <c r="B1682" s="57"/>
      <c r="P1682" s="8"/>
    </row>
    <row r="1683">
      <c r="B1683" s="57"/>
      <c r="P1683" s="8"/>
    </row>
    <row r="1684">
      <c r="B1684" s="57"/>
      <c r="P1684" s="8"/>
    </row>
    <row r="1685">
      <c r="B1685" s="57"/>
      <c r="P1685" s="8"/>
    </row>
    <row r="1686">
      <c r="B1686" s="57"/>
      <c r="P1686" s="8"/>
    </row>
    <row r="1687">
      <c r="B1687" s="57"/>
      <c r="P1687" s="8"/>
    </row>
    <row r="1688">
      <c r="B1688" s="57"/>
      <c r="P1688" s="8"/>
    </row>
    <row r="1689">
      <c r="B1689" s="57"/>
      <c r="P1689" s="8"/>
    </row>
    <row r="1690">
      <c r="B1690" s="57"/>
      <c r="P1690" s="8"/>
    </row>
    <row r="1691">
      <c r="B1691" s="57"/>
      <c r="P1691" s="8"/>
    </row>
    <row r="1692">
      <c r="B1692" s="57"/>
      <c r="P1692" s="8"/>
    </row>
    <row r="1693">
      <c r="B1693" s="57"/>
      <c r="P1693" s="8"/>
    </row>
    <row r="1694">
      <c r="B1694" s="57"/>
      <c r="P1694" s="8"/>
    </row>
    <row r="1695">
      <c r="B1695" s="57"/>
      <c r="P1695" s="8"/>
    </row>
    <row r="1696">
      <c r="B1696" s="57"/>
      <c r="P1696" s="8"/>
    </row>
    <row r="1697">
      <c r="B1697" s="57"/>
      <c r="P1697" s="8"/>
    </row>
    <row r="1698">
      <c r="B1698" s="57"/>
      <c r="P1698" s="8"/>
    </row>
    <row r="1699">
      <c r="B1699" s="57"/>
      <c r="P1699" s="8"/>
    </row>
    <row r="1700">
      <c r="B1700" s="57"/>
      <c r="P1700" s="8"/>
    </row>
    <row r="1701">
      <c r="B1701" s="57"/>
      <c r="P1701" s="8"/>
    </row>
    <row r="1702">
      <c r="B1702" s="57"/>
      <c r="P1702" s="8"/>
    </row>
    <row r="1703">
      <c r="B1703" s="57"/>
      <c r="P1703" s="8"/>
    </row>
    <row r="1704">
      <c r="B1704" s="57"/>
      <c r="P1704" s="8"/>
    </row>
    <row r="1705">
      <c r="B1705" s="57"/>
      <c r="P1705" s="8"/>
    </row>
    <row r="1706">
      <c r="B1706" s="57"/>
      <c r="P1706" s="8"/>
    </row>
    <row r="1707">
      <c r="B1707" s="57"/>
      <c r="P1707" s="8"/>
    </row>
    <row r="1708">
      <c r="B1708" s="57"/>
      <c r="P1708" s="8"/>
    </row>
    <row r="1709">
      <c r="B1709" s="57"/>
      <c r="P1709" s="8"/>
    </row>
    <row r="1710">
      <c r="B1710" s="57"/>
      <c r="P1710" s="8"/>
    </row>
    <row r="1711">
      <c r="B1711" s="57"/>
      <c r="P1711" s="8"/>
    </row>
    <row r="1712">
      <c r="B1712" s="57"/>
      <c r="P1712" s="8"/>
    </row>
    <row r="1713">
      <c r="B1713" s="57"/>
      <c r="P1713" s="8"/>
    </row>
    <row r="1714">
      <c r="B1714" s="57"/>
      <c r="P1714" s="8"/>
    </row>
    <row r="1715">
      <c r="B1715" s="57"/>
      <c r="P1715" s="8"/>
    </row>
    <row r="1716">
      <c r="B1716" s="57"/>
      <c r="P1716" s="8"/>
    </row>
    <row r="1717">
      <c r="B1717" s="57"/>
      <c r="P1717" s="8"/>
    </row>
    <row r="1718">
      <c r="B1718" s="57"/>
      <c r="P1718" s="8"/>
    </row>
    <row r="1719">
      <c r="B1719" s="57"/>
      <c r="P1719" s="8"/>
    </row>
    <row r="1720">
      <c r="B1720" s="57"/>
      <c r="P1720" s="8"/>
    </row>
    <row r="1721">
      <c r="B1721" s="57"/>
      <c r="P1721" s="8"/>
    </row>
    <row r="1722">
      <c r="B1722" s="57"/>
      <c r="P1722" s="8"/>
    </row>
    <row r="1723">
      <c r="B1723" s="57"/>
      <c r="P1723" s="8"/>
    </row>
    <row r="1724">
      <c r="B1724" s="57"/>
      <c r="P1724" s="8"/>
    </row>
    <row r="1725">
      <c r="B1725" s="57"/>
      <c r="P1725" s="8"/>
    </row>
    <row r="1726">
      <c r="B1726" s="57"/>
      <c r="P1726" s="8"/>
    </row>
    <row r="1727">
      <c r="B1727" s="57"/>
      <c r="P1727" s="8"/>
    </row>
    <row r="1728">
      <c r="B1728" s="57"/>
      <c r="P1728" s="8"/>
    </row>
    <row r="1729">
      <c r="B1729" s="57"/>
      <c r="P1729" s="8"/>
    </row>
    <row r="1730">
      <c r="B1730" s="57"/>
      <c r="P1730" s="8"/>
    </row>
    <row r="1731">
      <c r="B1731" s="57"/>
      <c r="P1731" s="8"/>
    </row>
    <row r="1732">
      <c r="B1732" s="57"/>
      <c r="P1732" s="8"/>
    </row>
    <row r="1733">
      <c r="B1733" s="57"/>
      <c r="P1733" s="8"/>
    </row>
    <row r="1734">
      <c r="B1734" s="57"/>
      <c r="P1734" s="8"/>
    </row>
    <row r="1735">
      <c r="B1735" s="57"/>
      <c r="P1735" s="8"/>
    </row>
    <row r="1736">
      <c r="B1736" s="57"/>
      <c r="P1736" s="8"/>
    </row>
    <row r="1737">
      <c r="B1737" s="57"/>
      <c r="P1737" s="8"/>
    </row>
    <row r="1738">
      <c r="B1738" s="57"/>
      <c r="P1738" s="8"/>
    </row>
    <row r="1739">
      <c r="B1739" s="57"/>
      <c r="P1739" s="8"/>
    </row>
    <row r="1740">
      <c r="B1740" s="57"/>
      <c r="P1740" s="8"/>
    </row>
    <row r="1741">
      <c r="B1741" s="57"/>
      <c r="P1741" s="8"/>
    </row>
    <row r="1742">
      <c r="B1742" s="57"/>
      <c r="P1742" s="8"/>
    </row>
    <row r="1743">
      <c r="B1743" s="57"/>
      <c r="P1743" s="8"/>
    </row>
    <row r="1744">
      <c r="B1744" s="57"/>
      <c r="P1744" s="8"/>
    </row>
    <row r="1745">
      <c r="B1745" s="57"/>
      <c r="P1745" s="8"/>
    </row>
    <row r="1746">
      <c r="B1746" s="57"/>
      <c r="P1746" s="8"/>
    </row>
    <row r="1747">
      <c r="B1747" s="57"/>
      <c r="P1747" s="8"/>
    </row>
    <row r="1748">
      <c r="B1748" s="57"/>
      <c r="P1748" s="8"/>
    </row>
    <row r="1749">
      <c r="B1749" s="57"/>
      <c r="P1749" s="8"/>
    </row>
    <row r="1750">
      <c r="B1750" s="57"/>
      <c r="P1750" s="8"/>
    </row>
    <row r="1751">
      <c r="B1751" s="57"/>
      <c r="P1751" s="8"/>
    </row>
    <row r="1752">
      <c r="B1752" s="57"/>
      <c r="P1752" s="8"/>
    </row>
    <row r="1753">
      <c r="B1753" s="57"/>
      <c r="P1753" s="8"/>
    </row>
    <row r="1754">
      <c r="B1754" s="57"/>
      <c r="P1754" s="8"/>
    </row>
    <row r="1755">
      <c r="B1755" s="57"/>
      <c r="P1755" s="8"/>
    </row>
    <row r="1756">
      <c r="B1756" s="57"/>
      <c r="P1756" s="8"/>
    </row>
    <row r="1757">
      <c r="B1757" s="57"/>
      <c r="P1757" s="8"/>
    </row>
    <row r="1758">
      <c r="B1758" s="57"/>
      <c r="P1758" s="8"/>
    </row>
    <row r="1759">
      <c r="B1759" s="57"/>
      <c r="P1759" s="8"/>
    </row>
    <row r="1760">
      <c r="B1760" s="57"/>
      <c r="P1760" s="8"/>
    </row>
    <row r="1761">
      <c r="B1761" s="57"/>
      <c r="P1761" s="8"/>
    </row>
    <row r="1762">
      <c r="B1762" s="57"/>
      <c r="P1762" s="8"/>
    </row>
    <row r="1763">
      <c r="B1763" s="57"/>
      <c r="P1763" s="8"/>
    </row>
    <row r="1764">
      <c r="B1764" s="57"/>
      <c r="P1764" s="8"/>
    </row>
    <row r="1765">
      <c r="B1765" s="57"/>
      <c r="P1765" s="8"/>
    </row>
    <row r="1766">
      <c r="B1766" s="57"/>
      <c r="P1766" s="8"/>
    </row>
    <row r="1767">
      <c r="B1767" s="57"/>
      <c r="P1767" s="8"/>
    </row>
    <row r="1768">
      <c r="B1768" s="57"/>
      <c r="P1768" s="8"/>
    </row>
    <row r="1769">
      <c r="B1769" s="57"/>
      <c r="P1769" s="8"/>
    </row>
    <row r="1770">
      <c r="B1770" s="57"/>
      <c r="P1770" s="8"/>
    </row>
    <row r="1771">
      <c r="B1771" s="57"/>
      <c r="P1771" s="8"/>
    </row>
    <row r="1772">
      <c r="B1772" s="57"/>
      <c r="P1772" s="8"/>
    </row>
    <row r="1773">
      <c r="B1773" s="57"/>
      <c r="P1773" s="8"/>
    </row>
    <row r="1774">
      <c r="B1774" s="57"/>
      <c r="P1774" s="8"/>
    </row>
    <row r="1775">
      <c r="B1775" s="57"/>
      <c r="P1775" s="8"/>
    </row>
    <row r="1776">
      <c r="B1776" s="57"/>
      <c r="P1776" s="8"/>
    </row>
    <row r="1777">
      <c r="B1777" s="57"/>
      <c r="P1777" s="8"/>
    </row>
    <row r="1778">
      <c r="B1778" s="57"/>
      <c r="P1778" s="8"/>
    </row>
    <row r="1779">
      <c r="B1779" s="57"/>
      <c r="P1779" s="8"/>
    </row>
    <row r="1780">
      <c r="B1780" s="57"/>
      <c r="P1780" s="8"/>
    </row>
    <row r="1781">
      <c r="B1781" s="57"/>
      <c r="P1781" s="8"/>
    </row>
    <row r="1782">
      <c r="B1782" s="57"/>
      <c r="P1782" s="8"/>
    </row>
    <row r="1783">
      <c r="B1783" s="57"/>
      <c r="P1783" s="8"/>
    </row>
    <row r="1784">
      <c r="B1784" s="57"/>
      <c r="P1784" s="8"/>
    </row>
    <row r="1785">
      <c r="B1785" s="57"/>
      <c r="P1785" s="8"/>
    </row>
    <row r="1786">
      <c r="B1786" s="57"/>
      <c r="P1786" s="8"/>
    </row>
    <row r="1787">
      <c r="B1787" s="57"/>
      <c r="P1787" s="8"/>
    </row>
    <row r="1788">
      <c r="B1788" s="57"/>
      <c r="P1788" s="8"/>
    </row>
    <row r="1789">
      <c r="B1789" s="57"/>
      <c r="P1789" s="8"/>
    </row>
    <row r="1790">
      <c r="B1790" s="57"/>
      <c r="P1790" s="8"/>
    </row>
    <row r="1791">
      <c r="B1791" s="57"/>
      <c r="P1791" s="8"/>
    </row>
    <row r="1792">
      <c r="B1792" s="57"/>
      <c r="P1792" s="8"/>
    </row>
    <row r="1793">
      <c r="B1793" s="57"/>
      <c r="P1793" s="8"/>
    </row>
    <row r="1794">
      <c r="B1794" s="57"/>
      <c r="P1794" s="8"/>
    </row>
    <row r="1795">
      <c r="B1795" s="57"/>
      <c r="P1795" s="8"/>
    </row>
    <row r="1796">
      <c r="B1796" s="57"/>
      <c r="P1796" s="8"/>
    </row>
    <row r="1797">
      <c r="B1797" s="57"/>
      <c r="P1797" s="8"/>
    </row>
    <row r="1798">
      <c r="B1798" s="57"/>
      <c r="P1798" s="8"/>
    </row>
    <row r="1799">
      <c r="B1799" s="57"/>
      <c r="P1799" s="8"/>
    </row>
    <row r="1800">
      <c r="B1800" s="57"/>
      <c r="P1800" s="8"/>
    </row>
    <row r="1801">
      <c r="B1801" s="57"/>
      <c r="P1801" s="8"/>
    </row>
    <row r="1802">
      <c r="B1802" s="57"/>
      <c r="P1802" s="8"/>
    </row>
    <row r="1803">
      <c r="B1803" s="57"/>
      <c r="P1803" s="8"/>
    </row>
    <row r="1804">
      <c r="B1804" s="57"/>
      <c r="P1804" s="8"/>
    </row>
    <row r="1805">
      <c r="B1805" s="57"/>
      <c r="P1805" s="8"/>
    </row>
    <row r="1806">
      <c r="B1806" s="57"/>
      <c r="P1806" s="8"/>
    </row>
    <row r="1807">
      <c r="B1807" s="57"/>
      <c r="P1807" s="8"/>
    </row>
    <row r="1808">
      <c r="B1808" s="57"/>
      <c r="P1808" s="8"/>
    </row>
    <row r="1809">
      <c r="B1809" s="57"/>
      <c r="P1809" s="8"/>
    </row>
    <row r="1810">
      <c r="B1810" s="57"/>
      <c r="P1810" s="8"/>
    </row>
    <row r="1811">
      <c r="B1811" s="57"/>
      <c r="P1811" s="8"/>
    </row>
    <row r="1812">
      <c r="B1812" s="57"/>
      <c r="P1812" s="8"/>
    </row>
    <row r="1813">
      <c r="B1813" s="57"/>
      <c r="P1813" s="8"/>
    </row>
    <row r="1814">
      <c r="B1814" s="57"/>
      <c r="P1814" s="8"/>
    </row>
    <row r="1815">
      <c r="B1815" s="57"/>
      <c r="P1815" s="8"/>
    </row>
    <row r="1816">
      <c r="B1816" s="57"/>
      <c r="P1816" s="8"/>
    </row>
    <row r="1817">
      <c r="B1817" s="57"/>
      <c r="P1817" s="8"/>
    </row>
    <row r="1818">
      <c r="B1818" s="57"/>
      <c r="P1818" s="8"/>
    </row>
    <row r="1819">
      <c r="B1819" s="57"/>
      <c r="P1819" s="8"/>
    </row>
    <row r="1820">
      <c r="B1820" s="57"/>
      <c r="P1820" s="8"/>
    </row>
    <row r="1821">
      <c r="B1821" s="57"/>
      <c r="P1821" s="8"/>
    </row>
    <row r="1822">
      <c r="B1822" s="57"/>
      <c r="P1822" s="8"/>
    </row>
    <row r="1823">
      <c r="B1823" s="57"/>
      <c r="P1823" s="8"/>
    </row>
    <row r="1824">
      <c r="B1824" s="57"/>
      <c r="P1824" s="8"/>
    </row>
    <row r="1825">
      <c r="B1825" s="57"/>
      <c r="P1825" s="8"/>
    </row>
    <row r="1826">
      <c r="B1826" s="57"/>
      <c r="P1826" s="8"/>
    </row>
    <row r="1827">
      <c r="B1827" s="57"/>
      <c r="P1827" s="8"/>
    </row>
    <row r="1828">
      <c r="B1828" s="57"/>
      <c r="P1828" s="8"/>
    </row>
    <row r="1829">
      <c r="B1829" s="57"/>
      <c r="P1829" s="8"/>
    </row>
    <row r="1830">
      <c r="B1830" s="57"/>
      <c r="P1830" s="8"/>
    </row>
    <row r="1831">
      <c r="B1831" s="57"/>
      <c r="P1831" s="8"/>
    </row>
    <row r="1832">
      <c r="B1832" s="57"/>
      <c r="P1832" s="8"/>
    </row>
    <row r="1833">
      <c r="B1833" s="57"/>
      <c r="P1833" s="8"/>
    </row>
    <row r="1834">
      <c r="B1834" s="57"/>
      <c r="P1834" s="8"/>
    </row>
    <row r="1835">
      <c r="B1835" s="57"/>
      <c r="P1835" s="8"/>
    </row>
    <row r="1836">
      <c r="B1836" s="57"/>
      <c r="P1836" s="8"/>
    </row>
    <row r="1837">
      <c r="B1837" s="57"/>
      <c r="P1837" s="8"/>
    </row>
    <row r="1838">
      <c r="B1838" s="57"/>
      <c r="P1838" s="8"/>
    </row>
    <row r="1839">
      <c r="B1839" s="57"/>
      <c r="P1839" s="8"/>
    </row>
    <row r="1840">
      <c r="B1840" s="57"/>
      <c r="P1840" s="8"/>
    </row>
    <row r="1841">
      <c r="B1841" s="57"/>
      <c r="P1841" s="8"/>
    </row>
    <row r="1842">
      <c r="B1842" s="57"/>
      <c r="P1842" s="8"/>
    </row>
    <row r="1843">
      <c r="B1843" s="57"/>
      <c r="P1843" s="8"/>
    </row>
    <row r="1844">
      <c r="B1844" s="57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8">
        <f>sum(D:D)</f>
        <v>92631.45</v>
      </c>
    </row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25</v>
      </c>
      <c r="I1" s="60">
        <f>countifs(B:B,"&lt;&gt;",F:F,"&lt;&gt;")-1</f>
        <v>3</v>
      </c>
      <c r="K1" s="7" t="s">
        <v>26</v>
      </c>
      <c r="L1" s="7" t="s">
        <v>27</v>
      </c>
      <c r="M1" s="7" t="s">
        <v>13</v>
      </c>
    </row>
    <row r="2">
      <c r="H2" s="59" t="s">
        <v>28</v>
      </c>
      <c r="I2" s="60">
        <f t="array" ref="I2">(COUNTA(UNIQUE(C:C))-1)</f>
        <v>3</v>
      </c>
      <c r="K2" s="61" t="str">
        <f>'Internal Summary'!B41</f>
        <v>Zeef 1kg Groundrice Flour (12x)</v>
      </c>
      <c r="L2" s="60">
        <f t="shared" ref="L2:L13" si="1">sumif(D:D,K2,E:E)</f>
        <v>1</v>
      </c>
      <c r="M2" s="60">
        <f t="shared" ref="M2:M13" si="2">sumif(D:D,K2,F:F)</f>
        <v>50232.56</v>
      </c>
      <c r="N2" s="62"/>
    </row>
    <row r="3">
      <c r="H3" s="59" t="s">
        <v>29</v>
      </c>
      <c r="I3" s="60">
        <f>sum(F:F)</f>
        <v>92631.45</v>
      </c>
      <c r="K3" s="61" t="str">
        <f>'Internal Summary'!B42</f>
        <v>Zeef 250g Blended Locust Beans (12x)</v>
      </c>
      <c r="L3" s="60">
        <f t="shared" si="1"/>
        <v>1</v>
      </c>
      <c r="M3" s="60">
        <f t="shared" si="2"/>
        <v>42398.89</v>
      </c>
      <c r="N3" s="62"/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8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50,232.56"/>
        <filter val="21,209.30"/>
        <filter val="21,189.59"/>
      </filters>
    </filterColumn>
    <filterColumn colId="3">
      <filters>
        <filter val="Zeef 250g Blended Locust Beans (12x) Total"/>
        <filter val="Total"/>
        <filter val="Zeef 1kg Groundrice Flour (12x)"/>
        <filter val="Zeef 250g Blended Locust Beans (12x)"/>
        <filter val="Zeef 1kg Groundrice Flour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25</v>
      </c>
      <c r="I1" s="60">
        <f>countifs(B:B,"&lt;&gt;",F:F,"&lt;&gt;")-1</f>
        <v>0</v>
      </c>
      <c r="K1" s="61" t="s">
        <v>26</v>
      </c>
      <c r="L1" s="61" t="s">
        <v>27</v>
      </c>
      <c r="M1" s="61" t="s">
        <v>13</v>
      </c>
    </row>
    <row r="2">
      <c r="H2" s="59" t="s">
        <v>28</v>
      </c>
      <c r="I2" s="60">
        <f t="array" ref="I2">(COUNTA(UNIQUE(C:C))-1)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29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25</v>
      </c>
      <c r="I1" s="60">
        <f>countifs(B:B,"&lt;&gt;",F:F,"&lt;&gt;")-1</f>
        <v>0</v>
      </c>
      <c r="K1" s="61" t="s">
        <v>26</v>
      </c>
      <c r="L1" s="61" t="s">
        <v>34</v>
      </c>
      <c r="M1" s="61" t="s">
        <v>13</v>
      </c>
    </row>
    <row r="2">
      <c r="H2" s="59" t="s">
        <v>28</v>
      </c>
      <c r="I2" s="60">
        <f t="array" ref="I2">(COUNTA(UNIQUE(C:C))-1)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4">
        <f t="shared" ref="M2:M13" si="2">sumif(D:D,K2,F:F)</f>
        <v>0</v>
      </c>
    </row>
    <row r="3">
      <c r="H3" s="59" t="s">
        <v>29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  <c r="M3" s="64">
        <f t="shared" si="2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4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4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4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4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4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4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4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4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4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25</v>
      </c>
      <c r="I1" s="60">
        <f>countifs(B:B,"&lt;&gt;",F:F,"&lt;&gt;")-1</f>
        <v>0</v>
      </c>
      <c r="K1" s="61" t="s">
        <v>26</v>
      </c>
      <c r="L1" s="61" t="s">
        <v>27</v>
      </c>
    </row>
    <row r="2">
      <c r="H2" s="59" t="s">
        <v>28</v>
      </c>
      <c r="I2" s="60">
        <f t="array" ref="I2">(COUNTA(UNIQUE(C:C,,0))-1)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</row>
    <row r="3">
      <c r="H3" s="59" t="s">
        <v>29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25</v>
      </c>
      <c r="I1" s="60">
        <f>countifs(B:B,"&lt;&gt;",F:F,"&lt;&gt;")-1</f>
        <v>0</v>
      </c>
      <c r="K1" s="61" t="s">
        <v>26</v>
      </c>
      <c r="L1" s="61" t="s">
        <v>27</v>
      </c>
    </row>
    <row r="2">
      <c r="H2" s="59" t="s">
        <v>28</v>
      </c>
      <c r="I2" s="60">
        <f t="array" ref="I2">(COUNTA(UNIQUE(C:C,,0))-1)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</row>
    <row r="3">
      <c r="H3" s="59" t="s">
        <v>29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9" t="s">
        <v>35</v>
      </c>
      <c r="C1" s="59" t="s">
        <v>27</v>
      </c>
      <c r="D1" s="59" t="s">
        <v>36</v>
      </c>
      <c r="E1" s="59" t="s">
        <v>37</v>
      </c>
      <c r="F1" s="67"/>
    </row>
    <row r="2">
      <c r="A2" s="68" t="s">
        <v>38</v>
      </c>
      <c r="B2" s="69" t="s">
        <v>25</v>
      </c>
      <c r="C2" s="70"/>
      <c r="D2" s="70"/>
      <c r="E2" s="71">
        <f>'Dala Sales &amp; Deliveries'!I1+'External Delivery Fulfillment'!I1</f>
        <v>3</v>
      </c>
      <c r="F2" s="67"/>
    </row>
    <row r="3">
      <c r="A3" s="72"/>
      <c r="B3" s="69" t="s">
        <v>39</v>
      </c>
      <c r="C3" s="70"/>
      <c r="D3" s="70"/>
      <c r="E3" s="69">
        <f>'Raw Data'!AW2</f>
        <v>2</v>
      </c>
      <c r="F3" s="67"/>
    </row>
    <row r="4">
      <c r="B4" s="73" t="s">
        <v>40</v>
      </c>
      <c r="C4" s="67"/>
      <c r="D4" s="67"/>
      <c r="E4" s="74">
        <f>'Dala Sales &amp; Deliveries'!I3</f>
        <v>92631.45</v>
      </c>
      <c r="F4" s="67"/>
    </row>
    <row r="5">
      <c r="B5" s="73" t="s">
        <v>41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42</v>
      </c>
      <c r="C6" s="77"/>
      <c r="D6" s="78"/>
      <c r="E6" s="79">
        <f>E4*1.075-E4</f>
        <v>6947.35875</v>
      </c>
      <c r="F6" s="67"/>
    </row>
    <row r="7">
      <c r="A7" s="80"/>
      <c r="B7" s="81" t="s">
        <v>43</v>
      </c>
      <c r="C7" s="82"/>
      <c r="D7" s="83"/>
      <c r="E7" s="84">
        <f>sum(E4:E6)</f>
        <v>99578.80875</v>
      </c>
      <c r="F7" s="67"/>
    </row>
    <row r="8">
      <c r="A8" s="68" t="s">
        <v>44</v>
      </c>
      <c r="B8" s="69" t="s">
        <v>45</v>
      </c>
      <c r="C8" s="70"/>
      <c r="D8" s="85"/>
      <c r="E8" s="86"/>
    </row>
    <row r="9">
      <c r="A9" s="80"/>
      <c r="B9" s="81" t="s">
        <v>46</v>
      </c>
      <c r="C9" s="87">
        <v>0.1</v>
      </c>
      <c r="D9" s="83"/>
      <c r="E9" s="84">
        <f>E8*(C9+100%)-E8</f>
        <v>0</v>
      </c>
      <c r="K9" s="8"/>
      <c r="L9" s="8"/>
      <c r="M9" s="8"/>
    </row>
    <row r="10">
      <c r="A10" s="88" t="s">
        <v>47</v>
      </c>
      <c r="B10" s="81" t="s">
        <v>48</v>
      </c>
      <c r="C10" s="82"/>
      <c r="D10" s="83"/>
      <c r="E10" s="84">
        <f>E7-E8-E9</f>
        <v>99578.80875</v>
      </c>
    </row>
    <row r="11">
      <c r="A11" s="68" t="s">
        <v>49</v>
      </c>
      <c r="B11" s="69" t="s">
        <v>50</v>
      </c>
      <c r="C11" s="89">
        <v>1.0</v>
      </c>
      <c r="D11" s="90"/>
      <c r="E11" s="90">
        <f>C11*D11</f>
        <v>0</v>
      </c>
    </row>
    <row r="12">
      <c r="A12" s="72"/>
      <c r="B12" s="69" t="s">
        <v>46</v>
      </c>
      <c r="C12" s="91"/>
      <c r="D12" s="85"/>
      <c r="E12" s="90">
        <f>E10*C9</f>
        <v>9957.880875</v>
      </c>
    </row>
    <row r="13">
      <c r="A13" s="72"/>
      <c r="B13" s="76" t="s">
        <v>51</v>
      </c>
      <c r="C13" s="70"/>
      <c r="D13" s="92" t="s">
        <v>52</v>
      </c>
      <c r="E13" s="90">
        <f>C27</f>
        <v>6000</v>
      </c>
    </row>
    <row r="14">
      <c r="A14" s="72"/>
      <c r="B14" s="93" t="s">
        <v>53</v>
      </c>
      <c r="C14" s="94"/>
      <c r="D14" s="95" t="s">
        <v>52</v>
      </c>
      <c r="E14" s="96">
        <f>C23+C29</f>
        <v>0</v>
      </c>
    </row>
    <row r="15">
      <c r="A15" s="72"/>
      <c r="B15" s="69" t="s">
        <v>54</v>
      </c>
      <c r="C15" s="85"/>
      <c r="D15" s="85"/>
      <c r="E15" s="97">
        <v>0.0</v>
      </c>
    </row>
    <row r="16">
      <c r="A16" s="72"/>
      <c r="B16" s="69" t="s">
        <v>55</v>
      </c>
      <c r="C16" s="85"/>
      <c r="D16" s="85"/>
      <c r="E16" s="90">
        <f>C31</f>
        <v>0</v>
      </c>
    </row>
    <row r="17">
      <c r="A17" s="80"/>
      <c r="B17" s="81" t="s">
        <v>56</v>
      </c>
      <c r="C17" s="83"/>
      <c r="D17" s="83"/>
      <c r="E17" s="84">
        <f>sum(E11:E16)</f>
        <v>15957.88088</v>
      </c>
      <c r="H17" s="1"/>
      <c r="I17" s="1"/>
    </row>
    <row r="18">
      <c r="A18" s="88" t="s">
        <v>57</v>
      </c>
      <c r="B18" s="81" t="s">
        <v>58</v>
      </c>
      <c r="C18" s="83"/>
      <c r="D18" s="83"/>
      <c r="E18" s="84">
        <f>E10-E17+C37</f>
        <v>83620.92788</v>
      </c>
      <c r="H18" s="1"/>
      <c r="I18" s="79"/>
      <c r="J18" s="98"/>
      <c r="K18" s="98"/>
      <c r="L18" s="98"/>
      <c r="M18" s="98"/>
      <c r="N18" s="98"/>
    </row>
    <row r="19">
      <c r="A19" s="78"/>
      <c r="B19" s="78"/>
      <c r="C19" s="78"/>
      <c r="D19" s="78"/>
      <c r="E19" s="78"/>
      <c r="H19" s="1"/>
      <c r="I19" s="1"/>
      <c r="J19" s="98"/>
      <c r="K19" s="98"/>
      <c r="L19" s="98"/>
      <c r="M19" s="98"/>
      <c r="N19" s="98"/>
    </row>
    <row r="20">
      <c r="A20" s="1"/>
      <c r="B20" s="78"/>
      <c r="C20" s="78"/>
      <c r="D20" s="78"/>
      <c r="E20" s="78"/>
      <c r="H20" s="1"/>
      <c r="I20" s="1"/>
      <c r="J20" s="98"/>
      <c r="K20" s="98"/>
      <c r="L20" s="98"/>
      <c r="M20" s="98"/>
      <c r="N20" s="98"/>
    </row>
    <row r="21">
      <c r="A21" s="1" t="s">
        <v>59</v>
      </c>
      <c r="B21" s="78"/>
      <c r="C21" s="78"/>
      <c r="D21" s="78"/>
      <c r="E21" s="78"/>
      <c r="H21" s="1"/>
      <c r="I21" s="1"/>
      <c r="J21" s="98"/>
      <c r="K21" s="98"/>
      <c r="L21" s="98"/>
      <c r="M21" s="98"/>
      <c r="N21" s="98"/>
    </row>
    <row r="22">
      <c r="A22" s="78"/>
      <c r="B22" s="59" t="s">
        <v>60</v>
      </c>
      <c r="C22" s="99">
        <f>U70</f>
        <v>0</v>
      </c>
      <c r="H22" s="1"/>
      <c r="I22" s="1"/>
      <c r="J22" s="100"/>
      <c r="K22" s="100"/>
      <c r="L22" s="101"/>
      <c r="M22" s="98"/>
      <c r="N22" s="98"/>
    </row>
    <row r="23">
      <c r="A23" s="78"/>
      <c r="B23" s="59" t="s">
        <v>61</v>
      </c>
      <c r="C23" s="99">
        <f>V70</f>
        <v>0</v>
      </c>
      <c r="H23" s="1"/>
      <c r="I23" s="1"/>
      <c r="J23" s="100"/>
      <c r="K23" s="100"/>
      <c r="L23" s="101"/>
      <c r="M23" s="98"/>
      <c r="N23" s="98"/>
    </row>
    <row r="24">
      <c r="A24" s="78"/>
      <c r="B24" s="59" t="s">
        <v>62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8"/>
      <c r="B25" s="59" t="s">
        <v>63</v>
      </c>
      <c r="C25" s="99">
        <f>T70</f>
        <v>0</v>
      </c>
      <c r="H25" s="1"/>
      <c r="I25" s="79"/>
      <c r="J25" s="100"/>
      <c r="K25" s="100"/>
      <c r="L25" s="101"/>
      <c r="M25" s="98"/>
      <c r="N25" s="98"/>
    </row>
    <row r="26">
      <c r="A26" s="78"/>
      <c r="B26" s="59" t="s">
        <v>64</v>
      </c>
      <c r="C26" s="99">
        <v>0.0</v>
      </c>
      <c r="H26" s="1"/>
      <c r="I26" s="1"/>
    </row>
    <row r="27">
      <c r="A27" s="78"/>
      <c r="B27" s="59" t="s">
        <v>65</v>
      </c>
      <c r="C27" s="102">
        <f>P70</f>
        <v>6000</v>
      </c>
      <c r="H27" s="1"/>
      <c r="I27" s="1"/>
    </row>
    <row r="28">
      <c r="A28" s="78"/>
      <c r="B28" s="59" t="s">
        <v>66</v>
      </c>
      <c r="C28" s="60">
        <f>Q70</f>
        <v>0</v>
      </c>
      <c r="H28" s="1"/>
      <c r="I28" s="1"/>
    </row>
    <row r="29">
      <c r="A29" s="78"/>
      <c r="B29" s="59" t="s">
        <v>67</v>
      </c>
      <c r="C29" s="60">
        <f>R70</f>
        <v>0</v>
      </c>
      <c r="H29" s="1"/>
      <c r="I29" s="1"/>
    </row>
    <row r="30">
      <c r="A30" s="78"/>
      <c r="B30" s="59" t="s">
        <v>68</v>
      </c>
      <c r="C30" s="99">
        <f>F70</f>
        <v>0</v>
      </c>
      <c r="D30" s="78"/>
      <c r="H30" s="1"/>
      <c r="I30" s="1"/>
    </row>
    <row r="31">
      <c r="A31" s="78"/>
      <c r="B31" s="59" t="s">
        <v>69</v>
      </c>
      <c r="C31" s="99">
        <f>G70</f>
        <v>0</v>
      </c>
      <c r="D31" s="78"/>
      <c r="H31" s="1"/>
      <c r="I31" s="1"/>
    </row>
    <row r="32">
      <c r="A32" s="78"/>
      <c r="B32" s="59" t="s">
        <v>70</v>
      </c>
      <c r="C32" s="99">
        <f>I70</f>
        <v>0</v>
      </c>
      <c r="D32" s="78"/>
      <c r="H32" s="1"/>
      <c r="I32" s="1"/>
    </row>
    <row r="33">
      <c r="A33" s="78"/>
      <c r="B33" s="59" t="s">
        <v>71</v>
      </c>
      <c r="C33" s="99">
        <f>J70</f>
        <v>0</v>
      </c>
      <c r="D33" s="78"/>
      <c r="H33" s="1"/>
      <c r="I33" s="1"/>
    </row>
    <row r="34">
      <c r="B34" s="59" t="s">
        <v>72</v>
      </c>
      <c r="C34" s="99">
        <v>0.0</v>
      </c>
    </row>
    <row r="35">
      <c r="B35" s="59" t="s">
        <v>73</v>
      </c>
      <c r="C35" s="60">
        <f>K70</f>
        <v>20.67</v>
      </c>
    </row>
    <row r="36">
      <c r="B36" s="59" t="s">
        <v>74</v>
      </c>
      <c r="C36" s="99">
        <v>0.0</v>
      </c>
    </row>
    <row r="37">
      <c r="B37" s="59" t="s">
        <v>75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76</v>
      </c>
      <c r="C40" s="59" t="s">
        <v>77</v>
      </c>
      <c r="D40" s="59" t="s">
        <v>78</v>
      </c>
      <c r="E40" s="59" t="s">
        <v>79</v>
      </c>
      <c r="F40" s="61" t="s">
        <v>80</v>
      </c>
      <c r="G40" s="61" t="s">
        <v>81</v>
      </c>
      <c r="H40" s="61" t="s">
        <v>82</v>
      </c>
      <c r="I40" s="61" t="s">
        <v>83</v>
      </c>
      <c r="J40" s="61" t="s">
        <v>84</v>
      </c>
      <c r="K40" s="61" t="s">
        <v>85</v>
      </c>
      <c r="L40" s="61" t="s">
        <v>72</v>
      </c>
      <c r="M40" s="61" t="s">
        <v>74</v>
      </c>
      <c r="N40" s="61" t="s">
        <v>86</v>
      </c>
      <c r="O40" s="61" t="s">
        <v>87</v>
      </c>
      <c r="P40" s="61" t="s">
        <v>88</v>
      </c>
      <c r="Q40" s="61" t="s">
        <v>89</v>
      </c>
      <c r="R40" s="61" t="s">
        <v>90</v>
      </c>
      <c r="S40" s="61" t="s">
        <v>91</v>
      </c>
      <c r="T40" s="61" t="s">
        <v>63</v>
      </c>
      <c r="U40" s="61" t="s">
        <v>92</v>
      </c>
      <c r="V40" s="61" t="s">
        <v>93</v>
      </c>
      <c r="W40" s="61" t="s">
        <v>94</v>
      </c>
    </row>
    <row r="41">
      <c r="B41" s="103" t="s">
        <v>21</v>
      </c>
      <c r="C41" s="104">
        <v>54000.0</v>
      </c>
      <c r="D41" s="103">
        <v>1500.0</v>
      </c>
      <c r="E41" s="104">
        <v>4500.0</v>
      </c>
      <c r="F41" s="103"/>
      <c r="G41" s="64">
        <f t="shared" ref="G41:G69" si="1">F41*C41</f>
        <v>0</v>
      </c>
      <c r="H41" s="103"/>
      <c r="I41" s="103"/>
      <c r="J41" s="103"/>
      <c r="K41" s="103">
        <v>10.17</v>
      </c>
      <c r="L41" s="61">
        <v>10.17</v>
      </c>
      <c r="M41" s="64">
        <f t="shared" ref="M41:M69" si="2">K41-L41</f>
        <v>0</v>
      </c>
      <c r="N41" s="64">
        <f t="shared" ref="N41:N69" si="3">M41*C41</f>
        <v>0</v>
      </c>
      <c r="O41" s="60">
        <f>'Dala Sales &amp; Deliveries'!L2</f>
        <v>1</v>
      </c>
      <c r="P41" s="64">
        <f t="shared" ref="P41:P69" si="4">O41*E41</f>
        <v>4500</v>
      </c>
      <c r="Q41" s="60">
        <f>'External Delivery Fulfillment'!L2</f>
        <v>0</v>
      </c>
      <c r="R41" s="64">
        <f t="shared" ref="R41:R69" si="5">Q41*E41</f>
        <v>0</v>
      </c>
      <c r="S41" s="60">
        <f>'Forwarding From Client'!L2</f>
        <v>0</v>
      </c>
      <c r="T41" s="64">
        <f t="shared" ref="T41:T69" si="6">S41*E41</f>
        <v>0</v>
      </c>
      <c r="U41" s="60">
        <f>'Dala Restocking'!L2</f>
        <v>0</v>
      </c>
      <c r="V41" s="64">
        <f t="shared" ref="V41:V69" si="7">U41*D41</f>
        <v>0</v>
      </c>
      <c r="W41" s="60">
        <f>'Client Restocking'!L2</f>
        <v>0</v>
      </c>
    </row>
    <row r="42">
      <c r="B42" s="103" t="s">
        <v>15</v>
      </c>
      <c r="C42" s="104">
        <v>45600.0</v>
      </c>
      <c r="D42" s="103">
        <v>500.0</v>
      </c>
      <c r="E42" s="104">
        <v>1500.0</v>
      </c>
      <c r="F42" s="105"/>
      <c r="G42" s="64">
        <f t="shared" si="1"/>
        <v>0</v>
      </c>
      <c r="H42" s="103"/>
      <c r="I42" s="103"/>
      <c r="J42" s="105"/>
      <c r="K42" s="103">
        <v>10.5</v>
      </c>
      <c r="L42" s="61">
        <v>10.5</v>
      </c>
      <c r="M42" s="64">
        <f t="shared" si="2"/>
        <v>0</v>
      </c>
      <c r="N42" s="64">
        <f t="shared" si="3"/>
        <v>0</v>
      </c>
      <c r="O42" s="60">
        <f>'Dala Sales &amp; Deliveries'!L3</f>
        <v>1</v>
      </c>
      <c r="P42" s="64">
        <f t="shared" si="4"/>
        <v>1500</v>
      </c>
      <c r="Q42" s="60">
        <f>'External Delivery Fulfillment'!L3</f>
        <v>0</v>
      </c>
      <c r="R42" s="64">
        <f t="shared" si="5"/>
        <v>0</v>
      </c>
      <c r="S42" s="60">
        <f>'Forwarding From Client'!L3</f>
        <v>0</v>
      </c>
      <c r="T42" s="64">
        <f t="shared" si="6"/>
        <v>0</v>
      </c>
      <c r="U42" s="60">
        <f>'Dala Restocking'!L3</f>
        <v>0</v>
      </c>
      <c r="V42" s="64">
        <f t="shared" si="7"/>
        <v>0</v>
      </c>
      <c r="W42" s="60">
        <f>'Client Restocking'!L3</f>
        <v>0</v>
      </c>
    </row>
    <row r="43">
      <c r="B43" s="103" t="s">
        <v>95</v>
      </c>
      <c r="C43" s="104">
        <v>44400.0</v>
      </c>
      <c r="D43" s="103">
        <v>500.0</v>
      </c>
      <c r="E43" s="104">
        <v>1500.0</v>
      </c>
      <c r="F43" s="105"/>
      <c r="G43" s="64">
        <f t="shared" si="1"/>
        <v>0</v>
      </c>
      <c r="H43" s="103"/>
      <c r="I43" s="103"/>
      <c r="J43" s="105"/>
      <c r="K43" s="103">
        <v>0.0</v>
      </c>
      <c r="L43" s="61">
        <v>0.0</v>
      </c>
      <c r="M43" s="64">
        <f t="shared" si="2"/>
        <v>0</v>
      </c>
      <c r="N43" s="64">
        <f t="shared" si="3"/>
        <v>0</v>
      </c>
      <c r="O43" s="60">
        <f>'Dala Sales &amp; Deliveries'!L4</f>
        <v>0</v>
      </c>
      <c r="P43" s="64">
        <f t="shared" si="4"/>
        <v>0</v>
      </c>
      <c r="Q43" s="60">
        <f>'External Delivery Fulfillment'!L4</f>
        <v>0</v>
      </c>
      <c r="R43" s="64">
        <f t="shared" si="5"/>
        <v>0</v>
      </c>
      <c r="S43" s="60">
        <f>'Forwarding From Client'!L4</f>
        <v>0</v>
      </c>
      <c r="T43" s="64">
        <f t="shared" si="6"/>
        <v>0</v>
      </c>
      <c r="U43" s="60">
        <f>'Dala Restocking'!L4</f>
        <v>0</v>
      </c>
      <c r="V43" s="64">
        <f t="shared" si="7"/>
        <v>0</v>
      </c>
      <c r="W43" s="60">
        <f>'Client Restocking'!L4</f>
        <v>0</v>
      </c>
    </row>
    <row r="44">
      <c r="B44" s="103"/>
      <c r="C44" s="104"/>
      <c r="D44" s="103"/>
      <c r="E44" s="104"/>
      <c r="F44" s="105"/>
      <c r="G44" s="64">
        <f t="shared" si="1"/>
        <v>0</v>
      </c>
      <c r="H44" s="103"/>
      <c r="I44" s="103"/>
      <c r="J44" s="105"/>
      <c r="K44" s="105"/>
      <c r="L44" s="102">
        <f t="shared" ref="L44:L69" si="8">H44+U44+W44-O44-Q44-I44-J44</f>
        <v>0</v>
      </c>
      <c r="M44" s="60">
        <f t="shared" si="2"/>
        <v>0</v>
      </c>
      <c r="N44" s="64">
        <f t="shared" si="3"/>
        <v>0</v>
      </c>
      <c r="O44" s="60">
        <f>'Dala Sales &amp; Deliveries'!L5</f>
        <v>0</v>
      </c>
      <c r="P44" s="64">
        <f t="shared" si="4"/>
        <v>0</v>
      </c>
      <c r="Q44" s="60">
        <f>'External Delivery Fulfillment'!L5</f>
        <v>0</v>
      </c>
      <c r="R44" s="64">
        <f t="shared" si="5"/>
        <v>0</v>
      </c>
      <c r="S44" s="60">
        <f>'Forwarding From Client'!L5</f>
        <v>0</v>
      </c>
      <c r="T44" s="64">
        <f t="shared" si="6"/>
        <v>0</v>
      </c>
      <c r="U44" s="60">
        <f>'Dala Restocking'!L5</f>
        <v>0</v>
      </c>
      <c r="V44" s="64">
        <f t="shared" si="7"/>
        <v>0</v>
      </c>
      <c r="W44" s="60">
        <f>'Client Restocking'!L5</f>
        <v>0</v>
      </c>
    </row>
    <row r="45">
      <c r="B45" s="103"/>
      <c r="C45" s="104"/>
      <c r="D45" s="103"/>
      <c r="E45" s="104"/>
      <c r="F45" s="105"/>
      <c r="G45" s="64">
        <f t="shared" si="1"/>
        <v>0</v>
      </c>
      <c r="H45" s="103"/>
      <c r="I45" s="103"/>
      <c r="J45" s="105"/>
      <c r="K45" s="105"/>
      <c r="L45" s="102">
        <f t="shared" si="8"/>
        <v>0</v>
      </c>
      <c r="M45" s="60">
        <f t="shared" si="2"/>
        <v>0</v>
      </c>
      <c r="N45" s="64">
        <f t="shared" si="3"/>
        <v>0</v>
      </c>
      <c r="O45" s="60">
        <f>'Dala Sales &amp; Deliveries'!L6</f>
        <v>0</v>
      </c>
      <c r="P45" s="64">
        <f t="shared" si="4"/>
        <v>0</v>
      </c>
      <c r="Q45" s="60">
        <f>'External Delivery Fulfillment'!L6</f>
        <v>0</v>
      </c>
      <c r="R45" s="64">
        <f t="shared" si="5"/>
        <v>0</v>
      </c>
      <c r="S45" s="60">
        <f>'Forwarding From Client'!L6</f>
        <v>0</v>
      </c>
      <c r="T45" s="64">
        <f t="shared" si="6"/>
        <v>0</v>
      </c>
      <c r="U45" s="60">
        <f>'Dala Restocking'!L6</f>
        <v>0</v>
      </c>
      <c r="V45" s="64">
        <f t="shared" si="7"/>
        <v>0</v>
      </c>
      <c r="W45" s="60">
        <f>'Client Restocking'!L6</f>
        <v>0</v>
      </c>
    </row>
    <row r="46">
      <c r="B46" s="103"/>
      <c r="C46" s="104"/>
      <c r="D46" s="103"/>
      <c r="E46" s="104"/>
      <c r="F46" s="105"/>
      <c r="G46" s="64">
        <f t="shared" si="1"/>
        <v>0</v>
      </c>
      <c r="H46" s="105"/>
      <c r="I46" s="105"/>
      <c r="J46" s="105"/>
      <c r="K46" s="105"/>
      <c r="L46" s="102">
        <f t="shared" si="8"/>
        <v>0</v>
      </c>
      <c r="M46" s="60">
        <f t="shared" si="2"/>
        <v>0</v>
      </c>
      <c r="N46" s="64">
        <f t="shared" si="3"/>
        <v>0</v>
      </c>
      <c r="O46" s="60">
        <f>'Dala Sales &amp; Deliveries'!L7</f>
        <v>0</v>
      </c>
      <c r="P46" s="64">
        <f t="shared" si="4"/>
        <v>0</v>
      </c>
      <c r="Q46" s="60">
        <f>'External Delivery Fulfillment'!L7</f>
        <v>0</v>
      </c>
      <c r="R46" s="64">
        <f t="shared" si="5"/>
        <v>0</v>
      </c>
      <c r="S46" s="60">
        <f>'Forwarding From Client'!L7</f>
        <v>0</v>
      </c>
      <c r="T46" s="64">
        <f t="shared" si="6"/>
        <v>0</v>
      </c>
      <c r="U46" s="60">
        <f>'Dala Restocking'!L7</f>
        <v>0</v>
      </c>
      <c r="V46" s="64">
        <f t="shared" si="7"/>
        <v>0</v>
      </c>
      <c r="W46" s="60">
        <f>'Client Restocking'!L7</f>
        <v>0</v>
      </c>
    </row>
    <row r="47">
      <c r="B47" s="103"/>
      <c r="C47" s="104"/>
      <c r="D47" s="103"/>
      <c r="E47" s="104"/>
      <c r="F47" s="105"/>
      <c r="G47" s="64">
        <f t="shared" si="1"/>
        <v>0</v>
      </c>
      <c r="H47" s="105"/>
      <c r="I47" s="105"/>
      <c r="J47" s="105"/>
      <c r="K47" s="105"/>
      <c r="L47" s="102">
        <f t="shared" si="8"/>
        <v>0</v>
      </c>
      <c r="M47" s="60">
        <f t="shared" si="2"/>
        <v>0</v>
      </c>
      <c r="N47" s="64">
        <f t="shared" si="3"/>
        <v>0</v>
      </c>
      <c r="O47" s="60">
        <f>'Dala Sales &amp; Deliveries'!L8</f>
        <v>0</v>
      </c>
      <c r="P47" s="64">
        <f t="shared" si="4"/>
        <v>0</v>
      </c>
      <c r="Q47" s="60">
        <f>'External Delivery Fulfillment'!L8</f>
        <v>0</v>
      </c>
      <c r="R47" s="64">
        <f t="shared" si="5"/>
        <v>0</v>
      </c>
      <c r="S47" s="60">
        <f>'Forwarding From Client'!L8</f>
        <v>0</v>
      </c>
      <c r="T47" s="64">
        <f t="shared" si="6"/>
        <v>0</v>
      </c>
      <c r="U47" s="60">
        <f>'Dala Restocking'!L8</f>
        <v>0</v>
      </c>
      <c r="V47" s="64">
        <f t="shared" si="7"/>
        <v>0</v>
      </c>
      <c r="W47" s="60">
        <f>'Client Restocking'!L8</f>
        <v>0</v>
      </c>
    </row>
    <row r="48">
      <c r="B48" s="103"/>
      <c r="C48" s="104"/>
      <c r="D48" s="103"/>
      <c r="E48" s="104"/>
      <c r="F48" s="105"/>
      <c r="G48" s="64">
        <f t="shared" si="1"/>
        <v>0</v>
      </c>
      <c r="H48" s="105"/>
      <c r="I48" s="105"/>
      <c r="J48" s="105"/>
      <c r="K48" s="105"/>
      <c r="L48" s="102">
        <f t="shared" si="8"/>
        <v>0</v>
      </c>
      <c r="M48" s="60">
        <f t="shared" si="2"/>
        <v>0</v>
      </c>
      <c r="N48" s="64">
        <f t="shared" si="3"/>
        <v>0</v>
      </c>
      <c r="O48" s="60">
        <f>'Dala Sales &amp; Deliveries'!L9</f>
        <v>0</v>
      </c>
      <c r="P48" s="64">
        <f t="shared" si="4"/>
        <v>0</v>
      </c>
      <c r="Q48" s="60">
        <f>'External Delivery Fulfillment'!L9</f>
        <v>0</v>
      </c>
      <c r="R48" s="64">
        <f t="shared" si="5"/>
        <v>0</v>
      </c>
      <c r="S48" s="60">
        <f>'Forwarding From Client'!L9</f>
        <v>0</v>
      </c>
      <c r="T48" s="64">
        <f t="shared" si="6"/>
        <v>0</v>
      </c>
      <c r="U48" s="60">
        <f>'Dala Restocking'!L9</f>
        <v>0</v>
      </c>
      <c r="V48" s="64">
        <f t="shared" si="7"/>
        <v>0</v>
      </c>
      <c r="W48" s="60">
        <f>'Client Restocking'!L9</f>
        <v>0</v>
      </c>
    </row>
    <row r="49">
      <c r="B49" s="103"/>
      <c r="C49" s="104"/>
      <c r="D49" s="103"/>
      <c r="E49" s="104"/>
      <c r="F49" s="105"/>
      <c r="G49" s="64">
        <f t="shared" si="1"/>
        <v>0</v>
      </c>
      <c r="H49" s="105"/>
      <c r="I49" s="105"/>
      <c r="J49" s="105"/>
      <c r="K49" s="105"/>
      <c r="L49" s="102">
        <f t="shared" si="8"/>
        <v>0</v>
      </c>
      <c r="M49" s="60">
        <f t="shared" si="2"/>
        <v>0</v>
      </c>
      <c r="N49" s="64">
        <f t="shared" si="3"/>
        <v>0</v>
      </c>
      <c r="O49" s="60">
        <f>'Dala Sales &amp; Deliveries'!L10</f>
        <v>0</v>
      </c>
      <c r="P49" s="64">
        <f t="shared" si="4"/>
        <v>0</v>
      </c>
      <c r="Q49" s="60">
        <f>'External Delivery Fulfillment'!L10</f>
        <v>0</v>
      </c>
      <c r="R49" s="64">
        <f t="shared" si="5"/>
        <v>0</v>
      </c>
      <c r="S49" s="60">
        <f>'Forwarding From Client'!L10</f>
        <v>0</v>
      </c>
      <c r="T49" s="64">
        <f t="shared" si="6"/>
        <v>0</v>
      </c>
      <c r="U49" s="60">
        <f>'Dala Restocking'!L10</f>
        <v>0</v>
      </c>
      <c r="V49" s="64">
        <f t="shared" si="7"/>
        <v>0</v>
      </c>
      <c r="W49" s="60">
        <f>'Client Restocking'!L10</f>
        <v>0</v>
      </c>
    </row>
    <row r="50">
      <c r="B50" s="103"/>
      <c r="C50" s="104"/>
      <c r="D50" s="103"/>
      <c r="E50" s="104"/>
      <c r="F50" s="105"/>
      <c r="G50" s="64">
        <f t="shared" si="1"/>
        <v>0</v>
      </c>
      <c r="H50" s="105"/>
      <c r="I50" s="105"/>
      <c r="J50" s="105"/>
      <c r="K50" s="105"/>
      <c r="L50" s="102">
        <f t="shared" si="8"/>
        <v>0</v>
      </c>
      <c r="M50" s="60">
        <f t="shared" si="2"/>
        <v>0</v>
      </c>
      <c r="N50" s="64">
        <f t="shared" si="3"/>
        <v>0</v>
      </c>
      <c r="O50" s="60">
        <f>'Dala Sales &amp; Deliveries'!L11</f>
        <v>0</v>
      </c>
      <c r="P50" s="64">
        <f t="shared" si="4"/>
        <v>0</v>
      </c>
      <c r="Q50" s="60">
        <f>'External Delivery Fulfillment'!L11</f>
        <v>0</v>
      </c>
      <c r="R50" s="64">
        <f t="shared" si="5"/>
        <v>0</v>
      </c>
      <c r="S50" s="60">
        <f>'Forwarding From Client'!L11</f>
        <v>0</v>
      </c>
      <c r="T50" s="64">
        <f t="shared" si="6"/>
        <v>0</v>
      </c>
      <c r="U50" s="60">
        <f>'Dala Restocking'!L11</f>
        <v>0</v>
      </c>
      <c r="V50" s="64">
        <f t="shared" si="7"/>
        <v>0</v>
      </c>
      <c r="W50" s="60">
        <f>'Client Restocking'!L11</f>
        <v>0</v>
      </c>
    </row>
    <row r="51">
      <c r="B51" s="103"/>
      <c r="C51" s="104"/>
      <c r="D51" s="103"/>
      <c r="E51" s="104"/>
      <c r="F51" s="105"/>
      <c r="G51" s="64">
        <f t="shared" si="1"/>
        <v>0</v>
      </c>
      <c r="H51" s="105"/>
      <c r="I51" s="105"/>
      <c r="J51" s="105"/>
      <c r="K51" s="105"/>
      <c r="L51" s="102">
        <f t="shared" si="8"/>
        <v>0</v>
      </c>
      <c r="M51" s="60">
        <f t="shared" si="2"/>
        <v>0</v>
      </c>
      <c r="N51" s="64">
        <f t="shared" si="3"/>
        <v>0</v>
      </c>
      <c r="O51" s="60">
        <f>'Dala Sales &amp; Deliveries'!L12</f>
        <v>0</v>
      </c>
      <c r="P51" s="64">
        <f t="shared" si="4"/>
        <v>0</v>
      </c>
      <c r="Q51" s="60">
        <f>'External Delivery Fulfillment'!L12</f>
        <v>0</v>
      </c>
      <c r="R51" s="64">
        <f t="shared" si="5"/>
        <v>0</v>
      </c>
      <c r="S51" s="60">
        <f>'Forwarding From Client'!L12</f>
        <v>0</v>
      </c>
      <c r="T51" s="64">
        <f t="shared" si="6"/>
        <v>0</v>
      </c>
      <c r="U51" s="60">
        <f>'Dala Restocking'!L12</f>
        <v>0</v>
      </c>
      <c r="V51" s="64">
        <f t="shared" si="7"/>
        <v>0</v>
      </c>
      <c r="W51" s="60">
        <f>'Client Restocking'!L12</f>
        <v>0</v>
      </c>
    </row>
    <row r="52">
      <c r="B52" s="103"/>
      <c r="C52" s="104"/>
      <c r="D52" s="103"/>
      <c r="E52" s="104"/>
      <c r="F52" s="105"/>
      <c r="G52" s="64">
        <f t="shared" si="1"/>
        <v>0</v>
      </c>
      <c r="H52" s="105"/>
      <c r="I52" s="105"/>
      <c r="J52" s="105"/>
      <c r="K52" s="105"/>
      <c r="L52" s="102">
        <f t="shared" si="8"/>
        <v>0</v>
      </c>
      <c r="M52" s="60">
        <f t="shared" si="2"/>
        <v>0</v>
      </c>
      <c r="N52" s="64">
        <f t="shared" si="3"/>
        <v>0</v>
      </c>
      <c r="O52" s="60">
        <f>'Dala Sales &amp; Deliveries'!L13</f>
        <v>0</v>
      </c>
      <c r="P52" s="64">
        <f t="shared" si="4"/>
        <v>0</v>
      </c>
      <c r="Q52" s="60">
        <f>'External Delivery Fulfillment'!L13</f>
        <v>0</v>
      </c>
      <c r="R52" s="64">
        <f t="shared" si="5"/>
        <v>0</v>
      </c>
      <c r="S52" s="60">
        <f>'Forwarding From Client'!L13</f>
        <v>0</v>
      </c>
      <c r="T52" s="64">
        <f t="shared" si="6"/>
        <v>0</v>
      </c>
      <c r="U52" s="60">
        <f>'Dala Restocking'!L13</f>
        <v>0</v>
      </c>
      <c r="V52" s="64">
        <f t="shared" si="7"/>
        <v>0</v>
      </c>
      <c r="W52" s="60">
        <f>'Client Restocking'!L13</f>
        <v>0</v>
      </c>
    </row>
    <row r="53">
      <c r="B53" s="105"/>
      <c r="C53" s="105"/>
      <c r="D53" s="105"/>
      <c r="E53" s="105"/>
      <c r="F53" s="105"/>
      <c r="G53" s="64">
        <f t="shared" si="1"/>
        <v>0</v>
      </c>
      <c r="H53" s="105"/>
      <c r="I53" s="105"/>
      <c r="J53" s="105"/>
      <c r="K53" s="105"/>
      <c r="L53" s="61">
        <f t="shared" si="8"/>
        <v>0</v>
      </c>
      <c r="M53" s="64">
        <f t="shared" si="2"/>
        <v>0</v>
      </c>
      <c r="N53" s="64">
        <f t="shared" si="3"/>
        <v>0</v>
      </c>
      <c r="O53" s="64" t="str">
        <f>'Dala Sales &amp; Deliveries'!L14</f>
        <v/>
      </c>
      <c r="P53" s="64">
        <f t="shared" si="4"/>
        <v>0</v>
      </c>
      <c r="Q53" s="64" t="str">
        <f>'External Delivery Fulfillment'!L14</f>
        <v/>
      </c>
      <c r="R53" s="64">
        <f t="shared" si="5"/>
        <v>0</v>
      </c>
      <c r="S53" s="64" t="str">
        <f>'Forwarding From Client'!L14</f>
        <v/>
      </c>
      <c r="T53" s="64">
        <f t="shared" si="6"/>
        <v>0</v>
      </c>
      <c r="U53" s="64" t="str">
        <f>'Dala Restocking'!L14</f>
        <v/>
      </c>
      <c r="V53" s="64">
        <f t="shared" si="7"/>
        <v>0</v>
      </c>
      <c r="W53" s="64" t="str">
        <f>'Client Restocking'!L14</f>
        <v/>
      </c>
    </row>
    <row r="54">
      <c r="B54" s="105"/>
      <c r="C54" s="105"/>
      <c r="D54" s="105"/>
      <c r="E54" s="105"/>
      <c r="F54" s="105"/>
      <c r="G54" s="64">
        <f t="shared" si="1"/>
        <v>0</v>
      </c>
      <c r="H54" s="105"/>
      <c r="I54" s="105"/>
      <c r="J54" s="105"/>
      <c r="K54" s="105"/>
      <c r="L54" s="61">
        <f t="shared" si="8"/>
        <v>0</v>
      </c>
      <c r="M54" s="64">
        <f t="shared" si="2"/>
        <v>0</v>
      </c>
      <c r="N54" s="64">
        <f t="shared" si="3"/>
        <v>0</v>
      </c>
      <c r="O54" s="64" t="str">
        <f>'Dala Sales &amp; Deliveries'!L15</f>
        <v/>
      </c>
      <c r="P54" s="64">
        <f t="shared" si="4"/>
        <v>0</v>
      </c>
      <c r="Q54" s="64" t="str">
        <f>'External Delivery Fulfillment'!L15</f>
        <v/>
      </c>
      <c r="R54" s="64">
        <f t="shared" si="5"/>
        <v>0</v>
      </c>
      <c r="S54" s="64" t="str">
        <f>'Forwarding From Client'!L15</f>
        <v/>
      </c>
      <c r="T54" s="64">
        <f t="shared" si="6"/>
        <v>0</v>
      </c>
      <c r="U54" s="64" t="str">
        <f>'Dala Restocking'!L15</f>
        <v/>
      </c>
      <c r="V54" s="64">
        <f t="shared" si="7"/>
        <v>0</v>
      </c>
      <c r="W54" s="64" t="str">
        <f>'Client Restocking'!L15</f>
        <v/>
      </c>
    </row>
    <row r="55">
      <c r="B55" s="105"/>
      <c r="C55" s="105"/>
      <c r="D55" s="105"/>
      <c r="E55" s="105"/>
      <c r="F55" s="105"/>
      <c r="G55" s="64">
        <f t="shared" si="1"/>
        <v>0</v>
      </c>
      <c r="H55" s="105"/>
      <c r="I55" s="105"/>
      <c r="J55" s="105"/>
      <c r="K55" s="105"/>
      <c r="L55" s="61">
        <f t="shared" si="8"/>
        <v>0</v>
      </c>
      <c r="M55" s="64">
        <f t="shared" si="2"/>
        <v>0</v>
      </c>
      <c r="N55" s="64">
        <f t="shared" si="3"/>
        <v>0</v>
      </c>
      <c r="O55" s="64" t="str">
        <f>'Dala Sales &amp; Deliveries'!L16</f>
        <v/>
      </c>
      <c r="P55" s="64">
        <f t="shared" si="4"/>
        <v>0</v>
      </c>
      <c r="Q55" s="64" t="str">
        <f>'External Delivery Fulfillment'!L16</f>
        <v/>
      </c>
      <c r="R55" s="64">
        <f t="shared" si="5"/>
        <v>0</v>
      </c>
      <c r="S55" s="64" t="str">
        <f>'Forwarding From Client'!L16</f>
        <v/>
      </c>
      <c r="T55" s="64">
        <f t="shared" si="6"/>
        <v>0</v>
      </c>
      <c r="U55" s="64" t="str">
        <f>'Dala Restocking'!L16</f>
        <v/>
      </c>
      <c r="V55" s="64">
        <f t="shared" si="7"/>
        <v>0</v>
      </c>
      <c r="W55" s="64" t="str">
        <f>'Client Restocking'!L16</f>
        <v/>
      </c>
    </row>
    <row r="56">
      <c r="B56" s="105"/>
      <c r="C56" s="105"/>
      <c r="D56" s="105"/>
      <c r="E56" s="105"/>
      <c r="F56" s="105"/>
      <c r="G56" s="64">
        <f t="shared" si="1"/>
        <v>0</v>
      </c>
      <c r="H56" s="105"/>
      <c r="I56" s="105"/>
      <c r="J56" s="105"/>
      <c r="K56" s="105"/>
      <c r="L56" s="61">
        <f t="shared" si="8"/>
        <v>0</v>
      </c>
      <c r="M56" s="64">
        <f t="shared" si="2"/>
        <v>0</v>
      </c>
      <c r="N56" s="64">
        <f t="shared" si="3"/>
        <v>0</v>
      </c>
      <c r="O56" s="64" t="str">
        <f>'Dala Sales &amp; Deliveries'!L17</f>
        <v/>
      </c>
      <c r="P56" s="64">
        <f t="shared" si="4"/>
        <v>0</v>
      </c>
      <c r="Q56" s="64" t="str">
        <f>'External Delivery Fulfillment'!L17</f>
        <v/>
      </c>
      <c r="R56" s="64">
        <f t="shared" si="5"/>
        <v>0</v>
      </c>
      <c r="S56" s="64" t="str">
        <f>'Forwarding From Client'!L17</f>
        <v/>
      </c>
      <c r="T56" s="64">
        <f t="shared" si="6"/>
        <v>0</v>
      </c>
      <c r="U56" s="64" t="str">
        <f>'Dala Restocking'!L17</f>
        <v/>
      </c>
      <c r="V56" s="64">
        <f t="shared" si="7"/>
        <v>0</v>
      </c>
      <c r="W56" s="64" t="str">
        <f>'Client Restocking'!L17</f>
        <v/>
      </c>
    </row>
    <row r="57">
      <c r="B57" s="105"/>
      <c r="C57" s="105"/>
      <c r="D57" s="105"/>
      <c r="E57" s="105"/>
      <c r="F57" s="105"/>
      <c r="G57" s="64">
        <f t="shared" si="1"/>
        <v>0</v>
      </c>
      <c r="H57" s="105"/>
      <c r="I57" s="105"/>
      <c r="J57" s="105"/>
      <c r="K57" s="105"/>
      <c r="L57" s="61">
        <f t="shared" si="8"/>
        <v>0</v>
      </c>
      <c r="M57" s="64">
        <f t="shared" si="2"/>
        <v>0</v>
      </c>
      <c r="N57" s="64">
        <f t="shared" si="3"/>
        <v>0</v>
      </c>
      <c r="O57" s="64" t="str">
        <f>'Dala Sales &amp; Deliveries'!L18</f>
        <v/>
      </c>
      <c r="P57" s="64">
        <f t="shared" si="4"/>
        <v>0</v>
      </c>
      <c r="Q57" s="64" t="str">
        <f>'External Delivery Fulfillment'!L18</f>
        <v/>
      </c>
      <c r="R57" s="64">
        <f t="shared" si="5"/>
        <v>0</v>
      </c>
      <c r="S57" s="64" t="str">
        <f>'Forwarding From Client'!L18</f>
        <v/>
      </c>
      <c r="T57" s="64">
        <f t="shared" si="6"/>
        <v>0</v>
      </c>
      <c r="U57" s="64" t="str">
        <f>'Dala Restocking'!L18</f>
        <v/>
      </c>
      <c r="V57" s="64">
        <f t="shared" si="7"/>
        <v>0</v>
      </c>
      <c r="W57" s="64" t="str">
        <f>'Client Restocking'!L18</f>
        <v/>
      </c>
    </row>
    <row r="58">
      <c r="B58" s="105"/>
      <c r="C58" s="105"/>
      <c r="D58" s="105"/>
      <c r="E58" s="105"/>
      <c r="F58" s="105"/>
      <c r="G58" s="64">
        <f t="shared" si="1"/>
        <v>0</v>
      </c>
      <c r="H58" s="105"/>
      <c r="I58" s="105"/>
      <c r="J58" s="105"/>
      <c r="K58" s="105"/>
      <c r="L58" s="61">
        <f t="shared" si="8"/>
        <v>0</v>
      </c>
      <c r="M58" s="64">
        <f t="shared" si="2"/>
        <v>0</v>
      </c>
      <c r="N58" s="64">
        <f t="shared" si="3"/>
        <v>0</v>
      </c>
      <c r="O58" s="64" t="str">
        <f>'Dala Sales &amp; Deliveries'!L19</f>
        <v/>
      </c>
      <c r="P58" s="64">
        <f t="shared" si="4"/>
        <v>0</v>
      </c>
      <c r="Q58" s="64" t="str">
        <f>'External Delivery Fulfillment'!L19</f>
        <v/>
      </c>
      <c r="R58" s="64">
        <f t="shared" si="5"/>
        <v>0</v>
      </c>
      <c r="S58" s="64" t="str">
        <f>'Forwarding From Client'!L19</f>
        <v/>
      </c>
      <c r="T58" s="64">
        <f t="shared" si="6"/>
        <v>0</v>
      </c>
      <c r="U58" s="64" t="str">
        <f>'Dala Restocking'!L19</f>
        <v/>
      </c>
      <c r="V58" s="64">
        <f t="shared" si="7"/>
        <v>0</v>
      </c>
      <c r="W58" s="64" t="str">
        <f>'Client Restocking'!L19</f>
        <v/>
      </c>
    </row>
    <row r="59">
      <c r="B59" s="105"/>
      <c r="C59" s="105"/>
      <c r="D59" s="105"/>
      <c r="E59" s="105"/>
      <c r="F59" s="105"/>
      <c r="G59" s="64">
        <f t="shared" si="1"/>
        <v>0</v>
      </c>
      <c r="H59" s="105"/>
      <c r="I59" s="105"/>
      <c r="J59" s="105"/>
      <c r="K59" s="105"/>
      <c r="L59" s="61">
        <f t="shared" si="8"/>
        <v>0</v>
      </c>
      <c r="M59" s="64">
        <f t="shared" si="2"/>
        <v>0</v>
      </c>
      <c r="N59" s="64">
        <f t="shared" si="3"/>
        <v>0</v>
      </c>
      <c r="O59" s="64" t="str">
        <f>'Dala Sales &amp; Deliveries'!L20</f>
        <v/>
      </c>
      <c r="P59" s="64">
        <f t="shared" si="4"/>
        <v>0</v>
      </c>
      <c r="Q59" s="64" t="str">
        <f>'External Delivery Fulfillment'!L20</f>
        <v/>
      </c>
      <c r="R59" s="64">
        <f t="shared" si="5"/>
        <v>0</v>
      </c>
      <c r="S59" s="64" t="str">
        <f>'Forwarding From Client'!L20</f>
        <v/>
      </c>
      <c r="T59" s="64">
        <f t="shared" si="6"/>
        <v>0</v>
      </c>
      <c r="U59" s="64" t="str">
        <f>'Dala Restocking'!L20</f>
        <v/>
      </c>
      <c r="V59" s="64">
        <f t="shared" si="7"/>
        <v>0</v>
      </c>
      <c r="W59" s="64" t="str">
        <f>'Client Restocking'!L20</f>
        <v/>
      </c>
    </row>
    <row r="60">
      <c r="B60" s="105"/>
      <c r="C60" s="105"/>
      <c r="D60" s="105"/>
      <c r="E60" s="105"/>
      <c r="F60" s="105"/>
      <c r="G60" s="64">
        <f t="shared" si="1"/>
        <v>0</v>
      </c>
      <c r="H60" s="105"/>
      <c r="I60" s="105"/>
      <c r="J60" s="105"/>
      <c r="K60" s="105"/>
      <c r="L60" s="61">
        <f t="shared" si="8"/>
        <v>0</v>
      </c>
      <c r="M60" s="64">
        <f t="shared" si="2"/>
        <v>0</v>
      </c>
      <c r="N60" s="64">
        <f t="shared" si="3"/>
        <v>0</v>
      </c>
      <c r="O60" s="64" t="str">
        <f>'Dala Sales &amp; Deliveries'!L21</f>
        <v/>
      </c>
      <c r="P60" s="64">
        <f t="shared" si="4"/>
        <v>0</v>
      </c>
      <c r="Q60" s="64" t="str">
        <f>'External Delivery Fulfillment'!L21</f>
        <v/>
      </c>
      <c r="R60" s="64">
        <f t="shared" si="5"/>
        <v>0</v>
      </c>
      <c r="S60" s="64" t="str">
        <f>'Forwarding From Client'!L21</f>
        <v/>
      </c>
      <c r="T60" s="64">
        <f t="shared" si="6"/>
        <v>0</v>
      </c>
      <c r="U60" s="64" t="str">
        <f>'Dala Restocking'!L21</f>
        <v/>
      </c>
      <c r="V60" s="64">
        <f t="shared" si="7"/>
        <v>0</v>
      </c>
      <c r="W60" s="64" t="str">
        <f>'Client Restocking'!L21</f>
        <v/>
      </c>
    </row>
    <row r="61">
      <c r="B61" s="105"/>
      <c r="C61" s="105"/>
      <c r="D61" s="105"/>
      <c r="E61" s="105"/>
      <c r="F61" s="105"/>
      <c r="G61" s="64">
        <f t="shared" si="1"/>
        <v>0</v>
      </c>
      <c r="H61" s="105"/>
      <c r="I61" s="105"/>
      <c r="J61" s="105"/>
      <c r="K61" s="105"/>
      <c r="L61" s="61">
        <f t="shared" si="8"/>
        <v>0</v>
      </c>
      <c r="M61" s="64">
        <f t="shared" si="2"/>
        <v>0</v>
      </c>
      <c r="N61" s="64">
        <f t="shared" si="3"/>
        <v>0</v>
      </c>
      <c r="O61" s="64" t="str">
        <f>'Dala Sales &amp; Deliveries'!L22</f>
        <v/>
      </c>
      <c r="P61" s="64">
        <f t="shared" si="4"/>
        <v>0</v>
      </c>
      <c r="Q61" s="64" t="str">
        <f>'External Delivery Fulfillment'!L22</f>
        <v/>
      </c>
      <c r="R61" s="64">
        <f t="shared" si="5"/>
        <v>0</v>
      </c>
      <c r="S61" s="64" t="str">
        <f>'Forwarding From Client'!L22</f>
        <v/>
      </c>
      <c r="T61" s="64">
        <f t="shared" si="6"/>
        <v>0</v>
      </c>
      <c r="U61" s="64" t="str">
        <f>'Dala Restocking'!L22</f>
        <v/>
      </c>
      <c r="V61" s="64">
        <f t="shared" si="7"/>
        <v>0</v>
      </c>
      <c r="W61" s="64" t="str">
        <f>'Client Restocking'!L22</f>
        <v/>
      </c>
    </row>
    <row r="62">
      <c r="B62" s="105"/>
      <c r="C62" s="105"/>
      <c r="D62" s="105"/>
      <c r="E62" s="105"/>
      <c r="F62" s="105"/>
      <c r="G62" s="64">
        <f t="shared" si="1"/>
        <v>0</v>
      </c>
      <c r="H62" s="105"/>
      <c r="I62" s="105"/>
      <c r="J62" s="105"/>
      <c r="K62" s="105"/>
      <c r="L62" s="61">
        <f t="shared" si="8"/>
        <v>0</v>
      </c>
      <c r="M62" s="64">
        <f t="shared" si="2"/>
        <v>0</v>
      </c>
      <c r="N62" s="64">
        <f t="shared" si="3"/>
        <v>0</v>
      </c>
      <c r="O62" s="64" t="str">
        <f>'Dala Sales &amp; Deliveries'!L23</f>
        <v/>
      </c>
      <c r="P62" s="64">
        <f t="shared" si="4"/>
        <v>0</v>
      </c>
      <c r="Q62" s="64" t="str">
        <f>'External Delivery Fulfillment'!L23</f>
        <v/>
      </c>
      <c r="R62" s="64">
        <f t="shared" si="5"/>
        <v>0</v>
      </c>
      <c r="S62" s="64" t="str">
        <f>'Forwarding From Client'!L23</f>
        <v/>
      </c>
      <c r="T62" s="64">
        <f t="shared" si="6"/>
        <v>0</v>
      </c>
      <c r="U62" s="64" t="str">
        <f>'Dala Restocking'!L23</f>
        <v/>
      </c>
      <c r="V62" s="64">
        <f t="shared" si="7"/>
        <v>0</v>
      </c>
      <c r="W62" s="64" t="str">
        <f>'Client Restocking'!L23</f>
        <v/>
      </c>
    </row>
    <row r="63">
      <c r="B63" s="105"/>
      <c r="C63" s="105"/>
      <c r="D63" s="105"/>
      <c r="E63" s="105"/>
      <c r="F63" s="105"/>
      <c r="G63" s="64">
        <f t="shared" si="1"/>
        <v>0</v>
      </c>
      <c r="H63" s="105"/>
      <c r="I63" s="105"/>
      <c r="J63" s="105"/>
      <c r="K63" s="105"/>
      <c r="L63" s="61">
        <f t="shared" si="8"/>
        <v>0</v>
      </c>
      <c r="M63" s="64">
        <f t="shared" si="2"/>
        <v>0</v>
      </c>
      <c r="N63" s="64">
        <f t="shared" si="3"/>
        <v>0</v>
      </c>
      <c r="O63" s="64" t="str">
        <f>'Dala Sales &amp; Deliveries'!L24</f>
        <v/>
      </c>
      <c r="P63" s="64">
        <f t="shared" si="4"/>
        <v>0</v>
      </c>
      <c r="Q63" s="64" t="str">
        <f>'External Delivery Fulfillment'!L24</f>
        <v/>
      </c>
      <c r="R63" s="64">
        <f t="shared" si="5"/>
        <v>0</v>
      </c>
      <c r="S63" s="64" t="str">
        <f>'Forwarding From Client'!L24</f>
        <v/>
      </c>
      <c r="T63" s="64">
        <f t="shared" si="6"/>
        <v>0</v>
      </c>
      <c r="U63" s="64" t="str">
        <f>'Dala Restocking'!L24</f>
        <v/>
      </c>
      <c r="V63" s="64">
        <f t="shared" si="7"/>
        <v>0</v>
      </c>
      <c r="W63" s="64" t="str">
        <f>'Client Restocking'!L24</f>
        <v/>
      </c>
    </row>
    <row r="64">
      <c r="B64" s="105"/>
      <c r="C64" s="105"/>
      <c r="D64" s="105"/>
      <c r="E64" s="105"/>
      <c r="F64" s="105"/>
      <c r="G64" s="64">
        <f t="shared" si="1"/>
        <v>0</v>
      </c>
      <c r="H64" s="105"/>
      <c r="I64" s="105"/>
      <c r="J64" s="105"/>
      <c r="K64" s="105"/>
      <c r="L64" s="61">
        <f t="shared" si="8"/>
        <v>0</v>
      </c>
      <c r="M64" s="64">
        <f t="shared" si="2"/>
        <v>0</v>
      </c>
      <c r="N64" s="64">
        <f t="shared" si="3"/>
        <v>0</v>
      </c>
      <c r="O64" s="64" t="str">
        <f>'Dala Sales &amp; Deliveries'!L25</f>
        <v/>
      </c>
      <c r="P64" s="64">
        <f t="shared" si="4"/>
        <v>0</v>
      </c>
      <c r="Q64" s="64" t="str">
        <f>'External Delivery Fulfillment'!L25</f>
        <v/>
      </c>
      <c r="R64" s="64">
        <f t="shared" si="5"/>
        <v>0</v>
      </c>
      <c r="S64" s="64" t="str">
        <f>'Forwarding From Client'!L25</f>
        <v/>
      </c>
      <c r="T64" s="64">
        <f t="shared" si="6"/>
        <v>0</v>
      </c>
      <c r="U64" s="64" t="str">
        <f>'Dala Restocking'!L25</f>
        <v/>
      </c>
      <c r="V64" s="64">
        <f t="shared" si="7"/>
        <v>0</v>
      </c>
      <c r="W64" s="64" t="str">
        <f>'Client Restocking'!L25</f>
        <v/>
      </c>
    </row>
    <row r="65">
      <c r="B65" s="105"/>
      <c r="C65" s="105"/>
      <c r="D65" s="105"/>
      <c r="E65" s="105"/>
      <c r="F65" s="105"/>
      <c r="G65" s="64">
        <f t="shared" si="1"/>
        <v>0</v>
      </c>
      <c r="H65" s="105"/>
      <c r="I65" s="105"/>
      <c r="J65" s="105"/>
      <c r="K65" s="105"/>
      <c r="L65" s="61">
        <f t="shared" si="8"/>
        <v>0</v>
      </c>
      <c r="M65" s="64">
        <f t="shared" si="2"/>
        <v>0</v>
      </c>
      <c r="N65" s="64">
        <f t="shared" si="3"/>
        <v>0</v>
      </c>
      <c r="O65" s="64" t="str">
        <f>'Dala Sales &amp; Deliveries'!L26</f>
        <v/>
      </c>
      <c r="P65" s="64">
        <f t="shared" si="4"/>
        <v>0</v>
      </c>
      <c r="Q65" s="64" t="str">
        <f>'External Delivery Fulfillment'!L26</f>
        <v/>
      </c>
      <c r="R65" s="64">
        <f t="shared" si="5"/>
        <v>0</v>
      </c>
      <c r="S65" s="64" t="str">
        <f>'Forwarding From Client'!L26</f>
        <v/>
      </c>
      <c r="T65" s="64">
        <f t="shared" si="6"/>
        <v>0</v>
      </c>
      <c r="U65" s="64" t="str">
        <f>'Dala Restocking'!L26</f>
        <v/>
      </c>
      <c r="V65" s="64">
        <f t="shared" si="7"/>
        <v>0</v>
      </c>
      <c r="W65" s="64" t="str">
        <f>'Client Restocking'!L26</f>
        <v/>
      </c>
    </row>
    <row r="66">
      <c r="B66" s="105"/>
      <c r="C66" s="105"/>
      <c r="D66" s="105"/>
      <c r="E66" s="105"/>
      <c r="F66" s="105"/>
      <c r="G66" s="64">
        <f t="shared" si="1"/>
        <v>0</v>
      </c>
      <c r="H66" s="105"/>
      <c r="I66" s="105"/>
      <c r="J66" s="105"/>
      <c r="K66" s="105"/>
      <c r="L66" s="61">
        <f t="shared" si="8"/>
        <v>0</v>
      </c>
      <c r="M66" s="64">
        <f t="shared" si="2"/>
        <v>0</v>
      </c>
      <c r="N66" s="64">
        <f t="shared" si="3"/>
        <v>0</v>
      </c>
      <c r="O66" s="64" t="str">
        <f>'Dala Sales &amp; Deliveries'!L27</f>
        <v/>
      </c>
      <c r="P66" s="64">
        <f t="shared" si="4"/>
        <v>0</v>
      </c>
      <c r="Q66" s="64" t="str">
        <f>'External Delivery Fulfillment'!L27</f>
        <v/>
      </c>
      <c r="R66" s="64">
        <f t="shared" si="5"/>
        <v>0</v>
      </c>
      <c r="S66" s="64" t="str">
        <f>'Forwarding From Client'!L27</f>
        <v/>
      </c>
      <c r="T66" s="64">
        <f t="shared" si="6"/>
        <v>0</v>
      </c>
      <c r="U66" s="64" t="str">
        <f>'Dala Restocking'!L27</f>
        <v/>
      </c>
      <c r="V66" s="64">
        <f t="shared" si="7"/>
        <v>0</v>
      </c>
      <c r="W66" s="64" t="str">
        <f>'Client Restocking'!L27</f>
        <v/>
      </c>
    </row>
    <row r="67">
      <c r="B67" s="105"/>
      <c r="C67" s="105"/>
      <c r="D67" s="105"/>
      <c r="E67" s="105"/>
      <c r="F67" s="105"/>
      <c r="G67" s="64">
        <f t="shared" si="1"/>
        <v>0</v>
      </c>
      <c r="H67" s="105"/>
      <c r="I67" s="105"/>
      <c r="J67" s="105"/>
      <c r="K67" s="105"/>
      <c r="L67" s="61">
        <f t="shared" si="8"/>
        <v>0</v>
      </c>
      <c r="M67" s="64">
        <f t="shared" si="2"/>
        <v>0</v>
      </c>
      <c r="N67" s="64">
        <f t="shared" si="3"/>
        <v>0</v>
      </c>
      <c r="O67" s="64" t="str">
        <f>'Dala Sales &amp; Deliveries'!L28</f>
        <v/>
      </c>
      <c r="P67" s="64">
        <f t="shared" si="4"/>
        <v>0</v>
      </c>
      <c r="Q67" s="64" t="str">
        <f>'External Delivery Fulfillment'!L28</f>
        <v/>
      </c>
      <c r="R67" s="64">
        <f t="shared" si="5"/>
        <v>0</v>
      </c>
      <c r="S67" s="64" t="str">
        <f>'Forwarding From Client'!L28</f>
        <v/>
      </c>
      <c r="T67" s="64">
        <f t="shared" si="6"/>
        <v>0</v>
      </c>
      <c r="U67" s="64" t="str">
        <f>'Dala Restocking'!L28</f>
        <v/>
      </c>
      <c r="V67" s="64">
        <f t="shared" si="7"/>
        <v>0</v>
      </c>
      <c r="W67" s="64" t="str">
        <f>'Client Restocking'!L28</f>
        <v/>
      </c>
    </row>
    <row r="68">
      <c r="B68" s="105"/>
      <c r="C68" s="105"/>
      <c r="D68" s="105"/>
      <c r="E68" s="105"/>
      <c r="F68" s="105"/>
      <c r="G68" s="64">
        <f t="shared" si="1"/>
        <v>0</v>
      </c>
      <c r="H68" s="105"/>
      <c r="I68" s="105"/>
      <c r="J68" s="105"/>
      <c r="K68" s="105"/>
      <c r="L68" s="61">
        <f t="shared" si="8"/>
        <v>0</v>
      </c>
      <c r="M68" s="64">
        <f t="shared" si="2"/>
        <v>0</v>
      </c>
      <c r="N68" s="64">
        <f t="shared" si="3"/>
        <v>0</v>
      </c>
      <c r="O68" s="64" t="str">
        <f>'Dala Sales &amp; Deliveries'!L29</f>
        <v/>
      </c>
      <c r="P68" s="64">
        <f t="shared" si="4"/>
        <v>0</v>
      </c>
      <c r="Q68" s="64" t="str">
        <f>'External Delivery Fulfillment'!L29</f>
        <v/>
      </c>
      <c r="R68" s="64">
        <f t="shared" si="5"/>
        <v>0</v>
      </c>
      <c r="S68" s="64" t="str">
        <f>'Forwarding From Client'!L29</f>
        <v/>
      </c>
      <c r="T68" s="64">
        <f t="shared" si="6"/>
        <v>0</v>
      </c>
      <c r="U68" s="64" t="str">
        <f>'Dala Restocking'!L29</f>
        <v/>
      </c>
      <c r="V68" s="64">
        <f t="shared" si="7"/>
        <v>0</v>
      </c>
      <c r="W68" s="64" t="str">
        <f>'Client Restocking'!L29</f>
        <v/>
      </c>
    </row>
    <row r="69">
      <c r="B69" s="105"/>
      <c r="C69" s="105"/>
      <c r="D69" s="105"/>
      <c r="E69" s="105"/>
      <c r="F69" s="105"/>
      <c r="G69" s="64">
        <f t="shared" si="1"/>
        <v>0</v>
      </c>
      <c r="H69" s="105"/>
      <c r="I69" s="105"/>
      <c r="J69" s="105"/>
      <c r="K69" s="105"/>
      <c r="L69" s="61">
        <f t="shared" si="8"/>
        <v>0</v>
      </c>
      <c r="M69" s="64">
        <f t="shared" si="2"/>
        <v>0</v>
      </c>
      <c r="N69" s="64">
        <f t="shared" si="3"/>
        <v>0</v>
      </c>
      <c r="O69" s="64" t="str">
        <f>'Dala Sales &amp; Deliveries'!L30</f>
        <v/>
      </c>
      <c r="P69" s="64">
        <f t="shared" si="4"/>
        <v>0</v>
      </c>
      <c r="Q69" s="64" t="str">
        <f>'External Delivery Fulfillment'!L30</f>
        <v/>
      </c>
      <c r="R69" s="64">
        <f t="shared" si="5"/>
        <v>0</v>
      </c>
      <c r="S69" s="64" t="str">
        <f>'Forwarding From Client'!L30</f>
        <v/>
      </c>
      <c r="T69" s="64">
        <f t="shared" si="6"/>
        <v>0</v>
      </c>
      <c r="U69" s="64" t="str">
        <f>'Dala Restocking'!L30</f>
        <v/>
      </c>
      <c r="V69" s="64">
        <f t="shared" si="7"/>
        <v>0</v>
      </c>
      <c r="W69" s="64" t="str">
        <f>'Client Restocking'!L30</f>
        <v/>
      </c>
    </row>
    <row r="70">
      <c r="B70" s="61" t="s">
        <v>96</v>
      </c>
      <c r="C70" s="61"/>
      <c r="D70" s="61"/>
      <c r="E70" s="64"/>
      <c r="F70" s="106">
        <f t="shared" ref="F70:W70" si="9">sum(F41:F69)</f>
        <v>0</v>
      </c>
      <c r="G70" s="106">
        <f t="shared" si="9"/>
        <v>0</v>
      </c>
      <c r="H70" s="106">
        <f t="shared" si="9"/>
        <v>0</v>
      </c>
      <c r="I70" s="106">
        <f t="shared" si="9"/>
        <v>0</v>
      </c>
      <c r="J70" s="106">
        <f t="shared" si="9"/>
        <v>0</v>
      </c>
      <c r="K70" s="106">
        <f t="shared" si="9"/>
        <v>20.67</v>
      </c>
      <c r="L70" s="64">
        <f t="shared" si="9"/>
        <v>20.67</v>
      </c>
      <c r="M70" s="64">
        <f t="shared" si="9"/>
        <v>0</v>
      </c>
      <c r="N70" s="64">
        <f t="shared" si="9"/>
        <v>0</v>
      </c>
      <c r="O70" s="60">
        <f t="shared" si="9"/>
        <v>2</v>
      </c>
      <c r="P70" s="64">
        <f t="shared" si="9"/>
        <v>6000</v>
      </c>
      <c r="Q70" s="60">
        <f t="shared" si="9"/>
        <v>0</v>
      </c>
      <c r="R70" s="64">
        <f t="shared" si="9"/>
        <v>0</v>
      </c>
      <c r="S70" s="60">
        <f t="shared" si="9"/>
        <v>0</v>
      </c>
      <c r="T70" s="64">
        <f t="shared" si="9"/>
        <v>0</v>
      </c>
      <c r="U70" s="60">
        <f t="shared" si="9"/>
        <v>0</v>
      </c>
      <c r="V70" s="64">
        <f t="shared" si="9"/>
        <v>0</v>
      </c>
      <c r="W70" s="60">
        <f t="shared" si="9"/>
        <v>0</v>
      </c>
    </row>
    <row r="71">
      <c r="C71" s="7" t="s">
        <v>97</v>
      </c>
      <c r="D71" s="7" t="s">
        <v>97</v>
      </c>
      <c r="E71" s="7" t="s">
        <v>97</v>
      </c>
      <c r="F71" s="7" t="s">
        <v>97</v>
      </c>
      <c r="G71" s="7" t="s">
        <v>97</v>
      </c>
      <c r="H71" s="7" t="s">
        <v>97</v>
      </c>
      <c r="I71" s="7" t="s">
        <v>97</v>
      </c>
      <c r="J71" s="7" t="s">
        <v>97</v>
      </c>
      <c r="K71" s="7" t="s">
        <v>97</v>
      </c>
      <c r="L71" s="7" t="s">
        <v>97</v>
      </c>
      <c r="M71" s="7" t="s">
        <v>97</v>
      </c>
      <c r="N71" s="7" t="s">
        <v>97</v>
      </c>
      <c r="O71" s="7" t="s">
        <v>97</v>
      </c>
      <c r="P71" s="7" t="s">
        <v>97</v>
      </c>
      <c r="Q71" s="7" t="s">
        <v>97</v>
      </c>
      <c r="R71" s="7" t="s">
        <v>97</v>
      </c>
      <c r="S71" s="7" t="s">
        <v>97</v>
      </c>
      <c r="T71" s="7" t="s">
        <v>97</v>
      </c>
      <c r="U71" s="7" t="s">
        <v>97</v>
      </c>
      <c r="V71" s="7" t="s">
        <v>97</v>
      </c>
      <c r="W71" s="7" t="s">
        <v>97</v>
      </c>
    </row>
  </sheetData>
  <drawing r:id="rId1"/>
</worksheet>
</file>