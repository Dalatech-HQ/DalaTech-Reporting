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<sst xmlns="http://schemas.openxmlformats.org/spreadsheetml/2006/main" count="341" uniqueCount="112">
  <si>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</si>
  <si>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</si>
  <si>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</si>
  <si>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</si>
  <si>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</si>
  <si>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</si>
  <si>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</si>
  <si>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</si>
  <si>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</si>
  <si>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</si>
  <si>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</si>
  <si>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</si>
  <si>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</si>
  <si>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</si>
  <si>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</si>
  <si>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Fabfresh Probiotic sweetened Yoghurt (12x)</t>
  </si>
  <si>
    <t>Q Mart Supermarket</t>
  </si>
  <si>
    <t>Sales</t>
  </si>
  <si>
    <t>DT:000680</t>
  </si>
  <si>
    <t>Skymart Supermarket, LANGBASA</t>
  </si>
  <si>
    <t>DT:000690</t>
  </si>
  <si>
    <t>Eleyor Shopping Mall, ALAGBON OWODE</t>
  </si>
  <si>
    <t>DT:000712</t>
  </si>
  <si>
    <t>Eleyor Shopping Mall, OWODE</t>
  </si>
  <si>
    <t>DT:000713</t>
  </si>
  <si>
    <t>Buymore Supermarket, IBAFO</t>
  </si>
  <si>
    <t>DT:000733</t>
  </si>
  <si>
    <t>Life Back Pharmacy &amp; stores</t>
  </si>
  <si>
    <t>DT:000759</t>
  </si>
  <si>
    <t>All in One Pharmacy &amp; Supermarket</t>
  </si>
  <si>
    <t>DT:000766</t>
  </si>
  <si>
    <t>Mega Mart</t>
  </si>
  <si>
    <t>DT:000864</t>
  </si>
  <si>
    <t>300ml Fabfresh Unsweetened Yoghurt (12x)</t>
  </si>
  <si>
    <t>500ml Fabfresh sweetened Yoghurt (12x)</t>
  </si>
  <si>
    <t>Hunters restaurant, EGBEDA</t>
  </si>
  <si>
    <t>DT:000723</t>
  </si>
  <si>
    <t>Ozzy Supermarket, mobile road</t>
  </si>
  <si>
    <t>DT:000743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</si>
  <si>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</si>
  <si>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</si>
  <si>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</si>
  <si>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</si>
  <si>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</si>
  <si>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</si>
  <si>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</si>
  <si>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</si>
  <si>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</si>
  <si>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</si>
  <si>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</si>
  <si>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</si>
  <si>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</si>
  <si>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</si>
  <si>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</si>
  <si>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</si>
  <si>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</si>
  <si>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</si>
  <si>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</si>
  <si>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</si>
  <si>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</si>
  <si>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</si>
  <si>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</si>
  <si>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</si>
  <si>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</si>
  <si>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</si>
  <si>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</si>
  <si>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</si>
  <si>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</si>
  <si>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</si>
  <si>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</si>
  <si>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</si>
  <si>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</si>
  <si>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</si>
  <si>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</si>
  <si>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</si>
  <si>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</si>
  <si>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</si>
  <si>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</si>
  <si>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</si>
  <si>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</si>
  <si>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</si>
  <si>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</si>
  <si>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</si>
  <si>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</si>
  <si>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</si>
  <si>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</si>
  <si>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</si>
  <si>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</si>
  <si>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</si>
  <si>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</si>
  <si>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</si>
  <si>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</si>
  <si>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</si>
  <si>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</si>
  <si>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</si>
  <si>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</si>
  <si>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</si>
  <si>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</si>
  <si>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</si>
  <si>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</si>
  <si>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</si>
  <si>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</si>
  <si>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</si>
  <si>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</si>
  <si>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</si>
  <si>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</si>
  <si>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1 Ltr Fabfresh Unsweetened Yoghurt (6x)</t>
  </si>
  <si>
    <t>500ml Fabfresh Unsweetened Yoghurt (12x)</t>
  </si>
  <si>
    <t>900g Fabfresh probiotic Set Greek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</si>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</sst>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ml Fabfresh Probiotic sweetened Yoghurt (12x)"/>
        <s v="300ml Fabfresh Unsweetened Yoghurt (12x)"/>
        <s v="500ml Fabfresh sweetened Yoghurt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2T00:00:00Z"/>
        <m/>
      </sharedItems>
    </cacheField>
    <cacheField name="Particulars" numFmtId="0">
      <sharedItems containsBlank="1">
        <s v="Q Mart Supermarket"/>
        <s v="Skymart Supermarket, LANGBASA"/>
        <s v="Eleyor Shopping Mall, ALAGBON OWODE"/>
        <s v="Eleyor Shopping Mall, OWODE"/>
        <s v="Buymore Supermarket, IBAFO"/>
        <s v="Life Back Pharmacy &amp; stores"/>
        <s v="All in One Pharmacy &amp; Supermarket"/>
        <s v="Mega Mart"/>
        <s v="Hunters restaurant, EGBEDA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0"/>
        <s v="DT:000690"/>
        <s v="DT:000712"/>
        <s v="DT:000713"/>
        <s v="DT:000733"/>
        <s v="DT:000759"/>
        <s v="DT:000766"/>
        <s v="DT:000864"/>
        <s v="DT:000723"/>
        <s v="DT:000743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>
        <n v="13599.96"/>
        <n v="13200.0"/>
        <n v="6600.0"/>
        <n v="3399.99"/>
        <n v="21999.96"/>
        <n v="22000.0"/>
        <n v="10999.98"/>
        <n v="11000.0"/>
        <m/>
      </sharedItems>
    </cacheField>
    <cacheField name="Total Value" numFmtId="0">
      <sharedItems containsSemiMixedTypes="0" containsString="0" containsNumber="1">
        <n v="35599.92"/>
        <n v="35200.0"/>
        <n v="28600.0"/>
        <n v="6799.98"/>
        <n v="13599.96"/>
        <n v="10999.98"/>
        <n v="1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300ml Fabfresh Probiotic sweetened Yoghurt (12x)"/>
        <s v="300ml Fabfresh Unsweetened Yoghurt (12x)"/>
        <s v="500ml Fabfresh sweetened Yoghurt (12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0T00:00:00Z"/>
        <d v="2026-02-12T00:00:00Z"/>
        <m/>
      </sharedItems>
    </cacheField>
    <cacheField name="Particulars" numFmtId="0">
      <sharedItems containsBlank="1">
        <s v="Q Mart Supermarket"/>
        <s v="Skymart Supermarket, LANGBASA"/>
        <s v="Eleyor Shopping Mall, ALAGBON OWODE"/>
        <s v="Eleyor Shopping Mall, OWODE"/>
        <s v="Buymore Supermarket, IBAFO"/>
        <s v="Life Back Pharmacy &amp; stores"/>
        <s v="All in One Pharmacy &amp; Supermarket"/>
        <s v="Mega Mart"/>
        <s v="Hunters restaurant, EGBEDA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0"/>
        <s v="DT:000690"/>
        <s v="DT:000712"/>
        <s v="DT:000713"/>
        <s v="DT:000733"/>
        <s v="DT:000759"/>
        <s v="DT:000766"/>
        <s v="DT:000864"/>
        <s v="DT:000723"/>
        <s v="DT:000743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>
        <n v="13599.96"/>
        <n v="13200.0"/>
        <n v="6600.0"/>
        <n v="3399.99"/>
        <n v="21999.96"/>
        <n v="22000.0"/>
        <n v="10999.98"/>
        <n v="1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6"/>
        <item x="4"/>
        <item x="2"/>
        <item x="3"/>
        <item x="8"/>
        <item x="5"/>
        <item x="7"/>
        <item x="9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8"/>
        <item x="4"/>
        <item x="9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7"/>
        <item x="3"/>
        <item x="5"/>
        <item x="6"/>
        <item x="4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6"/>
        <item x="4"/>
        <item x="2"/>
        <item x="3"/>
        <item x="8"/>
        <item x="5"/>
        <item x="7"/>
        <item x="9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8"/>
        <item x="4"/>
        <item x="9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8"/>
        <item x="3"/>
        <item x="2"/>
        <item x="6"/>
        <item x="7"/>
        <item x="1"/>
        <item x="0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8</v>
      </c>
    </row>
    <row r="3" ht="22.5" customHeight="1">
      <c r="A3" s="13" t="s">
        <v>15</v>
      </c>
      <c r="B3" s="14">
        <v>46059.0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13599.96</v>
      </c>
      <c r="H3" s="18"/>
      <c r="I3" s="19" t="str">
        <f>IFERROR(__xludf.DUMMYFUNCTION("IFERROR(
  FILTER($A$3:$G1844, LEN($A$3:$A1844), LOWER(TRIM($D$3:$D1844))=""sales""),
)"),"300ml Fabfresh Probiotic sweetened Yoghurt (12x)")</f>
        <v>300ml Fabfresh Probiotic sweetened Yoghurt (12x)</v>
      </c>
      <c r="J3" s="20">
        <f>IFERROR(__xludf.DUMMYFUNCTION("""COMPUTED_VALUE"""),46059.0)</f>
        <v>46059</v>
      </c>
      <c r="K3" s="21" t="str">
        <f>IFERROR(__xludf.DUMMYFUNCTION("""COMPUTED_VALUE"""),"Q Mart Supermarket")</f>
        <v>Q Mart Supermarket</v>
      </c>
      <c r="L3" s="21" t="str">
        <f>IFERROR(__xludf.DUMMYFUNCTION("""COMPUTED_VALUE"""),"Sales")</f>
        <v>Sales</v>
      </c>
      <c r="M3" s="2" t="str">
        <f>IFERROR(__xludf.DUMMYFUNCTION("""COMPUTED_VALUE"""),"DT:000680")</f>
        <v>DT:000680</v>
      </c>
      <c r="N3" s="22">
        <f>IFERROR(__xludf.DUMMYFUNCTION("""COMPUTED_VALUE"""),1.0)</f>
        <v>1</v>
      </c>
      <c r="O3" s="23">
        <f>IFERROR(__xludf.DUMMYFUNCTION("""COMPUTED_VALUE"""),13599.96)</f>
        <v>13599.96</v>
      </c>
      <c r="P3" s="24">
        <f t="shared" ref="P3:P95" si="1">sumif(M:M,M3,O:O)</f>
        <v>35599.92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16"/>
      <c r="AV3" s="17"/>
    </row>
    <row r="4" ht="17.25" customHeight="1">
      <c r="A4" s="13" t="s">
        <v>15</v>
      </c>
      <c r="B4" s="14">
        <v>46059.0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13200.0</v>
      </c>
      <c r="H4" s="28"/>
      <c r="I4" s="19" t="str">
        <f>IFERROR(__xludf.DUMMYFUNCTION("""COMPUTED_VALUE"""),"300ml Fabfresh Probiotic sweetened Yoghurt (12x)")</f>
        <v>300ml Fabfresh Probiotic sweetened Yoghurt (12x)</v>
      </c>
      <c r="J4" s="20">
        <f>IFERROR(__xludf.DUMMYFUNCTION("""COMPUTED_VALUE"""),46059.0)</f>
        <v>46059</v>
      </c>
      <c r="K4" s="21" t="str">
        <f>IFERROR(__xludf.DUMMYFUNCTION("""COMPUTED_VALUE"""),"Skymart Supermarket, LANGBASA")</f>
        <v>Skymart Supermarket, LANGBASA</v>
      </c>
      <c r="L4" s="21" t="str">
        <f>IFERROR(__xludf.DUMMYFUNCTION("""COMPUTED_VALUE"""),"Sales")</f>
        <v>Sales</v>
      </c>
      <c r="M4" s="2" t="str">
        <f>IFERROR(__xludf.DUMMYFUNCTION("""COMPUTED_VALUE"""),"DT:000690")</f>
        <v>DT:000690</v>
      </c>
      <c r="N4" s="22">
        <f>IFERROR(__xludf.DUMMYFUNCTION("""COMPUTED_VALUE"""),1.0)</f>
        <v>1</v>
      </c>
      <c r="O4" s="23">
        <f>IFERROR(__xludf.DUMMYFUNCTION("""COMPUTED_VALUE"""),13200.0)</f>
        <v>13200</v>
      </c>
      <c r="P4" s="24">
        <f t="shared" si="1"/>
        <v>35200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15</v>
      </c>
      <c r="B5" s="14">
        <v>46060.0</v>
      </c>
      <c r="C5" s="15" t="s">
        <v>21</v>
      </c>
      <c r="D5" s="15" t="s">
        <v>17</v>
      </c>
      <c r="E5" s="8" t="s">
        <v>22</v>
      </c>
      <c r="F5" s="16">
        <v>1.0</v>
      </c>
      <c r="G5" s="17">
        <v>13599.96</v>
      </c>
      <c r="H5" s="28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IFERROR(__xludf.DUMMYFUNCTION("""COMPUTED_VALUE"""),46060.0)</f>
        <v>46060</v>
      </c>
      <c r="K5" s="21" t="str">
        <f>IFERROR(__xludf.DUMMYFUNCTION("""COMPUTED_VALUE"""),"Eleyor Shopping Mall, ALAGBON OWODE")</f>
        <v>Eleyor Shopping Mall, ALAGBON OWODE</v>
      </c>
      <c r="L5" s="21" t="str">
        <f>IFERROR(__xludf.DUMMYFUNCTION("""COMPUTED_VALUE"""),"Sales")</f>
        <v>Sales</v>
      </c>
      <c r="M5" s="2" t="str">
        <f>IFERROR(__xludf.DUMMYFUNCTION("""COMPUTED_VALUE"""),"DT:000712")</f>
        <v>DT:000712</v>
      </c>
      <c r="N5" s="22">
        <f>IFERROR(__xludf.DUMMYFUNCTION("""COMPUTED_VALUE"""),1.0)</f>
        <v>1</v>
      </c>
      <c r="O5" s="23">
        <f>IFERROR(__xludf.DUMMYFUNCTION("""COMPUTED_VALUE"""),13599.96)</f>
        <v>13599.96</v>
      </c>
      <c r="P5" s="24">
        <f t="shared" si="1"/>
        <v>35599.92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15</v>
      </c>
      <c r="B6" s="14">
        <v>46060.0</v>
      </c>
      <c r="C6" s="15" t="s">
        <v>23</v>
      </c>
      <c r="D6" s="15" t="s">
        <v>17</v>
      </c>
      <c r="E6" s="8" t="s">
        <v>24</v>
      </c>
      <c r="F6" s="16">
        <v>1.0</v>
      </c>
      <c r="G6" s="17">
        <v>13200.0</v>
      </c>
      <c r="H6" s="29"/>
      <c r="I6" s="19" t="str">
        <f>IFERROR(__xludf.DUMMYFUNCTION("""COMPUTED_VALUE"""),"300ml Fabfresh Probiotic sweetened Yoghurt (12x)")</f>
        <v>300ml Fabfresh Probiotic sweetened Yoghurt (12x)</v>
      </c>
      <c r="J6" s="20">
        <f>IFERROR(__xludf.DUMMYFUNCTION("""COMPUTED_VALUE"""),46060.0)</f>
        <v>46060</v>
      </c>
      <c r="K6" s="21" t="str">
        <f>IFERROR(__xludf.DUMMYFUNCTION("""COMPUTED_VALUE"""),"Eleyor Shopping Mall, OWODE")</f>
        <v>Eleyor Shopping Mall, OWODE</v>
      </c>
      <c r="L6" s="21" t="str">
        <f>IFERROR(__xludf.DUMMYFUNCTION("""COMPUTED_VALUE"""),"Sales")</f>
        <v>Sales</v>
      </c>
      <c r="M6" s="2" t="str">
        <f>IFERROR(__xludf.DUMMYFUNCTION("""COMPUTED_VALUE"""),"DT:000713")</f>
        <v>DT:000713</v>
      </c>
      <c r="N6" s="22">
        <f>IFERROR(__xludf.DUMMYFUNCTION("""COMPUTED_VALUE"""),1.0)</f>
        <v>1</v>
      </c>
      <c r="O6" s="23">
        <f>IFERROR(__xludf.DUMMYFUNCTION("""COMPUTED_VALUE"""),13200.0)</f>
        <v>13200</v>
      </c>
      <c r="P6" s="24">
        <f t="shared" si="1"/>
        <v>35200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15</v>
      </c>
      <c r="B7" s="14">
        <v>46060.0</v>
      </c>
      <c r="C7" s="15" t="s">
        <v>25</v>
      </c>
      <c r="D7" s="15" t="s">
        <v>17</v>
      </c>
      <c r="E7" s="8" t="s">
        <v>26</v>
      </c>
      <c r="F7" s="16">
        <v>1.0</v>
      </c>
      <c r="G7" s="17">
        <v>13599.96</v>
      </c>
      <c r="H7" s="29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IFERROR(__xludf.DUMMYFUNCTION("""COMPUTED_VALUE"""),46060.0)</f>
        <v>46060</v>
      </c>
      <c r="K7" s="21" t="str">
        <f>IFERROR(__xludf.DUMMYFUNCTION("""COMPUTED_VALUE"""),"Buymore Supermarket, IBAFO")</f>
        <v>Buymore Supermarket, IBAFO</v>
      </c>
      <c r="L7" s="21" t="str">
        <f>IFERROR(__xludf.DUMMYFUNCTION("""COMPUTED_VALUE"""),"Sales")</f>
        <v>Sales</v>
      </c>
      <c r="M7" s="2" t="str">
        <f>IFERROR(__xludf.DUMMYFUNCTION("""COMPUTED_VALUE"""),"DT:000733")</f>
        <v>DT:000733</v>
      </c>
      <c r="N7" s="22">
        <f>IFERROR(__xludf.DUMMYFUNCTION("""COMPUTED_VALUE"""),1.0)</f>
        <v>1</v>
      </c>
      <c r="O7" s="23">
        <f>IFERROR(__xludf.DUMMYFUNCTION("""COMPUTED_VALUE"""),13599.96)</f>
        <v>13599.96</v>
      </c>
      <c r="P7" s="24">
        <f t="shared" si="1"/>
        <v>35599.92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15</v>
      </c>
      <c r="B8" s="14">
        <v>46062.0</v>
      </c>
      <c r="C8" s="15" t="s">
        <v>27</v>
      </c>
      <c r="D8" s="15" t="s">
        <v>17</v>
      </c>
      <c r="E8" s="8" t="s">
        <v>28</v>
      </c>
      <c r="F8" s="16">
        <v>0.5</v>
      </c>
      <c r="G8" s="17">
        <v>6600.0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20">
        <f>IFERROR(__xludf.DUMMYFUNCTION("""COMPUTED_VALUE"""),46062.0)</f>
        <v>46062</v>
      </c>
      <c r="K8" s="21" t="str">
        <f>IFERROR(__xludf.DUMMYFUNCTION("""COMPUTED_VALUE"""),"Life Back Pharmacy &amp; stores")</f>
        <v>Life Back Pharmacy &amp; stores</v>
      </c>
      <c r="L8" s="21" t="str">
        <f>IFERROR(__xludf.DUMMYFUNCTION("""COMPUTED_VALUE"""),"Sales")</f>
        <v>Sales</v>
      </c>
      <c r="M8" s="2" t="str">
        <f>IFERROR(__xludf.DUMMYFUNCTION("""COMPUTED_VALUE"""),"DT:000759")</f>
        <v>DT:000759</v>
      </c>
      <c r="N8" s="22">
        <f>IFERROR(__xludf.DUMMYFUNCTION("""COMPUTED_VALUE"""),0.5)</f>
        <v>0.5</v>
      </c>
      <c r="O8" s="23">
        <f>IFERROR(__xludf.DUMMYFUNCTION("""COMPUTED_VALUE"""),6600.0)</f>
        <v>6600</v>
      </c>
      <c r="P8" s="24">
        <f t="shared" si="1"/>
        <v>28600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15</v>
      </c>
      <c r="B9" s="14">
        <v>46063.0</v>
      </c>
      <c r="C9" s="15" t="s">
        <v>29</v>
      </c>
      <c r="D9" s="15" t="s">
        <v>17</v>
      </c>
      <c r="E9" s="8" t="s">
        <v>30</v>
      </c>
      <c r="F9" s="16">
        <v>0.25</v>
      </c>
      <c r="G9" s="17">
        <v>3399.99</v>
      </c>
      <c r="H9" s="28"/>
      <c r="I9" s="19" t="str">
        <f>IFERROR(__xludf.DUMMYFUNCTION("""COMPUTED_VALUE"""),"300ml Fabfresh Probiotic sweetened Yoghurt (12x)")</f>
        <v>300ml Fabfresh Probiotic sweetened Yoghurt (12x)</v>
      </c>
      <c r="J9" s="20">
        <f>IFERROR(__xludf.DUMMYFUNCTION("""COMPUTED_VALUE"""),46063.0)</f>
        <v>46063</v>
      </c>
      <c r="K9" s="21" t="str">
        <f>IFERROR(__xludf.DUMMYFUNCTION("""COMPUTED_VALUE"""),"All in One Pharmacy &amp; Supermarket")</f>
        <v>All in One Pharmacy &amp; Supermarket</v>
      </c>
      <c r="L9" s="21" t="str">
        <f>IFERROR(__xludf.DUMMYFUNCTION("""COMPUTED_VALUE"""),"Sales")</f>
        <v>Sales</v>
      </c>
      <c r="M9" s="2" t="str">
        <f>IFERROR(__xludf.DUMMYFUNCTION("""COMPUTED_VALUE"""),"DT:000766")</f>
        <v>DT:000766</v>
      </c>
      <c r="N9" s="22">
        <f>IFERROR(__xludf.DUMMYFUNCTION("""COMPUTED_VALUE"""),0.25)</f>
        <v>0.25</v>
      </c>
      <c r="O9" s="23">
        <f>IFERROR(__xludf.DUMMYFUNCTION("""COMPUTED_VALUE"""),3399.99)</f>
        <v>3399.99</v>
      </c>
      <c r="P9" s="24">
        <f t="shared" si="1"/>
        <v>6799.98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16"/>
      <c r="AV9" s="17"/>
    </row>
    <row r="10" ht="22.5" customHeight="1">
      <c r="A10" s="13" t="s">
        <v>15</v>
      </c>
      <c r="B10" s="14">
        <v>46065.0</v>
      </c>
      <c r="C10" s="15" t="s">
        <v>31</v>
      </c>
      <c r="D10" s="15" t="s">
        <v>17</v>
      </c>
      <c r="E10" s="8" t="s">
        <v>32</v>
      </c>
      <c r="F10" s="16">
        <v>1.0</v>
      </c>
      <c r="G10" s="17">
        <v>13599.96</v>
      </c>
      <c r="H10" s="18"/>
      <c r="I10" s="19" t="str">
        <f>IFERROR(__xludf.DUMMYFUNCTION("""COMPUTED_VALUE"""),"300ml Fabfresh Probiotic sweetened Yoghurt (12x)")</f>
        <v>300ml Fabfresh Probiotic sweetened Yoghurt (12x)</v>
      </c>
      <c r="J10" s="20">
        <f>IFERROR(__xludf.DUMMYFUNCTION("""COMPUTED_VALUE"""),46065.0)</f>
        <v>46065</v>
      </c>
      <c r="K10" s="21" t="str">
        <f>IFERROR(__xludf.DUMMYFUNCTION("""COMPUTED_VALUE"""),"Mega Mart")</f>
        <v>Mega Mart</v>
      </c>
      <c r="L10" s="21" t="str">
        <f>IFERROR(__xludf.DUMMYFUNCTION("""COMPUTED_VALUE"""),"Sales")</f>
        <v>Sales</v>
      </c>
      <c r="M10" s="2" t="str">
        <f>IFERROR(__xludf.DUMMYFUNCTION("""COMPUTED_VALUE"""),"DT:000864")</f>
        <v>DT:000864</v>
      </c>
      <c r="N10" s="22">
        <f>IFERROR(__xludf.DUMMYFUNCTION("""COMPUTED_VALUE"""),1.0)</f>
        <v>1</v>
      </c>
      <c r="O10" s="23">
        <f>IFERROR(__xludf.DUMMYFUNCTION("""COMPUTED_VALUE"""),13599.96)</f>
        <v>13599.96</v>
      </c>
      <c r="P10" s="24">
        <f t="shared" si="1"/>
        <v>13599.96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33</v>
      </c>
      <c r="B11" s="14">
        <v>46063.0</v>
      </c>
      <c r="C11" s="15" t="s">
        <v>29</v>
      </c>
      <c r="D11" s="15" t="s">
        <v>17</v>
      </c>
      <c r="E11" s="8" t="s">
        <v>30</v>
      </c>
      <c r="F11" s="16">
        <v>0.25</v>
      </c>
      <c r="G11" s="17">
        <v>3399.99</v>
      </c>
      <c r="H11" s="29"/>
      <c r="I11" s="19" t="str">
        <f>IFERROR(__xludf.DUMMYFUNCTION("""COMPUTED_VALUE"""),"300ml Fabfresh Unsweetened Yoghurt (12x)")</f>
        <v>300ml Fabfresh Unsweetened Yoghurt (12x)</v>
      </c>
      <c r="J11" s="20">
        <f>IFERROR(__xludf.DUMMYFUNCTION("""COMPUTED_VALUE"""),46063.0)</f>
        <v>46063</v>
      </c>
      <c r="K11" s="21" t="str">
        <f>IFERROR(__xludf.DUMMYFUNCTION("""COMPUTED_VALUE"""),"All in One Pharmacy &amp; Supermarket")</f>
        <v>All in One Pharmacy &amp; Supermarket</v>
      </c>
      <c r="L11" s="21" t="str">
        <f>IFERROR(__xludf.DUMMYFUNCTION("""COMPUTED_VALUE"""),"Sales")</f>
        <v>Sales</v>
      </c>
      <c r="M11" s="2" t="str">
        <f>IFERROR(__xludf.DUMMYFUNCTION("""COMPUTED_VALUE"""),"DT:000766")</f>
        <v>DT:000766</v>
      </c>
      <c r="N11" s="22">
        <f>IFERROR(__xludf.DUMMYFUNCTION("""COMPUTED_VALUE"""),0.25)</f>
        <v>0.25</v>
      </c>
      <c r="O11" s="23">
        <f>IFERROR(__xludf.DUMMYFUNCTION("""COMPUTED_VALUE"""),3399.99)</f>
        <v>3399.99</v>
      </c>
      <c r="P11" s="24">
        <f t="shared" si="1"/>
        <v>6799.98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34</v>
      </c>
      <c r="B12" s="14">
        <v>46059.0</v>
      </c>
      <c r="C12" s="15" t="s">
        <v>16</v>
      </c>
      <c r="D12" s="15" t="s">
        <v>17</v>
      </c>
      <c r="E12" s="8" t="s">
        <v>18</v>
      </c>
      <c r="F12" s="16">
        <v>1.0</v>
      </c>
      <c r="G12" s="17">
        <v>21999.96</v>
      </c>
      <c r="H12" s="31"/>
      <c r="I12" s="19" t="str">
        <f>IFERROR(__xludf.DUMMYFUNCTION("""COMPUTED_VALUE"""),"500ml Fabfresh sweetened Yoghurt (12x)")</f>
        <v>500ml Fabfresh sweetened Yoghurt (12x)</v>
      </c>
      <c r="J12" s="20">
        <f>IFERROR(__xludf.DUMMYFUNCTION("""COMPUTED_VALUE"""),46059.0)</f>
        <v>46059</v>
      </c>
      <c r="K12" s="21" t="str">
        <f>IFERROR(__xludf.DUMMYFUNCTION("""COMPUTED_VALUE"""),"Q Mart Supermarket")</f>
        <v>Q Mart Supermarket</v>
      </c>
      <c r="L12" s="21" t="str">
        <f>IFERROR(__xludf.DUMMYFUNCTION("""COMPUTED_VALUE"""),"Sales")</f>
        <v>Sales</v>
      </c>
      <c r="M12" s="2" t="str">
        <f>IFERROR(__xludf.DUMMYFUNCTION("""COMPUTED_VALUE"""),"DT:000680")</f>
        <v>DT:000680</v>
      </c>
      <c r="N12" s="22">
        <f>IFERROR(__xludf.DUMMYFUNCTION("""COMPUTED_VALUE"""),1.0)</f>
        <v>1</v>
      </c>
      <c r="O12" s="23">
        <f>IFERROR(__xludf.DUMMYFUNCTION("""COMPUTED_VALUE"""),21999.96)</f>
        <v>21999.96</v>
      </c>
      <c r="P12" s="24">
        <f t="shared" si="1"/>
        <v>35599.92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34</v>
      </c>
      <c r="B13" s="14">
        <v>46059.0</v>
      </c>
      <c r="C13" s="15" t="s">
        <v>19</v>
      </c>
      <c r="D13" s="15" t="s">
        <v>17</v>
      </c>
      <c r="E13" s="8" t="s">
        <v>20</v>
      </c>
      <c r="F13" s="16">
        <v>1.0</v>
      </c>
      <c r="G13" s="17">
        <v>22000.0</v>
      </c>
      <c r="H13" s="28"/>
      <c r="I13" s="19" t="str">
        <f>IFERROR(__xludf.DUMMYFUNCTION("""COMPUTED_VALUE"""),"500ml Fabfresh sweetened Yoghurt (12x)")</f>
        <v>500ml Fabfresh sweetened Yoghurt (12x)</v>
      </c>
      <c r="J13" s="20">
        <f>IFERROR(__xludf.DUMMYFUNCTION("""COMPUTED_VALUE"""),46059.0)</f>
        <v>46059</v>
      </c>
      <c r="K13" s="21" t="str">
        <f>IFERROR(__xludf.DUMMYFUNCTION("""COMPUTED_VALUE"""),"Skymart Supermarket, LANGBASA")</f>
        <v>Skymart Supermarket, LANGBASA</v>
      </c>
      <c r="L13" s="21" t="str">
        <f>IFERROR(__xludf.DUMMYFUNCTION("""COMPUTED_VALUE"""),"Sales")</f>
        <v>Sales</v>
      </c>
      <c r="M13" s="2" t="str">
        <f>IFERROR(__xludf.DUMMYFUNCTION("""COMPUTED_VALUE"""),"DT:000690")</f>
        <v>DT:000690</v>
      </c>
      <c r="N13" s="22">
        <f>IFERROR(__xludf.DUMMYFUNCTION("""COMPUTED_VALUE"""),1.0)</f>
        <v>1</v>
      </c>
      <c r="O13" s="23">
        <f>IFERROR(__xludf.DUMMYFUNCTION("""COMPUTED_VALUE"""),22000.0)</f>
        <v>22000</v>
      </c>
      <c r="P13" s="24">
        <f t="shared" si="1"/>
        <v>35200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34</v>
      </c>
      <c r="B14" s="14">
        <v>46060.0</v>
      </c>
      <c r="C14" s="15" t="s">
        <v>21</v>
      </c>
      <c r="D14" s="15" t="s">
        <v>17</v>
      </c>
      <c r="E14" s="8" t="s">
        <v>22</v>
      </c>
      <c r="F14" s="16">
        <v>1.0</v>
      </c>
      <c r="G14" s="17">
        <v>21999.96</v>
      </c>
      <c r="H14" s="28"/>
      <c r="I14" s="19" t="str">
        <f>IFERROR(__xludf.DUMMYFUNCTION("""COMPUTED_VALUE"""),"500ml Fabfresh sweetened Yoghurt (12x)")</f>
        <v>500ml Fabfresh sweetened Yoghurt (12x)</v>
      </c>
      <c r="J14" s="20">
        <f>IFERROR(__xludf.DUMMYFUNCTION("""COMPUTED_VALUE"""),46060.0)</f>
        <v>46060</v>
      </c>
      <c r="K14" s="21" t="str">
        <f>IFERROR(__xludf.DUMMYFUNCTION("""COMPUTED_VALUE"""),"Eleyor Shopping Mall, ALAGBON OWODE")</f>
        <v>Eleyor Shopping Mall, ALAGBON OWODE</v>
      </c>
      <c r="L14" s="21" t="str">
        <f>IFERROR(__xludf.DUMMYFUNCTION("""COMPUTED_VALUE"""),"Sales")</f>
        <v>Sales</v>
      </c>
      <c r="M14" s="2" t="str">
        <f>IFERROR(__xludf.DUMMYFUNCTION("""COMPUTED_VALUE"""),"DT:000712")</f>
        <v>DT:000712</v>
      </c>
      <c r="N14" s="22">
        <f>IFERROR(__xludf.DUMMYFUNCTION("""COMPUTED_VALUE"""),1.0)</f>
        <v>1</v>
      </c>
      <c r="O14" s="23">
        <f>IFERROR(__xludf.DUMMYFUNCTION("""COMPUTED_VALUE"""),21999.96)</f>
        <v>21999.96</v>
      </c>
      <c r="P14" s="24">
        <f t="shared" si="1"/>
        <v>35599.92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 t="s">
        <v>34</v>
      </c>
      <c r="B15" s="14">
        <v>46060.0</v>
      </c>
      <c r="C15" s="15" t="s">
        <v>23</v>
      </c>
      <c r="D15" s="15" t="s">
        <v>17</v>
      </c>
      <c r="E15" s="8" t="s">
        <v>24</v>
      </c>
      <c r="F15" s="16">
        <v>1.0</v>
      </c>
      <c r="G15" s="17">
        <v>22000.0</v>
      </c>
      <c r="H15" s="18"/>
      <c r="I15" s="19" t="str">
        <f>IFERROR(__xludf.DUMMYFUNCTION("""COMPUTED_VALUE"""),"500ml Fabfresh sweetened Yoghurt (12x)")</f>
        <v>500ml Fabfresh sweetened Yoghurt (12x)</v>
      </c>
      <c r="J15" s="20">
        <f>IFERROR(__xludf.DUMMYFUNCTION("""COMPUTED_VALUE"""),46060.0)</f>
        <v>46060</v>
      </c>
      <c r="K15" s="21" t="str">
        <f>IFERROR(__xludf.DUMMYFUNCTION("""COMPUTED_VALUE"""),"Eleyor Shopping Mall, OWODE")</f>
        <v>Eleyor Shopping Mall, OWODE</v>
      </c>
      <c r="L15" s="21" t="str">
        <f>IFERROR(__xludf.DUMMYFUNCTION("""COMPUTED_VALUE"""),"Sales")</f>
        <v>Sales</v>
      </c>
      <c r="M15" s="2" t="str">
        <f>IFERROR(__xludf.DUMMYFUNCTION("""COMPUTED_VALUE"""),"DT:000713")</f>
        <v>DT:000713</v>
      </c>
      <c r="N15" s="22">
        <f>IFERROR(__xludf.DUMMYFUNCTION("""COMPUTED_VALUE"""),1.0)</f>
        <v>1</v>
      </c>
      <c r="O15" s="23">
        <f>IFERROR(__xludf.DUMMYFUNCTION("""COMPUTED_VALUE"""),22000.0)</f>
        <v>22000</v>
      </c>
      <c r="P15" s="24">
        <f t="shared" si="1"/>
        <v>35200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 t="s">
        <v>34</v>
      </c>
      <c r="B16" s="14">
        <v>46060.0</v>
      </c>
      <c r="C16" s="15" t="s">
        <v>35</v>
      </c>
      <c r="D16" s="15" t="s">
        <v>17</v>
      </c>
      <c r="E16" s="8" t="s">
        <v>36</v>
      </c>
      <c r="F16" s="16">
        <v>0.5</v>
      </c>
      <c r="G16" s="17">
        <v>10999.98</v>
      </c>
      <c r="H16" s="28"/>
      <c r="I16" s="19" t="str">
        <f>IFERROR(__xludf.DUMMYFUNCTION("""COMPUTED_VALUE"""),"500ml Fabfresh sweetened Yoghurt (12x)")</f>
        <v>500ml Fabfresh sweetened Yoghurt (12x)</v>
      </c>
      <c r="J16" s="20">
        <f>IFERROR(__xludf.DUMMYFUNCTION("""COMPUTED_VALUE"""),46060.0)</f>
        <v>46060</v>
      </c>
      <c r="K16" s="21" t="str">
        <f>IFERROR(__xludf.DUMMYFUNCTION("""COMPUTED_VALUE"""),"Hunters restaurant, EGBEDA")</f>
        <v>Hunters restaurant, EGBEDA</v>
      </c>
      <c r="L16" s="21" t="str">
        <f>IFERROR(__xludf.DUMMYFUNCTION("""COMPUTED_VALUE"""),"Sales")</f>
        <v>Sales</v>
      </c>
      <c r="M16" s="2" t="str">
        <f>IFERROR(__xludf.DUMMYFUNCTION("""COMPUTED_VALUE"""),"DT:000723")</f>
        <v>DT:000723</v>
      </c>
      <c r="N16" s="22">
        <f>IFERROR(__xludf.DUMMYFUNCTION("""COMPUTED_VALUE"""),0.5)</f>
        <v>0.5</v>
      </c>
      <c r="O16" s="23">
        <f>IFERROR(__xludf.DUMMYFUNCTION("""COMPUTED_VALUE"""),10999.98)</f>
        <v>10999.98</v>
      </c>
      <c r="P16" s="24">
        <f t="shared" si="1"/>
        <v>10999.98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 t="s">
        <v>34</v>
      </c>
      <c r="B17" s="14">
        <v>46060.0</v>
      </c>
      <c r="C17" s="15" t="s">
        <v>25</v>
      </c>
      <c r="D17" s="15" t="s">
        <v>17</v>
      </c>
      <c r="E17" s="8" t="s">
        <v>26</v>
      </c>
      <c r="F17" s="16">
        <v>1.0</v>
      </c>
      <c r="G17" s="17">
        <v>21999.96</v>
      </c>
      <c r="I17" s="19" t="str">
        <f>IFERROR(__xludf.DUMMYFUNCTION("""COMPUTED_VALUE"""),"500ml Fabfresh sweetened Yoghurt (12x)")</f>
        <v>500ml Fabfresh sweetened Yoghurt (12x)</v>
      </c>
      <c r="J17" s="20">
        <f>IFERROR(__xludf.DUMMYFUNCTION("""COMPUTED_VALUE"""),46060.0)</f>
        <v>46060</v>
      </c>
      <c r="K17" s="21" t="str">
        <f>IFERROR(__xludf.DUMMYFUNCTION("""COMPUTED_VALUE"""),"Buymore Supermarket, IBAFO")</f>
        <v>Buymore Supermarket, IBAFO</v>
      </c>
      <c r="L17" s="21" t="str">
        <f>IFERROR(__xludf.DUMMYFUNCTION("""COMPUTED_VALUE"""),"Sales")</f>
        <v>Sales</v>
      </c>
      <c r="M17" s="2" t="str">
        <f>IFERROR(__xludf.DUMMYFUNCTION("""COMPUTED_VALUE"""),"DT:000733")</f>
        <v>DT:000733</v>
      </c>
      <c r="N17" s="22">
        <f>IFERROR(__xludf.DUMMYFUNCTION("""COMPUTED_VALUE"""),1.0)</f>
        <v>1</v>
      </c>
      <c r="O17" s="23">
        <f>IFERROR(__xludf.DUMMYFUNCTION("""COMPUTED_VALUE"""),21999.96)</f>
        <v>21999.96</v>
      </c>
      <c r="P17" s="24">
        <f t="shared" si="1"/>
        <v>35599.92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 t="s">
        <v>34</v>
      </c>
      <c r="B18" s="14">
        <v>46062.0</v>
      </c>
      <c r="C18" s="15" t="s">
        <v>37</v>
      </c>
      <c r="D18" s="15" t="s">
        <v>17</v>
      </c>
      <c r="E18" s="8" t="s">
        <v>38</v>
      </c>
      <c r="F18" s="16">
        <v>0.5</v>
      </c>
      <c r="G18" s="17">
        <v>11000.0</v>
      </c>
      <c r="I18" s="19" t="str">
        <f>IFERROR(__xludf.DUMMYFUNCTION("""COMPUTED_VALUE"""),"500ml Fabfresh sweetened Yoghurt (12x)")</f>
        <v>500ml Fabfresh sweetened Yoghurt (12x)</v>
      </c>
      <c r="J18" s="20">
        <f>IFERROR(__xludf.DUMMYFUNCTION("""COMPUTED_VALUE"""),46062.0)</f>
        <v>46062</v>
      </c>
      <c r="K18" s="21" t="str">
        <f>IFERROR(__xludf.DUMMYFUNCTION("""COMPUTED_VALUE"""),"Ozzy Supermarket, mobile road")</f>
        <v>Ozzy Supermarket, mobile road</v>
      </c>
      <c r="L18" s="21" t="str">
        <f>IFERROR(__xludf.DUMMYFUNCTION("""COMPUTED_VALUE"""),"Sales")</f>
        <v>Sales</v>
      </c>
      <c r="M18" s="2" t="str">
        <f>IFERROR(__xludf.DUMMYFUNCTION("""COMPUTED_VALUE"""),"DT:000743")</f>
        <v>DT:000743</v>
      </c>
      <c r="N18" s="22">
        <f>IFERROR(__xludf.DUMMYFUNCTION("""COMPUTED_VALUE"""),0.5)</f>
        <v>0.5</v>
      </c>
      <c r="O18" s="23">
        <f>IFERROR(__xludf.DUMMYFUNCTION("""COMPUTED_VALUE"""),11000.0)</f>
        <v>11000</v>
      </c>
      <c r="P18" s="24">
        <f t="shared" si="1"/>
        <v>11000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 t="s">
        <v>34</v>
      </c>
      <c r="B19" s="14">
        <v>46062.0</v>
      </c>
      <c r="C19" s="15" t="s">
        <v>27</v>
      </c>
      <c r="D19" s="15" t="s">
        <v>17</v>
      </c>
      <c r="E19" s="8" t="s">
        <v>28</v>
      </c>
      <c r="F19" s="16">
        <v>1.0</v>
      </c>
      <c r="G19" s="17">
        <v>22000.0</v>
      </c>
      <c r="I19" s="19" t="str">
        <f>IFERROR(__xludf.DUMMYFUNCTION("""COMPUTED_VALUE"""),"500ml Fabfresh sweetened Yoghurt (12x)")</f>
        <v>500ml Fabfresh sweetened Yoghurt (12x)</v>
      </c>
      <c r="J19" s="20">
        <f>IFERROR(__xludf.DUMMYFUNCTION("""COMPUTED_VALUE"""),46062.0)</f>
        <v>46062</v>
      </c>
      <c r="K19" s="21" t="str">
        <f>IFERROR(__xludf.DUMMYFUNCTION("""COMPUTED_VALUE"""),"Life Back Pharmacy &amp; stores")</f>
        <v>Life Back Pharmacy &amp; stores</v>
      </c>
      <c r="L19" s="21" t="str">
        <f>IFERROR(__xludf.DUMMYFUNCTION("""COMPUTED_VALUE"""),"Sales")</f>
        <v>Sales</v>
      </c>
      <c r="M19" s="2" t="str">
        <f>IFERROR(__xludf.DUMMYFUNCTION("""COMPUTED_VALUE"""),"DT:000759")</f>
        <v>DT:000759</v>
      </c>
      <c r="N19" s="22">
        <f>IFERROR(__xludf.DUMMYFUNCTION("""COMPUTED_VALUE"""),1.0)</f>
        <v>1</v>
      </c>
      <c r="O19" s="23">
        <f>IFERROR(__xludf.DUMMYFUNCTION("""COMPUTED_VALUE"""),22000.0)</f>
        <v>22000</v>
      </c>
      <c r="P19" s="24">
        <f t="shared" si="1"/>
        <v>28600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/>
      <c r="B20" s="8"/>
      <c r="C20" s="15"/>
      <c r="D20" s="15"/>
      <c r="E20" s="8"/>
      <c r="F20" s="16"/>
      <c r="G20" s="17"/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/>
      <c r="B21" s="8"/>
      <c r="C21" s="15"/>
      <c r="D21" s="15"/>
      <c r="E21" s="8"/>
      <c r="F21" s="16"/>
      <c r="G21" s="17"/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/>
      <c r="B22" s="8"/>
      <c r="C22" s="15"/>
      <c r="D22" s="15"/>
      <c r="E22" s="8"/>
      <c r="F22" s="16"/>
      <c r="G22" s="17"/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/>
      <c r="B23" s="8"/>
      <c r="C23" s="15"/>
      <c r="D23" s="15"/>
      <c r="E23" s="8"/>
      <c r="F23" s="16"/>
      <c r="G23" s="17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/>
      <c r="B24" s="8"/>
      <c r="C24" s="15"/>
      <c r="D24" s="15"/>
      <c r="E24" s="8"/>
      <c r="F24" s="16"/>
      <c r="G24" s="17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/>
      <c r="B25" s="8"/>
      <c r="C25" s="15"/>
      <c r="D25" s="15"/>
      <c r="E25" s="8"/>
      <c r="F25" s="16"/>
      <c r="G25" s="17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/>
      <c r="B26" s="8"/>
      <c r="C26" s="15"/>
      <c r="D26" s="15"/>
      <c r="E26" s="8"/>
      <c r="F26" s="16"/>
      <c r="G26" s="17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/>
      <c r="B27" s="8"/>
      <c r="C27" s="15"/>
      <c r="D27" s="15"/>
      <c r="E27" s="8"/>
      <c r="F27" s="16"/>
      <c r="G27" s="17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/>
      <c r="B28" s="8"/>
      <c r="C28" s="15"/>
      <c r="D28" s="15"/>
      <c r="E28" s="8"/>
      <c r="F28" s="16"/>
      <c r="G28" s="17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/>
      <c r="B29" s="34"/>
      <c r="C29" s="15"/>
      <c r="D29" s="15"/>
      <c r="E29" s="8"/>
      <c r="F29" s="16"/>
      <c r="G29" s="17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/>
      <c r="B30" s="34"/>
      <c r="C30" s="15"/>
      <c r="D30" s="15"/>
      <c r="E30" s="8"/>
      <c r="F30" s="16"/>
      <c r="G30" s="17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/>
      <c r="B31" s="34"/>
      <c r="C31" s="15"/>
      <c r="D31" s="15"/>
      <c r="E31" s="8"/>
      <c r="F31" s="16"/>
      <c r="G31" s="17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/>
      <c r="B32" s="34"/>
      <c r="C32" s="15"/>
      <c r="D32" s="15"/>
      <c r="E32" s="8"/>
      <c r="F32" s="16"/>
      <c r="G32" s="17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/>
      <c r="B33" s="8"/>
      <c r="C33" s="15"/>
      <c r="D33" s="15"/>
      <c r="E33" s="8"/>
      <c r="F33" s="16"/>
      <c r="G33" s="17"/>
      <c r="I33" s="35"/>
      <c r="J33" s="36"/>
      <c r="K33" s="37"/>
      <c r="L33" s="37"/>
      <c r="M33" s="28"/>
      <c r="N33" s="28"/>
      <c r="O33" s="38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/>
      <c r="B34" s="8"/>
      <c r="C34" s="15"/>
      <c r="D34" s="15"/>
      <c r="E34" s="8"/>
      <c r="F34" s="16"/>
      <c r="G34" s="17"/>
      <c r="I34" s="35"/>
      <c r="J34" s="36"/>
      <c r="K34" s="37"/>
      <c r="L34" s="37"/>
      <c r="M34" s="28"/>
      <c r="N34" s="28"/>
      <c r="O34" s="38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/>
      <c r="B35" s="8"/>
      <c r="C35" s="15"/>
      <c r="D35" s="15"/>
      <c r="E35" s="8"/>
      <c r="F35" s="16"/>
      <c r="G35" s="17"/>
      <c r="I35" s="35"/>
      <c r="J35" s="36"/>
      <c r="K35" s="37"/>
      <c r="L35" s="37"/>
      <c r="M35" s="28"/>
      <c r="N35" s="28"/>
      <c r="O35" s="38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/>
      <c r="B36" s="34"/>
      <c r="C36" s="15"/>
      <c r="D36" s="15"/>
      <c r="E36" s="8"/>
      <c r="F36" s="16"/>
      <c r="G36" s="17"/>
      <c r="I36" s="35"/>
      <c r="J36" s="36"/>
      <c r="K36" s="37"/>
      <c r="L36" s="37"/>
      <c r="M36" s="28"/>
      <c r="N36" s="28"/>
      <c r="O36" s="38"/>
      <c r="P36" s="24">
        <f t="shared" si="1"/>
        <v>0</v>
      </c>
      <c r="R36" s="19"/>
      <c r="S36" s="20"/>
      <c r="T36" s="21"/>
      <c r="U36" s="21"/>
      <c r="V36" s="2"/>
      <c r="W36" s="22"/>
      <c r="X36" s="39"/>
      <c r="AP36" s="27"/>
      <c r="AQ36" s="32"/>
      <c r="AR36" s="26"/>
      <c r="AS36" s="26"/>
      <c r="AT36" s="18"/>
      <c r="AU36" s="18"/>
      <c r="AV36" s="33"/>
    </row>
    <row r="37" ht="22.5" customHeight="1">
      <c r="A37" s="13"/>
      <c r="B37" s="34"/>
      <c r="C37" s="15"/>
      <c r="D37" s="15"/>
      <c r="E37" s="8"/>
      <c r="F37" s="16"/>
      <c r="G37" s="17"/>
      <c r="I37" s="35"/>
      <c r="J37" s="36"/>
      <c r="K37" s="37"/>
      <c r="L37" s="37"/>
      <c r="M37" s="28"/>
      <c r="N37" s="28"/>
      <c r="O37" s="38"/>
      <c r="P37" s="24">
        <f t="shared" si="1"/>
        <v>0</v>
      </c>
      <c r="R37" s="19"/>
      <c r="S37" s="20"/>
      <c r="T37" s="30"/>
      <c r="U37" s="21"/>
      <c r="V37" s="2"/>
      <c r="W37" s="22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13"/>
      <c r="B38" s="34"/>
      <c r="C38" s="15"/>
      <c r="D38" s="15"/>
      <c r="E38" s="8"/>
      <c r="F38" s="16"/>
      <c r="G38" s="17"/>
      <c r="I38" s="35"/>
      <c r="J38" s="36"/>
      <c r="K38" s="37"/>
      <c r="L38" s="37"/>
      <c r="M38" s="28"/>
      <c r="N38" s="28"/>
      <c r="O38" s="38"/>
      <c r="P38" s="24">
        <f t="shared" si="1"/>
        <v>0</v>
      </c>
      <c r="R38" s="19"/>
      <c r="S38" s="20"/>
      <c r="T38" s="21"/>
      <c r="U38" s="21"/>
      <c r="V38" s="2"/>
      <c r="W38" s="22"/>
      <c r="X38" s="39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34"/>
      <c r="C39" s="15"/>
      <c r="D39" s="15"/>
      <c r="E39" s="8"/>
      <c r="F39" s="16"/>
      <c r="G39" s="17"/>
      <c r="I39" s="35"/>
      <c r="J39" s="36"/>
      <c r="K39" s="37"/>
      <c r="L39" s="37"/>
      <c r="M39" s="28"/>
      <c r="N39" s="28"/>
      <c r="O39" s="38"/>
      <c r="P39" s="24">
        <f t="shared" si="1"/>
        <v>0</v>
      </c>
      <c r="R39" s="19"/>
      <c r="S39" s="20"/>
      <c r="T39" s="21"/>
      <c r="U39" s="21"/>
      <c r="V39" s="2"/>
      <c r="W39" s="22"/>
      <c r="X39" s="39"/>
      <c r="AP39" s="19"/>
      <c r="AQ39" s="20"/>
      <c r="AR39" s="21"/>
      <c r="AS39" s="21"/>
      <c r="AT39" s="2"/>
      <c r="AU39" s="22"/>
      <c r="AV39" s="23"/>
    </row>
    <row r="40" ht="22.5" customHeight="1">
      <c r="A40" s="13"/>
      <c r="B40" s="34"/>
      <c r="C40" s="15"/>
      <c r="D40" s="15"/>
      <c r="E40" s="8"/>
      <c r="F40" s="16"/>
      <c r="G40" s="17"/>
      <c r="I40" s="35"/>
      <c r="J40" s="36"/>
      <c r="K40" s="37"/>
      <c r="L40" s="37"/>
      <c r="M40" s="28"/>
      <c r="N40" s="28"/>
      <c r="O40" s="38"/>
      <c r="P40" s="24">
        <f t="shared" si="1"/>
        <v>0</v>
      </c>
      <c r="R40" s="19"/>
      <c r="S40" s="20"/>
      <c r="T40" s="21"/>
      <c r="U40" s="21"/>
      <c r="V40" s="2"/>
      <c r="W40" s="22"/>
      <c r="X40" s="39"/>
      <c r="AP40" s="19"/>
      <c r="AQ40" s="45"/>
      <c r="AR40" s="46"/>
      <c r="AS40" s="46"/>
      <c r="AT40" s="47"/>
      <c r="AU40" s="48"/>
      <c r="AV40" s="49"/>
    </row>
    <row r="41" ht="22.5" customHeight="1">
      <c r="A41" s="13"/>
      <c r="B41" s="34"/>
      <c r="C41" s="15"/>
      <c r="D41" s="15"/>
      <c r="E41" s="8"/>
      <c r="F41" s="16"/>
      <c r="G41" s="17"/>
      <c r="I41" s="35"/>
      <c r="J41" s="36"/>
      <c r="K41" s="37"/>
      <c r="L41" s="37"/>
      <c r="M41" s="28"/>
      <c r="N41" s="28"/>
      <c r="O41" s="38"/>
      <c r="P41" s="24">
        <f t="shared" si="1"/>
        <v>0</v>
      </c>
      <c r="R41" s="19"/>
      <c r="S41" s="20"/>
      <c r="T41" s="30"/>
      <c r="U41" s="21"/>
      <c r="V41" s="2"/>
      <c r="W41" s="22"/>
      <c r="X41" s="39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8"/>
      <c r="C42" s="15"/>
      <c r="D42" s="15"/>
      <c r="E42" s="8"/>
      <c r="F42" s="16"/>
      <c r="G42" s="17"/>
      <c r="I42" s="35"/>
      <c r="J42" s="36"/>
      <c r="K42" s="37"/>
      <c r="L42" s="37"/>
      <c r="M42" s="28"/>
      <c r="N42" s="28"/>
      <c r="O42" s="38"/>
      <c r="P42" s="24">
        <f t="shared" si="1"/>
        <v>0</v>
      </c>
      <c r="R42" s="19"/>
      <c r="S42" s="20"/>
      <c r="T42" s="21"/>
      <c r="U42" s="21"/>
      <c r="V42" s="2"/>
      <c r="W42" s="22"/>
      <c r="X42" s="39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8"/>
      <c r="C43" s="15"/>
      <c r="D43" s="15"/>
      <c r="E43" s="8"/>
      <c r="F43" s="16"/>
      <c r="G43" s="17"/>
      <c r="I43" s="35"/>
      <c r="J43" s="36"/>
      <c r="K43" s="37"/>
      <c r="L43" s="37"/>
      <c r="M43" s="28"/>
      <c r="N43" s="28"/>
      <c r="O43" s="38"/>
      <c r="P43" s="24">
        <f t="shared" si="1"/>
        <v>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8"/>
      <c r="C44" s="15"/>
      <c r="D44" s="15"/>
      <c r="E44" s="8"/>
      <c r="F44" s="16"/>
      <c r="G44" s="17"/>
      <c r="I44" s="35"/>
      <c r="J44" s="36"/>
      <c r="K44" s="37"/>
      <c r="L44" s="37"/>
      <c r="M44" s="28"/>
      <c r="N44" s="28"/>
      <c r="O44" s="38"/>
      <c r="P44" s="24">
        <f t="shared" si="1"/>
        <v>0</v>
      </c>
      <c r="R44" s="19"/>
      <c r="S44" s="20"/>
      <c r="T44" s="21"/>
      <c r="U44" s="21"/>
      <c r="V44" s="2"/>
      <c r="W44" s="2"/>
      <c r="X44" s="39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8"/>
      <c r="C45" s="15"/>
      <c r="D45" s="15"/>
      <c r="E45" s="8"/>
      <c r="F45" s="16"/>
      <c r="G45" s="17"/>
      <c r="I45" s="35"/>
      <c r="J45" s="36"/>
      <c r="K45" s="37"/>
      <c r="L45" s="37"/>
      <c r="M45" s="28"/>
      <c r="N45" s="28"/>
      <c r="O45" s="38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8"/>
      <c r="C46" s="15"/>
      <c r="D46" s="15"/>
      <c r="E46" s="8"/>
      <c r="F46" s="16"/>
      <c r="G46" s="17"/>
      <c r="I46" s="27"/>
      <c r="J46" s="32"/>
      <c r="K46" s="51"/>
      <c r="L46" s="26"/>
      <c r="M46" s="18"/>
      <c r="N46" s="18"/>
      <c r="O46" s="33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8"/>
      <c r="C47" s="15"/>
      <c r="D47" s="15"/>
      <c r="E47" s="8"/>
      <c r="F47" s="16"/>
      <c r="G47" s="17"/>
      <c r="I47" s="27"/>
      <c r="J47" s="32"/>
      <c r="K47" s="51"/>
      <c r="L47" s="26"/>
      <c r="M47" s="18"/>
      <c r="N47" s="18"/>
      <c r="O47" s="33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8"/>
      <c r="C48" s="15"/>
      <c r="D48" s="15"/>
      <c r="E48" s="8"/>
      <c r="F48" s="16"/>
      <c r="G48" s="17"/>
      <c r="I48" s="27"/>
      <c r="J48" s="32"/>
      <c r="K48" s="51"/>
      <c r="L48" s="26"/>
      <c r="M48" s="18"/>
      <c r="N48" s="18"/>
      <c r="O48" s="33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8"/>
      <c r="C49" s="15"/>
      <c r="D49" s="15"/>
      <c r="E49" s="8"/>
      <c r="F49" s="16"/>
      <c r="G49" s="17"/>
      <c r="I49" s="27"/>
      <c r="J49" s="32"/>
      <c r="K49" s="51"/>
      <c r="L49" s="26"/>
      <c r="M49" s="18"/>
      <c r="N49" s="18"/>
      <c r="O49" s="33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8"/>
      <c r="C50" s="15"/>
      <c r="D50" s="15"/>
      <c r="E50" s="8"/>
      <c r="F50" s="16"/>
      <c r="G50" s="17"/>
      <c r="I50" s="27"/>
      <c r="J50" s="32"/>
      <c r="K50" s="51"/>
      <c r="L50" s="26"/>
      <c r="M50" s="18"/>
      <c r="N50" s="18"/>
      <c r="O50" s="33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8"/>
      <c r="C51" s="15"/>
      <c r="D51" s="15"/>
      <c r="E51" s="8"/>
      <c r="F51" s="16"/>
      <c r="G51" s="17"/>
      <c r="I51" s="27"/>
      <c r="J51" s="32"/>
      <c r="K51" s="51"/>
      <c r="L51" s="26"/>
      <c r="M51" s="18"/>
      <c r="N51" s="18"/>
      <c r="O51" s="33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8"/>
      <c r="C52" s="15"/>
      <c r="D52" s="15"/>
      <c r="E52" s="8"/>
      <c r="F52" s="16"/>
      <c r="G52" s="17"/>
      <c r="I52" s="27"/>
      <c r="J52" s="32"/>
      <c r="K52" s="51"/>
      <c r="L52" s="26"/>
      <c r="M52" s="18"/>
      <c r="N52" s="18"/>
      <c r="O52" s="33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8"/>
      <c r="C53" s="15"/>
      <c r="D53" s="15"/>
      <c r="E53" s="8"/>
      <c r="F53" s="16"/>
      <c r="G53" s="17"/>
      <c r="I53" s="27"/>
      <c r="J53" s="32"/>
      <c r="K53" s="51"/>
      <c r="L53" s="26"/>
      <c r="M53" s="18"/>
      <c r="N53" s="18"/>
      <c r="O53" s="33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8"/>
      <c r="C54" s="15"/>
      <c r="D54" s="15"/>
      <c r="E54" s="8"/>
      <c r="F54" s="16"/>
      <c r="G54" s="17"/>
      <c r="I54" s="27"/>
      <c r="J54" s="32"/>
      <c r="K54" s="26"/>
      <c r="L54" s="26"/>
      <c r="M54" s="18"/>
      <c r="N54" s="18"/>
      <c r="O54" s="33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8"/>
      <c r="C55" s="15"/>
      <c r="D55" s="15"/>
      <c r="E55" s="8"/>
      <c r="F55" s="16"/>
      <c r="G55" s="17"/>
      <c r="I55" s="27"/>
      <c r="J55" s="32"/>
      <c r="K55" s="26"/>
      <c r="L55" s="26"/>
      <c r="M55" s="18"/>
      <c r="N55" s="18"/>
      <c r="O55" s="33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8"/>
      <c r="C56" s="15"/>
      <c r="D56" s="15"/>
      <c r="E56" s="8"/>
      <c r="F56" s="16"/>
      <c r="G56" s="17"/>
      <c r="I56" s="27"/>
      <c r="J56" s="32"/>
      <c r="K56" s="26"/>
      <c r="L56" s="26"/>
      <c r="M56" s="18"/>
      <c r="N56" s="18"/>
      <c r="O56" s="33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8"/>
      <c r="C57" s="15"/>
      <c r="D57" s="15"/>
      <c r="E57" s="8"/>
      <c r="F57" s="16"/>
      <c r="G57" s="17"/>
      <c r="I57" s="27"/>
      <c r="J57" s="32"/>
      <c r="K57" s="26"/>
      <c r="L57" s="26"/>
      <c r="M57" s="18"/>
      <c r="N57" s="18"/>
      <c r="O57" s="33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8"/>
      <c r="C58" s="15"/>
      <c r="D58" s="15"/>
      <c r="E58" s="8"/>
      <c r="F58" s="16"/>
      <c r="G58" s="17"/>
      <c r="I58" s="27"/>
      <c r="J58" s="32"/>
      <c r="K58" s="26"/>
      <c r="L58" s="26"/>
      <c r="M58" s="18"/>
      <c r="N58" s="18"/>
      <c r="O58" s="33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15"/>
      <c r="D59" s="15"/>
      <c r="E59" s="8"/>
      <c r="F59" s="16"/>
      <c r="G59" s="17"/>
      <c r="I59" s="27"/>
      <c r="J59" s="32"/>
      <c r="K59" s="26"/>
      <c r="L59" s="26"/>
      <c r="M59" s="18"/>
      <c r="N59" s="18"/>
      <c r="O59" s="33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15"/>
      <c r="D60" s="15"/>
      <c r="E60" s="8"/>
      <c r="F60" s="16"/>
      <c r="G60" s="17"/>
      <c r="I60" s="27"/>
      <c r="J60" s="32"/>
      <c r="K60" s="26"/>
      <c r="L60" s="26"/>
      <c r="M60" s="18"/>
      <c r="N60" s="18"/>
      <c r="O60" s="33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15"/>
      <c r="D61" s="15"/>
      <c r="E61" s="8"/>
      <c r="F61" s="16"/>
      <c r="G61" s="17"/>
      <c r="I61" s="27"/>
      <c r="J61" s="32"/>
      <c r="K61" s="26"/>
      <c r="L61" s="26"/>
      <c r="M61" s="18"/>
      <c r="N61" s="18"/>
      <c r="O61" s="33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15"/>
      <c r="D62" s="15"/>
      <c r="E62" s="8"/>
      <c r="F62" s="16"/>
      <c r="G62" s="17"/>
      <c r="I62" s="27"/>
      <c r="J62" s="32"/>
      <c r="K62" s="26"/>
      <c r="L62" s="26"/>
      <c r="M62" s="18"/>
      <c r="N62" s="18"/>
      <c r="O62" s="33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15"/>
      <c r="D63" s="15"/>
      <c r="E63" s="8"/>
      <c r="F63" s="16"/>
      <c r="G63" s="17"/>
      <c r="I63" s="27"/>
      <c r="J63" s="32"/>
      <c r="K63" s="26"/>
      <c r="L63" s="26"/>
      <c r="M63" s="18"/>
      <c r="N63" s="18"/>
      <c r="O63" s="33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8"/>
      <c r="C64" s="15"/>
      <c r="D64" s="15"/>
      <c r="E64" s="8"/>
      <c r="F64" s="16"/>
      <c r="G64" s="17"/>
      <c r="I64" s="27"/>
      <c r="J64" s="32"/>
      <c r="K64" s="26"/>
      <c r="L64" s="26"/>
      <c r="M64" s="18"/>
      <c r="N64" s="18"/>
      <c r="O64" s="33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8"/>
      <c r="C65" s="15"/>
      <c r="D65" s="15"/>
      <c r="E65" s="8"/>
      <c r="F65" s="16"/>
      <c r="G65" s="17"/>
      <c r="I65" s="27"/>
      <c r="J65" s="32"/>
      <c r="K65" s="51"/>
      <c r="L65" s="26"/>
      <c r="M65" s="18"/>
      <c r="N65" s="18"/>
      <c r="O65" s="33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8"/>
      <c r="C66" s="15"/>
      <c r="D66" s="15"/>
      <c r="E66" s="8"/>
      <c r="F66" s="16"/>
      <c r="G66" s="17"/>
      <c r="I66" s="27"/>
      <c r="J66" s="32"/>
      <c r="K66" s="51"/>
      <c r="L66" s="26"/>
      <c r="M66" s="18"/>
      <c r="N66" s="18"/>
      <c r="O66" s="33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8"/>
      <c r="C67" s="15"/>
      <c r="D67" s="15"/>
      <c r="E67" s="8"/>
      <c r="F67" s="16"/>
      <c r="G67" s="17"/>
      <c r="I67" s="27"/>
      <c r="J67" s="32"/>
      <c r="K67" s="51"/>
      <c r="L67" s="26"/>
      <c r="M67" s="18"/>
      <c r="N67" s="18"/>
      <c r="O67" s="33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8"/>
      <c r="C68" s="15"/>
      <c r="D68" s="15"/>
      <c r="E68" s="8"/>
      <c r="F68" s="16"/>
      <c r="G68" s="17"/>
      <c r="I68" s="27"/>
      <c r="J68" s="32"/>
      <c r="K68" s="51"/>
      <c r="L68" s="26"/>
      <c r="M68" s="18"/>
      <c r="N68" s="18"/>
      <c r="O68" s="33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8"/>
      <c r="C69" s="15"/>
      <c r="D69" s="15"/>
      <c r="E69" s="8"/>
      <c r="F69" s="16"/>
      <c r="G69" s="17"/>
      <c r="I69" s="27"/>
      <c r="J69" s="32"/>
      <c r="K69" s="51"/>
      <c r="L69" s="26"/>
      <c r="M69" s="18"/>
      <c r="N69" s="18"/>
      <c r="O69" s="33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8"/>
      <c r="C70" s="15"/>
      <c r="D70" s="15"/>
      <c r="E70" s="8"/>
      <c r="F70" s="16"/>
      <c r="G70" s="17"/>
      <c r="I70" s="27"/>
      <c r="J70" s="32"/>
      <c r="K70" s="51"/>
      <c r="L70" s="26"/>
      <c r="M70" s="18"/>
      <c r="N70" s="18"/>
      <c r="O70" s="33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8"/>
      <c r="C71" s="15"/>
      <c r="D71" s="15"/>
      <c r="E71" s="8"/>
      <c r="F71" s="16"/>
      <c r="G71" s="17"/>
      <c r="I71" s="27"/>
      <c r="J71" s="32"/>
      <c r="K71" s="51"/>
      <c r="L71" s="26"/>
      <c r="M71" s="18"/>
      <c r="N71" s="18"/>
      <c r="O71" s="33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34"/>
      <c r="C72" s="15"/>
      <c r="D72" s="15"/>
      <c r="E72" s="8"/>
      <c r="F72" s="16"/>
      <c r="G72" s="17"/>
      <c r="I72" s="27"/>
      <c r="J72" s="32"/>
      <c r="K72" s="26"/>
      <c r="L72" s="26"/>
      <c r="M72" s="18"/>
      <c r="N72" s="18"/>
      <c r="O72" s="33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34"/>
      <c r="C73" s="15"/>
      <c r="D73" s="15"/>
      <c r="E73" s="8"/>
      <c r="F73" s="16"/>
      <c r="G73" s="17"/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/>
      <c r="B74" s="34"/>
      <c r="C74" s="15"/>
      <c r="D74" s="15"/>
      <c r="E74" s="8"/>
      <c r="F74" s="16"/>
      <c r="G74" s="17"/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8"/>
      <c r="C75" s="15"/>
      <c r="D75" s="15"/>
      <c r="E75" s="8"/>
      <c r="F75" s="16"/>
      <c r="G75" s="17"/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8"/>
      <c r="C76" s="15"/>
      <c r="D76" s="15"/>
      <c r="E76" s="8"/>
      <c r="F76" s="16"/>
      <c r="G76" s="17"/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8"/>
      <c r="C77" s="15"/>
      <c r="D77" s="15"/>
      <c r="E77" s="8"/>
      <c r="F77" s="16"/>
      <c r="G77" s="17"/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8"/>
      <c r="C78" s="15"/>
      <c r="D78" s="15"/>
      <c r="E78" s="8"/>
      <c r="F78" s="16"/>
      <c r="G78" s="17"/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8"/>
      <c r="C79" s="15"/>
      <c r="D79" s="15"/>
      <c r="E79" s="8"/>
      <c r="F79" s="16"/>
      <c r="G79" s="17"/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8"/>
      <c r="C80" s="15"/>
      <c r="D80" s="15"/>
      <c r="E80" s="8"/>
      <c r="F80" s="16"/>
      <c r="G80" s="17"/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8"/>
      <c r="C81" s="15"/>
      <c r="D81" s="15"/>
      <c r="E81" s="8"/>
      <c r="F81" s="16"/>
      <c r="G81" s="17"/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8"/>
      <c r="C82" s="15"/>
      <c r="D82" s="15"/>
      <c r="E82" s="8"/>
      <c r="F82" s="16"/>
      <c r="G82" s="17"/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8"/>
      <c r="C83" s="15"/>
      <c r="D83" s="15"/>
      <c r="E83" s="8"/>
      <c r="F83" s="16"/>
      <c r="G83" s="17"/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8"/>
      <c r="C84" s="15"/>
      <c r="D84" s="15"/>
      <c r="E84" s="8"/>
      <c r="F84" s="16"/>
      <c r="G84" s="17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8"/>
      <c r="C85" s="15"/>
      <c r="D85" s="15"/>
      <c r="E85" s="8"/>
      <c r="F85" s="16"/>
      <c r="G85" s="17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8"/>
      <c r="C86" s="15"/>
      <c r="D86" s="15"/>
      <c r="E86" s="8"/>
      <c r="F86" s="16"/>
      <c r="G86" s="17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8"/>
      <c r="C87" s="15"/>
      <c r="D87" s="15"/>
      <c r="E87" s="8"/>
      <c r="F87" s="16"/>
      <c r="G87" s="17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8"/>
      <c r="C88" s="15"/>
      <c r="D88" s="15"/>
      <c r="E88" s="8"/>
      <c r="F88" s="16"/>
      <c r="G88" s="17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8"/>
      <c r="C89" s="15"/>
      <c r="D89" s="15"/>
      <c r="E89" s="8"/>
      <c r="F89" s="16"/>
      <c r="G89" s="17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8"/>
      <c r="C90" s="15"/>
      <c r="D90" s="15"/>
      <c r="E90" s="8"/>
      <c r="F90" s="16"/>
      <c r="G90" s="17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8"/>
      <c r="C91" s="15"/>
      <c r="D91" s="15"/>
      <c r="E91" s="8"/>
      <c r="F91" s="16"/>
      <c r="G91" s="17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34"/>
      <c r="C92" s="15"/>
      <c r="D92" s="15"/>
      <c r="E92" s="8"/>
      <c r="F92" s="16"/>
      <c r="G92" s="17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34"/>
      <c r="C93" s="15"/>
      <c r="D93" s="15"/>
      <c r="E93" s="8"/>
      <c r="F93" s="16"/>
      <c r="G93" s="17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34"/>
      <c r="C94" s="15"/>
      <c r="D94" s="15"/>
      <c r="E94" s="8"/>
      <c r="F94" s="16"/>
      <c r="G94" s="17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34"/>
      <c r="C95" s="15"/>
      <c r="D95" s="15"/>
      <c r="E95" s="8"/>
      <c r="F95" s="16"/>
      <c r="G95" s="17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8"/>
      <c r="C96" s="15"/>
      <c r="D96" s="15"/>
      <c r="E96" s="8"/>
      <c r="F96" s="16"/>
      <c r="G96" s="17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8"/>
      <c r="C97" s="15"/>
      <c r="D97" s="15"/>
      <c r="E97" s="8"/>
      <c r="F97" s="16"/>
      <c r="G97" s="17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8"/>
      <c r="C98" s="15"/>
      <c r="D98" s="15"/>
      <c r="E98" s="8"/>
      <c r="F98" s="16"/>
      <c r="G98" s="17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8"/>
      <c r="C99" s="15"/>
      <c r="D99" s="15"/>
      <c r="E99" s="8"/>
      <c r="F99" s="16"/>
      <c r="G99" s="17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8"/>
      <c r="C100" s="15"/>
      <c r="D100" s="15"/>
      <c r="E100" s="8"/>
      <c r="F100" s="16"/>
      <c r="G100" s="17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8"/>
      <c r="C101" s="15"/>
      <c r="D101" s="15"/>
      <c r="E101" s="8"/>
      <c r="F101" s="16"/>
      <c r="G101" s="17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8"/>
      <c r="C102" s="15"/>
      <c r="D102" s="15"/>
      <c r="E102" s="8"/>
      <c r="F102" s="16"/>
      <c r="G102" s="17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8"/>
      <c r="C103" s="15"/>
      <c r="D103" s="15"/>
      <c r="E103" s="8"/>
      <c r="F103" s="16"/>
      <c r="G103" s="17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8"/>
      <c r="C104" s="15"/>
      <c r="D104" s="15"/>
      <c r="E104" s="8"/>
      <c r="F104" s="16"/>
      <c r="G104" s="17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8"/>
      <c r="C105" s="15"/>
      <c r="D105" s="15"/>
      <c r="E105" s="8"/>
      <c r="F105" s="16"/>
      <c r="G105" s="17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8"/>
      <c r="C106" s="15"/>
      <c r="D106" s="15"/>
      <c r="E106" s="8"/>
      <c r="F106" s="16"/>
      <c r="G106" s="17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40"/>
      <c r="J156" s="41"/>
      <c r="K156" s="52"/>
      <c r="L156" s="42"/>
      <c r="M156" s="43"/>
      <c r="N156" s="43"/>
      <c r="O156" s="44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40"/>
      <c r="J157" s="41"/>
      <c r="K157" s="52"/>
      <c r="L157" s="42"/>
      <c r="M157" s="43"/>
      <c r="N157" s="43"/>
      <c r="O157" s="44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40"/>
      <c r="J158" s="41"/>
      <c r="K158" s="52"/>
      <c r="L158" s="42"/>
      <c r="M158" s="43"/>
      <c r="N158" s="43"/>
      <c r="O158" s="44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40"/>
      <c r="J159" s="41"/>
      <c r="K159" s="52"/>
      <c r="L159" s="42"/>
      <c r="M159" s="43"/>
      <c r="N159" s="43"/>
      <c r="O159" s="44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40"/>
      <c r="J160" s="41"/>
      <c r="K160" s="52"/>
      <c r="L160" s="42"/>
      <c r="M160" s="43"/>
      <c r="N160" s="43"/>
      <c r="O160" s="44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40"/>
      <c r="J161" s="41"/>
      <c r="K161" s="42"/>
      <c r="L161" s="42"/>
      <c r="M161" s="43"/>
      <c r="N161" s="43"/>
      <c r="O161" s="44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40"/>
      <c r="J162" s="41"/>
      <c r="K162" s="42"/>
      <c r="L162" s="42"/>
      <c r="M162" s="43"/>
      <c r="N162" s="43"/>
      <c r="O162" s="44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40"/>
      <c r="J163" s="41"/>
      <c r="K163" s="42"/>
      <c r="L163" s="42"/>
      <c r="M163" s="43"/>
      <c r="N163" s="43"/>
      <c r="O163" s="44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40"/>
      <c r="J164" s="41"/>
      <c r="K164" s="42"/>
      <c r="L164" s="42"/>
      <c r="M164" s="43"/>
      <c r="N164" s="43"/>
      <c r="O164" s="44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40"/>
      <c r="J165" s="41"/>
      <c r="K165" s="42"/>
      <c r="L165" s="42"/>
      <c r="M165" s="43"/>
      <c r="N165" s="43"/>
      <c r="O165" s="44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40"/>
      <c r="J166" s="41"/>
      <c r="K166" s="42"/>
      <c r="L166" s="42"/>
      <c r="M166" s="43"/>
      <c r="N166" s="43"/>
      <c r="O166" s="44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40"/>
      <c r="J167" s="41"/>
      <c r="K167" s="42"/>
      <c r="L167" s="42"/>
      <c r="M167" s="43"/>
      <c r="N167" s="43"/>
      <c r="O167" s="44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40"/>
      <c r="J168" s="41"/>
      <c r="K168" s="52"/>
      <c r="L168" s="42"/>
      <c r="M168" s="43"/>
      <c r="N168" s="43"/>
      <c r="O168" s="44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40"/>
      <c r="J169" s="41"/>
      <c r="K169" s="52"/>
      <c r="L169" s="42"/>
      <c r="M169" s="43"/>
      <c r="N169" s="43"/>
      <c r="O169" s="44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40"/>
      <c r="J170" s="41"/>
      <c r="K170" s="52"/>
      <c r="L170" s="42"/>
      <c r="M170" s="43"/>
      <c r="N170" s="43"/>
      <c r="O170" s="44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40"/>
      <c r="J171" s="41"/>
      <c r="K171" s="52"/>
      <c r="L171" s="42"/>
      <c r="M171" s="43"/>
      <c r="N171" s="43"/>
      <c r="O171" s="44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40"/>
      <c r="J172" s="41"/>
      <c r="K172" s="52"/>
      <c r="L172" s="42"/>
      <c r="M172" s="43"/>
      <c r="N172" s="43"/>
      <c r="O172" s="44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40"/>
      <c r="J173" s="41"/>
      <c r="K173" s="52"/>
      <c r="L173" s="42"/>
      <c r="M173" s="43"/>
      <c r="N173" s="43"/>
      <c r="O173" s="44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40"/>
      <c r="J174" s="41"/>
      <c r="K174" s="52"/>
      <c r="L174" s="42"/>
      <c r="M174" s="43"/>
      <c r="N174" s="43"/>
      <c r="O174" s="44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40"/>
      <c r="J175" s="41"/>
      <c r="K175" s="52"/>
      <c r="L175" s="42"/>
      <c r="M175" s="43"/>
      <c r="N175" s="43"/>
      <c r="O175" s="44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40"/>
      <c r="J176" s="41"/>
      <c r="K176" s="52"/>
      <c r="L176" s="42"/>
      <c r="M176" s="43"/>
      <c r="N176" s="43"/>
      <c r="O176" s="44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40"/>
      <c r="J177" s="41"/>
      <c r="K177" s="52"/>
      <c r="L177" s="42"/>
      <c r="M177" s="43"/>
      <c r="N177" s="43"/>
      <c r="O177" s="44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40"/>
      <c r="J178" s="41"/>
      <c r="K178" s="52"/>
      <c r="L178" s="42"/>
      <c r="M178" s="43"/>
      <c r="N178" s="43"/>
      <c r="O178" s="44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40"/>
      <c r="J179" s="41"/>
      <c r="K179" s="52"/>
      <c r="L179" s="42"/>
      <c r="M179" s="43"/>
      <c r="N179" s="43"/>
      <c r="O179" s="44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40"/>
      <c r="J180" s="41"/>
      <c r="K180" s="52"/>
      <c r="L180" s="42"/>
      <c r="M180" s="43"/>
      <c r="N180" s="43"/>
      <c r="O180" s="44"/>
      <c r="P180" s="24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4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4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4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4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4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4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4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4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4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4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4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4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4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4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4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4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4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4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4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4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4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4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4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4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4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4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4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4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4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4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4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4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4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4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4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4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4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4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4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4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4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4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4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4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4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4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4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4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4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4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4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4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4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4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4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4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4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4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4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4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4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4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4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4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4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4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4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4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4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4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4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4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4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4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4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4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4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4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4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4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4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4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4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4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4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4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4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4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4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4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4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4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4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4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4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4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4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4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4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4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4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4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4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4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4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4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4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4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4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4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4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4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4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4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4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4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4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4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4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4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4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4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4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4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4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4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4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4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4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4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4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4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4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4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4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4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4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2">
        <f>sum(D:D)</f>
        <v>248199.68</v>
      </c>
    </row>
    <row r="4"/>
    <row r="5"/>
    <row r="6"/>
    <row r="7"/>
    <row r="8"/>
    <row r="9"/>
    <row r="10"/>
    <row r="11"/>
    <row r="12"/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40</v>
      </c>
      <c r="I1" s="75">
        <f>countifs(B:B,"&lt;&gt;",F:F,"&lt;&gt;")-1</f>
        <v>10</v>
      </c>
      <c r="K1" s="6" t="s">
        <v>41</v>
      </c>
      <c r="L1" s="6" t="s">
        <v>42</v>
      </c>
      <c r="M1" s="6" t="s">
        <v>13</v>
      </c>
    </row>
    <row r="2">
      <c r="H2" s="74" t="s">
        <v>43</v>
      </c>
      <c r="I2" s="75">
        <f t="array" ref="I2">(COUNTA(UNIQUE(C:C))-1)</f>
        <v>10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  <c r="N2" s="77"/>
    </row>
    <row r="3">
      <c r="H3" s="74" t="s">
        <v>44</v>
      </c>
      <c r="I3" s="75">
        <f>sum(F:F)</f>
        <v>248199.68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6.75</v>
      </c>
      <c r="M4" s="75">
        <f t="shared" si="2"/>
        <v>90799.83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0.25</v>
      </c>
      <c r="M5" s="75">
        <f t="shared" si="2"/>
        <v>3399.99</v>
      </c>
      <c r="N5" s="77"/>
    </row>
    <row r="6">
      <c r="K6" s="76" t="str">
        <f>'Internal Summary'!B44</f>
        <v>500ml Fabfresh sweetened Yoghurt (12x)</v>
      </c>
      <c r="L6" s="75">
        <f t="shared" si="1"/>
        <v>7</v>
      </c>
      <c r="M6" s="75">
        <f t="shared" si="2"/>
        <v>153999.86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5"/>
    <row r="26"/>
    <row r="27">
      <c r="H27" s="79"/>
      <c r="I27" s="79"/>
      <c r="L27" s="72"/>
      <c r="M27" s="72"/>
    </row>
    <row r="28"/>
    <row r="29"/>
    <row r="30">
      <c r="H30" s="79"/>
      <c r="I30" s="79"/>
      <c r="L30" s="72"/>
      <c r="M30" s="72"/>
    </row>
    <row r="31"/>
    <row r="32"/>
    <row r="33">
      <c r="H33" s="79"/>
      <c r="I33" s="79"/>
      <c r="L33" s="72"/>
      <c r="M33" s="72"/>
    </row>
    <row r="36">
      <c r="H36" s="79"/>
      <c r="I36" s="79"/>
      <c r="L36" s="72"/>
      <c r="M36" s="72"/>
    </row>
    <row r="39">
      <c r="H39" s="79"/>
      <c r="I39" s="79"/>
      <c r="L39" s="72"/>
      <c r="M39" s="72"/>
    </row>
    <row r="42">
      <c r="H42" s="79"/>
      <c r="I42" s="79"/>
      <c r="L42" s="72"/>
      <c r="M42" s="72"/>
    </row>
    <row r="45">
      <c r="H45" s="79"/>
      <c r="I45" s="79"/>
      <c r="L45" s="72"/>
      <c r="M45" s="72"/>
    </row>
    <row r="48">
      <c r="H48" s="79"/>
      <c r="I48" s="79"/>
      <c r="L48" s="72"/>
      <c r="M48" s="72"/>
    </row>
    <row r="51">
      <c r="H51" s="79"/>
      <c r="I51" s="79"/>
      <c r="L51" s="72"/>
      <c r="M51" s="72"/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40</v>
      </c>
      <c r="I1" s="75">
        <f>countifs(B:B,"&lt;&gt;",F:F,"&lt;&gt;")-1</f>
        <v>0</v>
      </c>
      <c r="K1" s="82" t="s">
        <v>41</v>
      </c>
      <c r="L1" s="82" t="s">
        <v>42</v>
      </c>
      <c r="M1" s="82" t="s">
        <v>13</v>
      </c>
    </row>
    <row r="2">
      <c r="H2" s="74" t="s">
        <v>43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44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40</v>
      </c>
      <c r="I1" s="75">
        <f>countifs(B:B,"&lt;&gt;",F:F,"&lt;&gt;")-1</f>
        <v>0</v>
      </c>
      <c r="K1" s="82" t="s">
        <v>41</v>
      </c>
      <c r="L1" s="82" t="s">
        <v>45</v>
      </c>
      <c r="M1" s="82" t="s">
        <v>13</v>
      </c>
    </row>
    <row r="2">
      <c r="H2" s="74" t="s">
        <v>43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44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40</v>
      </c>
      <c r="I1" s="75">
        <f>countifs(B:B,"&lt;&gt;",F:F,"&lt;&gt;")-1</f>
        <v>0</v>
      </c>
      <c r="K1" s="82" t="s">
        <v>41</v>
      </c>
      <c r="L1" s="82" t="s">
        <v>42</v>
      </c>
    </row>
    <row r="2">
      <c r="H2" s="74" t="s">
        <v>43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44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8">
      <c r="K18" s="76" t="str">
        <f>'Internal Summary'!B56</f>
        <v/>
      </c>
      <c r="L18" s="75">
        <f>sumif(D:D,K18,E:E)</f>
        <v>0</v>
      </c>
    </row>
    <row r="21">
      <c r="K21" s="76" t="str">
        <f>'Internal Summary'!B59</f>
        <v/>
      </c>
      <c r="L21" s="75">
        <f>sumif(D:D,K21,E:E)</f>
        <v>0</v>
      </c>
    </row>
    <row r="24">
      <c r="K24" s="76" t="str">
        <f>'Internal Summary'!B62</f>
        <v/>
      </c>
      <c r="L24" s="75">
        <f>sumif(D:D,K24,E:E)</f>
        <v>0</v>
      </c>
    </row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40</v>
      </c>
      <c r="I1" s="75">
        <f>countifs(B:B,"&lt;&gt;",F:F,"&lt;&gt;")-1</f>
        <v>0</v>
      </c>
      <c r="K1" s="82" t="s">
        <v>41</v>
      </c>
      <c r="L1" s="82" t="s">
        <v>42</v>
      </c>
    </row>
    <row r="2">
      <c r="H2" s="74" t="s">
        <v>43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44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46</v>
      </c>
      <c r="C1" s="74" t="s">
        <v>42</v>
      </c>
      <c r="D1" s="74" t="s">
        <v>47</v>
      </c>
      <c r="E1" s="74" t="s">
        <v>48</v>
      </c>
      <c r="F1" s="84"/>
    </row>
    <row r="2">
      <c r="A2" s="85" t="s">
        <v>49</v>
      </c>
      <c r="B2" s="86" t="s">
        <v>40</v>
      </c>
      <c r="C2" s="87"/>
      <c r="D2" s="87"/>
      <c r="E2" s="88">
        <f>'Dala Sales &amp; Deliveries'!I1+'External Delivery Fulfillment'!I1</f>
        <v>10</v>
      </c>
      <c r="F2" s="84"/>
    </row>
    <row r="3">
      <c r="A3" s="89"/>
      <c r="B3" s="86" t="s">
        <v>50</v>
      </c>
      <c r="C3" s="87"/>
      <c r="D3" s="87"/>
      <c r="E3" s="88">
        <f>'Raw Data'!AX2</f>
        <v>8</v>
      </c>
      <c r="F3" s="84"/>
    </row>
    <row r="4">
      <c r="B4" s="90" t="s">
        <v>51</v>
      </c>
      <c r="C4" s="84"/>
      <c r="D4" s="84"/>
      <c r="E4" s="91">
        <f>'Dala Sales &amp; Deliveries'!I3</f>
        <v>248199.68</v>
      </c>
      <c r="F4" s="84"/>
    </row>
    <row r="5">
      <c r="B5" s="90" t="s">
        <v>52</v>
      </c>
      <c r="C5" s="84"/>
      <c r="D5" s="84"/>
      <c r="E5" s="91"/>
      <c r="F5" s="84"/>
    </row>
    <row r="6">
      <c r="A6" s="92"/>
      <c r="B6" s="93" t="s">
        <v>53</v>
      </c>
      <c r="C6" s="94"/>
      <c r="D6" s="95"/>
      <c r="E6" s="96">
        <f>sum(E4:E5)</f>
        <v>248199.68</v>
      </c>
      <c r="F6" s="84"/>
    </row>
    <row r="7">
      <c r="A7" s="85" t="s">
        <v>54</v>
      </c>
      <c r="B7" s="86" t="s">
        <v>55</v>
      </c>
      <c r="C7" s="87"/>
      <c r="D7" s="97"/>
      <c r="E7" s="98">
        <v>0.0</v>
      </c>
    </row>
    <row r="8">
      <c r="A8" s="92"/>
      <c r="B8" s="93" t="s">
        <v>56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57</v>
      </c>
      <c r="B9" s="93" t="s">
        <v>58</v>
      </c>
      <c r="C9" s="94"/>
      <c r="D9" s="95"/>
      <c r="E9" s="96">
        <f>E6-E7-E8</f>
        <v>248199.68</v>
      </c>
    </row>
    <row r="10">
      <c r="A10" s="85" t="s">
        <v>59</v>
      </c>
      <c r="B10" s="86" t="s">
        <v>60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56</v>
      </c>
      <c r="C11" s="104"/>
      <c r="D11" s="97"/>
      <c r="E11" s="103">
        <f>E9*C8</f>
        <v>42193.9456</v>
      </c>
    </row>
    <row r="12">
      <c r="A12" s="89"/>
      <c r="B12" s="105" t="s">
        <v>61</v>
      </c>
      <c r="C12" s="97"/>
      <c r="D12" s="106"/>
      <c r="E12" s="103">
        <f>C26</f>
        <v>12320</v>
      </c>
    </row>
    <row r="13">
      <c r="A13" s="89"/>
      <c r="B13" s="105" t="s">
        <v>62</v>
      </c>
      <c r="C13" s="87"/>
      <c r="D13" s="106" t="s">
        <v>63</v>
      </c>
      <c r="E13" s="103">
        <f>C28+C22</f>
        <v>0</v>
      </c>
    </row>
    <row r="14">
      <c r="A14" s="89"/>
      <c r="B14" s="86" t="s">
        <v>64</v>
      </c>
      <c r="C14" s="97"/>
      <c r="D14" s="97"/>
      <c r="E14" s="98">
        <v>0.0</v>
      </c>
    </row>
    <row r="15">
      <c r="A15" s="89"/>
      <c r="B15" s="86" t="s">
        <v>65</v>
      </c>
      <c r="C15" s="97"/>
      <c r="D15" s="97"/>
      <c r="E15" s="103">
        <f>C30</f>
        <v>0</v>
      </c>
    </row>
    <row r="16">
      <c r="A16" s="92"/>
      <c r="B16" s="93" t="s">
        <v>66</v>
      </c>
      <c r="C16" s="95"/>
      <c r="D16" s="95"/>
      <c r="E16" s="96">
        <f>sum(E10:E15)</f>
        <v>54513.9456</v>
      </c>
      <c r="H16" s="1"/>
      <c r="I16" s="1"/>
    </row>
    <row r="17">
      <c r="A17" s="100" t="s">
        <v>67</v>
      </c>
      <c r="B17" s="93" t="s">
        <v>68</v>
      </c>
      <c r="C17" s="95"/>
      <c r="D17" s="95"/>
      <c r="E17" s="96">
        <f>E9-E16+C36</f>
        <v>193685.7344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69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70</v>
      </c>
      <c r="C21" s="110">
        <f>U69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71</v>
      </c>
      <c r="C22" s="110">
        <f>V69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72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73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74</v>
      </c>
      <c r="C25" s="110">
        <v>0.0</v>
      </c>
      <c r="H25" s="1"/>
      <c r="I25" s="1"/>
    </row>
    <row r="26">
      <c r="A26" s="109"/>
      <c r="B26" s="74" t="s">
        <v>75</v>
      </c>
      <c r="C26" s="113">
        <f>P69</f>
        <v>12320</v>
      </c>
      <c r="H26" s="1"/>
      <c r="I26" s="1"/>
    </row>
    <row r="27">
      <c r="A27" s="109"/>
      <c r="B27" s="74" t="s">
        <v>76</v>
      </c>
      <c r="C27" s="75">
        <f>Q69</f>
        <v>0</v>
      </c>
      <c r="H27" s="1"/>
      <c r="I27" s="1"/>
    </row>
    <row r="28">
      <c r="A28" s="109"/>
      <c r="B28" s="74" t="s">
        <v>77</v>
      </c>
      <c r="C28" s="75">
        <f>'External Delivery Fulfillment'!I2*7%</f>
        <v>0</v>
      </c>
      <c r="H28" s="1"/>
      <c r="I28" s="1"/>
    </row>
    <row r="29">
      <c r="A29" s="109"/>
      <c r="B29" s="74" t="s">
        <v>78</v>
      </c>
      <c r="C29" s="110">
        <f>F69</f>
        <v>0</v>
      </c>
      <c r="D29" s="1"/>
      <c r="H29" s="1"/>
      <c r="I29" s="1"/>
    </row>
    <row r="30">
      <c r="A30" s="109"/>
      <c r="B30" s="74" t="s">
        <v>79</v>
      </c>
      <c r="C30" s="110">
        <v>0.0</v>
      </c>
      <c r="D30" s="1"/>
      <c r="H30" s="1"/>
      <c r="I30" s="1"/>
    </row>
    <row r="31">
      <c r="A31" s="109"/>
      <c r="B31" s="74" t="s">
        <v>80</v>
      </c>
      <c r="C31" s="110">
        <f>I69</f>
        <v>0</v>
      </c>
      <c r="D31" s="109"/>
      <c r="H31" s="1"/>
      <c r="I31" s="1"/>
    </row>
    <row r="32">
      <c r="A32" s="109"/>
      <c r="B32" s="74" t="s">
        <v>81</v>
      </c>
      <c r="C32" s="110">
        <v>0.0</v>
      </c>
      <c r="D32" s="109"/>
      <c r="H32" s="1"/>
      <c r="I32" s="1"/>
    </row>
    <row r="33">
      <c r="B33" s="74" t="s">
        <v>82</v>
      </c>
      <c r="C33" s="110">
        <f>L69</f>
        <v>26.1</v>
      </c>
    </row>
    <row r="34">
      <c r="B34" s="74" t="s">
        <v>83</v>
      </c>
      <c r="C34" s="75">
        <f>K69</f>
        <v>26.1</v>
      </c>
    </row>
    <row r="35">
      <c r="B35" s="74" t="s">
        <v>84</v>
      </c>
      <c r="C35" s="110">
        <v>0.0</v>
      </c>
    </row>
    <row r="36">
      <c r="B36" s="74" t="s">
        <v>85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86</v>
      </c>
      <c r="C39" s="74" t="s">
        <v>87</v>
      </c>
      <c r="D39" s="74" t="s">
        <v>88</v>
      </c>
      <c r="E39" s="74" t="s">
        <v>89</v>
      </c>
      <c r="F39" s="82" t="s">
        <v>90</v>
      </c>
      <c r="G39" s="82" t="s">
        <v>91</v>
      </c>
      <c r="H39" s="82" t="s">
        <v>92</v>
      </c>
      <c r="I39" s="82" t="s">
        <v>93</v>
      </c>
      <c r="J39" s="82" t="s">
        <v>94</v>
      </c>
      <c r="K39" s="82" t="s">
        <v>95</v>
      </c>
      <c r="L39" s="82" t="s">
        <v>82</v>
      </c>
      <c r="M39" s="82" t="s">
        <v>84</v>
      </c>
      <c r="N39" s="82" t="s">
        <v>96</v>
      </c>
      <c r="O39" s="82" t="s">
        <v>97</v>
      </c>
      <c r="P39" s="82" t="s">
        <v>98</v>
      </c>
      <c r="Q39" s="82" t="s">
        <v>99</v>
      </c>
      <c r="R39" s="82" t="s">
        <v>100</v>
      </c>
      <c r="S39" s="82" t="s">
        <v>101</v>
      </c>
      <c r="T39" s="82" t="s">
        <v>73</v>
      </c>
      <c r="U39" s="82" t="s">
        <v>102</v>
      </c>
      <c r="V39" s="82" t="s">
        <v>103</v>
      </c>
      <c r="W39" s="82" t="s">
        <v>104</v>
      </c>
    </row>
    <row r="40">
      <c r="B40" s="114" t="s">
        <v>105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>
        <v>0.1</v>
      </c>
      <c r="L40" s="113">
        <v>0.1</v>
      </c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0</v>
      </c>
      <c r="P40" s="75">
        <f t="shared" ref="P40:P68" si="5">O40*E40</f>
        <v>0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0</v>
      </c>
      <c r="V40" s="75">
        <f t="shared" ref="V40:V68" si="8">U40*D40</f>
        <v>0</v>
      </c>
      <c r="W40" s="75">
        <f>'Client Restocking'!L2</f>
        <v>0</v>
      </c>
    </row>
    <row r="41">
      <c r="B41" s="117" t="s">
        <v>106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>
        <v>2.0</v>
      </c>
      <c r="L41" s="113">
        <v>2.0</v>
      </c>
      <c r="M41" s="75">
        <f t="shared" si="3"/>
        <v>0</v>
      </c>
      <c r="N41" s="75">
        <f t="shared" si="4"/>
        <v>0</v>
      </c>
      <c r="O41" s="75">
        <f>'Dala Sales &amp; Deliveries'!L3</f>
        <v>0</v>
      </c>
      <c r="P41" s="75">
        <f t="shared" si="5"/>
        <v>0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0</v>
      </c>
      <c r="V41" s="75">
        <f t="shared" si="8"/>
        <v>0</v>
      </c>
      <c r="W41" s="75">
        <f>'Client Restocking'!L3</f>
        <v>0</v>
      </c>
    </row>
    <row r="42">
      <c r="B42" s="117" t="s">
        <v>15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>
        <v>9.0</v>
      </c>
      <c r="L42" s="113">
        <v>9.0</v>
      </c>
      <c r="M42" s="75">
        <f t="shared" si="3"/>
        <v>0</v>
      </c>
      <c r="N42" s="75">
        <f t="shared" si="4"/>
        <v>0</v>
      </c>
      <c r="O42" s="75">
        <f>'Dala Sales &amp; Deliveries'!L4</f>
        <v>6.75</v>
      </c>
      <c r="P42" s="75">
        <f t="shared" si="5"/>
        <v>4455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0</v>
      </c>
      <c r="V42" s="75">
        <f t="shared" si="8"/>
        <v>0</v>
      </c>
      <c r="W42" s="75">
        <f>'Client Restocking'!L4</f>
        <v>0</v>
      </c>
    </row>
    <row r="43">
      <c r="B43" s="117" t="s">
        <v>33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>
        <v>5.0</v>
      </c>
      <c r="L43" s="113">
        <v>5.0</v>
      </c>
      <c r="M43" s="75">
        <f t="shared" si="3"/>
        <v>0</v>
      </c>
      <c r="N43" s="75">
        <f t="shared" si="4"/>
        <v>0</v>
      </c>
      <c r="O43" s="75">
        <f>'Dala Sales &amp; Deliveries'!L5</f>
        <v>0.25</v>
      </c>
      <c r="P43" s="75">
        <f t="shared" si="5"/>
        <v>165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0</v>
      </c>
      <c r="V43" s="75">
        <f t="shared" si="8"/>
        <v>0</v>
      </c>
      <c r="W43" s="75">
        <f>'Client Restocking'!L5</f>
        <v>0</v>
      </c>
    </row>
    <row r="44">
      <c r="B44" s="117" t="s">
        <v>34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>
        <v>1.0</v>
      </c>
      <c r="L44" s="113">
        <v>1.0</v>
      </c>
      <c r="M44" s="75">
        <f t="shared" si="3"/>
        <v>0</v>
      </c>
      <c r="N44" s="75">
        <f t="shared" si="4"/>
        <v>0</v>
      </c>
      <c r="O44" s="75">
        <f>'Dala Sales &amp; Deliveries'!L6</f>
        <v>7</v>
      </c>
      <c r="P44" s="75">
        <f t="shared" si="5"/>
        <v>7700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0</v>
      </c>
      <c r="V44" s="75">
        <f t="shared" si="8"/>
        <v>0</v>
      </c>
      <c r="W44" s="75">
        <f>'Client Restocking'!L6</f>
        <v>0</v>
      </c>
    </row>
    <row r="45">
      <c r="B45" s="117" t="s">
        <v>107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>
        <v>4.0</v>
      </c>
      <c r="L45" s="113">
        <v>4.0</v>
      </c>
      <c r="M45" s="75">
        <f t="shared" si="3"/>
        <v>0</v>
      </c>
      <c r="N45" s="75">
        <f t="shared" si="4"/>
        <v>0</v>
      </c>
      <c r="O45" s="75">
        <f>'Dala Sales &amp; Deliveries'!L7</f>
        <v>0</v>
      </c>
      <c r="P45" s="75">
        <f t="shared" si="5"/>
        <v>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0</v>
      </c>
      <c r="V45" s="75">
        <f t="shared" si="8"/>
        <v>0</v>
      </c>
      <c r="W45" s="75">
        <f>'Client Restocking'!L7</f>
        <v>0</v>
      </c>
    </row>
    <row r="46">
      <c r="B46" s="117" t="s">
        <v>108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>
        <v>1.0</v>
      </c>
      <c r="L46" s="113">
        <v>1.0</v>
      </c>
      <c r="M46" s="75">
        <f t="shared" si="3"/>
        <v>0</v>
      </c>
      <c r="N46" s="75">
        <f t="shared" si="4"/>
        <v>0</v>
      </c>
      <c r="O46" s="75">
        <f>'Dala Sales &amp; Deliveries'!L8</f>
        <v>0</v>
      </c>
      <c r="P46" s="75">
        <f t="shared" si="5"/>
        <v>0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0</v>
      </c>
      <c r="V46" s="75">
        <f t="shared" si="8"/>
        <v>0</v>
      </c>
      <c r="W46" s="75">
        <f>'Client Restocking'!L8</f>
        <v>0</v>
      </c>
    </row>
    <row r="47">
      <c r="B47" s="117" t="s">
        <v>109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>
        <v>4.0</v>
      </c>
      <c r="L47" s="113">
        <v>4.0</v>
      </c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110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26.1</v>
      </c>
      <c r="L69" s="121">
        <f t="shared" si="10"/>
        <v>26.1</v>
      </c>
      <c r="M69" s="121">
        <f t="shared" si="10"/>
        <v>0</v>
      </c>
      <c r="N69" s="121">
        <f t="shared" si="10"/>
        <v>0</v>
      </c>
      <c r="O69" s="121">
        <f t="shared" si="10"/>
        <v>14</v>
      </c>
      <c r="P69" s="121">
        <f t="shared" si="10"/>
        <v>12320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0</v>
      </c>
      <c r="V69" s="75">
        <f t="shared" si="10"/>
        <v>0</v>
      </c>
      <c r="W69" s="75">
        <f t="shared" si="10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