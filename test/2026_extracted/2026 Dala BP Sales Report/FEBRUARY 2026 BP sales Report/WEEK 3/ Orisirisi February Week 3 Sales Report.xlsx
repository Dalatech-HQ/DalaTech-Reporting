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<sst xmlns="http://schemas.openxmlformats.org/spreadsheetml/2006/main" count="390" uniqueCount="125">
  <si>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</si>
  <si>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</si>
  <si>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</si>
  <si>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</si>
  <si>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</si>
  <si>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</si>
  <si>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</si>
  <si>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</si>
  <si>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</si>
  <si>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</si>
  <si>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</si>
  <si>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</si>
  <si>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</si>
  <si>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</si>
  <si>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</si>
  <si>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</si>
  <si>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Orisirisi Catring Service</t>
  </si>
  <si>
    <t>Inventory Supplied by Brands</t>
  </si>
  <si>
    <t>350ml Orisirisi Wallnut with Ginger Drink (12x)</t>
  </si>
  <si>
    <t>500ml Orisirisi Tiger Nut Drink (12x)</t>
  </si>
  <si>
    <t>500ml Orisirisi Zobo Drink (12x)</t>
  </si>
  <si>
    <t>500ml Orisirisi Zobo with Date Drink (12x)</t>
  </si>
  <si>
    <t>Jendol Supermarket, AKASOLORI</t>
  </si>
  <si>
    <t>Sales</t>
  </si>
  <si>
    <t>DT:000958</t>
  </si>
  <si>
    <t>Buymore Supermarket, ISHERI</t>
  </si>
  <si>
    <t>DT:001044</t>
  </si>
  <si>
    <t>Individual</t>
  </si>
  <si>
    <t>DT:000885</t>
  </si>
  <si>
    <t>Alvira Mart</t>
  </si>
  <si>
    <t>DT:000910</t>
  </si>
  <si>
    <t>CMART Supermarket, ONIRU</t>
  </si>
  <si>
    <t>DT:000938</t>
  </si>
  <si>
    <t>Jendol Supermarket, IJEDE</t>
  </si>
  <si>
    <t>DT:000959</t>
  </si>
  <si>
    <t>Renees Supermarket, LEKKI CENTRAL MOSQUE</t>
  </si>
  <si>
    <t>DT:000973</t>
  </si>
  <si>
    <t>Value Village Superstore</t>
  </si>
  <si>
    <t>DT:000983</t>
  </si>
  <si>
    <t>Compramart Supermarket, MOBILE Rd.</t>
  </si>
  <si>
    <t>DT:001056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</si>
  <si>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</si>
  <si>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</si>
  <si>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</si>
  <si>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</si>
  <si>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</si>
  <si>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</si>
  <si>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</si>
  <si>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500ml Orisirisi Tiger Nut Drink (12x) Total</t>
  </si>
  <si>
    <t>1.00 Total</t>
  </si>
  <si>
    <t>500ml Orisirisi Zobo with Date Drink (12x) Total</t>
  </si>
  <si>
    <t>0.50 Total</t>
  </si>
  <si>
    <t>500ml Orisirisi Zobo Drink (12x) Total</t>
  </si>
  <si>
    <t>0.5 Total</t>
  </si>
  <si>
    <t>350ml Orisirisi Wallnut with Ginger Drink (12x) Total</t>
  </si>
  <si>
    <t>1 Total</t>
  </si>
  <si>
    <t xml:space="preserve">Units </t>
  </si>
  <si>
    <t>1.75 Total</t>
  </si>
  <si>
    <t>350ml Orisirisi Wallnut Drink (12x) Total</t>
  </si>
  <si>
    <t>6.00 Total</t>
  </si>
  <si>
    <t>8.00 Total</t>
  </si>
  <si>
    <t>9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</si>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</sst>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16T00:00:00Z"/>
        <d v="2026-02-19T00:00:00Z"/>
        <d v="2026-02-13T00:00:00Z"/>
        <d v="2026-02-18T00:00:00Z"/>
        <m/>
      </sharedItems>
    </cacheField>
    <cacheField name="Particulars" numFmtId="0">
      <sharedItems containsBlank="1">
        <s v="Jendol Supermarket, AKASOLORI"/>
        <s v="Buymore Supermarket, ISHERI"/>
        <s v="Individual"/>
        <s v="Alvira Mart"/>
        <s v="CMART Supermarket, ONIRU"/>
        <s v="Jendol Supermarket, IJEDE"/>
        <s v="Renees Supermarket, LEKKI CENTRAL MOSQUE"/>
        <s v="Value Village Superstor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58"/>
        <s v="DT:001044"/>
        <s v="DT:000885"/>
        <s v="DT:000910"/>
        <s v="DT:000938"/>
        <s v="DT:000959"/>
        <s v="DT:000973"/>
        <s v="DT:000983"/>
        <s v="DT:001056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6900.0"/>
        <n v="27600.0"/>
        <n v="13800.0"/>
        <n v="12000.0"/>
        <n v="24000.0"/>
        <m/>
      </sharedItems>
    </cacheField>
    <cacheField name="Total Value" numFmtId="4">
      <sharedItems containsString="0" containsBlank="1" containsNumber="1" containsInteger="1">
        <n v="62400.0"/>
        <n v="21600.0"/>
        <n v="6900.0"/>
        <n v="51600.0"/>
        <n v="37800.0"/>
        <n v="276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16T00:00:00Z"/>
        <d v="2026-02-19T00:00:00Z"/>
        <d v="2026-02-13T00:00:00Z"/>
        <d v="2026-02-18T00:00:00Z"/>
        <m/>
      </sharedItems>
    </cacheField>
    <cacheField name="Particulars" numFmtId="0">
      <sharedItems containsBlank="1">
        <s v="Jendol Supermarket, AKASOLORI"/>
        <s v="Buymore Supermarket, ISHERI"/>
        <s v="Individual"/>
        <s v="Alvira Mart"/>
        <s v="CMART Supermarket, ONIRU"/>
        <s v="Jendol Supermarket, IJEDE"/>
        <s v="Renees Supermarket, LEKKI CENTRAL MOSQUE"/>
        <s v="Value Village Superstor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58"/>
        <s v="DT:001044"/>
        <s v="DT:000885"/>
        <s v="DT:000910"/>
        <s v="DT:000938"/>
        <s v="DT:000959"/>
        <s v="DT:000973"/>
        <s v="DT:000983"/>
        <s v="DT:001056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6900.0"/>
        <n v="27600.0"/>
        <n v="13800.0"/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5.0"/>
        <m/>
      </sharedItems>
    </cacheField>
    <cacheField name="Quantity" numFmtId="4">
      <sharedItems containsString="0" containsBlank="1" containsNumber="1">
        <n v="1.75"/>
        <n v="6.0"/>
        <n v="8.0"/>
        <n v="9.0"/>
        <m/>
      </sharedItems>
    </cacheField>
    <cacheField name="Value" numFmtId="4">
      <sharedItems containsString="0" containsBlank="1" containsNumber="1" containsInteger="1">
        <n v="37800.0"/>
        <n v="129600.0"/>
        <n v="220800.0"/>
        <n v="21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9"/>
        <item x="3"/>
        <item x="1"/>
        <item x="4"/>
        <item x="8"/>
        <item x="2"/>
        <item x="0"/>
        <item x="5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2"/>
        <item x="3"/>
        <item x="4"/>
        <item x="0"/>
        <item x="5"/>
        <item x="6"/>
        <item x="7"/>
        <item x="1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2"/>
        <item x="1"/>
        <item x="6"/>
        <item x="5"/>
        <item x="4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9"/>
        <item x="3"/>
        <item x="1"/>
        <item x="4"/>
        <item x="8"/>
        <item x="2"/>
        <item x="0"/>
        <item x="5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2"/>
        <item x="3"/>
        <item x="4"/>
        <item x="0"/>
        <item x="5"/>
        <item x="6"/>
        <item x="7"/>
        <item x="1"/>
        <item x="8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7"/>
        <item x="2"/>
        <item x="0"/>
        <item x="5"/>
        <item x="4"/>
        <item x="1"/>
        <item x="6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9</v>
      </c>
    </row>
    <row r="3">
      <c r="A3" s="13" t="s">
        <v>15</v>
      </c>
      <c r="B3" s="14">
        <v>46072.0</v>
      </c>
      <c r="C3" s="15" t="s">
        <v>16</v>
      </c>
      <c r="D3" s="15" t="s">
        <v>17</v>
      </c>
      <c r="E3" s="8">
        <v>2055.0</v>
      </c>
      <c r="F3" s="16">
        <v>1.75</v>
      </c>
      <c r="G3" s="17">
        <v>37800.0</v>
      </c>
      <c r="H3" s="18"/>
      <c r="I3" s="19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20">
        <f>IFERROR(__xludf.DUMMYFUNCTION("""COMPUTED_VALUE"""),46069.0)</f>
        <v>46069</v>
      </c>
      <c r="K3" s="21" t="str">
        <f>IFERROR(__xludf.DUMMYFUNCTION("""COMPUTED_VALUE"""),"Jendol Supermarket, AKASOLORI")</f>
        <v>Jendol Supermarket, AKASOLORI</v>
      </c>
      <c r="L3" s="21" t="str">
        <f>IFERROR(__xludf.DUMMYFUNCTION("""COMPUTED_VALUE"""),"Sales")</f>
        <v>Sales</v>
      </c>
      <c r="M3" s="22" t="str">
        <f>IFERROR(__xludf.DUMMYFUNCTION("""COMPUTED_VALUE"""),"DT:000958")</f>
        <v>DT:000958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77" si="1">SUMIF(M:M,M3,O:O)</f>
        <v>62400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Brands""),)"),"350ml Orisirisi Wallnut Drink (12x)")</f>
        <v>350ml Orisirisi Wallnut Drink (12x)</v>
      </c>
      <c r="AH3" s="20">
        <f>IFERROR(__xludf.DUMMYFUNCTION("""COMPUTED_VALUE"""),46072.0)</f>
        <v>46072</v>
      </c>
      <c r="AI3" s="21" t="str">
        <f>IFERROR(__xludf.DUMMYFUNCTION("""COMPUTED_VALUE"""),"Orisirisi Catring Service")</f>
        <v>Orisirisi Catring Service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IFERROR(__xludf.DUMMYFUNCTION("""COMPUTED_VALUE"""),2055.0)</f>
        <v>2055</v>
      </c>
      <c r="AL3" s="23">
        <f>IFERROR(__xludf.DUMMYFUNCTION("""COMPUTED_VALUE"""),1.75)</f>
        <v>1.75</v>
      </c>
      <c r="AM3" s="24">
        <f>IFERROR(__xludf.DUMMYFUNCTION("""COMPUTED_VALUE"""),37800.0)</f>
        <v>37800</v>
      </c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18</v>
      </c>
      <c r="B4" s="14">
        <v>46072.0</v>
      </c>
      <c r="C4" s="15" t="s">
        <v>16</v>
      </c>
      <c r="D4" s="15" t="s">
        <v>17</v>
      </c>
      <c r="E4" s="8">
        <v>2055.0</v>
      </c>
      <c r="F4" s="16">
        <v>6.0</v>
      </c>
      <c r="G4" s="17">
        <v>129600.0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IFERROR(__xludf.DUMMYFUNCTION("""COMPUTED_VALUE"""),46072.0)</f>
        <v>46072</v>
      </c>
      <c r="K4" s="21" t="str">
        <f>IFERROR(__xludf.DUMMYFUNCTION("""COMPUTED_VALUE"""),"Buymore Supermarket, ISHERI")</f>
        <v>Buymore Supermarket, ISHERI</v>
      </c>
      <c r="L4" s="21" t="str">
        <f>IFERROR(__xludf.DUMMYFUNCTION("""COMPUTED_VALUE"""),"Sales")</f>
        <v>Sales</v>
      </c>
      <c r="M4" s="22" t="str">
        <f>IFERROR(__xludf.DUMMYFUNCTION("""COMPUTED_VALUE"""),"DT:001044")</f>
        <v>DT:001044</v>
      </c>
      <c r="N4" s="23">
        <f>IFERROR(__xludf.DUMMYFUNCTION("""COMPUTED_VALUE"""),1.0)</f>
        <v>1</v>
      </c>
      <c r="O4" s="24">
        <f>IFERROR(__xludf.DUMMYFUNCTION("""COMPUTED_VALUE"""),21600.0)</f>
        <v>21600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IFERROR(__xludf.DUMMYFUNCTION("""COMPUTED_VALUE"""),"350ml Orisirisi Wallnut with Ginger Drink (12x)")</f>
        <v>350ml Orisirisi Wallnut with Ginger Drink (12x)</v>
      </c>
      <c r="AH4" s="20">
        <f>IFERROR(__xludf.DUMMYFUNCTION("""COMPUTED_VALUE"""),46072.0)</f>
        <v>46072</v>
      </c>
      <c r="AI4" s="21" t="str">
        <f>IFERROR(__xludf.DUMMYFUNCTION("""COMPUTED_VALUE"""),"Orisirisi Catring Service")</f>
        <v>Orisirisi Catring Service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IFERROR(__xludf.DUMMYFUNCTION("""COMPUTED_VALUE"""),2055.0)</f>
        <v>2055</v>
      </c>
      <c r="AL4" s="23">
        <f>IFERROR(__xludf.DUMMYFUNCTION("""COMPUTED_VALUE"""),6.0)</f>
        <v>6</v>
      </c>
      <c r="AM4" s="24">
        <f>IFERROR(__xludf.DUMMYFUNCTION("""COMPUTED_VALUE"""),129600.0)</f>
        <v>129600</v>
      </c>
      <c r="AO4" s="19"/>
      <c r="AP4" s="20"/>
      <c r="AQ4" s="21"/>
      <c r="AR4" s="21"/>
      <c r="AS4" s="22"/>
      <c r="AT4" s="23"/>
      <c r="AU4" s="24"/>
    </row>
    <row r="5">
      <c r="A5" s="13" t="s">
        <v>19</v>
      </c>
      <c r="B5" s="14">
        <v>46072.0</v>
      </c>
      <c r="C5" s="15" t="s">
        <v>16</v>
      </c>
      <c r="D5" s="15" t="s">
        <v>17</v>
      </c>
      <c r="E5" s="8">
        <v>2055.0</v>
      </c>
      <c r="F5" s="16">
        <v>8.0</v>
      </c>
      <c r="G5" s="17">
        <v>220800.0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IFERROR(__xludf.DUMMYFUNCTION("""COMPUTED_VALUE"""),46066.0)</f>
        <v>46066</v>
      </c>
      <c r="K5" s="21" t="str">
        <f>IFERROR(__xludf.DUMMYFUNCTION("""COMPUTED_VALUE"""),"Individual")</f>
        <v>Individual</v>
      </c>
      <c r="L5" s="21" t="str">
        <f>IFERROR(__xludf.DUMMYFUNCTION("""COMPUTED_VALUE"""),"Sales")</f>
        <v>Sales</v>
      </c>
      <c r="M5" s="22" t="str">
        <f>IFERROR(__xludf.DUMMYFUNCTION("""COMPUTED_VALUE"""),"DT:000885")</f>
        <v>DT:000885</v>
      </c>
      <c r="N5" s="23">
        <f>IFERROR(__xludf.DUMMYFUNCTION("""COMPUTED_VALUE"""),0.25)</f>
        <v>0.25</v>
      </c>
      <c r="O5" s="24">
        <f>IFERROR(__xludf.DUMMYFUNCTION("""COMPUTED_VALUE"""),6900.0)</f>
        <v>6900</v>
      </c>
      <c r="P5" s="7">
        <f t="shared" si="1"/>
        <v>6900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Orisirisi Tiger Nut Drink (12x)")</f>
        <v>500ml Orisirisi Tiger Nut Drink (12x)</v>
      </c>
      <c r="AH5" s="20">
        <f>IFERROR(__xludf.DUMMYFUNCTION("""COMPUTED_VALUE"""),46072.0)</f>
        <v>46072</v>
      </c>
      <c r="AI5" s="21" t="str">
        <f>IFERROR(__xludf.DUMMYFUNCTION("""COMPUTED_VALUE"""),"Orisirisi Catring Service")</f>
        <v>Orisirisi Catring Service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IFERROR(__xludf.DUMMYFUNCTION("""COMPUTED_VALUE"""),2055.0)</f>
        <v>2055</v>
      </c>
      <c r="AL5" s="23">
        <f>IFERROR(__xludf.DUMMYFUNCTION("""COMPUTED_VALUE"""),8.0)</f>
        <v>8</v>
      </c>
      <c r="AM5" s="24">
        <f>IFERROR(__xludf.DUMMYFUNCTION("""COMPUTED_VALUE"""),220800.0)</f>
        <v>220800</v>
      </c>
      <c r="AO5" s="19"/>
      <c r="AP5" s="20"/>
      <c r="AQ5" s="21"/>
      <c r="AR5" s="21"/>
      <c r="AS5" s="22"/>
      <c r="AT5" s="23"/>
      <c r="AU5" s="24"/>
    </row>
    <row r="6">
      <c r="A6" s="13" t="s">
        <v>20</v>
      </c>
      <c r="B6" s="14">
        <v>46072.0</v>
      </c>
      <c r="C6" s="15" t="s">
        <v>16</v>
      </c>
      <c r="D6" s="15" t="s">
        <v>17</v>
      </c>
      <c r="E6" s="8">
        <v>2055.0</v>
      </c>
      <c r="F6" s="28">
        <v>9.0</v>
      </c>
      <c r="G6" s="17">
        <v>216000.0</v>
      </c>
      <c r="I6" s="19" t="str">
        <f>IFERROR(__xludf.DUMMYFUNCTION("""COMPUTED_VALUE"""),"500ml Orisirisi Tiger Nut Drink (12x)")</f>
        <v>500ml Orisirisi Tiger Nut Drink (12x)</v>
      </c>
      <c r="J6" s="20">
        <f>IFERROR(__xludf.DUMMYFUNCTION("""COMPUTED_VALUE"""),46066.0)</f>
        <v>46066</v>
      </c>
      <c r="K6" s="21" t="str">
        <f>IFERROR(__xludf.DUMMYFUNCTION("""COMPUTED_VALUE"""),"Alvira Mart")</f>
        <v>Alvira Mart</v>
      </c>
      <c r="L6" s="21" t="str">
        <f>IFERROR(__xludf.DUMMYFUNCTION("""COMPUTED_VALUE"""),"Sales")</f>
        <v>Sales</v>
      </c>
      <c r="M6" s="22" t="str">
        <f>IFERROR(__xludf.DUMMYFUNCTION("""COMPUTED_VALUE"""),"DT:000910")</f>
        <v>DT:000910</v>
      </c>
      <c r="N6" s="23">
        <f>IFERROR(__xludf.DUMMYFUNCTION("""COMPUTED_VALUE"""),1.0)</f>
        <v>1</v>
      </c>
      <c r="O6" s="24">
        <f>IFERROR(__xludf.DUMMYFUNCTION("""COMPUTED_VALUE"""),27600.0)</f>
        <v>27600</v>
      </c>
      <c r="P6" s="7">
        <f t="shared" si="1"/>
        <v>51600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 t="str">
        <f>IFERROR(__xludf.DUMMYFUNCTION("""COMPUTED_VALUE"""),"500ml Orisirisi Zobo Drink (12x)")</f>
        <v>500ml Orisirisi Zobo Drink (12x)</v>
      </c>
      <c r="AH6" s="30">
        <f>IFERROR(__xludf.DUMMYFUNCTION("""COMPUTED_VALUE"""),46072.0)</f>
        <v>46072</v>
      </c>
      <c r="AI6" s="31" t="str">
        <f>IFERROR(__xludf.DUMMYFUNCTION("""COMPUTED_VALUE"""),"Orisirisi Catring Service")</f>
        <v>Orisirisi Catring Service</v>
      </c>
      <c r="AJ6" s="31" t="str">
        <f>IFERROR(__xludf.DUMMYFUNCTION("""COMPUTED_VALUE"""),"Inventory Supplied by Brands")</f>
        <v>Inventory Supplied by Brands</v>
      </c>
      <c r="AK6" s="2">
        <f>IFERROR(__xludf.DUMMYFUNCTION("""COMPUTED_VALUE"""),2055.0)</f>
        <v>2055</v>
      </c>
      <c r="AL6" s="33">
        <f>IFERROR(__xludf.DUMMYFUNCTION("""COMPUTED_VALUE"""),9.0)</f>
        <v>9</v>
      </c>
      <c r="AM6" s="34">
        <f>IFERROR(__xludf.DUMMYFUNCTION("""COMPUTED_VALUE"""),216000.0)</f>
        <v>216000</v>
      </c>
      <c r="AO6" s="19"/>
      <c r="AP6" s="20"/>
      <c r="AQ6" s="21"/>
      <c r="AR6" s="21"/>
      <c r="AS6" s="22"/>
      <c r="AT6" s="22"/>
      <c r="AU6" s="24"/>
    </row>
    <row r="7">
      <c r="A7" s="13" t="s">
        <v>21</v>
      </c>
      <c r="B7" s="14">
        <v>46072.0</v>
      </c>
      <c r="C7" s="15" t="s">
        <v>16</v>
      </c>
      <c r="D7" s="15" t="s">
        <v>17</v>
      </c>
      <c r="E7" s="8">
        <v>2055.0</v>
      </c>
      <c r="F7" s="16">
        <v>9.0</v>
      </c>
      <c r="G7" s="17">
        <v>216000.0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IFERROR(__xludf.DUMMYFUNCTION("""COMPUTED_VALUE"""),46069.0)</f>
        <v>46069</v>
      </c>
      <c r="K7" s="21" t="str">
        <f>IFERROR(__xludf.DUMMYFUNCTION("""COMPUTED_VALUE"""),"CMART Supermarket, ONIRU")</f>
        <v>CMART Supermarket, ONIRU</v>
      </c>
      <c r="L7" s="21" t="str">
        <f>IFERROR(__xludf.DUMMYFUNCTION("""COMPUTED_VALUE"""),"Sales")</f>
        <v>Sales</v>
      </c>
      <c r="M7" s="22" t="str">
        <f>IFERROR(__xludf.DUMMYFUNCTION("""COMPUTED_VALUE"""),"DT:000938")</f>
        <v>DT:000938</v>
      </c>
      <c r="N7" s="23">
        <f>IFERROR(__xludf.DUMMYFUNCTION("""COMPUTED_VALUE"""),0.5)</f>
        <v>0.5</v>
      </c>
      <c r="O7" s="24">
        <f>IFERROR(__xludf.DUMMYFUNCTION("""COMPUTED_VALUE"""),13800.0)</f>
        <v>13800</v>
      </c>
      <c r="P7" s="7">
        <f t="shared" si="1"/>
        <v>37800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 t="str">
        <f>IFERROR(__xludf.DUMMYFUNCTION("""COMPUTED_VALUE"""),"500ml Orisirisi Zobo with Date Drink (12x)")</f>
        <v>500ml Orisirisi Zobo with Date Drink (12x)</v>
      </c>
      <c r="AH7" s="30">
        <f>IFERROR(__xludf.DUMMYFUNCTION("""COMPUTED_VALUE"""),46072.0)</f>
        <v>46072</v>
      </c>
      <c r="AI7" s="31" t="str">
        <f>IFERROR(__xludf.DUMMYFUNCTION("""COMPUTED_VALUE"""),"Orisirisi Catring Service")</f>
        <v>Orisirisi Catring Service</v>
      </c>
      <c r="AJ7" s="31" t="str">
        <f>IFERROR(__xludf.DUMMYFUNCTION("""COMPUTED_VALUE"""),"Inventory Supplied by Brands")</f>
        <v>Inventory Supplied by Brands</v>
      </c>
      <c r="AK7" s="2">
        <f>IFERROR(__xludf.DUMMYFUNCTION("""COMPUTED_VALUE"""),2055.0)</f>
        <v>2055</v>
      </c>
      <c r="AL7" s="2">
        <f>IFERROR(__xludf.DUMMYFUNCTION("""COMPUTED_VALUE"""),9.0)</f>
        <v>9</v>
      </c>
      <c r="AM7" s="32">
        <f>IFERROR(__xludf.DUMMYFUNCTION("""COMPUTED_VALUE"""),216000.0)</f>
        <v>216000</v>
      </c>
      <c r="AO7" s="36"/>
      <c r="AP7" s="30"/>
      <c r="AQ7" s="31"/>
      <c r="AR7" s="31"/>
      <c r="AS7" s="2"/>
      <c r="AT7" s="37"/>
      <c r="AU7" s="34"/>
    </row>
    <row r="8">
      <c r="A8" s="13" t="s">
        <v>18</v>
      </c>
      <c r="B8" s="14">
        <v>46069.0</v>
      </c>
      <c r="C8" s="15" t="s">
        <v>22</v>
      </c>
      <c r="D8" s="15" t="s">
        <v>23</v>
      </c>
      <c r="E8" s="8" t="s">
        <v>24</v>
      </c>
      <c r="F8" s="16">
        <v>0.5</v>
      </c>
      <c r="G8" s="17">
        <v>10800.0</v>
      </c>
      <c r="I8" s="19" t="str">
        <f>IFERROR(__xludf.DUMMYFUNCTION("""COMPUTED_VALUE"""),"500ml Orisirisi Tiger Nut Drink (12x)")</f>
        <v>500ml Orisirisi Tiger Nut Drink (12x)</v>
      </c>
      <c r="J8" s="20">
        <f>IFERROR(__xludf.DUMMYFUNCTION("""COMPUTED_VALUE"""),46069.0)</f>
        <v>46069</v>
      </c>
      <c r="K8" s="21" t="str">
        <f>IFERROR(__xludf.DUMMYFUNCTION("""COMPUTED_VALUE"""),"Jendol Supermarket, AKASOLORI")</f>
        <v>Jendol Supermarket, AKASOLORI</v>
      </c>
      <c r="L8" s="21" t="str">
        <f>IFERROR(__xludf.DUMMYFUNCTION("""COMPUTED_VALUE"""),"Sales")</f>
        <v>Sales</v>
      </c>
      <c r="M8" s="22" t="str">
        <f>IFERROR(__xludf.DUMMYFUNCTION("""COMPUTED_VALUE"""),"DT:000958")</f>
        <v>DT:000958</v>
      </c>
      <c r="N8" s="22">
        <f>IFERROR(__xludf.DUMMYFUNCTION("""COMPUTED_VALUE"""),1.0)</f>
        <v>1</v>
      </c>
      <c r="O8" s="24">
        <f>IFERROR(__xludf.DUMMYFUNCTION("""COMPUTED_VALUE"""),27600.0)</f>
        <v>27600</v>
      </c>
      <c r="P8" s="7">
        <f t="shared" si="1"/>
        <v>62400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 t="s">
        <v>18</v>
      </c>
      <c r="B9" s="14">
        <v>46072.0</v>
      </c>
      <c r="C9" s="15" t="s">
        <v>25</v>
      </c>
      <c r="D9" s="15" t="s">
        <v>23</v>
      </c>
      <c r="E9" s="8" t="s">
        <v>26</v>
      </c>
      <c r="F9" s="16">
        <v>1.0</v>
      </c>
      <c r="G9" s="17">
        <v>21600.0</v>
      </c>
      <c r="I9" s="19" t="str">
        <f>IFERROR(__xludf.DUMMYFUNCTION("""COMPUTED_VALUE"""),"500ml Orisirisi Tiger Nut Drink (12x)")</f>
        <v>500ml Orisirisi Tiger Nut Drink (12x)</v>
      </c>
      <c r="J9" s="20">
        <f>IFERROR(__xludf.DUMMYFUNCTION("""COMPUTED_VALUE"""),46069.0)</f>
        <v>46069</v>
      </c>
      <c r="K9" s="21" t="str">
        <f>IFERROR(__xludf.DUMMYFUNCTION("""COMPUTED_VALUE"""),"Jendol Supermarket, IJEDE")</f>
        <v>Jendol Supermarket, IJEDE</v>
      </c>
      <c r="L9" s="21" t="str">
        <f>IFERROR(__xludf.DUMMYFUNCTION("""COMPUTED_VALUE"""),"Sales")</f>
        <v>Sales</v>
      </c>
      <c r="M9" s="22" t="str">
        <f>IFERROR(__xludf.DUMMYFUNCTION("""COMPUTED_VALUE"""),"DT:000959")</f>
        <v>DT:000959</v>
      </c>
      <c r="N9" s="23">
        <f>IFERROR(__xludf.DUMMYFUNCTION("""COMPUTED_VALUE"""),1.0)</f>
        <v>1</v>
      </c>
      <c r="O9" s="24">
        <f>IFERROR(__xludf.DUMMYFUNCTION("""COMPUTED_VALUE"""),27600.0)</f>
        <v>27600</v>
      </c>
      <c r="P9" s="7">
        <f t="shared" si="1"/>
        <v>27600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 t="s">
        <v>19</v>
      </c>
      <c r="B10" s="14">
        <v>46066.0</v>
      </c>
      <c r="C10" s="15" t="s">
        <v>27</v>
      </c>
      <c r="D10" s="15" t="s">
        <v>23</v>
      </c>
      <c r="E10" s="8" t="s">
        <v>28</v>
      </c>
      <c r="F10" s="16">
        <v>0.25</v>
      </c>
      <c r="G10" s="17">
        <v>6900.0</v>
      </c>
      <c r="I10" s="19" t="str">
        <f>IFERROR(__xludf.DUMMYFUNCTION("""COMPUTED_VALUE"""),"500ml Orisirisi Tiger Nut Drink (12x)")</f>
        <v>500ml Orisirisi Tiger Nut Drink (12x)</v>
      </c>
      <c r="J10" s="20">
        <f>IFERROR(__xludf.DUMMYFUNCTION("""COMPUTED_VALUE"""),46071.0)</f>
        <v>46071</v>
      </c>
      <c r="K10" s="21" t="str">
        <f>IFERROR(__xludf.DUMMYFUNCTION("""COMPUTED_VALUE"""),"Renees Supermarket, LEKKI CENTRAL MOSQUE")</f>
        <v>Renees Supermarket, LEKKI CENTRAL MOSQUE</v>
      </c>
      <c r="L10" s="21" t="str">
        <f>IFERROR(__xludf.DUMMYFUNCTION("""COMPUTED_VALUE"""),"Sales")</f>
        <v>Sales</v>
      </c>
      <c r="M10" s="22" t="str">
        <f>IFERROR(__xludf.DUMMYFUNCTION("""COMPUTED_VALUE"""),"DT:000973")</f>
        <v>DT:000973</v>
      </c>
      <c r="N10" s="22">
        <f>IFERROR(__xludf.DUMMYFUNCTION("""COMPUTED_VALUE"""),1.0)</f>
        <v>1</v>
      </c>
      <c r="O10" s="24">
        <f>IFERROR(__xludf.DUMMYFUNCTION("""COMPUTED_VALUE"""),27600.0)</f>
        <v>27600</v>
      </c>
      <c r="P10" s="7">
        <f t="shared" si="1"/>
        <v>27600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 t="s">
        <v>19</v>
      </c>
      <c r="B11" s="39">
        <v>46066.0</v>
      </c>
      <c r="C11" s="15" t="s">
        <v>29</v>
      </c>
      <c r="D11" s="15" t="s">
        <v>23</v>
      </c>
      <c r="E11" s="8" t="s">
        <v>30</v>
      </c>
      <c r="F11" s="16">
        <v>1.0</v>
      </c>
      <c r="G11" s="17">
        <v>27600.0</v>
      </c>
      <c r="I11" s="19" t="str">
        <f>IFERROR(__xludf.DUMMYFUNCTION("""COMPUTED_VALUE"""),"500ml Orisirisi Tiger Nut Drink (12x)")</f>
        <v>500ml Orisirisi Tiger Nut Drink (12x)</v>
      </c>
      <c r="J11" s="20">
        <f>IFERROR(__xludf.DUMMYFUNCTION("""COMPUTED_VALUE"""),46071.0)</f>
        <v>46071</v>
      </c>
      <c r="K11" s="21" t="str">
        <f>IFERROR(__xludf.DUMMYFUNCTION("""COMPUTED_VALUE"""),"Value Village Superstore")</f>
        <v>Value Village Superstore</v>
      </c>
      <c r="L11" s="21" t="str">
        <f>IFERROR(__xludf.DUMMYFUNCTION("""COMPUTED_VALUE"""),"Sales")</f>
        <v>Sales</v>
      </c>
      <c r="M11" s="22" t="str">
        <f>IFERROR(__xludf.DUMMYFUNCTION("""COMPUTED_VALUE"""),"DT:000983")</f>
        <v>DT:000983</v>
      </c>
      <c r="N11" s="23">
        <f>IFERROR(__xludf.DUMMYFUNCTION("""COMPUTED_VALUE"""),1.0)</f>
        <v>1</v>
      </c>
      <c r="O11" s="24">
        <f>IFERROR(__xludf.DUMMYFUNCTION("""COMPUTED_VALUE"""),27600.0)</f>
        <v>27600</v>
      </c>
      <c r="P11" s="7">
        <f t="shared" si="1"/>
        <v>27600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 t="s">
        <v>19</v>
      </c>
      <c r="B12" s="40">
        <v>46069.0</v>
      </c>
      <c r="C12" s="15" t="s">
        <v>31</v>
      </c>
      <c r="D12" s="15" t="s">
        <v>23</v>
      </c>
      <c r="E12" s="8" t="s">
        <v>32</v>
      </c>
      <c r="F12" s="28">
        <v>0.5</v>
      </c>
      <c r="G12" s="17">
        <v>13800.0</v>
      </c>
      <c r="I12" s="19" t="str">
        <f>IFERROR(__xludf.DUMMYFUNCTION("""COMPUTED_VALUE"""),"500ml Orisirisi Zobo Drink (12x)")</f>
        <v>500ml Orisirisi Zobo Drink (12x)</v>
      </c>
      <c r="J12" s="20">
        <f>IFERROR(__xludf.DUMMYFUNCTION("""COMPUTED_VALUE"""),46069.0)</f>
        <v>46069</v>
      </c>
      <c r="K12" s="21" t="str">
        <f>IFERROR(__xludf.DUMMYFUNCTION("""COMPUTED_VALUE"""),"CMART Supermarket, ONIRU")</f>
        <v>CMART Supermarket, ONIRU</v>
      </c>
      <c r="L12" s="21" t="str">
        <f>IFERROR(__xludf.DUMMYFUNCTION("""COMPUTED_VALUE"""),"Sales")</f>
        <v>Sales</v>
      </c>
      <c r="M12" s="22" t="str">
        <f>IFERROR(__xludf.DUMMYFUNCTION("""COMPUTED_VALUE"""),"DT:000938")</f>
        <v>DT:000938</v>
      </c>
      <c r="N12" s="23">
        <f>IFERROR(__xludf.DUMMYFUNCTION("""COMPUTED_VALUE"""),0.5)</f>
        <v>0.5</v>
      </c>
      <c r="O12" s="24">
        <f>IFERROR(__xludf.DUMMYFUNCTION("""COMPUTED_VALUE"""),12000.0)</f>
        <v>12000</v>
      </c>
      <c r="P12" s="7">
        <f t="shared" si="1"/>
        <v>37800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 t="s">
        <v>19</v>
      </c>
      <c r="B13" s="39">
        <v>46069.0</v>
      </c>
      <c r="C13" s="15" t="s">
        <v>22</v>
      </c>
      <c r="D13" s="15" t="s">
        <v>23</v>
      </c>
      <c r="E13" s="8" t="s">
        <v>24</v>
      </c>
      <c r="F13" s="16">
        <v>1.0</v>
      </c>
      <c r="G13" s="17">
        <v>27600.0</v>
      </c>
      <c r="I13" s="19" t="str">
        <f>IFERROR(__xludf.DUMMYFUNCTION("""COMPUTED_VALUE"""),"500ml Orisirisi Zobo Drink (12x)")</f>
        <v>500ml Orisirisi Zobo Drink (12x)</v>
      </c>
      <c r="J13" s="20">
        <f>IFERROR(__xludf.DUMMYFUNCTION("""COMPUTED_VALUE"""),46071.0)</f>
        <v>46071</v>
      </c>
      <c r="K13" s="21" t="str">
        <f>IFERROR(__xludf.DUMMYFUNCTION("""COMPUTED_VALUE"""),"Compramart Supermarket, MOBILE Rd.")</f>
        <v>Compramart Supermarket, MOBILE Rd.</v>
      </c>
      <c r="L13" s="21" t="str">
        <f>IFERROR(__xludf.DUMMYFUNCTION("""COMPUTED_VALUE"""),"Sales")</f>
        <v>Sales</v>
      </c>
      <c r="M13" s="22" t="str">
        <f>IFERROR(__xludf.DUMMYFUNCTION("""COMPUTED_VALUE"""),"DT:001056")</f>
        <v>DT:001056</v>
      </c>
      <c r="N13" s="22">
        <f>IFERROR(__xludf.DUMMYFUNCTION("""COMPUTED_VALUE"""),0.5)</f>
        <v>0.5</v>
      </c>
      <c r="O13" s="24">
        <f>IFERROR(__xludf.DUMMYFUNCTION("""COMPUTED_VALUE"""),12000.0)</f>
        <v>12000</v>
      </c>
      <c r="P13" s="7">
        <f t="shared" si="1"/>
        <v>24000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 t="s">
        <v>19</v>
      </c>
      <c r="B14" s="39">
        <v>46069.0</v>
      </c>
      <c r="C14" s="15" t="s">
        <v>33</v>
      </c>
      <c r="D14" s="15" t="s">
        <v>23</v>
      </c>
      <c r="E14" s="8" t="s">
        <v>34</v>
      </c>
      <c r="F14" s="16">
        <v>1.0</v>
      </c>
      <c r="G14" s="17">
        <v>27600.0</v>
      </c>
      <c r="I14" s="19" t="str">
        <f>IFERROR(__xludf.DUMMYFUNCTION("""COMPUTED_VALUE"""),"500ml Orisirisi Zobo with Date Drink (12x)")</f>
        <v>500ml Orisirisi Zobo with Date Drink (12x)</v>
      </c>
      <c r="J14" s="20">
        <f>IFERROR(__xludf.DUMMYFUNCTION("""COMPUTED_VALUE"""),46066.0)</f>
        <v>46066</v>
      </c>
      <c r="K14" s="21" t="str">
        <f>IFERROR(__xludf.DUMMYFUNCTION("""COMPUTED_VALUE"""),"Alvira Mart")</f>
        <v>Alvira Mart</v>
      </c>
      <c r="L14" s="21" t="str">
        <f>IFERROR(__xludf.DUMMYFUNCTION("""COMPUTED_VALUE"""),"Sales")</f>
        <v>Sales</v>
      </c>
      <c r="M14" s="22" t="str">
        <f>IFERROR(__xludf.DUMMYFUNCTION("""COMPUTED_VALUE"""),"DT:000910")</f>
        <v>DT:000910</v>
      </c>
      <c r="N14" s="23">
        <f>IFERROR(__xludf.DUMMYFUNCTION("""COMPUTED_VALUE"""),1.0)</f>
        <v>1</v>
      </c>
      <c r="O14" s="24">
        <f>IFERROR(__xludf.DUMMYFUNCTION("""COMPUTED_VALUE"""),24000.0)</f>
        <v>24000</v>
      </c>
      <c r="P14" s="7">
        <f t="shared" si="1"/>
        <v>51600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 t="s">
        <v>19</v>
      </c>
      <c r="B15" s="41">
        <v>46071.0</v>
      </c>
      <c r="C15" s="15" t="s">
        <v>35</v>
      </c>
      <c r="D15" s="15" t="s">
        <v>23</v>
      </c>
      <c r="E15" s="8" t="s">
        <v>36</v>
      </c>
      <c r="F15" s="28">
        <v>1.0</v>
      </c>
      <c r="G15" s="17">
        <v>27600.0</v>
      </c>
      <c r="I15" s="27" t="str">
        <f>IFERROR(__xludf.DUMMYFUNCTION("""COMPUTED_VALUE"""),"500ml Orisirisi Zobo with Date Drink (12x)")</f>
        <v>500ml Orisirisi Zobo with Date Drink (12x)</v>
      </c>
      <c r="J15" s="42">
        <f>IFERROR(__xludf.DUMMYFUNCTION("""COMPUTED_VALUE"""),46069.0)</f>
        <v>46069</v>
      </c>
      <c r="K15" s="26" t="str">
        <f>IFERROR(__xludf.DUMMYFUNCTION("""COMPUTED_VALUE"""),"CMART Supermarket, ONIRU")</f>
        <v>CMART Supermarket, ONIRU</v>
      </c>
      <c r="L15" s="26" t="str">
        <f>IFERROR(__xludf.DUMMYFUNCTION("""COMPUTED_VALUE"""),"Sales")</f>
        <v>Sales</v>
      </c>
      <c r="M15" s="43" t="str">
        <f>IFERROR(__xludf.DUMMYFUNCTION("""COMPUTED_VALUE"""),"DT:000938")</f>
        <v>DT:000938</v>
      </c>
      <c r="N15" s="43">
        <f>IFERROR(__xludf.DUMMYFUNCTION("""COMPUTED_VALUE"""),0.5)</f>
        <v>0.5</v>
      </c>
      <c r="O15" s="44">
        <f>IFERROR(__xludf.DUMMYFUNCTION("""COMPUTED_VALUE"""),12000.0)</f>
        <v>12000</v>
      </c>
      <c r="P15" s="7">
        <f t="shared" si="1"/>
        <v>37800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 t="s">
        <v>19</v>
      </c>
      <c r="B16" s="39">
        <v>46071.0</v>
      </c>
      <c r="C16" s="15" t="s">
        <v>37</v>
      </c>
      <c r="D16" s="15" t="s">
        <v>23</v>
      </c>
      <c r="E16" s="8" t="s">
        <v>38</v>
      </c>
      <c r="F16" s="16">
        <v>1.0</v>
      </c>
      <c r="G16" s="17">
        <v>27600.0</v>
      </c>
      <c r="I16" s="27" t="str">
        <f>IFERROR(__xludf.DUMMYFUNCTION("""COMPUTED_VALUE"""),"500ml Orisirisi Zobo with Date Drink (12x)")</f>
        <v>500ml Orisirisi Zobo with Date Drink (12x)</v>
      </c>
      <c r="J16" s="42">
        <f>IFERROR(__xludf.DUMMYFUNCTION("""COMPUTED_VALUE"""),46069.0)</f>
        <v>46069</v>
      </c>
      <c r="K16" s="26" t="str">
        <f>IFERROR(__xludf.DUMMYFUNCTION("""COMPUTED_VALUE"""),"Jendol Supermarket, AKASOLORI")</f>
        <v>Jendol Supermarket, AKASOLORI</v>
      </c>
      <c r="L16" s="26" t="str">
        <f>IFERROR(__xludf.DUMMYFUNCTION("""COMPUTED_VALUE"""),"Sales")</f>
        <v>Sales</v>
      </c>
      <c r="M16" s="43" t="str">
        <f>IFERROR(__xludf.DUMMYFUNCTION("""COMPUTED_VALUE"""),"DT:000958")</f>
        <v>DT:000958</v>
      </c>
      <c r="N16" s="45">
        <f>IFERROR(__xludf.DUMMYFUNCTION("""COMPUTED_VALUE"""),1.0)</f>
        <v>1</v>
      </c>
      <c r="O16" s="44">
        <f>IFERROR(__xludf.DUMMYFUNCTION("""COMPUTED_VALUE"""),24000.0)</f>
        <v>24000</v>
      </c>
      <c r="P16" s="7">
        <f t="shared" si="1"/>
        <v>62400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 t="s">
        <v>20</v>
      </c>
      <c r="B17" s="39">
        <v>46069.0</v>
      </c>
      <c r="C17" s="15" t="s">
        <v>31</v>
      </c>
      <c r="D17" s="15" t="s">
        <v>23</v>
      </c>
      <c r="E17" s="8" t="s">
        <v>32</v>
      </c>
      <c r="F17" s="28">
        <v>0.5</v>
      </c>
      <c r="G17" s="17">
        <v>12000.0</v>
      </c>
      <c r="I17" s="27" t="str">
        <f>IFERROR(__xludf.DUMMYFUNCTION("""COMPUTED_VALUE"""),"500ml Orisirisi Zobo with Date Drink (12x)")</f>
        <v>500ml Orisirisi Zobo with Date Drink (12x)</v>
      </c>
      <c r="J17" s="42">
        <f>IFERROR(__xludf.DUMMYFUNCTION("""COMPUTED_VALUE"""),46071.0)</f>
        <v>46071</v>
      </c>
      <c r="K17" s="26" t="str">
        <f>IFERROR(__xludf.DUMMYFUNCTION("""COMPUTED_VALUE"""),"Compramart Supermarket, MOBILE Rd.")</f>
        <v>Compramart Supermarket, MOBILE Rd.</v>
      </c>
      <c r="L17" s="26" t="str">
        <f>IFERROR(__xludf.DUMMYFUNCTION("""COMPUTED_VALUE"""),"Sales")</f>
        <v>Sales</v>
      </c>
      <c r="M17" s="43" t="str">
        <f>IFERROR(__xludf.DUMMYFUNCTION("""COMPUTED_VALUE"""),"DT:001056")</f>
        <v>DT:001056</v>
      </c>
      <c r="N17" s="43">
        <f>IFERROR(__xludf.DUMMYFUNCTION("""COMPUTED_VALUE"""),0.5)</f>
        <v>0.5</v>
      </c>
      <c r="O17" s="44">
        <f>IFERROR(__xludf.DUMMYFUNCTION("""COMPUTED_VALUE"""),12000.0)</f>
        <v>12000</v>
      </c>
      <c r="P17" s="7">
        <f t="shared" si="1"/>
        <v>24000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 t="s">
        <v>20</v>
      </c>
      <c r="B18" s="39">
        <v>46071.0</v>
      </c>
      <c r="C18" s="15" t="s">
        <v>39</v>
      </c>
      <c r="D18" s="15" t="s">
        <v>23</v>
      </c>
      <c r="E18" s="8" t="s">
        <v>40</v>
      </c>
      <c r="F18" s="16">
        <v>0.5</v>
      </c>
      <c r="G18" s="17">
        <v>12000.0</v>
      </c>
      <c r="I18" s="27"/>
      <c r="J18" s="42"/>
      <c r="K18" s="26"/>
      <c r="L18" s="26"/>
      <c r="M18" s="43"/>
      <c r="N18" s="45"/>
      <c r="O18" s="44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 t="s">
        <v>21</v>
      </c>
      <c r="B19" s="39">
        <v>46066.0</v>
      </c>
      <c r="C19" s="15" t="s">
        <v>29</v>
      </c>
      <c r="D19" s="15" t="s">
        <v>23</v>
      </c>
      <c r="E19" s="8" t="s">
        <v>30</v>
      </c>
      <c r="F19" s="28">
        <v>1.0</v>
      </c>
      <c r="G19" s="17">
        <v>24000.0</v>
      </c>
      <c r="I19" s="27"/>
      <c r="J19" s="42"/>
      <c r="K19" s="26"/>
      <c r="L19" s="26"/>
      <c r="M19" s="43"/>
      <c r="N19" s="43"/>
      <c r="O19" s="44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 t="s">
        <v>21</v>
      </c>
      <c r="B20" s="39">
        <v>46069.0</v>
      </c>
      <c r="C20" s="15" t="s">
        <v>31</v>
      </c>
      <c r="D20" s="15" t="s">
        <v>23</v>
      </c>
      <c r="E20" s="8" t="s">
        <v>32</v>
      </c>
      <c r="F20" s="28">
        <v>0.5</v>
      </c>
      <c r="G20" s="17">
        <v>12000.0</v>
      </c>
      <c r="I20" s="27"/>
      <c r="J20" s="42"/>
      <c r="K20" s="26"/>
      <c r="L20" s="26"/>
      <c r="M20" s="43"/>
      <c r="N20" s="43"/>
      <c r="O20" s="44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 t="s">
        <v>21</v>
      </c>
      <c r="B21" s="39">
        <v>46069.0</v>
      </c>
      <c r="C21" s="15" t="s">
        <v>22</v>
      </c>
      <c r="D21" s="15" t="s">
        <v>23</v>
      </c>
      <c r="E21" s="8" t="s">
        <v>24</v>
      </c>
      <c r="F21" s="28">
        <v>1.0</v>
      </c>
      <c r="G21" s="17">
        <v>24000.0</v>
      </c>
      <c r="I21" s="27"/>
      <c r="J21" s="42"/>
      <c r="K21" s="26"/>
      <c r="L21" s="26"/>
      <c r="M21" s="43"/>
      <c r="N21" s="43"/>
      <c r="O21" s="44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 t="s">
        <v>21</v>
      </c>
      <c r="B22" s="39">
        <v>46071.0</v>
      </c>
      <c r="C22" s="15" t="s">
        <v>39</v>
      </c>
      <c r="D22" s="15" t="s">
        <v>23</v>
      </c>
      <c r="E22" s="8" t="s">
        <v>40</v>
      </c>
      <c r="F22" s="28">
        <v>0.5</v>
      </c>
      <c r="G22" s="17">
        <v>12000.0</v>
      </c>
      <c r="I22" s="27"/>
      <c r="J22" s="42"/>
      <c r="K22" s="26"/>
      <c r="L22" s="26"/>
      <c r="M22" s="43"/>
      <c r="N22" s="43"/>
      <c r="O22" s="44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/>
      <c r="B23" s="41"/>
      <c r="C23" s="15"/>
      <c r="D23" s="15"/>
      <c r="E23" s="8"/>
      <c r="F23" s="28"/>
      <c r="G23" s="17"/>
      <c r="I23" s="29"/>
      <c r="J23" s="30"/>
      <c r="K23" s="31"/>
      <c r="L23" s="31"/>
      <c r="M23" s="2"/>
      <c r="N23" s="28"/>
      <c r="O23" s="17"/>
      <c r="P23" s="7">
        <f t="shared" si="1"/>
        <v>0</v>
      </c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/>
      <c r="B24" s="41"/>
      <c r="C24" s="15"/>
      <c r="D24" s="15"/>
      <c r="E24" s="8"/>
      <c r="F24" s="28"/>
      <c r="G24" s="17"/>
      <c r="I24" s="29"/>
      <c r="J24" s="30"/>
      <c r="K24" s="35"/>
      <c r="L24" s="31"/>
      <c r="M24" s="2"/>
      <c r="N24" s="33"/>
      <c r="O24" s="34"/>
      <c r="P24" s="7">
        <f t="shared" si="1"/>
        <v>0</v>
      </c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/>
      <c r="B25" s="41"/>
      <c r="C25" s="15"/>
      <c r="D25" s="15"/>
      <c r="E25" s="8"/>
      <c r="F25" s="28"/>
      <c r="G25" s="17"/>
      <c r="I25" s="29"/>
      <c r="J25" s="30"/>
      <c r="K25" s="35"/>
      <c r="L25" s="31"/>
      <c r="M25" s="2"/>
      <c r="N25" s="33"/>
      <c r="O25" s="34"/>
      <c r="P25" s="7">
        <f t="shared" si="1"/>
        <v>0</v>
      </c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/>
      <c r="B26" s="41"/>
      <c r="C26" s="15"/>
      <c r="D26" s="15"/>
      <c r="E26" s="8"/>
      <c r="F26" s="28"/>
      <c r="G26" s="17"/>
      <c r="I26" s="29"/>
      <c r="J26" s="30"/>
      <c r="K26" s="35"/>
      <c r="L26" s="31"/>
      <c r="M26" s="2"/>
      <c r="N26" s="33"/>
      <c r="O26" s="34"/>
      <c r="P26" s="7">
        <f t="shared" si="1"/>
        <v>0</v>
      </c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/>
      <c r="B27" s="41"/>
      <c r="C27" s="15"/>
      <c r="D27" s="15"/>
      <c r="E27" s="8"/>
      <c r="F27" s="28"/>
      <c r="G27" s="17"/>
      <c r="I27" s="29"/>
      <c r="J27" s="30"/>
      <c r="K27" s="35"/>
      <c r="L27" s="31"/>
      <c r="M27" s="2"/>
      <c r="N27" s="33"/>
      <c r="O27" s="34"/>
      <c r="P27" s="7">
        <f t="shared" si="1"/>
        <v>0</v>
      </c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/>
      <c r="B28" s="8"/>
      <c r="C28" s="15"/>
      <c r="D28" s="15"/>
      <c r="E28" s="8"/>
      <c r="F28" s="28"/>
      <c r="G28" s="17"/>
      <c r="I28" s="29"/>
      <c r="J28" s="30"/>
      <c r="K28" s="31"/>
      <c r="L28" s="31"/>
      <c r="M28" s="2"/>
      <c r="N28" s="33"/>
      <c r="O28" s="34"/>
      <c r="P28" s="7">
        <f t="shared" si="1"/>
        <v>0</v>
      </c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/>
      <c r="B29" s="8"/>
      <c r="C29" s="15"/>
      <c r="D29" s="15"/>
      <c r="E29" s="8"/>
      <c r="F29" s="28"/>
      <c r="G29" s="17"/>
      <c r="I29" s="29"/>
      <c r="J29" s="30"/>
      <c r="K29" s="31"/>
      <c r="L29" s="31"/>
      <c r="M29" s="2"/>
      <c r="N29" s="33"/>
      <c r="O29" s="34"/>
      <c r="P29" s="7">
        <f t="shared" si="1"/>
        <v>0</v>
      </c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/>
      <c r="B30" s="8"/>
      <c r="C30" s="15"/>
      <c r="D30" s="15"/>
      <c r="E30" s="8"/>
      <c r="F30" s="28"/>
      <c r="G30" s="17"/>
      <c r="I30" s="29"/>
      <c r="J30" s="30"/>
      <c r="K30" s="35"/>
      <c r="L30" s="31"/>
      <c r="M30" s="2"/>
      <c r="N30" s="33"/>
      <c r="O30" s="34"/>
      <c r="P30" s="7">
        <f t="shared" si="1"/>
        <v>0</v>
      </c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/>
      <c r="B31" s="8"/>
      <c r="C31" s="15"/>
      <c r="D31" s="15"/>
      <c r="E31" s="8"/>
      <c r="F31" s="28"/>
      <c r="G31" s="17"/>
      <c r="I31" s="29"/>
      <c r="J31" s="30"/>
      <c r="K31" s="35"/>
      <c r="L31" s="31"/>
      <c r="M31" s="2"/>
      <c r="N31" s="33"/>
      <c r="O31" s="34"/>
      <c r="P31" s="7">
        <f t="shared" si="1"/>
        <v>0</v>
      </c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/>
      <c r="B32" s="8"/>
      <c r="C32" s="15"/>
      <c r="D32" s="15"/>
      <c r="E32" s="8"/>
      <c r="F32" s="28"/>
      <c r="G32" s="17"/>
      <c r="I32" s="29"/>
      <c r="J32" s="30"/>
      <c r="K32" s="35"/>
      <c r="L32" s="31"/>
      <c r="M32" s="2"/>
      <c r="N32" s="33"/>
      <c r="O32" s="34"/>
      <c r="P32" s="7">
        <f t="shared" si="1"/>
        <v>0</v>
      </c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/>
      <c r="B33" s="8"/>
      <c r="C33" s="15"/>
      <c r="D33" s="15"/>
      <c r="E33" s="8"/>
      <c r="F33" s="28"/>
      <c r="G33" s="17"/>
      <c r="I33" s="29"/>
      <c r="J33" s="30"/>
      <c r="K33" s="35"/>
      <c r="L33" s="31"/>
      <c r="M33" s="2"/>
      <c r="N33" s="33"/>
      <c r="O33" s="34"/>
      <c r="P33" s="7">
        <f t="shared" si="1"/>
        <v>0</v>
      </c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/>
      <c r="B34" s="8"/>
      <c r="C34" s="15"/>
      <c r="D34" s="15"/>
      <c r="E34" s="8"/>
      <c r="F34" s="28"/>
      <c r="G34" s="17"/>
      <c r="I34" s="29"/>
      <c r="J34" s="30"/>
      <c r="K34" s="35"/>
      <c r="L34" s="31"/>
      <c r="M34" s="2"/>
      <c r="N34" s="33"/>
      <c r="O34" s="34"/>
      <c r="P34" s="7">
        <f t="shared" si="1"/>
        <v>0</v>
      </c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/>
      <c r="B35" s="8"/>
      <c r="C35" s="15"/>
      <c r="D35" s="15"/>
      <c r="E35" s="8"/>
      <c r="F35" s="28"/>
      <c r="G35" s="17"/>
      <c r="I35" s="29"/>
      <c r="J35" s="30"/>
      <c r="K35" s="35"/>
      <c r="L35" s="31"/>
      <c r="M35" s="2"/>
      <c r="N35" s="33"/>
      <c r="O35" s="34"/>
      <c r="P35" s="7">
        <f t="shared" si="1"/>
        <v>0</v>
      </c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13"/>
      <c r="B36" s="8"/>
      <c r="C36" s="15"/>
      <c r="D36" s="15"/>
      <c r="E36" s="8"/>
      <c r="F36" s="28"/>
      <c r="G36" s="17"/>
      <c r="I36" s="29"/>
      <c r="J36" s="30"/>
      <c r="K36" s="35"/>
      <c r="L36" s="31"/>
      <c r="M36" s="2"/>
      <c r="N36" s="33"/>
      <c r="O36" s="34"/>
      <c r="P36" s="7">
        <f t="shared" si="1"/>
        <v>0</v>
      </c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13"/>
      <c r="B37" s="14"/>
      <c r="C37" s="15"/>
      <c r="D37" s="15"/>
      <c r="E37" s="8"/>
      <c r="F37" s="28"/>
      <c r="G37" s="17"/>
      <c r="I37" s="29"/>
      <c r="J37" s="30"/>
      <c r="K37" s="35"/>
      <c r="L37" s="31"/>
      <c r="M37" s="2"/>
      <c r="N37" s="33"/>
      <c r="O37" s="34"/>
      <c r="P37" s="7">
        <f t="shared" si="1"/>
        <v>0</v>
      </c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13"/>
      <c r="B38" s="14"/>
      <c r="C38" s="15"/>
      <c r="D38" s="15"/>
      <c r="E38" s="8"/>
      <c r="F38" s="28"/>
      <c r="G38" s="17"/>
      <c r="I38" s="29"/>
      <c r="J38" s="30"/>
      <c r="K38" s="35"/>
      <c r="L38" s="31"/>
      <c r="M38" s="2"/>
      <c r="N38" s="33"/>
      <c r="O38" s="34"/>
      <c r="P38" s="7">
        <f t="shared" si="1"/>
        <v>0</v>
      </c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13"/>
      <c r="B39" s="14"/>
      <c r="C39" s="15"/>
      <c r="D39" s="15"/>
      <c r="E39" s="8"/>
      <c r="F39" s="28"/>
      <c r="G39" s="17"/>
      <c r="J39" s="38"/>
      <c r="O39" s="12"/>
      <c r="P39" s="7">
        <f t="shared" si="1"/>
        <v>0</v>
      </c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13"/>
      <c r="B40" s="14"/>
      <c r="C40" s="15"/>
      <c r="D40" s="15"/>
      <c r="E40" s="8"/>
      <c r="F40" s="28"/>
      <c r="G40" s="17"/>
      <c r="J40" s="38"/>
      <c r="O40" s="12"/>
      <c r="P40" s="7">
        <f t="shared" si="1"/>
        <v>0</v>
      </c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13"/>
      <c r="B41" s="8"/>
      <c r="C41" s="15"/>
      <c r="D41" s="15"/>
      <c r="E41" s="8"/>
      <c r="F41" s="28"/>
      <c r="G41" s="17"/>
      <c r="J41" s="38"/>
      <c r="O41" s="12"/>
      <c r="P41" s="7">
        <f t="shared" si="1"/>
        <v>0</v>
      </c>
      <c r="Q41" s="29"/>
      <c r="R41" s="30"/>
      <c r="S41" s="35"/>
      <c r="T41" s="31"/>
      <c r="U41" s="2"/>
      <c r="V41" s="33"/>
      <c r="W41" s="32"/>
      <c r="AP41" s="38"/>
      <c r="AU41" s="12"/>
    </row>
    <row r="42">
      <c r="A42" s="13"/>
      <c r="B42" s="8"/>
      <c r="C42" s="15"/>
      <c r="D42" s="15"/>
      <c r="E42" s="8"/>
      <c r="F42" s="28"/>
      <c r="G42" s="17"/>
      <c r="J42" s="38"/>
      <c r="O42" s="12"/>
      <c r="P42" s="7">
        <f t="shared" si="1"/>
        <v>0</v>
      </c>
      <c r="Q42" s="29"/>
      <c r="R42" s="30"/>
      <c r="S42" s="31"/>
      <c r="T42" s="31"/>
      <c r="U42" s="2"/>
      <c r="V42" s="33"/>
      <c r="W42" s="32"/>
      <c r="AP42" s="38"/>
      <c r="AU42" s="12"/>
    </row>
    <row r="43">
      <c r="A43" s="13"/>
      <c r="B43" s="8"/>
      <c r="C43" s="15"/>
      <c r="D43" s="15"/>
      <c r="E43" s="8"/>
      <c r="F43" s="28"/>
      <c r="G43" s="17"/>
      <c r="J43" s="38"/>
      <c r="O43" s="12"/>
      <c r="P43" s="7">
        <f t="shared" si="1"/>
        <v>0</v>
      </c>
      <c r="Q43" s="25"/>
      <c r="R43" s="46"/>
      <c r="S43" s="47"/>
      <c r="T43" s="47"/>
      <c r="U43" s="48"/>
      <c r="V43" s="49"/>
      <c r="W43" s="50"/>
      <c r="AP43" s="38"/>
      <c r="AU43" s="12"/>
    </row>
    <row r="44">
      <c r="A44" s="13"/>
      <c r="B44" s="8"/>
      <c r="C44" s="15"/>
      <c r="D44" s="15"/>
      <c r="E44" s="8"/>
      <c r="F44" s="28"/>
      <c r="G44" s="17"/>
      <c r="J44" s="38"/>
      <c r="O44" s="12"/>
      <c r="P44" s="7">
        <f t="shared" si="1"/>
        <v>0</v>
      </c>
      <c r="Q44" s="29"/>
      <c r="R44" s="30"/>
      <c r="S44" s="31"/>
      <c r="T44" s="31"/>
      <c r="U44" s="2"/>
      <c r="V44" s="2"/>
      <c r="W44" s="32"/>
      <c r="AP44" s="38"/>
      <c r="AU44" s="12"/>
    </row>
    <row r="45">
      <c r="A45" s="13"/>
      <c r="B45" s="8"/>
      <c r="C45" s="15"/>
      <c r="D45" s="15"/>
      <c r="E45" s="8"/>
      <c r="F45" s="28"/>
      <c r="G45" s="17"/>
      <c r="J45" s="38"/>
      <c r="O45" s="12"/>
      <c r="P45" s="7">
        <f t="shared" si="1"/>
        <v>0</v>
      </c>
      <c r="AP45" s="38"/>
      <c r="AU45" s="12"/>
    </row>
    <row r="46">
      <c r="A46" s="13"/>
      <c r="B46" s="8"/>
      <c r="C46" s="15"/>
      <c r="D46" s="15"/>
      <c r="E46" s="8"/>
      <c r="F46" s="28"/>
      <c r="G46" s="17"/>
      <c r="J46" s="38"/>
      <c r="O46" s="12"/>
      <c r="P46" s="7">
        <f t="shared" si="1"/>
        <v>0</v>
      </c>
      <c r="AP46" s="38"/>
      <c r="AU46" s="12"/>
    </row>
    <row r="47">
      <c r="A47" s="13"/>
      <c r="B47" s="14"/>
      <c r="C47" s="15"/>
      <c r="D47" s="15"/>
      <c r="E47" s="8"/>
      <c r="F47" s="28"/>
      <c r="G47" s="17"/>
      <c r="J47" s="38"/>
      <c r="O47" s="12"/>
      <c r="P47" s="7">
        <f t="shared" si="1"/>
        <v>0</v>
      </c>
      <c r="AP47" s="38"/>
      <c r="AU47" s="12"/>
    </row>
    <row r="48">
      <c r="A48" s="13"/>
      <c r="B48" s="8"/>
      <c r="C48" s="15"/>
      <c r="D48" s="15"/>
      <c r="E48" s="8"/>
      <c r="F48" s="28"/>
      <c r="G48" s="17"/>
      <c r="J48" s="38"/>
      <c r="O48" s="12"/>
      <c r="P48" s="7">
        <f t="shared" si="1"/>
        <v>0</v>
      </c>
      <c r="AP48" s="38"/>
      <c r="AU48" s="12"/>
    </row>
    <row r="49">
      <c r="A49" s="13"/>
      <c r="B49" s="8"/>
      <c r="C49" s="15"/>
      <c r="D49" s="15"/>
      <c r="E49" s="8"/>
      <c r="F49" s="28"/>
      <c r="G49" s="17"/>
      <c r="J49" s="38"/>
      <c r="O49" s="12"/>
      <c r="P49" s="7">
        <f t="shared" si="1"/>
        <v>0</v>
      </c>
      <c r="AP49" s="38"/>
      <c r="AU49" s="12"/>
    </row>
    <row r="50">
      <c r="A50" s="13"/>
      <c r="B50" s="8"/>
      <c r="C50" s="15"/>
      <c r="D50" s="15"/>
      <c r="E50" s="8"/>
      <c r="F50" s="28"/>
      <c r="G50" s="17"/>
      <c r="J50" s="38"/>
      <c r="O50" s="12"/>
      <c r="P50" s="7">
        <f t="shared" si="1"/>
        <v>0</v>
      </c>
      <c r="AP50" s="38"/>
      <c r="AU50" s="12"/>
    </row>
    <row r="51">
      <c r="A51" s="13"/>
      <c r="B51" s="8"/>
      <c r="C51" s="15"/>
      <c r="D51" s="15"/>
      <c r="E51" s="8"/>
      <c r="F51" s="28"/>
      <c r="G51" s="17"/>
      <c r="J51" s="38"/>
      <c r="O51" s="12"/>
      <c r="P51" s="7">
        <f t="shared" si="1"/>
        <v>0</v>
      </c>
      <c r="AP51" s="38"/>
      <c r="AU51" s="12"/>
    </row>
    <row r="52">
      <c r="A52" s="13"/>
      <c r="B52" s="8"/>
      <c r="C52" s="15"/>
      <c r="D52" s="15"/>
      <c r="E52" s="8"/>
      <c r="F52" s="28"/>
      <c r="G52" s="17"/>
      <c r="J52" s="38"/>
      <c r="O52" s="12"/>
      <c r="P52" s="7">
        <f t="shared" si="1"/>
        <v>0</v>
      </c>
      <c r="AP52" s="38"/>
      <c r="AU52" s="12"/>
    </row>
    <row r="53">
      <c r="A53" s="13"/>
      <c r="B53" s="8"/>
      <c r="C53" s="15"/>
      <c r="D53" s="15"/>
      <c r="E53" s="8"/>
      <c r="F53" s="28"/>
      <c r="G53" s="17"/>
      <c r="J53" s="38"/>
      <c r="O53" s="12"/>
      <c r="P53" s="7">
        <f t="shared" si="1"/>
        <v>0</v>
      </c>
      <c r="AP53" s="38"/>
      <c r="AU53" s="12"/>
    </row>
    <row r="54">
      <c r="A54" s="13"/>
      <c r="B54" s="8"/>
      <c r="C54" s="15"/>
      <c r="D54" s="15"/>
      <c r="E54" s="8"/>
      <c r="F54" s="28"/>
      <c r="G54" s="17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>
        <f t="shared" si="1"/>
        <v>0</v>
      </c>
      <c r="AP107" s="38"/>
    </row>
    <row r="108">
      <c r="B108" s="38"/>
      <c r="G108" s="12"/>
      <c r="J108" s="38"/>
      <c r="O108" s="12"/>
      <c r="P108" s="7">
        <f t="shared" si="1"/>
        <v>0</v>
      </c>
      <c r="AP108" s="38"/>
    </row>
    <row r="109">
      <c r="B109" s="38"/>
      <c r="G109" s="12"/>
      <c r="J109" s="38"/>
      <c r="O109" s="12"/>
      <c r="P109" s="7">
        <f t="shared" si="1"/>
        <v>0</v>
      </c>
      <c r="AP109" s="38"/>
    </row>
    <row r="110">
      <c r="B110" s="38"/>
      <c r="G110" s="12"/>
      <c r="J110" s="38"/>
      <c r="O110" s="12"/>
      <c r="P110" s="7">
        <f t="shared" si="1"/>
        <v>0</v>
      </c>
      <c r="AP110" s="38"/>
    </row>
    <row r="111">
      <c r="B111" s="38"/>
      <c r="G111" s="12"/>
      <c r="J111" s="38"/>
      <c r="O111" s="12"/>
      <c r="P111" s="7">
        <f t="shared" si="1"/>
        <v>0</v>
      </c>
      <c r="AP111" s="38"/>
    </row>
    <row r="112">
      <c r="B112" s="38"/>
      <c r="G112" s="12"/>
      <c r="J112" s="38"/>
      <c r="O112" s="12"/>
      <c r="P112" s="7">
        <f t="shared" si="1"/>
        <v>0</v>
      </c>
      <c r="AP112" s="38"/>
    </row>
    <row r="113">
      <c r="B113" s="38"/>
      <c r="G113" s="12"/>
      <c r="J113" s="38"/>
      <c r="O113" s="12"/>
      <c r="P113" s="7">
        <f t="shared" si="1"/>
        <v>0</v>
      </c>
      <c r="AP113" s="38"/>
    </row>
    <row r="114">
      <c r="B114" s="38"/>
      <c r="G114" s="12"/>
      <c r="J114" s="38"/>
      <c r="O114" s="12"/>
      <c r="P114" s="7">
        <f t="shared" si="1"/>
        <v>0</v>
      </c>
      <c r="AP114" s="38"/>
    </row>
    <row r="115">
      <c r="B115" s="38"/>
      <c r="G115" s="12"/>
      <c r="J115" s="38"/>
      <c r="O115" s="12"/>
      <c r="P115" s="7">
        <f t="shared" si="1"/>
        <v>0</v>
      </c>
      <c r="AP115" s="38"/>
    </row>
    <row r="116">
      <c r="B116" s="38"/>
      <c r="G116" s="12"/>
      <c r="J116" s="38"/>
      <c r="O116" s="12"/>
      <c r="P116" s="7">
        <f t="shared" si="1"/>
        <v>0</v>
      </c>
      <c r="AP116" s="38"/>
    </row>
    <row r="117">
      <c r="B117" s="38"/>
      <c r="G117" s="12"/>
      <c r="J117" s="38"/>
      <c r="O117" s="12"/>
      <c r="P117" s="7">
        <f t="shared" si="1"/>
        <v>0</v>
      </c>
      <c r="AP117" s="38"/>
    </row>
    <row r="118">
      <c r="B118" s="38"/>
      <c r="G118" s="12"/>
      <c r="J118" s="38"/>
      <c r="O118" s="12"/>
      <c r="P118" s="7">
        <f t="shared" si="1"/>
        <v>0</v>
      </c>
      <c r="AP118" s="38"/>
    </row>
    <row r="119">
      <c r="B119" s="38"/>
      <c r="G119" s="12"/>
      <c r="J119" s="38"/>
      <c r="O119" s="12"/>
      <c r="P119" s="7">
        <f t="shared" si="1"/>
        <v>0</v>
      </c>
      <c r="AP119" s="38"/>
    </row>
    <row r="120">
      <c r="B120" s="38"/>
      <c r="G120" s="12"/>
      <c r="J120" s="38"/>
      <c r="O120" s="12"/>
      <c r="P120" s="7">
        <f t="shared" si="1"/>
        <v>0</v>
      </c>
      <c r="AP120" s="38"/>
    </row>
    <row r="121">
      <c r="B121" s="38"/>
      <c r="G121" s="12"/>
      <c r="J121" s="38"/>
      <c r="O121" s="12"/>
      <c r="P121" s="7">
        <f t="shared" si="1"/>
        <v>0</v>
      </c>
      <c r="AP121" s="38"/>
    </row>
    <row r="122">
      <c r="B122" s="38"/>
      <c r="G122" s="12"/>
      <c r="J122" s="38"/>
      <c r="O122" s="12"/>
      <c r="P122" s="7">
        <f t="shared" si="1"/>
        <v>0</v>
      </c>
      <c r="AP122" s="38"/>
    </row>
    <row r="123">
      <c r="B123" s="38"/>
      <c r="G123" s="12"/>
      <c r="J123" s="38"/>
      <c r="O123" s="12"/>
      <c r="P123" s="7">
        <f t="shared" si="1"/>
        <v>0</v>
      </c>
      <c r="AP123" s="38"/>
    </row>
    <row r="124">
      <c r="B124" s="38"/>
      <c r="G124" s="12"/>
      <c r="J124" s="38"/>
      <c r="O124" s="12"/>
      <c r="P124" s="7">
        <f t="shared" si="1"/>
        <v>0</v>
      </c>
      <c r="AP124" s="38"/>
    </row>
    <row r="125">
      <c r="B125" s="38"/>
      <c r="G125" s="12"/>
      <c r="J125" s="38"/>
      <c r="O125" s="12"/>
      <c r="P125" s="7">
        <f t="shared" si="1"/>
        <v>0</v>
      </c>
      <c r="AP125" s="38"/>
    </row>
    <row r="126">
      <c r="B126" s="38"/>
      <c r="G126" s="12"/>
      <c r="J126" s="38"/>
      <c r="O126" s="12"/>
      <c r="P126" s="7">
        <f t="shared" si="1"/>
        <v>0</v>
      </c>
      <c r="AP126" s="38"/>
    </row>
    <row r="127">
      <c r="B127" s="38"/>
      <c r="G127" s="12"/>
      <c r="J127" s="38"/>
      <c r="O127" s="12"/>
      <c r="P127" s="7">
        <f t="shared" si="1"/>
        <v>0</v>
      </c>
      <c r="AP127" s="38"/>
    </row>
    <row r="128">
      <c r="B128" s="38"/>
      <c r="G128" s="12"/>
      <c r="J128" s="38"/>
      <c r="O128" s="12"/>
      <c r="P128" s="7">
        <f t="shared" si="1"/>
        <v>0</v>
      </c>
      <c r="AP128" s="38"/>
    </row>
    <row r="129">
      <c r="B129" s="38"/>
      <c r="G129" s="12"/>
      <c r="J129" s="38"/>
      <c r="O129" s="12"/>
      <c r="P129" s="7">
        <f t="shared" si="1"/>
        <v>0</v>
      </c>
      <c r="AP129" s="38"/>
    </row>
    <row r="130">
      <c r="B130" s="38"/>
      <c r="G130" s="12"/>
      <c r="J130" s="38"/>
      <c r="O130" s="12"/>
      <c r="P130" s="7">
        <f t="shared" si="1"/>
        <v>0</v>
      </c>
      <c r="AP130" s="38"/>
    </row>
    <row r="131">
      <c r="B131" s="38"/>
      <c r="G131" s="12"/>
      <c r="J131" s="38"/>
      <c r="O131" s="12"/>
      <c r="P131" s="7">
        <f t="shared" si="1"/>
        <v>0</v>
      </c>
      <c r="AP131" s="38"/>
    </row>
    <row r="132">
      <c r="B132" s="38"/>
      <c r="G132" s="12"/>
      <c r="J132" s="38"/>
      <c r="O132" s="12"/>
      <c r="P132" s="7">
        <f t="shared" si="1"/>
        <v>0</v>
      </c>
      <c r="AP132" s="38"/>
    </row>
    <row r="133">
      <c r="B133" s="38"/>
      <c r="G133" s="12"/>
      <c r="J133" s="38"/>
      <c r="O133" s="12"/>
      <c r="P133" s="7">
        <f t="shared" si="1"/>
        <v>0</v>
      </c>
      <c r="AP133" s="38"/>
    </row>
    <row r="134">
      <c r="B134" s="38"/>
      <c r="G134" s="12"/>
      <c r="J134" s="38"/>
      <c r="O134" s="12"/>
      <c r="P134" s="7">
        <f t="shared" si="1"/>
        <v>0</v>
      </c>
      <c r="AP134" s="38"/>
    </row>
    <row r="135">
      <c r="B135" s="38"/>
      <c r="G135" s="12"/>
      <c r="J135" s="38"/>
      <c r="O135" s="12"/>
      <c r="P135" s="7">
        <f t="shared" si="1"/>
        <v>0</v>
      </c>
      <c r="AP135" s="38"/>
    </row>
    <row r="136">
      <c r="B136" s="38"/>
      <c r="G136" s="12"/>
      <c r="J136" s="38"/>
      <c r="O136" s="12"/>
      <c r="P136" s="7">
        <f t="shared" si="1"/>
        <v>0</v>
      </c>
      <c r="AP136" s="38"/>
    </row>
    <row r="137">
      <c r="B137" s="38"/>
      <c r="G137" s="12"/>
      <c r="J137" s="38"/>
      <c r="O137" s="12"/>
      <c r="P137" s="7">
        <f t="shared" si="1"/>
        <v>0</v>
      </c>
      <c r="AP137" s="38"/>
    </row>
    <row r="138">
      <c r="B138" s="38"/>
      <c r="G138" s="12"/>
      <c r="J138" s="38"/>
      <c r="O138" s="12"/>
      <c r="P138" s="7">
        <f t="shared" si="1"/>
        <v>0</v>
      </c>
      <c r="AP138" s="38"/>
    </row>
    <row r="139">
      <c r="B139" s="38"/>
      <c r="G139" s="12"/>
      <c r="J139" s="38"/>
      <c r="O139" s="12"/>
      <c r="P139" s="7">
        <f t="shared" si="1"/>
        <v>0</v>
      </c>
      <c r="AP139" s="38"/>
    </row>
    <row r="140">
      <c r="B140" s="38"/>
      <c r="G140" s="12"/>
      <c r="J140" s="38"/>
      <c r="O140" s="12"/>
      <c r="P140" s="7">
        <f t="shared" si="1"/>
        <v>0</v>
      </c>
      <c r="AP140" s="38"/>
    </row>
    <row r="141">
      <c r="B141" s="38"/>
      <c r="G141" s="12"/>
      <c r="J141" s="38"/>
      <c r="O141" s="12"/>
      <c r="P141" s="7">
        <f t="shared" si="1"/>
        <v>0</v>
      </c>
      <c r="AP141" s="38"/>
    </row>
    <row r="142">
      <c r="B142" s="38"/>
      <c r="G142" s="12"/>
      <c r="J142" s="38"/>
      <c r="O142" s="12"/>
      <c r="P142" s="7">
        <f t="shared" si="1"/>
        <v>0</v>
      </c>
      <c r="AP142" s="38"/>
    </row>
    <row r="143">
      <c r="B143" s="38"/>
      <c r="G143" s="12"/>
      <c r="J143" s="38"/>
      <c r="O143" s="12"/>
      <c r="P143" s="7">
        <f t="shared" si="1"/>
        <v>0</v>
      </c>
      <c r="AP143" s="38"/>
    </row>
    <row r="144">
      <c r="B144" s="38"/>
      <c r="G144" s="12"/>
      <c r="J144" s="38"/>
      <c r="O144" s="12"/>
      <c r="P144" s="7">
        <f t="shared" si="1"/>
        <v>0</v>
      </c>
      <c r="AP144" s="38"/>
    </row>
    <row r="145">
      <c r="B145" s="38"/>
      <c r="G145" s="12"/>
      <c r="J145" s="38"/>
      <c r="O145" s="12"/>
      <c r="P145" s="7">
        <f t="shared" si="1"/>
        <v>0</v>
      </c>
      <c r="AP145" s="38"/>
    </row>
    <row r="146">
      <c r="B146" s="38"/>
      <c r="G146" s="12"/>
      <c r="J146" s="38"/>
      <c r="O146" s="12"/>
      <c r="P146" s="7">
        <f t="shared" si="1"/>
        <v>0</v>
      </c>
      <c r="AP146" s="38"/>
    </row>
    <row r="147">
      <c r="B147" s="38"/>
      <c r="G147" s="12"/>
      <c r="J147" s="38"/>
      <c r="O147" s="12"/>
      <c r="P147" s="7">
        <f t="shared" si="1"/>
        <v>0</v>
      </c>
      <c r="AP147" s="38"/>
    </row>
    <row r="148">
      <c r="B148" s="38"/>
      <c r="G148" s="12"/>
      <c r="J148" s="38"/>
      <c r="O148" s="12"/>
      <c r="P148" s="7">
        <f t="shared" si="1"/>
        <v>0</v>
      </c>
      <c r="AP148" s="38"/>
    </row>
    <row r="149">
      <c r="B149" s="38"/>
      <c r="G149" s="12"/>
      <c r="J149" s="38"/>
      <c r="O149" s="12"/>
      <c r="P149" s="7">
        <f t="shared" si="1"/>
        <v>0</v>
      </c>
      <c r="AP149" s="38"/>
    </row>
    <row r="150">
      <c r="B150" s="38"/>
      <c r="G150" s="12"/>
      <c r="J150" s="38"/>
      <c r="O150" s="12"/>
      <c r="P150" s="7">
        <f t="shared" si="1"/>
        <v>0</v>
      </c>
      <c r="AP150" s="38"/>
    </row>
    <row r="151">
      <c r="B151" s="38"/>
      <c r="G151" s="12"/>
      <c r="J151" s="38"/>
      <c r="O151" s="12"/>
      <c r="P151" s="7">
        <f t="shared" si="1"/>
        <v>0</v>
      </c>
      <c r="AP151" s="38"/>
    </row>
    <row r="152">
      <c r="B152" s="38"/>
      <c r="G152" s="12"/>
      <c r="J152" s="38"/>
      <c r="O152" s="12"/>
      <c r="P152" s="7">
        <f t="shared" si="1"/>
        <v>0</v>
      </c>
      <c r="AP152" s="38"/>
    </row>
    <row r="153">
      <c r="B153" s="38"/>
      <c r="G153" s="12"/>
      <c r="J153" s="38"/>
      <c r="O153" s="12"/>
      <c r="P153" s="7">
        <f t="shared" si="1"/>
        <v>0</v>
      </c>
      <c r="AP153" s="38"/>
    </row>
    <row r="154">
      <c r="B154" s="38"/>
      <c r="G154" s="12"/>
      <c r="J154" s="38"/>
      <c r="O154" s="12"/>
      <c r="P154" s="7">
        <f t="shared" si="1"/>
        <v>0</v>
      </c>
      <c r="AP154" s="38"/>
    </row>
    <row r="155">
      <c r="B155" s="38"/>
      <c r="G155" s="12"/>
      <c r="J155" s="38"/>
      <c r="O155" s="12"/>
      <c r="P155" s="7">
        <f t="shared" si="1"/>
        <v>0</v>
      </c>
      <c r="AP155" s="38"/>
    </row>
    <row r="156">
      <c r="B156" s="38"/>
      <c r="G156" s="12"/>
      <c r="J156" s="38"/>
      <c r="O156" s="12"/>
      <c r="P156" s="7">
        <f t="shared" si="1"/>
        <v>0</v>
      </c>
      <c r="AP156" s="38"/>
    </row>
    <row r="157">
      <c r="B157" s="38"/>
      <c r="G157" s="12"/>
      <c r="J157" s="38"/>
      <c r="O157" s="12"/>
      <c r="P157" s="7">
        <f t="shared" si="1"/>
        <v>0</v>
      </c>
      <c r="AP157" s="38"/>
    </row>
    <row r="158">
      <c r="B158" s="38"/>
      <c r="G158" s="12"/>
      <c r="J158" s="38"/>
      <c r="O158" s="12"/>
      <c r="P158" s="7">
        <f t="shared" si="1"/>
        <v>0</v>
      </c>
      <c r="AP158" s="38"/>
    </row>
    <row r="159">
      <c r="B159" s="38"/>
      <c r="G159" s="12"/>
      <c r="J159" s="38"/>
      <c r="O159" s="12"/>
      <c r="P159" s="7">
        <f t="shared" si="1"/>
        <v>0</v>
      </c>
      <c r="AP159" s="38"/>
    </row>
    <row r="160">
      <c r="B160" s="38"/>
      <c r="G160" s="12"/>
      <c r="J160" s="38"/>
      <c r="O160" s="12"/>
      <c r="P160" s="7">
        <f t="shared" si="1"/>
        <v>0</v>
      </c>
      <c r="AP160" s="38"/>
    </row>
    <row r="161">
      <c r="B161" s="38"/>
      <c r="G161" s="12"/>
      <c r="J161" s="38"/>
      <c r="O161" s="12"/>
      <c r="P161" s="7">
        <f t="shared" si="1"/>
        <v>0</v>
      </c>
      <c r="AP161" s="38"/>
    </row>
    <row r="162">
      <c r="B162" s="38"/>
      <c r="G162" s="12"/>
      <c r="J162" s="38"/>
      <c r="O162" s="12"/>
      <c r="P162" s="7">
        <f t="shared" si="1"/>
        <v>0</v>
      </c>
      <c r="AP162" s="38"/>
    </row>
    <row r="163">
      <c r="B163" s="38"/>
      <c r="G163" s="12"/>
      <c r="J163" s="38"/>
      <c r="O163" s="12"/>
      <c r="P163" s="7">
        <f t="shared" si="1"/>
        <v>0</v>
      </c>
      <c r="AP163" s="38"/>
    </row>
    <row r="164">
      <c r="B164" s="38"/>
      <c r="G164" s="12"/>
      <c r="J164" s="38"/>
      <c r="O164" s="12"/>
      <c r="P164" s="7">
        <f t="shared" si="1"/>
        <v>0</v>
      </c>
      <c r="AP164" s="38"/>
    </row>
    <row r="165">
      <c r="B165" s="38"/>
      <c r="G165" s="12"/>
      <c r="J165" s="38"/>
      <c r="O165" s="12"/>
      <c r="P165" s="7">
        <f t="shared" si="1"/>
        <v>0</v>
      </c>
      <c r="AP165" s="38"/>
    </row>
    <row r="166">
      <c r="B166" s="38"/>
      <c r="G166" s="12"/>
      <c r="J166" s="38"/>
      <c r="O166" s="12"/>
      <c r="P166" s="7">
        <f t="shared" si="1"/>
        <v>0</v>
      </c>
      <c r="AP166" s="38"/>
    </row>
    <row r="167">
      <c r="B167" s="38"/>
      <c r="G167" s="12"/>
      <c r="J167" s="38"/>
      <c r="O167" s="12"/>
      <c r="P167" s="7">
        <f t="shared" si="1"/>
        <v>0</v>
      </c>
      <c r="AP167" s="38"/>
    </row>
    <row r="168">
      <c r="B168" s="38"/>
      <c r="G168" s="12"/>
      <c r="J168" s="38"/>
      <c r="O168" s="12"/>
      <c r="P168" s="7">
        <f t="shared" si="1"/>
        <v>0</v>
      </c>
      <c r="AP168" s="38"/>
    </row>
    <row r="169">
      <c r="B169" s="38"/>
      <c r="G169" s="12"/>
      <c r="J169" s="38"/>
      <c r="O169" s="12"/>
      <c r="P169" s="7">
        <f t="shared" si="1"/>
        <v>0</v>
      </c>
      <c r="AP169" s="38"/>
    </row>
    <row r="170">
      <c r="B170" s="38"/>
      <c r="G170" s="12"/>
      <c r="J170" s="38"/>
      <c r="O170" s="12"/>
      <c r="P170" s="7">
        <f t="shared" si="1"/>
        <v>0</v>
      </c>
      <c r="AP170" s="38"/>
    </row>
    <row r="171">
      <c r="B171" s="38"/>
      <c r="G171" s="12"/>
      <c r="J171" s="38"/>
      <c r="O171" s="12"/>
      <c r="P171" s="7">
        <f t="shared" si="1"/>
        <v>0</v>
      </c>
      <c r="AP171" s="38"/>
    </row>
    <row r="172">
      <c r="B172" s="38"/>
      <c r="G172" s="12"/>
      <c r="J172" s="38"/>
      <c r="O172" s="12"/>
      <c r="P172" s="7">
        <f t="shared" si="1"/>
        <v>0</v>
      </c>
      <c r="AP172" s="38"/>
    </row>
    <row r="173">
      <c r="B173" s="38"/>
      <c r="G173" s="12"/>
      <c r="J173" s="38"/>
      <c r="O173" s="12"/>
      <c r="P173" s="7">
        <f t="shared" si="1"/>
        <v>0</v>
      </c>
      <c r="AP173" s="38"/>
    </row>
    <row r="174">
      <c r="B174" s="38"/>
      <c r="G174" s="12"/>
      <c r="J174" s="38"/>
      <c r="O174" s="12"/>
      <c r="P174" s="7">
        <f t="shared" si="1"/>
        <v>0</v>
      </c>
      <c r="AP174" s="38"/>
    </row>
    <row r="175">
      <c r="B175" s="38"/>
      <c r="G175" s="12"/>
      <c r="J175" s="38"/>
      <c r="O175" s="12"/>
      <c r="P175" s="7">
        <f t="shared" si="1"/>
        <v>0</v>
      </c>
      <c r="AP175" s="38"/>
    </row>
    <row r="176">
      <c r="B176" s="38"/>
      <c r="G176" s="12"/>
      <c r="J176" s="38"/>
      <c r="O176" s="12"/>
      <c r="P176" s="7">
        <f t="shared" si="1"/>
        <v>0</v>
      </c>
      <c r="AP176" s="38"/>
    </row>
    <row r="177">
      <c r="B177" s="38"/>
      <c r="G177" s="12"/>
      <c r="J177" s="38"/>
      <c r="O177" s="12"/>
      <c r="P177" s="7">
        <f t="shared" si="1"/>
        <v>0</v>
      </c>
      <c r="AP177" s="38"/>
    </row>
    <row r="178">
      <c r="B178" s="38"/>
      <c r="G178" s="12"/>
      <c r="J178" s="38"/>
      <c r="O178" s="12"/>
      <c r="P178" s="7">
        <f t="shared" si="1"/>
        <v>0</v>
      </c>
      <c r="AP178" s="38"/>
    </row>
    <row r="179">
      <c r="B179" s="38"/>
      <c r="G179" s="12"/>
      <c r="J179" s="38"/>
      <c r="O179" s="12"/>
      <c r="P179" s="7">
        <f t="shared" si="1"/>
        <v>0</v>
      </c>
      <c r="AP179" s="38"/>
    </row>
    <row r="180">
      <c r="B180" s="38"/>
      <c r="G180" s="12"/>
      <c r="J180" s="38"/>
      <c r="O180" s="12"/>
      <c r="P180" s="7">
        <f t="shared" si="1"/>
        <v>0</v>
      </c>
      <c r="AP180" s="38"/>
    </row>
    <row r="181">
      <c r="B181" s="38"/>
      <c r="G181" s="12"/>
      <c r="J181" s="38"/>
      <c r="O181" s="12"/>
      <c r="P181" s="7">
        <f t="shared" si="1"/>
        <v>0</v>
      </c>
      <c r="AP181" s="38"/>
    </row>
    <row r="182">
      <c r="B182" s="38"/>
      <c r="G182" s="12"/>
      <c r="J182" s="38"/>
      <c r="O182" s="12"/>
      <c r="P182" s="7">
        <f t="shared" si="1"/>
        <v>0</v>
      </c>
      <c r="AP182" s="38"/>
    </row>
    <row r="183">
      <c r="B183" s="38"/>
      <c r="G183" s="12"/>
      <c r="J183" s="38"/>
      <c r="O183" s="12"/>
      <c r="P183" s="7">
        <f t="shared" si="1"/>
        <v>0</v>
      </c>
      <c r="AP183" s="38"/>
    </row>
    <row r="184">
      <c r="B184" s="38"/>
      <c r="G184" s="12"/>
      <c r="J184" s="38"/>
      <c r="O184" s="12"/>
      <c r="P184" s="7">
        <f t="shared" si="1"/>
        <v>0</v>
      </c>
      <c r="AP184" s="38"/>
    </row>
    <row r="185">
      <c r="B185" s="38"/>
      <c r="G185" s="12"/>
      <c r="J185" s="38"/>
      <c r="O185" s="12"/>
      <c r="P185" s="7">
        <f t="shared" si="1"/>
        <v>0</v>
      </c>
      <c r="AP185" s="38"/>
    </row>
    <row r="186">
      <c r="B186" s="38"/>
      <c r="G186" s="12"/>
      <c r="J186" s="38"/>
      <c r="O186" s="12"/>
      <c r="P186" s="7">
        <f t="shared" si="1"/>
        <v>0</v>
      </c>
      <c r="AP186" s="38"/>
    </row>
    <row r="187">
      <c r="B187" s="38"/>
      <c r="G187" s="12"/>
      <c r="J187" s="38"/>
      <c r="O187" s="12"/>
      <c r="P187" s="7">
        <f t="shared" si="1"/>
        <v>0</v>
      </c>
      <c r="AP187" s="38"/>
    </row>
    <row r="188">
      <c r="B188" s="38"/>
      <c r="G188" s="12"/>
      <c r="J188" s="38"/>
      <c r="O188" s="12"/>
      <c r="P188" s="7">
        <f t="shared" si="1"/>
        <v>0</v>
      </c>
      <c r="AP188" s="38"/>
    </row>
    <row r="189">
      <c r="B189" s="38"/>
      <c r="G189" s="12"/>
      <c r="J189" s="38"/>
      <c r="O189" s="12"/>
      <c r="P189" s="7">
        <f t="shared" si="1"/>
        <v>0</v>
      </c>
      <c r="AP189" s="38"/>
    </row>
    <row r="190">
      <c r="B190" s="38"/>
      <c r="G190" s="12"/>
      <c r="J190" s="38"/>
      <c r="O190" s="12"/>
      <c r="P190" s="7">
        <f t="shared" si="1"/>
        <v>0</v>
      </c>
      <c r="AP190" s="38"/>
    </row>
    <row r="191">
      <c r="B191" s="38"/>
      <c r="G191" s="12"/>
      <c r="J191" s="38"/>
      <c r="O191" s="12"/>
      <c r="P191" s="7">
        <f t="shared" si="1"/>
        <v>0</v>
      </c>
      <c r="AP191" s="38"/>
    </row>
    <row r="192">
      <c r="B192" s="38"/>
      <c r="G192" s="12"/>
      <c r="J192" s="38"/>
      <c r="O192" s="12"/>
      <c r="P192" s="7">
        <f t="shared" si="1"/>
        <v>0</v>
      </c>
      <c r="AP192" s="38"/>
    </row>
    <row r="193">
      <c r="B193" s="38"/>
      <c r="G193" s="12"/>
      <c r="J193" s="38"/>
      <c r="O193" s="12"/>
      <c r="P193" s="7">
        <f t="shared" si="1"/>
        <v>0</v>
      </c>
      <c r="AP193" s="38"/>
    </row>
    <row r="194">
      <c r="B194" s="38"/>
      <c r="G194" s="12"/>
      <c r="J194" s="38"/>
      <c r="O194" s="12"/>
      <c r="P194" s="7">
        <f t="shared" si="1"/>
        <v>0</v>
      </c>
      <c r="AP194" s="38"/>
    </row>
    <row r="195">
      <c r="B195" s="38"/>
      <c r="G195" s="12"/>
      <c r="J195" s="38"/>
      <c r="O195" s="12"/>
      <c r="P195" s="7">
        <f t="shared" si="1"/>
        <v>0</v>
      </c>
      <c r="AP195" s="38"/>
    </row>
    <row r="196">
      <c r="B196" s="38"/>
      <c r="G196" s="12"/>
      <c r="J196" s="38"/>
      <c r="O196" s="12"/>
      <c r="P196" s="7">
        <f t="shared" si="1"/>
        <v>0</v>
      </c>
      <c r="AP196" s="38"/>
    </row>
    <row r="197">
      <c r="B197" s="38"/>
      <c r="G197" s="12"/>
      <c r="J197" s="38"/>
      <c r="O197" s="12"/>
      <c r="P197" s="7">
        <f t="shared" si="1"/>
        <v>0</v>
      </c>
      <c r="AP197" s="38"/>
    </row>
    <row r="198">
      <c r="B198" s="38"/>
      <c r="G198" s="12"/>
      <c r="J198" s="38"/>
      <c r="O198" s="12"/>
      <c r="P198" s="7">
        <f t="shared" si="1"/>
        <v>0</v>
      </c>
      <c r="AP198" s="38"/>
    </row>
    <row r="199">
      <c r="B199" s="38"/>
      <c r="G199" s="12"/>
      <c r="J199" s="38"/>
      <c r="O199" s="12"/>
      <c r="P199" s="7">
        <f t="shared" si="1"/>
        <v>0</v>
      </c>
      <c r="AP199" s="38"/>
    </row>
    <row r="200">
      <c r="B200" s="38"/>
      <c r="G200" s="12"/>
      <c r="J200" s="38"/>
      <c r="O200" s="12"/>
      <c r="P200" s="7">
        <f t="shared" si="1"/>
        <v>0</v>
      </c>
      <c r="AP200" s="38"/>
    </row>
    <row r="201">
      <c r="B201" s="38"/>
      <c r="G201" s="12"/>
      <c r="J201" s="38"/>
      <c r="O201" s="12"/>
      <c r="P201" s="7">
        <f t="shared" si="1"/>
        <v>0</v>
      </c>
      <c r="AP201" s="38"/>
    </row>
    <row r="202">
      <c r="B202" s="38"/>
      <c r="G202" s="12"/>
      <c r="J202" s="38"/>
      <c r="O202" s="12"/>
      <c r="P202" s="7">
        <f t="shared" si="1"/>
        <v>0</v>
      </c>
      <c r="AP202" s="38"/>
    </row>
    <row r="203">
      <c r="B203" s="38"/>
      <c r="G203" s="12"/>
      <c r="J203" s="38"/>
      <c r="O203" s="12"/>
      <c r="P203" s="7">
        <f t="shared" si="1"/>
        <v>0</v>
      </c>
      <c r="AP203" s="38"/>
    </row>
    <row r="204">
      <c r="B204" s="38"/>
      <c r="G204" s="12"/>
      <c r="J204" s="38"/>
      <c r="O204" s="12"/>
      <c r="P204" s="7">
        <f t="shared" si="1"/>
        <v>0</v>
      </c>
      <c r="AP204" s="38"/>
    </row>
    <row r="205">
      <c r="B205" s="38"/>
      <c r="G205" s="12"/>
      <c r="J205" s="38"/>
      <c r="O205" s="12"/>
      <c r="P205" s="7">
        <f t="shared" si="1"/>
        <v>0</v>
      </c>
      <c r="AP205" s="38"/>
    </row>
    <row r="206">
      <c r="B206" s="38"/>
      <c r="G206" s="12"/>
      <c r="J206" s="38"/>
      <c r="O206" s="12"/>
      <c r="P206" s="7">
        <f t="shared" si="1"/>
        <v>0</v>
      </c>
      <c r="AP206" s="38"/>
    </row>
    <row r="207">
      <c r="B207" s="38"/>
      <c r="G207" s="12"/>
      <c r="J207" s="38"/>
      <c r="O207" s="12"/>
      <c r="P207" s="7">
        <f t="shared" si="1"/>
        <v>0</v>
      </c>
      <c r="AP207" s="38"/>
    </row>
    <row r="208">
      <c r="B208" s="38"/>
      <c r="G208" s="12"/>
      <c r="J208" s="38"/>
      <c r="O208" s="12"/>
      <c r="P208" s="7">
        <f t="shared" si="1"/>
        <v>0</v>
      </c>
      <c r="AP208" s="38"/>
    </row>
    <row r="209">
      <c r="B209" s="38"/>
      <c r="G209" s="12"/>
      <c r="J209" s="38"/>
      <c r="O209" s="12"/>
      <c r="P209" s="7">
        <f t="shared" si="1"/>
        <v>0</v>
      </c>
      <c r="AP209" s="38"/>
    </row>
    <row r="210">
      <c r="B210" s="38"/>
      <c r="G210" s="12"/>
      <c r="J210" s="38"/>
      <c r="O210" s="12"/>
      <c r="P210" s="7">
        <f t="shared" si="1"/>
        <v>0</v>
      </c>
      <c r="AP210" s="38"/>
    </row>
    <row r="211">
      <c r="B211" s="38"/>
      <c r="G211" s="12"/>
      <c r="J211" s="38"/>
      <c r="O211" s="12"/>
      <c r="P211" s="7">
        <f t="shared" si="1"/>
        <v>0</v>
      </c>
      <c r="AP211" s="38"/>
    </row>
    <row r="212">
      <c r="B212" s="38"/>
      <c r="G212" s="12"/>
      <c r="J212" s="38"/>
      <c r="O212" s="12"/>
      <c r="P212" s="7">
        <f t="shared" si="1"/>
        <v>0</v>
      </c>
      <c r="AP212" s="38"/>
    </row>
    <row r="213">
      <c r="B213" s="38"/>
      <c r="G213" s="12"/>
      <c r="J213" s="38"/>
      <c r="O213" s="12"/>
      <c r="P213" s="7">
        <f t="shared" si="1"/>
        <v>0</v>
      </c>
      <c r="AP213" s="38"/>
    </row>
    <row r="214">
      <c r="B214" s="38"/>
      <c r="G214" s="12"/>
      <c r="J214" s="38"/>
      <c r="O214" s="12"/>
      <c r="P214" s="7">
        <f t="shared" si="1"/>
        <v>0</v>
      </c>
      <c r="AP214" s="38"/>
    </row>
    <row r="215">
      <c r="B215" s="38"/>
      <c r="G215" s="12"/>
      <c r="J215" s="38"/>
      <c r="O215" s="12"/>
      <c r="P215" s="7">
        <f t="shared" si="1"/>
        <v>0</v>
      </c>
      <c r="AP215" s="38"/>
    </row>
    <row r="216">
      <c r="B216" s="38"/>
      <c r="G216" s="12"/>
      <c r="J216" s="38"/>
      <c r="O216" s="12"/>
      <c r="P216" s="7">
        <f t="shared" si="1"/>
        <v>0</v>
      </c>
      <c r="AP216" s="38"/>
    </row>
    <row r="217">
      <c r="B217" s="38"/>
      <c r="G217" s="12"/>
      <c r="J217" s="38"/>
      <c r="O217" s="12"/>
      <c r="P217" s="7">
        <f t="shared" si="1"/>
        <v>0</v>
      </c>
      <c r="AP217" s="38"/>
    </row>
    <row r="218">
      <c r="B218" s="38"/>
      <c r="G218" s="12"/>
      <c r="J218" s="38"/>
      <c r="O218" s="12"/>
      <c r="P218" s="7">
        <f t="shared" si="1"/>
        <v>0</v>
      </c>
      <c r="AP218" s="38"/>
    </row>
    <row r="219">
      <c r="B219" s="38"/>
      <c r="G219" s="12"/>
      <c r="J219" s="38"/>
      <c r="O219" s="12"/>
      <c r="P219" s="7">
        <f t="shared" si="1"/>
        <v>0</v>
      </c>
      <c r="AP219" s="38"/>
    </row>
    <row r="220">
      <c r="B220" s="38"/>
      <c r="G220" s="12"/>
      <c r="J220" s="38"/>
      <c r="O220" s="12"/>
      <c r="P220" s="7">
        <f t="shared" si="1"/>
        <v>0</v>
      </c>
      <c r="AP220" s="38"/>
    </row>
    <row r="221">
      <c r="B221" s="38"/>
      <c r="G221" s="12"/>
      <c r="J221" s="38"/>
      <c r="O221" s="12"/>
      <c r="P221" s="7">
        <f t="shared" si="1"/>
        <v>0</v>
      </c>
      <c r="AP221" s="38"/>
    </row>
    <row r="222">
      <c r="B222" s="38"/>
      <c r="G222" s="12"/>
      <c r="J222" s="38"/>
      <c r="O222" s="12"/>
      <c r="P222" s="7">
        <f t="shared" si="1"/>
        <v>0</v>
      </c>
      <c r="AP222" s="38"/>
    </row>
    <row r="223">
      <c r="B223" s="38"/>
      <c r="G223" s="12"/>
      <c r="J223" s="38"/>
      <c r="O223" s="12"/>
      <c r="P223" s="7">
        <f t="shared" si="1"/>
        <v>0</v>
      </c>
      <c r="AP223" s="38"/>
    </row>
    <row r="224">
      <c r="B224" s="38"/>
      <c r="G224" s="12"/>
      <c r="J224" s="38"/>
      <c r="O224" s="12"/>
      <c r="P224" s="7">
        <f t="shared" si="1"/>
        <v>0</v>
      </c>
      <c r="AP224" s="38"/>
    </row>
    <row r="225">
      <c r="B225" s="38"/>
      <c r="G225" s="12"/>
      <c r="J225" s="38"/>
      <c r="O225" s="12"/>
      <c r="P225" s="7">
        <f t="shared" si="1"/>
        <v>0</v>
      </c>
      <c r="AP225" s="38"/>
    </row>
    <row r="226">
      <c r="B226" s="38"/>
      <c r="G226" s="12"/>
      <c r="J226" s="38"/>
      <c r="O226" s="12"/>
      <c r="P226" s="7">
        <f t="shared" si="1"/>
        <v>0</v>
      </c>
      <c r="AP226" s="38"/>
    </row>
    <row r="227">
      <c r="B227" s="38"/>
      <c r="G227" s="12"/>
      <c r="J227" s="38"/>
      <c r="O227" s="12"/>
      <c r="P227" s="7">
        <f t="shared" si="1"/>
        <v>0</v>
      </c>
      <c r="AP227" s="38"/>
    </row>
    <row r="228">
      <c r="B228" s="38"/>
      <c r="G228" s="12"/>
      <c r="J228" s="38"/>
      <c r="O228" s="12"/>
      <c r="P228" s="7">
        <f t="shared" si="1"/>
        <v>0</v>
      </c>
      <c r="AP228" s="38"/>
    </row>
    <row r="229">
      <c r="B229" s="38"/>
      <c r="G229" s="12"/>
      <c r="J229" s="38"/>
      <c r="O229" s="12"/>
      <c r="P229" s="7">
        <f t="shared" si="1"/>
        <v>0</v>
      </c>
      <c r="AP229" s="38"/>
    </row>
    <row r="230">
      <c r="B230" s="38"/>
      <c r="G230" s="12"/>
      <c r="J230" s="38"/>
      <c r="O230" s="12"/>
      <c r="P230" s="7">
        <f t="shared" si="1"/>
        <v>0</v>
      </c>
      <c r="AP230" s="38"/>
    </row>
    <row r="231">
      <c r="B231" s="38"/>
      <c r="G231" s="12"/>
      <c r="J231" s="38"/>
      <c r="O231" s="12"/>
      <c r="P231" s="7">
        <f t="shared" si="1"/>
        <v>0</v>
      </c>
      <c r="AP231" s="38"/>
    </row>
    <row r="232">
      <c r="B232" s="38"/>
      <c r="G232" s="12"/>
      <c r="J232" s="38"/>
      <c r="O232" s="12"/>
      <c r="P232" s="7">
        <f t="shared" si="1"/>
        <v>0</v>
      </c>
      <c r="AP232" s="38"/>
    </row>
    <row r="233">
      <c r="B233" s="38"/>
      <c r="G233" s="12"/>
      <c r="J233" s="38"/>
      <c r="O233" s="12"/>
      <c r="P233" s="7">
        <f t="shared" si="1"/>
        <v>0</v>
      </c>
      <c r="AP233" s="38"/>
    </row>
    <row r="234">
      <c r="B234" s="38"/>
      <c r="G234" s="12"/>
      <c r="J234" s="38"/>
      <c r="O234" s="12"/>
      <c r="P234" s="7">
        <f t="shared" si="1"/>
        <v>0</v>
      </c>
      <c r="AP234" s="38"/>
    </row>
    <row r="235">
      <c r="B235" s="38"/>
      <c r="G235" s="12"/>
      <c r="J235" s="38"/>
      <c r="O235" s="12"/>
      <c r="P235" s="7">
        <f t="shared" si="1"/>
        <v>0</v>
      </c>
      <c r="AP235" s="38"/>
    </row>
    <row r="236">
      <c r="B236" s="38"/>
      <c r="G236" s="12"/>
      <c r="J236" s="38"/>
      <c r="O236" s="12"/>
      <c r="P236" s="7">
        <f t="shared" si="1"/>
        <v>0</v>
      </c>
      <c r="AP236" s="38"/>
    </row>
    <row r="237">
      <c r="B237" s="38"/>
      <c r="G237" s="12"/>
      <c r="J237" s="38"/>
      <c r="O237" s="12"/>
      <c r="P237" s="7">
        <f t="shared" si="1"/>
        <v>0</v>
      </c>
      <c r="AP237" s="38"/>
    </row>
    <row r="238">
      <c r="B238" s="38"/>
      <c r="G238" s="12"/>
      <c r="J238" s="38"/>
      <c r="O238" s="12"/>
      <c r="P238" s="7">
        <f t="shared" si="1"/>
        <v>0</v>
      </c>
      <c r="AP238" s="38"/>
    </row>
    <row r="239">
      <c r="B239" s="38"/>
      <c r="G239" s="12"/>
      <c r="J239" s="38"/>
      <c r="O239" s="12"/>
      <c r="P239" s="7">
        <f t="shared" si="1"/>
        <v>0</v>
      </c>
      <c r="AP239" s="38"/>
    </row>
    <row r="240">
      <c r="B240" s="38"/>
      <c r="G240" s="12"/>
      <c r="J240" s="38"/>
      <c r="O240" s="12"/>
      <c r="P240" s="7">
        <f t="shared" si="1"/>
        <v>0</v>
      </c>
      <c r="AP240" s="38"/>
    </row>
    <row r="241">
      <c r="B241" s="38"/>
      <c r="G241" s="12"/>
      <c r="J241" s="38"/>
      <c r="O241" s="12"/>
      <c r="P241" s="7">
        <f t="shared" si="1"/>
        <v>0</v>
      </c>
      <c r="AP241" s="38"/>
    </row>
    <row r="242">
      <c r="B242" s="38"/>
      <c r="G242" s="12"/>
      <c r="J242" s="38"/>
      <c r="O242" s="12"/>
      <c r="P242" s="7">
        <f t="shared" si="1"/>
        <v>0</v>
      </c>
      <c r="AP242" s="38"/>
    </row>
    <row r="243">
      <c r="B243" s="38"/>
      <c r="G243" s="12"/>
      <c r="J243" s="38"/>
      <c r="O243" s="12"/>
      <c r="P243" s="7">
        <f t="shared" si="1"/>
        <v>0</v>
      </c>
      <c r="AP243" s="38"/>
    </row>
    <row r="244">
      <c r="B244" s="38"/>
      <c r="G244" s="12"/>
      <c r="J244" s="38"/>
      <c r="O244" s="12"/>
      <c r="P244" s="7">
        <f t="shared" si="1"/>
        <v>0</v>
      </c>
      <c r="AP244" s="38"/>
    </row>
    <row r="245">
      <c r="B245" s="38"/>
      <c r="G245" s="12"/>
      <c r="J245" s="38"/>
      <c r="O245" s="12"/>
      <c r="P245" s="7">
        <f t="shared" si="1"/>
        <v>0</v>
      </c>
      <c r="AP245" s="38"/>
    </row>
    <row r="246">
      <c r="B246" s="38"/>
      <c r="G246" s="12"/>
      <c r="J246" s="38"/>
      <c r="O246" s="12"/>
      <c r="P246" s="7">
        <f t="shared" si="1"/>
        <v>0</v>
      </c>
      <c r="AP246" s="38"/>
    </row>
    <row r="247">
      <c r="B247" s="38"/>
      <c r="G247" s="12"/>
      <c r="J247" s="38"/>
      <c r="O247" s="12"/>
      <c r="P247" s="7">
        <f t="shared" si="1"/>
        <v>0</v>
      </c>
      <c r="AP247" s="38"/>
    </row>
    <row r="248">
      <c r="B248" s="38"/>
      <c r="G248" s="12"/>
      <c r="J248" s="38"/>
      <c r="O248" s="12"/>
      <c r="P248" s="7">
        <f t="shared" si="1"/>
        <v>0</v>
      </c>
      <c r="AP248" s="38"/>
    </row>
    <row r="249">
      <c r="B249" s="38"/>
      <c r="G249" s="12"/>
      <c r="J249" s="38"/>
      <c r="O249" s="12"/>
      <c r="P249" s="7">
        <f t="shared" si="1"/>
        <v>0</v>
      </c>
      <c r="AP249" s="38"/>
    </row>
    <row r="250">
      <c r="B250" s="38"/>
      <c r="G250" s="12"/>
      <c r="J250" s="38"/>
      <c r="O250" s="12"/>
      <c r="P250" s="7">
        <f t="shared" si="1"/>
        <v>0</v>
      </c>
      <c r="AP250" s="38"/>
    </row>
    <row r="251">
      <c r="B251" s="38"/>
      <c r="G251" s="12"/>
      <c r="J251" s="38"/>
      <c r="O251" s="12"/>
      <c r="P251" s="7">
        <f t="shared" si="1"/>
        <v>0</v>
      </c>
      <c r="AP251" s="38"/>
    </row>
    <row r="252">
      <c r="B252" s="38"/>
      <c r="G252" s="12"/>
      <c r="J252" s="38"/>
      <c r="O252" s="12"/>
      <c r="P252" s="7">
        <f t="shared" si="1"/>
        <v>0</v>
      </c>
      <c r="AP252" s="38"/>
    </row>
    <row r="253">
      <c r="B253" s="38"/>
      <c r="G253" s="12"/>
      <c r="J253" s="38"/>
      <c r="O253" s="12"/>
      <c r="P253" s="7">
        <f t="shared" si="1"/>
        <v>0</v>
      </c>
      <c r="AP253" s="38"/>
    </row>
    <row r="254">
      <c r="B254" s="38"/>
      <c r="G254" s="12"/>
      <c r="J254" s="38"/>
      <c r="O254" s="12"/>
      <c r="P254" s="7">
        <f t="shared" si="1"/>
        <v>0</v>
      </c>
      <c r="AP254" s="38"/>
    </row>
    <row r="255">
      <c r="B255" s="38"/>
      <c r="G255" s="12"/>
      <c r="J255" s="38"/>
      <c r="O255" s="12"/>
      <c r="P255" s="7">
        <f t="shared" si="1"/>
        <v>0</v>
      </c>
      <c r="AP255" s="38"/>
    </row>
    <row r="256">
      <c r="B256" s="38"/>
      <c r="G256" s="12"/>
      <c r="J256" s="38"/>
      <c r="O256" s="12"/>
      <c r="P256" s="7">
        <f t="shared" si="1"/>
        <v>0</v>
      </c>
      <c r="AP256" s="38"/>
    </row>
    <row r="257">
      <c r="B257" s="38"/>
      <c r="G257" s="12"/>
      <c r="J257" s="38"/>
      <c r="O257" s="12"/>
      <c r="P257" s="7">
        <f t="shared" si="1"/>
        <v>0</v>
      </c>
      <c r="AP257" s="38"/>
    </row>
    <row r="258">
      <c r="B258" s="38"/>
      <c r="G258" s="12"/>
      <c r="J258" s="38"/>
      <c r="O258" s="12"/>
      <c r="P258" s="7">
        <f t="shared" si="1"/>
        <v>0</v>
      </c>
      <c r="AP258" s="38"/>
    </row>
    <row r="259">
      <c r="B259" s="38"/>
      <c r="G259" s="12"/>
      <c r="J259" s="38"/>
      <c r="O259" s="12"/>
      <c r="P259" s="7">
        <f t="shared" si="1"/>
        <v>0</v>
      </c>
      <c r="AP259" s="38"/>
    </row>
    <row r="260">
      <c r="B260" s="38"/>
      <c r="G260" s="12"/>
      <c r="J260" s="38"/>
      <c r="O260" s="12"/>
      <c r="P260" s="7">
        <f t="shared" si="1"/>
        <v>0</v>
      </c>
      <c r="AP260" s="38"/>
    </row>
    <row r="261">
      <c r="B261" s="38"/>
      <c r="G261" s="12"/>
      <c r="J261" s="38"/>
      <c r="O261" s="12"/>
      <c r="P261" s="7">
        <f t="shared" si="1"/>
        <v>0</v>
      </c>
      <c r="AP261" s="38"/>
    </row>
    <row r="262">
      <c r="B262" s="38"/>
      <c r="G262" s="12"/>
      <c r="J262" s="38"/>
      <c r="O262" s="12"/>
      <c r="P262" s="7">
        <f t="shared" si="1"/>
        <v>0</v>
      </c>
      <c r="AP262" s="38"/>
    </row>
    <row r="263">
      <c r="B263" s="38"/>
      <c r="G263" s="12"/>
      <c r="J263" s="38"/>
      <c r="O263" s="12"/>
      <c r="P263" s="7">
        <f t="shared" si="1"/>
        <v>0</v>
      </c>
      <c r="AP263" s="38"/>
    </row>
    <row r="264">
      <c r="B264" s="38"/>
      <c r="G264" s="12"/>
      <c r="J264" s="38"/>
      <c r="O264" s="12"/>
      <c r="P264" s="7">
        <f t="shared" si="1"/>
        <v>0</v>
      </c>
      <c r="AP264" s="38"/>
    </row>
    <row r="265">
      <c r="B265" s="38"/>
      <c r="G265" s="12"/>
      <c r="J265" s="38"/>
      <c r="O265" s="12"/>
      <c r="P265" s="7">
        <f t="shared" si="1"/>
        <v>0</v>
      </c>
      <c r="AP265" s="38"/>
    </row>
    <row r="266">
      <c r="B266" s="38"/>
      <c r="G266" s="12"/>
      <c r="J266" s="38"/>
      <c r="O266" s="12"/>
      <c r="P266" s="7">
        <f t="shared" si="1"/>
        <v>0</v>
      </c>
      <c r="AP266" s="38"/>
    </row>
    <row r="267">
      <c r="B267" s="38"/>
      <c r="G267" s="12"/>
      <c r="J267" s="38"/>
      <c r="O267" s="12"/>
      <c r="P267" s="7">
        <f t="shared" si="1"/>
        <v>0</v>
      </c>
      <c r="AP267" s="38"/>
    </row>
    <row r="268">
      <c r="B268" s="38"/>
      <c r="G268" s="12"/>
      <c r="J268" s="38"/>
      <c r="O268" s="12"/>
      <c r="P268" s="7">
        <f t="shared" si="1"/>
        <v>0</v>
      </c>
      <c r="AP268" s="38"/>
    </row>
    <row r="269">
      <c r="B269" s="38"/>
      <c r="G269" s="12"/>
      <c r="J269" s="38"/>
      <c r="O269" s="12"/>
      <c r="P269" s="7">
        <f t="shared" si="1"/>
        <v>0</v>
      </c>
      <c r="AP269" s="38"/>
    </row>
    <row r="270">
      <c r="B270" s="38"/>
      <c r="G270" s="12"/>
      <c r="J270" s="38"/>
      <c r="O270" s="12"/>
      <c r="P270" s="7">
        <f t="shared" si="1"/>
        <v>0</v>
      </c>
      <c r="AP270" s="38"/>
    </row>
    <row r="271">
      <c r="B271" s="38"/>
      <c r="G271" s="12"/>
      <c r="J271" s="38"/>
      <c r="O271" s="12"/>
      <c r="P271" s="7">
        <f t="shared" si="1"/>
        <v>0</v>
      </c>
      <c r="AP271" s="38"/>
    </row>
    <row r="272">
      <c r="B272" s="38"/>
      <c r="G272" s="12"/>
      <c r="J272" s="38"/>
      <c r="O272" s="12"/>
      <c r="P272" s="7">
        <f t="shared" si="1"/>
        <v>0</v>
      </c>
      <c r="AP272" s="38"/>
    </row>
    <row r="273">
      <c r="B273" s="38"/>
      <c r="G273" s="12"/>
      <c r="J273" s="38"/>
      <c r="O273" s="12"/>
      <c r="P273" s="7">
        <f t="shared" si="1"/>
        <v>0</v>
      </c>
      <c r="AP273" s="38"/>
    </row>
    <row r="274">
      <c r="B274" s="38"/>
      <c r="G274" s="12"/>
      <c r="J274" s="38"/>
      <c r="O274" s="12"/>
      <c r="P274" s="7">
        <f t="shared" si="1"/>
        <v>0</v>
      </c>
      <c r="AP274" s="38"/>
    </row>
    <row r="275">
      <c r="B275" s="38"/>
      <c r="G275" s="12"/>
      <c r="J275" s="38"/>
      <c r="O275" s="12"/>
      <c r="P275" s="7">
        <f t="shared" si="1"/>
        <v>0</v>
      </c>
      <c r="AP275" s="38"/>
    </row>
    <row r="276">
      <c r="B276" s="38"/>
      <c r="G276" s="12"/>
      <c r="J276" s="38"/>
      <c r="O276" s="12"/>
      <c r="P276" s="7">
        <f t="shared" si="1"/>
        <v>0</v>
      </c>
      <c r="AP276" s="38"/>
    </row>
    <row r="277">
      <c r="B277" s="38"/>
      <c r="G277" s="12"/>
      <c r="J277" s="38"/>
      <c r="O277" s="12"/>
      <c r="P277" s="7">
        <f t="shared" si="1"/>
        <v>0</v>
      </c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7">UNIQUE(AI2:AI590)</f>
        <v>Particulars</v>
      </c>
      <c r="AQ975" s="51" t="str">
        <f t="array" ref="AQ975:AQ976">UNIQUE(AQ2:AQ590)</f>
        <v>Particulars</v>
      </c>
    </row>
    <row r="976">
      <c r="P976" s="7"/>
      <c r="AI976" s="51" t="s">
        <v>16</v>
      </c>
      <c r="AQ976" s="51"/>
    </row>
    <row r="977">
      <c r="P977" s="7"/>
      <c r="AI977" s="51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4">
    <sortState ref="A2:G54">
      <sortCondition ref="B2:B54"/>
      <sortCondition ref="C2:C54"/>
      <sortCondition ref="D2:D5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287100</v>
      </c>
    </row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42</v>
      </c>
      <c r="I1" s="54">
        <f>countifs(B:B,"&lt;&gt;",F:F,"&lt;&gt;")-1</f>
        <v>9</v>
      </c>
      <c r="K1" s="6" t="s">
        <v>43</v>
      </c>
      <c r="L1" s="6" t="s">
        <v>44</v>
      </c>
      <c r="M1" s="6" t="s">
        <v>13</v>
      </c>
    </row>
    <row r="2">
      <c r="E2" s="7"/>
      <c r="H2" s="53" t="s">
        <v>45</v>
      </c>
      <c r="I2" s="54">
        <f t="array" ref="I2">(COUNTA(UNIQUE(C:C))-1)</f>
        <v>9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E3" s="7"/>
      <c r="H3" s="53" t="s">
        <v>46</v>
      </c>
      <c r="I3" s="54">
        <f>sum(F:F)</f>
        <v>287100</v>
      </c>
      <c r="K3" s="55" t="str">
        <f>'Internal Summary'!B41</f>
        <v>350ml Orisirisi Wallnut with Ginger Drink (12x)</v>
      </c>
      <c r="L3" s="54">
        <f t="shared" si="1"/>
        <v>1.5</v>
      </c>
      <c r="M3" s="54">
        <f t="shared" si="2"/>
        <v>32400</v>
      </c>
      <c r="N3" s="56"/>
    </row>
    <row r="4">
      <c r="E4" s="7"/>
      <c r="H4" s="1"/>
      <c r="K4" s="55" t="str">
        <f>'Internal Summary'!B42</f>
        <v>500ml Orisirisi Tiger Nut Drink (12x)</v>
      </c>
      <c r="L4" s="54">
        <f t="shared" si="1"/>
        <v>5.75</v>
      </c>
      <c r="M4" s="54">
        <f t="shared" si="2"/>
        <v>158700</v>
      </c>
      <c r="N4" s="56"/>
    </row>
    <row r="5">
      <c r="E5" s="7"/>
      <c r="H5" s="1"/>
      <c r="K5" s="55" t="str">
        <f>'Internal Summary'!B43</f>
        <v>500ml Orisirisi Zobo Drink (12x)</v>
      </c>
      <c r="L5" s="54">
        <f t="shared" si="1"/>
        <v>1</v>
      </c>
      <c r="M5" s="54">
        <f t="shared" si="2"/>
        <v>24000</v>
      </c>
      <c r="N5" s="56"/>
    </row>
    <row r="6">
      <c r="E6" s="7"/>
      <c r="K6" s="55" t="str">
        <f>'Internal Summary'!B44</f>
        <v>500ml Orisirisi Zobo with Date Drink (12x)</v>
      </c>
      <c r="L6" s="54">
        <f t="shared" si="1"/>
        <v>3</v>
      </c>
      <c r="M6" s="54">
        <f t="shared" si="2"/>
        <v>72000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24,000.00"/>
        <filter val="6,900.00"/>
        <filter val="10,800.00"/>
        <filter val="27,600.00"/>
        <filter val="21,600.00"/>
      </filters>
    </filterColumn>
    <filterColumn colId="3">
      <filters>
        <filter val="500ml Orisirisi Zobo with Date Drink (12x)"/>
        <filter val="500ml Orisirisi Zobo Drink (12x) Total"/>
        <filter val="350ml Orisirisi Wallnut with Ginger Drink (12x)"/>
        <filter val="500ml Orisirisi Tiger Nut Drink (12x)"/>
        <filter val="Total"/>
        <filter val="500ml Orisirisi Tiger Nut Drink (12x) Total"/>
        <filter val="500ml Orisirisi Zobo with Date Drink (12x) Total"/>
        <filter val="500ml Orisirisi Zobo Drink (12x)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42</v>
      </c>
      <c r="I1" s="54">
        <f>countifs(B:B,"&lt;&gt;",F:F,"&lt;&gt;")-1</f>
        <v>0</v>
      </c>
      <c r="K1" s="55" t="s">
        <v>43</v>
      </c>
      <c r="L1" s="55" t="s">
        <v>44</v>
      </c>
      <c r="M1" s="55" t="s">
        <v>13</v>
      </c>
    </row>
    <row r="2">
      <c r="H2" s="53" t="s">
        <v>45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46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42</v>
      </c>
      <c r="I1" s="54">
        <f>countifs(B:B,"&lt;&gt;",F:F,"&lt;&gt;")-1</f>
        <v>0</v>
      </c>
      <c r="K1" s="55" t="s">
        <v>43</v>
      </c>
      <c r="L1" s="55" t="s">
        <v>56</v>
      </c>
      <c r="M1" s="55" t="s">
        <v>13</v>
      </c>
    </row>
    <row r="2">
      <c r="H2" s="53" t="s">
        <v>45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46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42</v>
      </c>
      <c r="I1" s="54">
        <f>countifs(B:B,"&lt;&gt;",F:F,"&lt;&gt;")-1</f>
        <v>0</v>
      </c>
      <c r="K1" s="55" t="s">
        <v>43</v>
      </c>
      <c r="L1" s="55" t="s">
        <v>44</v>
      </c>
    </row>
    <row r="2">
      <c r="H2" s="53" t="s">
        <v>45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46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42</v>
      </c>
      <c r="I1" s="54">
        <f>countifs(B:B,"&lt;&gt;",F:F,"&lt;&gt;")-1</f>
        <v>1</v>
      </c>
      <c r="K1" s="55" t="s">
        <v>43</v>
      </c>
      <c r="L1" s="55" t="s">
        <v>44</v>
      </c>
    </row>
    <row r="2">
      <c r="H2" s="53" t="s">
        <v>45</v>
      </c>
      <c r="I2" s="54">
        <f t="array" ref="I2">(COUNTA(UNIQUE(C:C,,0))-1)</f>
        <v>1</v>
      </c>
      <c r="K2" s="55" t="str">
        <f>'Internal Summary'!B40</f>
        <v>350ml Orisirisi Wallnut Drink (12x)</v>
      </c>
      <c r="L2" s="54">
        <f t="shared" ref="L2:L13" si="1">sumif(D:D,K2,E:E)</f>
        <v>1.75</v>
      </c>
    </row>
    <row r="3">
      <c r="H3" s="53" t="s">
        <v>46</v>
      </c>
      <c r="I3" s="54">
        <f>sum(F:F)</f>
        <v>820200</v>
      </c>
      <c r="K3" s="55" t="str">
        <f>'Internal Summary'!B41</f>
        <v>350ml Orisirisi Wallnut with Ginger Drink (12x)</v>
      </c>
      <c r="L3" s="54">
        <f t="shared" si="1"/>
        <v>6</v>
      </c>
    </row>
    <row r="4">
      <c r="H4" s="1"/>
      <c r="K4" s="55" t="str">
        <f>'Internal Summary'!B42</f>
        <v>500ml Orisirisi Tiger Nut Drink (12x)</v>
      </c>
      <c r="L4" s="54">
        <f t="shared" si="1"/>
        <v>8</v>
      </c>
    </row>
    <row r="5">
      <c r="H5" s="1"/>
      <c r="K5" s="55" t="str">
        <f>'Internal Summary'!B43</f>
        <v>500ml Orisirisi Zobo Drink (12x)</v>
      </c>
      <c r="L5" s="54">
        <f t="shared" si="1"/>
        <v>9</v>
      </c>
    </row>
    <row r="6">
      <c r="K6" s="55" t="str">
        <f>'Internal Summary'!B44</f>
        <v>500ml Orisirisi Zobo with Date Drink (12x)</v>
      </c>
      <c r="L6" s="54">
        <f t="shared" si="1"/>
        <v>9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62</v>
      </c>
      <c r="C1" s="53" t="s">
        <v>44</v>
      </c>
      <c r="D1" s="53" t="s">
        <v>63</v>
      </c>
      <c r="E1" s="53" t="s">
        <v>64</v>
      </c>
      <c r="F1" s="59"/>
    </row>
    <row r="2">
      <c r="A2" s="60" t="s">
        <v>65</v>
      </c>
      <c r="B2" s="61" t="s">
        <v>42</v>
      </c>
      <c r="C2" s="62"/>
      <c r="D2" s="62"/>
      <c r="E2" s="63">
        <f>'Dala Sales &amp; Deliveries'!I1+'External Delivery Fulfillment'!I1</f>
        <v>9</v>
      </c>
      <c r="F2" s="59"/>
    </row>
    <row r="3">
      <c r="A3" s="64"/>
      <c r="B3" s="61" t="s">
        <v>66</v>
      </c>
      <c r="C3" s="62"/>
      <c r="D3" s="62"/>
      <c r="E3" s="61">
        <f>'Raw Data'!AW2</f>
        <v>9</v>
      </c>
      <c r="F3" s="59"/>
    </row>
    <row r="4">
      <c r="B4" s="65" t="s">
        <v>67</v>
      </c>
      <c r="C4" s="59"/>
      <c r="D4" s="59"/>
      <c r="E4" s="66">
        <f>'Dala Sales &amp; Deliveries'!I3</f>
        <v>287100</v>
      </c>
      <c r="F4" s="59"/>
    </row>
    <row r="5">
      <c r="B5" s="65" t="s">
        <v>68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69</v>
      </c>
      <c r="C6" s="69"/>
      <c r="D6" s="70"/>
      <c r="E6" s="71">
        <v>0.0</v>
      </c>
      <c r="F6" s="59"/>
    </row>
    <row r="7">
      <c r="A7" s="72"/>
      <c r="B7" s="73" t="s">
        <v>70</v>
      </c>
      <c r="C7" s="74"/>
      <c r="D7" s="75"/>
      <c r="E7" s="76">
        <f>sum(E4:E6)</f>
        <v>287100</v>
      </c>
      <c r="F7" s="59"/>
    </row>
    <row r="8">
      <c r="A8" s="60" t="s">
        <v>71</v>
      </c>
      <c r="B8" s="61" t="s">
        <v>72</v>
      </c>
      <c r="C8" s="62"/>
      <c r="D8" s="77"/>
      <c r="E8" s="78"/>
    </row>
    <row r="9">
      <c r="A9" s="72"/>
      <c r="B9" s="73" t="s">
        <v>73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74</v>
      </c>
      <c r="B10" s="73" t="s">
        <v>75</v>
      </c>
      <c r="C10" s="74"/>
      <c r="D10" s="75"/>
      <c r="E10" s="76">
        <f>E7-E8-E9</f>
        <v>287100</v>
      </c>
    </row>
    <row r="11">
      <c r="A11" s="81" t="s">
        <v>76</v>
      </c>
      <c r="B11" s="82" t="s">
        <v>77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73</v>
      </c>
      <c r="C12" s="86"/>
      <c r="D12" s="87"/>
      <c r="E12" s="84">
        <f>E7*C9</f>
        <v>28710</v>
      </c>
    </row>
    <row r="13">
      <c r="A13" s="85"/>
      <c r="B13" s="88" t="s">
        <v>78</v>
      </c>
      <c r="C13" s="87"/>
      <c r="D13" s="89"/>
      <c r="E13" s="84">
        <f>C26</f>
        <v>8613</v>
      </c>
    </row>
    <row r="14">
      <c r="A14" s="85"/>
      <c r="B14" s="88" t="s">
        <v>79</v>
      </c>
      <c r="C14" s="90"/>
      <c r="D14" s="91" t="s">
        <v>80</v>
      </c>
      <c r="E14" s="84">
        <f>C29+C22</f>
        <v>0</v>
      </c>
      <c r="F14" s="6" t="s">
        <v>81</v>
      </c>
    </row>
    <row r="15">
      <c r="A15" s="85"/>
      <c r="B15" s="82" t="s">
        <v>82</v>
      </c>
      <c r="C15" s="87"/>
      <c r="D15" s="87"/>
      <c r="E15" s="92">
        <v>0.0</v>
      </c>
    </row>
    <row r="16">
      <c r="A16" s="85"/>
      <c r="B16" s="82" t="s">
        <v>83</v>
      </c>
      <c r="C16" s="87"/>
      <c r="D16" s="87"/>
      <c r="E16" s="84">
        <f>C31</f>
        <v>0</v>
      </c>
      <c r="H16" s="1"/>
      <c r="I16" s="1"/>
    </row>
    <row r="17">
      <c r="A17" s="93"/>
      <c r="B17" s="94" t="s">
        <v>84</v>
      </c>
      <c r="C17" s="95"/>
      <c r="D17" s="95"/>
      <c r="E17" s="96">
        <f>sum(E11:E16)</f>
        <v>37323</v>
      </c>
      <c r="H17" s="1"/>
      <c r="I17" s="71"/>
      <c r="J17" s="97"/>
      <c r="K17" s="97"/>
      <c r="L17" s="97"/>
      <c r="M17" s="97"/>
      <c r="N17" s="97"/>
    </row>
    <row r="18">
      <c r="A18" s="98" t="s">
        <v>85</v>
      </c>
      <c r="B18" s="99" t="s">
        <v>86</v>
      </c>
      <c r="C18" s="95"/>
      <c r="D18" s="95"/>
      <c r="E18" s="96">
        <f>E10-E17</f>
        <v>249777</v>
      </c>
      <c r="H18" s="1"/>
      <c r="I18" s="1"/>
      <c r="J18" s="97"/>
      <c r="K18" s="97"/>
      <c r="L18" s="97"/>
      <c r="M18" s="97"/>
      <c r="N18" s="97"/>
    </row>
    <row r="19">
      <c r="A19" s="1"/>
      <c r="B19" s="70"/>
      <c r="C19" s="70"/>
      <c r="D19" s="70"/>
      <c r="E19" s="70"/>
      <c r="H19" s="1"/>
      <c r="I19" s="1"/>
      <c r="J19" s="97"/>
      <c r="K19" s="97"/>
      <c r="L19" s="97"/>
      <c r="M19" s="97"/>
      <c r="N19" s="97"/>
    </row>
    <row r="20">
      <c r="A20" s="1" t="s">
        <v>87</v>
      </c>
      <c r="B20" s="70"/>
      <c r="C20" s="70"/>
      <c r="D20" s="70"/>
      <c r="E20" s="70"/>
      <c r="H20" s="1"/>
      <c r="I20" s="1"/>
      <c r="J20" s="97"/>
      <c r="K20" s="97"/>
      <c r="L20" s="97"/>
      <c r="M20" s="97"/>
      <c r="N20" s="97"/>
    </row>
    <row r="21">
      <c r="A21" s="70"/>
      <c r="B21" s="53" t="s">
        <v>88</v>
      </c>
      <c r="C21" s="100">
        <f>U69</f>
        <v>0</v>
      </c>
      <c r="H21" s="1"/>
      <c r="I21" s="1"/>
      <c r="J21" s="101"/>
      <c r="K21" s="101"/>
      <c r="L21" s="102"/>
      <c r="M21" s="97"/>
      <c r="N21" s="97"/>
    </row>
    <row r="22">
      <c r="A22" s="70"/>
      <c r="B22" s="53" t="s">
        <v>89</v>
      </c>
      <c r="C22" s="100">
        <f>'Dala Restocking'!I3*3%</f>
        <v>0</v>
      </c>
      <c r="H22" s="1"/>
      <c r="I22" s="1"/>
      <c r="J22" s="101"/>
      <c r="K22" s="101"/>
      <c r="L22" s="102"/>
      <c r="M22" s="97"/>
      <c r="N22" s="97"/>
    </row>
    <row r="23">
      <c r="A23" s="70"/>
      <c r="B23" s="53" t="s">
        <v>90</v>
      </c>
      <c r="C23" s="100">
        <f>S69</f>
        <v>0</v>
      </c>
      <c r="H23" s="1"/>
      <c r="I23" s="1"/>
      <c r="J23" s="101"/>
      <c r="K23" s="101"/>
      <c r="L23" s="102"/>
      <c r="M23" s="97"/>
      <c r="N23" s="97"/>
    </row>
    <row r="24">
      <c r="A24" s="70"/>
      <c r="B24" s="53" t="s">
        <v>91</v>
      </c>
      <c r="C24" s="100">
        <f>T69</f>
        <v>0</v>
      </c>
      <c r="H24" s="1"/>
      <c r="I24" s="71"/>
      <c r="J24" s="101"/>
      <c r="K24" s="101"/>
      <c r="L24" s="102"/>
      <c r="M24" s="97"/>
      <c r="N24" s="97"/>
    </row>
    <row r="25">
      <c r="A25" s="70"/>
      <c r="B25" s="53" t="s">
        <v>92</v>
      </c>
      <c r="C25" s="103">
        <v>0.0</v>
      </c>
      <c r="H25" s="1"/>
      <c r="I25" s="1"/>
    </row>
    <row r="26">
      <c r="A26" s="70"/>
      <c r="B26" s="53" t="s">
        <v>93</v>
      </c>
      <c r="C26" s="104">
        <f>E7*3%</f>
        <v>8613</v>
      </c>
      <c r="H26" s="1"/>
      <c r="I26" s="1"/>
    </row>
    <row r="27">
      <c r="A27" s="70"/>
      <c r="B27" s="53" t="s">
        <v>94</v>
      </c>
      <c r="C27" s="104">
        <f>Q69</f>
        <v>0</v>
      </c>
      <c r="H27" s="1"/>
      <c r="I27" s="1"/>
    </row>
    <row r="28">
      <c r="A28" s="70"/>
      <c r="B28" s="53" t="s">
        <v>95</v>
      </c>
      <c r="C28" s="104">
        <f>'External Delivery Fulfillment'!I3*3%</f>
        <v>0</v>
      </c>
      <c r="H28" s="1"/>
      <c r="I28" s="1"/>
    </row>
    <row r="29">
      <c r="A29" s="70"/>
      <c r="B29" s="53" t="s">
        <v>96</v>
      </c>
      <c r="C29" s="100">
        <f>F69</f>
        <v>0</v>
      </c>
      <c r="D29" s="70"/>
      <c r="H29" s="1"/>
      <c r="I29" s="1"/>
    </row>
    <row r="30">
      <c r="A30" s="70"/>
      <c r="B30" s="53" t="s">
        <v>97</v>
      </c>
      <c r="C30" s="100">
        <v>0.0</v>
      </c>
      <c r="D30" s="70"/>
      <c r="H30" s="1"/>
      <c r="I30" s="1"/>
    </row>
    <row r="31">
      <c r="A31" s="70"/>
      <c r="B31" s="53" t="s">
        <v>98</v>
      </c>
      <c r="C31" s="100">
        <f>I69</f>
        <v>0</v>
      </c>
      <c r="D31" s="70"/>
      <c r="H31" s="1"/>
      <c r="I31" s="1"/>
    </row>
    <row r="32">
      <c r="A32" s="70"/>
      <c r="B32" s="53" t="s">
        <v>99</v>
      </c>
      <c r="C32" s="100">
        <v>0.0</v>
      </c>
      <c r="D32" s="70"/>
      <c r="H32" s="1"/>
      <c r="I32" s="1"/>
    </row>
    <row r="33">
      <c r="B33" s="53" t="s">
        <v>100</v>
      </c>
      <c r="C33" s="100">
        <f>L69</f>
        <v>24.58</v>
      </c>
    </row>
    <row r="34">
      <c r="B34" s="53" t="s">
        <v>101</v>
      </c>
      <c r="C34" s="104">
        <f>K69</f>
        <v>8.5</v>
      </c>
    </row>
    <row r="35">
      <c r="B35" s="53" t="s">
        <v>102</v>
      </c>
      <c r="C35" s="100">
        <v>0.0</v>
      </c>
    </row>
    <row r="36">
      <c r="B36" s="53" t="s">
        <v>103</v>
      </c>
      <c r="C36" s="10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104</v>
      </c>
      <c r="C39" s="53" t="s">
        <v>105</v>
      </c>
      <c r="D39" s="53" t="s">
        <v>106</v>
      </c>
      <c r="E39" s="53" t="s">
        <v>107</v>
      </c>
      <c r="F39" s="55" t="s">
        <v>108</v>
      </c>
      <c r="G39" s="55" t="s">
        <v>109</v>
      </c>
      <c r="H39" s="55" t="s">
        <v>110</v>
      </c>
      <c r="I39" s="55" t="s">
        <v>111</v>
      </c>
      <c r="J39" s="55" t="s">
        <v>112</v>
      </c>
      <c r="K39" s="55" t="s">
        <v>113</v>
      </c>
      <c r="L39" s="55" t="s">
        <v>100</v>
      </c>
      <c r="M39" s="55" t="s">
        <v>102</v>
      </c>
      <c r="N39" s="55" t="s">
        <v>114</v>
      </c>
      <c r="O39" s="55" t="s">
        <v>115</v>
      </c>
      <c r="P39" s="55" t="s">
        <v>116</v>
      </c>
      <c r="Q39" s="55" t="s">
        <v>117</v>
      </c>
      <c r="R39" s="55" t="s">
        <v>118</v>
      </c>
      <c r="S39" s="55" t="s">
        <v>119</v>
      </c>
      <c r="T39" s="55" t="s">
        <v>91</v>
      </c>
      <c r="U39" s="55" t="s">
        <v>120</v>
      </c>
      <c r="V39" s="55" t="s">
        <v>121</v>
      </c>
      <c r="W39" s="55" t="s">
        <v>122</v>
      </c>
    </row>
    <row r="40">
      <c r="B40" s="105" t="s">
        <v>15</v>
      </c>
      <c r="C40" s="106">
        <v>21600.0</v>
      </c>
      <c r="D40" s="107"/>
      <c r="E40" s="106"/>
      <c r="F40" s="107"/>
      <c r="G40" s="18">
        <f t="shared" ref="G40:G68" si="1">F40*C40</f>
        <v>0</v>
      </c>
      <c r="H40" s="107"/>
      <c r="I40" s="107"/>
      <c r="J40" s="107"/>
      <c r="K40" s="107">
        <v>3.75</v>
      </c>
      <c r="L40" s="55">
        <v>3.75</v>
      </c>
      <c r="M40" s="18">
        <f t="shared" ref="M40:M68" si="2">K40-L40</f>
        <v>0</v>
      </c>
      <c r="N40" s="18">
        <f t="shared" ref="N40:N68" si="3">M40*C40</f>
        <v>0</v>
      </c>
      <c r="O40" s="54">
        <f>'Dala Sales &amp; Deliveries'!L2</f>
        <v>0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0</v>
      </c>
      <c r="V40" s="18">
        <f t="shared" ref="V40:V68" si="7">U40*D40</f>
        <v>0</v>
      </c>
      <c r="W40" s="54">
        <f>'Client Restocking'!L2</f>
        <v>1.75</v>
      </c>
    </row>
    <row r="41">
      <c r="B41" s="105" t="s">
        <v>18</v>
      </c>
      <c r="C41" s="106">
        <v>21600.0</v>
      </c>
      <c r="D41" s="107"/>
      <c r="E41" s="106"/>
      <c r="F41" s="108"/>
      <c r="G41" s="18">
        <f t="shared" si="1"/>
        <v>0</v>
      </c>
      <c r="H41" s="107"/>
      <c r="I41" s="107"/>
      <c r="J41" s="108"/>
      <c r="K41" s="107">
        <v>3.25</v>
      </c>
      <c r="L41" s="55">
        <v>7.0</v>
      </c>
      <c r="M41" s="18">
        <f t="shared" si="2"/>
        <v>-3.75</v>
      </c>
      <c r="N41" s="18">
        <f t="shared" si="3"/>
        <v>-81000</v>
      </c>
      <c r="O41" s="54">
        <f>'Dala Sales &amp; Deliveries'!L3</f>
        <v>1.5</v>
      </c>
      <c r="P41" s="18">
        <f t="shared" si="4"/>
        <v>0</v>
      </c>
      <c r="Q41" s="54">
        <f>'External Delivery Fulfillment'!L3</f>
        <v>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0</v>
      </c>
      <c r="V41" s="18">
        <f t="shared" si="7"/>
        <v>0</v>
      </c>
      <c r="W41" s="54">
        <f>'Client Restocking'!L3</f>
        <v>6</v>
      </c>
    </row>
    <row r="42">
      <c r="B42" s="105" t="s">
        <v>19</v>
      </c>
      <c r="C42" s="106">
        <v>27600.0</v>
      </c>
      <c r="D42" s="107"/>
      <c r="E42" s="106"/>
      <c r="F42" s="108"/>
      <c r="G42" s="18">
        <f t="shared" si="1"/>
        <v>0</v>
      </c>
      <c r="H42" s="107"/>
      <c r="I42" s="107"/>
      <c r="J42" s="108"/>
      <c r="K42" s="107">
        <v>0.25</v>
      </c>
      <c r="L42" s="55">
        <v>5.67</v>
      </c>
      <c r="M42" s="18">
        <f t="shared" si="2"/>
        <v>-5.42</v>
      </c>
      <c r="N42" s="18">
        <f t="shared" si="3"/>
        <v>-149592</v>
      </c>
      <c r="O42" s="54">
        <f>'Dala Sales &amp; Deliveries'!L4</f>
        <v>5.75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0</v>
      </c>
      <c r="V42" s="18">
        <f t="shared" si="7"/>
        <v>0</v>
      </c>
      <c r="W42" s="54">
        <f>'Client Restocking'!L4</f>
        <v>8</v>
      </c>
    </row>
    <row r="43">
      <c r="B43" s="109" t="s">
        <v>20</v>
      </c>
      <c r="C43" s="106">
        <v>24000.0</v>
      </c>
      <c r="D43" s="107"/>
      <c r="E43" s="106"/>
      <c r="F43" s="108"/>
      <c r="G43" s="18">
        <f t="shared" si="1"/>
        <v>0</v>
      </c>
      <c r="H43" s="107"/>
      <c r="I43" s="107"/>
      <c r="J43" s="108"/>
      <c r="K43" s="107">
        <v>1.0</v>
      </c>
      <c r="L43" s="55">
        <v>5.08</v>
      </c>
      <c r="M43" s="18">
        <f t="shared" si="2"/>
        <v>-4.08</v>
      </c>
      <c r="N43" s="18">
        <f t="shared" si="3"/>
        <v>-97920</v>
      </c>
      <c r="O43" s="54">
        <f>'Dala Sales &amp; Deliveries'!L5</f>
        <v>1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9</v>
      </c>
    </row>
    <row r="44">
      <c r="B44" s="109" t="s">
        <v>21</v>
      </c>
      <c r="C44" s="106">
        <v>24000.0</v>
      </c>
      <c r="D44" s="107"/>
      <c r="E44" s="106"/>
      <c r="F44" s="108"/>
      <c r="G44" s="18">
        <f t="shared" si="1"/>
        <v>0</v>
      </c>
      <c r="H44" s="107"/>
      <c r="I44" s="107"/>
      <c r="J44" s="108"/>
      <c r="K44" s="107">
        <v>0.25</v>
      </c>
      <c r="L44" s="55">
        <v>3.08</v>
      </c>
      <c r="M44" s="18">
        <f t="shared" si="2"/>
        <v>-2.83</v>
      </c>
      <c r="N44" s="18">
        <f t="shared" si="3"/>
        <v>-67920</v>
      </c>
      <c r="O44" s="54">
        <f>'Dala Sales &amp; Deliveries'!L6</f>
        <v>3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0</v>
      </c>
      <c r="V44" s="18">
        <f t="shared" si="7"/>
        <v>0</v>
      </c>
      <c r="W44" s="54">
        <f>'Client Restocking'!L6</f>
        <v>9</v>
      </c>
    </row>
    <row r="45">
      <c r="B45" s="107"/>
      <c r="C45" s="106"/>
      <c r="D45" s="107"/>
      <c r="E45" s="106"/>
      <c r="F45" s="108"/>
      <c r="G45" s="18">
        <f t="shared" si="1"/>
        <v>0</v>
      </c>
      <c r="H45" s="108"/>
      <c r="I45" s="108"/>
      <c r="J45" s="108"/>
      <c r="K45" s="108"/>
      <c r="L45" s="55"/>
      <c r="M45" s="18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107"/>
      <c r="C46" s="106"/>
      <c r="D46" s="107"/>
      <c r="E46" s="106"/>
      <c r="F46" s="108"/>
      <c r="G46" s="18">
        <f t="shared" si="1"/>
        <v>0</v>
      </c>
      <c r="H46" s="108"/>
      <c r="I46" s="108"/>
      <c r="J46" s="108"/>
      <c r="K46" s="108"/>
      <c r="L46" s="110">
        <f t="shared" ref="L46:L68" si="8">H46+U46+W46-O46-Q46-I46-J46</f>
        <v>0</v>
      </c>
      <c r="M46" s="54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107"/>
      <c r="C47" s="106"/>
      <c r="D47" s="107"/>
      <c r="E47" s="106"/>
      <c r="F47" s="108"/>
      <c r="G47" s="18">
        <f t="shared" si="1"/>
        <v>0</v>
      </c>
      <c r="H47" s="108"/>
      <c r="I47" s="108"/>
      <c r="J47" s="108"/>
      <c r="K47" s="108"/>
      <c r="L47" s="110">
        <f t="shared" si="8"/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107"/>
      <c r="C48" s="106"/>
      <c r="D48" s="107"/>
      <c r="E48" s="106"/>
      <c r="F48" s="108"/>
      <c r="G48" s="18">
        <f t="shared" si="1"/>
        <v>0</v>
      </c>
      <c r="H48" s="108"/>
      <c r="I48" s="108"/>
      <c r="J48" s="108"/>
      <c r="K48" s="108"/>
      <c r="L48" s="110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107"/>
      <c r="C49" s="106"/>
      <c r="D49" s="107"/>
      <c r="E49" s="106"/>
      <c r="F49" s="108"/>
      <c r="G49" s="18">
        <f t="shared" si="1"/>
        <v>0</v>
      </c>
      <c r="H49" s="108"/>
      <c r="I49" s="108"/>
      <c r="J49" s="108"/>
      <c r="K49" s="108"/>
      <c r="L49" s="110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107"/>
      <c r="C50" s="106"/>
      <c r="D50" s="107"/>
      <c r="E50" s="106"/>
      <c r="F50" s="108"/>
      <c r="G50" s="18">
        <f t="shared" si="1"/>
        <v>0</v>
      </c>
      <c r="H50" s="108"/>
      <c r="I50" s="108"/>
      <c r="J50" s="108"/>
      <c r="K50" s="108"/>
      <c r="L50" s="110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107"/>
      <c r="C51" s="106"/>
      <c r="D51" s="107"/>
      <c r="E51" s="106"/>
      <c r="F51" s="108"/>
      <c r="G51" s="18">
        <f t="shared" si="1"/>
        <v>0</v>
      </c>
      <c r="H51" s="108"/>
      <c r="I51" s="108"/>
      <c r="J51" s="108"/>
      <c r="K51" s="108"/>
      <c r="L51" s="110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108"/>
      <c r="C52" s="108"/>
      <c r="D52" s="108"/>
      <c r="E52" s="108"/>
      <c r="F52" s="108"/>
      <c r="G52" s="18">
        <f t="shared" si="1"/>
        <v>0</v>
      </c>
      <c r="H52" s="108"/>
      <c r="I52" s="108"/>
      <c r="J52" s="108"/>
      <c r="K52" s="108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8"/>
      <c r="C53" s="108"/>
      <c r="D53" s="108"/>
      <c r="E53" s="108"/>
      <c r="F53" s="108"/>
      <c r="G53" s="18">
        <f t="shared" si="1"/>
        <v>0</v>
      </c>
      <c r="H53" s="108"/>
      <c r="I53" s="108"/>
      <c r="J53" s="108"/>
      <c r="K53" s="108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8"/>
      <c r="C54" s="108"/>
      <c r="D54" s="108"/>
      <c r="E54" s="108"/>
      <c r="F54" s="108"/>
      <c r="G54" s="18">
        <f t="shared" si="1"/>
        <v>0</v>
      </c>
      <c r="H54" s="108"/>
      <c r="I54" s="108"/>
      <c r="J54" s="108"/>
      <c r="K54" s="108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8"/>
      <c r="C55" s="108"/>
      <c r="D55" s="108"/>
      <c r="E55" s="108"/>
      <c r="F55" s="108"/>
      <c r="G55" s="18">
        <f t="shared" si="1"/>
        <v>0</v>
      </c>
      <c r="H55" s="108"/>
      <c r="I55" s="108"/>
      <c r="J55" s="108"/>
      <c r="K55" s="108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8"/>
      <c r="C56" s="108"/>
      <c r="D56" s="108"/>
      <c r="E56" s="108"/>
      <c r="F56" s="108"/>
      <c r="G56" s="18">
        <f t="shared" si="1"/>
        <v>0</v>
      </c>
      <c r="H56" s="108"/>
      <c r="I56" s="108"/>
      <c r="J56" s="108"/>
      <c r="K56" s="108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8"/>
      <c r="C57" s="108"/>
      <c r="D57" s="108"/>
      <c r="E57" s="108"/>
      <c r="F57" s="108"/>
      <c r="G57" s="18">
        <f t="shared" si="1"/>
        <v>0</v>
      </c>
      <c r="H57" s="108"/>
      <c r="I57" s="108"/>
      <c r="J57" s="108"/>
      <c r="K57" s="108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8"/>
      <c r="C58" s="108"/>
      <c r="D58" s="108"/>
      <c r="E58" s="108"/>
      <c r="F58" s="108"/>
      <c r="G58" s="18">
        <f t="shared" si="1"/>
        <v>0</v>
      </c>
      <c r="H58" s="108"/>
      <c r="I58" s="108"/>
      <c r="J58" s="108"/>
      <c r="K58" s="108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8"/>
      <c r="C59" s="108"/>
      <c r="D59" s="108"/>
      <c r="E59" s="108"/>
      <c r="F59" s="108"/>
      <c r="G59" s="18">
        <f t="shared" si="1"/>
        <v>0</v>
      </c>
      <c r="H59" s="108"/>
      <c r="I59" s="108"/>
      <c r="J59" s="108"/>
      <c r="K59" s="108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8"/>
      <c r="C60" s="108"/>
      <c r="D60" s="108"/>
      <c r="E60" s="108"/>
      <c r="F60" s="108"/>
      <c r="G60" s="18">
        <f t="shared" si="1"/>
        <v>0</v>
      </c>
      <c r="H60" s="108"/>
      <c r="I60" s="108"/>
      <c r="J60" s="108"/>
      <c r="K60" s="108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8"/>
      <c r="C61" s="108"/>
      <c r="D61" s="108"/>
      <c r="E61" s="108"/>
      <c r="F61" s="108"/>
      <c r="G61" s="18">
        <f t="shared" si="1"/>
        <v>0</v>
      </c>
      <c r="H61" s="108"/>
      <c r="I61" s="108"/>
      <c r="J61" s="108"/>
      <c r="K61" s="108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8"/>
      <c r="C62" s="108"/>
      <c r="D62" s="108"/>
      <c r="E62" s="108"/>
      <c r="F62" s="108"/>
      <c r="G62" s="18">
        <f t="shared" si="1"/>
        <v>0</v>
      </c>
      <c r="H62" s="108"/>
      <c r="I62" s="108"/>
      <c r="J62" s="108"/>
      <c r="K62" s="108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8"/>
      <c r="C63" s="108"/>
      <c r="D63" s="108"/>
      <c r="E63" s="108"/>
      <c r="F63" s="108"/>
      <c r="G63" s="18">
        <f t="shared" si="1"/>
        <v>0</v>
      </c>
      <c r="H63" s="108"/>
      <c r="I63" s="108"/>
      <c r="J63" s="108"/>
      <c r="K63" s="108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8"/>
      <c r="C64" s="108"/>
      <c r="D64" s="108"/>
      <c r="E64" s="108"/>
      <c r="F64" s="108"/>
      <c r="G64" s="18">
        <f t="shared" si="1"/>
        <v>0</v>
      </c>
      <c r="H64" s="108"/>
      <c r="I64" s="108"/>
      <c r="J64" s="108"/>
      <c r="K64" s="108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8"/>
      <c r="C65" s="108"/>
      <c r="D65" s="108"/>
      <c r="E65" s="108"/>
      <c r="F65" s="108"/>
      <c r="G65" s="18">
        <f t="shared" si="1"/>
        <v>0</v>
      </c>
      <c r="H65" s="108"/>
      <c r="I65" s="108"/>
      <c r="J65" s="108"/>
      <c r="K65" s="108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8"/>
      <c r="C66" s="108"/>
      <c r="D66" s="108"/>
      <c r="E66" s="108"/>
      <c r="F66" s="108"/>
      <c r="G66" s="18">
        <f t="shared" si="1"/>
        <v>0</v>
      </c>
      <c r="H66" s="108"/>
      <c r="I66" s="108"/>
      <c r="J66" s="108"/>
      <c r="K66" s="108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8"/>
      <c r="C67" s="108"/>
      <c r="D67" s="108"/>
      <c r="E67" s="108"/>
      <c r="F67" s="108"/>
      <c r="G67" s="18">
        <f t="shared" si="1"/>
        <v>0</v>
      </c>
      <c r="H67" s="108"/>
      <c r="I67" s="108"/>
      <c r="J67" s="108"/>
      <c r="K67" s="108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8"/>
      <c r="C68" s="108"/>
      <c r="D68" s="108"/>
      <c r="E68" s="108"/>
      <c r="F68" s="108"/>
      <c r="G68" s="18">
        <f t="shared" si="1"/>
        <v>0</v>
      </c>
      <c r="H68" s="108"/>
      <c r="I68" s="108"/>
      <c r="J68" s="108"/>
      <c r="K68" s="108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123</v>
      </c>
      <c r="C69" s="55"/>
      <c r="D69" s="55"/>
      <c r="E69" s="18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8.5</v>
      </c>
      <c r="L69" s="18">
        <f t="shared" si="9"/>
        <v>24.58</v>
      </c>
      <c r="M69" s="18">
        <f t="shared" si="9"/>
        <v>-16.08</v>
      </c>
      <c r="N69" s="18">
        <f t="shared" si="9"/>
        <v>-396432</v>
      </c>
      <c r="O69" s="54">
        <f t="shared" si="9"/>
        <v>11.25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33.75</v>
      </c>
    </row>
    <row r="70">
      <c r="C70" s="6" t="s">
        <v>124</v>
      </c>
      <c r="D70" s="6" t="s">
        <v>124</v>
      </c>
      <c r="E70" s="6" t="s">
        <v>124</v>
      </c>
      <c r="F70" s="6" t="s">
        <v>124</v>
      </c>
      <c r="G70" s="6" t="s">
        <v>124</v>
      </c>
      <c r="H70" s="6" t="s">
        <v>124</v>
      </c>
      <c r="I70" s="6" t="s">
        <v>124</v>
      </c>
      <c r="J70" s="6" t="s">
        <v>124</v>
      </c>
      <c r="K70" s="6" t="s">
        <v>124</v>
      </c>
      <c r="L70" s="6" t="s">
        <v>124</v>
      </c>
      <c r="M70" s="6" t="s">
        <v>124</v>
      </c>
      <c r="N70" s="6" t="s">
        <v>124</v>
      </c>
      <c r="O70" s="6" t="s">
        <v>124</v>
      </c>
      <c r="P70" s="6" t="s">
        <v>124</v>
      </c>
      <c r="Q70" s="6" t="s">
        <v>124</v>
      </c>
      <c r="R70" s="6" t="s">
        <v>124</v>
      </c>
      <c r="S70" s="6" t="s">
        <v>124</v>
      </c>
      <c r="T70" s="6" t="s">
        <v>124</v>
      </c>
      <c r="U70" s="6" t="s">
        <v>124</v>
      </c>
      <c r="V70" s="6" t="s">
        <v>124</v>
      </c>
      <c r="W70" s="6" t="s">
        <v>124</v>
      </c>
    </row>
  </sheetData>
  <drawing r:id="rId1"/>
</worksheet>
</file>