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<sst xmlns="http://schemas.openxmlformats.org/spreadsheetml/2006/main" count="267" uniqueCount="103">
  <si>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</si>
  <si>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</si>
  <si>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</si>
  <si>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</si>
  <si>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</si>
  <si>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</si>
  <si>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</si>
  <si>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</si>
  <si>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</si>
  <si>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</si>
  <si>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</si>
  <si>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</si>
  <si>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</si>
  <si>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</si>
  <si>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</si>
  <si>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Ripe Plantain Chips (30x)</t>
  </si>
  <si>
    <t>Bboon Foods Ltd;</t>
  </si>
  <si>
    <t>Inventory Supplied by Brands</t>
  </si>
  <si>
    <t>300g UnRipe Plantain Chips (30x)</t>
  </si>
  <si>
    <t>300g Sweet Potato Chips (24x)</t>
  </si>
  <si>
    <t>Prince Ebeano, ELEGANZA</t>
  </si>
  <si>
    <t>Sales</t>
  </si>
  <si>
    <t>DT:000054</t>
  </si>
  <si>
    <t>Am to Pm Supermarket, Martins Rd.</t>
  </si>
  <si>
    <t>DT:000104</t>
  </si>
  <si>
    <t>Prince Ebeano, JAKANDE</t>
  </si>
  <si>
    <t>DT:000121</t>
  </si>
  <si>
    <t>Excel Plus Supermarket, Orchid Rd.</t>
  </si>
  <si>
    <t>DT:000234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</si>
  <si>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</si>
  <si>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</si>
  <si>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</si>
  <si>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</si>
  <si>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</si>
  <si>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</si>
  <si>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</si>
  <si>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</si>
  <si>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</si>
  <si>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2.00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</si>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</sst>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&quot;/&quot;mm&quot;/&quot;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07T00:00:00Z"/>
        <d v="2026-01-10T00:00:00Z"/>
        <d v="2026-01-12T00:00:00Z"/>
        <d v="2026-01-17T00:00:00Z"/>
        <m/>
      </sharedItems>
    </cacheField>
    <cacheField name="Particulars" numFmtId="0">
      <sharedItems containsBlank="1">
        <s v="Prince Ebeano, ELEGANZA"/>
        <s v="Am to Pm Supermarket, Martins Rd."/>
        <s v="Prince Ebeano, JAKAN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s v="DT:000104"/>
        <s v="DT:000121"/>
        <s v="DT:000234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39069.77"/>
        <n v="78139.53"/>
        <n v="156279.06"/>
        <m/>
      </sharedItems>
    </cacheField>
    <cacheField name="Total value" numFmtId="4">
      <sharedItems containsString="0" containsBlank="1" containsNumber="1">
        <n v="39069.77"/>
        <n v="78139.53"/>
        <n v="156279.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07T00:00:00Z"/>
        <d v="2026-01-10T00:00:00Z"/>
        <d v="2026-01-12T00:00:00Z"/>
        <d v="2026-01-17T00:00:00Z"/>
        <m/>
      </sharedItems>
    </cacheField>
    <cacheField name="Particulars" numFmtId="0">
      <sharedItems containsBlank="1">
        <s v="Prince Ebeano, ELEGANZA"/>
        <s v="Am to Pm Supermarket, Martins Rd."/>
        <s v="Prince Ebeano, JAKAND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s v="DT:000104"/>
        <s v="DT:000121"/>
        <s v="DT:000234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39069.77"/>
        <n v="78139.53"/>
        <n v="156279.0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Ripe Plantain Chips (30x)"/>
        <s v="300g UnRipe Plantain Chips (30x)"/>
        <m/>
      </sharedItems>
    </cacheField>
    <cacheField name="Date" numFmtId="164">
      <sharedItems containsDate="1" containsString="0" containsBlank="1">
        <d v="2026-01-24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.0"/>
        <m/>
      </sharedItems>
    </cacheField>
    <cacheField name="Quantity" numFmtId="4">
      <sharedItems containsString="0" containsBlank="1" containsNumber="1">
        <n v="3.93"/>
        <n v="3.77"/>
        <m/>
      </sharedItems>
    </cacheField>
    <cacheField name="Value" numFmtId="4">
      <sharedItems containsString="0" containsBlank="1" containsNumber="1">
        <n v="438697.69"/>
        <n v="420837.2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</v>
      </c>
    </row>
    <row r="3">
      <c r="A3" s="11" t="s">
        <v>15</v>
      </c>
      <c r="B3" s="12">
        <v>46046.0</v>
      </c>
      <c r="C3" s="13" t="s">
        <v>16</v>
      </c>
      <c r="D3" s="13" t="s">
        <v>17</v>
      </c>
      <c r="E3" s="7">
        <v>20.0</v>
      </c>
      <c r="F3" s="14">
        <v>3.93</v>
      </c>
      <c r="G3" s="15">
        <v>438697.69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IFERROR(__xludf.DUMMYFUNCTION("""COMPUTED_VALUE"""),46029.0)</f>
        <v>46029</v>
      </c>
      <c r="K3" s="18" t="str">
        <f>IFERROR(__xludf.DUMMYFUNCTION("""COMPUTED_VALUE"""),"Prince Ebeano, ELEGANZA")</f>
        <v>Prince Ebeano, ELEGANZA</v>
      </c>
      <c r="L3" s="18" t="str">
        <f>IFERROR(__xludf.DUMMYFUNCTION("""COMPUTED_VALUE"""),"Sales")</f>
        <v>Sales</v>
      </c>
      <c r="M3" s="19" t="str">
        <f>IFERROR(__xludf.DUMMYFUNCTION("""COMPUTED_VALUE"""),"DT:000054")</f>
        <v>DT:000054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Brands""),)"),"300g Ripe Plantain Chips (30x)")</f>
        <v>300g Ripe Plantain Chips (30x)</v>
      </c>
      <c r="AI3" s="17">
        <f>IFERROR(__xludf.DUMMYFUNCTION("""COMPUTED_VALUE"""),46046.0)</f>
        <v>46046</v>
      </c>
      <c r="AJ3" s="18" t="str">
        <f>IFERROR(__xludf.DUMMYFUNCTION("""COMPUTED_VALUE"""),"Bboon Foods Ltd;")</f>
        <v>Bboon Foods Ltd;</v>
      </c>
      <c r="AK3" s="18" t="str">
        <f>IFERROR(__xludf.DUMMYFUNCTION("""COMPUTED_VALUE"""),"Inventory Supplied by Brands")</f>
        <v>Inventory Supplied by Brands</v>
      </c>
      <c r="AL3" s="19">
        <f>IFERROR(__xludf.DUMMYFUNCTION("""COMPUTED_VALUE"""),20.0)</f>
        <v>20</v>
      </c>
      <c r="AM3" s="20">
        <f>IFERROR(__xludf.DUMMYFUNCTION("""COMPUTED_VALUE"""),3.93)</f>
        <v>3.93</v>
      </c>
      <c r="AN3" s="21">
        <f>IFERROR(__xludf.DUMMYFUNCTION("""COMPUTED_VALUE"""),438697.69)</f>
        <v>438697.69</v>
      </c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18</v>
      </c>
      <c r="B4" s="12">
        <v>46046.0</v>
      </c>
      <c r="C4" s="13" t="s">
        <v>16</v>
      </c>
      <c r="D4" s="13" t="s">
        <v>17</v>
      </c>
      <c r="E4" s="7">
        <v>20.0</v>
      </c>
      <c r="F4" s="14">
        <v>3.77</v>
      </c>
      <c r="G4" s="15">
        <v>420837.22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IFERROR(__xludf.DUMMYFUNCTION("""COMPUTED_VALUE"""),46032.0)</f>
        <v>46032</v>
      </c>
      <c r="K4" s="18" t="str">
        <f>IFERROR(__xludf.DUMMYFUNCTION("""COMPUTED_VALUE"""),"Am to Pm Supermarket, Martins Rd.")</f>
        <v>Am to Pm Supermarket, Martins Rd.</v>
      </c>
      <c r="L4" s="18" t="str">
        <f>IFERROR(__xludf.DUMMYFUNCTION("""COMPUTED_VALUE"""),"Sales")</f>
        <v>Sales</v>
      </c>
      <c r="M4" s="19" t="str">
        <f>IFERROR(__xludf.DUMMYFUNCTION("""COMPUTED_VALUE"""),"DT:000104")</f>
        <v>DT:000104</v>
      </c>
      <c r="N4" s="20">
        <f>IFERROR(__xludf.DUMMYFUNCTION("""COMPUTED_VALUE"""),0.5)</f>
        <v>0.5</v>
      </c>
      <c r="O4" s="21">
        <f>IFERROR(__xludf.DUMMYFUNCTION("""COMPUTED_VALUE"""),39069.77)</f>
        <v>39069.77</v>
      </c>
      <c r="P4" s="22">
        <f t="shared" si="1"/>
        <v>39069.77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 t="str">
        <f>IFERROR(__xludf.DUMMYFUNCTION("""COMPUTED_VALUE"""),"300g UnRipe Plantain Chips (30x)")</f>
        <v>300g UnRipe Plantain Chips (30x)</v>
      </c>
      <c r="AI4" s="25">
        <f>IFERROR(__xludf.DUMMYFUNCTION("""COMPUTED_VALUE"""),46046.0)</f>
        <v>46046</v>
      </c>
      <c r="AJ4" s="26" t="str">
        <f>IFERROR(__xludf.DUMMYFUNCTION("""COMPUTED_VALUE"""),"Bboon Foods Ltd;")</f>
        <v>Bboon Foods Ltd;</v>
      </c>
      <c r="AK4" s="26" t="str">
        <f>IFERROR(__xludf.DUMMYFUNCTION("""COMPUTED_VALUE"""),"Inventory Supplied by Brands")</f>
        <v>Inventory Supplied by Brands</v>
      </c>
      <c r="AL4" s="2">
        <f>IFERROR(__xludf.DUMMYFUNCTION("""COMPUTED_VALUE"""),20.0)</f>
        <v>20</v>
      </c>
      <c r="AM4" s="33">
        <f>IFERROR(__xludf.DUMMYFUNCTION("""COMPUTED_VALUE"""),3.77)</f>
        <v>3.77</v>
      </c>
      <c r="AN4" s="31">
        <f>IFERROR(__xludf.DUMMYFUNCTION("""COMPUTED_VALUE"""),420837.22)</f>
        <v>420837.22</v>
      </c>
      <c r="AP4" s="24"/>
      <c r="AQ4" s="25"/>
      <c r="AR4" s="26"/>
      <c r="AS4" s="26"/>
      <c r="AT4" s="2"/>
      <c r="AU4" s="30"/>
      <c r="AV4" s="31"/>
    </row>
    <row r="5">
      <c r="A5" s="11" t="s">
        <v>19</v>
      </c>
      <c r="B5" s="12">
        <v>46029.0</v>
      </c>
      <c r="C5" s="13" t="s">
        <v>20</v>
      </c>
      <c r="D5" s="13" t="s">
        <v>21</v>
      </c>
      <c r="E5" s="7" t="s">
        <v>22</v>
      </c>
      <c r="F5" s="14">
        <v>0.5</v>
      </c>
      <c r="G5" s="15">
        <v>39069.77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IFERROR(__xludf.DUMMYFUNCTION("""COMPUTED_VALUE"""),46034.0)</f>
        <v>46034</v>
      </c>
      <c r="K5" s="18" t="str">
        <f>IFERROR(__xludf.DUMMYFUNCTION("""COMPUTED_VALUE"""),"Prince Ebeano, JAKANDE")</f>
        <v>Prince Ebeano, JAKANDE</v>
      </c>
      <c r="L5" s="18" t="str">
        <f>IFERROR(__xludf.DUMMYFUNCTION("""COMPUTED_VALUE"""),"Sales")</f>
        <v>Sales</v>
      </c>
      <c r="M5" s="19" t="str">
        <f>IFERROR(__xludf.DUMMYFUNCTION("""COMPUTED_VALUE"""),"DT:000121")</f>
        <v>DT:000121</v>
      </c>
      <c r="N5" s="20">
        <f>IFERROR(__xludf.DUMMYFUNCTION("""COMPUTED_VALUE"""),1.0)</f>
        <v>1</v>
      </c>
      <c r="O5" s="21">
        <f>IFERROR(__xludf.DUMMYFUNCTION("""COMPUTED_VALUE"""),78139.53)</f>
        <v>78139.53</v>
      </c>
      <c r="P5" s="22">
        <f t="shared" si="1"/>
        <v>78139.53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11" t="s">
        <v>19</v>
      </c>
      <c r="B6" s="12">
        <v>46032.0</v>
      </c>
      <c r="C6" s="13" t="s">
        <v>23</v>
      </c>
      <c r="D6" s="13" t="s">
        <v>21</v>
      </c>
      <c r="E6" s="7" t="s">
        <v>24</v>
      </c>
      <c r="F6" s="14">
        <v>0.5</v>
      </c>
      <c r="G6" s="15">
        <v>39069.77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IFERROR(__xludf.DUMMYFUNCTION("""COMPUTED_VALUE"""),46039.0)</f>
        <v>46039</v>
      </c>
      <c r="K6" s="18" t="str">
        <f>IFERROR(__xludf.DUMMYFUNCTION("""COMPUTED_VALUE"""),"Excel Plus Supermarket, Orchid Rd.")</f>
        <v>Excel Plus Supermarket, Orchid Rd.</v>
      </c>
      <c r="L6" s="18" t="str">
        <f>IFERROR(__xludf.DUMMYFUNCTION("""COMPUTED_VALUE"""),"Sales")</f>
        <v>Sales</v>
      </c>
      <c r="M6" s="19" t="str">
        <f>IFERROR(__xludf.DUMMYFUNCTION("""COMPUTED_VALUE"""),"DT:000234")</f>
        <v>DT:000234</v>
      </c>
      <c r="N6" s="20">
        <f>IFERROR(__xludf.DUMMYFUNCTION("""COMPUTED_VALUE"""),2.0)</f>
        <v>2</v>
      </c>
      <c r="O6" s="21">
        <f>IFERROR(__xludf.DUMMYFUNCTION("""COMPUTED_VALUE"""),156279.06)</f>
        <v>156279.06</v>
      </c>
      <c r="P6" s="22">
        <f t="shared" si="1"/>
        <v>156279.06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11" t="s">
        <v>19</v>
      </c>
      <c r="B7" s="12">
        <v>46034.0</v>
      </c>
      <c r="C7" s="13" t="s">
        <v>25</v>
      </c>
      <c r="D7" s="13" t="s">
        <v>21</v>
      </c>
      <c r="E7" s="7" t="s">
        <v>26</v>
      </c>
      <c r="F7" s="14">
        <v>1.0</v>
      </c>
      <c r="G7" s="15">
        <v>78139.53</v>
      </c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1" t="s">
        <v>19</v>
      </c>
      <c r="B8" s="12">
        <v>46039.0</v>
      </c>
      <c r="C8" s="13" t="s">
        <v>27</v>
      </c>
      <c r="D8" s="13" t="s">
        <v>21</v>
      </c>
      <c r="E8" s="7" t="s">
        <v>28</v>
      </c>
      <c r="F8" s="14">
        <v>2.0</v>
      </c>
      <c r="G8" s="15">
        <v>156279.06</v>
      </c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36"/>
      <c r="B9" s="12"/>
      <c r="C9" s="9"/>
      <c r="D9" s="9"/>
      <c r="E9" s="7"/>
      <c r="F9" s="14"/>
      <c r="G9" s="37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25"/>
      <c r="T9" s="26"/>
      <c r="U9" s="26"/>
      <c r="V9" s="2"/>
      <c r="W9" s="2"/>
      <c r="X9" s="27"/>
      <c r="AQ9" s="34"/>
      <c r="AV9" s="35"/>
    </row>
    <row r="10">
      <c r="A10" s="36"/>
      <c r="B10" s="7"/>
      <c r="C10" s="9"/>
      <c r="D10" s="9"/>
      <c r="E10" s="7"/>
      <c r="F10" s="14"/>
      <c r="G10" s="37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36"/>
      <c r="B11" s="7"/>
      <c r="C11" s="9"/>
      <c r="D11" s="9"/>
      <c r="E11" s="7"/>
      <c r="F11" s="14"/>
      <c r="G11" s="37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36"/>
      <c r="B12" s="7"/>
      <c r="C12" s="9"/>
      <c r="D12" s="9"/>
      <c r="E12" s="7"/>
      <c r="F12" s="14"/>
      <c r="G12" s="37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36"/>
      <c r="B13" s="7"/>
      <c r="C13" s="9"/>
      <c r="D13" s="9"/>
      <c r="E13" s="7"/>
      <c r="F13" s="14"/>
      <c r="G13" s="37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2"/>
      <c r="U13" s="26"/>
      <c r="V13" s="2"/>
      <c r="W13" s="2"/>
      <c r="X13" s="27"/>
      <c r="AQ13" s="34"/>
      <c r="AV13" s="35"/>
    </row>
    <row r="14">
      <c r="A14" s="36"/>
      <c r="B14" s="7"/>
      <c r="C14" s="9"/>
      <c r="D14" s="9"/>
      <c r="E14" s="7"/>
      <c r="F14" s="14"/>
      <c r="G14" s="37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2"/>
      <c r="U14" s="26"/>
      <c r="V14" s="2"/>
      <c r="W14" s="30"/>
      <c r="X14" s="27"/>
      <c r="AQ14" s="34"/>
      <c r="AV14" s="35"/>
    </row>
    <row r="15">
      <c r="A15" s="36"/>
      <c r="B15" s="7"/>
      <c r="C15" s="9"/>
      <c r="D15" s="9"/>
      <c r="E15" s="7"/>
      <c r="F15" s="38"/>
      <c r="G15" s="37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36"/>
      <c r="B16" s="7"/>
      <c r="C16" s="9"/>
      <c r="D16" s="9"/>
      <c r="E16" s="7"/>
      <c r="F16" s="38"/>
      <c r="G16" s="37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36"/>
      <c r="B17" s="7"/>
      <c r="C17" s="9"/>
      <c r="D17" s="9"/>
      <c r="E17" s="7"/>
      <c r="F17" s="38"/>
      <c r="G17" s="37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36"/>
      <c r="B18" s="7"/>
      <c r="C18" s="9"/>
      <c r="D18" s="9"/>
      <c r="E18" s="7"/>
      <c r="F18" s="38"/>
      <c r="G18" s="37"/>
      <c r="I18" s="23"/>
      <c r="J18" s="39"/>
      <c r="K18" s="40"/>
      <c r="L18" s="40"/>
      <c r="M18" s="41"/>
      <c r="N18" s="42"/>
      <c r="O18" s="43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1"/>
      <c r="B19" s="12"/>
      <c r="C19" s="13"/>
      <c r="D19" s="13"/>
      <c r="E19" s="7"/>
      <c r="F19" s="38"/>
      <c r="G19" s="15"/>
      <c r="I19" s="44"/>
      <c r="J19" s="45"/>
      <c r="K19" s="46"/>
      <c r="L19" s="47"/>
      <c r="M19" s="48"/>
      <c r="N19" s="48"/>
      <c r="O19" s="49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44"/>
      <c r="B21" s="45"/>
      <c r="C21" s="46"/>
      <c r="D21" s="47"/>
      <c r="E21" s="48"/>
      <c r="F21" s="48"/>
      <c r="G21" s="49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4"/>
      <c r="AV22" s="35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4"/>
      <c r="AV23" s="35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4"/>
      <c r="AV24" s="35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4"/>
      <c r="AV33" s="35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4"/>
      <c r="AV34" s="35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38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4"/>
      <c r="AV37" s="35"/>
    </row>
    <row r="38">
      <c r="A38" s="24"/>
      <c r="B38" s="25"/>
      <c r="C38" s="26"/>
      <c r="D38" s="26"/>
      <c r="E38" s="2"/>
      <c r="F38" s="38"/>
      <c r="G38" s="15"/>
      <c r="I38" s="24"/>
      <c r="J38" s="25"/>
      <c r="K38" s="32"/>
      <c r="L38" s="26"/>
      <c r="M38" s="2"/>
      <c r="N38" s="38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24"/>
      <c r="B41" s="25"/>
      <c r="C41" s="32"/>
      <c r="D41" s="26"/>
      <c r="E41" s="2"/>
      <c r="F41" s="38"/>
      <c r="G41" s="15"/>
      <c r="J41" s="34"/>
      <c r="O41" s="35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4"/>
      <c r="AV41" s="35"/>
    </row>
    <row r="42">
      <c r="A42" s="24"/>
      <c r="B42" s="25"/>
      <c r="C42" s="32"/>
      <c r="D42" s="26"/>
      <c r="E42" s="2"/>
      <c r="F42" s="30"/>
      <c r="G42" s="31"/>
      <c r="J42" s="34"/>
      <c r="O42" s="35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24"/>
      <c r="B43" s="25"/>
      <c r="C43" s="32"/>
      <c r="D43" s="26"/>
      <c r="E43" s="2"/>
      <c r="F43" s="30"/>
      <c r="G43" s="31"/>
      <c r="J43" s="34"/>
      <c r="O43" s="35"/>
      <c r="P43" s="22">
        <f t="shared" si="1"/>
        <v>0</v>
      </c>
      <c r="Q43" s="23"/>
      <c r="R43" s="23"/>
      <c r="S43" s="50"/>
      <c r="T43" s="51"/>
      <c r="U43" s="51"/>
      <c r="V43" s="52"/>
      <c r="W43" s="53"/>
      <c r="X43" s="54"/>
      <c r="AQ43" s="34"/>
      <c r="AV43" s="35"/>
    </row>
    <row r="44">
      <c r="B44" s="34"/>
      <c r="G44" s="35"/>
      <c r="J44" s="34"/>
      <c r="O44" s="35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4"/>
      <c r="AV44" s="35"/>
    </row>
    <row r="45">
      <c r="B45" s="34"/>
      <c r="G45" s="35"/>
      <c r="J45" s="34"/>
      <c r="O45" s="35"/>
      <c r="P45" s="22">
        <f t="shared" si="1"/>
        <v>0</v>
      </c>
      <c r="AQ45" s="34"/>
      <c r="AV45" s="35"/>
    </row>
    <row r="46">
      <c r="B46" s="34"/>
      <c r="G46" s="35"/>
      <c r="J46" s="34"/>
      <c r="O46" s="35"/>
      <c r="P46" s="22">
        <f t="shared" si="1"/>
        <v>0</v>
      </c>
      <c r="AQ46" s="34"/>
      <c r="AV46" s="35"/>
    </row>
    <row r="47">
      <c r="B47" s="34"/>
      <c r="G47" s="35"/>
      <c r="J47" s="34"/>
      <c r="O47" s="35"/>
      <c r="P47" s="22">
        <f t="shared" si="1"/>
        <v>0</v>
      </c>
      <c r="AQ47" s="34"/>
      <c r="AV47" s="35"/>
    </row>
    <row r="48">
      <c r="B48" s="34"/>
      <c r="G48" s="35"/>
      <c r="J48" s="34"/>
      <c r="O48" s="35"/>
      <c r="P48" s="22">
        <f t="shared" si="1"/>
        <v>0</v>
      </c>
      <c r="AQ48" s="34"/>
      <c r="AV48" s="35"/>
    </row>
    <row r="49">
      <c r="B49" s="34"/>
      <c r="G49" s="35"/>
      <c r="J49" s="34"/>
      <c r="O49" s="35"/>
      <c r="P49" s="22">
        <f t="shared" si="1"/>
        <v>0</v>
      </c>
      <c r="AQ49" s="34"/>
      <c r="AV49" s="35"/>
    </row>
    <row r="50">
      <c r="B50" s="34"/>
      <c r="G50" s="35"/>
      <c r="J50" s="34"/>
      <c r="O50" s="35"/>
      <c r="P50" s="22">
        <f t="shared" si="1"/>
        <v>0</v>
      </c>
      <c r="AQ50" s="34"/>
      <c r="AV50" s="35"/>
    </row>
    <row r="51">
      <c r="B51" s="34"/>
      <c r="G51" s="35"/>
      <c r="J51" s="34"/>
      <c r="O51" s="35"/>
      <c r="P51" s="22">
        <f t="shared" si="1"/>
        <v>0</v>
      </c>
      <c r="AQ51" s="34"/>
      <c r="AV51" s="35"/>
    </row>
    <row r="52">
      <c r="B52" s="34"/>
      <c r="G52" s="35"/>
      <c r="J52" s="34"/>
      <c r="O52" s="35"/>
      <c r="P52" s="22">
        <f t="shared" si="1"/>
        <v>0</v>
      </c>
      <c r="AQ52" s="34"/>
      <c r="AV52" s="35"/>
    </row>
    <row r="53">
      <c r="B53" s="34"/>
      <c r="G53" s="35"/>
      <c r="J53" s="34"/>
      <c r="O53" s="35"/>
      <c r="P53" s="22">
        <f t="shared" si="1"/>
        <v>0</v>
      </c>
      <c r="AQ53" s="34"/>
      <c r="AV53" s="35"/>
    </row>
    <row r="54">
      <c r="B54" s="34"/>
      <c r="G54" s="35"/>
      <c r="J54" s="34"/>
      <c r="O54" s="35"/>
      <c r="P54" s="22">
        <f t="shared" si="1"/>
        <v>0</v>
      </c>
      <c r="AQ54" s="34"/>
    </row>
    <row r="55">
      <c r="B55" s="34"/>
      <c r="G55" s="35"/>
      <c r="J55" s="34"/>
      <c r="O55" s="35"/>
      <c r="P55" s="22">
        <f t="shared" si="1"/>
        <v>0</v>
      </c>
      <c r="AQ55" s="34"/>
    </row>
    <row r="56">
      <c r="B56" s="34"/>
      <c r="G56" s="35"/>
      <c r="J56" s="34"/>
      <c r="O56" s="35"/>
      <c r="P56" s="22">
        <f t="shared" si="1"/>
        <v>0</v>
      </c>
      <c r="AQ56" s="34"/>
    </row>
    <row r="57">
      <c r="B57" s="34"/>
      <c r="G57" s="35"/>
      <c r="J57" s="34"/>
      <c r="O57" s="35"/>
      <c r="P57" s="22">
        <f t="shared" si="1"/>
        <v>0</v>
      </c>
      <c r="AQ57" s="34"/>
    </row>
    <row r="58">
      <c r="B58" s="34"/>
      <c r="G58" s="35"/>
      <c r="J58" s="34"/>
      <c r="O58" s="35"/>
      <c r="P58" s="22">
        <f t="shared" si="1"/>
        <v>0</v>
      </c>
      <c r="AQ58" s="34"/>
    </row>
    <row r="59">
      <c r="B59" s="34"/>
      <c r="G59" s="35"/>
      <c r="J59" s="34"/>
      <c r="O59" s="35"/>
      <c r="P59" s="22">
        <f t="shared" si="1"/>
        <v>0</v>
      </c>
      <c r="AQ59" s="34"/>
    </row>
    <row r="60">
      <c r="B60" s="34"/>
      <c r="G60" s="35"/>
      <c r="J60" s="34"/>
      <c r="O60" s="35"/>
      <c r="P60" s="22">
        <f t="shared" si="1"/>
        <v>0</v>
      </c>
      <c r="AQ60" s="34"/>
    </row>
    <row r="61">
      <c r="B61" s="34"/>
      <c r="G61" s="35"/>
      <c r="J61" s="34"/>
      <c r="O61" s="35"/>
      <c r="P61" s="22">
        <f t="shared" si="1"/>
        <v>0</v>
      </c>
      <c r="AQ61" s="34"/>
    </row>
    <row r="62">
      <c r="B62" s="34"/>
      <c r="G62" s="35"/>
      <c r="J62" s="34"/>
      <c r="O62" s="35"/>
      <c r="P62" s="22">
        <f t="shared" si="1"/>
        <v>0</v>
      </c>
      <c r="AQ62" s="34"/>
    </row>
    <row r="63">
      <c r="B63" s="34"/>
      <c r="G63" s="35"/>
      <c r="J63" s="34"/>
      <c r="O63" s="35"/>
      <c r="P63" s="22">
        <f t="shared" si="1"/>
        <v>0</v>
      </c>
      <c r="AQ63" s="34"/>
    </row>
    <row r="64">
      <c r="B64" s="34"/>
      <c r="G64" s="35"/>
      <c r="J64" s="34"/>
      <c r="O64" s="35"/>
      <c r="P64" s="22">
        <f t="shared" si="1"/>
        <v>0</v>
      </c>
      <c r="AQ64" s="34"/>
    </row>
    <row r="65">
      <c r="B65" s="34"/>
      <c r="G65" s="35"/>
      <c r="J65" s="34"/>
      <c r="O65" s="35"/>
      <c r="P65" s="22">
        <f t="shared" si="1"/>
        <v>0</v>
      </c>
      <c r="AQ65" s="34"/>
    </row>
    <row r="66">
      <c r="B66" s="34"/>
      <c r="G66" s="35"/>
      <c r="J66" s="34"/>
      <c r="O66" s="35"/>
      <c r="P66" s="22">
        <f t="shared" si="1"/>
        <v>0</v>
      </c>
      <c r="AQ66" s="34"/>
    </row>
    <row r="67">
      <c r="B67" s="34"/>
      <c r="G67" s="35"/>
      <c r="J67" s="34"/>
      <c r="O67" s="35"/>
      <c r="P67" s="22">
        <f t="shared" si="1"/>
        <v>0</v>
      </c>
      <c r="AQ67" s="34"/>
    </row>
    <row r="68">
      <c r="B68" s="34"/>
      <c r="G68" s="35"/>
      <c r="J68" s="34"/>
      <c r="O68" s="35"/>
      <c r="P68" s="22">
        <f t="shared" si="1"/>
        <v>0</v>
      </c>
      <c r="AQ68" s="34"/>
    </row>
    <row r="69">
      <c r="B69" s="34"/>
      <c r="G69" s="35"/>
      <c r="J69" s="34"/>
      <c r="O69" s="35"/>
      <c r="P69" s="22">
        <f t="shared" si="1"/>
        <v>0</v>
      </c>
      <c r="AQ69" s="34"/>
    </row>
    <row r="70">
      <c r="B70" s="34"/>
      <c r="G70" s="35"/>
      <c r="J70" s="34"/>
      <c r="O70" s="35"/>
      <c r="P70" s="22">
        <f t="shared" si="1"/>
        <v>0</v>
      </c>
      <c r="AQ70" s="34"/>
    </row>
    <row r="71">
      <c r="B71" s="34"/>
      <c r="G71" s="35"/>
      <c r="J71" s="34"/>
      <c r="O71" s="35"/>
      <c r="P71" s="22">
        <f t="shared" si="1"/>
        <v>0</v>
      </c>
      <c r="AQ71" s="34"/>
    </row>
    <row r="72">
      <c r="B72" s="34"/>
      <c r="G72" s="35"/>
      <c r="J72" s="34"/>
      <c r="O72" s="35"/>
      <c r="P72" s="22">
        <f t="shared" si="1"/>
        <v>0</v>
      </c>
      <c r="AQ72" s="34"/>
    </row>
    <row r="73">
      <c r="B73" s="34"/>
      <c r="G73" s="35"/>
      <c r="J73" s="34"/>
      <c r="O73" s="35"/>
      <c r="P73" s="22">
        <f t="shared" si="1"/>
        <v>0</v>
      </c>
      <c r="AQ73" s="34"/>
    </row>
    <row r="74">
      <c r="B74" s="34"/>
      <c r="G74" s="35"/>
      <c r="J74" s="34"/>
      <c r="O74" s="35"/>
      <c r="P74" s="22">
        <f t="shared" si="1"/>
        <v>0</v>
      </c>
      <c r="AQ74" s="34"/>
    </row>
    <row r="75">
      <c r="B75" s="34"/>
      <c r="G75" s="35"/>
      <c r="J75" s="34"/>
      <c r="O75" s="35"/>
      <c r="P75" s="22">
        <f t="shared" si="1"/>
        <v>0</v>
      </c>
      <c r="AQ75" s="34"/>
    </row>
    <row r="76">
      <c r="B76" s="34"/>
      <c r="G76" s="35"/>
      <c r="J76" s="34"/>
      <c r="O76" s="35"/>
      <c r="P76" s="22">
        <f t="shared" si="1"/>
        <v>0</v>
      </c>
      <c r="AQ76" s="34"/>
    </row>
    <row r="77">
      <c r="B77" s="34"/>
      <c r="G77" s="35"/>
      <c r="J77" s="34"/>
      <c r="O77" s="35"/>
      <c r="P77" s="22">
        <f t="shared" si="1"/>
        <v>0</v>
      </c>
      <c r="AQ77" s="34"/>
    </row>
    <row r="78">
      <c r="B78" s="34"/>
      <c r="G78" s="35"/>
      <c r="J78" s="34"/>
      <c r="O78" s="35"/>
      <c r="P78" s="22">
        <f t="shared" si="1"/>
        <v>0</v>
      </c>
      <c r="AQ78" s="34"/>
    </row>
    <row r="79">
      <c r="B79" s="34"/>
      <c r="G79" s="35"/>
      <c r="J79" s="34"/>
      <c r="O79" s="35"/>
      <c r="P79" s="22">
        <f t="shared" si="1"/>
        <v>0</v>
      </c>
      <c r="AQ79" s="34"/>
    </row>
    <row r="80">
      <c r="B80" s="34"/>
      <c r="G80" s="35"/>
      <c r="J80" s="34"/>
      <c r="O80" s="35"/>
      <c r="P80" s="22">
        <f t="shared" si="1"/>
        <v>0</v>
      </c>
      <c r="AQ80" s="34"/>
    </row>
    <row r="81">
      <c r="B81" s="34"/>
      <c r="G81" s="35"/>
      <c r="J81" s="34"/>
      <c r="O81" s="35"/>
      <c r="P81" s="22">
        <f t="shared" si="1"/>
        <v>0</v>
      </c>
      <c r="AQ81" s="34"/>
    </row>
    <row r="82">
      <c r="B82" s="34"/>
      <c r="G82" s="35"/>
      <c r="J82" s="34"/>
      <c r="O82" s="35"/>
      <c r="P82" s="22">
        <f t="shared" si="1"/>
        <v>0</v>
      </c>
      <c r="AQ82" s="34"/>
    </row>
    <row r="83">
      <c r="B83" s="34"/>
      <c r="G83" s="35"/>
      <c r="J83" s="34"/>
      <c r="O83" s="35"/>
      <c r="P83" s="22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312558.13</v>
      </c>
    </row>
    <row r="3"/>
    <row r="4"/>
    <row r="5"/>
    <row r="6"/>
    <row r="7">
      <c r="A7" s="55"/>
      <c r="D7" s="22"/>
    </row>
    <row r="8">
      <c r="A8" s="55"/>
      <c r="D8" s="22"/>
    </row>
    <row r="9">
      <c r="A9" s="55"/>
      <c r="D9" s="22"/>
    </row>
    <row r="10">
      <c r="A10" s="55"/>
      <c r="D10" s="22"/>
    </row>
    <row r="11">
      <c r="A11" s="55"/>
      <c r="D11" s="22"/>
    </row>
    <row r="12">
      <c r="A12" s="55"/>
      <c r="D12" s="22"/>
    </row>
    <row r="13">
      <c r="A13" s="55"/>
      <c r="D13" s="22"/>
    </row>
    <row r="14">
      <c r="A14" s="55"/>
      <c r="D14" s="22"/>
    </row>
    <row r="15">
      <c r="A15" s="55"/>
      <c r="D15" s="22"/>
    </row>
    <row r="16">
      <c r="A16" s="55"/>
      <c r="D16" s="22"/>
    </row>
    <row r="17">
      <c r="A17" s="55"/>
      <c r="D17" s="22"/>
    </row>
    <row r="18">
      <c r="A18" s="55"/>
      <c r="D18" s="22"/>
    </row>
    <row r="19">
      <c r="A19" s="55"/>
      <c r="D19" s="22"/>
    </row>
    <row r="20">
      <c r="A20" s="55"/>
      <c r="D20" s="22"/>
    </row>
    <row r="21">
      <c r="A21" s="55"/>
      <c r="D21" s="22"/>
    </row>
    <row r="22">
      <c r="A22" s="55"/>
      <c r="D22" s="22"/>
    </row>
    <row r="23">
      <c r="A23" s="55"/>
      <c r="D23" s="22"/>
    </row>
    <row r="24">
      <c r="A24" s="55"/>
      <c r="D24" s="22"/>
    </row>
    <row r="25">
      <c r="A25" s="55"/>
      <c r="D25" s="22"/>
    </row>
    <row r="26">
      <c r="A26" s="55"/>
      <c r="D26" s="22"/>
    </row>
    <row r="27">
      <c r="A27" s="55"/>
      <c r="D27" s="22"/>
    </row>
    <row r="28">
      <c r="A28" s="55"/>
      <c r="D28" s="22"/>
    </row>
    <row r="29">
      <c r="A29" s="55"/>
      <c r="D29" s="22"/>
    </row>
    <row r="30">
      <c r="A30" s="55"/>
      <c r="D30" s="22"/>
    </row>
    <row r="31">
      <c r="A31" s="55"/>
      <c r="D31" s="22"/>
    </row>
    <row r="32">
      <c r="A32" s="55"/>
      <c r="D32" s="22"/>
    </row>
    <row r="33">
      <c r="A33" s="55"/>
      <c r="D33" s="22"/>
    </row>
    <row r="34">
      <c r="A34" s="55"/>
      <c r="D34" s="22"/>
    </row>
    <row r="35">
      <c r="A35" s="55"/>
      <c r="D35" s="22"/>
    </row>
    <row r="36">
      <c r="A36" s="55"/>
      <c r="D36" s="22"/>
    </row>
    <row r="37">
      <c r="A37" s="55"/>
      <c r="D37" s="22"/>
    </row>
    <row r="38">
      <c r="A38" s="55"/>
      <c r="D38" s="22"/>
    </row>
    <row r="39">
      <c r="A39" s="55"/>
      <c r="D39" s="22"/>
    </row>
    <row r="40">
      <c r="A40" s="55"/>
      <c r="D40" s="22"/>
    </row>
    <row r="41">
      <c r="A41" s="55"/>
      <c r="D41" s="22"/>
    </row>
    <row r="42">
      <c r="A42" s="55"/>
      <c r="D42" s="22"/>
    </row>
    <row r="43">
      <c r="A43" s="55"/>
      <c r="D43" s="22"/>
    </row>
    <row r="44">
      <c r="A44" s="55"/>
      <c r="D44" s="22"/>
    </row>
    <row r="45">
      <c r="A45" s="55"/>
      <c r="D45" s="22"/>
    </row>
    <row r="46">
      <c r="A46" s="55"/>
      <c r="D46" s="22"/>
    </row>
    <row r="47">
      <c r="A47" s="55"/>
      <c r="D47" s="22"/>
    </row>
    <row r="48">
      <c r="A48" s="55"/>
      <c r="D48" s="22"/>
    </row>
    <row r="49">
      <c r="A49" s="55"/>
      <c r="D49" s="22"/>
    </row>
    <row r="50">
      <c r="A50" s="55"/>
      <c r="D50" s="22"/>
    </row>
    <row r="51">
      <c r="A51" s="55"/>
      <c r="D51" s="22"/>
    </row>
    <row r="52">
      <c r="A52" s="55"/>
      <c r="D52" s="22"/>
    </row>
    <row r="53">
      <c r="A53" s="55"/>
      <c r="D53" s="22"/>
    </row>
    <row r="54">
      <c r="A54" s="55"/>
      <c r="D54" s="22"/>
    </row>
    <row r="55">
      <c r="A55" s="55"/>
      <c r="D55" s="22"/>
    </row>
    <row r="56">
      <c r="A56" s="55"/>
      <c r="D56" s="22"/>
    </row>
    <row r="57">
      <c r="A57" s="55"/>
      <c r="D57" s="22"/>
    </row>
    <row r="58">
      <c r="A58" s="55"/>
      <c r="D58" s="22"/>
    </row>
    <row r="59">
      <c r="A59" s="55"/>
      <c r="D59" s="22"/>
    </row>
    <row r="60">
      <c r="A60" s="55"/>
      <c r="D60" s="22"/>
    </row>
    <row r="61">
      <c r="A61" s="55"/>
      <c r="D61" s="22"/>
    </row>
    <row r="62">
      <c r="A62" s="55"/>
      <c r="D62" s="22"/>
    </row>
    <row r="63">
      <c r="A63" s="55"/>
      <c r="D63" s="22"/>
    </row>
    <row r="64">
      <c r="A64" s="55"/>
      <c r="D64" s="22"/>
    </row>
    <row r="65">
      <c r="A65" s="55"/>
      <c r="D65" s="22"/>
    </row>
    <row r="66">
      <c r="A66" s="55"/>
      <c r="D66" s="22"/>
    </row>
    <row r="67">
      <c r="A67" s="55"/>
      <c r="D67" s="22"/>
    </row>
    <row r="68">
      <c r="A68" s="55"/>
      <c r="D68" s="22"/>
    </row>
    <row r="69">
      <c r="A69" s="55"/>
      <c r="D69" s="22"/>
    </row>
    <row r="70">
      <c r="A70" s="55"/>
      <c r="D70" s="22"/>
    </row>
    <row r="71">
      <c r="A71" s="55"/>
      <c r="D71" s="22"/>
    </row>
    <row r="72">
      <c r="A72" s="55"/>
      <c r="D72" s="22"/>
    </row>
    <row r="73">
      <c r="A73" s="55"/>
      <c r="D73" s="22"/>
    </row>
    <row r="74">
      <c r="A74" s="55"/>
      <c r="D74" s="22"/>
    </row>
    <row r="75">
      <c r="A75" s="55"/>
      <c r="D75" s="22"/>
    </row>
    <row r="76">
      <c r="A76" s="55"/>
      <c r="D76" s="22"/>
    </row>
    <row r="77">
      <c r="A77" s="55"/>
      <c r="D77" s="22"/>
    </row>
    <row r="78">
      <c r="A78" s="55"/>
      <c r="D78" s="22"/>
    </row>
    <row r="79">
      <c r="A79" s="55"/>
      <c r="D79" s="22"/>
    </row>
    <row r="80">
      <c r="A80" s="55"/>
      <c r="D80" s="22"/>
    </row>
    <row r="81">
      <c r="A81" s="55"/>
      <c r="D81" s="22"/>
    </row>
    <row r="82">
      <c r="A82" s="55"/>
      <c r="D82" s="22"/>
    </row>
    <row r="83">
      <c r="A83" s="55"/>
      <c r="D83" s="22"/>
    </row>
    <row r="84">
      <c r="A84" s="55"/>
      <c r="D84" s="22"/>
    </row>
    <row r="85">
      <c r="A85" s="55"/>
      <c r="D85" s="22"/>
    </row>
    <row r="86">
      <c r="A86" s="55"/>
      <c r="D86" s="22"/>
    </row>
    <row r="87">
      <c r="A87" s="55"/>
      <c r="D87" s="22"/>
    </row>
    <row r="88">
      <c r="A88" s="55"/>
      <c r="D88" s="22"/>
    </row>
    <row r="89">
      <c r="A89" s="55"/>
      <c r="D89" s="22"/>
    </row>
    <row r="90">
      <c r="A90" s="55"/>
      <c r="D90" s="22"/>
    </row>
    <row r="91">
      <c r="A91" s="55"/>
      <c r="D91" s="22"/>
    </row>
    <row r="92">
      <c r="A92" s="55"/>
      <c r="D92" s="22"/>
    </row>
    <row r="93">
      <c r="A93" s="55"/>
      <c r="D93" s="22"/>
    </row>
    <row r="94">
      <c r="A94" s="55"/>
      <c r="D94" s="22"/>
    </row>
    <row r="95">
      <c r="A95" s="55"/>
      <c r="D95" s="22"/>
    </row>
    <row r="96">
      <c r="A96" s="55"/>
      <c r="D96" s="22"/>
    </row>
    <row r="97">
      <c r="A97" s="55"/>
      <c r="D97" s="22"/>
    </row>
    <row r="98">
      <c r="A98" s="55"/>
      <c r="D98" s="22"/>
    </row>
    <row r="99">
      <c r="A99" s="55"/>
      <c r="D99" s="22"/>
    </row>
    <row r="100">
      <c r="A100" s="55"/>
      <c r="D100" s="22"/>
    </row>
    <row r="101">
      <c r="A101" s="55"/>
      <c r="D101" s="22"/>
    </row>
    <row r="102">
      <c r="A102" s="55"/>
      <c r="D102" s="22"/>
    </row>
    <row r="103">
      <c r="A103" s="55"/>
      <c r="D103" s="22"/>
    </row>
    <row r="104">
      <c r="A104" s="55"/>
      <c r="D104" s="22"/>
    </row>
    <row r="105">
      <c r="A105" s="55"/>
      <c r="D105" s="22"/>
    </row>
    <row r="106">
      <c r="A106" s="55"/>
      <c r="D106" s="22"/>
    </row>
    <row r="107">
      <c r="A107" s="55"/>
      <c r="D107" s="22"/>
    </row>
    <row r="108">
      <c r="A108" s="55"/>
      <c r="D108" s="22"/>
    </row>
    <row r="109">
      <c r="A109" s="55"/>
      <c r="D109" s="22"/>
    </row>
    <row r="110">
      <c r="A110" s="55"/>
      <c r="D110" s="22"/>
    </row>
    <row r="111">
      <c r="A111" s="55"/>
      <c r="D111" s="22"/>
    </row>
    <row r="112">
      <c r="A112" s="55"/>
      <c r="D112" s="22"/>
    </row>
    <row r="113">
      <c r="A113" s="55"/>
      <c r="D113" s="22"/>
    </row>
    <row r="114">
      <c r="A114" s="55"/>
      <c r="D114" s="22"/>
    </row>
    <row r="115">
      <c r="A115" s="55"/>
      <c r="D115" s="22"/>
    </row>
    <row r="116">
      <c r="A116" s="55"/>
      <c r="D116" s="22"/>
    </row>
    <row r="117">
      <c r="A117" s="55"/>
      <c r="D117" s="22"/>
    </row>
    <row r="118">
      <c r="A118" s="55"/>
      <c r="D118" s="22"/>
    </row>
    <row r="119">
      <c r="A119" s="55"/>
      <c r="D119" s="22"/>
    </row>
    <row r="120">
      <c r="A120" s="55"/>
      <c r="D120" s="22"/>
    </row>
    <row r="121">
      <c r="A121" s="55"/>
      <c r="D121" s="22"/>
    </row>
    <row r="122">
      <c r="A122" s="55"/>
      <c r="D122" s="22"/>
    </row>
    <row r="123">
      <c r="A123" s="55"/>
      <c r="D123" s="22"/>
    </row>
    <row r="124">
      <c r="A124" s="55"/>
      <c r="D124" s="22"/>
    </row>
    <row r="125">
      <c r="A125" s="55"/>
      <c r="D125" s="22"/>
    </row>
    <row r="126">
      <c r="A126" s="55"/>
      <c r="D126" s="22"/>
    </row>
    <row r="127">
      <c r="A127" s="55"/>
      <c r="D127" s="22"/>
    </row>
    <row r="128">
      <c r="A128" s="55"/>
      <c r="D128" s="22"/>
    </row>
    <row r="129">
      <c r="A129" s="55"/>
      <c r="D129" s="22"/>
    </row>
    <row r="130">
      <c r="A130" s="55"/>
      <c r="D130" s="22"/>
    </row>
    <row r="131">
      <c r="A131" s="55"/>
      <c r="D131" s="22"/>
    </row>
    <row r="132">
      <c r="A132" s="55"/>
      <c r="D132" s="22"/>
    </row>
    <row r="133">
      <c r="A133" s="55"/>
      <c r="D133" s="22"/>
    </row>
    <row r="134">
      <c r="A134" s="55"/>
      <c r="D134" s="22"/>
    </row>
    <row r="135">
      <c r="A135" s="55"/>
      <c r="D135" s="22"/>
    </row>
    <row r="136">
      <c r="A136" s="55"/>
      <c r="D136" s="22"/>
    </row>
    <row r="137">
      <c r="A137" s="55"/>
      <c r="D137" s="22"/>
    </row>
    <row r="138">
      <c r="A138" s="55"/>
      <c r="D138" s="22"/>
    </row>
    <row r="139">
      <c r="A139" s="55"/>
      <c r="D139" s="22"/>
    </row>
    <row r="140">
      <c r="A140" s="55"/>
      <c r="D140" s="22"/>
    </row>
    <row r="141">
      <c r="A141" s="55"/>
      <c r="D141" s="22"/>
    </row>
    <row r="142">
      <c r="A142" s="55"/>
      <c r="D142" s="22"/>
    </row>
    <row r="143">
      <c r="A143" s="55"/>
      <c r="D143" s="22"/>
    </row>
    <row r="144">
      <c r="A144" s="55"/>
      <c r="D144" s="22"/>
    </row>
    <row r="145">
      <c r="A145" s="55"/>
      <c r="D145" s="22"/>
    </row>
    <row r="146">
      <c r="A146" s="55"/>
      <c r="D146" s="22"/>
    </row>
    <row r="147">
      <c r="A147" s="55"/>
      <c r="D147" s="22"/>
    </row>
    <row r="148">
      <c r="A148" s="55"/>
      <c r="D148" s="22"/>
    </row>
    <row r="149">
      <c r="A149" s="55"/>
      <c r="D149" s="22"/>
    </row>
    <row r="150">
      <c r="A150" s="55"/>
      <c r="D150" s="22"/>
    </row>
    <row r="151">
      <c r="A151" s="55"/>
      <c r="D151" s="22"/>
    </row>
    <row r="152">
      <c r="A152" s="55"/>
      <c r="D152" s="22"/>
    </row>
    <row r="153">
      <c r="A153" s="55"/>
      <c r="D153" s="22"/>
    </row>
    <row r="154">
      <c r="A154" s="55"/>
      <c r="D154" s="22"/>
    </row>
    <row r="155">
      <c r="A155" s="55"/>
      <c r="D155" s="22"/>
    </row>
    <row r="156">
      <c r="A156" s="55"/>
      <c r="D156" s="22"/>
    </row>
    <row r="157">
      <c r="A157" s="55"/>
      <c r="D157" s="22"/>
    </row>
    <row r="158">
      <c r="A158" s="55"/>
      <c r="D158" s="22"/>
    </row>
    <row r="159">
      <c r="A159" s="55"/>
      <c r="D159" s="22"/>
    </row>
    <row r="160">
      <c r="A160" s="55"/>
      <c r="D160" s="22"/>
    </row>
    <row r="161">
      <c r="A161" s="55"/>
      <c r="D161" s="22"/>
    </row>
    <row r="162">
      <c r="A162" s="55"/>
      <c r="D162" s="22"/>
    </row>
    <row r="163">
      <c r="A163" s="55"/>
      <c r="D163" s="22"/>
    </row>
    <row r="164">
      <c r="A164" s="55"/>
      <c r="D164" s="22"/>
    </row>
    <row r="165">
      <c r="A165" s="55"/>
      <c r="D165" s="22"/>
    </row>
    <row r="166">
      <c r="A166" s="55"/>
      <c r="D166" s="22"/>
    </row>
    <row r="167">
      <c r="A167" s="55"/>
      <c r="D167" s="22"/>
    </row>
    <row r="168">
      <c r="A168" s="55"/>
      <c r="D168" s="22"/>
    </row>
    <row r="169">
      <c r="A169" s="55"/>
      <c r="D169" s="22"/>
    </row>
    <row r="170">
      <c r="A170" s="55"/>
      <c r="D170" s="22"/>
    </row>
    <row r="171">
      <c r="A171" s="55"/>
      <c r="D171" s="22"/>
    </row>
    <row r="172">
      <c r="A172" s="55"/>
      <c r="D172" s="22"/>
    </row>
    <row r="173">
      <c r="A173" s="55"/>
      <c r="D173" s="22"/>
    </row>
    <row r="174">
      <c r="A174" s="55"/>
      <c r="D174" s="22"/>
    </row>
    <row r="175">
      <c r="A175" s="55"/>
      <c r="D175" s="22"/>
    </row>
    <row r="176">
      <c r="A176" s="55"/>
      <c r="D176" s="22"/>
    </row>
    <row r="177">
      <c r="A177" s="55"/>
      <c r="D177" s="22"/>
    </row>
    <row r="178">
      <c r="A178" s="55"/>
      <c r="D178" s="22"/>
    </row>
    <row r="179">
      <c r="A179" s="55"/>
      <c r="D179" s="22"/>
    </row>
    <row r="180">
      <c r="A180" s="55"/>
      <c r="D180" s="22"/>
    </row>
    <row r="181">
      <c r="A181" s="55"/>
      <c r="D181" s="22"/>
    </row>
    <row r="182">
      <c r="A182" s="55"/>
      <c r="D182" s="22"/>
    </row>
    <row r="183">
      <c r="A183" s="55"/>
      <c r="D183" s="22"/>
    </row>
    <row r="184">
      <c r="A184" s="55"/>
      <c r="D184" s="22"/>
    </row>
    <row r="185">
      <c r="A185" s="55"/>
      <c r="D185" s="22"/>
    </row>
    <row r="186">
      <c r="A186" s="55"/>
      <c r="D186" s="22"/>
    </row>
    <row r="187">
      <c r="A187" s="55"/>
      <c r="D187" s="22"/>
    </row>
    <row r="188">
      <c r="A188" s="55"/>
      <c r="D188" s="22"/>
    </row>
    <row r="189">
      <c r="A189" s="55"/>
      <c r="D189" s="22"/>
    </row>
    <row r="190">
      <c r="A190" s="55"/>
      <c r="D190" s="22"/>
    </row>
    <row r="191">
      <c r="A191" s="55"/>
      <c r="D191" s="22"/>
    </row>
    <row r="192">
      <c r="A192" s="55"/>
      <c r="D192" s="22"/>
    </row>
    <row r="193">
      <c r="A193" s="55"/>
      <c r="D193" s="22"/>
    </row>
    <row r="194">
      <c r="A194" s="55"/>
      <c r="D194" s="22"/>
    </row>
    <row r="195">
      <c r="A195" s="55"/>
      <c r="D195" s="22"/>
    </row>
    <row r="196">
      <c r="A196" s="55"/>
      <c r="D196" s="22"/>
    </row>
    <row r="197">
      <c r="A197" s="55"/>
      <c r="D197" s="22"/>
    </row>
    <row r="198">
      <c r="A198" s="55"/>
      <c r="D198" s="22"/>
    </row>
    <row r="199">
      <c r="A199" s="55"/>
      <c r="D199" s="22"/>
    </row>
    <row r="200">
      <c r="A200" s="55"/>
      <c r="D200" s="22"/>
    </row>
    <row r="201">
      <c r="A201" s="55"/>
      <c r="D201" s="22"/>
    </row>
    <row r="202">
      <c r="A202" s="55"/>
      <c r="D202" s="22"/>
    </row>
    <row r="203">
      <c r="A203" s="55"/>
      <c r="D203" s="22"/>
    </row>
    <row r="204">
      <c r="A204" s="55"/>
      <c r="D204" s="22"/>
    </row>
    <row r="205">
      <c r="A205" s="55"/>
      <c r="D205" s="22"/>
    </row>
    <row r="206">
      <c r="A206" s="55"/>
      <c r="D206" s="22"/>
    </row>
    <row r="207">
      <c r="A207" s="55"/>
      <c r="D207" s="22"/>
    </row>
    <row r="208">
      <c r="A208" s="55"/>
      <c r="D208" s="22"/>
    </row>
    <row r="209">
      <c r="A209" s="55"/>
      <c r="D209" s="22"/>
    </row>
    <row r="210">
      <c r="A210" s="55"/>
      <c r="D210" s="22"/>
    </row>
    <row r="211">
      <c r="A211" s="55"/>
      <c r="D211" s="22"/>
    </row>
    <row r="212">
      <c r="A212" s="55"/>
      <c r="D212" s="22"/>
    </row>
    <row r="213">
      <c r="A213" s="55"/>
      <c r="D213" s="22"/>
    </row>
    <row r="214">
      <c r="A214" s="55"/>
      <c r="D214" s="22"/>
    </row>
    <row r="215">
      <c r="A215" s="55"/>
      <c r="D215" s="22"/>
    </row>
    <row r="216">
      <c r="A216" s="55"/>
      <c r="D216" s="22"/>
    </row>
    <row r="217">
      <c r="A217" s="55"/>
      <c r="D217" s="22"/>
    </row>
    <row r="218">
      <c r="A218" s="55"/>
      <c r="D218" s="22"/>
    </row>
    <row r="219">
      <c r="A219" s="55"/>
      <c r="D219" s="22"/>
    </row>
    <row r="220">
      <c r="A220" s="55"/>
      <c r="D220" s="22"/>
    </row>
    <row r="221">
      <c r="A221" s="55"/>
      <c r="D221" s="22"/>
    </row>
    <row r="222">
      <c r="A222" s="55"/>
      <c r="D222" s="22"/>
    </row>
    <row r="223">
      <c r="A223" s="55"/>
      <c r="D223" s="22"/>
    </row>
    <row r="224">
      <c r="A224" s="55"/>
      <c r="D224" s="22"/>
    </row>
    <row r="225">
      <c r="A225" s="55"/>
      <c r="D225" s="22"/>
    </row>
    <row r="226">
      <c r="A226" s="55"/>
      <c r="D226" s="22"/>
    </row>
    <row r="227">
      <c r="A227" s="55"/>
      <c r="D227" s="22"/>
    </row>
    <row r="228">
      <c r="A228" s="55"/>
      <c r="D228" s="22"/>
    </row>
    <row r="229">
      <c r="A229" s="55"/>
      <c r="D229" s="22"/>
    </row>
    <row r="230">
      <c r="A230" s="55"/>
      <c r="D230" s="22"/>
    </row>
    <row r="231">
      <c r="A231" s="55"/>
      <c r="D231" s="22"/>
    </row>
    <row r="232">
      <c r="A232" s="55"/>
      <c r="D232" s="22"/>
    </row>
    <row r="233">
      <c r="A233" s="55"/>
      <c r="D233" s="22"/>
    </row>
    <row r="234">
      <c r="A234" s="55"/>
      <c r="D234" s="22"/>
    </row>
    <row r="235">
      <c r="A235" s="55"/>
      <c r="D235" s="22"/>
    </row>
    <row r="236">
      <c r="A236" s="55"/>
      <c r="D236" s="22"/>
    </row>
    <row r="237">
      <c r="A237" s="55"/>
      <c r="D237" s="22"/>
    </row>
    <row r="238">
      <c r="A238" s="55"/>
      <c r="D238" s="22"/>
    </row>
    <row r="239">
      <c r="A239" s="55"/>
      <c r="D239" s="22"/>
    </row>
    <row r="240">
      <c r="A240" s="55"/>
      <c r="D240" s="22"/>
    </row>
    <row r="241">
      <c r="A241" s="55"/>
      <c r="D241" s="22"/>
    </row>
    <row r="242">
      <c r="A242" s="55"/>
      <c r="D242" s="22"/>
    </row>
    <row r="243">
      <c r="A243" s="55"/>
      <c r="D243" s="22"/>
    </row>
    <row r="244">
      <c r="A244" s="55"/>
      <c r="D244" s="22"/>
    </row>
    <row r="245">
      <c r="A245" s="55"/>
      <c r="D245" s="22"/>
    </row>
    <row r="246">
      <c r="A246" s="55"/>
      <c r="D246" s="22"/>
    </row>
    <row r="247">
      <c r="A247" s="55"/>
      <c r="D247" s="22"/>
    </row>
    <row r="248">
      <c r="A248" s="55"/>
      <c r="D248" s="22"/>
    </row>
    <row r="249">
      <c r="A249" s="55"/>
      <c r="D249" s="22"/>
    </row>
    <row r="250">
      <c r="A250" s="55"/>
      <c r="D250" s="22"/>
    </row>
    <row r="251">
      <c r="A251" s="55"/>
      <c r="D251" s="22"/>
    </row>
    <row r="252">
      <c r="A252" s="55"/>
      <c r="D252" s="22"/>
    </row>
    <row r="253">
      <c r="A253" s="55"/>
      <c r="D253" s="22"/>
    </row>
    <row r="254">
      <c r="A254" s="55"/>
      <c r="D254" s="22"/>
    </row>
    <row r="255">
      <c r="A255" s="55"/>
      <c r="D255" s="22"/>
    </row>
    <row r="256">
      <c r="A256" s="55"/>
      <c r="D256" s="22"/>
    </row>
    <row r="257">
      <c r="A257" s="55"/>
      <c r="D257" s="22"/>
    </row>
    <row r="258">
      <c r="A258" s="55"/>
      <c r="D258" s="22"/>
    </row>
    <row r="259">
      <c r="A259" s="55"/>
      <c r="D259" s="22"/>
    </row>
    <row r="260">
      <c r="A260" s="55"/>
      <c r="D260" s="22"/>
    </row>
    <row r="261">
      <c r="A261" s="55"/>
      <c r="D261" s="22"/>
    </row>
    <row r="262">
      <c r="A262" s="55"/>
      <c r="D262" s="22"/>
    </row>
    <row r="263">
      <c r="A263" s="55"/>
      <c r="D263" s="22"/>
    </row>
    <row r="264">
      <c r="A264" s="55"/>
      <c r="D264" s="22"/>
    </row>
    <row r="265">
      <c r="A265" s="55"/>
      <c r="D265" s="22"/>
    </row>
    <row r="266">
      <c r="A266" s="55"/>
      <c r="D266" s="22"/>
    </row>
    <row r="267">
      <c r="A267" s="55"/>
      <c r="D267" s="22"/>
    </row>
    <row r="268">
      <c r="A268" s="55"/>
      <c r="D268" s="22"/>
    </row>
    <row r="269">
      <c r="A269" s="55"/>
      <c r="D269" s="22"/>
    </row>
    <row r="270">
      <c r="A270" s="55"/>
      <c r="D270" s="22"/>
    </row>
    <row r="271">
      <c r="A271" s="55"/>
      <c r="D271" s="22"/>
    </row>
    <row r="272">
      <c r="A272" s="55"/>
      <c r="D272" s="22"/>
    </row>
    <row r="273">
      <c r="A273" s="55"/>
      <c r="D273" s="22"/>
    </row>
    <row r="274">
      <c r="A274" s="55"/>
      <c r="D274" s="22"/>
    </row>
    <row r="275">
      <c r="A275" s="55"/>
      <c r="D275" s="22"/>
    </row>
    <row r="276">
      <c r="A276" s="55"/>
      <c r="D276" s="22"/>
    </row>
    <row r="277">
      <c r="A277" s="55"/>
      <c r="D277" s="22"/>
    </row>
    <row r="278">
      <c r="A278" s="55"/>
      <c r="D278" s="22"/>
    </row>
    <row r="279">
      <c r="A279" s="55"/>
      <c r="D279" s="22"/>
    </row>
    <row r="280">
      <c r="A280" s="55"/>
      <c r="D280" s="22"/>
    </row>
    <row r="281">
      <c r="A281" s="55"/>
      <c r="D281" s="22"/>
    </row>
    <row r="282">
      <c r="A282" s="55"/>
      <c r="D282" s="22"/>
    </row>
    <row r="283">
      <c r="A283" s="55"/>
      <c r="D283" s="22"/>
    </row>
    <row r="284">
      <c r="A284" s="55"/>
      <c r="D284" s="22"/>
    </row>
    <row r="285">
      <c r="A285" s="55"/>
      <c r="D285" s="22"/>
    </row>
    <row r="286">
      <c r="A286" s="55"/>
      <c r="D286" s="22"/>
    </row>
    <row r="287">
      <c r="A287" s="55"/>
      <c r="D287" s="22"/>
    </row>
    <row r="288">
      <c r="A288" s="55"/>
      <c r="D288" s="22"/>
    </row>
    <row r="289">
      <c r="A289" s="55"/>
      <c r="D289" s="22"/>
    </row>
    <row r="290">
      <c r="A290" s="55"/>
      <c r="D290" s="22"/>
    </row>
    <row r="291">
      <c r="A291" s="55"/>
      <c r="D291" s="22"/>
    </row>
    <row r="292">
      <c r="A292" s="55"/>
      <c r="D292" s="22"/>
    </row>
    <row r="293">
      <c r="A293" s="55"/>
      <c r="D293" s="22"/>
    </row>
    <row r="294">
      <c r="A294" s="55"/>
      <c r="D294" s="22"/>
    </row>
    <row r="295">
      <c r="A295" s="55"/>
      <c r="D295" s="22"/>
    </row>
    <row r="296">
      <c r="A296" s="55"/>
      <c r="D296" s="22"/>
    </row>
    <row r="297">
      <c r="A297" s="55"/>
      <c r="D297" s="22"/>
    </row>
    <row r="298">
      <c r="A298" s="55"/>
      <c r="D298" s="22"/>
    </row>
    <row r="299">
      <c r="A299" s="55"/>
      <c r="D299" s="22"/>
    </row>
    <row r="300">
      <c r="A300" s="55"/>
      <c r="D300" s="22"/>
    </row>
    <row r="301">
      <c r="A301" s="55"/>
      <c r="D301" s="22"/>
    </row>
    <row r="302">
      <c r="A302" s="55"/>
      <c r="D302" s="22"/>
    </row>
    <row r="303">
      <c r="A303" s="55"/>
      <c r="D303" s="22"/>
    </row>
    <row r="304">
      <c r="A304" s="55"/>
      <c r="D304" s="22"/>
    </row>
    <row r="305">
      <c r="A305" s="55"/>
      <c r="D305" s="22"/>
    </row>
    <row r="306">
      <c r="A306" s="55"/>
      <c r="D306" s="22"/>
    </row>
    <row r="307">
      <c r="A307" s="55"/>
      <c r="D307" s="22"/>
    </row>
    <row r="308">
      <c r="A308" s="55"/>
      <c r="D308" s="22"/>
    </row>
    <row r="309">
      <c r="A309" s="55"/>
      <c r="D309" s="22"/>
    </row>
    <row r="310">
      <c r="A310" s="55"/>
      <c r="D310" s="22"/>
    </row>
    <row r="311">
      <c r="A311" s="55"/>
      <c r="D311" s="22"/>
    </row>
    <row r="312">
      <c r="A312" s="55"/>
      <c r="D312" s="22"/>
    </row>
    <row r="313">
      <c r="A313" s="55"/>
      <c r="D313" s="22"/>
    </row>
    <row r="314">
      <c r="A314" s="55"/>
      <c r="D314" s="22"/>
    </row>
    <row r="315">
      <c r="A315" s="55"/>
      <c r="D315" s="22"/>
    </row>
    <row r="316">
      <c r="A316" s="55"/>
      <c r="D316" s="22"/>
    </row>
    <row r="317">
      <c r="A317" s="55"/>
      <c r="D317" s="22"/>
    </row>
    <row r="318">
      <c r="A318" s="55"/>
      <c r="D318" s="22"/>
    </row>
    <row r="319">
      <c r="A319" s="55"/>
      <c r="D319" s="22"/>
    </row>
    <row r="320">
      <c r="A320" s="55"/>
      <c r="D320" s="22"/>
    </row>
    <row r="321">
      <c r="A321" s="55"/>
      <c r="D321" s="22"/>
    </row>
    <row r="322">
      <c r="A322" s="55"/>
      <c r="D322" s="22"/>
    </row>
    <row r="323">
      <c r="A323" s="55"/>
      <c r="D323" s="22"/>
    </row>
    <row r="324">
      <c r="A324" s="55"/>
      <c r="D324" s="22"/>
    </row>
    <row r="325">
      <c r="A325" s="55"/>
      <c r="D325" s="22"/>
    </row>
    <row r="326">
      <c r="A326" s="55"/>
      <c r="D326" s="22"/>
    </row>
    <row r="327">
      <c r="A327" s="55"/>
      <c r="D327" s="22"/>
    </row>
    <row r="328">
      <c r="A328" s="55"/>
      <c r="D328" s="22"/>
    </row>
    <row r="329">
      <c r="A329" s="55"/>
      <c r="D329" s="22"/>
    </row>
    <row r="330">
      <c r="A330" s="55"/>
      <c r="D330" s="22"/>
    </row>
    <row r="331">
      <c r="A331" s="55"/>
      <c r="D331" s="22"/>
    </row>
    <row r="332">
      <c r="A332" s="55"/>
      <c r="D332" s="22"/>
    </row>
    <row r="333">
      <c r="A333" s="55"/>
      <c r="D333" s="22"/>
    </row>
    <row r="334">
      <c r="A334" s="55"/>
      <c r="D334" s="22"/>
    </row>
    <row r="335">
      <c r="A335" s="55"/>
      <c r="D335" s="22"/>
    </row>
    <row r="336">
      <c r="A336" s="55"/>
      <c r="D336" s="22"/>
    </row>
    <row r="337">
      <c r="A337" s="55"/>
      <c r="D337" s="22"/>
    </row>
    <row r="338">
      <c r="A338" s="55"/>
      <c r="D338" s="22"/>
    </row>
    <row r="339">
      <c r="A339" s="55"/>
      <c r="D339" s="22"/>
    </row>
    <row r="340">
      <c r="A340" s="55"/>
      <c r="D340" s="22"/>
    </row>
    <row r="341">
      <c r="A341" s="55"/>
      <c r="D341" s="22"/>
    </row>
    <row r="342">
      <c r="A342" s="55"/>
      <c r="D342" s="22"/>
    </row>
    <row r="343">
      <c r="A343" s="55"/>
      <c r="D343" s="22"/>
    </row>
    <row r="344">
      <c r="A344" s="55"/>
      <c r="D344" s="22"/>
    </row>
    <row r="345">
      <c r="A345" s="55"/>
      <c r="D345" s="22"/>
    </row>
    <row r="346">
      <c r="A346" s="55"/>
      <c r="D346" s="22"/>
    </row>
    <row r="347">
      <c r="A347" s="55"/>
      <c r="D347" s="22"/>
    </row>
    <row r="348">
      <c r="A348" s="55"/>
      <c r="D348" s="22"/>
    </row>
    <row r="349">
      <c r="A349" s="55"/>
      <c r="D349" s="22"/>
    </row>
    <row r="350">
      <c r="A350" s="55"/>
      <c r="D350" s="22"/>
    </row>
    <row r="351">
      <c r="A351" s="55"/>
      <c r="D351" s="22"/>
    </row>
    <row r="352">
      <c r="A352" s="55"/>
      <c r="D352" s="22"/>
    </row>
    <row r="353">
      <c r="A353" s="55"/>
      <c r="D353" s="22"/>
    </row>
    <row r="354">
      <c r="A354" s="55"/>
      <c r="D354" s="22"/>
    </row>
    <row r="355">
      <c r="A355" s="55"/>
      <c r="D355" s="22"/>
    </row>
    <row r="356">
      <c r="A356" s="55"/>
      <c r="D356" s="22"/>
    </row>
    <row r="357">
      <c r="A357" s="55"/>
      <c r="D357" s="22"/>
    </row>
    <row r="358">
      <c r="A358" s="55"/>
      <c r="D358" s="22"/>
    </row>
    <row r="359">
      <c r="A359" s="55"/>
      <c r="D359" s="22"/>
    </row>
    <row r="360">
      <c r="A360" s="55"/>
      <c r="D360" s="22"/>
    </row>
    <row r="361">
      <c r="A361" s="55"/>
      <c r="D361" s="22"/>
    </row>
    <row r="362">
      <c r="A362" s="55"/>
      <c r="D362" s="22"/>
    </row>
    <row r="363">
      <c r="A363" s="55"/>
      <c r="D363" s="22"/>
    </row>
    <row r="364">
      <c r="A364" s="55"/>
      <c r="D364" s="22"/>
    </row>
    <row r="365">
      <c r="A365" s="55"/>
      <c r="D365" s="22"/>
    </row>
    <row r="366">
      <c r="A366" s="55"/>
      <c r="D366" s="22"/>
    </row>
    <row r="367">
      <c r="A367" s="55"/>
      <c r="D367" s="22"/>
    </row>
    <row r="368">
      <c r="A368" s="55"/>
      <c r="D368" s="22"/>
    </row>
    <row r="369">
      <c r="A369" s="55"/>
      <c r="D369" s="22"/>
    </row>
    <row r="370">
      <c r="A370" s="55"/>
      <c r="D370" s="22"/>
    </row>
    <row r="371">
      <c r="A371" s="55"/>
      <c r="D371" s="22"/>
    </row>
    <row r="372">
      <c r="A372" s="55"/>
      <c r="D372" s="22"/>
    </row>
    <row r="373">
      <c r="A373" s="55"/>
      <c r="D373" s="22"/>
    </row>
    <row r="374">
      <c r="A374" s="55"/>
      <c r="D374" s="22"/>
    </row>
    <row r="375">
      <c r="A375" s="55"/>
      <c r="D375" s="22"/>
    </row>
    <row r="376">
      <c r="A376" s="55"/>
      <c r="D376" s="22"/>
    </row>
    <row r="377">
      <c r="A377" s="55"/>
      <c r="D377" s="22"/>
    </row>
    <row r="378">
      <c r="A378" s="55"/>
      <c r="D378" s="22"/>
    </row>
    <row r="379">
      <c r="A379" s="55"/>
      <c r="D379" s="22"/>
    </row>
    <row r="380">
      <c r="A380" s="55"/>
      <c r="D380" s="22"/>
    </row>
    <row r="381">
      <c r="A381" s="55"/>
      <c r="D381" s="22"/>
    </row>
    <row r="382">
      <c r="A382" s="55"/>
      <c r="D382" s="22"/>
    </row>
    <row r="383">
      <c r="A383" s="55"/>
      <c r="D383" s="22"/>
    </row>
    <row r="384">
      <c r="A384" s="55"/>
      <c r="D384" s="22"/>
    </row>
    <row r="385">
      <c r="A385" s="55"/>
      <c r="D385" s="22"/>
    </row>
    <row r="386">
      <c r="A386" s="55"/>
      <c r="D386" s="22"/>
    </row>
    <row r="387">
      <c r="A387" s="55"/>
      <c r="D387" s="22"/>
    </row>
    <row r="388">
      <c r="A388" s="55"/>
      <c r="D388" s="22"/>
    </row>
    <row r="389">
      <c r="A389" s="55"/>
      <c r="D389" s="22"/>
    </row>
    <row r="390">
      <c r="A390" s="55"/>
      <c r="D390" s="22"/>
    </row>
    <row r="391">
      <c r="A391" s="55"/>
      <c r="D391" s="22"/>
    </row>
    <row r="392">
      <c r="A392" s="55"/>
      <c r="D392" s="22"/>
    </row>
    <row r="393">
      <c r="A393" s="55"/>
      <c r="D393" s="22"/>
    </row>
    <row r="394">
      <c r="A394" s="55"/>
      <c r="D394" s="22"/>
    </row>
    <row r="395">
      <c r="A395" s="55"/>
      <c r="D395" s="22"/>
    </row>
    <row r="396">
      <c r="A396" s="55"/>
      <c r="D396" s="22"/>
    </row>
    <row r="397">
      <c r="A397" s="55"/>
      <c r="D397" s="22"/>
    </row>
    <row r="398">
      <c r="A398" s="55"/>
      <c r="D398" s="22"/>
    </row>
    <row r="399">
      <c r="A399" s="55"/>
      <c r="D399" s="22"/>
    </row>
    <row r="400">
      <c r="A400" s="55"/>
      <c r="D400" s="22"/>
    </row>
    <row r="401">
      <c r="A401" s="55"/>
      <c r="D401" s="22"/>
    </row>
    <row r="402">
      <c r="A402" s="55"/>
      <c r="D402" s="22"/>
    </row>
    <row r="403">
      <c r="A403" s="55"/>
      <c r="D403" s="22"/>
    </row>
    <row r="404">
      <c r="A404" s="55"/>
      <c r="D404" s="22"/>
    </row>
    <row r="405">
      <c r="A405" s="55"/>
      <c r="D405" s="22"/>
    </row>
    <row r="406">
      <c r="A406" s="55"/>
      <c r="D406" s="22"/>
    </row>
    <row r="407">
      <c r="A407" s="55"/>
      <c r="D407" s="22"/>
    </row>
    <row r="408">
      <c r="A408" s="55"/>
      <c r="D408" s="22"/>
    </row>
    <row r="409">
      <c r="A409" s="55"/>
      <c r="D409" s="22"/>
    </row>
    <row r="410">
      <c r="A410" s="55"/>
      <c r="D410" s="22"/>
    </row>
    <row r="411">
      <c r="A411" s="55"/>
      <c r="D411" s="22"/>
    </row>
    <row r="412">
      <c r="A412" s="55"/>
      <c r="D412" s="22"/>
    </row>
    <row r="413">
      <c r="A413" s="55"/>
      <c r="D413" s="22"/>
    </row>
    <row r="414">
      <c r="A414" s="55"/>
      <c r="D414" s="22"/>
    </row>
    <row r="415">
      <c r="A415" s="55"/>
      <c r="D415" s="22"/>
    </row>
    <row r="416">
      <c r="A416" s="55"/>
      <c r="D416" s="22"/>
    </row>
    <row r="417">
      <c r="A417" s="55"/>
      <c r="D417" s="22"/>
    </row>
    <row r="418">
      <c r="A418" s="55"/>
      <c r="D418" s="22"/>
    </row>
    <row r="419">
      <c r="A419" s="55"/>
      <c r="D419" s="22"/>
    </row>
    <row r="420">
      <c r="A420" s="55"/>
      <c r="D420" s="22"/>
    </row>
    <row r="421">
      <c r="A421" s="55"/>
      <c r="D421" s="22"/>
    </row>
    <row r="422">
      <c r="A422" s="55"/>
      <c r="D422" s="22"/>
    </row>
    <row r="423">
      <c r="A423" s="55"/>
      <c r="D423" s="22"/>
    </row>
    <row r="424">
      <c r="A424" s="55"/>
      <c r="D424" s="22"/>
    </row>
    <row r="425">
      <c r="A425" s="55"/>
      <c r="D425" s="22"/>
    </row>
    <row r="426">
      <c r="A426" s="55"/>
      <c r="D426" s="22"/>
    </row>
    <row r="427">
      <c r="A427" s="55"/>
      <c r="D427" s="22"/>
    </row>
    <row r="428">
      <c r="A428" s="55"/>
      <c r="D428" s="22"/>
    </row>
    <row r="429">
      <c r="A429" s="55"/>
      <c r="D429" s="22"/>
    </row>
    <row r="430">
      <c r="A430" s="55"/>
      <c r="D430" s="22"/>
    </row>
    <row r="431">
      <c r="A431" s="55"/>
      <c r="D431" s="22"/>
    </row>
    <row r="432">
      <c r="A432" s="55"/>
      <c r="D432" s="22"/>
    </row>
    <row r="433">
      <c r="A433" s="55"/>
      <c r="D433" s="22"/>
    </row>
    <row r="434">
      <c r="A434" s="55"/>
      <c r="D434" s="22"/>
    </row>
    <row r="435">
      <c r="A435" s="55"/>
      <c r="D435" s="22"/>
    </row>
    <row r="436">
      <c r="A436" s="55"/>
      <c r="D436" s="22"/>
    </row>
    <row r="437">
      <c r="A437" s="55"/>
      <c r="D437" s="22"/>
    </row>
    <row r="438">
      <c r="A438" s="55"/>
      <c r="D438" s="22"/>
    </row>
    <row r="439">
      <c r="A439" s="55"/>
      <c r="D439" s="22"/>
    </row>
    <row r="440">
      <c r="A440" s="55"/>
      <c r="D440" s="22"/>
    </row>
    <row r="441">
      <c r="A441" s="55"/>
      <c r="D441" s="22"/>
    </row>
    <row r="442">
      <c r="A442" s="55"/>
      <c r="D442" s="22"/>
    </row>
    <row r="443">
      <c r="A443" s="55"/>
      <c r="D443" s="22"/>
    </row>
    <row r="444">
      <c r="A444" s="55"/>
      <c r="D444" s="22"/>
    </row>
    <row r="445">
      <c r="A445" s="55"/>
      <c r="D445" s="22"/>
    </row>
    <row r="446">
      <c r="A446" s="55"/>
      <c r="D446" s="22"/>
    </row>
    <row r="447">
      <c r="A447" s="55"/>
      <c r="D447" s="22"/>
    </row>
    <row r="448">
      <c r="A448" s="55"/>
      <c r="D448" s="22"/>
    </row>
    <row r="449">
      <c r="A449" s="55"/>
      <c r="D449" s="22"/>
    </row>
    <row r="450">
      <c r="A450" s="55"/>
      <c r="D450" s="22"/>
    </row>
    <row r="451">
      <c r="A451" s="55"/>
      <c r="D451" s="22"/>
    </row>
    <row r="452">
      <c r="A452" s="55"/>
      <c r="D452" s="22"/>
    </row>
    <row r="453">
      <c r="A453" s="55"/>
      <c r="D453" s="22"/>
    </row>
    <row r="454">
      <c r="A454" s="55"/>
      <c r="D454" s="22"/>
    </row>
    <row r="455">
      <c r="A455" s="55"/>
      <c r="D455" s="22"/>
    </row>
    <row r="456">
      <c r="A456" s="55"/>
      <c r="D456" s="22"/>
    </row>
    <row r="457">
      <c r="A457" s="55"/>
      <c r="D457" s="22"/>
    </row>
    <row r="458">
      <c r="A458" s="55"/>
      <c r="D458" s="22"/>
    </row>
    <row r="459">
      <c r="A459" s="55"/>
      <c r="D459" s="22"/>
    </row>
    <row r="460">
      <c r="A460" s="55"/>
      <c r="D460" s="22"/>
    </row>
    <row r="461">
      <c r="A461" s="55"/>
      <c r="D461" s="22"/>
    </row>
    <row r="462">
      <c r="A462" s="55"/>
      <c r="D462" s="22"/>
    </row>
    <row r="463">
      <c r="A463" s="55"/>
      <c r="D463" s="22"/>
    </row>
    <row r="464">
      <c r="A464" s="55"/>
      <c r="D464" s="22"/>
    </row>
    <row r="465">
      <c r="A465" s="55"/>
      <c r="D465" s="22"/>
    </row>
    <row r="466">
      <c r="A466" s="55"/>
      <c r="D466" s="22"/>
    </row>
    <row r="467">
      <c r="A467" s="55"/>
      <c r="D467" s="22"/>
    </row>
    <row r="468">
      <c r="A468" s="55"/>
      <c r="D468" s="22"/>
    </row>
    <row r="469">
      <c r="A469" s="55"/>
      <c r="D469" s="22"/>
    </row>
    <row r="470">
      <c r="A470" s="55"/>
      <c r="D470" s="22"/>
    </row>
    <row r="471">
      <c r="A471" s="55"/>
      <c r="D471" s="22"/>
    </row>
    <row r="472">
      <c r="A472" s="55"/>
      <c r="D472" s="22"/>
    </row>
    <row r="473">
      <c r="A473" s="55"/>
      <c r="D473" s="22"/>
    </row>
    <row r="474">
      <c r="A474" s="55"/>
      <c r="D474" s="22"/>
    </row>
    <row r="475">
      <c r="A475" s="55"/>
      <c r="D475" s="22"/>
    </row>
    <row r="476">
      <c r="A476" s="55"/>
      <c r="D476" s="22"/>
    </row>
    <row r="477">
      <c r="A477" s="55"/>
      <c r="D477" s="22"/>
    </row>
    <row r="478">
      <c r="A478" s="55"/>
      <c r="D478" s="22"/>
    </row>
    <row r="479">
      <c r="A479" s="55"/>
      <c r="D479" s="22"/>
    </row>
    <row r="480">
      <c r="A480" s="55"/>
      <c r="D480" s="22"/>
    </row>
    <row r="481">
      <c r="A481" s="55"/>
      <c r="D481" s="22"/>
    </row>
    <row r="482">
      <c r="A482" s="55"/>
      <c r="D482" s="22"/>
    </row>
    <row r="483">
      <c r="A483" s="55"/>
      <c r="D483" s="22"/>
    </row>
    <row r="484">
      <c r="A484" s="55"/>
      <c r="D484" s="22"/>
    </row>
    <row r="485">
      <c r="A485" s="55"/>
      <c r="D485" s="22"/>
    </row>
    <row r="486">
      <c r="A486" s="55"/>
      <c r="D486" s="22"/>
    </row>
    <row r="487">
      <c r="A487" s="55"/>
      <c r="D487" s="22"/>
    </row>
    <row r="488">
      <c r="A488" s="55"/>
      <c r="D488" s="22"/>
    </row>
    <row r="489">
      <c r="A489" s="55"/>
      <c r="D489" s="22"/>
    </row>
    <row r="490">
      <c r="A490" s="55"/>
      <c r="D490" s="22"/>
    </row>
    <row r="491">
      <c r="A491" s="55"/>
      <c r="D491" s="22"/>
    </row>
    <row r="492">
      <c r="A492" s="55"/>
      <c r="D492" s="22"/>
    </row>
    <row r="493">
      <c r="A493" s="55"/>
      <c r="D493" s="22"/>
    </row>
    <row r="494">
      <c r="A494" s="55"/>
      <c r="D494" s="22"/>
    </row>
    <row r="495">
      <c r="A495" s="55"/>
      <c r="D495" s="22"/>
    </row>
    <row r="496">
      <c r="A496" s="55"/>
      <c r="D496" s="22"/>
    </row>
    <row r="497">
      <c r="A497" s="55"/>
      <c r="D497" s="22"/>
    </row>
    <row r="498">
      <c r="A498" s="55"/>
      <c r="D498" s="22"/>
    </row>
    <row r="499">
      <c r="A499" s="55"/>
      <c r="D499" s="22"/>
    </row>
    <row r="500">
      <c r="A500" s="55"/>
      <c r="D500" s="22"/>
    </row>
    <row r="501">
      <c r="A501" s="55"/>
      <c r="D501" s="22"/>
    </row>
    <row r="502">
      <c r="A502" s="55"/>
      <c r="D502" s="22"/>
    </row>
    <row r="503">
      <c r="A503" s="55"/>
      <c r="D503" s="22"/>
    </row>
    <row r="504">
      <c r="A504" s="55"/>
      <c r="D504" s="22"/>
    </row>
    <row r="505">
      <c r="A505" s="55"/>
      <c r="D505" s="22"/>
    </row>
    <row r="506">
      <c r="A506" s="55"/>
      <c r="D506" s="22"/>
    </row>
    <row r="507">
      <c r="A507" s="55"/>
      <c r="D507" s="22"/>
    </row>
    <row r="508">
      <c r="A508" s="55"/>
      <c r="D508" s="22"/>
    </row>
    <row r="509">
      <c r="A509" s="55"/>
      <c r="D509" s="22"/>
    </row>
    <row r="510">
      <c r="A510" s="55"/>
      <c r="D510" s="22"/>
    </row>
    <row r="511">
      <c r="A511" s="55"/>
      <c r="D511" s="22"/>
    </row>
    <row r="512">
      <c r="A512" s="55"/>
      <c r="D512" s="22"/>
    </row>
    <row r="513">
      <c r="A513" s="55"/>
      <c r="D513" s="22"/>
    </row>
    <row r="514">
      <c r="A514" s="55"/>
      <c r="D514" s="22"/>
    </row>
    <row r="515">
      <c r="A515" s="55"/>
      <c r="D515" s="22"/>
    </row>
    <row r="516">
      <c r="A516" s="55"/>
      <c r="D516" s="22"/>
    </row>
    <row r="517">
      <c r="A517" s="55"/>
      <c r="D517" s="22"/>
    </row>
    <row r="518">
      <c r="A518" s="55"/>
      <c r="D518" s="22"/>
    </row>
    <row r="519">
      <c r="A519" s="55"/>
      <c r="D519" s="22"/>
    </row>
    <row r="520">
      <c r="A520" s="55"/>
      <c r="D520" s="22"/>
    </row>
    <row r="521">
      <c r="A521" s="55"/>
      <c r="D521" s="22"/>
    </row>
    <row r="522">
      <c r="A522" s="55"/>
      <c r="D522" s="22"/>
    </row>
    <row r="523">
      <c r="A523" s="55"/>
      <c r="D523" s="22"/>
    </row>
    <row r="524">
      <c r="A524" s="55"/>
      <c r="D524" s="22"/>
    </row>
    <row r="525">
      <c r="A525" s="55"/>
      <c r="D525" s="22"/>
    </row>
    <row r="526">
      <c r="A526" s="55"/>
      <c r="D526" s="22"/>
    </row>
    <row r="527">
      <c r="A527" s="55"/>
      <c r="D527" s="22"/>
    </row>
    <row r="528">
      <c r="A528" s="55"/>
      <c r="D528" s="22"/>
    </row>
    <row r="529">
      <c r="A529" s="55"/>
      <c r="D529" s="22"/>
    </row>
    <row r="530">
      <c r="A530" s="55"/>
      <c r="D530" s="22"/>
    </row>
    <row r="531">
      <c r="A531" s="55"/>
      <c r="D531" s="22"/>
    </row>
    <row r="532">
      <c r="A532" s="55"/>
      <c r="D532" s="22"/>
    </row>
    <row r="533">
      <c r="A533" s="55"/>
      <c r="D533" s="22"/>
    </row>
    <row r="534">
      <c r="A534" s="55"/>
      <c r="D534" s="22"/>
    </row>
    <row r="535">
      <c r="A535" s="55"/>
      <c r="D535" s="22"/>
    </row>
    <row r="536">
      <c r="A536" s="55"/>
      <c r="D536" s="22"/>
    </row>
    <row r="537">
      <c r="A537" s="55"/>
      <c r="D537" s="22"/>
    </row>
    <row r="538">
      <c r="A538" s="55"/>
      <c r="D538" s="22"/>
    </row>
    <row r="539">
      <c r="A539" s="55"/>
      <c r="D539" s="22"/>
    </row>
    <row r="540">
      <c r="A540" s="55"/>
      <c r="D540" s="22"/>
    </row>
    <row r="541">
      <c r="A541" s="55"/>
      <c r="D541" s="22"/>
    </row>
    <row r="542">
      <c r="A542" s="55"/>
      <c r="D542" s="22"/>
    </row>
    <row r="543">
      <c r="A543" s="55"/>
      <c r="D543" s="22"/>
    </row>
    <row r="544">
      <c r="A544" s="55"/>
      <c r="D544" s="22"/>
    </row>
    <row r="545">
      <c r="A545" s="55"/>
      <c r="D545" s="22"/>
    </row>
    <row r="546">
      <c r="A546" s="55"/>
      <c r="D546" s="22"/>
    </row>
    <row r="547">
      <c r="A547" s="55"/>
      <c r="D547" s="22"/>
    </row>
    <row r="548">
      <c r="A548" s="55"/>
      <c r="D548" s="22"/>
    </row>
    <row r="549">
      <c r="A549" s="55"/>
      <c r="D549" s="22"/>
    </row>
    <row r="550">
      <c r="A550" s="55"/>
      <c r="D550" s="22"/>
    </row>
    <row r="551">
      <c r="A551" s="55"/>
      <c r="D551" s="22"/>
    </row>
    <row r="552">
      <c r="A552" s="55"/>
      <c r="D552" s="22"/>
    </row>
    <row r="553">
      <c r="A553" s="55"/>
      <c r="D553" s="22"/>
    </row>
    <row r="554">
      <c r="A554" s="55"/>
      <c r="D554" s="22"/>
    </row>
    <row r="555">
      <c r="A555" s="55"/>
      <c r="D555" s="22"/>
    </row>
    <row r="556">
      <c r="A556" s="55"/>
      <c r="D556" s="22"/>
    </row>
    <row r="557">
      <c r="A557" s="55"/>
      <c r="D557" s="22"/>
    </row>
    <row r="558">
      <c r="A558" s="55"/>
      <c r="D558" s="22"/>
    </row>
    <row r="559">
      <c r="A559" s="55"/>
      <c r="D559" s="22"/>
    </row>
    <row r="560">
      <c r="A560" s="55"/>
      <c r="D560" s="22"/>
    </row>
    <row r="561">
      <c r="A561" s="55"/>
      <c r="D561" s="22"/>
    </row>
    <row r="562">
      <c r="A562" s="55"/>
      <c r="D562" s="22"/>
    </row>
    <row r="563">
      <c r="A563" s="55"/>
      <c r="D563" s="22"/>
    </row>
    <row r="564">
      <c r="A564" s="55"/>
      <c r="D564" s="22"/>
    </row>
    <row r="565">
      <c r="A565" s="55"/>
      <c r="D565" s="22"/>
    </row>
    <row r="566">
      <c r="A566" s="55"/>
      <c r="D566" s="22"/>
    </row>
    <row r="567">
      <c r="A567" s="55"/>
      <c r="D567" s="22"/>
    </row>
    <row r="568">
      <c r="A568" s="55"/>
      <c r="D568" s="22"/>
    </row>
    <row r="569">
      <c r="A569" s="55"/>
      <c r="D569" s="22"/>
    </row>
    <row r="570">
      <c r="A570" s="55"/>
      <c r="D570" s="22"/>
    </row>
    <row r="571">
      <c r="A571" s="55"/>
      <c r="D571" s="22"/>
    </row>
    <row r="572">
      <c r="A572" s="55"/>
      <c r="D572" s="22"/>
    </row>
    <row r="573">
      <c r="A573" s="55"/>
      <c r="D573" s="22"/>
    </row>
    <row r="574">
      <c r="A574" s="55"/>
      <c r="D574" s="22"/>
    </row>
    <row r="575">
      <c r="A575" s="55"/>
      <c r="D575" s="22"/>
    </row>
    <row r="576">
      <c r="A576" s="55"/>
      <c r="D576" s="22"/>
    </row>
    <row r="577">
      <c r="A577" s="55"/>
      <c r="D577" s="22"/>
    </row>
    <row r="578">
      <c r="A578" s="55"/>
      <c r="D578" s="22"/>
    </row>
    <row r="579">
      <c r="A579" s="55"/>
      <c r="D579" s="22"/>
    </row>
    <row r="580">
      <c r="A580" s="55"/>
      <c r="D580" s="22"/>
    </row>
    <row r="581">
      <c r="A581" s="55"/>
      <c r="D581" s="22"/>
    </row>
    <row r="582">
      <c r="A582" s="55"/>
      <c r="D582" s="22"/>
    </row>
    <row r="583">
      <c r="A583" s="55"/>
      <c r="D583" s="22"/>
    </row>
    <row r="584">
      <c r="A584" s="55"/>
      <c r="D584" s="22"/>
    </row>
    <row r="585">
      <c r="A585" s="55"/>
      <c r="D585" s="22"/>
    </row>
    <row r="586">
      <c r="A586" s="55"/>
      <c r="D586" s="22"/>
    </row>
    <row r="587">
      <c r="A587" s="55"/>
      <c r="D587" s="22"/>
    </row>
    <row r="588">
      <c r="A588" s="55"/>
      <c r="D588" s="22"/>
    </row>
    <row r="589">
      <c r="A589" s="55"/>
      <c r="D589" s="22"/>
    </row>
    <row r="590">
      <c r="A590" s="55"/>
      <c r="D590" s="22"/>
    </row>
    <row r="591">
      <c r="A591" s="55"/>
      <c r="D591" s="22"/>
    </row>
    <row r="592">
      <c r="A592" s="55"/>
      <c r="D592" s="22"/>
    </row>
    <row r="593">
      <c r="A593" s="55"/>
      <c r="D593" s="22"/>
    </row>
    <row r="594">
      <c r="A594" s="55"/>
      <c r="D594" s="22"/>
    </row>
    <row r="595">
      <c r="A595" s="55"/>
      <c r="D595" s="22"/>
    </row>
    <row r="596">
      <c r="A596" s="55"/>
      <c r="D596" s="22"/>
    </row>
    <row r="597">
      <c r="A597" s="55"/>
      <c r="D597" s="22"/>
    </row>
    <row r="598">
      <c r="A598" s="55"/>
      <c r="D598" s="22"/>
    </row>
    <row r="599">
      <c r="A599" s="55"/>
      <c r="D599" s="22"/>
    </row>
    <row r="600">
      <c r="A600" s="55"/>
      <c r="D600" s="22"/>
    </row>
    <row r="601">
      <c r="A601" s="55"/>
      <c r="D601" s="22"/>
    </row>
    <row r="602">
      <c r="A602" s="55"/>
      <c r="D602" s="22"/>
    </row>
    <row r="603">
      <c r="A603" s="55"/>
      <c r="D603" s="22"/>
    </row>
    <row r="604">
      <c r="A604" s="55"/>
      <c r="D604" s="22"/>
    </row>
    <row r="605">
      <c r="A605" s="55"/>
      <c r="D605" s="22"/>
    </row>
    <row r="606">
      <c r="A606" s="55"/>
      <c r="D606" s="22"/>
    </row>
    <row r="607">
      <c r="A607" s="55"/>
      <c r="D607" s="22"/>
    </row>
    <row r="608">
      <c r="A608" s="55"/>
      <c r="D608" s="22"/>
    </row>
    <row r="609">
      <c r="A609" s="55"/>
      <c r="D609" s="22"/>
    </row>
    <row r="610">
      <c r="A610" s="55"/>
      <c r="D610" s="22"/>
    </row>
    <row r="611">
      <c r="A611" s="55"/>
      <c r="D611" s="22"/>
    </row>
    <row r="612">
      <c r="A612" s="55"/>
      <c r="D612" s="22"/>
    </row>
    <row r="613">
      <c r="A613" s="55"/>
      <c r="D613" s="22"/>
    </row>
    <row r="614">
      <c r="A614" s="55"/>
      <c r="D614" s="22"/>
    </row>
    <row r="615">
      <c r="A615" s="55"/>
      <c r="D615" s="22"/>
    </row>
    <row r="616">
      <c r="A616" s="55"/>
      <c r="D616" s="22"/>
    </row>
    <row r="617">
      <c r="A617" s="55"/>
      <c r="D617" s="22"/>
    </row>
    <row r="618">
      <c r="A618" s="55"/>
      <c r="D618" s="22"/>
    </row>
    <row r="619">
      <c r="A619" s="55"/>
      <c r="D619" s="22"/>
    </row>
    <row r="620">
      <c r="A620" s="55"/>
      <c r="D620" s="22"/>
    </row>
    <row r="621">
      <c r="A621" s="55"/>
      <c r="D621" s="22"/>
    </row>
    <row r="622">
      <c r="A622" s="55"/>
      <c r="D622" s="22"/>
    </row>
    <row r="623">
      <c r="A623" s="55"/>
      <c r="D623" s="22"/>
    </row>
    <row r="624">
      <c r="A624" s="55"/>
      <c r="D624" s="22"/>
    </row>
    <row r="625">
      <c r="A625" s="55"/>
      <c r="D625" s="22"/>
    </row>
    <row r="626">
      <c r="A626" s="55"/>
      <c r="D626" s="22"/>
    </row>
    <row r="627">
      <c r="A627" s="55"/>
      <c r="D627" s="22"/>
    </row>
    <row r="628">
      <c r="A628" s="55"/>
      <c r="D628" s="22"/>
    </row>
    <row r="629">
      <c r="A629" s="55"/>
      <c r="D629" s="22"/>
    </row>
    <row r="630">
      <c r="A630" s="55"/>
      <c r="D630" s="22"/>
    </row>
    <row r="631">
      <c r="A631" s="55"/>
      <c r="D631" s="22"/>
    </row>
    <row r="632">
      <c r="A632" s="55"/>
      <c r="D632" s="22"/>
    </row>
    <row r="633">
      <c r="A633" s="55"/>
      <c r="D633" s="22"/>
    </row>
    <row r="634">
      <c r="A634" s="55"/>
      <c r="D634" s="22"/>
    </row>
    <row r="635">
      <c r="A635" s="55"/>
      <c r="D635" s="22"/>
    </row>
    <row r="636">
      <c r="A636" s="55"/>
      <c r="D636" s="22"/>
    </row>
    <row r="637">
      <c r="A637" s="55"/>
      <c r="D637" s="22"/>
    </row>
    <row r="638">
      <c r="A638" s="55"/>
      <c r="D638" s="22"/>
    </row>
    <row r="639">
      <c r="A639" s="55"/>
      <c r="D639" s="22"/>
    </row>
    <row r="640">
      <c r="A640" s="55"/>
      <c r="D640" s="22"/>
    </row>
    <row r="641">
      <c r="A641" s="55"/>
      <c r="D641" s="22"/>
    </row>
    <row r="642">
      <c r="A642" s="55"/>
      <c r="D642" s="22"/>
    </row>
    <row r="643">
      <c r="A643" s="55"/>
      <c r="D643" s="22"/>
    </row>
    <row r="644">
      <c r="A644" s="55"/>
      <c r="D644" s="22"/>
    </row>
    <row r="645">
      <c r="A645" s="55"/>
      <c r="D645" s="22"/>
    </row>
    <row r="646">
      <c r="A646" s="55"/>
      <c r="D646" s="22"/>
    </row>
    <row r="647">
      <c r="A647" s="55"/>
      <c r="D647" s="22"/>
    </row>
    <row r="648">
      <c r="A648" s="55"/>
      <c r="D648" s="22"/>
    </row>
    <row r="649">
      <c r="A649" s="55"/>
      <c r="D649" s="22"/>
    </row>
    <row r="650">
      <c r="A650" s="55"/>
      <c r="D650" s="22"/>
    </row>
    <row r="651">
      <c r="A651" s="55"/>
      <c r="D651" s="22"/>
    </row>
    <row r="652">
      <c r="A652" s="55"/>
      <c r="D652" s="22"/>
    </row>
    <row r="653">
      <c r="A653" s="55"/>
      <c r="D653" s="22"/>
    </row>
    <row r="654">
      <c r="A654" s="55"/>
      <c r="D654" s="22"/>
    </row>
    <row r="655">
      <c r="A655" s="55"/>
      <c r="D655" s="22"/>
    </row>
    <row r="656">
      <c r="A656" s="55"/>
      <c r="D656" s="22"/>
    </row>
    <row r="657">
      <c r="A657" s="55"/>
      <c r="D657" s="22"/>
    </row>
    <row r="658">
      <c r="A658" s="55"/>
      <c r="D658" s="22"/>
    </row>
    <row r="659">
      <c r="A659" s="55"/>
      <c r="D659" s="22"/>
    </row>
    <row r="660">
      <c r="A660" s="55"/>
      <c r="D660" s="22"/>
    </row>
    <row r="661">
      <c r="A661" s="55"/>
      <c r="D661" s="22"/>
    </row>
    <row r="662">
      <c r="A662" s="55"/>
      <c r="D662" s="22"/>
    </row>
    <row r="663">
      <c r="A663" s="55"/>
      <c r="D663" s="22"/>
    </row>
    <row r="664">
      <c r="A664" s="55"/>
      <c r="D664" s="22"/>
    </row>
    <row r="665">
      <c r="A665" s="55"/>
      <c r="D665" s="22"/>
    </row>
    <row r="666">
      <c r="A666" s="55"/>
      <c r="D666" s="22"/>
    </row>
    <row r="667">
      <c r="A667" s="55"/>
      <c r="D667" s="22"/>
    </row>
    <row r="668">
      <c r="A668" s="55"/>
      <c r="D668" s="22"/>
    </row>
    <row r="669">
      <c r="A669" s="55"/>
      <c r="D669" s="22"/>
    </row>
    <row r="670">
      <c r="A670" s="55"/>
      <c r="D670" s="22"/>
    </row>
    <row r="671">
      <c r="A671" s="55"/>
      <c r="D671" s="22"/>
    </row>
    <row r="672">
      <c r="A672" s="55"/>
      <c r="D672" s="22"/>
    </row>
    <row r="673">
      <c r="A673" s="55"/>
      <c r="D673" s="22"/>
    </row>
    <row r="674">
      <c r="A674" s="55"/>
      <c r="D674" s="22"/>
    </row>
    <row r="675">
      <c r="A675" s="55"/>
      <c r="D675" s="22"/>
    </row>
    <row r="676">
      <c r="A676" s="55"/>
      <c r="D676" s="22"/>
    </row>
    <row r="677">
      <c r="A677" s="55"/>
      <c r="D677" s="22"/>
    </row>
    <row r="678">
      <c r="A678" s="55"/>
      <c r="D678" s="22"/>
    </row>
    <row r="679">
      <c r="A679" s="55"/>
      <c r="D679" s="22"/>
    </row>
    <row r="680">
      <c r="A680" s="55"/>
      <c r="D680" s="22"/>
    </row>
    <row r="681">
      <c r="A681" s="55"/>
      <c r="D681" s="22"/>
    </row>
    <row r="682">
      <c r="A682" s="55"/>
      <c r="D682" s="22"/>
    </row>
    <row r="683">
      <c r="A683" s="55"/>
      <c r="D683" s="22"/>
    </row>
    <row r="684">
      <c r="A684" s="55"/>
      <c r="D684" s="22"/>
    </row>
    <row r="685">
      <c r="A685" s="55"/>
      <c r="D685" s="22"/>
    </row>
    <row r="686">
      <c r="A686" s="55"/>
      <c r="D686" s="22"/>
    </row>
    <row r="687">
      <c r="A687" s="55"/>
      <c r="D687" s="22"/>
    </row>
    <row r="688">
      <c r="A688" s="55"/>
      <c r="D688" s="22"/>
    </row>
    <row r="689">
      <c r="A689" s="55"/>
      <c r="D689" s="22"/>
    </row>
    <row r="690">
      <c r="A690" s="55"/>
      <c r="D690" s="22"/>
    </row>
    <row r="691">
      <c r="A691" s="55"/>
      <c r="D691" s="22"/>
    </row>
    <row r="692">
      <c r="A692" s="55"/>
      <c r="D692" s="22"/>
    </row>
    <row r="693">
      <c r="A693" s="55"/>
      <c r="D693" s="22"/>
    </row>
    <row r="694">
      <c r="A694" s="55"/>
      <c r="D694" s="22"/>
    </row>
    <row r="695">
      <c r="A695" s="55"/>
      <c r="D695" s="22"/>
    </row>
    <row r="696">
      <c r="A696" s="55"/>
      <c r="D696" s="22"/>
    </row>
    <row r="697">
      <c r="A697" s="55"/>
      <c r="D697" s="22"/>
    </row>
    <row r="698">
      <c r="A698" s="55"/>
      <c r="D698" s="22"/>
    </row>
    <row r="699">
      <c r="A699" s="55"/>
      <c r="D699" s="22"/>
    </row>
    <row r="700">
      <c r="A700" s="55"/>
      <c r="D700" s="22"/>
    </row>
    <row r="701">
      <c r="A701" s="55"/>
      <c r="D701" s="22"/>
    </row>
    <row r="702">
      <c r="A702" s="55"/>
      <c r="D702" s="22"/>
    </row>
    <row r="703">
      <c r="A703" s="55"/>
      <c r="D703" s="22"/>
    </row>
    <row r="704">
      <c r="A704" s="55"/>
      <c r="D704" s="22"/>
    </row>
    <row r="705">
      <c r="A705" s="55"/>
      <c r="D705" s="22"/>
    </row>
    <row r="706">
      <c r="A706" s="55"/>
      <c r="D706" s="22"/>
    </row>
    <row r="707">
      <c r="A707" s="55"/>
      <c r="D707" s="22"/>
    </row>
    <row r="708">
      <c r="A708" s="55"/>
      <c r="D708" s="22"/>
    </row>
    <row r="709">
      <c r="A709" s="55"/>
      <c r="D709" s="22"/>
    </row>
    <row r="710">
      <c r="A710" s="55"/>
      <c r="D710" s="22"/>
    </row>
    <row r="711">
      <c r="A711" s="55"/>
      <c r="D711" s="22"/>
    </row>
    <row r="712">
      <c r="A712" s="55"/>
      <c r="D712" s="22"/>
    </row>
    <row r="713">
      <c r="A713" s="55"/>
      <c r="D713" s="22"/>
    </row>
    <row r="714">
      <c r="A714" s="55"/>
      <c r="D714" s="22"/>
    </row>
    <row r="715">
      <c r="A715" s="55"/>
      <c r="D715" s="22"/>
    </row>
    <row r="716">
      <c r="A716" s="55"/>
      <c r="D716" s="22"/>
    </row>
    <row r="717">
      <c r="A717" s="55"/>
      <c r="D717" s="22"/>
    </row>
    <row r="718">
      <c r="A718" s="55"/>
      <c r="D718" s="22"/>
    </row>
    <row r="719">
      <c r="A719" s="55"/>
      <c r="D719" s="22"/>
    </row>
    <row r="720">
      <c r="A720" s="55"/>
      <c r="D720" s="22"/>
    </row>
    <row r="721">
      <c r="A721" s="55"/>
      <c r="D721" s="22"/>
    </row>
    <row r="722">
      <c r="A722" s="55"/>
      <c r="D722" s="22"/>
    </row>
    <row r="723">
      <c r="A723" s="55"/>
      <c r="D723" s="22"/>
    </row>
    <row r="724">
      <c r="A724" s="55"/>
      <c r="D724" s="22"/>
    </row>
    <row r="725">
      <c r="A725" s="55"/>
      <c r="D725" s="22"/>
    </row>
    <row r="726">
      <c r="A726" s="55"/>
      <c r="D726" s="22"/>
    </row>
    <row r="727">
      <c r="A727" s="55"/>
      <c r="D727" s="22"/>
    </row>
    <row r="728">
      <c r="A728" s="55"/>
      <c r="D728" s="22"/>
    </row>
    <row r="729">
      <c r="A729" s="55"/>
      <c r="D729" s="22"/>
    </row>
    <row r="730">
      <c r="A730" s="55"/>
      <c r="D730" s="22"/>
    </row>
    <row r="731">
      <c r="A731" s="55"/>
      <c r="D731" s="22"/>
    </row>
    <row r="732">
      <c r="A732" s="55"/>
      <c r="D732" s="22"/>
    </row>
    <row r="733">
      <c r="A733" s="55"/>
      <c r="D733" s="22"/>
    </row>
    <row r="734">
      <c r="A734" s="55"/>
      <c r="D734" s="22"/>
    </row>
    <row r="735">
      <c r="A735" s="55"/>
      <c r="D735" s="22"/>
    </row>
    <row r="736">
      <c r="A736" s="55"/>
      <c r="D736" s="22"/>
    </row>
    <row r="737">
      <c r="A737" s="55"/>
      <c r="D737" s="22"/>
    </row>
    <row r="738">
      <c r="A738" s="55"/>
      <c r="D738" s="22"/>
    </row>
    <row r="739">
      <c r="A739" s="55"/>
      <c r="D739" s="22"/>
    </row>
    <row r="740">
      <c r="A740" s="55"/>
      <c r="D740" s="22"/>
    </row>
    <row r="741">
      <c r="A741" s="55"/>
      <c r="D741" s="22"/>
    </row>
    <row r="742">
      <c r="A742" s="55"/>
      <c r="D742" s="22"/>
    </row>
    <row r="743">
      <c r="A743" s="55"/>
      <c r="D743" s="22"/>
    </row>
    <row r="744">
      <c r="A744" s="55"/>
      <c r="D744" s="22"/>
    </row>
    <row r="745">
      <c r="A745" s="55"/>
      <c r="D745" s="22"/>
    </row>
    <row r="746">
      <c r="A746" s="55"/>
      <c r="D746" s="22"/>
    </row>
    <row r="747">
      <c r="A747" s="55"/>
      <c r="D747" s="22"/>
    </row>
    <row r="748">
      <c r="A748" s="55"/>
      <c r="D748" s="22"/>
    </row>
    <row r="749">
      <c r="A749" s="55"/>
      <c r="D749" s="22"/>
    </row>
    <row r="750">
      <c r="A750" s="55"/>
      <c r="D750" s="22"/>
    </row>
    <row r="751">
      <c r="A751" s="55"/>
      <c r="D751" s="22"/>
    </row>
    <row r="752">
      <c r="A752" s="55"/>
      <c r="D752" s="22"/>
    </row>
    <row r="753">
      <c r="A753" s="55"/>
      <c r="D753" s="22"/>
    </row>
    <row r="754">
      <c r="A754" s="55"/>
      <c r="D754" s="22"/>
    </row>
    <row r="755">
      <c r="A755" s="55"/>
      <c r="D755" s="22"/>
    </row>
    <row r="756">
      <c r="A756" s="55"/>
      <c r="D756" s="22"/>
    </row>
    <row r="757">
      <c r="A757" s="55"/>
      <c r="D757" s="22"/>
    </row>
    <row r="758">
      <c r="A758" s="55"/>
      <c r="D758" s="22"/>
    </row>
    <row r="759">
      <c r="A759" s="55"/>
      <c r="D759" s="22"/>
    </row>
    <row r="760">
      <c r="A760" s="55"/>
      <c r="D760" s="22"/>
    </row>
    <row r="761">
      <c r="A761" s="55"/>
      <c r="D761" s="22"/>
    </row>
    <row r="762">
      <c r="A762" s="55"/>
      <c r="D762" s="22"/>
    </row>
    <row r="763">
      <c r="A763" s="55"/>
      <c r="D763" s="22"/>
    </row>
    <row r="764">
      <c r="A764" s="55"/>
      <c r="D764" s="22"/>
    </row>
    <row r="765">
      <c r="A765" s="55"/>
      <c r="D765" s="22"/>
    </row>
    <row r="766">
      <c r="A766" s="55"/>
      <c r="D766" s="22"/>
    </row>
    <row r="767">
      <c r="A767" s="55"/>
      <c r="D767" s="22"/>
    </row>
    <row r="768">
      <c r="A768" s="55"/>
      <c r="D768" s="22"/>
    </row>
    <row r="769">
      <c r="A769" s="55"/>
      <c r="D769" s="22"/>
    </row>
    <row r="770">
      <c r="A770" s="55"/>
      <c r="D770" s="22"/>
    </row>
    <row r="771">
      <c r="A771" s="55"/>
      <c r="D771" s="22"/>
    </row>
    <row r="772">
      <c r="A772" s="55"/>
      <c r="D772" s="22"/>
    </row>
    <row r="773">
      <c r="A773" s="55"/>
      <c r="D773" s="22"/>
    </row>
    <row r="774">
      <c r="A774" s="55"/>
      <c r="D774" s="22"/>
    </row>
    <row r="775">
      <c r="A775" s="55"/>
      <c r="D775" s="22"/>
    </row>
    <row r="776">
      <c r="A776" s="55"/>
      <c r="D776" s="22"/>
    </row>
    <row r="777">
      <c r="A777" s="55"/>
      <c r="D777" s="22"/>
    </row>
    <row r="778">
      <c r="A778" s="55"/>
      <c r="D778" s="22"/>
    </row>
    <row r="779">
      <c r="A779" s="55"/>
      <c r="D779" s="22"/>
    </row>
    <row r="780">
      <c r="A780" s="55"/>
      <c r="D780" s="22"/>
    </row>
    <row r="781">
      <c r="A781" s="55"/>
      <c r="D781" s="22"/>
    </row>
    <row r="782">
      <c r="A782" s="55"/>
      <c r="D782" s="22"/>
    </row>
    <row r="783">
      <c r="A783" s="55"/>
      <c r="D783" s="22"/>
    </row>
    <row r="784">
      <c r="A784" s="55"/>
      <c r="D784" s="22"/>
    </row>
    <row r="785">
      <c r="A785" s="55"/>
      <c r="D785" s="22"/>
    </row>
    <row r="786">
      <c r="A786" s="55"/>
      <c r="D786" s="22"/>
    </row>
    <row r="787">
      <c r="A787" s="55"/>
      <c r="D787" s="22"/>
    </row>
    <row r="788">
      <c r="A788" s="55"/>
      <c r="D788" s="22"/>
    </row>
    <row r="789">
      <c r="A789" s="55"/>
      <c r="D789" s="22"/>
    </row>
    <row r="790">
      <c r="A790" s="55"/>
      <c r="D790" s="22"/>
    </row>
    <row r="791">
      <c r="A791" s="55"/>
      <c r="D791" s="22"/>
    </row>
    <row r="792">
      <c r="A792" s="55"/>
      <c r="D792" s="22"/>
    </row>
    <row r="793">
      <c r="A793" s="55"/>
      <c r="D793" s="22"/>
    </row>
    <row r="794">
      <c r="A794" s="55"/>
      <c r="D794" s="22"/>
    </row>
    <row r="795">
      <c r="A795" s="55"/>
      <c r="D795" s="22"/>
    </row>
    <row r="796">
      <c r="A796" s="55"/>
      <c r="D796" s="22"/>
    </row>
    <row r="797">
      <c r="A797" s="55"/>
      <c r="D797" s="22"/>
    </row>
    <row r="798">
      <c r="A798" s="55"/>
      <c r="D798" s="22"/>
    </row>
    <row r="799">
      <c r="A799" s="55"/>
      <c r="D799" s="22"/>
    </row>
    <row r="800">
      <c r="A800" s="55"/>
      <c r="D800" s="22"/>
    </row>
    <row r="801">
      <c r="A801" s="55"/>
      <c r="D801" s="22"/>
    </row>
    <row r="802">
      <c r="A802" s="55"/>
      <c r="D802" s="22"/>
    </row>
    <row r="803">
      <c r="A803" s="55"/>
      <c r="D803" s="22"/>
    </row>
    <row r="804">
      <c r="A804" s="55"/>
      <c r="D804" s="22"/>
    </row>
    <row r="805">
      <c r="A805" s="55"/>
      <c r="D805" s="22"/>
    </row>
    <row r="806">
      <c r="A806" s="55"/>
      <c r="D806" s="22"/>
    </row>
    <row r="807">
      <c r="A807" s="55"/>
      <c r="D807" s="22"/>
    </row>
    <row r="808">
      <c r="A808" s="55"/>
      <c r="D808" s="22"/>
    </row>
    <row r="809">
      <c r="A809" s="55"/>
      <c r="D809" s="22"/>
    </row>
    <row r="810">
      <c r="A810" s="55"/>
      <c r="D810" s="22"/>
    </row>
    <row r="811">
      <c r="A811" s="55"/>
      <c r="D811" s="22"/>
    </row>
    <row r="812">
      <c r="A812" s="55"/>
      <c r="D812" s="22"/>
    </row>
    <row r="813">
      <c r="A813" s="55"/>
      <c r="D813" s="22"/>
    </row>
    <row r="814">
      <c r="A814" s="55"/>
      <c r="D814" s="22"/>
    </row>
    <row r="815">
      <c r="A815" s="55"/>
      <c r="D815" s="22"/>
    </row>
    <row r="816">
      <c r="A816" s="55"/>
      <c r="D816" s="22"/>
    </row>
    <row r="817">
      <c r="A817" s="55"/>
      <c r="D817" s="22"/>
    </row>
    <row r="818">
      <c r="A818" s="55"/>
      <c r="D818" s="22"/>
    </row>
    <row r="819">
      <c r="A819" s="55"/>
      <c r="D819" s="22"/>
    </row>
    <row r="820">
      <c r="A820" s="55"/>
      <c r="D820" s="22"/>
    </row>
    <row r="821">
      <c r="A821" s="55"/>
      <c r="D821" s="22"/>
    </row>
    <row r="822">
      <c r="A822" s="55"/>
      <c r="D822" s="22"/>
    </row>
    <row r="823">
      <c r="A823" s="55"/>
      <c r="D823" s="22"/>
    </row>
    <row r="824">
      <c r="A824" s="55"/>
      <c r="D824" s="22"/>
    </row>
    <row r="825">
      <c r="A825" s="55"/>
      <c r="D825" s="22"/>
    </row>
    <row r="826">
      <c r="A826" s="55"/>
      <c r="D826" s="22"/>
    </row>
    <row r="827">
      <c r="A827" s="55"/>
      <c r="D827" s="22"/>
    </row>
    <row r="828">
      <c r="A828" s="55"/>
      <c r="D828" s="22"/>
    </row>
    <row r="829">
      <c r="A829" s="55"/>
      <c r="D829" s="22"/>
    </row>
    <row r="830">
      <c r="A830" s="55"/>
      <c r="D830" s="22"/>
    </row>
    <row r="831">
      <c r="A831" s="55"/>
      <c r="D831" s="22"/>
    </row>
    <row r="832">
      <c r="A832" s="55"/>
      <c r="D832" s="22"/>
    </row>
    <row r="833">
      <c r="A833" s="55"/>
      <c r="D833" s="22"/>
    </row>
    <row r="834">
      <c r="A834" s="55"/>
      <c r="D834" s="22"/>
    </row>
    <row r="835">
      <c r="A835" s="55"/>
      <c r="D835" s="22"/>
    </row>
    <row r="836">
      <c r="A836" s="55"/>
      <c r="D836" s="22"/>
    </row>
    <row r="837">
      <c r="A837" s="55"/>
      <c r="D837" s="22"/>
    </row>
    <row r="838">
      <c r="A838" s="55"/>
      <c r="D838" s="22"/>
    </row>
    <row r="839">
      <c r="A839" s="55"/>
      <c r="D839" s="22"/>
    </row>
    <row r="840">
      <c r="A840" s="55"/>
      <c r="D840" s="22"/>
    </row>
    <row r="841">
      <c r="A841" s="55"/>
      <c r="D841" s="22"/>
    </row>
    <row r="842">
      <c r="A842" s="55"/>
      <c r="D842" s="22"/>
    </row>
    <row r="843">
      <c r="A843" s="55"/>
      <c r="D843" s="22"/>
    </row>
    <row r="844">
      <c r="A844" s="55"/>
      <c r="D844" s="22"/>
    </row>
    <row r="845">
      <c r="A845" s="55"/>
      <c r="D845" s="22"/>
    </row>
    <row r="846">
      <c r="A846" s="55"/>
      <c r="D846" s="22"/>
    </row>
    <row r="847">
      <c r="A847" s="55"/>
      <c r="D847" s="22"/>
    </row>
    <row r="848">
      <c r="A848" s="55"/>
      <c r="D848" s="22"/>
    </row>
    <row r="849">
      <c r="A849" s="55"/>
      <c r="D849" s="22"/>
    </row>
    <row r="850">
      <c r="A850" s="55"/>
      <c r="D850" s="22"/>
    </row>
    <row r="851">
      <c r="A851" s="55"/>
      <c r="D851" s="22"/>
    </row>
    <row r="852">
      <c r="A852" s="55"/>
      <c r="D852" s="22"/>
    </row>
    <row r="853">
      <c r="A853" s="55"/>
      <c r="D853" s="22"/>
    </row>
    <row r="854">
      <c r="A854" s="55"/>
      <c r="D854" s="22"/>
    </row>
    <row r="855">
      <c r="A855" s="55"/>
      <c r="D855" s="22"/>
    </row>
    <row r="856">
      <c r="A856" s="55"/>
      <c r="D856" s="22"/>
    </row>
    <row r="857">
      <c r="A857" s="55"/>
      <c r="D857" s="22"/>
    </row>
    <row r="858">
      <c r="A858" s="55"/>
      <c r="D858" s="22"/>
    </row>
    <row r="859">
      <c r="A859" s="55"/>
      <c r="D859" s="22"/>
    </row>
    <row r="860">
      <c r="A860" s="55"/>
      <c r="D860" s="22"/>
    </row>
    <row r="861">
      <c r="A861" s="55"/>
      <c r="D861" s="22"/>
    </row>
    <row r="862">
      <c r="A862" s="55"/>
      <c r="D862" s="22"/>
    </row>
    <row r="863">
      <c r="A863" s="55"/>
      <c r="D863" s="22"/>
    </row>
    <row r="864">
      <c r="A864" s="55"/>
      <c r="D864" s="22"/>
    </row>
    <row r="865">
      <c r="A865" s="55"/>
      <c r="D865" s="22"/>
    </row>
    <row r="866">
      <c r="A866" s="55"/>
      <c r="D866" s="22"/>
    </row>
    <row r="867">
      <c r="A867" s="55"/>
      <c r="D867" s="22"/>
    </row>
    <row r="868">
      <c r="A868" s="55"/>
      <c r="D868" s="22"/>
    </row>
    <row r="869">
      <c r="A869" s="55"/>
      <c r="D869" s="22"/>
    </row>
    <row r="870">
      <c r="A870" s="55"/>
      <c r="D870" s="22"/>
    </row>
    <row r="871">
      <c r="A871" s="55"/>
      <c r="D871" s="22"/>
    </row>
    <row r="872">
      <c r="A872" s="55"/>
      <c r="D872" s="22"/>
    </row>
    <row r="873">
      <c r="A873" s="55"/>
      <c r="D873" s="22"/>
    </row>
    <row r="874">
      <c r="A874" s="55"/>
      <c r="D874" s="22"/>
    </row>
    <row r="875">
      <c r="A875" s="55"/>
      <c r="D875" s="22"/>
    </row>
    <row r="876">
      <c r="A876" s="55"/>
      <c r="D876" s="22"/>
    </row>
    <row r="877">
      <c r="A877" s="55"/>
      <c r="D877" s="22"/>
    </row>
    <row r="878">
      <c r="A878" s="55"/>
      <c r="D878" s="22"/>
    </row>
    <row r="879">
      <c r="A879" s="55"/>
      <c r="D879" s="22"/>
    </row>
    <row r="880">
      <c r="A880" s="55"/>
      <c r="D880" s="22"/>
    </row>
    <row r="881">
      <c r="A881" s="55"/>
      <c r="D881" s="22"/>
    </row>
    <row r="882">
      <c r="A882" s="55"/>
      <c r="D882" s="22"/>
    </row>
    <row r="883">
      <c r="A883" s="55"/>
      <c r="D883" s="22"/>
    </row>
    <row r="884">
      <c r="A884" s="55"/>
      <c r="D884" s="22"/>
    </row>
    <row r="885">
      <c r="A885" s="55"/>
      <c r="D885" s="22"/>
    </row>
    <row r="886">
      <c r="A886" s="55"/>
      <c r="D886" s="22"/>
    </row>
    <row r="887">
      <c r="A887" s="55"/>
      <c r="D887" s="22"/>
    </row>
    <row r="888">
      <c r="A888" s="55"/>
      <c r="D888" s="22"/>
    </row>
    <row r="889">
      <c r="A889" s="55"/>
      <c r="D889" s="22"/>
    </row>
    <row r="890">
      <c r="A890" s="55"/>
      <c r="D890" s="22"/>
    </row>
    <row r="891">
      <c r="A891" s="55"/>
      <c r="D891" s="22"/>
    </row>
    <row r="892">
      <c r="A892" s="55"/>
      <c r="D892" s="22"/>
    </row>
    <row r="893">
      <c r="A893" s="55"/>
      <c r="D893" s="22"/>
    </row>
    <row r="894">
      <c r="A894" s="55"/>
      <c r="D894" s="22"/>
    </row>
    <row r="895">
      <c r="A895" s="55"/>
      <c r="D895" s="22"/>
    </row>
    <row r="896">
      <c r="A896" s="55"/>
      <c r="D896" s="22"/>
    </row>
    <row r="897">
      <c r="A897" s="55"/>
      <c r="D897" s="22"/>
    </row>
    <row r="898">
      <c r="A898" s="55"/>
      <c r="D898" s="22"/>
    </row>
    <row r="899">
      <c r="A899" s="55"/>
      <c r="D899" s="22"/>
    </row>
    <row r="900">
      <c r="A900" s="55"/>
      <c r="D900" s="22"/>
    </row>
    <row r="901">
      <c r="A901" s="55"/>
      <c r="D901" s="22"/>
    </row>
    <row r="902">
      <c r="A902" s="55"/>
      <c r="D902" s="22"/>
    </row>
    <row r="903">
      <c r="A903" s="55"/>
      <c r="D903" s="22"/>
    </row>
    <row r="904">
      <c r="A904" s="55"/>
      <c r="D904" s="22"/>
    </row>
    <row r="905">
      <c r="A905" s="55"/>
      <c r="D905" s="22"/>
    </row>
    <row r="906">
      <c r="A906" s="55"/>
      <c r="D906" s="22"/>
    </row>
    <row r="907">
      <c r="A907" s="55"/>
      <c r="D907" s="22"/>
    </row>
    <row r="908">
      <c r="A908" s="55"/>
      <c r="D908" s="22"/>
    </row>
    <row r="909">
      <c r="A909" s="55"/>
      <c r="D909" s="22"/>
    </row>
    <row r="910">
      <c r="A910" s="55"/>
      <c r="D910" s="22"/>
    </row>
    <row r="911">
      <c r="A911" s="55"/>
      <c r="D911" s="22"/>
    </row>
    <row r="912">
      <c r="A912" s="55"/>
      <c r="D912" s="22"/>
    </row>
    <row r="913">
      <c r="A913" s="55"/>
      <c r="D913" s="22"/>
    </row>
    <row r="914">
      <c r="A914" s="55"/>
      <c r="D914" s="22"/>
    </row>
    <row r="915">
      <c r="A915" s="55"/>
      <c r="D915" s="22"/>
    </row>
    <row r="916">
      <c r="A916" s="55"/>
      <c r="D916" s="22"/>
    </row>
    <row r="917">
      <c r="A917" s="55"/>
      <c r="D917" s="22"/>
    </row>
    <row r="918">
      <c r="A918" s="55"/>
      <c r="D918" s="22"/>
    </row>
    <row r="919">
      <c r="A919" s="55"/>
      <c r="D919" s="22"/>
    </row>
    <row r="920">
      <c r="A920" s="55"/>
      <c r="D920" s="22"/>
    </row>
    <row r="921">
      <c r="A921" s="55"/>
      <c r="D921" s="22"/>
    </row>
    <row r="922">
      <c r="A922" s="55"/>
      <c r="D922" s="22"/>
    </row>
    <row r="923">
      <c r="A923" s="55"/>
      <c r="D923" s="22"/>
    </row>
    <row r="924">
      <c r="A924" s="55"/>
      <c r="D924" s="22"/>
    </row>
    <row r="925">
      <c r="A925" s="55"/>
      <c r="D925" s="22"/>
    </row>
    <row r="926">
      <c r="A926" s="55"/>
      <c r="D926" s="22"/>
    </row>
    <row r="927">
      <c r="A927" s="55"/>
      <c r="D927" s="22"/>
    </row>
    <row r="928">
      <c r="A928" s="55"/>
      <c r="D928" s="22"/>
    </row>
    <row r="929">
      <c r="A929" s="55"/>
      <c r="D929" s="22"/>
    </row>
    <row r="930">
      <c r="A930" s="55"/>
      <c r="D930" s="22"/>
    </row>
    <row r="931">
      <c r="A931" s="55"/>
      <c r="D931" s="22"/>
    </row>
    <row r="932">
      <c r="A932" s="55"/>
      <c r="D932" s="22"/>
    </row>
    <row r="933">
      <c r="A933" s="55"/>
      <c r="D933" s="22"/>
    </row>
    <row r="934">
      <c r="A934" s="55"/>
      <c r="D934" s="22"/>
    </row>
    <row r="935">
      <c r="A935" s="55"/>
      <c r="D935" s="22"/>
    </row>
    <row r="936">
      <c r="A936" s="55"/>
      <c r="D936" s="22"/>
    </row>
    <row r="937">
      <c r="A937" s="55"/>
      <c r="D937" s="22"/>
    </row>
    <row r="938">
      <c r="A938" s="55"/>
      <c r="D938" s="22"/>
    </row>
    <row r="939">
      <c r="A939" s="55"/>
      <c r="D939" s="22"/>
    </row>
    <row r="940">
      <c r="A940" s="55"/>
      <c r="D940" s="22"/>
    </row>
    <row r="941">
      <c r="A941" s="55"/>
      <c r="D941" s="22"/>
    </row>
    <row r="942">
      <c r="A942" s="55"/>
      <c r="D942" s="22"/>
    </row>
    <row r="943">
      <c r="A943" s="55"/>
      <c r="D943" s="22"/>
    </row>
    <row r="944">
      <c r="A944" s="55"/>
      <c r="D944" s="22"/>
    </row>
    <row r="945">
      <c r="A945" s="55"/>
      <c r="D945" s="22"/>
    </row>
    <row r="946">
      <c r="A946" s="55"/>
      <c r="D946" s="22"/>
    </row>
    <row r="947">
      <c r="A947" s="55"/>
      <c r="D947" s="22"/>
    </row>
    <row r="948">
      <c r="A948" s="55"/>
      <c r="D948" s="22"/>
    </row>
    <row r="949">
      <c r="A949" s="55"/>
      <c r="D949" s="22"/>
    </row>
    <row r="950">
      <c r="A950" s="55"/>
      <c r="D950" s="22"/>
    </row>
    <row r="951">
      <c r="A951" s="55"/>
      <c r="D951" s="22"/>
    </row>
    <row r="952">
      <c r="A952" s="55"/>
      <c r="D952" s="22"/>
    </row>
    <row r="953">
      <c r="A953" s="55"/>
      <c r="D953" s="22"/>
    </row>
    <row r="954">
      <c r="A954" s="55"/>
      <c r="D954" s="22"/>
    </row>
    <row r="955">
      <c r="A955" s="55"/>
      <c r="D955" s="22"/>
    </row>
    <row r="956">
      <c r="A956" s="55"/>
      <c r="D956" s="22"/>
    </row>
    <row r="957">
      <c r="A957" s="55"/>
      <c r="D957" s="22"/>
    </row>
    <row r="958">
      <c r="A958" s="55"/>
      <c r="D958" s="22"/>
    </row>
    <row r="959">
      <c r="A959" s="55"/>
      <c r="D959" s="22"/>
    </row>
    <row r="960">
      <c r="A960" s="55"/>
      <c r="D960" s="22"/>
    </row>
    <row r="961">
      <c r="A961" s="55"/>
      <c r="D961" s="22"/>
    </row>
    <row r="962">
      <c r="A962" s="55"/>
      <c r="D962" s="22"/>
    </row>
    <row r="963">
      <c r="A963" s="55"/>
      <c r="D963" s="22"/>
    </row>
    <row r="964">
      <c r="A964" s="55"/>
      <c r="D964" s="22"/>
    </row>
    <row r="965">
      <c r="A965" s="55"/>
      <c r="D965" s="22"/>
    </row>
    <row r="966">
      <c r="A966" s="55"/>
      <c r="D966" s="22"/>
    </row>
    <row r="967">
      <c r="A967" s="55"/>
      <c r="D967" s="22"/>
    </row>
    <row r="968">
      <c r="A968" s="55"/>
      <c r="D968" s="22"/>
    </row>
    <row r="969">
      <c r="A969" s="55"/>
      <c r="D969" s="22"/>
    </row>
    <row r="970">
      <c r="A970" s="55"/>
      <c r="D970" s="22"/>
    </row>
    <row r="971">
      <c r="A971" s="55"/>
      <c r="D971" s="22"/>
    </row>
    <row r="972">
      <c r="A972" s="55"/>
      <c r="D972" s="22"/>
    </row>
    <row r="973">
      <c r="A973" s="55"/>
      <c r="D973" s="22"/>
    </row>
    <row r="974">
      <c r="A974" s="55"/>
      <c r="D974" s="22"/>
    </row>
    <row r="975">
      <c r="A975" s="55"/>
      <c r="D975" s="22"/>
    </row>
    <row r="976">
      <c r="A976" s="55"/>
      <c r="D976" s="22"/>
    </row>
    <row r="977">
      <c r="A977" s="55"/>
      <c r="D977" s="22"/>
    </row>
    <row r="978">
      <c r="A978" s="55"/>
      <c r="D978" s="22"/>
    </row>
    <row r="979">
      <c r="A979" s="55"/>
      <c r="D979" s="22"/>
    </row>
    <row r="980">
      <c r="A980" s="55"/>
      <c r="D980" s="22"/>
    </row>
    <row r="981">
      <c r="A981" s="55"/>
      <c r="D981" s="22"/>
    </row>
    <row r="982">
      <c r="A982" s="55"/>
      <c r="D982" s="22"/>
    </row>
    <row r="983">
      <c r="A983" s="55"/>
      <c r="D983" s="22"/>
    </row>
    <row r="984">
      <c r="A984" s="55"/>
      <c r="D984" s="22"/>
    </row>
    <row r="985">
      <c r="A985" s="55"/>
      <c r="D985" s="22"/>
    </row>
    <row r="986">
      <c r="A986" s="55"/>
      <c r="D986" s="22"/>
    </row>
    <row r="987">
      <c r="A987" s="55"/>
      <c r="D987" s="22"/>
    </row>
    <row r="988">
      <c r="A988" s="55"/>
      <c r="D988" s="22"/>
    </row>
    <row r="989">
      <c r="A989" s="55"/>
      <c r="D989" s="22"/>
    </row>
    <row r="990">
      <c r="A990" s="55"/>
      <c r="D990" s="22"/>
    </row>
    <row r="991">
      <c r="A991" s="55"/>
      <c r="D991" s="22"/>
    </row>
    <row r="992">
      <c r="A992" s="55"/>
      <c r="D992" s="22"/>
    </row>
    <row r="993">
      <c r="A993" s="55"/>
      <c r="D993" s="22"/>
    </row>
    <row r="994">
      <c r="A994" s="55"/>
      <c r="D994" s="22"/>
    </row>
    <row r="995">
      <c r="A995" s="55"/>
      <c r="D995" s="22"/>
    </row>
    <row r="996">
      <c r="A996" s="55"/>
      <c r="D996" s="22"/>
    </row>
    <row r="997">
      <c r="A997" s="55"/>
      <c r="D997" s="22"/>
    </row>
    <row r="998">
      <c r="A998" s="55"/>
      <c r="D998" s="22"/>
    </row>
    <row r="999">
      <c r="A999" s="55"/>
      <c r="D999" s="22"/>
    </row>
    <row r="1000">
      <c r="A1000" s="55"/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30</v>
      </c>
      <c r="I1" s="58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57" t="s">
        <v>33</v>
      </c>
      <c r="I2" s="58">
        <f t="array" ref="I2">(COUNTA(UNIQUE(C:C))-1)</f>
        <v>4</v>
      </c>
      <c r="K2" s="59" t="str">
        <f>'Internal Summary'!B40</f>
        <v>300g Ripe Plantain Chips (30x)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34</v>
      </c>
      <c r="I3" s="58">
        <f>sum(F:F)</f>
        <v>312558.13</v>
      </c>
      <c r="K3" s="59" t="str">
        <f>'Internal Summary'!B41</f>
        <v>300g Sweet Potato Chips (24x)</v>
      </c>
      <c r="L3" s="58">
        <f t="shared" si="1"/>
        <v>4</v>
      </c>
      <c r="M3" s="58">
        <f t="shared" si="2"/>
        <v>312558.13</v>
      </c>
      <c r="N3" s="60"/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4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56,279.06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39</v>
      </c>
      <c r="M1" s="59" t="s">
        <v>13</v>
      </c>
    </row>
    <row r="2">
      <c r="H2" s="57" t="s">
        <v>33</v>
      </c>
      <c r="I2" s="58">
        <f t="array" ref="I2">(COUNTA(UNIQUE(C:C))-1)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30</v>
      </c>
      <c r="I1" s="58">
        <f>countifs(B:B,"&lt;&gt;",F:F,"&lt;&gt;")-1</f>
        <v>0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0</v>
      </c>
      <c r="K2" s="59" t="str">
        <f>'Internal Summary'!B40</f>
        <v>300g Ripe Plantain Chips (30x)</v>
      </c>
      <c r="L2" s="58">
        <f t="shared" ref="L2:L13" si="1">sumif(D:D,K2,E:E)</f>
        <v>0</v>
      </c>
    </row>
    <row r="3">
      <c r="H3" s="57" t="s">
        <v>34</v>
      </c>
      <c r="I3" s="58">
        <f>sum(F:F)</f>
        <v>0</v>
      </c>
      <c r="K3" s="59" t="str">
        <f>'Internal Summary'!B41</f>
        <v>300g Sweet Potato Chips (24x)</v>
      </c>
      <c r="L3" s="58">
        <f t="shared" si="1"/>
        <v>0</v>
      </c>
    </row>
    <row r="4">
      <c r="H4" s="1"/>
      <c r="K4" s="59" t="str">
        <f>'Internal Summary'!B42</f>
        <v>300g UnRipe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30</v>
      </c>
      <c r="I1" s="58">
        <f>countifs(B:B,"&lt;&gt;",F:F,"&lt;&gt;")-1</f>
        <v>1</v>
      </c>
      <c r="K1" s="59" t="s">
        <v>31</v>
      </c>
      <c r="L1" s="59" t="s">
        <v>32</v>
      </c>
    </row>
    <row r="2">
      <c r="H2" s="57" t="s">
        <v>33</v>
      </c>
      <c r="I2" s="58">
        <f t="array" ref="I2">(COUNTA(UNIQUE(C:C,,0))-1)</f>
        <v>1</v>
      </c>
      <c r="K2" s="59" t="str">
        <f>'Internal Summary'!B40</f>
        <v>300g Ripe Plantain Chips (30x)</v>
      </c>
      <c r="L2" s="58">
        <f t="shared" ref="L2:L13" si="1">sumif(D:D,K2,E:E)</f>
        <v>3.93</v>
      </c>
    </row>
    <row r="3">
      <c r="H3" s="57" t="s">
        <v>34</v>
      </c>
      <c r="I3" s="58">
        <f>sum(F:F)</f>
        <v>859534.91</v>
      </c>
      <c r="K3" s="59" t="str">
        <f>'Internal Summary'!B41</f>
        <v>300g Sweet Potato Chips (24x)</v>
      </c>
      <c r="L3" s="58">
        <f t="shared" si="1"/>
        <v>0</v>
      </c>
    </row>
    <row r="4">
      <c r="H4" s="1"/>
      <c r="K4" s="59" t="str">
        <f>'Internal Summary'!B42</f>
        <v>300g UnRipe Plantain Chips (30x)</v>
      </c>
      <c r="L4" s="58">
        <f t="shared" si="1"/>
        <v>3.77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40</v>
      </c>
      <c r="C1" s="57" t="s">
        <v>32</v>
      </c>
      <c r="D1" s="57" t="s">
        <v>41</v>
      </c>
      <c r="E1" s="57" t="s">
        <v>42</v>
      </c>
      <c r="F1" s="65"/>
    </row>
    <row r="2">
      <c r="A2" s="66" t="s">
        <v>43</v>
      </c>
      <c r="B2" s="67" t="s">
        <v>30</v>
      </c>
      <c r="C2" s="68"/>
      <c r="D2" s="69"/>
      <c r="E2" s="70">
        <f>'Dala Sales &amp; Deliveries'!I1+'External Delivery Fulfillment'!I1</f>
        <v>4</v>
      </c>
      <c r="F2" s="65"/>
    </row>
    <row r="3">
      <c r="A3" s="71"/>
      <c r="B3" s="67" t="s">
        <v>44</v>
      </c>
      <c r="C3" s="68"/>
      <c r="D3" s="69"/>
      <c r="E3" s="72">
        <f>'Raw Data'!AX2</f>
        <v>4</v>
      </c>
      <c r="F3" s="65"/>
    </row>
    <row r="4">
      <c r="B4" s="73" t="s">
        <v>45</v>
      </c>
      <c r="C4" s="65"/>
      <c r="D4" s="74"/>
      <c r="E4" s="22">
        <f>'Dala Sales &amp; Deliveries'!I3</f>
        <v>312558.13</v>
      </c>
      <c r="F4" s="65"/>
    </row>
    <row r="5">
      <c r="B5" s="73" t="s">
        <v>46</v>
      </c>
      <c r="C5" s="65"/>
      <c r="D5" s="74"/>
      <c r="E5" s="22">
        <f>'External Delivery Fulfillment'!I3</f>
        <v>0</v>
      </c>
      <c r="F5" s="65"/>
    </row>
    <row r="6">
      <c r="A6" s="75"/>
      <c r="B6" s="76" t="s">
        <v>47</v>
      </c>
      <c r="C6" s="68"/>
      <c r="D6" s="69"/>
      <c r="E6" s="77">
        <f>E4*1.075-E4</f>
        <v>23441.85975</v>
      </c>
      <c r="F6" s="65"/>
    </row>
    <row r="7">
      <c r="A7" s="78"/>
      <c r="B7" s="79" t="s">
        <v>48</v>
      </c>
      <c r="C7" s="80"/>
      <c r="D7" s="69"/>
      <c r="E7" s="81">
        <f>sum(E4:E6)</f>
        <v>335999.9898</v>
      </c>
      <c r="F7" s="65"/>
    </row>
    <row r="8">
      <c r="A8" s="66" t="s">
        <v>49</v>
      </c>
      <c r="B8" s="67" t="s">
        <v>50</v>
      </c>
      <c r="C8" s="69"/>
      <c r="D8" s="82"/>
      <c r="E8" s="83">
        <v>0.0</v>
      </c>
    </row>
    <row r="9">
      <c r="A9" s="78"/>
      <c r="B9" s="79" t="s">
        <v>51</v>
      </c>
      <c r="C9" s="84">
        <v>0.1</v>
      </c>
      <c r="D9" s="85"/>
      <c r="E9" s="81">
        <f>E8*(C9+100%)-E8</f>
        <v>0</v>
      </c>
      <c r="K9" s="22"/>
      <c r="L9" s="22"/>
      <c r="M9" s="22"/>
    </row>
    <row r="10">
      <c r="A10" s="86" t="s">
        <v>52</v>
      </c>
      <c r="B10" s="79" t="s">
        <v>53</v>
      </c>
      <c r="C10" s="87"/>
      <c r="D10" s="85"/>
      <c r="E10" s="81">
        <f>E7-E8-E9</f>
        <v>335999.9898</v>
      </c>
    </row>
    <row r="11">
      <c r="A11" s="66" t="s">
        <v>54</v>
      </c>
      <c r="B11" s="67" t="s">
        <v>55</v>
      </c>
      <c r="C11" s="88">
        <v>1.0</v>
      </c>
      <c r="D11" s="70"/>
      <c r="E11" s="70" t="s">
        <v>56</v>
      </c>
    </row>
    <row r="12">
      <c r="A12" s="71"/>
      <c r="B12" s="67" t="s">
        <v>51</v>
      </c>
      <c r="C12" s="89"/>
      <c r="D12" s="82"/>
      <c r="E12" s="70">
        <f>E10*C9</f>
        <v>33599.99898</v>
      </c>
    </row>
    <row r="13">
      <c r="A13" s="71"/>
      <c r="B13" s="90" t="s">
        <v>57</v>
      </c>
      <c r="C13" s="91"/>
      <c r="D13" s="92"/>
      <c r="E13" s="93">
        <f>C26</f>
        <v>13800</v>
      </c>
    </row>
    <row r="14">
      <c r="A14" s="71"/>
      <c r="B14" s="90" t="s">
        <v>58</v>
      </c>
      <c r="C14" s="94"/>
      <c r="D14" s="95" t="s">
        <v>59</v>
      </c>
      <c r="E14" s="93">
        <f>C28+C22</f>
        <v>0</v>
      </c>
    </row>
    <row r="15">
      <c r="A15" s="71"/>
      <c r="B15" s="67" t="s">
        <v>60</v>
      </c>
      <c r="C15" s="82"/>
      <c r="D15" s="82"/>
      <c r="E15" s="96">
        <v>0.0</v>
      </c>
    </row>
    <row r="16">
      <c r="A16" s="71"/>
      <c r="B16" s="67" t="s">
        <v>61</v>
      </c>
      <c r="C16" s="82"/>
      <c r="D16" s="82"/>
      <c r="E16" s="72">
        <v>0.0</v>
      </c>
    </row>
    <row r="17">
      <c r="A17" s="78"/>
      <c r="B17" s="79" t="s">
        <v>62</v>
      </c>
      <c r="C17" s="85"/>
      <c r="D17" s="85"/>
      <c r="E17" s="81">
        <f>sum(E11:E16)</f>
        <v>47399.99898</v>
      </c>
      <c r="H17" s="1"/>
      <c r="I17" s="1"/>
    </row>
    <row r="18">
      <c r="A18" s="86" t="s">
        <v>63</v>
      </c>
      <c r="B18" s="79" t="s">
        <v>64</v>
      </c>
      <c r="C18" s="85"/>
      <c r="D18" s="85"/>
      <c r="E18" s="81">
        <f>E10-E17+C36</f>
        <v>288599.9908</v>
      </c>
      <c r="H18" s="1"/>
      <c r="I18" s="77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65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57" t="s">
        <v>66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57" t="s">
        <v>67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57" t="s">
        <v>68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7" t="s">
        <v>69</v>
      </c>
      <c r="C24" s="99">
        <f>T69</f>
        <v>0</v>
      </c>
      <c r="H24" s="1"/>
      <c r="I24" s="77"/>
      <c r="J24" s="100"/>
      <c r="K24" s="100"/>
      <c r="L24" s="101"/>
      <c r="M24" s="97"/>
      <c r="N24" s="97"/>
    </row>
    <row r="25">
      <c r="A25" s="98"/>
      <c r="B25" s="57" t="s">
        <v>70</v>
      </c>
      <c r="C25" s="99">
        <v>0.0</v>
      </c>
      <c r="H25" s="1"/>
      <c r="I25" s="1"/>
    </row>
    <row r="26">
      <c r="A26" s="98"/>
      <c r="B26" s="57" t="s">
        <v>71</v>
      </c>
      <c r="C26" s="102">
        <f>P69</f>
        <v>13800</v>
      </c>
      <c r="H26" s="1"/>
      <c r="I26" s="1"/>
    </row>
    <row r="27">
      <c r="A27" s="98"/>
      <c r="B27" s="57" t="s">
        <v>72</v>
      </c>
      <c r="C27" s="58">
        <f>Q69</f>
        <v>0</v>
      </c>
      <c r="H27" s="1"/>
      <c r="I27" s="1"/>
    </row>
    <row r="28">
      <c r="A28" s="98"/>
      <c r="B28" s="57" t="s">
        <v>73</v>
      </c>
      <c r="C28" s="58">
        <f>R69</f>
        <v>0</v>
      </c>
      <c r="H28" s="1"/>
      <c r="I28" s="1"/>
    </row>
    <row r="29">
      <c r="A29" s="98"/>
      <c r="B29" s="57" t="s">
        <v>74</v>
      </c>
      <c r="C29" s="99">
        <f>F69</f>
        <v>0</v>
      </c>
      <c r="D29" s="98"/>
      <c r="H29" s="1"/>
      <c r="I29" s="1"/>
    </row>
    <row r="30">
      <c r="A30" s="98"/>
      <c r="B30" s="57" t="s">
        <v>75</v>
      </c>
      <c r="C30" s="99">
        <v>0.0</v>
      </c>
      <c r="D30" s="98"/>
      <c r="H30" s="1"/>
      <c r="I30" s="1"/>
    </row>
    <row r="31">
      <c r="A31" s="98"/>
      <c r="B31" s="57" t="s">
        <v>76</v>
      </c>
      <c r="C31" s="99">
        <f>I69</f>
        <v>0</v>
      </c>
      <c r="D31" s="98"/>
      <c r="H31" s="1"/>
      <c r="I31" s="1"/>
    </row>
    <row r="32">
      <c r="A32" s="98"/>
      <c r="B32" s="57" t="s">
        <v>77</v>
      </c>
      <c r="C32" s="99">
        <f>J69</f>
        <v>0</v>
      </c>
      <c r="D32" s="98"/>
      <c r="H32" s="1"/>
      <c r="I32" s="1"/>
    </row>
    <row r="33">
      <c r="B33" s="57" t="s">
        <v>78</v>
      </c>
      <c r="C33" s="99">
        <v>0.0</v>
      </c>
    </row>
    <row r="34">
      <c r="B34" s="57" t="s">
        <v>79</v>
      </c>
      <c r="C34" s="58">
        <f>K69</f>
        <v>8</v>
      </c>
    </row>
    <row r="35">
      <c r="B35" s="57" t="s">
        <v>80</v>
      </c>
      <c r="C35" s="99">
        <v>0.0</v>
      </c>
    </row>
    <row r="36">
      <c r="B36" s="57" t="s">
        <v>81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82</v>
      </c>
      <c r="C39" s="57" t="s">
        <v>83</v>
      </c>
      <c r="D39" s="57" t="s">
        <v>84</v>
      </c>
      <c r="E39" s="57" t="s">
        <v>85</v>
      </c>
      <c r="F39" s="59" t="s">
        <v>86</v>
      </c>
      <c r="G39" s="59" t="s">
        <v>87</v>
      </c>
      <c r="H39" s="59" t="s">
        <v>88</v>
      </c>
      <c r="I39" s="59" t="s">
        <v>89</v>
      </c>
      <c r="J39" s="59" t="s">
        <v>90</v>
      </c>
      <c r="K39" s="59" t="s">
        <v>91</v>
      </c>
      <c r="L39" s="59" t="s">
        <v>78</v>
      </c>
      <c r="M39" s="59" t="s">
        <v>80</v>
      </c>
      <c r="N39" s="59" t="s">
        <v>92</v>
      </c>
      <c r="O39" s="59" t="s">
        <v>93</v>
      </c>
      <c r="P39" s="59" t="s">
        <v>94</v>
      </c>
      <c r="Q39" s="59" t="s">
        <v>95</v>
      </c>
      <c r="R39" s="59" t="s">
        <v>96</v>
      </c>
      <c r="S39" s="59" t="s">
        <v>97</v>
      </c>
      <c r="T39" s="59" t="s">
        <v>69</v>
      </c>
      <c r="U39" s="59" t="s">
        <v>98</v>
      </c>
      <c r="V39" s="59" t="s">
        <v>99</v>
      </c>
      <c r="W39" s="59" t="s">
        <v>100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2">
        <f t="shared" ref="G40:G68" si="1">F40*C40</f>
        <v>0</v>
      </c>
      <c r="H40" s="103"/>
      <c r="I40" s="103"/>
      <c r="J40" s="103"/>
      <c r="K40" s="103">
        <v>4.5</v>
      </c>
      <c r="L40" s="59"/>
      <c r="M40" s="62">
        <f t="shared" ref="M40:M68" si="2">K40-L40</f>
        <v>4.5</v>
      </c>
      <c r="N40" s="62">
        <f t="shared" ref="N40:N68" si="3">M40*C40</f>
        <v>378000</v>
      </c>
      <c r="O40" s="58">
        <f>'Dala Sales &amp; Deliveries'!L2</f>
        <v>0</v>
      </c>
      <c r="P40" s="62">
        <f t="shared" ref="P40:P68" si="4">O40*E40</f>
        <v>0</v>
      </c>
      <c r="Q40" s="58">
        <f>'External Delivery Fulfillment'!L2</f>
        <v>0</v>
      </c>
      <c r="R40" s="62">
        <f t="shared" ref="R40:R68" si="5">Q40*E40</f>
        <v>0</v>
      </c>
      <c r="S40" s="58">
        <f>'Forwarding From Client'!L2</f>
        <v>0</v>
      </c>
      <c r="T40" s="62">
        <f t="shared" ref="T40:T68" si="6">S40*E40</f>
        <v>0</v>
      </c>
      <c r="U40" s="58">
        <f>'Dala Restocking'!L2</f>
        <v>0</v>
      </c>
      <c r="V40" s="62">
        <f t="shared" ref="V40:V68" si="7">U40*D40</f>
        <v>0</v>
      </c>
      <c r="W40" s="58">
        <f>'Client Restocking'!L2</f>
        <v>3.93</v>
      </c>
    </row>
    <row r="41">
      <c r="B41" s="103" t="s">
        <v>19</v>
      </c>
      <c r="C41" s="104">
        <v>120000.0</v>
      </c>
      <c r="D41" s="103">
        <v>1600.0</v>
      </c>
      <c r="E41" s="104">
        <v>3450.0</v>
      </c>
      <c r="F41" s="105"/>
      <c r="G41" s="62">
        <f t="shared" si="1"/>
        <v>0</v>
      </c>
      <c r="H41" s="103"/>
      <c r="I41" s="103"/>
      <c r="J41" s="105"/>
      <c r="K41" s="103">
        <v>0.0</v>
      </c>
      <c r="L41" s="59"/>
      <c r="M41" s="62">
        <f t="shared" si="2"/>
        <v>0</v>
      </c>
      <c r="N41" s="62">
        <f t="shared" si="3"/>
        <v>0</v>
      </c>
      <c r="O41" s="58">
        <f>'Dala Sales &amp; Deliveries'!L3</f>
        <v>4</v>
      </c>
      <c r="P41" s="62">
        <f t="shared" si="4"/>
        <v>13800</v>
      </c>
      <c r="Q41" s="58">
        <f>'External Delivery Fulfillment'!L3</f>
        <v>0</v>
      </c>
      <c r="R41" s="62">
        <f t="shared" si="5"/>
        <v>0</v>
      </c>
      <c r="S41" s="58">
        <f>'Forwarding From Client'!L3</f>
        <v>0</v>
      </c>
      <c r="T41" s="62">
        <f t="shared" si="6"/>
        <v>0</v>
      </c>
      <c r="U41" s="58">
        <f>'Dala Restocking'!L3</f>
        <v>0</v>
      </c>
      <c r="V41" s="62">
        <f t="shared" si="7"/>
        <v>0</v>
      </c>
      <c r="W41" s="58">
        <f>'Client Restocking'!L3</f>
        <v>0</v>
      </c>
    </row>
    <row r="42">
      <c r="B42" s="103" t="s">
        <v>18</v>
      </c>
      <c r="C42" s="104">
        <v>120000.0</v>
      </c>
      <c r="D42" s="103">
        <v>1600.0</v>
      </c>
      <c r="E42" s="104">
        <v>3450.0</v>
      </c>
      <c r="F42" s="105"/>
      <c r="G42" s="62">
        <f t="shared" si="1"/>
        <v>0</v>
      </c>
      <c r="H42" s="103"/>
      <c r="I42" s="103"/>
      <c r="J42" s="105"/>
      <c r="K42" s="103">
        <v>3.5</v>
      </c>
      <c r="L42" s="59"/>
      <c r="M42" s="62">
        <f t="shared" si="2"/>
        <v>3.5</v>
      </c>
      <c r="N42" s="62">
        <f t="shared" si="3"/>
        <v>420000</v>
      </c>
      <c r="O42" s="58">
        <f>'Dala Sales &amp; Deliveries'!L4</f>
        <v>0</v>
      </c>
      <c r="P42" s="62">
        <f t="shared" si="4"/>
        <v>0</v>
      </c>
      <c r="Q42" s="58">
        <f>'External Delivery Fulfillment'!L4</f>
        <v>0</v>
      </c>
      <c r="R42" s="62">
        <f t="shared" si="5"/>
        <v>0</v>
      </c>
      <c r="S42" s="58">
        <f>'Forwarding From Client'!L4</f>
        <v>0</v>
      </c>
      <c r="T42" s="62">
        <f t="shared" si="6"/>
        <v>0</v>
      </c>
      <c r="U42" s="58">
        <f>'Dala Restocking'!L4</f>
        <v>0</v>
      </c>
      <c r="V42" s="62">
        <f t="shared" si="7"/>
        <v>0</v>
      </c>
      <c r="W42" s="58">
        <f>'Client Restocking'!L4</f>
        <v>3.77</v>
      </c>
    </row>
    <row r="43">
      <c r="B43" s="103"/>
      <c r="C43" s="104"/>
      <c r="D43" s="103"/>
      <c r="E43" s="104"/>
      <c r="F43" s="105"/>
      <c r="G43" s="62">
        <f t="shared" si="1"/>
        <v>0</v>
      </c>
      <c r="H43" s="105"/>
      <c r="I43" s="103"/>
      <c r="J43" s="105"/>
      <c r="K43" s="105"/>
      <c r="L43" s="59"/>
      <c r="M43" s="62">
        <f t="shared" si="2"/>
        <v>0</v>
      </c>
      <c r="N43" s="62">
        <f t="shared" si="3"/>
        <v>0</v>
      </c>
      <c r="O43" s="58">
        <f>'Dala Sales &amp; Deliveries'!L5</f>
        <v>0</v>
      </c>
      <c r="P43" s="62">
        <f t="shared" si="4"/>
        <v>0</v>
      </c>
      <c r="Q43" s="58">
        <f>'External Delivery Fulfillment'!L5</f>
        <v>0</v>
      </c>
      <c r="R43" s="62">
        <f t="shared" si="5"/>
        <v>0</v>
      </c>
      <c r="S43" s="58">
        <f>'Forwarding From Client'!L5</f>
        <v>0</v>
      </c>
      <c r="T43" s="62">
        <f t="shared" si="6"/>
        <v>0</v>
      </c>
      <c r="U43" s="58">
        <f>'Dala Restocking'!L5</f>
        <v>0</v>
      </c>
      <c r="V43" s="62">
        <f t="shared" si="7"/>
        <v>0</v>
      </c>
      <c r="W43" s="58">
        <f>'Client Restocking'!L5</f>
        <v>0</v>
      </c>
    </row>
    <row r="44">
      <c r="B44" s="103"/>
      <c r="C44" s="104"/>
      <c r="D44" s="103"/>
      <c r="E44" s="104"/>
      <c r="F44" s="105"/>
      <c r="G44" s="62">
        <f t="shared" si="1"/>
        <v>0</v>
      </c>
      <c r="H44" s="105"/>
      <c r="I44" s="105"/>
      <c r="J44" s="105"/>
      <c r="K44" s="105"/>
      <c r="L44" s="102">
        <f t="shared" ref="L44:L68" si="8">H44+U44+W44-O44-Q44-I44-J44</f>
        <v>0</v>
      </c>
      <c r="M44" s="58">
        <f t="shared" si="2"/>
        <v>0</v>
      </c>
      <c r="N44" s="62">
        <f t="shared" si="3"/>
        <v>0</v>
      </c>
      <c r="O44" s="58">
        <f>'Dala Sales &amp; Deliveries'!L6</f>
        <v>0</v>
      </c>
      <c r="P44" s="62">
        <f t="shared" si="4"/>
        <v>0</v>
      </c>
      <c r="Q44" s="58">
        <f>'External Delivery Fulfillment'!L6</f>
        <v>0</v>
      </c>
      <c r="R44" s="62">
        <f t="shared" si="5"/>
        <v>0</v>
      </c>
      <c r="S44" s="58">
        <f>'Forwarding From Client'!L6</f>
        <v>0</v>
      </c>
      <c r="T44" s="62">
        <f t="shared" si="6"/>
        <v>0</v>
      </c>
      <c r="U44" s="58">
        <f>'Dala Restocking'!L6</f>
        <v>0</v>
      </c>
      <c r="V44" s="62">
        <f t="shared" si="7"/>
        <v>0</v>
      </c>
      <c r="W44" s="58">
        <f>'Client Restocking'!L6</f>
        <v>0</v>
      </c>
    </row>
    <row r="45">
      <c r="B45" s="103"/>
      <c r="C45" s="104"/>
      <c r="D45" s="103"/>
      <c r="E45" s="104"/>
      <c r="F45" s="105"/>
      <c r="G45" s="62">
        <f t="shared" si="1"/>
        <v>0</v>
      </c>
      <c r="H45" s="105"/>
      <c r="I45" s="105"/>
      <c r="J45" s="105"/>
      <c r="K45" s="105"/>
      <c r="L45" s="102">
        <f t="shared" si="8"/>
        <v>0</v>
      </c>
      <c r="M45" s="58">
        <f t="shared" si="2"/>
        <v>0</v>
      </c>
      <c r="N45" s="62">
        <f t="shared" si="3"/>
        <v>0</v>
      </c>
      <c r="O45" s="58">
        <f>'Dala Sales &amp; Deliveries'!L7</f>
        <v>0</v>
      </c>
      <c r="P45" s="62">
        <f t="shared" si="4"/>
        <v>0</v>
      </c>
      <c r="Q45" s="58">
        <f>'External Delivery Fulfillment'!L7</f>
        <v>0</v>
      </c>
      <c r="R45" s="62">
        <f t="shared" si="5"/>
        <v>0</v>
      </c>
      <c r="S45" s="58">
        <f>'Forwarding From Client'!L7</f>
        <v>0</v>
      </c>
      <c r="T45" s="62">
        <f t="shared" si="6"/>
        <v>0</v>
      </c>
      <c r="U45" s="58">
        <f>'Dala Restocking'!L7</f>
        <v>0</v>
      </c>
      <c r="V45" s="62">
        <f t="shared" si="7"/>
        <v>0</v>
      </c>
      <c r="W45" s="58">
        <f>'Client Restocking'!L7</f>
        <v>0</v>
      </c>
    </row>
    <row r="46">
      <c r="B46" s="103"/>
      <c r="C46" s="104"/>
      <c r="D46" s="103"/>
      <c r="E46" s="104"/>
      <c r="F46" s="105"/>
      <c r="G46" s="62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2">
        <f t="shared" si="3"/>
        <v>0</v>
      </c>
      <c r="O46" s="58">
        <f>'Dala Sales &amp; Deliveries'!L8</f>
        <v>0</v>
      </c>
      <c r="P46" s="62">
        <f t="shared" si="4"/>
        <v>0</v>
      </c>
      <c r="Q46" s="58">
        <f>'External Delivery Fulfillment'!L8</f>
        <v>0</v>
      </c>
      <c r="R46" s="62">
        <f t="shared" si="5"/>
        <v>0</v>
      </c>
      <c r="S46" s="58">
        <f>'Forwarding From Client'!L8</f>
        <v>0</v>
      </c>
      <c r="T46" s="62">
        <f t="shared" si="6"/>
        <v>0</v>
      </c>
      <c r="U46" s="58">
        <f>'Dala Restocking'!L8</f>
        <v>0</v>
      </c>
      <c r="V46" s="62">
        <f t="shared" si="7"/>
        <v>0</v>
      </c>
      <c r="W46" s="58">
        <f>'Client Restocking'!L8</f>
        <v>0</v>
      </c>
    </row>
    <row r="47">
      <c r="B47" s="103"/>
      <c r="C47" s="104"/>
      <c r="D47" s="103"/>
      <c r="E47" s="104"/>
      <c r="F47" s="105"/>
      <c r="G47" s="62">
        <f t="shared" si="1"/>
        <v>0</v>
      </c>
      <c r="H47" s="105"/>
      <c r="I47" s="105"/>
      <c r="J47" s="105"/>
      <c r="K47" s="105"/>
      <c r="L47" s="102">
        <f t="shared" si="8"/>
        <v>0</v>
      </c>
      <c r="M47" s="58">
        <f t="shared" si="2"/>
        <v>0</v>
      </c>
      <c r="N47" s="62">
        <f t="shared" si="3"/>
        <v>0</v>
      </c>
      <c r="O47" s="58">
        <f>'Dala Sales &amp; Deliveries'!L9</f>
        <v>0</v>
      </c>
      <c r="P47" s="62">
        <f t="shared" si="4"/>
        <v>0</v>
      </c>
      <c r="Q47" s="58">
        <f>'External Delivery Fulfillment'!L9</f>
        <v>0</v>
      </c>
      <c r="R47" s="62">
        <f t="shared" si="5"/>
        <v>0</v>
      </c>
      <c r="S47" s="58">
        <f>'Forwarding From Client'!L9</f>
        <v>0</v>
      </c>
      <c r="T47" s="62">
        <f t="shared" si="6"/>
        <v>0</v>
      </c>
      <c r="U47" s="58">
        <f>'Dala Restocking'!L9</f>
        <v>0</v>
      </c>
      <c r="V47" s="62">
        <f t="shared" si="7"/>
        <v>0</v>
      </c>
      <c r="W47" s="58">
        <f>'Client Restocking'!L9</f>
        <v>0</v>
      </c>
    </row>
    <row r="48">
      <c r="B48" s="103"/>
      <c r="C48" s="104"/>
      <c r="D48" s="103"/>
      <c r="E48" s="104"/>
      <c r="F48" s="105"/>
      <c r="G48" s="62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2">
        <f t="shared" si="3"/>
        <v>0</v>
      </c>
      <c r="O48" s="58">
        <f>'Dala Sales &amp; Deliveries'!L10</f>
        <v>0</v>
      </c>
      <c r="P48" s="62">
        <f t="shared" si="4"/>
        <v>0</v>
      </c>
      <c r="Q48" s="58">
        <f>'External Delivery Fulfillment'!L10</f>
        <v>0</v>
      </c>
      <c r="R48" s="62">
        <f t="shared" si="5"/>
        <v>0</v>
      </c>
      <c r="S48" s="58">
        <f>'Forwarding From Client'!L10</f>
        <v>0</v>
      </c>
      <c r="T48" s="62">
        <f t="shared" si="6"/>
        <v>0</v>
      </c>
      <c r="U48" s="58">
        <f>'Dala Restocking'!L10</f>
        <v>0</v>
      </c>
      <c r="V48" s="62">
        <f t="shared" si="7"/>
        <v>0</v>
      </c>
      <c r="W48" s="58">
        <f>'Client Restocking'!L10</f>
        <v>0</v>
      </c>
    </row>
    <row r="49">
      <c r="B49" s="103"/>
      <c r="C49" s="104"/>
      <c r="D49" s="103"/>
      <c r="E49" s="104"/>
      <c r="F49" s="105"/>
      <c r="G49" s="62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2">
        <f t="shared" si="3"/>
        <v>0</v>
      </c>
      <c r="O49" s="58">
        <f>'Dala Sales &amp; Deliveries'!L11</f>
        <v>0</v>
      </c>
      <c r="P49" s="62">
        <f t="shared" si="4"/>
        <v>0</v>
      </c>
      <c r="Q49" s="58">
        <f>'External Delivery Fulfillment'!L11</f>
        <v>0</v>
      </c>
      <c r="R49" s="62">
        <f t="shared" si="5"/>
        <v>0</v>
      </c>
      <c r="S49" s="58">
        <f>'Forwarding From Client'!L11</f>
        <v>0</v>
      </c>
      <c r="T49" s="62">
        <f t="shared" si="6"/>
        <v>0</v>
      </c>
      <c r="U49" s="58">
        <f>'Dala Restocking'!L11</f>
        <v>0</v>
      </c>
      <c r="V49" s="62">
        <f t="shared" si="7"/>
        <v>0</v>
      </c>
      <c r="W49" s="58">
        <f>'Client Restocking'!L11</f>
        <v>0</v>
      </c>
    </row>
    <row r="50">
      <c r="B50" s="103"/>
      <c r="C50" s="104"/>
      <c r="D50" s="103"/>
      <c r="E50" s="104"/>
      <c r="F50" s="105"/>
      <c r="G50" s="62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2">
        <f t="shared" si="3"/>
        <v>0</v>
      </c>
      <c r="O50" s="58">
        <f>'Dala Sales &amp; Deliveries'!L12</f>
        <v>0</v>
      </c>
      <c r="P50" s="62">
        <f t="shared" si="4"/>
        <v>0</v>
      </c>
      <c r="Q50" s="58">
        <f>'External Delivery Fulfillment'!L12</f>
        <v>0</v>
      </c>
      <c r="R50" s="62">
        <f t="shared" si="5"/>
        <v>0</v>
      </c>
      <c r="S50" s="58">
        <f>'Forwarding From Client'!L12</f>
        <v>0</v>
      </c>
      <c r="T50" s="62">
        <f t="shared" si="6"/>
        <v>0</v>
      </c>
      <c r="U50" s="58">
        <f>'Dala Restocking'!L12</f>
        <v>0</v>
      </c>
      <c r="V50" s="62">
        <f t="shared" si="7"/>
        <v>0</v>
      </c>
      <c r="W50" s="58">
        <f>'Client Restocking'!L12</f>
        <v>0</v>
      </c>
    </row>
    <row r="51">
      <c r="B51" s="103"/>
      <c r="C51" s="104"/>
      <c r="D51" s="103"/>
      <c r="E51" s="104"/>
      <c r="F51" s="105"/>
      <c r="G51" s="62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2">
        <f t="shared" si="3"/>
        <v>0</v>
      </c>
      <c r="O51" s="58">
        <f>'Dala Sales &amp; Deliveries'!L13</f>
        <v>0</v>
      </c>
      <c r="P51" s="62">
        <f t="shared" si="4"/>
        <v>0</v>
      </c>
      <c r="Q51" s="58">
        <f>'External Delivery Fulfillment'!L13</f>
        <v>0</v>
      </c>
      <c r="R51" s="62">
        <f t="shared" si="5"/>
        <v>0</v>
      </c>
      <c r="S51" s="58">
        <f>'Forwarding From Client'!L13</f>
        <v>0</v>
      </c>
      <c r="T51" s="62">
        <f t="shared" si="6"/>
        <v>0</v>
      </c>
      <c r="U51" s="58">
        <f>'Dala Restocking'!L13</f>
        <v>0</v>
      </c>
      <c r="V51" s="62">
        <f t="shared" si="7"/>
        <v>0</v>
      </c>
      <c r="W51" s="58">
        <f>'Client Restocking'!L13</f>
        <v>0</v>
      </c>
    </row>
    <row r="52">
      <c r="B52" s="105"/>
      <c r="C52" s="105"/>
      <c r="D52" s="105"/>
      <c r="E52" s="105"/>
      <c r="F52" s="105"/>
      <c r="G52" s="62">
        <f t="shared" si="1"/>
        <v>0</v>
      </c>
      <c r="H52" s="105"/>
      <c r="I52" s="105"/>
      <c r="J52" s="105"/>
      <c r="K52" s="105"/>
      <c r="L52" s="59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5"/>
      <c r="C53" s="105"/>
      <c r="D53" s="105"/>
      <c r="E53" s="105"/>
      <c r="F53" s="105"/>
      <c r="G53" s="62">
        <f t="shared" si="1"/>
        <v>0</v>
      </c>
      <c r="H53" s="105"/>
      <c r="I53" s="105"/>
      <c r="J53" s="105"/>
      <c r="K53" s="105"/>
      <c r="L53" s="59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5"/>
      <c r="C54" s="105"/>
      <c r="D54" s="105"/>
      <c r="E54" s="105"/>
      <c r="F54" s="105"/>
      <c r="G54" s="62">
        <f t="shared" si="1"/>
        <v>0</v>
      </c>
      <c r="H54" s="105"/>
      <c r="I54" s="105"/>
      <c r="J54" s="105"/>
      <c r="K54" s="105"/>
      <c r="L54" s="59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5"/>
      <c r="C55" s="105"/>
      <c r="D55" s="105"/>
      <c r="E55" s="105"/>
      <c r="F55" s="105"/>
      <c r="G55" s="62">
        <f t="shared" si="1"/>
        <v>0</v>
      </c>
      <c r="H55" s="105"/>
      <c r="I55" s="105"/>
      <c r="J55" s="105"/>
      <c r="K55" s="105"/>
      <c r="L55" s="59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5"/>
      <c r="C56" s="105"/>
      <c r="D56" s="105"/>
      <c r="E56" s="105"/>
      <c r="F56" s="105"/>
      <c r="G56" s="62">
        <f t="shared" si="1"/>
        <v>0</v>
      </c>
      <c r="H56" s="105"/>
      <c r="I56" s="105"/>
      <c r="J56" s="105"/>
      <c r="K56" s="105"/>
      <c r="L56" s="59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5"/>
      <c r="C57" s="105"/>
      <c r="D57" s="105"/>
      <c r="E57" s="105"/>
      <c r="F57" s="105"/>
      <c r="G57" s="62">
        <f t="shared" si="1"/>
        <v>0</v>
      </c>
      <c r="H57" s="105"/>
      <c r="I57" s="105"/>
      <c r="J57" s="105"/>
      <c r="K57" s="105"/>
      <c r="L57" s="59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5"/>
      <c r="C58" s="105"/>
      <c r="D58" s="105"/>
      <c r="E58" s="105"/>
      <c r="F58" s="105"/>
      <c r="G58" s="62">
        <f t="shared" si="1"/>
        <v>0</v>
      </c>
      <c r="H58" s="105"/>
      <c r="I58" s="105"/>
      <c r="J58" s="105"/>
      <c r="K58" s="105"/>
      <c r="L58" s="59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5"/>
      <c r="C59" s="105"/>
      <c r="D59" s="105"/>
      <c r="E59" s="105"/>
      <c r="F59" s="105"/>
      <c r="G59" s="62">
        <f t="shared" si="1"/>
        <v>0</v>
      </c>
      <c r="H59" s="105"/>
      <c r="I59" s="105"/>
      <c r="J59" s="105"/>
      <c r="K59" s="105"/>
      <c r="L59" s="59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5"/>
      <c r="C60" s="105"/>
      <c r="D60" s="105"/>
      <c r="E60" s="105"/>
      <c r="F60" s="105"/>
      <c r="G60" s="62">
        <f t="shared" si="1"/>
        <v>0</v>
      </c>
      <c r="H60" s="105"/>
      <c r="I60" s="105"/>
      <c r="J60" s="105"/>
      <c r="K60" s="105"/>
      <c r="L60" s="59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5"/>
      <c r="C61" s="105"/>
      <c r="D61" s="105"/>
      <c r="E61" s="105"/>
      <c r="F61" s="105"/>
      <c r="G61" s="62">
        <f t="shared" si="1"/>
        <v>0</v>
      </c>
      <c r="H61" s="105"/>
      <c r="I61" s="105"/>
      <c r="J61" s="105"/>
      <c r="K61" s="105"/>
      <c r="L61" s="59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5"/>
      <c r="C62" s="105"/>
      <c r="D62" s="105"/>
      <c r="E62" s="105"/>
      <c r="F62" s="105"/>
      <c r="G62" s="62">
        <f t="shared" si="1"/>
        <v>0</v>
      </c>
      <c r="H62" s="105"/>
      <c r="I62" s="105"/>
      <c r="J62" s="105"/>
      <c r="K62" s="105"/>
      <c r="L62" s="59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5"/>
      <c r="C63" s="105"/>
      <c r="D63" s="105"/>
      <c r="E63" s="105"/>
      <c r="F63" s="105"/>
      <c r="G63" s="62">
        <f t="shared" si="1"/>
        <v>0</v>
      </c>
      <c r="H63" s="105"/>
      <c r="I63" s="105"/>
      <c r="J63" s="105"/>
      <c r="K63" s="105"/>
      <c r="L63" s="59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5"/>
      <c r="C64" s="105"/>
      <c r="D64" s="105"/>
      <c r="E64" s="105"/>
      <c r="F64" s="105"/>
      <c r="G64" s="62">
        <f t="shared" si="1"/>
        <v>0</v>
      </c>
      <c r="H64" s="105"/>
      <c r="I64" s="105"/>
      <c r="J64" s="105"/>
      <c r="K64" s="105"/>
      <c r="L64" s="59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5"/>
      <c r="C65" s="105"/>
      <c r="D65" s="105"/>
      <c r="E65" s="105"/>
      <c r="F65" s="105"/>
      <c r="G65" s="62">
        <f t="shared" si="1"/>
        <v>0</v>
      </c>
      <c r="H65" s="105"/>
      <c r="I65" s="105"/>
      <c r="J65" s="105"/>
      <c r="K65" s="105"/>
      <c r="L65" s="59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5"/>
      <c r="C66" s="105"/>
      <c r="D66" s="105"/>
      <c r="E66" s="105"/>
      <c r="F66" s="105"/>
      <c r="G66" s="62">
        <f t="shared" si="1"/>
        <v>0</v>
      </c>
      <c r="H66" s="105"/>
      <c r="I66" s="105"/>
      <c r="J66" s="105"/>
      <c r="K66" s="105"/>
      <c r="L66" s="59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5"/>
      <c r="C67" s="105"/>
      <c r="D67" s="105"/>
      <c r="E67" s="105"/>
      <c r="F67" s="105"/>
      <c r="G67" s="62">
        <f t="shared" si="1"/>
        <v>0</v>
      </c>
      <c r="H67" s="105"/>
      <c r="I67" s="105"/>
      <c r="J67" s="105"/>
      <c r="K67" s="105"/>
      <c r="L67" s="59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5"/>
      <c r="C68" s="105"/>
      <c r="D68" s="105"/>
      <c r="E68" s="105"/>
      <c r="F68" s="105"/>
      <c r="G68" s="62">
        <f t="shared" si="1"/>
        <v>0</v>
      </c>
      <c r="H68" s="105"/>
      <c r="I68" s="105"/>
      <c r="J68" s="105"/>
      <c r="K68" s="105"/>
      <c r="L68" s="59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9" t="s">
        <v>101</v>
      </c>
      <c r="C69" s="59"/>
      <c r="D69" s="59"/>
      <c r="E69" s="62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8</v>
      </c>
      <c r="L69" s="62">
        <f t="shared" si="9"/>
        <v>0</v>
      </c>
      <c r="M69" s="62">
        <f t="shared" si="9"/>
        <v>8</v>
      </c>
      <c r="N69" s="62">
        <f t="shared" si="9"/>
        <v>798000</v>
      </c>
      <c r="O69" s="58">
        <f t="shared" si="9"/>
        <v>4</v>
      </c>
      <c r="P69" s="62">
        <f t="shared" si="9"/>
        <v>13800</v>
      </c>
      <c r="Q69" s="58">
        <f t="shared" si="9"/>
        <v>0</v>
      </c>
      <c r="R69" s="62">
        <f t="shared" si="9"/>
        <v>0</v>
      </c>
      <c r="S69" s="58">
        <f t="shared" si="9"/>
        <v>0</v>
      </c>
      <c r="T69" s="62">
        <f t="shared" si="9"/>
        <v>0</v>
      </c>
      <c r="U69" s="58">
        <f t="shared" si="9"/>
        <v>0</v>
      </c>
      <c r="V69" s="62">
        <f t="shared" si="9"/>
        <v>0</v>
      </c>
      <c r="W69" s="58">
        <f t="shared" si="9"/>
        <v>7.7</v>
      </c>
    </row>
    <row r="70">
      <c r="C70" s="6" t="s">
        <v>102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6" t="s">
        <v>102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102</v>
      </c>
      <c r="U70" s="6" t="s">
        <v>102</v>
      </c>
      <c r="V70" s="6" t="s">
        <v>102</v>
      </c>
      <c r="W70" s="6" t="s">
        <v>102</v>
      </c>
    </row>
  </sheetData>
  <drawing r:id="rId1"/>
</worksheet>
</file>