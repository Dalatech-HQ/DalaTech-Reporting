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<sst xmlns="http://schemas.openxmlformats.org/spreadsheetml/2006/main" count="214" uniqueCount="87">
  <si>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</si>
  <si>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</si>
  <si>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</si>
  <si>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</si>
  <si>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</si>
  <si>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</si>
  <si>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</si>
  <si>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</si>
  <si>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</si>
  <si>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</si>
  <si>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</si>
  <si>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</si>
  <si>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</si>
  <si>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</si>
  <si>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</si>
  <si>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</si>
  <si>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</si>
  <si>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</si>
  <si>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</si>
  <si>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</si>
  <si>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</si>
  <si>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</si>
  <si>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</si>
  <si>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</si>
  <si>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</si>
  <si>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</si>
  <si>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</si>
  <si>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</si>
  <si>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</si>
  <si>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</si>
  <si>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</si>
  <si>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</si>
  <si>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</si>
  <si>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</si>
  <si>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</si>
  <si>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</si>
  <si>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</si>
  <si>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</si>
  <si>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</si>
  <si>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</si>
  <si>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</si>
  <si>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</si>
  <si>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</si>
  <si>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</si>
  <si>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</si>
  <si>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</si>
  <si>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</si>
  <si>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</si>
  <si>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</si>
  <si>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</si>
  <si>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</si>
  <si>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</si>
  <si>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</si>
  <si>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</si>
  <si>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</si>
  <si>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</si>
  <si>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</si>
  <si>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</si>
  <si>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</si>
  <si>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</si>
  <si>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</si>
  <si>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</si>
  <si>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</si>
  <si>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</si>
  <si>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</si>
  <si>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</si>
  <si>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</si>
  <si>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</si>
  <si>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</si>
  <si>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</si>
  <si>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</si>
  <si>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</si>
  <si>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</si>
  <si>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</si>
  <si>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</si>
  <si>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</si>
  <si>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</si>
  <si>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</si>
  <si>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</si>
  <si>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</si>
  <si>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</si>
  <si>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</si>
  <si>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Orange Juice (1x)</t>
  </si>
  <si>
    <t>500ml Mixed Juice (1x)</t>
  </si>
  <si>
    <t>500ml Pineapple Juice (1x)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</si>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</sst>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8"/>
      <c r="F3" s="16"/>
      <c r="G3" s="17"/>
      <c r="H3" s="18"/>
      <c r="I3" s="19" t="str">
        <f>IFERROR(__xludf.DUMMYFUNCTION("IFERROR(
  FILTER($A$3:$G1844, LEN($A$3:$A1844), LOWER(TRIM($D$3:$D1844))=""sales""),
)"),"")</f>
        <v/>
      </c>
      <c r="J3" s="20"/>
      <c r="K3" s="21"/>
      <c r="L3" s="21"/>
      <c r="M3" s="22"/>
      <c r="N3" s="23"/>
      <c r="O3" s="24"/>
      <c r="P3" s="7">
        <f t="shared" ref="P3:P106" si="1">SUMIF(M:M,M3,O:O)</f>
        <v>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16"/>
      <c r="AU3" s="17"/>
    </row>
    <row r="4">
      <c r="A4" s="13"/>
      <c r="B4" s="14"/>
      <c r="C4" s="15"/>
      <c r="D4" s="15"/>
      <c r="E4" s="8"/>
      <c r="F4" s="16"/>
      <c r="G4" s="17"/>
      <c r="I4" s="19"/>
      <c r="J4" s="20"/>
      <c r="K4" s="21"/>
      <c r="L4" s="21"/>
      <c r="M4" s="22"/>
      <c r="N4" s="23"/>
      <c r="O4" s="24"/>
      <c r="P4" s="7">
        <f t="shared" si="1"/>
        <v>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0"/>
      <c r="AP4" s="28"/>
      <c r="AQ4" s="29"/>
      <c r="AR4" s="29"/>
      <c r="AS4" s="2"/>
      <c r="AT4" s="31"/>
      <c r="AU4" s="32"/>
    </row>
    <row r="5">
      <c r="A5" s="13"/>
      <c r="B5" s="14"/>
      <c r="C5" s="15"/>
      <c r="D5" s="15"/>
      <c r="E5" s="8"/>
      <c r="F5" s="16"/>
      <c r="G5" s="17"/>
      <c r="I5" s="19"/>
      <c r="J5" s="20"/>
      <c r="K5" s="21"/>
      <c r="L5" s="21"/>
      <c r="M5" s="22"/>
      <c r="N5" s="22"/>
      <c r="O5" s="24"/>
      <c r="P5" s="7">
        <f t="shared" si="1"/>
        <v>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0"/>
      <c r="AP5" s="28"/>
      <c r="AQ5" s="29"/>
      <c r="AR5" s="29"/>
      <c r="AS5" s="2"/>
      <c r="AT5" s="31"/>
      <c r="AU5" s="32"/>
    </row>
    <row r="6">
      <c r="A6" s="13"/>
      <c r="B6" s="14"/>
      <c r="C6" s="15"/>
      <c r="D6" s="15"/>
      <c r="E6" s="8"/>
      <c r="F6" s="33"/>
      <c r="G6" s="17"/>
      <c r="I6" s="19"/>
      <c r="J6" s="20"/>
      <c r="K6" s="21"/>
      <c r="L6" s="21"/>
      <c r="M6" s="22"/>
      <c r="N6" s="23"/>
      <c r="O6" s="24"/>
      <c r="P6" s="7">
        <f t="shared" si="1"/>
        <v>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4"/>
      <c r="AH6" s="28"/>
      <c r="AI6" s="29"/>
      <c r="AJ6" s="29"/>
      <c r="AK6" s="2"/>
      <c r="AL6" s="35"/>
      <c r="AM6" s="32"/>
      <c r="AO6" s="30"/>
      <c r="AP6" s="28"/>
      <c r="AQ6" s="29"/>
      <c r="AR6" s="29"/>
      <c r="AS6" s="2"/>
      <c r="AT6" s="31"/>
      <c r="AU6" s="32"/>
    </row>
    <row r="7">
      <c r="A7" s="13"/>
      <c r="B7" s="14"/>
      <c r="C7" s="15"/>
      <c r="D7" s="15"/>
      <c r="E7" s="8"/>
      <c r="F7" s="16"/>
      <c r="G7" s="17"/>
      <c r="I7" s="19"/>
      <c r="J7" s="20"/>
      <c r="K7" s="21"/>
      <c r="L7" s="21"/>
      <c r="M7" s="22"/>
      <c r="N7" s="23"/>
      <c r="O7" s="24"/>
      <c r="P7" s="7">
        <f t="shared" si="1"/>
        <v>0</v>
      </c>
      <c r="Q7" s="34"/>
      <c r="R7" s="28"/>
      <c r="S7" s="36"/>
      <c r="T7" s="29"/>
      <c r="U7" s="2"/>
      <c r="V7" s="35"/>
      <c r="W7" s="37"/>
      <c r="Y7" s="25"/>
      <c r="Z7" s="25"/>
      <c r="AA7" s="25"/>
      <c r="AB7" s="25"/>
      <c r="AC7" s="25"/>
      <c r="AD7" s="25"/>
      <c r="AE7" s="25"/>
      <c r="AF7" s="25"/>
      <c r="AG7" s="34"/>
      <c r="AH7" s="28"/>
      <c r="AI7" s="29"/>
      <c r="AJ7" s="29"/>
      <c r="AK7" s="2"/>
      <c r="AL7" s="2"/>
      <c r="AM7" s="37"/>
      <c r="AO7" s="30"/>
      <c r="AP7" s="28"/>
      <c r="AQ7" s="29"/>
      <c r="AR7" s="29"/>
      <c r="AS7" s="2"/>
      <c r="AT7" s="31"/>
      <c r="AU7" s="32"/>
    </row>
    <row r="8">
      <c r="A8" s="13"/>
      <c r="B8" s="14"/>
      <c r="C8" s="15"/>
      <c r="D8" s="15"/>
      <c r="E8" s="8"/>
      <c r="F8" s="16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34"/>
      <c r="R8" s="28"/>
      <c r="S8" s="29"/>
      <c r="T8" s="29"/>
      <c r="U8" s="2"/>
      <c r="V8" s="35"/>
      <c r="W8" s="37"/>
      <c r="Y8" s="25"/>
      <c r="Z8" s="25"/>
      <c r="AA8" s="25"/>
      <c r="AB8" s="25"/>
      <c r="AC8" s="25"/>
      <c r="AD8" s="25"/>
      <c r="AE8" s="25"/>
      <c r="AF8" s="25"/>
      <c r="AG8" s="34"/>
      <c r="AH8" s="28"/>
      <c r="AI8" s="29"/>
      <c r="AJ8" s="29"/>
      <c r="AK8" s="2"/>
      <c r="AL8" s="35"/>
      <c r="AM8" s="37"/>
      <c r="AP8" s="38"/>
      <c r="AU8" s="12"/>
    </row>
    <row r="9">
      <c r="A9" s="13"/>
      <c r="B9" s="39"/>
      <c r="C9" s="15"/>
      <c r="D9" s="15"/>
      <c r="E9" s="8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34"/>
      <c r="R9" s="28"/>
      <c r="S9" s="29"/>
      <c r="T9" s="29"/>
      <c r="U9" s="2"/>
      <c r="V9" s="2"/>
      <c r="W9" s="37"/>
      <c r="AP9" s="38"/>
      <c r="AU9" s="12"/>
    </row>
    <row r="10">
      <c r="A10" s="13"/>
      <c r="B10" s="8"/>
      <c r="C10" s="15"/>
      <c r="D10" s="15"/>
      <c r="E10" s="8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4"/>
      <c r="R10" s="28"/>
      <c r="S10" s="29"/>
      <c r="T10" s="29"/>
      <c r="U10" s="2"/>
      <c r="V10" s="35"/>
      <c r="W10" s="37"/>
      <c r="AP10" s="38"/>
      <c r="AU10" s="12"/>
    </row>
    <row r="11">
      <c r="A11" s="13"/>
      <c r="B11" s="8"/>
      <c r="C11" s="15"/>
      <c r="D11" s="15"/>
      <c r="E11" s="8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4"/>
      <c r="R11" s="28"/>
      <c r="S11" s="29"/>
      <c r="T11" s="29"/>
      <c r="U11" s="2"/>
      <c r="V11" s="2"/>
      <c r="W11" s="37"/>
      <c r="AP11" s="38"/>
      <c r="AU11" s="12"/>
    </row>
    <row r="12">
      <c r="A12" s="13"/>
      <c r="B12" s="14"/>
      <c r="C12" s="15"/>
      <c r="D12" s="15"/>
      <c r="E12" s="8"/>
      <c r="F12" s="33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4"/>
      <c r="R12" s="28"/>
      <c r="S12" s="29"/>
      <c r="T12" s="29"/>
      <c r="U12" s="2"/>
      <c r="V12" s="35"/>
      <c r="W12" s="37"/>
      <c r="AP12" s="38"/>
      <c r="AU12" s="12"/>
    </row>
    <row r="13">
      <c r="A13" s="13"/>
      <c r="B13" s="14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4"/>
      <c r="R13" s="28"/>
      <c r="S13" s="36"/>
      <c r="T13" s="29"/>
      <c r="U13" s="2"/>
      <c r="V13" s="2"/>
      <c r="W13" s="37"/>
      <c r="AP13" s="38"/>
      <c r="AU13" s="12"/>
    </row>
    <row r="14">
      <c r="A14" s="13"/>
      <c r="B14" s="8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4"/>
      <c r="R14" s="28"/>
      <c r="S14" s="36"/>
      <c r="T14" s="29"/>
      <c r="U14" s="2"/>
      <c r="V14" s="35"/>
      <c r="W14" s="37"/>
      <c r="AP14" s="38"/>
      <c r="AU14" s="12"/>
    </row>
    <row r="15">
      <c r="A15" s="13"/>
      <c r="B15" s="8"/>
      <c r="C15" s="15"/>
      <c r="D15" s="15"/>
      <c r="E15" s="8"/>
      <c r="F15" s="33"/>
      <c r="G15" s="17"/>
      <c r="I15" s="27"/>
      <c r="J15" s="40"/>
      <c r="K15" s="26"/>
      <c r="L15" s="26"/>
      <c r="M15" s="41"/>
      <c r="N15" s="41"/>
      <c r="O15" s="42"/>
      <c r="P15" s="7">
        <f t="shared" si="1"/>
        <v>0</v>
      </c>
      <c r="Q15" s="34"/>
      <c r="R15" s="28"/>
      <c r="S15" s="29"/>
      <c r="T15" s="29"/>
      <c r="U15" s="2"/>
      <c r="V15" s="35"/>
      <c r="W15" s="37"/>
      <c r="AP15" s="38"/>
      <c r="AU15" s="12"/>
    </row>
    <row r="16">
      <c r="A16" s="13"/>
      <c r="B16" s="8"/>
      <c r="C16" s="15"/>
      <c r="D16" s="15"/>
      <c r="E16" s="8"/>
      <c r="F16" s="16"/>
      <c r="G16" s="17"/>
      <c r="I16" s="27"/>
      <c r="J16" s="40"/>
      <c r="K16" s="26"/>
      <c r="L16" s="26"/>
      <c r="M16" s="41"/>
      <c r="N16" s="43"/>
      <c r="O16" s="42"/>
      <c r="P16" s="7">
        <f t="shared" si="1"/>
        <v>0</v>
      </c>
      <c r="Q16" s="34"/>
      <c r="R16" s="28"/>
      <c r="S16" s="29"/>
      <c r="T16" s="29"/>
      <c r="U16" s="2"/>
      <c r="V16" s="35"/>
      <c r="W16" s="37"/>
      <c r="AP16" s="38"/>
      <c r="AU16" s="12"/>
    </row>
    <row r="17">
      <c r="A17" s="13"/>
      <c r="B17" s="8"/>
      <c r="C17" s="15"/>
      <c r="D17" s="15"/>
      <c r="E17" s="8"/>
      <c r="F17" s="33"/>
      <c r="G17" s="17"/>
      <c r="I17" s="27"/>
      <c r="J17" s="40"/>
      <c r="K17" s="26"/>
      <c r="L17" s="26"/>
      <c r="M17" s="41"/>
      <c r="N17" s="41"/>
      <c r="O17" s="42"/>
      <c r="P17" s="7">
        <f t="shared" si="1"/>
        <v>0</v>
      </c>
      <c r="Q17" s="34"/>
      <c r="R17" s="28"/>
      <c r="S17" s="29"/>
      <c r="T17" s="29"/>
      <c r="U17" s="2"/>
      <c r="V17" s="35"/>
      <c r="W17" s="37"/>
      <c r="AP17" s="38"/>
      <c r="AU17" s="12"/>
    </row>
    <row r="18">
      <c r="A18" s="13"/>
      <c r="B18" s="8"/>
      <c r="C18" s="15"/>
      <c r="D18" s="15"/>
      <c r="E18" s="8"/>
      <c r="F18" s="16"/>
      <c r="G18" s="17"/>
      <c r="I18" s="27"/>
      <c r="J18" s="40"/>
      <c r="K18" s="26"/>
      <c r="L18" s="26"/>
      <c r="M18" s="41"/>
      <c r="N18" s="43"/>
      <c r="O18" s="42"/>
      <c r="P18" s="7">
        <f t="shared" si="1"/>
        <v>0</v>
      </c>
      <c r="Q18" s="34"/>
      <c r="R18" s="28"/>
      <c r="S18" s="29"/>
      <c r="T18" s="29"/>
      <c r="U18" s="2"/>
      <c r="V18" s="35"/>
      <c r="W18" s="37"/>
      <c r="AP18" s="38"/>
      <c r="AU18" s="12"/>
    </row>
    <row r="19">
      <c r="A19" s="13"/>
      <c r="B19" s="8"/>
      <c r="C19" s="15"/>
      <c r="D19" s="15"/>
      <c r="E19" s="8"/>
      <c r="F19" s="33"/>
      <c r="G19" s="17"/>
      <c r="I19" s="27"/>
      <c r="J19" s="40"/>
      <c r="K19" s="26"/>
      <c r="L19" s="26"/>
      <c r="M19" s="41"/>
      <c r="N19" s="41"/>
      <c r="O19" s="42"/>
      <c r="P19" s="7">
        <f t="shared" si="1"/>
        <v>0</v>
      </c>
      <c r="Q19" s="34"/>
      <c r="R19" s="28"/>
      <c r="S19" s="29"/>
      <c r="T19" s="29"/>
      <c r="U19" s="2"/>
      <c r="V19" s="35"/>
      <c r="W19" s="37"/>
      <c r="AP19" s="38"/>
      <c r="AU19" s="12"/>
    </row>
    <row r="20">
      <c r="A20" s="13"/>
      <c r="B20" s="44"/>
      <c r="C20" s="15"/>
      <c r="D20" s="15"/>
      <c r="E20" s="8"/>
      <c r="F20" s="33"/>
      <c r="G20" s="17"/>
      <c r="I20" s="27"/>
      <c r="J20" s="40"/>
      <c r="K20" s="26"/>
      <c r="L20" s="26"/>
      <c r="M20" s="41"/>
      <c r="N20" s="41"/>
      <c r="O20" s="42"/>
      <c r="P20" s="7">
        <f t="shared" si="1"/>
        <v>0</v>
      </c>
      <c r="Q20" s="34"/>
      <c r="R20" s="28"/>
      <c r="S20" s="29"/>
      <c r="T20" s="29"/>
      <c r="U20" s="2"/>
      <c r="V20" s="35"/>
      <c r="W20" s="37"/>
      <c r="AP20" s="38"/>
      <c r="AU20" s="12"/>
    </row>
    <row r="21">
      <c r="A21" s="13"/>
      <c r="B21" s="44"/>
      <c r="C21" s="15"/>
      <c r="D21" s="15"/>
      <c r="E21" s="8"/>
      <c r="F21" s="33"/>
      <c r="G21" s="17"/>
      <c r="I21" s="27"/>
      <c r="J21" s="40"/>
      <c r="K21" s="26"/>
      <c r="L21" s="26"/>
      <c r="M21" s="41"/>
      <c r="N21" s="41"/>
      <c r="O21" s="42"/>
      <c r="P21" s="7">
        <f t="shared" si="1"/>
        <v>0</v>
      </c>
      <c r="Q21" s="34"/>
      <c r="R21" s="28"/>
      <c r="S21" s="29"/>
      <c r="T21" s="29"/>
      <c r="U21" s="2"/>
      <c r="V21" s="35"/>
      <c r="W21" s="37"/>
      <c r="AP21" s="38"/>
      <c r="AU21" s="12"/>
    </row>
    <row r="22">
      <c r="A22" s="13"/>
      <c r="B22" s="44"/>
      <c r="C22" s="15"/>
      <c r="D22" s="15"/>
      <c r="E22" s="8"/>
      <c r="F22" s="33"/>
      <c r="G22" s="17"/>
      <c r="I22" s="27"/>
      <c r="J22" s="40"/>
      <c r="K22" s="26"/>
      <c r="L22" s="26"/>
      <c r="M22" s="41"/>
      <c r="N22" s="41"/>
      <c r="O22" s="42"/>
      <c r="P22" s="7">
        <f t="shared" si="1"/>
        <v>0</v>
      </c>
      <c r="Q22" s="34"/>
      <c r="R22" s="28"/>
      <c r="S22" s="36"/>
      <c r="T22" s="29"/>
      <c r="U22" s="2"/>
      <c r="V22" s="35"/>
      <c r="W22" s="37"/>
      <c r="AP22" s="38"/>
      <c r="AU22" s="12"/>
    </row>
    <row r="23">
      <c r="A23" s="13"/>
      <c r="B23" s="8"/>
      <c r="C23" s="15"/>
      <c r="D23" s="15"/>
      <c r="E23" s="8"/>
      <c r="F23" s="33"/>
      <c r="G23" s="17"/>
      <c r="I23" s="34"/>
      <c r="J23" s="28"/>
      <c r="K23" s="29"/>
      <c r="L23" s="29"/>
      <c r="M23" s="2"/>
      <c r="N23" s="33"/>
      <c r="O23" s="17"/>
      <c r="P23" s="7">
        <f t="shared" si="1"/>
        <v>0</v>
      </c>
      <c r="Q23" s="34"/>
      <c r="R23" s="28"/>
      <c r="S23" s="36"/>
      <c r="T23" s="29"/>
      <c r="U23" s="2"/>
      <c r="V23" s="35"/>
      <c r="W23" s="37"/>
      <c r="AP23" s="38"/>
      <c r="AU23" s="12"/>
    </row>
    <row r="24">
      <c r="A24" s="13"/>
      <c r="B24" s="8"/>
      <c r="C24" s="15"/>
      <c r="D24" s="15"/>
      <c r="E24" s="8"/>
      <c r="F24" s="33"/>
      <c r="G24" s="17"/>
      <c r="I24" s="34"/>
      <c r="J24" s="28"/>
      <c r="K24" s="36"/>
      <c r="L24" s="29"/>
      <c r="M24" s="2"/>
      <c r="N24" s="35"/>
      <c r="O24" s="32"/>
      <c r="P24" s="7">
        <f t="shared" si="1"/>
        <v>0</v>
      </c>
      <c r="Q24" s="34"/>
      <c r="R24" s="28"/>
      <c r="S24" s="36"/>
      <c r="T24" s="29"/>
      <c r="U24" s="2"/>
      <c r="V24" s="2"/>
      <c r="W24" s="37"/>
      <c r="AP24" s="38"/>
      <c r="AU24" s="12"/>
    </row>
    <row r="25">
      <c r="A25" s="13"/>
      <c r="B25" s="8"/>
      <c r="C25" s="15"/>
      <c r="D25" s="15"/>
      <c r="E25" s="8"/>
      <c r="F25" s="33"/>
      <c r="G25" s="17"/>
      <c r="I25" s="34"/>
      <c r="J25" s="28"/>
      <c r="K25" s="36"/>
      <c r="L25" s="29"/>
      <c r="M25" s="2"/>
      <c r="N25" s="35"/>
      <c r="O25" s="32"/>
      <c r="P25" s="7">
        <f t="shared" si="1"/>
        <v>0</v>
      </c>
      <c r="Q25" s="34"/>
      <c r="R25" s="28"/>
      <c r="S25" s="29"/>
      <c r="T25" s="29"/>
      <c r="U25" s="2"/>
      <c r="V25" s="35"/>
      <c r="W25" s="37"/>
      <c r="AP25" s="38"/>
      <c r="AU25" s="12"/>
    </row>
    <row r="26">
      <c r="A26" s="13"/>
      <c r="B26" s="8"/>
      <c r="C26" s="15"/>
      <c r="D26" s="15"/>
      <c r="E26" s="8"/>
      <c r="F26" s="33"/>
      <c r="G26" s="17"/>
      <c r="I26" s="34"/>
      <c r="J26" s="28"/>
      <c r="K26" s="36"/>
      <c r="L26" s="29"/>
      <c r="M26" s="2"/>
      <c r="N26" s="35"/>
      <c r="O26" s="32"/>
      <c r="P26" s="7">
        <f t="shared" si="1"/>
        <v>0</v>
      </c>
      <c r="Q26" s="34"/>
      <c r="R26" s="28"/>
      <c r="S26" s="29"/>
      <c r="T26" s="29"/>
      <c r="U26" s="2"/>
      <c r="V26" s="2"/>
      <c r="W26" s="37"/>
      <c r="AP26" s="38"/>
      <c r="AU26" s="12"/>
    </row>
    <row r="27">
      <c r="A27" s="13"/>
      <c r="B27" s="8"/>
      <c r="C27" s="15"/>
      <c r="D27" s="15"/>
      <c r="E27" s="8"/>
      <c r="F27" s="33"/>
      <c r="G27" s="17"/>
      <c r="I27" s="34"/>
      <c r="J27" s="28"/>
      <c r="K27" s="36"/>
      <c r="L27" s="29"/>
      <c r="M27" s="2"/>
      <c r="N27" s="35"/>
      <c r="O27" s="32"/>
      <c r="P27" s="7">
        <f t="shared" si="1"/>
        <v>0</v>
      </c>
      <c r="Q27" s="34"/>
      <c r="R27" s="28"/>
      <c r="S27" s="29"/>
      <c r="T27" s="29"/>
      <c r="U27" s="2"/>
      <c r="V27" s="35"/>
      <c r="W27" s="37"/>
      <c r="AP27" s="38"/>
      <c r="AU27" s="12"/>
    </row>
    <row r="28">
      <c r="A28" s="13"/>
      <c r="B28" s="8"/>
      <c r="C28" s="15"/>
      <c r="D28" s="15"/>
      <c r="E28" s="8"/>
      <c r="F28" s="33"/>
      <c r="G28" s="17"/>
      <c r="I28" s="34"/>
      <c r="J28" s="28"/>
      <c r="K28" s="29"/>
      <c r="L28" s="29"/>
      <c r="M28" s="2"/>
      <c r="N28" s="35"/>
      <c r="O28" s="32"/>
      <c r="P28" s="7">
        <f t="shared" si="1"/>
        <v>0</v>
      </c>
      <c r="Q28" s="34"/>
      <c r="R28" s="28"/>
      <c r="S28" s="29"/>
      <c r="T28" s="29"/>
      <c r="U28" s="2"/>
      <c r="V28" s="2"/>
      <c r="W28" s="37"/>
      <c r="AP28" s="38"/>
      <c r="AU28" s="12"/>
    </row>
    <row r="29">
      <c r="A29" s="13"/>
      <c r="B29" s="8"/>
      <c r="C29" s="15"/>
      <c r="D29" s="15"/>
      <c r="E29" s="8"/>
      <c r="F29" s="33"/>
      <c r="G29" s="17"/>
      <c r="I29" s="34"/>
      <c r="J29" s="28"/>
      <c r="K29" s="29"/>
      <c r="L29" s="29"/>
      <c r="M29" s="2"/>
      <c r="N29" s="35"/>
      <c r="O29" s="32"/>
      <c r="P29" s="7">
        <f t="shared" si="1"/>
        <v>0</v>
      </c>
      <c r="Q29" s="34"/>
      <c r="R29" s="28"/>
      <c r="S29" s="29"/>
      <c r="T29" s="29"/>
      <c r="U29" s="2"/>
      <c r="V29" s="35"/>
      <c r="W29" s="37"/>
      <c r="AP29" s="38"/>
      <c r="AU29" s="12"/>
    </row>
    <row r="30">
      <c r="A30" s="45"/>
      <c r="B30" s="44"/>
      <c r="C30" s="10"/>
      <c r="D30" s="10"/>
      <c r="E30" s="8"/>
      <c r="F30" s="33"/>
      <c r="G30" s="46"/>
      <c r="I30" s="34"/>
      <c r="J30" s="28"/>
      <c r="K30" s="36"/>
      <c r="L30" s="29"/>
      <c r="M30" s="2"/>
      <c r="N30" s="35"/>
      <c r="O30" s="32"/>
      <c r="P30" s="7">
        <f t="shared" si="1"/>
        <v>0</v>
      </c>
      <c r="Q30" s="34"/>
      <c r="R30" s="28"/>
      <c r="S30" s="29"/>
      <c r="T30" s="29"/>
      <c r="U30" s="2"/>
      <c r="V30" s="2"/>
      <c r="W30" s="37"/>
      <c r="AP30" s="38"/>
      <c r="AU30" s="12"/>
    </row>
    <row r="31">
      <c r="A31" s="45"/>
      <c r="B31" s="44"/>
      <c r="C31" s="10"/>
      <c r="D31" s="10"/>
      <c r="E31" s="8"/>
      <c r="F31" s="33"/>
      <c r="G31" s="46"/>
      <c r="I31" s="34"/>
      <c r="J31" s="28"/>
      <c r="K31" s="36"/>
      <c r="L31" s="29"/>
      <c r="M31" s="2"/>
      <c r="N31" s="35"/>
      <c r="O31" s="32"/>
      <c r="P31" s="7">
        <f t="shared" si="1"/>
        <v>0</v>
      </c>
      <c r="Q31" s="34"/>
      <c r="R31" s="28"/>
      <c r="S31" s="29"/>
      <c r="T31" s="29"/>
      <c r="U31" s="2"/>
      <c r="V31" s="35"/>
      <c r="W31" s="37"/>
      <c r="AP31" s="38"/>
      <c r="AU31" s="12"/>
    </row>
    <row r="32">
      <c r="A32" s="45"/>
      <c r="B32" s="44"/>
      <c r="C32" s="10"/>
      <c r="D32" s="10"/>
      <c r="E32" s="8"/>
      <c r="F32" s="33"/>
      <c r="G32" s="46"/>
      <c r="I32" s="34"/>
      <c r="J32" s="28"/>
      <c r="K32" s="36"/>
      <c r="L32" s="29"/>
      <c r="M32" s="2"/>
      <c r="N32" s="35"/>
      <c r="O32" s="32"/>
      <c r="P32" s="7">
        <f t="shared" si="1"/>
        <v>0</v>
      </c>
      <c r="Q32" s="34"/>
      <c r="R32" s="28"/>
      <c r="S32" s="29"/>
      <c r="T32" s="29"/>
      <c r="U32" s="2"/>
      <c r="V32" s="2"/>
      <c r="W32" s="37"/>
      <c r="AP32" s="38"/>
      <c r="AU32" s="12"/>
    </row>
    <row r="33">
      <c r="A33" s="45"/>
      <c r="B33" s="44"/>
      <c r="C33" s="10"/>
      <c r="D33" s="10"/>
      <c r="E33" s="8"/>
      <c r="F33" s="33"/>
      <c r="G33" s="46"/>
      <c r="I33" s="34"/>
      <c r="J33" s="28"/>
      <c r="K33" s="36"/>
      <c r="L33" s="29"/>
      <c r="M33" s="2"/>
      <c r="N33" s="35"/>
      <c r="O33" s="32"/>
      <c r="P33" s="7">
        <f t="shared" si="1"/>
        <v>0</v>
      </c>
      <c r="Q33" s="34"/>
      <c r="R33" s="28"/>
      <c r="S33" s="36"/>
      <c r="T33" s="29"/>
      <c r="U33" s="2"/>
      <c r="V33" s="35"/>
      <c r="W33" s="37"/>
      <c r="AP33" s="38"/>
      <c r="AU33" s="12"/>
    </row>
    <row r="34">
      <c r="A34" s="45"/>
      <c r="B34" s="44"/>
      <c r="C34" s="10"/>
      <c r="D34" s="10"/>
      <c r="E34" s="8"/>
      <c r="F34" s="33"/>
      <c r="G34" s="46"/>
      <c r="I34" s="34"/>
      <c r="J34" s="28"/>
      <c r="K34" s="36"/>
      <c r="L34" s="29"/>
      <c r="M34" s="2"/>
      <c r="N34" s="35"/>
      <c r="O34" s="32"/>
      <c r="P34" s="7">
        <f t="shared" si="1"/>
        <v>0</v>
      </c>
      <c r="Q34" s="34"/>
      <c r="R34" s="28"/>
      <c r="S34" s="36"/>
      <c r="T34" s="29"/>
      <c r="U34" s="2"/>
      <c r="V34" s="2"/>
      <c r="W34" s="37"/>
      <c r="AP34" s="38"/>
      <c r="AU34" s="12"/>
    </row>
    <row r="35">
      <c r="A35" s="45"/>
      <c r="B35" s="44"/>
      <c r="C35" s="10"/>
      <c r="D35" s="10"/>
      <c r="E35" s="8"/>
      <c r="F35" s="33"/>
      <c r="G35" s="46"/>
      <c r="I35" s="34"/>
      <c r="J35" s="28"/>
      <c r="K35" s="36"/>
      <c r="L35" s="29"/>
      <c r="M35" s="2"/>
      <c r="N35" s="35"/>
      <c r="O35" s="32"/>
      <c r="P35" s="7">
        <f t="shared" si="1"/>
        <v>0</v>
      </c>
      <c r="Q35" s="34"/>
      <c r="R35" s="28"/>
      <c r="S35" s="29"/>
      <c r="T35" s="29"/>
      <c r="U35" s="2"/>
      <c r="V35" s="35"/>
      <c r="W35" s="37"/>
      <c r="AP35" s="38"/>
      <c r="AU35" s="12"/>
    </row>
    <row r="36">
      <c r="A36" s="45"/>
      <c r="B36" s="44"/>
      <c r="C36" s="10"/>
      <c r="D36" s="10"/>
      <c r="E36" s="8"/>
      <c r="F36" s="33"/>
      <c r="G36" s="46"/>
      <c r="I36" s="34"/>
      <c r="J36" s="28"/>
      <c r="K36" s="36"/>
      <c r="L36" s="29"/>
      <c r="M36" s="2"/>
      <c r="N36" s="35"/>
      <c r="O36" s="32"/>
      <c r="P36" s="7">
        <f t="shared" si="1"/>
        <v>0</v>
      </c>
      <c r="Q36" s="34"/>
      <c r="R36" s="28"/>
      <c r="S36" s="29"/>
      <c r="T36" s="29"/>
      <c r="U36" s="2"/>
      <c r="V36" s="35"/>
      <c r="W36" s="37"/>
      <c r="AP36" s="38"/>
      <c r="AU36" s="12"/>
    </row>
    <row r="37">
      <c r="A37" s="45"/>
      <c r="B37" s="44"/>
      <c r="C37" s="10"/>
      <c r="D37" s="10"/>
      <c r="E37" s="8"/>
      <c r="F37" s="33"/>
      <c r="G37" s="46"/>
      <c r="I37" s="34"/>
      <c r="J37" s="28"/>
      <c r="K37" s="36"/>
      <c r="L37" s="29"/>
      <c r="M37" s="2"/>
      <c r="N37" s="35"/>
      <c r="O37" s="32"/>
      <c r="P37" s="7">
        <f t="shared" si="1"/>
        <v>0</v>
      </c>
      <c r="Q37" s="34"/>
      <c r="R37" s="28"/>
      <c r="S37" s="36"/>
      <c r="T37" s="29"/>
      <c r="U37" s="2"/>
      <c r="V37" s="35"/>
      <c r="W37" s="37"/>
      <c r="AP37" s="38"/>
      <c r="AU37" s="12"/>
    </row>
    <row r="38">
      <c r="A38" s="45"/>
      <c r="B38" s="44"/>
      <c r="C38" s="10"/>
      <c r="D38" s="10"/>
      <c r="E38" s="8"/>
      <c r="F38" s="33"/>
      <c r="G38" s="46"/>
      <c r="I38" s="34"/>
      <c r="J38" s="28"/>
      <c r="K38" s="36"/>
      <c r="L38" s="29"/>
      <c r="M38" s="2"/>
      <c r="N38" s="35"/>
      <c r="O38" s="32"/>
      <c r="P38" s="7">
        <f t="shared" si="1"/>
        <v>0</v>
      </c>
      <c r="Q38" s="34"/>
      <c r="R38" s="28"/>
      <c r="S38" s="29"/>
      <c r="T38" s="29"/>
      <c r="U38" s="2"/>
      <c r="V38" s="35"/>
      <c r="W38" s="37"/>
      <c r="AP38" s="38"/>
      <c r="AU38" s="12"/>
    </row>
    <row r="39">
      <c r="A39" s="45"/>
      <c r="B39" s="8"/>
      <c r="C39" s="10"/>
      <c r="D39" s="10"/>
      <c r="E39" s="8"/>
      <c r="F39" s="33"/>
      <c r="G39" s="46"/>
      <c r="J39" s="38"/>
      <c r="O39" s="12"/>
      <c r="P39" s="7">
        <f t="shared" si="1"/>
        <v>0</v>
      </c>
      <c r="Q39" s="34"/>
      <c r="R39" s="28"/>
      <c r="S39" s="29"/>
      <c r="T39" s="29"/>
      <c r="U39" s="2"/>
      <c r="V39" s="35"/>
      <c r="W39" s="37"/>
      <c r="AP39" s="38"/>
      <c r="AU39" s="12"/>
    </row>
    <row r="40">
      <c r="A40" s="45"/>
      <c r="B40" s="8"/>
      <c r="C40" s="10"/>
      <c r="D40" s="10"/>
      <c r="E40" s="8"/>
      <c r="F40" s="33"/>
      <c r="G40" s="46"/>
      <c r="J40" s="38"/>
      <c r="O40" s="12"/>
      <c r="P40" s="7">
        <f t="shared" si="1"/>
        <v>0</v>
      </c>
      <c r="Q40" s="34"/>
      <c r="R40" s="28"/>
      <c r="S40" s="29"/>
      <c r="T40" s="29"/>
      <c r="U40" s="2"/>
      <c r="V40" s="35"/>
      <c r="W40" s="37"/>
      <c r="AP40" s="38"/>
      <c r="AU40" s="12"/>
    </row>
    <row r="41">
      <c r="A41" s="45"/>
      <c r="B41" s="8"/>
      <c r="C41" s="10"/>
      <c r="D41" s="10"/>
      <c r="E41" s="8"/>
      <c r="F41" s="33"/>
      <c r="G41" s="46"/>
      <c r="J41" s="38"/>
      <c r="O41" s="12"/>
      <c r="P41" s="7">
        <f t="shared" si="1"/>
        <v>0</v>
      </c>
      <c r="Q41" s="34"/>
      <c r="R41" s="28"/>
      <c r="S41" s="36"/>
      <c r="T41" s="29"/>
      <c r="U41" s="2"/>
      <c r="V41" s="35"/>
      <c r="W41" s="37"/>
      <c r="AP41" s="38"/>
      <c r="AU41" s="12"/>
    </row>
    <row r="42">
      <c r="A42" s="45"/>
      <c r="B42" s="8"/>
      <c r="C42" s="10"/>
      <c r="D42" s="10"/>
      <c r="E42" s="8"/>
      <c r="F42" s="33"/>
      <c r="G42" s="46"/>
      <c r="J42" s="38"/>
      <c r="O42" s="12"/>
      <c r="P42" s="7">
        <f t="shared" si="1"/>
        <v>0</v>
      </c>
      <c r="Q42" s="34"/>
      <c r="R42" s="28"/>
      <c r="S42" s="29"/>
      <c r="T42" s="29"/>
      <c r="U42" s="2"/>
      <c r="V42" s="35"/>
      <c r="W42" s="37"/>
      <c r="AP42" s="38"/>
      <c r="AU42" s="12"/>
    </row>
    <row r="43">
      <c r="A43" s="45"/>
      <c r="B43" s="8"/>
      <c r="C43" s="10"/>
      <c r="D43" s="10"/>
      <c r="E43" s="8"/>
      <c r="F43" s="33"/>
      <c r="G43" s="46"/>
      <c r="J43" s="38"/>
      <c r="O43" s="12"/>
      <c r="P43" s="7">
        <f t="shared" si="1"/>
        <v>0</v>
      </c>
      <c r="Q43" s="25"/>
      <c r="R43" s="47"/>
      <c r="S43" s="48"/>
      <c r="T43" s="48"/>
      <c r="U43" s="49"/>
      <c r="V43" s="50"/>
      <c r="W43" s="51"/>
      <c r="AP43" s="38"/>
      <c r="AU43" s="12"/>
    </row>
    <row r="44">
      <c r="A44" s="45"/>
      <c r="B44" s="8"/>
      <c r="C44" s="10"/>
      <c r="D44" s="10"/>
      <c r="E44" s="8"/>
      <c r="F44" s="33"/>
      <c r="G44" s="46"/>
      <c r="J44" s="38"/>
      <c r="O44" s="12"/>
      <c r="P44" s="7">
        <f t="shared" si="1"/>
        <v>0</v>
      </c>
      <c r="Q44" s="34"/>
      <c r="R44" s="28"/>
      <c r="S44" s="29"/>
      <c r="T44" s="29"/>
      <c r="U44" s="2"/>
      <c r="V44" s="2"/>
      <c r="W44" s="37"/>
      <c r="AP44" s="38"/>
      <c r="AU44" s="12"/>
    </row>
    <row r="45">
      <c r="A45" s="45"/>
      <c r="B45" s="8"/>
      <c r="C45" s="10"/>
      <c r="D45" s="10"/>
      <c r="E45" s="8"/>
      <c r="F45" s="33"/>
      <c r="G45" s="46"/>
      <c r="J45" s="38"/>
      <c r="O45" s="12"/>
      <c r="P45" s="7">
        <f t="shared" si="1"/>
        <v>0</v>
      </c>
      <c r="AP45" s="38"/>
      <c r="AU45" s="12"/>
    </row>
    <row r="46">
      <c r="A46" s="45"/>
      <c r="B46" s="8"/>
      <c r="C46" s="10"/>
      <c r="D46" s="10"/>
      <c r="E46" s="8"/>
      <c r="F46" s="33"/>
      <c r="G46" s="46"/>
      <c r="J46" s="38"/>
      <c r="O46" s="12"/>
      <c r="P46" s="7">
        <f t="shared" si="1"/>
        <v>0</v>
      </c>
      <c r="AP46" s="38"/>
      <c r="AU46" s="12"/>
    </row>
    <row r="47">
      <c r="A47" s="45"/>
      <c r="B47" s="8"/>
      <c r="C47" s="10"/>
      <c r="D47" s="10"/>
      <c r="E47" s="8"/>
      <c r="F47" s="33"/>
      <c r="G47" s="46"/>
      <c r="J47" s="38"/>
      <c r="O47" s="12"/>
      <c r="P47" s="7">
        <f t="shared" si="1"/>
        <v>0</v>
      </c>
      <c r="AP47" s="38"/>
      <c r="AU47" s="12"/>
    </row>
    <row r="48">
      <c r="A48" s="45"/>
      <c r="B48" s="8"/>
      <c r="C48" s="10"/>
      <c r="D48" s="10"/>
      <c r="E48" s="8"/>
      <c r="F48" s="33"/>
      <c r="G48" s="46"/>
      <c r="J48" s="38"/>
      <c r="O48" s="12"/>
      <c r="P48" s="7">
        <f t="shared" si="1"/>
        <v>0</v>
      </c>
      <c r="AP48" s="38"/>
      <c r="AU48" s="12"/>
    </row>
    <row r="49">
      <c r="A49" s="45"/>
      <c r="B49" s="8"/>
      <c r="C49" s="10"/>
      <c r="D49" s="10"/>
      <c r="E49" s="8"/>
      <c r="F49" s="33"/>
      <c r="G49" s="46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16</v>
      </c>
      <c r="I1" s="54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500ml Orange Juice (1x)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20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>500ml Pineapple Juice (1x)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  <c r="M1" s="55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500ml Orange Juice (1x)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21</v>
      </c>
      <c r="M1" s="55" t="s">
        <v>13</v>
      </c>
    </row>
    <row r="2">
      <c r="H2" s="53" t="s">
        <v>19</v>
      </c>
      <c r="I2" s="54">
        <f t="array" ref="I2">(COUNTA(UNIQUE(C:C))-1)</f>
        <v>0</v>
      </c>
      <c r="K2" s="55" t="str">
        <f>'Internal Summary'!B40</f>
        <v>500ml Orange Juice (1x)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</row>
    <row r="2">
      <c r="H2" s="53" t="s">
        <v>19</v>
      </c>
      <c r="I2" s="54">
        <f t="array" ref="I2">(COUNTA(UNIQUE(C:C,,0))-1)</f>
        <v>0</v>
      </c>
      <c r="K2" s="55" t="str">
        <f>'Internal Summary'!B40</f>
        <v>500ml Orange Juice (1x)</v>
      </c>
      <c r="L2" s="54">
        <f t="shared" ref="L2:L13" si="1">sumif(D:D,K2,E:E)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16</v>
      </c>
      <c r="I1" s="54">
        <f>countifs(B:B,"&lt;&gt;",F:F,"&lt;&gt;")-1</f>
        <v>0</v>
      </c>
      <c r="K1" s="55" t="s">
        <v>17</v>
      </c>
      <c r="L1" s="55" t="s">
        <v>18</v>
      </c>
    </row>
    <row r="2">
      <c r="H2" s="53" t="s">
        <v>19</v>
      </c>
      <c r="I2" s="54">
        <f t="array" ref="I2">(COUNTA(UNIQUE(C:C,,0))-1)</f>
        <v>0</v>
      </c>
      <c r="K2" s="55" t="str">
        <f>'Internal Summary'!B40</f>
        <v>500ml Orange Juice (1x)</v>
      </c>
      <c r="L2" s="54">
        <f t="shared" ref="L2:L13" si="1">sumif(D:D,K2,E:E)</f>
        <v>0</v>
      </c>
    </row>
    <row r="3">
      <c r="H3" s="53" t="s">
        <v>20</v>
      </c>
      <c r="I3" s="54">
        <f>sum(F:F)</f>
        <v>0</v>
      </c>
      <c r="K3" s="55" t="str">
        <f>'Internal Summary'!B41</f>
        <v>500ml Mixed Juice (1x)</v>
      </c>
      <c r="L3" s="54">
        <f t="shared" si="1"/>
        <v>0</v>
      </c>
    </row>
    <row r="4">
      <c r="H4" s="1"/>
      <c r="K4" s="55" t="str">
        <f>'Internal Summary'!B42</f>
        <v>500ml Pineapple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22</v>
      </c>
      <c r="C1" s="53" t="s">
        <v>18</v>
      </c>
      <c r="D1" s="53" t="s">
        <v>23</v>
      </c>
      <c r="E1" s="53" t="s">
        <v>24</v>
      </c>
      <c r="F1" s="60"/>
    </row>
    <row r="2">
      <c r="A2" s="61" t="s">
        <v>25</v>
      </c>
      <c r="B2" s="62" t="s">
        <v>16</v>
      </c>
      <c r="C2" s="63"/>
      <c r="D2" s="63"/>
      <c r="E2" s="64">
        <f>'Dala Sales &amp; Deliveries'!I1+'External Delivery Fulfillment'!I1</f>
        <v>0</v>
      </c>
      <c r="F2" s="60"/>
    </row>
    <row r="3">
      <c r="A3" s="65"/>
      <c r="B3" s="62" t="s">
        <v>26</v>
      </c>
      <c r="C3" s="63"/>
      <c r="D3" s="63"/>
      <c r="E3" s="62">
        <f>'Raw Data'!AW2</f>
        <v>-1</v>
      </c>
      <c r="F3" s="60"/>
    </row>
    <row r="4">
      <c r="B4" s="66" t="s">
        <v>27</v>
      </c>
      <c r="C4" s="60"/>
      <c r="D4" s="60"/>
      <c r="E4" s="67">
        <f>'Dala Sales &amp; Deliveries'!I3</f>
        <v>0</v>
      </c>
      <c r="F4" s="60"/>
    </row>
    <row r="5">
      <c r="B5" s="66" t="s">
        <v>28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29</v>
      </c>
      <c r="C6" s="70"/>
      <c r="D6" s="71"/>
      <c r="E6" s="72">
        <v>0.0</v>
      </c>
      <c r="F6" s="60"/>
    </row>
    <row r="7">
      <c r="A7" s="73"/>
      <c r="B7" s="74" t="s">
        <v>30</v>
      </c>
      <c r="C7" s="75"/>
      <c r="D7" s="76"/>
      <c r="E7" s="77">
        <f>sum(E4:E6)</f>
        <v>0</v>
      </c>
      <c r="F7" s="60"/>
    </row>
    <row r="8">
      <c r="A8" s="61" t="s">
        <v>31</v>
      </c>
      <c r="B8" s="62" t="s">
        <v>32</v>
      </c>
      <c r="C8" s="63"/>
      <c r="D8" s="78"/>
      <c r="E8" s="79"/>
    </row>
    <row r="9">
      <c r="A9" s="73"/>
      <c r="B9" s="74" t="s">
        <v>33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34</v>
      </c>
      <c r="B10" s="82" t="s">
        <v>35</v>
      </c>
      <c r="C10" s="83"/>
      <c r="D10" s="84"/>
      <c r="E10" s="85">
        <f>E7-E8-E9</f>
        <v>0</v>
      </c>
    </row>
    <row r="11">
      <c r="A11" s="86" t="s">
        <v>36</v>
      </c>
      <c r="B11" s="87" t="s">
        <v>37</v>
      </c>
      <c r="C11" s="88">
        <v>0.0</v>
      </c>
      <c r="D11" s="89">
        <v>0.0</v>
      </c>
      <c r="E11" s="89">
        <f>C11*D11</f>
        <v>0</v>
      </c>
    </row>
    <row r="12">
      <c r="A12" s="90"/>
      <c r="B12" s="87" t="s">
        <v>33</v>
      </c>
      <c r="C12" s="91"/>
      <c r="D12" s="92"/>
      <c r="E12" s="89">
        <f>E5*C9</f>
        <v>0</v>
      </c>
    </row>
    <row r="13">
      <c r="A13" s="90"/>
      <c r="B13" s="93" t="s">
        <v>38</v>
      </c>
      <c r="C13" s="92"/>
      <c r="D13" s="94"/>
      <c r="E13" s="89">
        <f>C28</f>
        <v>0</v>
      </c>
    </row>
    <row r="14">
      <c r="A14" s="90"/>
      <c r="B14" s="93" t="s">
        <v>39</v>
      </c>
      <c r="C14" s="95"/>
      <c r="D14" s="96" t="s">
        <v>40</v>
      </c>
      <c r="E14" s="89">
        <f>C29+C22</f>
        <v>0</v>
      </c>
    </row>
    <row r="15">
      <c r="A15" s="90"/>
      <c r="B15" s="87" t="s">
        <v>41</v>
      </c>
      <c r="C15" s="92"/>
      <c r="D15" s="92"/>
      <c r="E15" s="97">
        <v>0.0</v>
      </c>
    </row>
    <row r="16">
      <c r="A16" s="90"/>
      <c r="B16" s="87" t="s">
        <v>42</v>
      </c>
      <c r="C16" s="92"/>
      <c r="D16" s="92"/>
      <c r="E16" s="89">
        <f>C31</f>
        <v>0</v>
      </c>
      <c r="H16" s="1"/>
      <c r="I16" s="1"/>
    </row>
    <row r="17">
      <c r="A17" s="98"/>
      <c r="B17" s="82" t="s">
        <v>43</v>
      </c>
      <c r="C17" s="84"/>
      <c r="D17" s="84"/>
      <c r="E17" s="85">
        <f>sum(E11:E16)</f>
        <v>0</v>
      </c>
      <c r="H17" s="1"/>
      <c r="I17" s="72"/>
      <c r="J17" s="99"/>
      <c r="K17" s="99"/>
      <c r="L17" s="99"/>
      <c r="M17" s="99"/>
      <c r="N17" s="99"/>
    </row>
    <row r="18">
      <c r="A18" s="100" t="s">
        <v>44</v>
      </c>
      <c r="B18" s="101" t="s">
        <v>45</v>
      </c>
      <c r="C18" s="84"/>
      <c r="D18" s="84"/>
      <c r="E18" s="85">
        <f>E10-E17</f>
        <v>0</v>
      </c>
      <c r="H18" s="1"/>
      <c r="I18" s="1"/>
      <c r="J18" s="99"/>
      <c r="K18" s="99"/>
      <c r="L18" s="99"/>
      <c r="M18" s="99"/>
      <c r="N18" s="99"/>
    </row>
    <row r="19">
      <c r="A19" s="102"/>
      <c r="B19" s="103"/>
      <c r="C19" s="103"/>
      <c r="D19" s="103"/>
      <c r="E19" s="103"/>
      <c r="H19" s="1"/>
      <c r="I19" s="1"/>
      <c r="J19" s="99"/>
      <c r="K19" s="99"/>
      <c r="L19" s="99"/>
      <c r="M19" s="99"/>
      <c r="N19" s="99"/>
    </row>
    <row r="20">
      <c r="A20" s="104" t="s">
        <v>46</v>
      </c>
      <c r="B20" s="103"/>
      <c r="C20" s="103"/>
      <c r="D20" s="103"/>
      <c r="E20" s="103"/>
      <c r="H20" s="1"/>
      <c r="I20" s="1"/>
      <c r="J20" s="99"/>
      <c r="K20" s="99"/>
      <c r="L20" s="99"/>
      <c r="M20" s="99"/>
      <c r="N20" s="99"/>
    </row>
    <row r="21">
      <c r="A21" s="103"/>
      <c r="B21" s="105" t="s">
        <v>47</v>
      </c>
      <c r="C21" s="106">
        <f>U69</f>
        <v>0</v>
      </c>
      <c r="D21" s="103"/>
      <c r="E21" s="103"/>
      <c r="H21" s="1"/>
      <c r="I21" s="1"/>
      <c r="J21" s="107"/>
      <c r="K21" s="107"/>
      <c r="L21" s="108"/>
      <c r="M21" s="99"/>
      <c r="N21" s="99"/>
    </row>
    <row r="22">
      <c r="A22" s="103"/>
      <c r="B22" s="105" t="s">
        <v>48</v>
      </c>
      <c r="C22" s="106">
        <f>'Dala Restocking'!I3*3%</f>
        <v>0</v>
      </c>
      <c r="D22" s="103"/>
      <c r="E22" s="103"/>
      <c r="H22" s="1"/>
      <c r="I22" s="1"/>
      <c r="J22" s="107"/>
      <c r="K22" s="107"/>
      <c r="L22" s="108"/>
      <c r="M22" s="99"/>
      <c r="N22" s="99"/>
    </row>
    <row r="23">
      <c r="A23" s="103"/>
      <c r="B23" s="105" t="s">
        <v>49</v>
      </c>
      <c r="C23" s="106">
        <f>S69</f>
        <v>0</v>
      </c>
      <c r="D23" s="103"/>
      <c r="E23" s="103"/>
      <c r="H23" s="1"/>
      <c r="I23" s="1"/>
      <c r="J23" s="107"/>
      <c r="K23" s="107"/>
      <c r="L23" s="108"/>
      <c r="M23" s="99"/>
      <c r="N23" s="99"/>
    </row>
    <row r="24">
      <c r="A24" s="103"/>
      <c r="B24" s="105" t="s">
        <v>50</v>
      </c>
      <c r="C24" s="106">
        <f>T69</f>
        <v>0</v>
      </c>
      <c r="D24" s="103"/>
      <c r="E24" s="103"/>
      <c r="H24" s="1"/>
      <c r="I24" s="72"/>
      <c r="J24" s="107"/>
      <c r="K24" s="107"/>
      <c r="L24" s="108"/>
      <c r="M24" s="99"/>
      <c r="N24" s="99"/>
    </row>
    <row r="25">
      <c r="A25" s="103"/>
      <c r="B25" s="105" t="s">
        <v>51</v>
      </c>
      <c r="C25" s="106">
        <v>0.0</v>
      </c>
      <c r="D25" s="103"/>
      <c r="E25" s="103"/>
      <c r="H25" s="1"/>
      <c r="I25" s="1"/>
    </row>
    <row r="26">
      <c r="A26" s="103"/>
      <c r="B26" s="105" t="s">
        <v>52</v>
      </c>
      <c r="C26" s="109">
        <f>7%*E4</f>
        <v>0</v>
      </c>
      <c r="D26" s="103"/>
      <c r="E26" s="103"/>
      <c r="H26" s="1"/>
      <c r="I26" s="1"/>
    </row>
    <row r="27">
      <c r="A27" s="103"/>
      <c r="B27" s="105" t="s">
        <v>53</v>
      </c>
      <c r="C27" s="109">
        <f>Q69</f>
        <v>0</v>
      </c>
      <c r="D27" s="103"/>
      <c r="E27" s="103"/>
      <c r="H27" s="1"/>
      <c r="I27" s="1"/>
    </row>
    <row r="28">
      <c r="A28" s="103"/>
      <c r="B28" s="105" t="s">
        <v>54</v>
      </c>
      <c r="C28" s="109">
        <f>'External Delivery Fulfillment'!I3*7%</f>
        <v>0</v>
      </c>
      <c r="D28" s="103"/>
      <c r="E28" s="103"/>
      <c r="H28" s="1"/>
      <c r="I28" s="1"/>
    </row>
    <row r="29">
      <c r="A29" s="103"/>
      <c r="B29" s="105" t="s">
        <v>55</v>
      </c>
      <c r="C29" s="106">
        <f>F69</f>
        <v>0</v>
      </c>
      <c r="D29" s="103"/>
      <c r="E29" s="103"/>
      <c r="H29" s="1"/>
      <c r="I29" s="1"/>
    </row>
    <row r="30">
      <c r="A30" s="103"/>
      <c r="B30" s="105" t="s">
        <v>56</v>
      </c>
      <c r="C30" s="106">
        <v>0.0</v>
      </c>
      <c r="D30" s="103"/>
      <c r="E30" s="103"/>
      <c r="H30" s="1"/>
      <c r="I30" s="1"/>
    </row>
    <row r="31">
      <c r="A31" s="103"/>
      <c r="B31" s="105" t="s">
        <v>57</v>
      </c>
      <c r="C31" s="106">
        <f>I69</f>
        <v>0</v>
      </c>
      <c r="D31" s="103"/>
      <c r="E31" s="103"/>
      <c r="H31" s="1"/>
      <c r="I31" s="1"/>
    </row>
    <row r="32">
      <c r="A32" s="103"/>
      <c r="B32" s="105" t="s">
        <v>58</v>
      </c>
      <c r="C32" s="106">
        <v>0.0</v>
      </c>
      <c r="D32" s="103"/>
      <c r="E32" s="103"/>
      <c r="H32" s="1"/>
      <c r="I32" s="1"/>
    </row>
    <row r="33">
      <c r="A33" s="103"/>
      <c r="B33" s="105" t="s">
        <v>59</v>
      </c>
      <c r="C33" s="106">
        <f>L69</f>
        <v>362</v>
      </c>
      <c r="D33" s="103"/>
      <c r="E33" s="103"/>
    </row>
    <row r="34">
      <c r="A34" s="103"/>
      <c r="B34" s="105" t="s">
        <v>60</v>
      </c>
      <c r="C34" s="109">
        <f>K69</f>
        <v>0</v>
      </c>
      <c r="D34" s="103"/>
      <c r="E34" s="103"/>
    </row>
    <row r="35">
      <c r="A35" s="103"/>
      <c r="B35" s="105" t="s">
        <v>61</v>
      </c>
      <c r="C35" s="106">
        <v>0.0</v>
      </c>
      <c r="D35" s="103"/>
      <c r="E35" s="103"/>
    </row>
    <row r="36">
      <c r="A36" s="103"/>
      <c r="B36" s="105" t="s">
        <v>62</v>
      </c>
      <c r="C36" s="106">
        <v>0.0</v>
      </c>
      <c r="D36" s="103"/>
      <c r="E36" s="10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63</v>
      </c>
      <c r="C39" s="53" t="s">
        <v>64</v>
      </c>
      <c r="D39" s="53" t="s">
        <v>65</v>
      </c>
      <c r="E39" s="53" t="s">
        <v>66</v>
      </c>
      <c r="F39" s="55" t="s">
        <v>67</v>
      </c>
      <c r="G39" s="55" t="s">
        <v>68</v>
      </c>
      <c r="H39" s="55" t="s">
        <v>69</v>
      </c>
      <c r="I39" s="55" t="s">
        <v>70</v>
      </c>
      <c r="J39" s="55" t="s">
        <v>71</v>
      </c>
      <c r="K39" s="55" t="s">
        <v>72</v>
      </c>
      <c r="L39" s="55" t="s">
        <v>59</v>
      </c>
      <c r="M39" s="55" t="s">
        <v>61</v>
      </c>
      <c r="N39" s="55" t="s">
        <v>73</v>
      </c>
      <c r="O39" s="55" t="s">
        <v>74</v>
      </c>
      <c r="P39" s="55" t="s">
        <v>75</v>
      </c>
      <c r="Q39" s="55" t="s">
        <v>76</v>
      </c>
      <c r="R39" s="55" t="s">
        <v>77</v>
      </c>
      <c r="S39" s="55" t="s">
        <v>78</v>
      </c>
      <c r="T39" s="55" t="s">
        <v>50</v>
      </c>
      <c r="U39" s="55" t="s">
        <v>79</v>
      </c>
      <c r="V39" s="55" t="s">
        <v>80</v>
      </c>
      <c r="W39" s="55" t="s">
        <v>81</v>
      </c>
    </row>
    <row r="40">
      <c r="B40" s="110" t="s">
        <v>82</v>
      </c>
      <c r="C40" s="111"/>
      <c r="D40" s="110"/>
      <c r="E40" s="111"/>
      <c r="F40" s="110"/>
      <c r="G40" s="18">
        <f t="shared" ref="G40:G68" si="1">F40*C40</f>
        <v>0</v>
      </c>
      <c r="H40" s="110"/>
      <c r="I40" s="110"/>
      <c r="J40" s="110"/>
      <c r="K40" s="110"/>
      <c r="L40" s="55">
        <v>153.0</v>
      </c>
      <c r="M40" s="18">
        <f t="shared" ref="M40:M68" si="2">K40-L40</f>
        <v>-153</v>
      </c>
      <c r="N40" s="18">
        <f t="shared" ref="N40:N68" si="3">M40*C40</f>
        <v>0</v>
      </c>
      <c r="O40" s="54">
        <f>'Dala Sales &amp; Deliveries'!L2</f>
        <v>0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0</v>
      </c>
      <c r="V40" s="18">
        <f t="shared" ref="V40:V68" si="7">U40*D40</f>
        <v>0</v>
      </c>
      <c r="W40" s="54">
        <f>'Client Restocking'!L2</f>
        <v>0</v>
      </c>
    </row>
    <row r="41">
      <c r="B41" s="110" t="s">
        <v>83</v>
      </c>
      <c r="C41" s="111"/>
      <c r="D41" s="110"/>
      <c r="E41" s="111"/>
      <c r="F41" s="112"/>
      <c r="G41" s="18">
        <f t="shared" si="1"/>
        <v>0</v>
      </c>
      <c r="H41" s="110"/>
      <c r="I41" s="110"/>
      <c r="J41" s="112"/>
      <c r="K41" s="110"/>
      <c r="L41" s="55">
        <v>88.0</v>
      </c>
      <c r="M41" s="18">
        <f t="shared" si="2"/>
        <v>-88</v>
      </c>
      <c r="N41" s="18">
        <f t="shared" si="3"/>
        <v>0</v>
      </c>
      <c r="O41" s="54">
        <f>'Dala Sales &amp; Deliveries'!L3</f>
        <v>0</v>
      </c>
      <c r="P41" s="18">
        <f t="shared" si="4"/>
        <v>0</v>
      </c>
      <c r="Q41" s="54">
        <f>'External Delivery Fulfillment'!L3</f>
        <v>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0</v>
      </c>
      <c r="V41" s="18">
        <f t="shared" si="7"/>
        <v>0</v>
      </c>
      <c r="W41" s="54">
        <f>'Client Restocking'!L3</f>
        <v>0</v>
      </c>
    </row>
    <row r="42">
      <c r="B42" s="110" t="s">
        <v>84</v>
      </c>
      <c r="C42" s="111"/>
      <c r="D42" s="110"/>
      <c r="E42" s="111"/>
      <c r="F42" s="112"/>
      <c r="G42" s="18">
        <f t="shared" si="1"/>
        <v>0</v>
      </c>
      <c r="H42" s="110"/>
      <c r="I42" s="110"/>
      <c r="J42" s="112"/>
      <c r="K42" s="110"/>
      <c r="L42" s="55">
        <v>121.0</v>
      </c>
      <c r="M42" s="18">
        <f t="shared" si="2"/>
        <v>-121</v>
      </c>
      <c r="N42" s="18">
        <f t="shared" si="3"/>
        <v>0</v>
      </c>
      <c r="O42" s="54">
        <f>'Dala Sales &amp; Deliveries'!L4</f>
        <v>0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0</v>
      </c>
      <c r="V42" s="18">
        <f t="shared" si="7"/>
        <v>0</v>
      </c>
      <c r="W42" s="54">
        <f>'Client Restocking'!L4</f>
        <v>0</v>
      </c>
    </row>
    <row r="43">
      <c r="B43" s="110"/>
      <c r="C43" s="111"/>
      <c r="D43" s="110"/>
      <c r="E43" s="111"/>
      <c r="F43" s="112"/>
      <c r="G43" s="18">
        <f t="shared" si="1"/>
        <v>0</v>
      </c>
      <c r="H43" s="110"/>
      <c r="I43" s="110"/>
      <c r="J43" s="112"/>
      <c r="K43" s="112"/>
      <c r="L43" s="113">
        <f t="shared" ref="L43:L68" si="8">H43+U43+W43-O43-Q43-I43-J43</f>
        <v>0</v>
      </c>
      <c r="M43" s="54">
        <f t="shared" si="2"/>
        <v>0</v>
      </c>
      <c r="N43" s="18">
        <f t="shared" si="3"/>
        <v>0</v>
      </c>
      <c r="O43" s="54">
        <f>'Dala Sales &amp; Deliveries'!L5</f>
        <v>0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0</v>
      </c>
    </row>
    <row r="44">
      <c r="B44" s="110"/>
      <c r="C44" s="111"/>
      <c r="D44" s="110"/>
      <c r="E44" s="111"/>
      <c r="F44" s="112"/>
      <c r="G44" s="18">
        <f t="shared" si="1"/>
        <v>0</v>
      </c>
      <c r="H44" s="110"/>
      <c r="I44" s="110"/>
      <c r="J44" s="112"/>
      <c r="K44" s="112"/>
      <c r="L44" s="113">
        <f t="shared" si="8"/>
        <v>0</v>
      </c>
      <c r="M44" s="54">
        <f t="shared" si="2"/>
        <v>0</v>
      </c>
      <c r="N44" s="18">
        <f t="shared" si="3"/>
        <v>0</v>
      </c>
      <c r="O44" s="54">
        <f>'Dala Sales &amp; Deliveries'!L6</f>
        <v>0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0</v>
      </c>
      <c r="V44" s="18">
        <f t="shared" si="7"/>
        <v>0</v>
      </c>
      <c r="W44" s="54">
        <f>'Client Restocking'!L6</f>
        <v>0</v>
      </c>
    </row>
    <row r="45">
      <c r="B45" s="110"/>
      <c r="C45" s="111"/>
      <c r="D45" s="110"/>
      <c r="E45" s="111"/>
      <c r="F45" s="112"/>
      <c r="G45" s="18">
        <f t="shared" si="1"/>
        <v>0</v>
      </c>
      <c r="H45" s="112"/>
      <c r="I45" s="112"/>
      <c r="J45" s="112"/>
      <c r="K45" s="112"/>
      <c r="L45" s="113">
        <f t="shared" si="8"/>
        <v>0</v>
      </c>
      <c r="M45" s="54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110"/>
      <c r="C46" s="111"/>
      <c r="D46" s="110"/>
      <c r="E46" s="111"/>
      <c r="F46" s="112"/>
      <c r="G46" s="18">
        <f t="shared" si="1"/>
        <v>0</v>
      </c>
      <c r="H46" s="112"/>
      <c r="I46" s="112"/>
      <c r="J46" s="112"/>
      <c r="K46" s="112"/>
      <c r="L46" s="113">
        <f t="shared" si="8"/>
        <v>0</v>
      </c>
      <c r="M46" s="54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110"/>
      <c r="C47" s="111"/>
      <c r="D47" s="110"/>
      <c r="E47" s="111"/>
      <c r="F47" s="112"/>
      <c r="G47" s="18">
        <f t="shared" si="1"/>
        <v>0</v>
      </c>
      <c r="H47" s="112"/>
      <c r="I47" s="112"/>
      <c r="J47" s="112"/>
      <c r="K47" s="112"/>
      <c r="L47" s="113">
        <f t="shared" si="8"/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110"/>
      <c r="C48" s="111"/>
      <c r="D48" s="110"/>
      <c r="E48" s="111"/>
      <c r="F48" s="112"/>
      <c r="G48" s="18">
        <f t="shared" si="1"/>
        <v>0</v>
      </c>
      <c r="H48" s="112"/>
      <c r="I48" s="112"/>
      <c r="J48" s="112"/>
      <c r="K48" s="112"/>
      <c r="L48" s="113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110"/>
      <c r="C49" s="111"/>
      <c r="D49" s="110"/>
      <c r="E49" s="111"/>
      <c r="F49" s="112"/>
      <c r="G49" s="18">
        <f t="shared" si="1"/>
        <v>0</v>
      </c>
      <c r="H49" s="112"/>
      <c r="I49" s="112"/>
      <c r="J49" s="112"/>
      <c r="K49" s="112"/>
      <c r="L49" s="113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110"/>
      <c r="C50" s="111"/>
      <c r="D50" s="110"/>
      <c r="E50" s="111"/>
      <c r="F50" s="112"/>
      <c r="G50" s="18">
        <f t="shared" si="1"/>
        <v>0</v>
      </c>
      <c r="H50" s="112"/>
      <c r="I50" s="112"/>
      <c r="J50" s="112"/>
      <c r="K50" s="112"/>
      <c r="L50" s="113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110"/>
      <c r="C51" s="111"/>
      <c r="D51" s="110"/>
      <c r="E51" s="111"/>
      <c r="F51" s="112"/>
      <c r="G51" s="18">
        <f t="shared" si="1"/>
        <v>0</v>
      </c>
      <c r="H51" s="112"/>
      <c r="I51" s="112"/>
      <c r="J51" s="112"/>
      <c r="K51" s="112"/>
      <c r="L51" s="113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112"/>
      <c r="C52" s="112"/>
      <c r="D52" s="112"/>
      <c r="E52" s="112"/>
      <c r="F52" s="112"/>
      <c r="G52" s="18">
        <f t="shared" si="1"/>
        <v>0</v>
      </c>
      <c r="H52" s="112"/>
      <c r="I52" s="112"/>
      <c r="J52" s="112"/>
      <c r="K52" s="112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2"/>
      <c r="C53" s="112"/>
      <c r="D53" s="112"/>
      <c r="E53" s="112"/>
      <c r="F53" s="112"/>
      <c r="G53" s="18">
        <f t="shared" si="1"/>
        <v>0</v>
      </c>
      <c r="H53" s="112"/>
      <c r="I53" s="112"/>
      <c r="J53" s="112"/>
      <c r="K53" s="112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2"/>
      <c r="C54" s="112"/>
      <c r="D54" s="112"/>
      <c r="E54" s="112"/>
      <c r="F54" s="112"/>
      <c r="G54" s="18">
        <f t="shared" si="1"/>
        <v>0</v>
      </c>
      <c r="H54" s="112"/>
      <c r="I54" s="112"/>
      <c r="J54" s="112"/>
      <c r="K54" s="112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2"/>
      <c r="C55" s="112"/>
      <c r="D55" s="112"/>
      <c r="E55" s="112"/>
      <c r="F55" s="112"/>
      <c r="G55" s="18">
        <f t="shared" si="1"/>
        <v>0</v>
      </c>
      <c r="H55" s="112"/>
      <c r="I55" s="112"/>
      <c r="J55" s="112"/>
      <c r="K55" s="112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2"/>
      <c r="C56" s="112"/>
      <c r="D56" s="112"/>
      <c r="E56" s="112"/>
      <c r="F56" s="112"/>
      <c r="G56" s="18">
        <f t="shared" si="1"/>
        <v>0</v>
      </c>
      <c r="H56" s="112"/>
      <c r="I56" s="112"/>
      <c r="J56" s="112"/>
      <c r="K56" s="112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2"/>
      <c r="C57" s="112"/>
      <c r="D57" s="112"/>
      <c r="E57" s="112"/>
      <c r="F57" s="112"/>
      <c r="G57" s="18">
        <f t="shared" si="1"/>
        <v>0</v>
      </c>
      <c r="H57" s="112"/>
      <c r="I57" s="112"/>
      <c r="J57" s="112"/>
      <c r="K57" s="112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2"/>
      <c r="C58" s="112"/>
      <c r="D58" s="112"/>
      <c r="E58" s="112"/>
      <c r="F58" s="112"/>
      <c r="G58" s="18">
        <f t="shared" si="1"/>
        <v>0</v>
      </c>
      <c r="H58" s="112"/>
      <c r="I58" s="112"/>
      <c r="J58" s="112"/>
      <c r="K58" s="112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2"/>
      <c r="C59" s="112"/>
      <c r="D59" s="112"/>
      <c r="E59" s="112"/>
      <c r="F59" s="112"/>
      <c r="G59" s="18">
        <f t="shared" si="1"/>
        <v>0</v>
      </c>
      <c r="H59" s="112"/>
      <c r="I59" s="112"/>
      <c r="J59" s="112"/>
      <c r="K59" s="112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2"/>
      <c r="C60" s="112"/>
      <c r="D60" s="112"/>
      <c r="E60" s="112"/>
      <c r="F60" s="112"/>
      <c r="G60" s="18">
        <f t="shared" si="1"/>
        <v>0</v>
      </c>
      <c r="H60" s="112"/>
      <c r="I60" s="112"/>
      <c r="J60" s="112"/>
      <c r="K60" s="112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2"/>
      <c r="C61" s="112"/>
      <c r="D61" s="112"/>
      <c r="E61" s="112"/>
      <c r="F61" s="112"/>
      <c r="G61" s="18">
        <f t="shared" si="1"/>
        <v>0</v>
      </c>
      <c r="H61" s="112"/>
      <c r="I61" s="112"/>
      <c r="J61" s="112"/>
      <c r="K61" s="112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2"/>
      <c r="C62" s="112"/>
      <c r="D62" s="112"/>
      <c r="E62" s="112"/>
      <c r="F62" s="112"/>
      <c r="G62" s="18">
        <f t="shared" si="1"/>
        <v>0</v>
      </c>
      <c r="H62" s="112"/>
      <c r="I62" s="112"/>
      <c r="J62" s="112"/>
      <c r="K62" s="112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2"/>
      <c r="C63" s="112"/>
      <c r="D63" s="112"/>
      <c r="E63" s="112"/>
      <c r="F63" s="112"/>
      <c r="G63" s="18">
        <f t="shared" si="1"/>
        <v>0</v>
      </c>
      <c r="H63" s="112"/>
      <c r="I63" s="112"/>
      <c r="J63" s="112"/>
      <c r="K63" s="112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2"/>
      <c r="C64" s="112"/>
      <c r="D64" s="112"/>
      <c r="E64" s="112"/>
      <c r="F64" s="112"/>
      <c r="G64" s="18">
        <f t="shared" si="1"/>
        <v>0</v>
      </c>
      <c r="H64" s="112"/>
      <c r="I64" s="112"/>
      <c r="J64" s="112"/>
      <c r="K64" s="112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2"/>
      <c r="C65" s="112"/>
      <c r="D65" s="112"/>
      <c r="E65" s="112"/>
      <c r="F65" s="112"/>
      <c r="G65" s="18">
        <f t="shared" si="1"/>
        <v>0</v>
      </c>
      <c r="H65" s="112"/>
      <c r="I65" s="112"/>
      <c r="J65" s="112"/>
      <c r="K65" s="112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2"/>
      <c r="C66" s="112"/>
      <c r="D66" s="112"/>
      <c r="E66" s="112"/>
      <c r="F66" s="112"/>
      <c r="G66" s="18">
        <f t="shared" si="1"/>
        <v>0</v>
      </c>
      <c r="H66" s="112"/>
      <c r="I66" s="112"/>
      <c r="J66" s="112"/>
      <c r="K66" s="112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2"/>
      <c r="C67" s="112"/>
      <c r="D67" s="112"/>
      <c r="E67" s="112"/>
      <c r="F67" s="112"/>
      <c r="G67" s="18">
        <f t="shared" si="1"/>
        <v>0</v>
      </c>
      <c r="H67" s="112"/>
      <c r="I67" s="112"/>
      <c r="J67" s="112"/>
      <c r="K67" s="112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2"/>
      <c r="C68" s="112"/>
      <c r="D68" s="112"/>
      <c r="E68" s="112"/>
      <c r="F68" s="112"/>
      <c r="G68" s="18">
        <f t="shared" si="1"/>
        <v>0</v>
      </c>
      <c r="H68" s="112"/>
      <c r="I68" s="112"/>
      <c r="J68" s="112"/>
      <c r="K68" s="112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85</v>
      </c>
      <c r="C69" s="55"/>
      <c r="D69" s="55"/>
      <c r="E69" s="18"/>
      <c r="F69" s="114">
        <f t="shared" ref="F69:W69" si="9">sum(F40:F68)</f>
        <v>0</v>
      </c>
      <c r="G69" s="114">
        <f t="shared" si="9"/>
        <v>0</v>
      </c>
      <c r="H69" s="114">
        <f t="shared" si="9"/>
        <v>0</v>
      </c>
      <c r="I69" s="114">
        <f t="shared" si="9"/>
        <v>0</v>
      </c>
      <c r="J69" s="114">
        <f t="shared" si="9"/>
        <v>0</v>
      </c>
      <c r="K69" s="114">
        <f t="shared" si="9"/>
        <v>0</v>
      </c>
      <c r="L69" s="18">
        <f t="shared" si="9"/>
        <v>362</v>
      </c>
      <c r="M69" s="18">
        <f t="shared" si="9"/>
        <v>-362</v>
      </c>
      <c r="N69" s="18">
        <f t="shared" si="9"/>
        <v>0</v>
      </c>
      <c r="O69" s="54">
        <f t="shared" si="9"/>
        <v>0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0</v>
      </c>
    </row>
    <row r="70">
      <c r="C70" s="6" t="s">
        <v>86</v>
      </c>
      <c r="D70" s="6" t="s">
        <v>86</v>
      </c>
      <c r="E70" s="6" t="s">
        <v>86</v>
      </c>
      <c r="F70" s="6" t="s">
        <v>86</v>
      </c>
      <c r="G70" s="6" t="s">
        <v>86</v>
      </c>
      <c r="H70" s="6" t="s">
        <v>86</v>
      </c>
      <c r="I70" s="6" t="s">
        <v>86</v>
      </c>
      <c r="J70" s="6" t="s">
        <v>86</v>
      </c>
      <c r="K70" s="6" t="s">
        <v>86</v>
      </c>
      <c r="L70" s="6" t="s">
        <v>86</v>
      </c>
      <c r="M70" s="6" t="s">
        <v>86</v>
      </c>
      <c r="N70" s="6" t="s">
        <v>86</v>
      </c>
      <c r="O70" s="6" t="s">
        <v>86</v>
      </c>
      <c r="P70" s="6" t="s">
        <v>86</v>
      </c>
      <c r="Q70" s="6" t="s">
        <v>86</v>
      </c>
      <c r="R70" s="6" t="s">
        <v>86</v>
      </c>
      <c r="S70" s="6" t="s">
        <v>86</v>
      </c>
      <c r="T70" s="6" t="s">
        <v>86</v>
      </c>
      <c r="U70" s="6" t="s">
        <v>86</v>
      </c>
      <c r="V70" s="6" t="s">
        <v>86</v>
      </c>
      <c r="W70" s="6" t="s">
        <v>86</v>
      </c>
    </row>
  </sheetData>
  <drawing r:id="rId1"/>
</worksheet>
</file>