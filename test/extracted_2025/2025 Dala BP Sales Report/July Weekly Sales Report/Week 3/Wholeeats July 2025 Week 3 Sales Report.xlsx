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  <sheet state="visible" name="Sheet11" sheetId="10" r:id="rId14"/>
    <sheet state="visible" name="Pivot Table 4" sheetId="11" r:id="rId15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6"/>
    <pivotCache cacheId="1" r:id="rId17"/>
    <pivotCache cacheId="2" r:id="rId18"/>
    <pivotCache cacheId="3" r:id="rId19"/>
    <pivotCache cacheId="4" r:id="rId20"/>
    <pivotCache cacheId="5" r:id="rId21"/>
    <pivotCache cacheId="6" r:id="rId22"/>
  </pivotCaches>
</workbook>
</file>

<file path=xl/sharedStrings.xml><?xml version="1.0" encoding="utf-8"?>
<sst xmlns="http://schemas.openxmlformats.org/spreadsheetml/2006/main" count="5122" uniqueCount="1433">
  <si>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</si>
  <si>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</si>
  <si>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</si>
  <si>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</si>
  <si>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</si>
  <si>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</si>
  <si>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</si>
  <si>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</si>
  <si>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</si>
  <si>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</si>
  <si>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</si>
  <si>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</si>
  <si>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</si>
  <si>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</si>
  <si>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</si>
  <si>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</t>
  </si>
  <si>
    <t>De Prince Supermarket, GBAGADA</t>
  </si>
  <si>
    <t>Journal</t>
  </si>
  <si>
    <t>Renees Supermarket, FREEDOM WAY</t>
  </si>
  <si>
    <t>Sales</t>
  </si>
  <si>
    <t>DT:001887</t>
  </si>
  <si>
    <t>56g Lemongrass Tea (12x)</t>
  </si>
  <si>
    <t>Goodiss Supermarket</t>
  </si>
  <si>
    <t>Renees Supermarket, LEKKI CENTRAL MOSQUE</t>
  </si>
  <si>
    <t>DT:001917</t>
  </si>
  <si>
    <t>56g Soursop Tea (12x)</t>
  </si>
  <si>
    <t>Jendol, ABULEGBA</t>
  </si>
  <si>
    <t>56g Moringa Tea (12x)</t>
  </si>
  <si>
    <t>Surplus Supermarket</t>
  </si>
  <si>
    <t>DT:001889</t>
  </si>
  <si>
    <t>Jendol, IPAJA</t>
  </si>
  <si>
    <t>Jendol, OJODU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</si>
  <si>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</si>
  <si>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</si>
  <si>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</si>
  <si>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</si>
  <si>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</si>
  <si>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</si>
  <si>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</si>
  <si>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</si>
  <si>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</si>
  <si>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>4.00 Total</t>
  </si>
  <si>
    <t>500g Toddler Protein (12x) Total</t>
  </si>
  <si>
    <t>1.00 Total</t>
  </si>
  <si>
    <t>0.50 Total</t>
  </si>
  <si>
    <t>56g Soursop Tea (12x) Total</t>
  </si>
  <si>
    <t>56g Lemongrass Tea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</si>
  <si>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</si>
  <si>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</si>
  <si>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</si>
  <si>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</si>
  <si>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</si>
  <si>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</si>
  <si>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</si>
  <si>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</si>
  <si>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</si>
  <si>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</si>
  <si>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</si>
  <si>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</si>
  <si>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</si>
  <si>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</si>
  <si>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</si>
  <si>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</si>
  <si>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</si>
  <si>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</si>
  <si>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</si>
  <si>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</si>
  <si>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</si>
  <si>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</si>
  <si>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</si>
  <si>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</si>
  <si>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</si>
  <si>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</si>
  <si>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</si>
  <si>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</si>
  <si>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</si>
  <si>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</si>
  <si>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</si>
  <si>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</si>
  <si>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</si>
  <si>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</si>
  <si>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</si>
  <si>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</si>
  <si>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</si>
  <si>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</si>
  <si>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</si>
  <si>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</si>
  <si>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</si>
  <si>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</si>
  <si>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</si>
  <si>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</si>
  <si>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</si>
  <si>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</si>
  <si>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</si>
  <si>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</si>
  <si>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</si>
  <si>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</si>
  <si>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</si>
  <si>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</si>
  <si>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</si>
  <si>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</si>
  <si>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</si>
  <si>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</si>
  <si>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</si>
  <si>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</si>
  <si>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</si>
  <si>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</si>
  <si>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</si>
  <si>
    <t>Restocking Fees</t>
  </si>
  <si>
    <t>Total Owed to Dala</t>
  </si>
  <si>
    <t>Returns/Replacements</t>
  </si>
  <si>
    <t>A. DALA TECHNOLOGIES LTD (RC 7128226)</t>
  </si>
  <si>
    <t>S/N</t>
  </si>
  <si>
    <t>Customer Name</t>
  </si>
  <si>
    <t>Invoice Number</t>
  </si>
  <si>
    <t>Amount</t>
  </si>
  <si>
    <t>Overdue Days</t>
  </si>
  <si>
    <t>234 Stores, IKORODU</t>
  </si>
  <si>
    <t>DT:001964</t>
  </si>
  <si>
    <t>Able Supermarket</t>
  </si>
  <si>
    <t>DT:000282</t>
  </si>
  <si>
    <t>Addas Mall, IKEJA</t>
  </si>
  <si>
    <t>DT:000067</t>
  </si>
  <si>
    <t>DT:001896</t>
  </si>
  <si>
    <t>Addide Store, CENTRAL WAREHOUSE</t>
  </si>
  <si>
    <t>DT:000482</t>
  </si>
  <si>
    <t>DT:000519</t>
  </si>
  <si>
    <t>DT:000766</t>
  </si>
  <si>
    <t>DT:001369</t>
  </si>
  <si>
    <t>DT:001908</t>
  </si>
  <si>
    <t>Adeleke Store, Ajah</t>
  </si>
  <si>
    <t>DT:000120</t>
  </si>
  <si>
    <t>DT:000297</t>
  </si>
  <si>
    <t>DT:000652</t>
  </si>
  <si>
    <t>DT:001611</t>
  </si>
  <si>
    <t>Adiba Supermarket, PRIME WATERVIEW</t>
  </si>
  <si>
    <t>DT:000174</t>
  </si>
  <si>
    <t>Afia Supermarket</t>
  </si>
  <si>
    <t>DT:000989</t>
  </si>
  <si>
    <t>Alabunkun Supermarket</t>
  </si>
  <si>
    <t>DT:001811</t>
  </si>
  <si>
    <t>Allah De Supermarket</t>
  </si>
  <si>
    <t>DT:000016</t>
  </si>
  <si>
    <t>DT:000690</t>
  </si>
  <si>
    <t>DT:001617</t>
  </si>
  <si>
    <t>Alvira Mart</t>
  </si>
  <si>
    <t>DT:000009</t>
  </si>
  <si>
    <t>DT:000079</t>
  </si>
  <si>
    <t>DT:000159</t>
  </si>
  <si>
    <t>DT:000228</t>
  </si>
  <si>
    <t>DT:000639</t>
  </si>
  <si>
    <t>DT:001482</t>
  </si>
  <si>
    <t>Am To Pm Supermarket, JAKANDE</t>
  </si>
  <si>
    <t>DT:000473</t>
  </si>
  <si>
    <t>DT:000903</t>
  </si>
  <si>
    <t>Am To Pm Supermarket, LEKKI</t>
  </si>
  <si>
    <t>DT:000085</t>
  </si>
  <si>
    <t>Attenable Price Supermarket</t>
  </si>
  <si>
    <t>DT:000416</t>
  </si>
  <si>
    <t>DT:001885</t>
  </si>
  <si>
    <t>DT:001886</t>
  </si>
  <si>
    <t>Augustsecrets Limited</t>
  </si>
  <si>
    <t>DT:000667</t>
  </si>
  <si>
    <t>DT:000738</t>
  </si>
  <si>
    <t>DT:000938</t>
  </si>
  <si>
    <t>Bay-Kins Pharmacy</t>
  </si>
  <si>
    <t>DT:000075</t>
  </si>
  <si>
    <t>DT:000310</t>
  </si>
  <si>
    <t>DT:000763</t>
  </si>
  <si>
    <t>DT:000907</t>
  </si>
  <si>
    <t>DT:000912</t>
  </si>
  <si>
    <t>Belleful Republic</t>
  </si>
  <si>
    <t>DT:000122</t>
  </si>
  <si>
    <t>DT:000583</t>
  </si>
  <si>
    <t>DT:000719</t>
  </si>
  <si>
    <t>DT:000865</t>
  </si>
  <si>
    <t>Bellis Global Services Limited (Whs)</t>
  </si>
  <si>
    <t>DT:000108</t>
  </si>
  <si>
    <t>DT:000430</t>
  </si>
  <si>
    <t>Best Quality Supermarket, APAPA</t>
  </si>
  <si>
    <t>DT:000087</t>
  </si>
  <si>
    <t>DT:000545</t>
  </si>
  <si>
    <t>Better Mart Supermartket, Ajah</t>
  </si>
  <si>
    <t>DT:000126</t>
  </si>
  <si>
    <t>DT:000656</t>
  </si>
  <si>
    <t>BG Mart Supermarket</t>
  </si>
  <si>
    <t>DT:001987</t>
  </si>
  <si>
    <t>Bilmos Supermart</t>
  </si>
  <si>
    <t>DT:000325</t>
  </si>
  <si>
    <t>DT:000825</t>
  </si>
  <si>
    <t>Blenco Shoppers Center, ABULEGBA</t>
  </si>
  <si>
    <t>DT:000462</t>
  </si>
  <si>
    <t>DT:000481</t>
  </si>
  <si>
    <t>DT:000751</t>
  </si>
  <si>
    <t>DT:001447</t>
  </si>
  <si>
    <t>DT:001629</t>
  </si>
  <si>
    <t>DT:001633</t>
  </si>
  <si>
    <t>DT:001969</t>
  </si>
  <si>
    <t>Blenco Shoppers Center, AKOWONJO</t>
  </si>
  <si>
    <t>DT:000006</t>
  </si>
  <si>
    <t>DT:000118</t>
  </si>
  <si>
    <t>DT:000154</t>
  </si>
  <si>
    <t>DT:000466</t>
  </si>
  <si>
    <t>DT:000572</t>
  </si>
  <si>
    <t>DT:000578</t>
  </si>
  <si>
    <t>DT:000620</t>
  </si>
  <si>
    <t>DT:000647</t>
  </si>
  <si>
    <t>DT:001539</t>
  </si>
  <si>
    <t>DT:001543</t>
  </si>
  <si>
    <t>DT:001585</t>
  </si>
  <si>
    <t>DT:001779</t>
  </si>
  <si>
    <t>DT:001933</t>
  </si>
  <si>
    <t>Blenco Supermarket, ADO</t>
  </si>
  <si>
    <t>DT:000818</t>
  </si>
  <si>
    <t>DT:001612</t>
  </si>
  <si>
    <t>DT:001613</t>
  </si>
  <si>
    <t>Blenco Supermarket, EPUTU</t>
  </si>
  <si>
    <t>DT:000723</t>
  </si>
  <si>
    <t>Blenco Supermarket, ILASAN-CHISCO</t>
  </si>
  <si>
    <t>DT:000748</t>
  </si>
  <si>
    <t>DT:001587</t>
  </si>
  <si>
    <t>DT:001753</t>
  </si>
  <si>
    <t>DT:001919</t>
  </si>
  <si>
    <t>Blenco Supermarket, SANGOTEDO</t>
  </si>
  <si>
    <t>DT:000146</t>
  </si>
  <si>
    <t>DT:001640</t>
  </si>
  <si>
    <t>DT:001871</t>
  </si>
  <si>
    <t>Blossom J Supermarket</t>
  </si>
  <si>
    <t>DT:000710</t>
  </si>
  <si>
    <t>DT:000712</t>
  </si>
  <si>
    <t>Bukkahut Restaurant</t>
  </si>
  <si>
    <t>DT:000266</t>
  </si>
  <si>
    <t>DT:000520</t>
  </si>
  <si>
    <t>DT:000645</t>
  </si>
  <si>
    <t>DT:000683</t>
  </si>
  <si>
    <t>DT:000707</t>
  </si>
  <si>
    <t>DT:000893</t>
  </si>
  <si>
    <t>DT:000971</t>
  </si>
  <si>
    <t>DT:001044</t>
  </si>
  <si>
    <t>Bungalow Restuarant</t>
  </si>
  <si>
    <t>DT:001815</t>
  </si>
  <si>
    <t>Buymore Supermarket, ABULEGBA</t>
  </si>
  <si>
    <t>DT:000029</t>
  </si>
  <si>
    <t>DT:000124</t>
  </si>
  <si>
    <t>DT:000136</t>
  </si>
  <si>
    <t>DT:000465</t>
  </si>
  <si>
    <t>DT:000484</t>
  </si>
  <si>
    <t>DT:000489</t>
  </si>
  <si>
    <t>DT:000603</t>
  </si>
  <si>
    <t>DT:000605</t>
  </si>
  <si>
    <t>DT:000797</t>
  </si>
  <si>
    <t>DT:000965</t>
  </si>
  <si>
    <t>DT:000966</t>
  </si>
  <si>
    <t>DT:001117</t>
  </si>
  <si>
    <t>DT:001118</t>
  </si>
  <si>
    <t>DT:001322</t>
  </si>
  <si>
    <t>DT:001327</t>
  </si>
  <si>
    <t>DT:001356</t>
  </si>
  <si>
    <t>DT:001483</t>
  </si>
  <si>
    <t>DT:001689</t>
  </si>
  <si>
    <t>Buymore Supermarket, IBAFO</t>
  </si>
  <si>
    <t>DT:000676</t>
  </si>
  <si>
    <t>DT:000831</t>
  </si>
  <si>
    <t>Buymore Supermarket, IKEJA</t>
  </si>
  <si>
    <t>DT:000111</t>
  </si>
  <si>
    <t>DT:000127</t>
  </si>
  <si>
    <t>DT:000187</t>
  </si>
  <si>
    <t>DT:000314</t>
  </si>
  <si>
    <t>DT:000360</t>
  </si>
  <si>
    <t>DT:000405</t>
  </si>
  <si>
    <t>DT:000409</t>
  </si>
  <si>
    <t>DT:000495</t>
  </si>
  <si>
    <t>DT:000523</t>
  </si>
  <si>
    <t>DT:000595</t>
  </si>
  <si>
    <t>DT:000597</t>
  </si>
  <si>
    <t>DT:000686</t>
  </si>
  <si>
    <t>DT:000895</t>
  </si>
  <si>
    <t>DT:000916</t>
  </si>
  <si>
    <t>DT:001288</t>
  </si>
  <si>
    <t>DT:001357</t>
  </si>
  <si>
    <t>DT:001456</t>
  </si>
  <si>
    <t>DT:001498</t>
  </si>
  <si>
    <t>DT:001702</t>
  </si>
  <si>
    <t>Buymore Supermarket, ISHERI</t>
  </si>
  <si>
    <t>DT:000132</t>
  </si>
  <si>
    <t>DT:000142</t>
  </si>
  <si>
    <t>DT:000356</t>
  </si>
  <si>
    <t>DT:001630</t>
  </si>
  <si>
    <t>DT:001632</t>
  </si>
  <si>
    <t>DT:001861</t>
  </si>
  <si>
    <t>DT:001862</t>
  </si>
  <si>
    <t>Bydow Pharmacy, ONIRU</t>
  </si>
  <si>
    <t>DT:000214</t>
  </si>
  <si>
    <t>C &amp; C Superstore</t>
  </si>
  <si>
    <t>DT:000428</t>
  </si>
  <si>
    <t>DT:000726</t>
  </si>
  <si>
    <t>DT:001898</t>
  </si>
  <si>
    <t>Canice Hans Pharmacy &amp; Supermarket</t>
  </si>
  <si>
    <t>DT:001146</t>
  </si>
  <si>
    <t>DT:001147</t>
  </si>
  <si>
    <t>DT:001650</t>
  </si>
  <si>
    <t>DT:001878</t>
  </si>
  <si>
    <t>DT:001879</t>
  </si>
  <si>
    <t>Churchview Supermarket</t>
  </si>
  <si>
    <t>DT:000121</t>
  </si>
  <si>
    <t>DT:000145</t>
  </si>
  <si>
    <t>DT:000163</t>
  </si>
  <si>
    <t>DT:000357</t>
  </si>
  <si>
    <t>DT:000744</t>
  </si>
  <si>
    <t>CMART Supermarket, LEKKI</t>
  </si>
  <si>
    <t>DT:000199</t>
  </si>
  <si>
    <t>CMART Supermarket, ONIRU</t>
  </si>
  <si>
    <t>DT:000844</t>
  </si>
  <si>
    <t>DT:001844</t>
  </si>
  <si>
    <t>Compramart Supermarket, MOBILE Rd.</t>
  </si>
  <si>
    <t>DT:000471</t>
  </si>
  <si>
    <t>DT:000559</t>
  </si>
  <si>
    <t>DT:001730</t>
  </si>
  <si>
    <t>DT:001934</t>
  </si>
  <si>
    <t>Compramart Supermarket, ORCHID Rd.</t>
  </si>
  <si>
    <t>DT:001728</t>
  </si>
  <si>
    <t>Confidence Supermart</t>
  </si>
  <si>
    <t>DT:001977</t>
  </si>
  <si>
    <t>Danny Supermarket</t>
  </si>
  <si>
    <t>DT:000902</t>
  </si>
  <si>
    <t>DT:001849</t>
  </si>
  <si>
    <t>DT:001935</t>
  </si>
  <si>
    <t>D-Arena Supermarket</t>
  </si>
  <si>
    <t>DT:000897</t>
  </si>
  <si>
    <t>DT:000898</t>
  </si>
  <si>
    <t>DT:001028</t>
  </si>
  <si>
    <t>DT:001204</t>
  </si>
  <si>
    <t>DT:001580</t>
  </si>
  <si>
    <t>Davis Kitchen</t>
  </si>
  <si>
    <t>DT:001967</t>
  </si>
  <si>
    <t>Daytona Supermarket</t>
  </si>
  <si>
    <t>DT:000375</t>
  </si>
  <si>
    <t>De Royal Prince, AKUTE</t>
  </si>
  <si>
    <t>DT:000200</t>
  </si>
  <si>
    <t>DT:000233</t>
  </si>
  <si>
    <t>DT:000553</t>
  </si>
  <si>
    <t>DT:001552</t>
  </si>
  <si>
    <t>DT:001903</t>
  </si>
  <si>
    <t>De Royal Prince, GBAGADA</t>
  </si>
  <si>
    <t>DT:000164</t>
  </si>
  <si>
    <t>DT:000182</t>
  </si>
  <si>
    <t>DT:000244</t>
  </si>
  <si>
    <t>DT:000312</t>
  </si>
  <si>
    <t>DT:000382</t>
  </si>
  <si>
    <t>DT:000441</t>
  </si>
  <si>
    <t>DT:000494</t>
  </si>
  <si>
    <t>DT:000524</t>
  </si>
  <si>
    <t>DT:000526</t>
  </si>
  <si>
    <t>DT:000611</t>
  </si>
  <si>
    <t>DT:000658</t>
  </si>
  <si>
    <t>DT:000759</t>
  </si>
  <si>
    <t>DT:000827</t>
  </si>
  <si>
    <t>DT:000937</t>
  </si>
  <si>
    <t>DT:001194</t>
  </si>
  <si>
    <t>DT:001367</t>
  </si>
  <si>
    <t>DT:001486</t>
  </si>
  <si>
    <t>DT:001853</t>
  </si>
  <si>
    <t>DT:001965</t>
  </si>
  <si>
    <t>De Royal Prince, ISHERI</t>
  </si>
  <si>
    <t>DT:000232</t>
  </si>
  <si>
    <t>DT:001265</t>
  </si>
  <si>
    <t>DT:001372</t>
  </si>
  <si>
    <t>DT:001635</t>
  </si>
  <si>
    <t>DT:001819</t>
  </si>
  <si>
    <t>DT:001860</t>
  </si>
  <si>
    <t>DT:001902</t>
  </si>
  <si>
    <t>Debikadd Supermarket</t>
  </si>
  <si>
    <t>DT:001309</t>
  </si>
  <si>
    <t>DT:001729</t>
  </si>
  <si>
    <t>De-Grace Supermarket</t>
  </si>
  <si>
    <t>DT:001538</t>
  </si>
  <si>
    <t>Delight City Mall</t>
  </si>
  <si>
    <t>DT:000377</t>
  </si>
  <si>
    <t>Diamond Grace Supermarket</t>
  </si>
  <si>
    <t>DT:000090</t>
  </si>
  <si>
    <t>Domino Store, IKEJA</t>
  </si>
  <si>
    <t>DT:000358</t>
  </si>
  <si>
    <t>DT:000633</t>
  </si>
  <si>
    <t>DT:000826</t>
  </si>
  <si>
    <t>DT:001291</t>
  </si>
  <si>
    <t>DT:001800</t>
  </si>
  <si>
    <t>Dwave Supermarket, AJAH</t>
  </si>
  <si>
    <t>DT:000125</t>
  </si>
  <si>
    <t>DT:000211</t>
  </si>
  <si>
    <t>DT:000298</t>
  </si>
  <si>
    <t>DT:000767</t>
  </si>
  <si>
    <t>DT:001614</t>
  </si>
  <si>
    <t>Ebnon</t>
  </si>
  <si>
    <t>DT:000196</t>
  </si>
  <si>
    <t>DT:000217</t>
  </si>
  <si>
    <t>DT:000478</t>
  </si>
  <si>
    <t>DT:000537</t>
  </si>
  <si>
    <t>DT:000718</t>
  </si>
  <si>
    <t>DT:001227</t>
  </si>
  <si>
    <t>DT:001274</t>
  </si>
  <si>
    <t>Edichart Pharmacy &amp; Store</t>
  </si>
  <si>
    <t>DT:000529</t>
  </si>
  <si>
    <t>Ego Supermarket</t>
  </si>
  <si>
    <t>DT:000343</t>
  </si>
  <si>
    <t>DT:000570</t>
  </si>
  <si>
    <t>Egole Minimart</t>
  </si>
  <si>
    <t>DT:000798</t>
  </si>
  <si>
    <t>DT:001604</t>
  </si>
  <si>
    <t>Eleyor Shopping Mall, ALAGBON OWODE</t>
  </si>
  <si>
    <t>DT:001620</t>
  </si>
  <si>
    <t>DT:001839</t>
  </si>
  <si>
    <t>DT:001925</t>
  </si>
  <si>
    <t>Eleyor Shopping Mall, OWODE</t>
  </si>
  <si>
    <t>DT:001074</t>
  </si>
  <si>
    <t>DT:001284</t>
  </si>
  <si>
    <t>DT:001473</t>
  </si>
  <si>
    <t>DT:001602</t>
  </si>
  <si>
    <t>DT:001621</t>
  </si>
  <si>
    <t>DT:001922</t>
  </si>
  <si>
    <t>E-Mart Supermarket</t>
  </si>
  <si>
    <t>DT:000089</t>
  </si>
  <si>
    <t>DT:000247</t>
  </si>
  <si>
    <t>DT:000432</t>
  </si>
  <si>
    <t>Emmatos Superstore, Kola</t>
  </si>
  <si>
    <t>DT:000024</t>
  </si>
  <si>
    <t>DT:000344</t>
  </si>
  <si>
    <t>DT:000363</t>
  </si>
  <si>
    <t>DT:000616</t>
  </si>
  <si>
    <t>DT:001825</t>
  </si>
  <si>
    <t>DT:001847</t>
  </si>
  <si>
    <t>DT:001900</t>
  </si>
  <si>
    <t>Emrite Supermarket, OLOKONLA</t>
  </si>
  <si>
    <t>DT:000262</t>
  </si>
  <si>
    <t>DT:000721</t>
  </si>
  <si>
    <t>Enej Supermarket, ELEGANZA</t>
  </si>
  <si>
    <t>DT:000255</t>
  </si>
  <si>
    <t>Enej Supermarket, OSAPA</t>
  </si>
  <si>
    <t>DT:000072</t>
  </si>
  <si>
    <t>DT:000864</t>
  </si>
  <si>
    <t>DT:001254</t>
  </si>
  <si>
    <t>DT:001858</t>
  </si>
  <si>
    <t>Everbright Supermarket, SURULERE</t>
  </si>
  <si>
    <t>DT:000110</t>
  </si>
  <si>
    <t>DT:000565</t>
  </si>
  <si>
    <t>DT:001956</t>
  </si>
  <si>
    <t>Excel Plus Supermarket, Orchid Rd.</t>
  </si>
  <si>
    <t>DT:000501</t>
  </si>
  <si>
    <t>DT:000561</t>
  </si>
  <si>
    <t>DT:000716</t>
  </si>
  <si>
    <t>DT:000822</t>
  </si>
  <si>
    <t>DT:000838</t>
  </si>
  <si>
    <t>DT:001911</t>
  </si>
  <si>
    <t>DT:001923</t>
  </si>
  <si>
    <t>Excellence Store</t>
  </si>
  <si>
    <t>DT:001064</t>
  </si>
  <si>
    <t>Exclusive Mart</t>
  </si>
  <si>
    <t>DT:000958</t>
  </si>
  <si>
    <t>Figo Supermarket</t>
  </si>
  <si>
    <t>DT:000209</t>
  </si>
  <si>
    <t>DT:000722</t>
  </si>
  <si>
    <t>Food Nation Supermarket</t>
  </si>
  <si>
    <t>Foodco Nigeria, ABEOKUTA</t>
  </si>
  <si>
    <t>DT:000341</t>
  </si>
  <si>
    <t>DT:000533</t>
  </si>
  <si>
    <t>Foodco Nigeria, ELEGANZA</t>
  </si>
  <si>
    <t>DT:000692</t>
  </si>
  <si>
    <t>Foodco Nigeria, IKOTUN</t>
  </si>
  <si>
    <t>DT:000733</t>
  </si>
  <si>
    <t>DT:000765</t>
  </si>
  <si>
    <t>DT:000919</t>
  </si>
  <si>
    <t>Foodco Nigeria, IKOYI</t>
  </si>
  <si>
    <t>DT:001057</t>
  </si>
  <si>
    <t>Frenchoice Mall</t>
  </si>
  <si>
    <t>DT:000147</t>
  </si>
  <si>
    <t>DT:000274</t>
  </si>
  <si>
    <t>DT:000706</t>
  </si>
  <si>
    <t>DT:001336</t>
  </si>
  <si>
    <t>Globus Warehouse (WHS)</t>
  </si>
  <si>
    <t>DT:000168</t>
  </si>
  <si>
    <t>DT:000392</t>
  </si>
  <si>
    <t>DT:000632</t>
  </si>
  <si>
    <t>DT:001595</t>
  </si>
  <si>
    <t>DT:001834</t>
  </si>
  <si>
    <t>Goodiss Supermarket, IKEJA</t>
  </si>
  <si>
    <t>DT:000099</t>
  </si>
  <si>
    <t>DT:000241</t>
  </si>
  <si>
    <t>DT:000674</t>
  </si>
  <si>
    <t>DT:001895</t>
  </si>
  <si>
    <t>Grace Supermarket</t>
  </si>
  <si>
    <t>DT:000309</t>
  </si>
  <si>
    <t>Grandex, Lekki</t>
  </si>
  <si>
    <t>DT:000359</t>
  </si>
  <si>
    <t>Green Valley Store</t>
  </si>
  <si>
    <t>DT:001031</t>
  </si>
  <si>
    <t>DT:001139</t>
  </si>
  <si>
    <t>DT:001360</t>
  </si>
  <si>
    <t>DT:001880</t>
  </si>
  <si>
    <t>Greenell Supermarket Lekki County, IKOTA</t>
  </si>
  <si>
    <t>DT:000082</t>
  </si>
  <si>
    <t>DT:000144</t>
  </si>
  <si>
    <t>Greenell Supermarket, Osapa</t>
  </si>
  <si>
    <t>DT:000435</t>
  </si>
  <si>
    <t>Groceries 2go Supermarket</t>
  </si>
  <si>
    <t>DT:000299</t>
  </si>
  <si>
    <t>DT:000300</t>
  </si>
  <si>
    <t>DT:000955</t>
  </si>
  <si>
    <t>DT:001432</t>
  </si>
  <si>
    <t>DT:001856</t>
  </si>
  <si>
    <t>Grocery Bazaar, ADO ROAD, AJAH</t>
  </si>
  <si>
    <t>Grocery Bazaar, AGBARA</t>
  </si>
  <si>
    <t>DT:001136</t>
  </si>
  <si>
    <t>Grocery Bazaar, AKESAN</t>
  </si>
  <si>
    <t>DT:000339</t>
  </si>
  <si>
    <t>DT:001128</t>
  </si>
  <si>
    <t>Grocery Bazaar, Alagbado</t>
  </si>
  <si>
    <t>DT:000348</t>
  </si>
  <si>
    <t>DT:001050</t>
  </si>
  <si>
    <t>DT:001544</t>
  </si>
  <si>
    <t>Grocery Bazaar, COMMAND ROAD, IPAJA</t>
  </si>
  <si>
    <t>DT:000303</t>
  </si>
  <si>
    <t>DT:000349</t>
  </si>
  <si>
    <t>DT:001109</t>
  </si>
  <si>
    <t>Grocery Bazaar, EGBEDA</t>
  </si>
  <si>
    <t>DT:001541</t>
  </si>
  <si>
    <t>Grocery Bazaar, EJIGBO</t>
  </si>
  <si>
    <t>DT:001132</t>
  </si>
  <si>
    <t>DT:001589</t>
  </si>
  <si>
    <t>Grocery Bazaar, IDIMU</t>
  </si>
  <si>
    <t>DT:000378</t>
  </si>
  <si>
    <t>DT:001134</t>
  </si>
  <si>
    <t>DT:001540</t>
  </si>
  <si>
    <t>Grocery Bazaar, IJEDE ROAD, IKORODU</t>
  </si>
  <si>
    <t>DT:000590</t>
  </si>
  <si>
    <t>Grocery Bazaar, IKORODU</t>
  </si>
  <si>
    <t>DT:000134</t>
  </si>
  <si>
    <t>DT:000311</t>
  </si>
  <si>
    <t>DT:001036</t>
  </si>
  <si>
    <t>Grocery Bazaar, MEIRAN RD, MEIRAN</t>
  </si>
  <si>
    <t>DT:000342</t>
  </si>
  <si>
    <t>DT:001108</t>
  </si>
  <si>
    <t>Grooves Events &amp; Bar</t>
  </si>
  <si>
    <t>DT:000479</t>
  </si>
  <si>
    <t>Gusabis Supermart</t>
  </si>
  <si>
    <t>DT:000288</t>
  </si>
  <si>
    <t>HM Groceries Stores</t>
  </si>
  <si>
    <t>DT:000275</t>
  </si>
  <si>
    <t>Home Affairs Supermarket, GBAGADA</t>
  </si>
  <si>
    <t>DT:000161</t>
  </si>
  <si>
    <t>DT:000491</t>
  </si>
  <si>
    <t>DT:001485</t>
  </si>
  <si>
    <t>Home Affairs Supermarket, OGBA</t>
  </si>
  <si>
    <t>DT:000551</t>
  </si>
  <si>
    <t>DT:000644</t>
  </si>
  <si>
    <t>DT:001496</t>
  </si>
  <si>
    <t>DT:001735</t>
  </si>
  <si>
    <t>Home Affairs Supermarket, OGUDU (116)</t>
  </si>
  <si>
    <t>DT:000397</t>
  </si>
  <si>
    <t>DT:000499</t>
  </si>
  <si>
    <t>Home Affairs Supermarket, OGUDU (135)</t>
  </si>
  <si>
    <t>DT:001413</t>
  </si>
  <si>
    <t>DT:001765</t>
  </si>
  <si>
    <t>DT:001899</t>
  </si>
  <si>
    <t>Home Affairs Supermarket, OMOLE</t>
  </si>
  <si>
    <t>DT:001548</t>
  </si>
  <si>
    <t>Hunters Food &amp; Restaurants, IDIMU</t>
  </si>
  <si>
    <t>DT:000393</t>
  </si>
  <si>
    <t>Hutoos Supermarket, AGEGE</t>
  </si>
  <si>
    <t>DT:000746</t>
  </si>
  <si>
    <t>DT:000886</t>
  </si>
  <si>
    <t>DT:000891</t>
  </si>
  <si>
    <t>DT:001187</t>
  </si>
  <si>
    <t>DT:001769</t>
  </si>
  <si>
    <t>Hutoos Supermarket, Ogba</t>
  </si>
  <si>
    <t>DT:000107</t>
  </si>
  <si>
    <t>Hutoos Supermarket, OKO OBA</t>
  </si>
  <si>
    <t>DT:000169</t>
  </si>
  <si>
    <t>DT:000745</t>
  </si>
  <si>
    <t>DT:000968</t>
  </si>
  <si>
    <t>DT:001325</t>
  </si>
  <si>
    <t>DT:001368</t>
  </si>
  <si>
    <t>DT:001454</t>
  </si>
  <si>
    <t>DT:001770</t>
  </si>
  <si>
    <t>Ideal Supermarket</t>
  </si>
  <si>
    <t>DT:001881</t>
  </si>
  <si>
    <t>Individual</t>
  </si>
  <si>
    <t>DT:000027</t>
  </si>
  <si>
    <t>DT:000088</t>
  </si>
  <si>
    <t>DT:000091</t>
  </si>
  <si>
    <t>DT:000113</t>
  </si>
  <si>
    <t>DT:000184</t>
  </si>
  <si>
    <t>DT:000197</t>
  </si>
  <si>
    <t>DT:000220</t>
  </si>
  <si>
    <t>DT:000304</t>
  </si>
  <si>
    <t>DT:000381</t>
  </si>
  <si>
    <t>DT:000433</t>
  </si>
  <si>
    <t>DT:000506</t>
  </si>
  <si>
    <t>DT:000695</t>
  </si>
  <si>
    <t>DT:000729</t>
  </si>
  <si>
    <t>DT:000868</t>
  </si>
  <si>
    <t>DT:000869</t>
  </si>
  <si>
    <t>DT:000894</t>
  </si>
  <si>
    <t>DT:001269</t>
  </si>
  <si>
    <t>DT:001401</t>
  </si>
  <si>
    <t>DT:001476</t>
  </si>
  <si>
    <t>DT:001510</t>
  </si>
  <si>
    <t>DT:001777</t>
  </si>
  <si>
    <t>DT:001826</t>
  </si>
  <si>
    <t>DT:001859</t>
  </si>
  <si>
    <t>DT:001888</t>
  </si>
  <si>
    <t>DT:001910</t>
  </si>
  <si>
    <t>DT:001930</t>
  </si>
  <si>
    <t>Integral Mart</t>
  </si>
  <si>
    <t>DT:000068</t>
  </si>
  <si>
    <t>DT:000139</t>
  </si>
  <si>
    <t>DT:000151</t>
  </si>
  <si>
    <t>DT:000263</t>
  </si>
  <si>
    <t>DT:000400</t>
  </si>
  <si>
    <t>DT:000445</t>
  </si>
  <si>
    <t>DT:000510</t>
  </si>
  <si>
    <t>DT:000511</t>
  </si>
  <si>
    <t>DT:000610</t>
  </si>
  <si>
    <t>DT:000659</t>
  </si>
  <si>
    <t>DT:000679</t>
  </si>
  <si>
    <t>DT:000917</t>
  </si>
  <si>
    <t>DT:001843</t>
  </si>
  <si>
    <t>DT:001894</t>
  </si>
  <si>
    <t>Irich Supermarket</t>
  </si>
  <si>
    <t>DT:000248</t>
  </si>
  <si>
    <t>Iyakan Food Canteen</t>
  </si>
  <si>
    <t>DT:001966</t>
  </si>
  <si>
    <t>Jendol Supermarket, AJAH</t>
  </si>
  <si>
    <t>DT:000598</t>
  </si>
  <si>
    <t>DT:001376</t>
  </si>
  <si>
    <t>DT:001377</t>
  </si>
  <si>
    <t>DT:001756</t>
  </si>
  <si>
    <t>DT:001788</t>
  </si>
  <si>
    <t>Jendol Supermarket, AKASOLORI</t>
  </si>
  <si>
    <t>DT:001403</t>
  </si>
  <si>
    <t>DT:001527</t>
  </si>
  <si>
    <t>DT:001722</t>
  </si>
  <si>
    <t>DT:001723</t>
  </si>
  <si>
    <t>DT:001810</t>
  </si>
  <si>
    <t>DT:001962</t>
  </si>
  <si>
    <t>Jendol Supermarket, ALAKUKO</t>
  </si>
  <si>
    <t>DT:000418</t>
  </si>
  <si>
    <t>DT:001279</t>
  </si>
  <si>
    <t>DT:001280</t>
  </si>
  <si>
    <t>DT:001281</t>
  </si>
  <si>
    <t>DT:001554</t>
  </si>
  <si>
    <t>DT:001557</t>
  </si>
  <si>
    <t>DT:001657</t>
  </si>
  <si>
    <t>DT:001780</t>
  </si>
  <si>
    <t>DT:001936</t>
  </si>
  <si>
    <t>Jendol Supermarket, EGBEDA</t>
  </si>
  <si>
    <t>DT:000285</t>
  </si>
  <si>
    <t>DT:000446</t>
  </si>
  <si>
    <t>DT:000476</t>
  </si>
  <si>
    <t>DT:000573</t>
  </si>
  <si>
    <t>DT:001175</t>
  </si>
  <si>
    <t>DT:001299</t>
  </si>
  <si>
    <t>DT:001352</t>
  </si>
  <si>
    <t>DT:001441</t>
  </si>
  <si>
    <t>DT:001494</t>
  </si>
  <si>
    <t>DT:001515</t>
  </si>
  <si>
    <t>DT:001555</t>
  </si>
  <si>
    <t>DT:001592</t>
  </si>
  <si>
    <t>DT:001699</t>
  </si>
  <si>
    <t>DT:001782</t>
  </si>
  <si>
    <t>DT:001805</t>
  </si>
  <si>
    <t>Jendol Supermarket, IGANDO</t>
  </si>
  <si>
    <t>DT:001304</t>
  </si>
  <si>
    <t>DT:001395</t>
  </si>
  <si>
    <t>DT:001437</t>
  </si>
  <si>
    <t>DT:001707</t>
  </si>
  <si>
    <t>DT:001709</t>
  </si>
  <si>
    <t>DT:001937</t>
  </si>
  <si>
    <t>DT:001938</t>
  </si>
  <si>
    <t>Jendol Supermarket, IPAJA</t>
  </si>
  <si>
    <t>DT:000044</t>
  </si>
  <si>
    <t>DT:001235</t>
  </si>
  <si>
    <t>DT:001306</t>
  </si>
  <si>
    <t>DT:001353</t>
  </si>
  <si>
    <t>DT:001411</t>
  </si>
  <si>
    <t>DT:001508</t>
  </si>
  <si>
    <t>DT:001698</t>
  </si>
  <si>
    <t>DT:001944</t>
  </si>
  <si>
    <t>DT:001945</t>
  </si>
  <si>
    <t>Jendol Supermarket, ISHERI (Rg.11)</t>
  </si>
  <si>
    <t>DT:000338</t>
  </si>
  <si>
    <t>DT:000653</t>
  </si>
  <si>
    <t>DT:001233</t>
  </si>
  <si>
    <t>DT:001302</t>
  </si>
  <si>
    <t>DT:001436</t>
  </si>
  <si>
    <t>DT:001701</t>
  </si>
  <si>
    <t>DT:001778</t>
  </si>
  <si>
    <t>DT:001829</t>
  </si>
  <si>
    <t>DT:001941</t>
  </si>
  <si>
    <t>DT:001942</t>
  </si>
  <si>
    <t>Jendol Supermarket, ISOLO</t>
  </si>
  <si>
    <t>DT:001364</t>
  </si>
  <si>
    <t>DT:001371</t>
  </si>
  <si>
    <t>DT:001518</t>
  </si>
  <si>
    <t>Jendol Supermarket, ODOGUNYA</t>
  </si>
  <si>
    <t>DT:000036</t>
  </si>
  <si>
    <t>DT:001402</t>
  </si>
  <si>
    <t>DT:001721</t>
  </si>
  <si>
    <t>DT:001812</t>
  </si>
  <si>
    <t>Jendol Supermarket, OJODU</t>
  </si>
  <si>
    <t>DT:001247</t>
  </si>
  <si>
    <t>DT:001319</t>
  </si>
  <si>
    <t>DT:001320</t>
  </si>
  <si>
    <t>DT:001463</t>
  </si>
  <si>
    <t>DT:001553</t>
  </si>
  <si>
    <t>DT:001634</t>
  </si>
  <si>
    <t>DT:001865</t>
  </si>
  <si>
    <t>DT:001866</t>
  </si>
  <si>
    <t>DT:001971</t>
  </si>
  <si>
    <t>DT:001973</t>
  </si>
  <si>
    <t>Jendol supermarket, OJUORE</t>
  </si>
  <si>
    <t>DT:000365</t>
  </si>
  <si>
    <t>DT:001237</t>
  </si>
  <si>
    <t>DT:001282</t>
  </si>
  <si>
    <t>DT:001283</t>
  </si>
  <si>
    <t>DT:001326</t>
  </si>
  <si>
    <t>DT:001462</t>
  </si>
  <si>
    <t>DT:001590</t>
  </si>
  <si>
    <t>DT:001591</t>
  </si>
  <si>
    <t>DT:001771</t>
  </si>
  <si>
    <t>Jendol Supermarket, ONIBUKUN</t>
  </si>
  <si>
    <t>DT:001366</t>
  </si>
  <si>
    <t>DT:001537</t>
  </si>
  <si>
    <t>DT:001545</t>
  </si>
  <si>
    <t>DT:001556</t>
  </si>
  <si>
    <t>DT:001837</t>
  </si>
  <si>
    <t>Jendol Supermarket, U-TURN</t>
  </si>
  <si>
    <t>DT:000410</t>
  </si>
  <si>
    <t>DT:001193</t>
  </si>
  <si>
    <t>DT:001239</t>
  </si>
  <si>
    <t>DT:001323</t>
  </si>
  <si>
    <t>DT:001324</t>
  </si>
  <si>
    <t>DT:001373</t>
  </si>
  <si>
    <t>DT:001459</t>
  </si>
  <si>
    <t>DT:001503</t>
  </si>
  <si>
    <t>DT:001655</t>
  </si>
  <si>
    <t>DT:001691</t>
  </si>
  <si>
    <t>DT:001854</t>
  </si>
  <si>
    <t>DT:001855</t>
  </si>
  <si>
    <t>DT:001931</t>
  </si>
  <si>
    <t>DT:001932</t>
  </si>
  <si>
    <t>Jesops Supermarket</t>
  </si>
  <si>
    <t>DT:000547</t>
  </si>
  <si>
    <t>DT:000802</t>
  </si>
  <si>
    <t>DT:001418</t>
  </si>
  <si>
    <t>DT:001909</t>
  </si>
  <si>
    <t>Joedy Supermarket</t>
  </si>
  <si>
    <t>DT:001738</t>
  </si>
  <si>
    <t>DT:001742</t>
  </si>
  <si>
    <t>Joelm Supermarket</t>
  </si>
  <si>
    <t>DT:000399</t>
  </si>
  <si>
    <t>JOYDON SUPERMARKET</t>
  </si>
  <si>
    <t>DT:000177</t>
  </si>
  <si>
    <t>DT:000183</t>
  </si>
  <si>
    <t>Justrite, ABULEGBA</t>
  </si>
  <si>
    <t>DT:001176</t>
  </si>
  <si>
    <t>Justrite, ALAKUKO</t>
  </si>
  <si>
    <t>DT:000862</t>
  </si>
  <si>
    <t>Justrite, BARIGA</t>
  </si>
  <si>
    <t>DT:001059</t>
  </si>
  <si>
    <t>DT:001424</t>
  </si>
  <si>
    <t>Justrite, CASSO</t>
  </si>
  <si>
    <t>DT:001806</t>
  </si>
  <si>
    <t>Justrite, DOPEMU</t>
  </si>
  <si>
    <t>DT:001435</t>
  </si>
  <si>
    <t>DT:001542</t>
  </si>
  <si>
    <t>DT:001802</t>
  </si>
  <si>
    <t>Justrite, EGBEDA</t>
  </si>
  <si>
    <t>DT:000637</t>
  </si>
  <si>
    <t>DT:001588</t>
  </si>
  <si>
    <t>Justrite, EKORO</t>
  </si>
  <si>
    <t>DT:001822</t>
  </si>
  <si>
    <t>Justrite, GOWON ESTATE</t>
  </si>
  <si>
    <t>DT:001169</t>
  </si>
  <si>
    <t>DT:001513</t>
  </si>
  <si>
    <t>justrite, IBAFO</t>
  </si>
  <si>
    <t>DT:000678</t>
  </si>
  <si>
    <t>DT:001013</t>
  </si>
  <si>
    <t>DT:001417</t>
  </si>
  <si>
    <t>DT:001560</t>
  </si>
  <si>
    <t>Justrite, IGANDO</t>
  </si>
  <si>
    <t>DT:000704</t>
  </si>
  <si>
    <t>Justrite, IJU ISHAGA</t>
  </si>
  <si>
    <t>DT:001039</t>
  </si>
  <si>
    <t>DT:001446</t>
  </si>
  <si>
    <t>Justrite, IKATE</t>
  </si>
  <si>
    <t>DT:001149</t>
  </si>
  <si>
    <t>DT:001423</t>
  </si>
  <si>
    <t>Justrite, IKORODU AIYELODUN</t>
  </si>
  <si>
    <t>DT:001038</t>
  </si>
  <si>
    <t>DT:001500</t>
  </si>
  <si>
    <t>Justrite, IKORODU OGOLONTO</t>
  </si>
  <si>
    <t>DT:000093</t>
  </si>
  <si>
    <t>DT:001495</t>
  </si>
  <si>
    <t>DT:001813</t>
  </si>
  <si>
    <t>Justrite, IPAJA AYOBO</t>
  </si>
  <si>
    <t>DT:001168</t>
  </si>
  <si>
    <t>DT:001443</t>
  </si>
  <si>
    <t>DT:001814</t>
  </si>
  <si>
    <t>Justrite, IYANA IPAJA</t>
  </si>
  <si>
    <t>DT:000056</t>
  </si>
  <si>
    <t>DT:001511</t>
  </si>
  <si>
    <t>Justrite, OMOLE</t>
  </si>
  <si>
    <t>DT:001154</t>
  </si>
  <si>
    <t>Justrite, OTA</t>
  </si>
  <si>
    <t>DT:001516</t>
  </si>
  <si>
    <t>Justrite, OWODE</t>
  </si>
  <si>
    <t>DT:000889</t>
  </si>
  <si>
    <t>DT:001619</t>
  </si>
  <si>
    <t>K &amp; P Supermarket</t>
  </si>
  <si>
    <t>DT:001420</t>
  </si>
  <si>
    <t>DT:001794</t>
  </si>
  <si>
    <t>DT:001795</t>
  </si>
  <si>
    <t>Katta Supermarket</t>
  </si>
  <si>
    <t>DT:001957</t>
  </si>
  <si>
    <t>DT:001958</t>
  </si>
  <si>
    <t>KD (Kitchen Delight) Supermarket</t>
  </si>
  <si>
    <t>DT:000697</t>
  </si>
  <si>
    <t>DT:000740</t>
  </si>
  <si>
    <t>DT:001943</t>
  </si>
  <si>
    <t>Kelmas Place Restaurant</t>
  </si>
  <si>
    <t>DT:000324</t>
  </si>
  <si>
    <t>DT:000443</t>
  </si>
  <si>
    <t>DT:000594</t>
  </si>
  <si>
    <t>DT:000621</t>
  </si>
  <si>
    <t>DT:000842</t>
  </si>
  <si>
    <t>DT:001290</t>
  </si>
  <si>
    <t>DT:001464</t>
  </si>
  <si>
    <t>DT:001897</t>
  </si>
  <si>
    <t>Kendoriz Mart</t>
  </si>
  <si>
    <t>DT:000129</t>
  </si>
  <si>
    <t>DT:001332</t>
  </si>
  <si>
    <t>Kit Mart</t>
  </si>
  <si>
    <t>DT:000208</t>
  </si>
  <si>
    <t>DT:000983</t>
  </si>
  <si>
    <t>Kortsy</t>
  </si>
  <si>
    <t>DT:000198</t>
  </si>
  <si>
    <t>DT:000832</t>
  </si>
  <si>
    <t>Lapaz Supermarket</t>
  </si>
  <si>
    <t>DT:001337</t>
  </si>
  <si>
    <t>Last Price Supermarket</t>
  </si>
  <si>
    <t>DT:000270</t>
  </si>
  <si>
    <t>Life Back Pharmacy &amp; stores</t>
  </si>
  <si>
    <t>DT:000245</t>
  </si>
  <si>
    <t>DT:000322</t>
  </si>
  <si>
    <t>DT:000925</t>
  </si>
  <si>
    <t>DT:001504</t>
  </si>
  <si>
    <t>DT:001761</t>
  </si>
  <si>
    <t>DT:001763</t>
  </si>
  <si>
    <t>DT:001961</t>
  </si>
  <si>
    <t>Li-M Supermarket</t>
  </si>
  <si>
    <t>DT:000728</t>
  </si>
  <si>
    <t>DT:001718</t>
  </si>
  <si>
    <t>DT:001719</t>
  </si>
  <si>
    <t>Limitless Mart, LEKKI</t>
  </si>
  <si>
    <t>DT:000713</t>
  </si>
  <si>
    <t>Lovely Mart Supermarket</t>
  </si>
  <si>
    <t>DT:000128</t>
  </si>
  <si>
    <t>Madiba Mart</t>
  </si>
  <si>
    <t>DT:000269</t>
  </si>
  <si>
    <t>Mall Mart Supermarket, YABA</t>
  </si>
  <si>
    <t>DT:000180</t>
  </si>
  <si>
    <t>DT:001603</t>
  </si>
  <si>
    <t>Manotech Limited, JAKANDE</t>
  </si>
  <si>
    <t>DT:000272</t>
  </si>
  <si>
    <t>Manotech Limited, VI</t>
  </si>
  <si>
    <t>DT:000273</t>
  </si>
  <si>
    <t>Max Ambi Supermarket</t>
  </si>
  <si>
    <t>DT:000901</t>
  </si>
  <si>
    <t>Mediscript Pharmacy</t>
  </si>
  <si>
    <t>DT:000193</t>
  </si>
  <si>
    <t>DT:000608</t>
  </si>
  <si>
    <t>Mega Mart</t>
  </si>
  <si>
    <t>DT:000076</t>
  </si>
  <si>
    <t>DT:000629</t>
  </si>
  <si>
    <t>DT:000717</t>
  </si>
  <si>
    <t>DT:001260</t>
  </si>
  <si>
    <t>DT:001261</t>
  </si>
  <si>
    <t>DT:001268</t>
  </si>
  <si>
    <t>Mega Plaza</t>
  </si>
  <si>
    <t>DT:000631</t>
  </si>
  <si>
    <t>DT:000768</t>
  </si>
  <si>
    <t>DT:001960</t>
  </si>
  <si>
    <t>MG Supermarket, IPAJA</t>
  </si>
  <si>
    <t>DT:000390</t>
  </si>
  <si>
    <t>Mitch &amp; Good Supermarket</t>
  </si>
  <si>
    <t>DT:000708</t>
  </si>
  <si>
    <t>DT:000714</t>
  </si>
  <si>
    <t>DT:001053</t>
  </si>
  <si>
    <t>DT:001178</t>
  </si>
  <si>
    <t>DT:001179</t>
  </si>
  <si>
    <t>DT:001507</t>
  </si>
  <si>
    <t>DT:001663</t>
  </si>
  <si>
    <t>DT:001664</t>
  </si>
  <si>
    <t>DT:001868</t>
  </si>
  <si>
    <t>Moneyworth Supermarket</t>
  </si>
  <si>
    <t>DT:001744</t>
  </si>
  <si>
    <t>DT:001746</t>
  </si>
  <si>
    <t>Monifee Supermarket Ejigbo</t>
  </si>
  <si>
    <t>DT:000762</t>
  </si>
  <si>
    <t>Monnaspark Superstore</t>
  </si>
  <si>
    <t>DT:000531</t>
  </si>
  <si>
    <t>DT:001781</t>
  </si>
  <si>
    <t>DT:001980</t>
  </si>
  <si>
    <t>MQ Supermarket</t>
  </si>
  <si>
    <t>DT:000096</t>
  </si>
  <si>
    <t>DT:000152</t>
  </si>
  <si>
    <t>DT:000195</t>
  </si>
  <si>
    <t>DT:000515</t>
  </si>
  <si>
    <t>DT:000642</t>
  </si>
  <si>
    <t>DT:000664</t>
  </si>
  <si>
    <t>DT:000702</t>
  </si>
  <si>
    <t>DT:000780</t>
  </si>
  <si>
    <t>DT:001415</t>
  </si>
  <si>
    <t>DT:001455</t>
  </si>
  <si>
    <t>DT:001891</t>
  </si>
  <si>
    <t>Mrs. Jacobs Shop (WHS)</t>
  </si>
  <si>
    <t>DT:000340</t>
  </si>
  <si>
    <t>DT:000930</t>
  </si>
  <si>
    <t>Much More Supermarket, ISHERRI</t>
  </si>
  <si>
    <t>DT:001816</t>
  </si>
  <si>
    <t>Nexus Supermarket</t>
  </si>
  <si>
    <t>DT:000896</t>
  </si>
  <si>
    <t>DT:001461</t>
  </si>
  <si>
    <t>Nice 'n' Lovely</t>
  </si>
  <si>
    <t>DT:000352</t>
  </si>
  <si>
    <t>DT:000563</t>
  </si>
  <si>
    <t>DT:000900</t>
  </si>
  <si>
    <t>Ny Supermarket</t>
  </si>
  <si>
    <t>DT:000191</t>
  </si>
  <si>
    <t>DT:000589</t>
  </si>
  <si>
    <t>One Source Mart, VI</t>
  </si>
  <si>
    <t>DT:000028</t>
  </si>
  <si>
    <t>DT:000181</t>
  </si>
  <si>
    <t>One Source Supermarket, IKEJA</t>
  </si>
  <si>
    <t>DT:001605</t>
  </si>
  <si>
    <t>DT:001695</t>
  </si>
  <si>
    <t>Osemilur Mini Mart</t>
  </si>
  <si>
    <t>DT:001739</t>
  </si>
  <si>
    <t>DT:001740</t>
  </si>
  <si>
    <t>Ozzy Supermarket, mobile road</t>
  </si>
  <si>
    <t>DT:000150</t>
  </si>
  <si>
    <t>DT:000757</t>
  </si>
  <si>
    <t>DT:000821</t>
  </si>
  <si>
    <t>DT:001339</t>
  </si>
  <si>
    <t>DT:001952</t>
  </si>
  <si>
    <t>Ozzy Supermarket, VICTORY PARK EST.</t>
  </si>
  <si>
    <t>DT:000101</t>
  </si>
  <si>
    <t>DT:001148</t>
  </si>
  <si>
    <t>DT:001206</t>
  </si>
  <si>
    <t>Ozzy Superstore, CASTLE ROCK BRANCH</t>
  </si>
  <si>
    <t>DT:000192</t>
  </si>
  <si>
    <t>DT:000668</t>
  </si>
  <si>
    <t>DT:000772</t>
  </si>
  <si>
    <t>DT:000773</t>
  </si>
  <si>
    <t>DT:000899</t>
  </si>
  <si>
    <t>P5 Supermarket, IKOTA</t>
  </si>
  <si>
    <t>Pennymart Express, PALACEWAY OKOTA</t>
  </si>
  <si>
    <t>DT:001801</t>
  </si>
  <si>
    <t>DT:001955</t>
  </si>
  <si>
    <t>Pharm Affair</t>
  </si>
  <si>
    <t>DT:000675</t>
  </si>
  <si>
    <t>DT:001700</t>
  </si>
  <si>
    <t>Philgold Superstore</t>
  </si>
  <si>
    <t>DT:000461</t>
  </si>
  <si>
    <t>Prestige Superstore, AKUTE</t>
  </si>
  <si>
    <t>DT:001458</t>
  </si>
  <si>
    <t>DT:001737</t>
  </si>
  <si>
    <t>Prestige Superstore, IGANDO</t>
  </si>
  <si>
    <t>DT:000539</t>
  </si>
  <si>
    <t>DT:000711</t>
  </si>
  <si>
    <t>DT:001129</t>
  </si>
  <si>
    <t>DT:001215</t>
  </si>
  <si>
    <t>DT:001660</t>
  </si>
  <si>
    <t>DT:001807</t>
  </si>
  <si>
    <t>Prestige Superstore, IPAJA</t>
  </si>
  <si>
    <t>DT:000353</t>
  </si>
  <si>
    <t>DT:000624</t>
  </si>
  <si>
    <t>DT:001658</t>
  </si>
  <si>
    <t>Prestige Superstore, IYANA ISHASHI</t>
  </si>
  <si>
    <t>DT:000661</t>
  </si>
  <si>
    <t>DT:001392</t>
  </si>
  <si>
    <t>DT:001661</t>
  </si>
  <si>
    <t>Prime Mart Superstore, AKESAN</t>
  </si>
  <si>
    <t>DT:000153</t>
  </si>
  <si>
    <t>DT:000287</t>
  </si>
  <si>
    <t>DT:000331</t>
  </si>
  <si>
    <t>DT:000369</t>
  </si>
  <si>
    <t>DT:000417</t>
  </si>
  <si>
    <t>DT:000493</t>
  </si>
  <si>
    <t>DT:000576</t>
  </si>
  <si>
    <t>DT:000730</t>
  </si>
  <si>
    <t>DT:000787</t>
  </si>
  <si>
    <t>DT:001003</t>
  </si>
  <si>
    <t>DT:001010</t>
  </si>
  <si>
    <t>DT:001232</t>
  </si>
  <si>
    <t>Prime Mart Superstores, CEMENT</t>
  </si>
  <si>
    <t>DT:000005</t>
  </si>
  <si>
    <t>DT:000158</t>
  </si>
  <si>
    <t>DT:000179</t>
  </si>
  <si>
    <t>DT:000290</t>
  </si>
  <si>
    <t>DT:000315</t>
  </si>
  <si>
    <t>DT:000731</t>
  </si>
  <si>
    <t>DT:000752</t>
  </si>
  <si>
    <t>DT:000877</t>
  </si>
  <si>
    <t>DT:001047</t>
  </si>
  <si>
    <t>DT:001209</t>
  </si>
  <si>
    <t>DT:001210</t>
  </si>
  <si>
    <t>DT:001491</t>
  </si>
  <si>
    <t>DT:001492</t>
  </si>
  <si>
    <t>Prime Mart Superstores, IFO</t>
  </si>
  <si>
    <t>DT:000507</t>
  </si>
  <si>
    <t>DT:001102</t>
  </si>
  <si>
    <t>DT:001222</t>
  </si>
  <si>
    <t>DT:001223</t>
  </si>
  <si>
    <t>DT:001502</t>
  </si>
  <si>
    <t>DT:001506</t>
  </si>
  <si>
    <t>Prime Mart Superstores, IPAJA</t>
  </si>
  <si>
    <t>DT:000176</t>
  </si>
  <si>
    <t>DT:000213</t>
  </si>
  <si>
    <t>DT:000293</t>
  </si>
  <si>
    <t>DT:000305</t>
  </si>
  <si>
    <t>DT:000335</t>
  </si>
  <si>
    <t>DT:000412</t>
  </si>
  <si>
    <t>DT:000694</t>
  </si>
  <si>
    <t>DT:001593</t>
  </si>
  <si>
    <t>DT:001594</t>
  </si>
  <si>
    <t>DT:001598</t>
  </si>
  <si>
    <t>DT:001708</t>
  </si>
  <si>
    <t>Prime Mart Superstores, IYANA ISASHI</t>
  </si>
  <si>
    <t>DT:000389</t>
  </si>
  <si>
    <t>DT:000487</t>
  </si>
  <si>
    <t>DT:000488</t>
  </si>
  <si>
    <t>DT:000651</t>
  </si>
  <si>
    <t>DT:000724</t>
  </si>
  <si>
    <t>DT:000732</t>
  </si>
  <si>
    <t>DT:000788</t>
  </si>
  <si>
    <t>DT:000808</t>
  </si>
  <si>
    <t>DT:000866</t>
  </si>
  <si>
    <t>DT:001394</t>
  </si>
  <si>
    <t>DT:001398</t>
  </si>
  <si>
    <t>DT:001808</t>
  </si>
  <si>
    <t>DT:001809</t>
  </si>
  <si>
    <t>Prime Mart Superstores, OKOKOMAIKO</t>
  </si>
  <si>
    <t>DT:000073</t>
  </si>
  <si>
    <t>DT:000148</t>
  </si>
  <si>
    <t>DT:000292</t>
  </si>
  <si>
    <t>DT:000332</t>
  </si>
  <si>
    <t>DT:000546</t>
  </si>
  <si>
    <t>DT:000939</t>
  </si>
  <si>
    <t>DT:001393</t>
  </si>
  <si>
    <t>DT:001397</t>
  </si>
  <si>
    <t>DT:001704</t>
  </si>
  <si>
    <t>Prince Ebeano, CHEVRON</t>
  </si>
  <si>
    <t>DT:000083</t>
  </si>
  <si>
    <t>DT:000084</t>
  </si>
  <si>
    <t>DT:000584</t>
  </si>
  <si>
    <t>DT:000646</t>
  </si>
  <si>
    <t>DT:000979</t>
  </si>
  <si>
    <t>Prince Ebeano, IKEJA</t>
  </si>
  <si>
    <t>DT:000047</t>
  </si>
  <si>
    <t>DT:000048</t>
  </si>
  <si>
    <t>DT:000175</t>
  </si>
  <si>
    <t>DT:000283</t>
  </si>
  <si>
    <t>DT:000496</t>
  </si>
  <si>
    <t>DT:000596</t>
  </si>
  <si>
    <t>Prince Ebeano, IKOTA</t>
  </si>
  <si>
    <t>DT:000870</t>
  </si>
  <si>
    <t>Prince Ebeano, JAKANDE</t>
  </si>
  <si>
    <t>DT:000949</t>
  </si>
  <si>
    <t>DT:001089</t>
  </si>
  <si>
    <t>DT:001382</t>
  </si>
  <si>
    <t>DT:001383</t>
  </si>
  <si>
    <t>DT:001677</t>
  </si>
  <si>
    <t>DT:001848</t>
  </si>
  <si>
    <t>Prince Ebeano, LEKKI</t>
  </si>
  <si>
    <t>DT:000100</t>
  </si>
  <si>
    <t>DT:000585</t>
  </si>
  <si>
    <t>DT:000586</t>
  </si>
  <si>
    <t>DT:001905</t>
  </si>
  <si>
    <t>Prince Ebeano, LEKKI DOHERTY ROAD</t>
  </si>
  <si>
    <t>DT:000034</t>
  </si>
  <si>
    <t>DT:000062</t>
  </si>
  <si>
    <t>DT:000308</t>
  </si>
  <si>
    <t>DT:000528</t>
  </si>
  <si>
    <t>DT:000648</t>
  </si>
  <si>
    <t>DT:001726</t>
  </si>
  <si>
    <t>Prince Ebeano, OLOGOLO</t>
  </si>
  <si>
    <t>DT:000010</t>
  </si>
  <si>
    <t>DT:000530</t>
  </si>
  <si>
    <t>DT:001499</t>
  </si>
  <si>
    <t>DT:001754</t>
  </si>
  <si>
    <t>DT:001757</t>
  </si>
  <si>
    <t>DT:001789</t>
  </si>
  <si>
    <t>DT:001870</t>
  </si>
  <si>
    <t>Prince Ebeano, ONIRU</t>
  </si>
  <si>
    <t>DT:000190</t>
  </si>
  <si>
    <t>DT:000587</t>
  </si>
  <si>
    <t>DT:001653</t>
  </si>
  <si>
    <t>Priviledge Superstore</t>
  </si>
  <si>
    <t>DT:001745</t>
  </si>
  <si>
    <t>DT:001747</t>
  </si>
  <si>
    <t>DT:001954</t>
  </si>
  <si>
    <t>Q Mart Supermarket</t>
  </si>
  <si>
    <t>DT:000165</t>
  </si>
  <si>
    <t>DT:000234</t>
  </si>
  <si>
    <t>DT:000477</t>
  </si>
  <si>
    <t>DT:000799</t>
  </si>
  <si>
    <t>DT:000800</t>
  </si>
  <si>
    <t>DT:001061</t>
  </si>
  <si>
    <t>DT:001226</t>
  </si>
  <si>
    <t>DT:001901</t>
  </si>
  <si>
    <t>Qmb Hypermart</t>
  </si>
  <si>
    <t>DT:000189</t>
  </si>
  <si>
    <t>DT:000508</t>
  </si>
  <si>
    <t>DT:000655</t>
  </si>
  <si>
    <t>DT:000915</t>
  </si>
  <si>
    <t>Rance Supermarket, Sangotedo</t>
  </si>
  <si>
    <t>DT:000307</t>
  </si>
  <si>
    <t>DT:000696</t>
  </si>
  <si>
    <t>DT:001426</t>
  </si>
  <si>
    <t>DT:001755</t>
  </si>
  <si>
    <t>DT:001883</t>
  </si>
  <si>
    <t>DT:001884</t>
  </si>
  <si>
    <t>Renees Supermarket, IKOYI</t>
  </si>
  <si>
    <t>DT:000226</t>
  </si>
  <si>
    <t>DT:000786</t>
  </si>
  <si>
    <t>DT:001578</t>
  </si>
  <si>
    <t>DT:001758</t>
  </si>
  <si>
    <t>DT:001790</t>
  </si>
  <si>
    <t>DT:001904</t>
  </si>
  <si>
    <t>DT:001906</t>
  </si>
  <si>
    <t>Reno Supermarket, EJIGBO</t>
  </si>
  <si>
    <t>DT:000490</t>
  </si>
  <si>
    <t>DT:000641</t>
  </si>
  <si>
    <t>Reno Supermarket, IBA</t>
  </si>
  <si>
    <t>DT:001530</t>
  </si>
  <si>
    <t>Reno Supermarket, ISHERI</t>
  </si>
  <si>
    <t>DT:001300</t>
  </si>
  <si>
    <t>DT:001301</t>
  </si>
  <si>
    <t>DT:001976</t>
  </si>
  <si>
    <t>Replenish Supermarket</t>
  </si>
  <si>
    <t>DT:001616</t>
  </si>
  <si>
    <t>Sambethel Supermarket</t>
  </si>
  <si>
    <t>DT:001113</t>
  </si>
  <si>
    <t>DT:001250</t>
  </si>
  <si>
    <t>DT:001374</t>
  </si>
  <si>
    <t>DT:001736</t>
  </si>
  <si>
    <t>DT:001864</t>
  </si>
  <si>
    <t>DT:001968</t>
  </si>
  <si>
    <t>Sengabis Supermarket</t>
  </si>
  <si>
    <t>DT:000131</t>
  </si>
  <si>
    <t>Seyos Supermarket Isheri</t>
  </si>
  <si>
    <t>DT:001135</t>
  </si>
  <si>
    <t>Shop 'N' Save Supermarket</t>
  </si>
  <si>
    <t>DT:001034</t>
  </si>
  <si>
    <t>DT:001035</t>
  </si>
  <si>
    <t>DT:001316</t>
  </si>
  <si>
    <t>DT:001607</t>
  </si>
  <si>
    <t>DT:001798</t>
  </si>
  <si>
    <t>DT:001799</t>
  </si>
  <si>
    <t>Shop Perfect Supermarket, ELEKO</t>
  </si>
  <si>
    <t>DT:000260</t>
  </si>
  <si>
    <t>DT:000264</t>
  </si>
  <si>
    <t>DT:000362</t>
  </si>
  <si>
    <t>DT:000534</t>
  </si>
  <si>
    <t>DT:000535</t>
  </si>
  <si>
    <t>DT:000705</t>
  </si>
  <si>
    <t>DT:000848</t>
  </si>
  <si>
    <t>DT:000984</t>
  </si>
  <si>
    <t>DT:001335</t>
  </si>
  <si>
    <t>Shopcity Supermarket</t>
  </si>
  <si>
    <t>DT:000064</t>
  </si>
  <si>
    <t>DT:000851</t>
  </si>
  <si>
    <t>Simply Health Pharmacy &amp; Store</t>
  </si>
  <si>
    <t>DT:000119</t>
  </si>
  <si>
    <t>Skymart Supermarket</t>
  </si>
  <si>
    <t>Smart Price Supernarket</t>
  </si>
  <si>
    <t>DT:000439</t>
  </si>
  <si>
    <t>DT:001547</t>
  </si>
  <si>
    <t>Smartie Mart, IJAIYE</t>
  </si>
  <si>
    <t>DT:000321</t>
  </si>
  <si>
    <t>DT:001225</t>
  </si>
  <si>
    <t>DT:001817</t>
  </si>
  <si>
    <t>Sobees Supermarket</t>
  </si>
  <si>
    <t>DT:001355</t>
  </si>
  <si>
    <t>DT:001428</t>
  </si>
  <si>
    <t>Solo Joy Superstore</t>
  </si>
  <si>
    <t>DT:000948</t>
  </si>
  <si>
    <t>DT:001045</t>
  </si>
  <si>
    <t>Spar, ADEOLA ODEKU</t>
  </si>
  <si>
    <t>DT:000558</t>
  </si>
  <si>
    <t>DT:000843</t>
  </si>
  <si>
    <t>DT:000957</t>
  </si>
  <si>
    <t>DT:001143</t>
  </si>
  <si>
    <t>DT:001618</t>
  </si>
  <si>
    <t>DT:001867</t>
  </si>
  <si>
    <t>Spar, CENTRAL WAREHOUSE</t>
  </si>
  <si>
    <t>DT:000775</t>
  </si>
  <si>
    <t>DT:000992</t>
  </si>
  <si>
    <t>DT:001121</t>
  </si>
  <si>
    <t>DT:001358</t>
  </si>
  <si>
    <t>DT:001626</t>
  </si>
  <si>
    <t>DT:001863</t>
  </si>
  <si>
    <t>Spar, ILUPEJU</t>
  </si>
  <si>
    <t>DT:000560</t>
  </si>
  <si>
    <t>DT:000776</t>
  </si>
  <si>
    <t>DT:000963</t>
  </si>
  <si>
    <t>DT:001123</t>
  </si>
  <si>
    <t>DT:001421</t>
  </si>
  <si>
    <t>DT:001624</t>
  </si>
  <si>
    <t>Spar, LEKKI</t>
  </si>
  <si>
    <t>DT:000557</t>
  </si>
  <si>
    <t>DT:000952</t>
  </si>
  <si>
    <t>DT:001177</t>
  </si>
  <si>
    <t>DT:001359</t>
  </si>
  <si>
    <t>DT:001651</t>
  </si>
  <si>
    <t>DT:001857</t>
  </si>
  <si>
    <t>Spar, OPEBI</t>
  </si>
  <si>
    <t>DT:000779</t>
  </si>
  <si>
    <t>DT:000947</t>
  </si>
  <si>
    <t>DT:001103</t>
  </si>
  <si>
    <t>DT:001351</t>
  </si>
  <si>
    <t>DT:001625</t>
  </si>
  <si>
    <t>Spinneys supermarket</t>
  </si>
  <si>
    <t>DT:000296</t>
  </si>
  <si>
    <t>DT:000627</t>
  </si>
  <si>
    <t>Sundry Market Square, FESTAC</t>
  </si>
  <si>
    <t>DT:001460</t>
  </si>
  <si>
    <t>DT:001623</t>
  </si>
  <si>
    <t>DT:001734</t>
  </si>
  <si>
    <t>Sundry Market Square, GBAGADA</t>
  </si>
  <si>
    <t>DT:001767</t>
  </si>
  <si>
    <t>DT:001768</t>
  </si>
  <si>
    <t>DT:001845</t>
  </si>
  <si>
    <t>Sundry Market Square, LEKKI</t>
  </si>
  <si>
    <t>DT:001381</t>
  </si>
  <si>
    <t>Sundry Market Square, MARYLAND</t>
  </si>
  <si>
    <t>DT:000991</t>
  </si>
  <si>
    <t>Sundry Market Square, Otta</t>
  </si>
  <si>
    <t>DT:001329</t>
  </si>
  <si>
    <t>DT:001330</t>
  </si>
  <si>
    <t>DT:001772</t>
  </si>
  <si>
    <t>DT:001773</t>
  </si>
  <si>
    <t>Sundry Markets Square, OKOTA</t>
  </si>
  <si>
    <t>DT:001597</t>
  </si>
  <si>
    <t>DT:001688</t>
  </si>
  <si>
    <t>DT:001796</t>
  </si>
  <si>
    <t>DT:001953</t>
  </si>
  <si>
    <t>Sunrise Warehouse, IBADAN</t>
  </si>
  <si>
    <t>DT:000975</t>
  </si>
  <si>
    <t>Supermart Supermarket, NNPC</t>
  </si>
  <si>
    <t>DT:000086</t>
  </si>
  <si>
    <t>DT:000884</t>
  </si>
  <si>
    <t>DT:000969</t>
  </si>
  <si>
    <t>DT:001549</t>
  </si>
  <si>
    <t>Supersaver Supermarket, AGO</t>
  </si>
  <si>
    <t>DT:000246</t>
  </si>
  <si>
    <t>DT:000543</t>
  </si>
  <si>
    <t>DT:000861</t>
  </si>
  <si>
    <t>DT:001066</t>
  </si>
  <si>
    <t>Supersaver, AJAO</t>
  </si>
  <si>
    <t>DT:000279</t>
  </si>
  <si>
    <t>Supersaver, ALAPERE</t>
  </si>
  <si>
    <t>DT:000677</t>
  </si>
  <si>
    <t>Supersaver, KETU</t>
  </si>
  <si>
    <t>DT:000231</t>
  </si>
  <si>
    <t>DT:001963</t>
  </si>
  <si>
    <t>Supersaver, LEKKI</t>
  </si>
  <si>
    <t>Supersaver, OSAPA</t>
  </si>
  <si>
    <t>DT:001762</t>
  </si>
  <si>
    <t>Supersaver, SHANGISHA</t>
  </si>
  <si>
    <t>DT:000230</t>
  </si>
  <si>
    <t>DT:001841</t>
  </si>
  <si>
    <t>DT:001842</t>
  </si>
  <si>
    <t>Sweet Sensation, OLOWORA</t>
  </si>
  <si>
    <t>DT:001287</t>
  </si>
  <si>
    <t>DT:001631</t>
  </si>
  <si>
    <t>Target Supermarket</t>
  </si>
  <si>
    <t>DT:000663</t>
  </si>
  <si>
    <t>DT:000791</t>
  </si>
  <si>
    <t>DT:001093</t>
  </si>
  <si>
    <t>Terra Culture</t>
  </si>
  <si>
    <t>DT:000691</t>
  </si>
  <si>
    <t>Texon Supermarket, OGUDU</t>
  </si>
  <si>
    <t>DT:000681</t>
  </si>
  <si>
    <t>DT:000682</t>
  </si>
  <si>
    <t>DT:001697</t>
  </si>
  <si>
    <t>DT:001851</t>
  </si>
  <si>
    <t>DT:001852</t>
  </si>
  <si>
    <t>The Bazzar, ILUPEJU</t>
  </si>
  <si>
    <t>DT:001725</t>
  </si>
  <si>
    <t>The Chop Villa Restuarant</t>
  </si>
  <si>
    <t>DT:000001</t>
  </si>
  <si>
    <t>The Drinks Shop</t>
  </si>
  <si>
    <t>DT:000839</t>
  </si>
  <si>
    <t>Tiwa Supermarket, SANGOTEDO</t>
  </si>
  <si>
    <t>Toasties Restaurant</t>
  </si>
  <si>
    <t>DT:000117</t>
  </si>
  <si>
    <t>DT:001882</t>
  </si>
  <si>
    <t>Topnotch Supermarket</t>
  </si>
  <si>
    <t>DT:000910</t>
  </si>
  <si>
    <t>Total Bonjour Cafe, AWOLOWO</t>
  </si>
  <si>
    <t>DT:001686</t>
  </si>
  <si>
    <t>TQV Supermarket</t>
  </si>
  <si>
    <t>DT:000030</t>
  </si>
  <si>
    <t>DT:000687</t>
  </si>
  <si>
    <t>DT:001609</t>
  </si>
  <si>
    <t>DT:001610</t>
  </si>
  <si>
    <t>Trimart Supermarket, LEKKI</t>
  </si>
  <si>
    <t>DT:000436</t>
  </si>
  <si>
    <t>DT:001257</t>
  </si>
  <si>
    <t>DT:001638</t>
  </si>
  <si>
    <t>Trolley Supermarket</t>
  </si>
  <si>
    <t>DT:000326</t>
  </si>
  <si>
    <t>DT:000635</t>
  </si>
  <si>
    <t>DT:000853</t>
  </si>
  <si>
    <t>DT:000926</t>
  </si>
  <si>
    <t>Twins Faja Supermarket, ABARENJE</t>
  </si>
  <si>
    <t>DT:001705</t>
  </si>
  <si>
    <t>DT:001830</t>
  </si>
  <si>
    <t>DT:001831</t>
  </si>
  <si>
    <t>DT:001978</t>
  </si>
  <si>
    <t>Twins Faja Supermarket, EGBEDA</t>
  </si>
  <si>
    <t>DT:001174</t>
  </si>
  <si>
    <t>DT:001438</t>
  </si>
  <si>
    <t>DT:001439</t>
  </si>
  <si>
    <t>DT:001828</t>
  </si>
  <si>
    <t>Twins Faja Supermarket, IGBESA</t>
  </si>
  <si>
    <t>DT:000261</t>
  </si>
  <si>
    <t>DT:000858</t>
  </si>
  <si>
    <t>DT:001389</t>
  </si>
  <si>
    <t>DT:001662</t>
  </si>
  <si>
    <t>DT:001690</t>
  </si>
  <si>
    <t>DT:001985</t>
  </si>
  <si>
    <t>Twins Faja Supermarket, IJANIKIN</t>
  </si>
  <si>
    <t>DT:001390</t>
  </si>
  <si>
    <t>DT:001391</t>
  </si>
  <si>
    <t>DT:001981</t>
  </si>
  <si>
    <t>DT:001982</t>
  </si>
  <si>
    <t>Twins Faja Supermarket, IJEGUN Isolo Rd.</t>
  </si>
  <si>
    <t>DT:001835</t>
  </si>
  <si>
    <t>DT:001836</t>
  </si>
  <si>
    <t>DT:001975</t>
  </si>
  <si>
    <t>DT:001983</t>
  </si>
  <si>
    <t>Twins Faja Supermarket, IJEGUN Prince B. Stop</t>
  </si>
  <si>
    <t>DT:001984</t>
  </si>
  <si>
    <t>Twins Faja Supermarket, IKOTUN Road</t>
  </si>
  <si>
    <t>DT:000250</t>
  </si>
  <si>
    <t>DT:000452</t>
  </si>
  <si>
    <t>DT:001303</t>
  </si>
  <si>
    <t>Twins Faja Supermarket, LASU-IPAYE</t>
  </si>
  <si>
    <t>DT:001396</t>
  </si>
  <si>
    <t>DT:001399</t>
  </si>
  <si>
    <t>DT:001706</t>
  </si>
  <si>
    <t>DT:001939</t>
  </si>
  <si>
    <t>DT:001940</t>
  </si>
  <si>
    <t>Twins Faja Supermarket, Lekki</t>
  </si>
  <si>
    <t>DT:000229</t>
  </si>
  <si>
    <t>DT:000313</t>
  </si>
  <si>
    <t>DT:001016</t>
  </si>
  <si>
    <t>DT:001759</t>
  </si>
  <si>
    <t>Twins Faja Supermarket, OLAKUNLE</t>
  </si>
  <si>
    <t>DT:001832</t>
  </si>
  <si>
    <t>DT:001833</t>
  </si>
  <si>
    <t>Twins Faja Supermarket, OROPO</t>
  </si>
  <si>
    <t>DT:001703</t>
  </si>
  <si>
    <t>DT:001776</t>
  </si>
  <si>
    <t>DT:001979</t>
  </si>
  <si>
    <t>UBA Pharmacy and Supermarket, ELEGANZA</t>
  </si>
  <si>
    <t>DT:000985</t>
  </si>
  <si>
    <t>DT:001907</t>
  </si>
  <si>
    <t>UBA Supermarket and Pharmacy, AWOYAYA</t>
  </si>
  <si>
    <t>DT:001760</t>
  </si>
  <si>
    <t>Unique J-Mart</t>
  </si>
  <si>
    <t>DT:000011</t>
  </si>
  <si>
    <t>DT:000207</t>
  </si>
  <si>
    <t>DT:000403</t>
  </si>
  <si>
    <t>V Mart, ILUPEJU</t>
  </si>
  <si>
    <t>DT:001741</t>
  </si>
  <si>
    <t>Value Exchange Supermarket, AREPO</t>
  </si>
  <si>
    <t>DT:000593</t>
  </si>
  <si>
    <t>DT:000602</t>
  </si>
  <si>
    <t>DT:001550</t>
  </si>
  <si>
    <t>Value Exchange Supermarket, KESHI</t>
  </si>
  <si>
    <t>DT:001990</t>
  </si>
  <si>
    <t>Valuemart Supermarket</t>
  </si>
  <si>
    <t>DT:001823</t>
  </si>
  <si>
    <t>DT:001824</t>
  </si>
  <si>
    <t>Vanguard Pharmacy</t>
  </si>
  <si>
    <t>Winni Supermarket</t>
  </si>
  <si>
    <t>DT:000498</t>
  </si>
  <si>
    <t>DT:000609</t>
  </si>
  <si>
    <t>DT:001243</t>
  </si>
  <si>
    <t>DT:001628</t>
  </si>
  <si>
    <t>Wise Buyer Supermarkets, Arepo</t>
  </si>
  <si>
    <t>DT:000160</t>
  </si>
  <si>
    <t>DT:000834</t>
  </si>
  <si>
    <t>DT:001820</t>
  </si>
  <si>
    <t>DT:001974</t>
  </si>
  <si>
    <t>Wise Buyer Supermarkets, MAGBORO</t>
  </si>
  <si>
    <t>DT:000140</t>
  </si>
  <si>
    <t>DT:000221</t>
  </si>
  <si>
    <t>DT:001821</t>
  </si>
  <si>
    <t>DT:001988</t>
  </si>
  <si>
    <t>Wondermart Supermarket</t>
  </si>
  <si>
    <t>Xtrarite Supermarket</t>
  </si>
  <si>
    <t>DT:001484</t>
  </si>
  <si>
    <t>DT:001840</t>
  </si>
  <si>
    <t>Zade Ventures</t>
  </si>
  <si>
    <t>DT:000760</t>
  </si>
  <si>
    <t>DT:001648</t>
  </si>
  <si>
    <t>DT:001846</t>
  </si>
  <si>
    <t>Zellers Supermarket</t>
  </si>
  <si>
    <t>DT:001318</t>
  </si>
  <si>
    <t>Zomain Supermarket, EJIGBO</t>
  </si>
  <si>
    <t>DT:000764</t>
  </si>
  <si>
    <t>DT:000872</t>
  </si>
  <si>
    <t>DT:001131</t>
  </si>
  <si>
    <t>Zomain Supermarket, JAKANDE Gate</t>
  </si>
  <si>
    <t>DT:000402</t>
  </si>
  <si>
    <t>DT:000875</t>
  </si>
  <si>
    <t>DT:001732</t>
  </si>
  <si>
    <t>DT:001733</t>
  </si>
  <si>
    <t>SUM of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</si>
</sst>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-yyyy"/>
    <numFmt numFmtId="165" formatCode="d-mmm-yyyy"/>
    <numFmt numFmtId="166" formatCode="dd-mmm-yyyy"/>
    <numFmt numFmtId="167" formatCode="dd-mmmm-yyyy"/>
    <numFmt numFmtId="168" formatCode="d-mm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sz val="12.0"/>
      <color rgb="FF000000"/>
      <name val="Arial"/>
    </font>
    <font>
      <color rgb="FF000000"/>
      <name val="Arial"/>
    </font>
    <font>
      <i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5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8" fillId="2" fontId="5" numFmtId="0" xfId="0" applyAlignment="1" applyBorder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10" fillId="2" fontId="2" numFmtId="164" xfId="0" applyAlignment="1" applyBorder="1" applyFont="1" applyNumberFormat="1">
      <alignment horizontal="right" readingOrder="0" shrinkToFit="0" vertical="top" wrapText="0"/>
    </xf>
    <xf borderId="2" fillId="2" fontId="3" numFmtId="0" xfId="0" applyAlignment="1" applyBorder="1" applyFont="1">
      <alignment readingOrder="0" shrinkToFit="0" vertical="top" wrapText="0"/>
    </xf>
    <xf borderId="2" fillId="2" fontId="2" numFmtId="0" xfId="0" applyAlignment="1" applyBorder="1" applyFont="1">
      <alignment horizontal="right" readingOrder="0" shrinkToFit="0" vertical="top" wrapText="0"/>
    </xf>
    <xf borderId="11" fillId="2" fontId="2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9" fillId="2" fontId="3" numFmtId="0" xfId="0" applyAlignment="1" applyBorder="1" applyFont="1">
      <alignment readingOrder="0" vertical="top"/>
    </xf>
    <xf borderId="10" fillId="0" fontId="2" numFmtId="164" xfId="0" applyAlignment="1" applyBorder="1" applyFont="1" applyNumberFormat="1">
      <alignment horizontal="right" readingOrder="0" shrinkToFit="0" vertical="top" wrapText="0"/>
    </xf>
    <xf borderId="10" fillId="0" fontId="3" numFmtId="0" xfId="0" applyAlignment="1" applyBorder="1" applyFont="1">
      <alignment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12" fillId="0" fontId="2" numFmtId="0" xfId="0" applyAlignment="1" applyBorder="1" applyFont="1">
      <alignment horizontal="right" readingOrder="0" shrinkToFit="0" vertical="top" wrapText="0"/>
    </xf>
    <xf borderId="10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3" fillId="0" fontId="6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6" numFmtId="2" xfId="0" applyBorder="1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3" fillId="2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13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4" fillId="0" fontId="1" numFmtId="0" xfId="0" applyAlignment="1" applyBorder="1" applyFont="1">
      <alignment shrinkToFit="0" vertical="bottom" wrapText="0"/>
    </xf>
    <xf borderId="14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3" fillId="3" fontId="1" numFmtId="0" xfId="0" applyAlignment="1" applyBorder="1" applyFont="1">
      <alignment readingOrder="0" shrinkToFit="0" vertical="bottom" wrapText="0"/>
    </xf>
    <xf borderId="14" fillId="0" fontId="1" numFmtId="4" xfId="0" applyAlignment="1" applyBorder="1" applyFont="1" applyNumberFormat="1">
      <alignment readingOrder="0" shrinkToFit="0" vertical="bottom" wrapText="0"/>
    </xf>
    <xf borderId="14" fillId="4" fontId="1" numFmtId="10" xfId="0" applyAlignment="1" applyBorder="1" applyFont="1" applyNumberFormat="1">
      <alignment horizontal="right" readingOrder="0" shrinkToFit="0" vertical="bottom" wrapText="0"/>
    </xf>
    <xf borderId="14" fillId="0" fontId="1" numFmtId="0" xfId="0" applyAlignment="1" applyBorder="1" applyFont="1">
      <alignment readingOrder="0" shrinkToFit="0" vertical="bottom" wrapText="0"/>
    </xf>
    <xf borderId="14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3" fillId="4" fontId="1" numFmtId="10" xfId="0" applyAlignment="1" applyBorder="1" applyFont="1" applyNumberFormat="1">
      <alignment horizontal="right" readingOrder="0" shrinkToFit="0" vertical="bottom" wrapText="0"/>
    </xf>
    <xf borderId="14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9" fillId="0" fontId="1" numFmtId="0" xfId="0" applyAlignment="1" applyBorder="1" applyFont="1">
      <alignment readingOrder="0" shrinkToFit="0" vertical="bottom" wrapText="0"/>
    </xf>
    <xf borderId="14" fillId="0" fontId="1" numFmtId="0" xfId="0" applyAlignment="1" applyBorder="1" applyFont="1">
      <alignment horizontal="right" readingOrder="0" shrinkToFit="0" vertical="bottom" wrapText="0"/>
    </xf>
    <xf borderId="9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0" fillId="0" fontId="11" numFmtId="0" xfId="0" applyAlignment="1" applyFont="1">
      <alignment readingOrder="0" shrinkToFit="0" vertical="top" wrapText="0"/>
    </xf>
    <xf borderId="0" fillId="0" fontId="11" numFmtId="0" xfId="0" applyAlignment="1" applyFont="1">
      <alignment shrinkToFit="0" vertical="top" wrapText="0"/>
    </xf>
    <xf borderId="0" fillId="0" fontId="12" numFmtId="0" xfId="0" applyAlignment="1" applyFont="1">
      <alignment shrinkToFit="0" vertical="top" wrapText="0"/>
    </xf>
    <xf borderId="3" fillId="0" fontId="12" numFmtId="0" xfId="0" applyAlignment="1" applyBorder="1" applyFont="1">
      <alignment horizontal="right" readingOrder="0" shrinkToFit="0" vertical="top" wrapText="0"/>
    </xf>
    <xf borderId="3" fillId="0" fontId="12" numFmtId="0" xfId="0" applyAlignment="1" applyBorder="1" applyFont="1">
      <alignment horizontal="left" readingOrder="0" shrinkToFit="0" vertical="top" wrapText="0"/>
    </xf>
    <xf borderId="3" fillId="0" fontId="12" numFmtId="0" xfId="0" applyAlignment="1" applyBorder="1" applyFont="1">
      <alignment readingOrder="0" shrinkToFit="0" vertical="top" wrapText="0"/>
    </xf>
    <xf borderId="3" fillId="0" fontId="13" numFmtId="0" xfId="0" applyAlignment="1" applyBorder="1" applyFon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3" fillId="0" fontId="12" numFmtId="165" xfId="0" applyAlignment="1" applyBorder="1" applyFont="1" applyNumberFormat="1">
      <alignment horizontal="right" readingOrder="0" shrinkToFit="0" vertical="top" wrapText="0"/>
    </xf>
    <xf borderId="3" fillId="0" fontId="12" numFmtId="4" xfId="0" applyAlignment="1" applyBorder="1" applyFont="1" applyNumberFormat="1">
      <alignment horizontal="right" readingOrder="0" shrinkToFit="0" vertical="top" wrapText="0"/>
    </xf>
    <xf borderId="3" fillId="0" fontId="12" numFmtId="166" xfId="0" applyAlignment="1" applyBorder="1" applyFont="1" applyNumberFormat="1">
      <alignment horizontal="right" readingOrder="0" shrinkToFit="0" vertical="top" wrapText="0"/>
    </xf>
    <xf borderId="3" fillId="0" fontId="12" numFmtId="167" xfId="0" applyAlignment="1" applyBorder="1" applyFont="1" applyNumberFormat="1">
      <alignment horizontal="right" readingOrder="0" shrinkToFit="0" vertical="top" wrapText="0"/>
    </xf>
    <xf borderId="3" fillId="0" fontId="12" numFmtId="168" xfId="0" applyAlignment="1" applyBorder="1" applyFont="1" applyNumberFormat="1">
      <alignment horizontal="right" readingOrder="0" shrinkToFit="0" vertical="top" wrapText="0"/>
    </xf>
    <xf borderId="2" fillId="0" fontId="12" numFmtId="166" xfId="0" applyAlignment="1" applyBorder="1" applyFont="1" applyNumberFormat="1">
      <alignment horizontal="right" readingOrder="0" shrinkToFit="0" vertical="top" wrapText="0"/>
    </xf>
    <xf borderId="2" fillId="0" fontId="12" numFmtId="0" xfId="0" applyAlignment="1" applyBorder="1" applyFont="1">
      <alignment readingOrder="0" shrinkToFit="0" vertical="top" wrapText="0"/>
    </xf>
    <xf borderId="2" fillId="0" fontId="12" numFmtId="4" xfId="0" applyAlignment="1" applyBorder="1" applyFont="1" applyNumberFormat="1">
      <alignment horizontal="right" readingOrder="0" shrinkToFit="0" vertical="top" wrapText="0"/>
    </xf>
    <xf borderId="2" fillId="0" fontId="13" numFmtId="0" xfId="0" applyAlignment="1" applyBorder="1" applyFont="1">
      <alignment horizontal="right" readingOrder="0" shrinkToFit="0" vertical="top" wrapText="0"/>
    </xf>
    <xf borderId="0" fillId="0" fontId="4" numFmtId="165" xfId="0" applyFont="1" applyNumberFormat="1"/>
    <xf borderId="0" fillId="0" fontId="4" numFmtId="166" xfId="0" applyFont="1" applyNumberFormat="1"/>
    <xf borderId="0" fillId="0" fontId="4" numFmtId="167" xfId="0" applyFont="1" applyNumberFormat="1"/>
    <xf borderId="0" fillId="0" fontId="4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5.xml"/><Relationship Id="rId11" Type="http://schemas.openxmlformats.org/officeDocument/2006/relationships/worksheet" Target="worksheets/sheet7.xml"/><Relationship Id="rId22" Type="http://schemas.openxmlformats.org/officeDocument/2006/relationships/pivotCacheDefinition" Target="pivotCache/pivotCacheDefinition7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4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3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Lemongrass Tea (12x)"/>
        <s v="56g Moringa Tea (12x)"/>
        <m/>
      </sharedItems>
    </cacheField>
    <cacheField name="Date" numFmtId="4">
      <sharedItems containsString="0" containsBlank="1" containsNumber="1" containsInteger="1">
        <n v="45860.0"/>
        <n v="45862.0"/>
        <m/>
      </sharedItems>
    </cacheField>
    <cacheField name="Particulars" numFmtId="0">
      <sharedItems containsBlank="1">
        <s v="Renees Supermarket, FREEDOM WAY"/>
        <s v="Renees Supermarket, LEKKI CENTRAL MOSQUE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87"/>
        <s v="DT:001917"/>
        <s v="DT:001889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2000.0"/>
        <n v="34200.0"/>
        <n v="21000.0"/>
        <m/>
      </sharedItems>
    </cacheField>
    <cacheField name="Total value" numFmtId="0">
      <sharedItems containsSemiMixedTypes="0" containsString="0" containsNumber="1" containsInteger="1">
        <n v="42000.0"/>
        <n v="110400.0"/>
        <n v="21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Lemongrass Tea (12x)"/>
        <s v="56g Moringa Tea (12x)"/>
        <m/>
      </sharedItems>
    </cacheField>
    <cacheField name="Date" numFmtId="4">
      <sharedItems containsString="0" containsBlank="1" containsNumber="1" containsInteger="1">
        <n v="45860.0"/>
        <n v="45862.0"/>
        <m/>
      </sharedItems>
    </cacheField>
    <cacheField name="Particulars" numFmtId="0">
      <sharedItems containsBlank="1">
        <s v="Renees Supermarket, FREEDOM WAY"/>
        <s v="Renees Supermarket, LEKKI CENTRAL MOSQUE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87"/>
        <s v="DT:001917"/>
        <s v="DT:001889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2000.0"/>
        <n v="34200.0"/>
        <n v="21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Blank="1">
        <s v="500g Toddler Protein (12x)"/>
        <s v="56g Lemongrass Tea (12x)"/>
        <s v="56g Soursop Tea (12x)"/>
        <m/>
      </sharedItems>
    </cacheField>
    <cacheField name="Date" numFmtId="4">
      <sharedItems containsString="0" containsBlank="1" containsNumber="1" containsInteger="1">
        <n v="45856.0"/>
        <n v="45862.0"/>
        <n v="45857.0"/>
        <n v="45859.0"/>
        <m/>
      </sharedItems>
    </cacheField>
    <cacheField name="Particulars" numFmtId="0">
      <sharedItems containsBlank="1">
        <s v="De Prince Supermarket, GBAGADA"/>
        <s v="Goodiss Supermarket"/>
        <s v="Jendol, ABULEGBA"/>
        <s v="Jendol, IPAJA"/>
        <s v="Jendol, OJODU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61.0"/>
        <n v="177.0"/>
        <n v="162.0"/>
        <n v="168.0"/>
        <n v="169.0"/>
        <m/>
      </sharedItems>
    </cacheField>
    <cacheField name="Quantity" numFmtId="4">
      <sharedItems containsString="0" containsBlank="1" containsNumber="1">
        <n v="4.0"/>
        <n v="0.5"/>
        <n v="1.0"/>
        <m/>
      </sharedItems>
    </cacheField>
    <cacheField name="Value" numFmtId="4">
      <sharedItems containsString="0" containsBlank="1" containsNumber="1" containsInteger="1">
        <n v="168000.0"/>
        <n v="17100.0"/>
        <n v="42000.0"/>
        <n v="21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F1178" sheet="Sheet11"/>
  </cacheSource>
  <cacheFields>
    <cacheField name="Date" numFmtId="165">
      <sharedItems containsSemiMixedTypes="0" containsDate="1" containsString="0">
        <d v="2025-07-29T00:00:00Z"/>
        <d v="2024-10-17T00:00:00Z"/>
        <d v="2025-01-14T00:00:00Z"/>
        <d v="2025-07-24T00:00:00Z"/>
        <d v="2024-11-28T00:00:00Z"/>
        <d v="2025-03-12T00:00:00Z"/>
        <d v="2025-02-14T00:00:00Z"/>
        <d v="2025-06-05T00:00:00Z"/>
        <d v="2025-07-23T00:00:00Z"/>
        <d v="2024-09-08T00:00:00Z"/>
        <d v="2024-10-21T00:00:00Z"/>
        <d v="2024-12-31T00:00:00Z"/>
        <d v="2025-06-27T00:00:00Z"/>
        <d v="2024-09-25T00:00:00Z"/>
        <d v="2025-05-01T00:00:00Z"/>
        <d v="2025-07-15T00:00:00Z"/>
        <d v="2025-01-07T00:00:00Z"/>
        <d v="2025-03-28T00:00:00Z"/>
        <d v="2024-08-24T00:00:00Z"/>
        <d v="2025-01-29T00:00:00Z"/>
        <d v="2024-10-09T00:00:00Z"/>
        <d v="2024-12-26T00:00:00Z"/>
        <d v="2025-06-17T00:00:00Z"/>
        <d v="2024-11-26T00:00:00Z"/>
        <d v="2025-04-24T00:00:00Z"/>
        <d v="2025-01-16T00:00:00Z"/>
        <d v="2024-11-15T00:00:00Z"/>
        <d v="2025-02-01T00:00:00Z"/>
        <d v="2025-04-01T00:00:00Z"/>
        <d v="2025-04-25T00:00:00Z"/>
        <d v="2024-10-23T00:00:00Z"/>
        <d v="2025-02-15T00:00:00Z"/>
        <d v="2025-04-23T00:00:00Z"/>
        <d v="2025-03-05T00:00:00Z"/>
        <d v="2024-09-09T00:00:00Z"/>
        <d v="2024-12-17T00:00:00Z"/>
        <d v="2025-02-10T00:00:00Z"/>
        <d v="2025-04-17T00:00:00Z"/>
        <d v="2025-01-21T00:00:00Z"/>
        <d v="2024-11-18T00:00:00Z"/>
        <d v="2025-01-17T00:00:00Z"/>
        <d v="2025-03-13T00:00:00Z"/>
        <d v="2025-07-30T00:00:00Z"/>
        <d v="2025-02-17T00:00:00Z"/>
        <d v="2025-04-14T00:00:00Z"/>
        <d v="2024-11-25T00:00:00Z"/>
        <d v="2025-03-10T00:00:00Z"/>
        <d v="2025-04-05T00:00:00Z"/>
        <d v="2025-06-13T00:00:00Z"/>
        <d v="2025-06-30T00:00:00Z"/>
        <d v="2025-01-03T00:00:00Z"/>
        <d v="2025-01-22T00:00:00Z"/>
        <d v="2024-09-13T00:00:00Z"/>
        <d v="2025-03-18T00:00:00Z"/>
        <d v="2024-12-14T00:00:00Z"/>
        <d v="2025-03-21T00:00:00Z"/>
        <d v="2025-02-03T00:00:00Z"/>
        <d v="2025-06-21T00:00:00Z"/>
        <d v="2025-06-26T00:00:00Z"/>
        <d v="2025-07-10T00:00:00Z"/>
        <d v="2025-07-26T00:00:00Z"/>
        <d v="2025-02-13T00:00:00Z"/>
        <d v="2025-07-09T00:00:00Z"/>
        <d v="2025-01-24T00:00:00Z"/>
        <d v="2025-07-01T00:00:00Z"/>
        <d v="2025-07-21T00:00:00Z"/>
        <d v="2025-03-31T00:00:00Z"/>
        <d v="2024-10-16T00:00:00Z"/>
        <d v="2025-03-27T00:00:00Z"/>
        <d v="2025-02-07T00:00:00Z"/>
        <d v="2025-04-18T00:00:00Z"/>
        <d v="2025-04-29T00:00:00Z"/>
        <d v="2025-05-08T00:00:00Z"/>
        <d v="2025-01-09T00:00:00Z"/>
        <d v="2025-01-23T00:00:00Z"/>
        <d v="2025-03-07T00:00:00Z"/>
        <d v="2025-03-20T00:00:00Z"/>
        <d v="2025-04-10T00:00:00Z"/>
        <d v="2025-05-14T00:00:00Z"/>
        <d v="2025-05-31T00:00:00Z"/>
        <d v="2025-06-04T00:00:00Z"/>
        <d v="2025-06-19T00:00:00Z"/>
        <d v="2025-07-02T00:00:00Z"/>
        <d v="2025-02-20T00:00:00Z"/>
        <d v="2025-01-30T00:00:00Z"/>
        <d v="2024-10-25T00:00:00Z"/>
        <d v="2024-10-30T00:00:00Z"/>
        <d v="2024-11-12T00:00:00Z"/>
        <d v="2024-11-13T00:00:00Z"/>
        <d v="2024-11-29T00:00:00Z"/>
        <d v="2024-12-05T00:00:00Z"/>
        <d v="2025-03-19T00:00:00Z"/>
        <d v="2024-12-18T00:00:00Z"/>
        <d v="2025-02-05T00:00:00Z"/>
        <d v="2025-03-03T00:00:00Z"/>
        <d v="2025-05-29T00:00:00Z"/>
        <d v="2025-06-16T00:00:00Z"/>
        <d v="2025-06-18T00:00:00Z"/>
        <d v="2024-09-12T00:00:00Z"/>
        <d v="2024-10-04T00:00:00Z"/>
        <d v="2025-04-02T00:00:00Z"/>
        <d v="2025-05-16T00:00:00Z"/>
        <d v="2025-07-22T00:00:00Z"/>
        <d v="2024-09-20T00:00:00Z"/>
        <d v="2025-01-31T00:00:00Z"/>
        <d v="2025-02-24T00:00:00Z"/>
        <d v="2025-07-18T00:00:00Z"/>
        <d v="2025-03-17T00:00:00Z"/>
        <d v="2025-07-04T00:00:00Z"/>
        <d v="2025-07-28T00:00:00Z"/>
        <d v="2025-05-06T00:00:00Z"/>
        <d v="2025-05-21T00:00:00Z"/>
        <d v="2025-06-25T00:00:00Z"/>
        <d v="2024-11-04T00:00:00Z"/>
        <d v="2024-10-03T00:00:00Z"/>
        <d v="2024-12-13T00:00:00Z"/>
        <d v="2025-06-23T00:00:00Z"/>
        <d v="2024-10-11T00:00:00Z"/>
        <d v="2024-11-06T00:00:00Z"/>
        <d v="2024-11-20T00:00:00Z"/>
        <d v="2024-12-12T00:00:00Z"/>
        <d v="2024-12-20T00:00:00Z"/>
        <d v="2025-05-26T00:00:00Z"/>
        <d v="2025-05-30T00:00:00Z"/>
        <d v="2024-10-08T00:00:00Z"/>
        <d v="2024-11-27T00:00:00Z"/>
        <d v="2025-05-23T00:00:00Z"/>
        <d v="2025-05-28T00:00:00Z"/>
        <d v="2024-12-06T00:00:00Z"/>
        <d v="2024-10-29T00:00:00Z"/>
        <d v="2025-02-18T00:00:00Z"/>
        <d v="2025-07-25T00:00:00Z"/>
        <d v="2025-05-10T00:00:00Z"/>
        <d v="2025-01-08T00:00:00Z"/>
        <d v="2024-12-21T00:00:00Z"/>
        <d v="2024-10-14T00:00:00Z"/>
        <d v="2024-12-24T00:00:00Z"/>
        <d v="2025-03-11T00:00:00Z"/>
        <d v="2025-05-09T00:00:00Z"/>
        <d v="2025-04-28T00:00:00Z"/>
        <d v="2024-10-26T00:00:00Z"/>
        <d v="2024-12-09T00:00:00Z"/>
        <d v="2025-06-02T00:00:00Z"/>
        <d v="2024-11-07T00:00:00Z"/>
        <d v="2025-07-17T00:00:00Z"/>
        <d v="2025-01-18T00:00:00Z"/>
        <d v="2024-10-10T00:00:00Z"/>
        <d v="2025-03-25T00:00:00Z"/>
        <d v="2025-05-15T00:00:00Z"/>
        <d v="2024-10-22T00:00:00Z"/>
        <d v="2025-05-13T00:00:00Z"/>
        <d v="2024-09-11T00:00:00Z"/>
        <d v="2025-05-07T00:00:00Z"/>
        <d v="2025-06-24T00:00:00Z"/>
        <d v="2024-10-18T00:00:00Z"/>
        <d v="2025-02-04T00:00:00Z"/>
        <d v="2024-08-08T00:00:00Z"/>
        <d v="2024-12-11T00:00:00Z"/>
        <d v="2024-11-08T00:00:00Z"/>
        <d v="2025-06-10T00:00:00Z"/>
        <d v="2025-03-01T00:00:00Z"/>
        <d v="2025-05-20T00:00:00Z"/>
        <d v="2025-06-14T00:00:00Z"/>
        <d v="2024-11-05T00:00:00Z"/>
        <d v="2024-12-04T00:00:00Z"/>
        <d v="2025-03-29T00:00:00Z"/>
        <d v="2025-02-11T00:00:00Z"/>
        <d v="2025-04-16T00:00:00Z"/>
        <d v="2025-04-19T00:00:00Z"/>
        <d v="2025-05-27T00:00:00Z"/>
        <d v="2025-01-27T00:00:00Z"/>
        <d v="2024-12-19T00:00:00Z"/>
        <d v="2025-07-11T00:00:00Z"/>
        <d v="2025-06-20T00:00:00Z"/>
        <d v="2025-06-06T00:00:00Z"/>
        <d v="2024-11-21T00:00:00Z"/>
        <d v="2025-06-03T00:00:00Z"/>
        <d v="2025-06-12T00:00:00Z"/>
        <d v="2025-07-03T00:00:00Z"/>
        <d v="2024-07-26T00:00:00Z"/>
        <d v="2025-05-24T00:00:00Z"/>
        <d v="2025-07-19T00:00:00Z"/>
        <d v="2025-07-07T00:00:00Z"/>
        <d v="2024-12-10T00:00:00Z"/>
        <d v="2025-06-11T00:00:00Z"/>
        <d v="2025-02-27T00:00:00Z"/>
        <d v="2025-03-26T00:00:00Z"/>
        <d v="2025-05-03T00:00:00Z"/>
        <d v="2025-03-24T00:00:00Z"/>
        <d v="2025-04-15T00:00:00Z"/>
        <d v="2025-04-30T00:00:00Z"/>
        <d v="2025-02-21T00:00:00Z"/>
        <d v="2024-09-30T00:00:00Z"/>
        <d v="2025-07-31T00:00:00Z"/>
        <d v="2025-05-19T00:00:00Z"/>
        <d v="2025-05-05T00:00:00Z"/>
        <d v="2024-12-07T00:00:00Z"/>
        <d v="2025-04-09T00:00:00Z"/>
        <d v="2024-07-24T00:00:00Z"/>
        <d v="2025-04-08T00:00:00Z"/>
        <d v="2024-11-22T00:00:00Z"/>
        <d v="2025-05-22T00:00:00Z"/>
        <d v="2024-10-31T00:00:00Z"/>
        <d v="2025-02-19T00:00:00Z"/>
        <d v="2025-05-02T00:00:00Z"/>
        <d v="2025-01-02T00:00:00Z"/>
        <d v="2024-11-14T00:00:00Z"/>
        <d v="2025-04-11T00:00:00Z"/>
        <d v="2025-01-15T00:00:00Z"/>
        <d v="2024-12-27T00:00:00Z"/>
        <d v="2025-01-13T00:00:00Z"/>
        <d v="2025-02-28T00:00:00Z"/>
        <d v="2025-05-12T00:00:00Z"/>
        <d v="2025-01-10T00:00:00Z"/>
        <d v="2025-04-22T00:00:00Z"/>
        <d v="2025-02-25T00:00:00Z"/>
        <d v="2025-04-26T00:00:00Z"/>
        <d v="2024-09-06T00:00:00Z"/>
        <d v="2024-10-15T00:00:00Z"/>
        <d v="2025-02-08T00:00:00Z"/>
        <d v="2025-06-07T00:00:00Z"/>
        <d v="2024-09-16T00:00:00Z"/>
        <d v="2025-04-07T00:00:00Z"/>
      </sharedItems>
    </cacheField>
    <cacheField name="Customer Name" numFmtId="0">
      <sharedItems>
        <s v="234 Stores, IKORODU"/>
        <s v="Able Supermarket"/>
        <s v="Addas Mall, IKEJA"/>
        <s v="Addide Store, CENTRAL WAREHOUSE"/>
        <s v="Adeleke Store, Ajah"/>
        <s v="Adiba Supermarket, PRIME WATERVIEW"/>
        <s v="Afia Supermarket"/>
        <s v="Alabunkun Supermarket"/>
        <s v="Allah De Supermarket"/>
        <s v="Alvira Mart"/>
        <s v="Am To Pm Supermarket, JAKANDE"/>
        <s v="Am To Pm Supermarket, LEKKI"/>
        <s v="Attenable Price Supermarket"/>
        <s v="Augustsecrets Limited"/>
        <s v="Bay-Kins Pharmacy"/>
        <s v="Belleful Republic"/>
        <s v="Bellis Global Services Limited (Whs)"/>
        <s v="Best Quality Supermarket, APAPA"/>
        <s v="Better Mart Supermartket, Ajah"/>
        <s v="BG Mart Supermarket"/>
        <s v="Bilmos Supermart"/>
        <s v="Blenco Shoppers Center, ABULEGBA"/>
        <s v="Blenco Shoppers Center, AKOWONJO"/>
        <s v="Blenco Supermarket, ADO"/>
        <s v="Blenco Supermarket, EPUTU"/>
        <s v="Blenco Supermarket, ILASAN-CHISCO"/>
        <s v="Blenco Supermarket, SANGOTEDO"/>
        <s v="Blossom J Supermarket"/>
        <s v="Bukkahut Restaurant"/>
        <s v="Bungalow Restuarant"/>
        <s v="Buymore Supermarket, ABULEGBA"/>
        <s v="Buymore Supermarket, IBAFO"/>
        <s v="Buymore Supermarket, IKEJA"/>
        <s v="Buymore Supermarket, ISHERI"/>
        <s v="Bydow Pharmacy, ONIRU"/>
        <s v="C &amp; C Superstore"/>
        <s v="Canice Hans Pharmacy &amp; Supermarket"/>
        <s v="Churchview Supermarket"/>
        <s v="CMART Supermarket, LEKKI"/>
        <s v="CMART Supermarket, ONIRU"/>
        <s v="Compramart Supermarket, MOBILE Rd."/>
        <s v="Compramart Supermarket, ORCHID Rd."/>
        <s v="Confidence Supermart"/>
        <s v="Danny Supermarket"/>
        <s v="D-Arena Supermarket"/>
        <s v="Davis Kitchen"/>
        <s v="Daytona Supermarket"/>
        <s v="De Royal Prince, AKUTE"/>
        <s v="De Royal Prince, GBAGADA"/>
        <s v="De Royal Prince, ISHERI"/>
        <s v="Debikadd Supermarket"/>
        <s v="De-Grace Supermarket"/>
        <s v="Delight City Mall"/>
        <s v="Diamond Grace Supermarket"/>
        <s v="Domino Store, IKEJA"/>
        <s v="Dwave Supermarket, AJAH"/>
        <s v="Ebnon"/>
        <s v="Edichart Pharmacy &amp; Store"/>
        <s v="Ego Supermarket"/>
        <s v="Egole Minimart"/>
        <s v="Eleyor Shopping Mall, ALAGBON OWODE"/>
        <s v="Eleyor Shopping Mall, OWODE"/>
        <s v="E-Mart Supermarket"/>
        <s v="Emmatos Superstore, Kola"/>
        <s v="Emrite Supermarket, OLOKONLA"/>
        <s v="Enej Supermarket, ELEGANZA"/>
        <s v="Enej Supermarket, OSAPA"/>
        <s v="Everbright Supermarket, SURULERE"/>
        <s v="Excel Plus Supermarket, Orchid Rd."/>
        <s v="Excellence Store"/>
        <s v="Exclusive Mart"/>
        <s v="Figo Supermarket"/>
        <s v="Food Nation Supermarket"/>
        <s v="Foodco Nigeria, ABEOKUTA"/>
        <s v="Foodco Nigeria, ELEGANZA"/>
        <s v="Foodco Nigeria, IKOTUN"/>
        <s v="Foodco Nigeria, IKOYI"/>
        <s v="Frenchoice Mall"/>
        <s v="Globus Warehouse (WHS)"/>
        <s v="Goodiss Supermarket, IKEJA"/>
        <s v="Grace Supermarket"/>
        <s v="Grandex, Lekki"/>
        <s v="Green Valley Store"/>
        <s v="Greenell Supermarket Lekki County, IKOTA"/>
        <s v="Greenell Supermarket, Osapa"/>
        <s v="Groceries 2go Supermarket"/>
        <s v="Grocery Bazaar, ADO ROAD, AJAH"/>
        <s v="Grocery Bazaar, AGBARA"/>
        <s v="Grocery Bazaar, AKESAN"/>
        <s v="Grocery Bazaar, Alagbado"/>
        <s v="Grocery Bazaar, COMMAND ROAD, IPAJA"/>
        <s v="Grocery Bazaar, EGBEDA"/>
        <s v="Grocery Bazaar, EJIGBO"/>
        <s v="Grocery Bazaar, IDIMU"/>
        <s v="Grocery Bazaar, IJEDE ROAD, IKORODU"/>
        <s v="Grocery Bazaar, IKORODU"/>
        <s v="Grocery Bazaar, MEIRAN RD, MEIRAN"/>
        <s v="Grooves Events &amp; Bar"/>
        <s v="Gusabis Supermart"/>
        <s v="HM Groceries Stores"/>
        <s v="Home Affairs Supermarket, GBAGADA"/>
        <s v="Home Affairs Supermarket, OGBA"/>
        <s v="Home Affairs Supermarket, OGUDU (116)"/>
        <s v="Home Affairs Supermarket, OGUDU (135)"/>
        <s v="Home Affairs Supermarket, OMOLE"/>
        <s v="Hunters Food &amp; Restaurants, IDIMU"/>
        <s v="Hutoos Supermarket, AGEGE"/>
        <s v="Hutoos Supermarket, Ogba"/>
        <s v="Hutoos Supermarket, OKO OBA"/>
        <s v="Ideal Supermarket"/>
        <s v="Individual"/>
        <s v="Integral Mart"/>
        <s v="Irich Supermarket"/>
        <s v="Iyakan Food Canteen"/>
        <s v="Jendol Supermarket, AJAH"/>
        <s v="Jendol Supermarket, AKASOLORI"/>
        <s v="Jendol Supermarket, ALAKUKO"/>
        <s v="Jendol Supermarket, EGBEDA"/>
        <s v="Jendol Supermarket, IGANDO"/>
        <s v="Jendol Supermarket, IPAJA"/>
        <s v="Jendol Supermarket, ISHERI (Rg.11)"/>
        <s v="Jendol Supermarket, ISOLO"/>
        <s v="Jendol Supermarket, ODOGUNYA"/>
        <s v="Jendol Supermarket, OJODU"/>
        <s v="Jendol supermarket, OJUORE"/>
        <s v="Jendol Supermarket, ONIBUKUN"/>
        <s v="Jendol Supermarket, U-TURN"/>
        <s v="Jesops Supermarket"/>
        <s v="Joedy Supermarket"/>
        <s v="Joelm Supermarket"/>
        <s v="JOYDON SUPERMARKET"/>
        <s v="Justrite, ABULEGBA"/>
        <s v="Justrite, ALAKUKO"/>
        <s v="Justrite, BARIGA"/>
        <s v="Justrite, CASSO"/>
        <s v="Justrite, DOPEMU"/>
        <s v="Justrite, EGBEDA"/>
        <s v="Justrite, EKORO"/>
        <s v="Justrite, GOWON ESTATE"/>
        <s v="justrite, IBAFO"/>
        <s v="Justrite, IGANDO"/>
        <s v="Justrite, IJU ISHAGA"/>
        <s v="Justrite, IKATE"/>
        <s v="Justrite, IKORODU AIYELODUN"/>
        <s v="Justrite, IKORODU OGOLONTO"/>
        <s v="Justrite, IPAJA AYOBO"/>
        <s v="Justrite, IYANA IPAJA"/>
        <s v="Justrite, OMOLE"/>
        <s v="Justrite, OTA"/>
        <s v="Justrite, OWODE"/>
        <s v="K &amp; P Supermarket"/>
        <s v="Katta Supermarket"/>
        <s v="KD (Kitchen Delight) Supermarket"/>
        <s v="Kelmas Place Restaurant"/>
        <s v="Kendoriz Mart"/>
        <s v="Kit Mart"/>
        <s v="Kortsy"/>
        <s v="Lapaz Supermarket"/>
        <s v="Last Price Supermarket"/>
        <s v="Life Back Pharmacy &amp; stores"/>
        <s v="Li-M Supermarket"/>
        <s v="Limitless Mart, LEKKI"/>
        <s v="Lovely Mart Supermarket"/>
        <s v="Madiba Mart"/>
        <s v="Mall Mart Supermarket, YABA"/>
        <s v="Manotech Limited, JAKANDE"/>
        <s v="Manotech Limited, VI"/>
        <s v="Max Ambi Supermarket"/>
        <s v="Mediscript Pharmacy"/>
        <s v="Mega Mart"/>
        <s v="Mega Plaza"/>
        <s v="MG Supermarket, IPAJA"/>
        <s v="Mitch &amp; Good Supermarket"/>
        <s v="Moneyworth Supermarket"/>
        <s v="Monifee Supermarket Ejigbo"/>
        <s v="Monnaspark Superstore"/>
        <s v="MQ Supermarket"/>
        <s v="Mrs. Jacobs Shop (WHS)"/>
        <s v="Much More Supermarket, ISHERRI"/>
        <s v="Nexus Supermarket"/>
        <s v="Nice 'n' Lovely"/>
        <s v="Ny Supermarket"/>
        <s v="One Source Mart, VI"/>
        <s v="One Source Supermarket, IKEJA"/>
        <s v="Osemilur Mini Mart"/>
        <s v="Ozzy Supermarket, mobile road"/>
        <s v="Ozzy Supermarket, VICTORY PARK EST."/>
        <s v="Ozzy Superstore, CASTLE ROCK BRANCH"/>
        <s v="P5 Supermarket, IKOTA"/>
        <s v="Pennymart Express, PALACEWAY OKOTA"/>
        <s v="Pharm Affair"/>
        <s v="Philgold Superstore"/>
        <s v="Prestige Superstore, AKUTE"/>
        <s v="Prestige Superstore, IGANDO"/>
        <s v="Prestige Superstore, IPAJA"/>
        <s v="Prestige Superstore, IYANA ISHASHI"/>
        <s v="Prime Mart Superstore, AKESAN"/>
        <s v="Prime Mart Superstores, CEMENT"/>
        <s v="Prime Mart Superstores, IFO"/>
        <s v="Prime Mart Superstores, IPAJA"/>
        <s v="Prime Mart Superstores, IYANA ISASHI"/>
        <s v="Prime Mart Superstores, OKOKOMAIKO"/>
        <s v="Prince Ebeano, CHEVRON"/>
        <s v="Prince Ebeano, IKEJA"/>
        <s v="Prince Ebeano, IKOTA"/>
        <s v="Prince Ebeano, JAKANDE"/>
        <s v="Prince Ebeano, LEKKI"/>
        <s v="Prince Ebeano, LEKKI DOHERTY ROAD"/>
        <s v="Prince Ebeano, OLOGOLO"/>
        <s v="Prince Ebeano, ONIRU"/>
        <s v="Priviledge Superstore"/>
        <s v="Q Mart Supermarket"/>
        <s v="Qmb Hypermart"/>
        <s v="Rance Supermarket, Sangotedo"/>
        <s v="Renees Supermarket, FREEDOM WAY"/>
        <s v="Renees Supermarket, IKOYI"/>
        <s v="Renees Supermarket, LEKKI CENTRAL MOSQUE"/>
        <s v="Reno Supermarket, EJIGBO"/>
        <s v="Reno Supermarket, IBA"/>
        <s v="Reno Supermarket, ISHERI"/>
        <s v="Replenish Supermarket"/>
        <s v="Sambethel Supermarket"/>
        <s v="Sengabis Supermarket"/>
        <s v="Seyos Supermarket Isheri"/>
        <s v="Shop 'N' Save Supermarket"/>
        <s v="Shop Perfect Supermarket, ELEKO"/>
        <s v="Shopcity Supermarket"/>
        <s v="Simply Health Pharmacy &amp; Store"/>
        <s v="Skymart Supermarket"/>
        <s v="Smart Price Supernarket"/>
        <s v="Smartie Mart, IJAIYE"/>
        <s v="Sobees Supermarket"/>
        <s v="Solo Joy Superstore"/>
        <s v="Spar, ADEOLA ODEKU"/>
        <s v="Spar, CENTRAL WAREHOUSE"/>
        <s v="Spar, ILUPEJU"/>
        <s v="Spar, LEKKI"/>
        <s v="Spar, OPEBI"/>
        <s v="Spinneys supermarket"/>
        <s v="Sundry Market Square, FESTAC"/>
        <s v="Sundry Market Square, GBAGADA"/>
        <s v="Sundry Market Square, LEKKI"/>
        <s v="Sundry Market Square, MARYLAND"/>
        <s v="Sundry Market Square, Otta"/>
        <s v="Sundry Markets Square, OKOTA"/>
        <s v="Sunrise Warehouse, IBADAN"/>
        <s v="Supermart Supermarket, NNPC"/>
        <s v="Supersaver Supermarket, AGO"/>
        <s v="Supersaver, AJAO"/>
        <s v="Supersaver, ALAPERE"/>
        <s v="Supersaver, KETU"/>
        <s v="Supersaver, LEKKI"/>
        <s v="Supersaver, OSAPA"/>
        <s v="Supersaver, SHANGISHA"/>
        <s v="Surplus Supermarket"/>
        <s v="Sweet Sensation, OLOWORA"/>
        <s v="Target Supermarket"/>
        <s v="Terra Culture"/>
        <s v="Texon Supermarket, OGUDU"/>
        <s v="The Bazzar, ILUPEJU"/>
        <s v="The Chop Villa Restuarant"/>
        <s v="The Drinks Shop"/>
        <s v="Tiwa Supermarket, SANGOTEDO"/>
        <s v="Toasties Restaurant"/>
        <s v="Topnotch Supermarket"/>
        <s v="Total Bonjour Cafe, AWOLOWO"/>
        <s v="TQV Supermarket"/>
        <s v="Trimart Supermarket, LEKKI"/>
        <s v="Trolley Supermarket"/>
        <s v="Twins Faja Supermarket, ABARENJE"/>
        <s v="Twins Faja Supermarket, EGBEDA"/>
        <s v="Twins Faja Supermarket, IGBESA"/>
        <s v="Twins Faja Supermarket, IJANIKIN"/>
        <s v="Twins Faja Supermarket, IJEGUN Isolo Rd."/>
        <s v="Twins Faja Supermarket, IJEGUN Prince B. Stop"/>
        <s v="Twins Faja Supermarket, IKOTUN Road"/>
        <s v="Twins Faja Supermarket, LASU-IPAYE"/>
        <s v="Twins Faja Supermarket, Lekki"/>
        <s v="Twins Faja Supermarket, OLAKUNLE"/>
        <s v="Twins Faja Supermarket, OROPO"/>
        <s v="UBA Pharmacy and Supermarket, ELEGANZA"/>
        <s v="UBA Supermarket and Pharmacy, AWOYAYA"/>
        <s v="Unique J-Mart"/>
        <s v="V Mart, ILUPEJU"/>
        <s v="Value Exchange Supermarket, AREPO"/>
        <s v="Value Exchange Supermarket, KESHI"/>
        <s v="Valuemart Supermarket"/>
        <s v="Vanguard Pharmacy"/>
        <s v="Winni Supermarket"/>
        <s v="Wise Buyer Supermarkets, Arepo"/>
        <s v="Wise Buyer Supermarkets, MAGBORO"/>
        <s v="Wondermart Supermarket"/>
        <s v="Xtrarite Supermarket"/>
        <s v="Zade Ventures"/>
        <s v="Zellers Supermarket"/>
        <s v="Zomain Supermarket, EJIGBO"/>
        <s v="Zomain Supermarket, JAKANDE Gate"/>
      </sharedItems>
    </cacheField>
    <cacheField name="Invoice Number">
      <sharedItems containsMixedTypes="1" containsNumber="1" containsInteger="1">
        <s v="DT:001964"/>
        <s v="DT:000282"/>
        <s v="DT:000067"/>
        <s v="DT:001896"/>
        <s v="DT:000482"/>
        <s v="DT:000519"/>
        <s v="DT:000766"/>
        <s v="DT:001369"/>
        <s v="DT:001908"/>
        <s v="DT:000120"/>
        <s v="DT:000297"/>
        <s v="DT:000652"/>
        <s v="DT:001611"/>
        <s v="DT:000174"/>
        <s v="DT:000989"/>
        <s v="DT:001811"/>
        <s v="DT:000016"/>
        <s v="DT:000690"/>
        <s v="DT:001617"/>
        <s v="DT:000009"/>
        <s v="DT:000079"/>
        <s v="DT:000159"/>
        <s v="DT:000228"/>
        <s v="DT:000639"/>
        <s v="DT:001482"/>
        <s v="DT:000473"/>
        <s v="DT:000903"/>
        <s v="DT:000085"/>
        <s v="DT:000416"/>
        <s v="DT:001885"/>
        <s v="DT:001886"/>
        <s v="DT:000667"/>
        <s v="DT:000738"/>
        <s v="DT:000938"/>
        <s v="DT:000075"/>
        <s v="DT:000310"/>
        <s v="DT:000763"/>
        <s v="DT:000907"/>
        <s v="DT:000912"/>
        <s v="DT:000122"/>
        <s v="DT:000583"/>
        <s v="DT:000719"/>
        <s v="DT:000865"/>
        <s v="DT:000108"/>
        <s v="DT:000430"/>
        <s v="DT:000087"/>
        <s v="DT:000545"/>
        <s v="DT:000126"/>
        <s v="DT:000656"/>
        <s v="DT:001987"/>
        <s v="DT:000325"/>
        <s v="DT:000825"/>
        <s v="DT:000462"/>
        <s v="DT:000481"/>
        <s v="DT:000751"/>
        <s v="DT:001447"/>
        <s v="DT:001629"/>
        <s v="DT:001633"/>
        <s v="DT:001969"/>
        <s v="DT:000006"/>
        <s v="DT:000118"/>
        <s v="DT:000154"/>
        <s v="DT:000466"/>
        <s v="DT:000572"/>
        <s v="DT:000578"/>
        <s v="DT:000620"/>
        <s v="DT:000647"/>
        <s v="DT:001539"/>
        <s v="DT:001543"/>
        <s v="DT:001585"/>
        <s v="DT:001779"/>
        <s v="DT:001933"/>
        <s v="DT:000818"/>
        <s v="DT:001612"/>
        <s v="DT:001613"/>
        <s v="DT:000723"/>
        <s v="DT:000748"/>
        <s v="DT:001587"/>
        <s v="DT:001753"/>
        <s v="DT:001919"/>
        <s v="DT:000146"/>
        <s v="DT:001640"/>
        <s v="DT:001871"/>
        <s v="DT:000710"/>
        <s v="DT:000712"/>
        <s v="DT:000266"/>
        <s v="DT:000520"/>
        <s v="DT:000645"/>
        <s v="DT:000683"/>
        <s v="DT:000707"/>
        <s v="DT:000893"/>
        <s v="DT:000971"/>
        <s v="DT:001044"/>
        <s v="DT:001815"/>
        <s v="DT:000029"/>
        <s v="DT:000124"/>
        <s v="DT:000136"/>
        <s v="DT:000465"/>
        <s v="DT:000484"/>
        <s v="DT:000489"/>
        <s v="DT:000603"/>
        <s v="DT:000605"/>
        <s v="DT:000797"/>
        <s v="DT:000965"/>
        <s v="DT:000966"/>
        <s v="DT:001117"/>
        <s v="DT:001118"/>
        <s v="DT:001322"/>
        <s v="DT:001327"/>
        <s v="DT:001356"/>
        <s v="DT:001483"/>
        <s v="DT:001689"/>
        <s v="DT:000676"/>
        <s v="DT:000831"/>
        <s v="DT:000111"/>
        <s v="DT:000127"/>
        <s v="DT:000187"/>
        <s v="DT:000314"/>
        <s v="DT:000360"/>
        <s v="DT:000405"/>
        <s v="DT:000409"/>
        <s v="DT:000495"/>
        <s v="DT:000523"/>
        <s v="DT:000595"/>
        <s v="DT:000597"/>
        <s v="DT:000686"/>
        <s v="DT:000895"/>
        <s v="DT:000916"/>
        <s v="DT:001288"/>
        <s v="DT:001357"/>
        <s v="DT:001456"/>
        <s v="DT:001498"/>
        <s v="DT:001702"/>
        <s v="DT:000132"/>
        <s v="DT:000142"/>
        <s v="DT:000356"/>
        <s v="DT:001630"/>
        <s v="DT:001632"/>
        <s v="DT:001861"/>
        <s v="DT:001862"/>
        <s v="DT:000214"/>
        <s v="DT:000428"/>
        <s v="DT:000726"/>
        <s v="DT:001898"/>
        <s v="DT:001146"/>
        <s v="DT:001147"/>
        <s v="DT:001650"/>
        <s v="DT:001878"/>
        <s v="DT:001879"/>
        <s v="DT:000121"/>
        <s v="DT:000145"/>
        <s v="DT:000163"/>
        <s v="DT:000357"/>
        <s v="DT:000744"/>
        <s v="DT:000199"/>
        <s v="DT:000844"/>
        <s v="DT:001844"/>
        <s v="DT:000471"/>
        <s v="DT:000559"/>
        <s v="DT:001730"/>
        <s v="DT:001934"/>
        <s v="DT:001728"/>
        <s v="DT:001977"/>
        <s v="DT:000902"/>
        <s v="DT:001849"/>
        <s v="DT:001935"/>
        <s v="DT:000897"/>
        <s v="DT:000898"/>
        <s v="DT:001028"/>
        <s v="DT:001204"/>
        <s v="DT:001580"/>
        <s v="DT:001967"/>
        <s v="DT:000375"/>
        <s v="DT:000200"/>
        <s v="DT:000233"/>
        <s v="DT:000553"/>
        <s v="DT:001552"/>
        <s v="DT:001903"/>
        <s v="DT:000164"/>
        <s v="DT:000182"/>
        <s v="DT:000244"/>
        <s v="DT:000312"/>
        <s v="DT:000382"/>
        <s v="DT:000441"/>
        <s v="DT:000494"/>
        <s v="DT:000524"/>
        <s v="DT:000526"/>
        <s v="DT:000611"/>
        <s v="DT:000658"/>
        <s v="DT:000759"/>
        <s v="DT:000827"/>
        <s v="DT:000937"/>
        <s v="DT:001194"/>
        <s v="DT:001367"/>
        <s v="DT:001486"/>
        <s v="DT:001853"/>
        <s v="DT:001965"/>
        <s v="DT:000232"/>
        <s v="DT:001265"/>
        <s v="DT:001372"/>
        <s v="DT:001635"/>
        <s v="DT:001819"/>
        <s v="DT:001860"/>
        <s v="DT:001902"/>
        <s v="DT:001309"/>
        <s v="DT:001729"/>
        <s v="DT:001538"/>
        <s v="DT:000377"/>
        <s v="DT:000090"/>
        <s v="DT:000358"/>
        <s v="DT:000633"/>
        <s v="DT:000826"/>
        <s v="DT:001291"/>
        <s v="DT:001800"/>
        <s v="DT:000125"/>
        <s v="DT:000211"/>
        <s v="DT:000298"/>
        <s v="DT:000767"/>
        <s v="DT:001614"/>
        <s v="DT:000196"/>
        <s v="DT:000217"/>
        <s v="DT:000478"/>
        <s v="DT:000537"/>
        <s v="DT:000718"/>
        <s v="DT:001227"/>
        <s v="DT:001274"/>
        <s v="DT:000529"/>
        <s v="DT:000343"/>
        <s v="DT:000570"/>
        <s v="DT:000798"/>
        <s v="DT:001604"/>
        <s v="DT:001620"/>
        <s v="DT:001839"/>
        <s v="DT:001925"/>
        <s v="DT:001074"/>
        <s v="DT:001284"/>
        <s v="DT:001473"/>
        <s v="DT:001602"/>
        <s v="DT:001621"/>
        <s v="DT:001922"/>
        <s v="DT:000089"/>
        <s v="DT:000247"/>
        <s v="DT:000432"/>
        <s v="DT:000024"/>
        <s v="DT:000344"/>
        <s v="DT:000363"/>
        <s v="DT:000616"/>
        <s v="DT:001825"/>
        <s v="DT:001847"/>
        <s v="DT:001900"/>
        <s v="DT:000262"/>
        <s v="DT:000721"/>
        <s v="DT:000255"/>
        <s v="DT:000072"/>
        <s v="DT:000864"/>
        <s v="DT:001254"/>
        <s v="DT:001858"/>
        <s v="DT:000110"/>
        <s v="DT:000565"/>
        <s v="DT:001956"/>
        <s v="DT:000501"/>
        <s v="DT:000561"/>
        <s v="DT:000716"/>
        <s v="DT:000822"/>
        <s v="DT:000838"/>
        <s v="DT:001911"/>
        <s v="DT:001923"/>
        <s v="DT:001064"/>
        <s v="DT:000958"/>
        <s v="DT:000209"/>
        <s v="DT:000722"/>
        <s v="DT:000341"/>
        <s v="DT:000533"/>
        <s v="DT:000692"/>
        <s v="DT:000733"/>
        <s v="DT:000765"/>
        <s v="DT:000919"/>
        <s v="DT:001057"/>
        <s v="DT:000147"/>
        <s v="DT:000274"/>
        <s v="DT:000706"/>
        <s v="DT:001336"/>
        <s v="DT:000168"/>
        <s v="DT:000392"/>
        <s v="DT:000632"/>
        <s v="DT:001595"/>
        <s v="DT:001834"/>
        <s v="DT:000099"/>
        <s v="DT:000241"/>
        <s v="DT:000674"/>
        <s v="DT:001895"/>
        <s v="DT:000309"/>
        <s v="DT:000359"/>
        <s v="DT:001031"/>
        <s v="DT:001139"/>
        <s v="DT:001360"/>
        <s v="DT:001880"/>
        <s v="DT:000082"/>
        <s v="DT:000144"/>
        <s v="DT:000435"/>
        <s v="DT:000299"/>
        <s v="DT:000300"/>
        <s v="DT:000955"/>
        <s v="DT:001432"/>
        <s v="DT:001856"/>
        <s v="DT:001136"/>
        <s v="DT:000339"/>
        <s v="DT:001128"/>
        <s v="DT:000348"/>
        <s v="DT:001050"/>
        <s v="DT:001544"/>
        <s v="DT:000303"/>
        <s v="DT:000349"/>
        <s v="DT:001109"/>
        <s v="DT:001541"/>
        <s v="DT:001132"/>
        <s v="DT:001589"/>
        <s v="DT:000378"/>
        <s v="DT:001134"/>
        <s v="DT:001540"/>
        <s v="DT:000590"/>
        <s v="DT:000134"/>
        <s v="DT:000311"/>
        <s v="DT:001036"/>
        <s v="DT:000342"/>
        <s v="DT:001108"/>
        <s v="DT:000479"/>
        <s v="DT:000288"/>
        <s v="DT:000275"/>
        <s v="DT:000161"/>
        <s v="DT:000491"/>
        <s v="DT:001485"/>
        <s v="DT:000551"/>
        <s v="DT:000644"/>
        <s v="DT:001496"/>
        <s v="DT:001735"/>
        <s v="DT:000397"/>
        <s v="DT:000499"/>
        <s v="DT:001413"/>
        <s v="DT:001765"/>
        <s v="DT:001899"/>
        <s v="DT:001548"/>
        <s v="DT:000393"/>
        <s v="DT:000746"/>
        <s v="DT:000886"/>
        <s v="DT:000891"/>
        <s v="DT:001187"/>
        <s v="DT:001769"/>
        <s v="DT:000107"/>
        <s v="DT:000169"/>
        <s v="DT:000745"/>
        <s v="DT:000968"/>
        <s v="DT:001325"/>
        <s v="DT:001368"/>
        <s v="DT:001454"/>
        <s v="DT:001770"/>
        <s v="DT:001881"/>
        <s v="DT:000027"/>
        <s v="DT:000088"/>
        <s v="DT:000091"/>
        <s v="DT:000113"/>
        <s v="DT:000184"/>
        <s v="DT:000197"/>
        <s v="DT:000220"/>
        <s v="DT:000304"/>
        <s v="DT:000381"/>
        <s v="DT:000433"/>
        <s v="DT:000506"/>
        <s v="DT:000695"/>
        <s v="DT:000729"/>
        <s v="DT:000868"/>
        <s v="DT:000869"/>
        <s v="DT:000894"/>
        <s v="DT:001269"/>
        <s v="DT:001401"/>
        <s v="DT:001476"/>
        <s v="DT:001510"/>
        <s v="DT:001777"/>
        <s v="DT:001826"/>
        <s v="DT:001859"/>
        <s v="DT:001888"/>
        <s v="DT:001910"/>
        <s v="DT:001930"/>
        <s v="DT:000068"/>
        <s v="DT:000139"/>
        <s v="DT:000151"/>
        <s v="DT:000263"/>
        <s v="DT:000400"/>
        <s v="DT:000445"/>
        <s v="DT:000510"/>
        <s v="DT:000511"/>
        <s v="DT:000610"/>
        <s v="DT:000659"/>
        <s v="DT:000679"/>
        <s v="DT:000917"/>
        <s v="DT:001843"/>
        <s v="DT:001894"/>
        <s v="DT:000248"/>
        <s v="DT:001966"/>
        <s v="DT:000598"/>
        <s v="DT:001376"/>
        <s v="DT:001377"/>
        <s v="DT:001756"/>
        <s v="DT:001788"/>
        <s v="DT:001403"/>
        <s v="DT:001527"/>
        <s v="DT:001722"/>
        <s v="DT:001723"/>
        <s v="DT:001810"/>
        <s v="DT:001962"/>
        <s v="DT:000418"/>
        <s v="DT:001279"/>
        <s v="DT:001280"/>
        <s v="DT:001281"/>
        <s v="DT:001554"/>
        <s v="DT:001557"/>
        <s v="DT:001657"/>
        <s v="DT:001780"/>
        <s v="DT:001936"/>
        <s v="DT:000285"/>
        <s v="DT:000446"/>
        <s v="DT:000476"/>
        <s v="DT:000573"/>
        <s v="DT:001175"/>
        <s v="DT:001299"/>
        <s v="DT:001352"/>
        <s v="DT:001441"/>
        <s v="DT:001494"/>
        <s v="DT:001515"/>
        <s v="DT:001555"/>
        <s v="DT:001592"/>
        <s v="DT:001699"/>
        <s v="DT:001782"/>
        <s v="DT:001805"/>
        <s v="DT:001304"/>
        <s v="DT:001395"/>
        <s v="DT:001437"/>
        <s v="DT:001707"/>
        <s v="DT:001709"/>
        <s v="DT:001937"/>
        <s v="DT:001938"/>
        <s v="DT:000044"/>
        <s v="DT:001235"/>
        <s v="DT:001306"/>
        <s v="DT:001353"/>
        <s v="DT:001411"/>
        <s v="DT:001508"/>
        <s v="DT:001698"/>
        <s v="DT:001944"/>
        <s v="DT:001945"/>
        <s v="DT:000338"/>
        <s v="DT:000653"/>
        <s v="DT:001233"/>
        <s v="DT:001302"/>
        <s v="DT:001436"/>
        <s v="DT:001701"/>
        <s v="DT:001778"/>
        <s v="DT:001829"/>
        <s v="DT:001941"/>
        <s v="DT:001942"/>
        <s v="DT:001364"/>
        <s v="DT:001371"/>
        <s v="DT:001518"/>
        <s v="DT:000036"/>
        <s v="DT:001402"/>
        <s v="DT:001721"/>
        <s v="DT:001812"/>
        <s v="DT:001247"/>
        <s v="DT:001319"/>
        <s v="DT:001320"/>
        <s v="DT:001463"/>
        <s v="DT:001553"/>
        <s v="DT:001634"/>
        <s v="DT:001865"/>
        <s v="DT:001866"/>
        <s v="DT:001971"/>
        <s v="DT:001973"/>
        <s v="DT:000365"/>
        <s v="DT:001237"/>
        <s v="DT:001282"/>
        <s v="DT:001283"/>
        <s v="DT:001326"/>
        <s v="DT:001462"/>
        <s v="DT:001590"/>
        <s v="DT:001591"/>
        <s v="DT:001771"/>
        <s v="DT:001366"/>
        <s v="DT:001537"/>
        <s v="DT:001545"/>
        <s v="DT:001556"/>
        <s v="DT:001837"/>
        <s v="DT:000410"/>
        <s v="DT:001193"/>
        <s v="DT:001239"/>
        <s v="DT:001323"/>
        <s v="DT:001324"/>
        <s v="DT:001373"/>
        <s v="DT:001459"/>
        <s v="DT:001503"/>
        <s v="DT:001655"/>
        <s v="DT:001691"/>
        <s v="DT:001854"/>
        <s v="DT:001855"/>
        <s v="DT:001931"/>
        <s v="DT:001932"/>
        <s v="DT:000547"/>
        <s v="DT:000802"/>
        <s v="DT:001418"/>
        <s v="DT:001909"/>
        <s v="DT:001738"/>
        <s v="DT:001742"/>
        <s v="DT:000399"/>
        <s v="DT:000177"/>
        <s v="DT:000183"/>
        <s v="DT:001176"/>
        <s v="DT:000862"/>
        <s v="DT:001059"/>
        <s v="DT:001424"/>
        <s v="DT:001806"/>
        <s v="DT:001435"/>
        <s v="DT:001542"/>
        <s v="DT:001802"/>
        <s v="DT:000637"/>
        <s v="DT:001588"/>
        <s v="DT:001822"/>
        <s v="DT:001169"/>
        <s v="DT:001513"/>
        <s v="DT:000678"/>
        <s v="DT:001013"/>
        <s v="DT:001417"/>
        <s v="DT:001560"/>
        <s v="DT:000704"/>
        <s v="DT:001039"/>
        <s v="DT:001446"/>
        <s v="DT:001149"/>
        <s v="DT:001423"/>
        <s v="DT:001038"/>
        <s v="DT:001500"/>
        <s v="DT:000093"/>
        <s v="DT:001495"/>
        <s v="DT:001813"/>
        <s v="DT:001168"/>
        <s v="DT:001443"/>
        <s v="DT:001814"/>
        <s v="DT:000056"/>
        <s v="DT:001511"/>
        <s v="DT:001154"/>
        <s v="DT:001516"/>
        <s v="DT:000889"/>
        <s v="DT:001619"/>
        <s v="DT:001420"/>
        <s v="DT:001794"/>
        <s v="DT:001795"/>
        <s v="DT:001957"/>
        <s v="DT:001958"/>
        <s v="DT:000697"/>
        <s v="DT:000740"/>
        <s v="DT:001943"/>
        <s v="DT:000324"/>
        <s v="DT:000443"/>
        <s v="DT:000594"/>
        <s v="DT:000621"/>
        <s v="DT:000842"/>
        <s v="DT:001290"/>
        <s v="DT:001464"/>
        <s v="DT:001897"/>
        <s v="DT:000129"/>
        <s v="DT:001332"/>
        <s v="DT:000208"/>
        <s v="DT:000983"/>
        <s v="DT:000198"/>
        <s v="DT:000832"/>
        <s v="DT:001337"/>
        <s v="DT:000270"/>
        <s v="DT:000245"/>
        <s v="DT:000322"/>
        <s v="DT:000925"/>
        <s v="DT:001504"/>
        <s v="DT:001761"/>
        <s v="DT:001763"/>
        <s v="DT:001961"/>
        <s v="DT:000728"/>
        <s v="DT:001718"/>
        <s v="DT:001719"/>
        <s v="DT:000713"/>
        <s v="DT:000128"/>
        <s v="DT:000269"/>
        <s v="DT:000180"/>
        <s v="DT:001603"/>
        <s v="DT:000272"/>
        <s v="DT:000273"/>
        <s v="DT:000901"/>
        <s v="DT:000193"/>
        <s v="DT:000608"/>
        <s v="DT:000076"/>
        <s v="DT:000629"/>
        <s v="DT:000717"/>
        <s v="DT:001260"/>
        <s v="DT:001261"/>
        <s v="DT:001268"/>
        <s v="DT:000631"/>
        <s v="DT:000768"/>
        <s v="DT:001960"/>
        <s v="DT:000390"/>
        <s v="DT:000708"/>
        <s v="DT:000714"/>
        <s v="DT:001053"/>
        <s v="DT:001178"/>
        <s v="DT:001179"/>
        <s v="DT:001507"/>
        <s v="DT:001663"/>
        <s v="DT:001664"/>
        <s v="DT:001868"/>
        <s v="DT:001744"/>
        <s v="DT:001746"/>
        <n v="233.0"/>
        <s v="DT:000762"/>
        <s v="DT:000531"/>
        <s v="DT:001781"/>
        <s v="DT:001980"/>
        <s v="DT:000096"/>
        <s v="DT:000152"/>
        <s v="DT:000195"/>
        <s v="DT:000515"/>
        <s v="DT:000642"/>
        <s v="DT:000664"/>
        <s v="DT:000702"/>
        <s v="DT:000780"/>
        <s v="DT:001415"/>
        <s v="DT:001455"/>
        <s v="DT:001889"/>
        <s v="DT:001891"/>
        <s v="DT:000340"/>
        <s v="DT:000930"/>
        <s v="DT:001816"/>
        <s v="DT:000896"/>
        <s v="DT:001461"/>
        <s v="DT:000352"/>
        <s v="DT:000563"/>
        <s v="DT:000900"/>
        <s v="DT:000191"/>
        <s v="DT:000589"/>
        <s v="DT:000028"/>
        <s v="DT:000181"/>
        <s v="DT:001605"/>
        <s v="DT:001695"/>
        <s v="DT:001739"/>
        <s v="DT:001740"/>
        <s v="DT:000150"/>
        <s v="DT:000757"/>
        <s v="DT:000821"/>
        <s v="DT:001339"/>
        <s v="DT:001952"/>
        <s v="DT:000101"/>
        <s v="DT:001148"/>
        <s v="DT:001206"/>
        <s v="DT:000192"/>
        <s v="DT:000668"/>
        <s v="DT:000772"/>
        <s v="DT:000773"/>
        <s v="DT:000899"/>
        <s v="DT:001801"/>
        <s v="DT:001955"/>
        <s v="DT:000675"/>
        <s v="DT:001700"/>
        <s v="DT:000461"/>
        <s v="DT:001458"/>
        <s v="DT:001737"/>
        <s v="DT:000539"/>
        <s v="DT:000711"/>
        <s v="DT:001129"/>
        <s v="DT:001215"/>
        <s v="DT:001660"/>
        <s v="DT:001807"/>
        <s v="DT:000353"/>
        <s v="DT:000624"/>
        <s v="DT:001658"/>
        <s v="DT:000661"/>
        <s v="DT:001392"/>
        <s v="DT:001661"/>
        <s v="DT:000153"/>
        <s v="DT:000287"/>
        <s v="DT:000331"/>
        <s v="DT:000369"/>
        <s v="DT:000417"/>
        <s v="DT:000493"/>
        <s v="DT:000576"/>
        <s v="DT:000730"/>
        <s v="DT:000787"/>
        <s v="DT:001003"/>
        <s v="DT:001010"/>
        <s v="DT:001232"/>
        <s v="DT:000005"/>
        <s v="DT:000158"/>
        <s v="DT:000179"/>
        <s v="DT:000290"/>
        <s v="DT:000315"/>
        <s v="DT:000731"/>
        <s v="DT:000752"/>
        <s v="DT:000877"/>
        <s v="DT:001047"/>
        <s v="DT:001209"/>
        <s v="DT:001210"/>
        <s v="DT:001491"/>
        <s v="DT:001492"/>
        <s v="DT:000507"/>
        <s v="DT:001102"/>
        <s v="DT:001222"/>
        <s v="DT:001223"/>
        <s v="DT:001502"/>
        <s v="DT:001506"/>
        <s v="DT:000176"/>
        <s v="DT:000213"/>
        <s v="DT:000293"/>
        <s v="DT:000305"/>
        <s v="DT:000335"/>
        <s v="DT:000412"/>
        <s v="DT:000694"/>
        <s v="DT:001593"/>
        <s v="DT:001594"/>
        <s v="DT:001598"/>
        <s v="DT:001708"/>
        <s v="DT:001887"/>
        <s v="DT:000389"/>
        <s v="DT:000487"/>
        <s v="DT:000488"/>
        <s v="DT:000651"/>
        <s v="DT:000724"/>
        <s v="DT:000732"/>
        <s v="DT:000788"/>
        <s v="DT:000808"/>
        <s v="DT:000866"/>
        <s v="DT:001394"/>
        <s v="DT:001398"/>
        <s v="DT:001808"/>
        <s v="DT:001809"/>
        <n v="1.0"/>
        <s v="DT:000073"/>
        <s v="DT:000148"/>
        <s v="DT:000292"/>
        <s v="DT:000332"/>
        <s v="DT:000546"/>
        <s v="DT:000939"/>
        <s v="DT:001393"/>
        <s v="DT:001397"/>
        <s v="DT:001704"/>
        <s v="DT:000083"/>
        <s v="DT:000084"/>
        <s v="DT:000584"/>
        <s v="DT:000646"/>
        <s v="DT:000979"/>
        <s v="DT:000047"/>
        <s v="DT:000048"/>
        <s v="DT:000175"/>
        <s v="DT:000283"/>
        <s v="DT:000496"/>
        <s v="DT:000596"/>
        <s v="DT:000870"/>
        <s v="DT:000949"/>
        <s v="DT:001089"/>
        <s v="DT:001382"/>
        <s v="DT:001383"/>
        <s v="DT:001677"/>
        <s v="DT:001848"/>
        <s v="DT:000100"/>
        <s v="DT:000585"/>
        <s v="DT:000586"/>
        <s v="DT:001905"/>
        <s v="DT:000034"/>
        <s v="DT:000062"/>
        <s v="DT:000308"/>
        <s v="DT:000528"/>
        <s v="DT:000648"/>
        <s v="DT:001726"/>
        <s v="DT:000010"/>
        <s v="DT:000530"/>
        <s v="DT:001499"/>
        <s v="DT:001754"/>
        <s v="DT:001757"/>
        <s v="DT:001789"/>
        <s v="DT:001870"/>
        <s v="DT:000190"/>
        <s v="DT:000587"/>
        <s v="DT:001653"/>
        <s v="DT:001745"/>
        <s v="DT:001747"/>
        <s v="DT:001954"/>
        <s v="DT:000165"/>
        <s v="DT:000234"/>
        <s v="DT:000477"/>
        <s v="DT:000799"/>
        <s v="DT:000800"/>
        <s v="DT:001061"/>
        <s v="DT:001226"/>
        <s v="DT:001901"/>
        <s v="DT:000189"/>
        <s v="DT:000508"/>
        <s v="DT:000655"/>
        <s v="DT:000915"/>
        <s v="DT:000307"/>
        <s v="DT:000696"/>
        <s v="DT:001426"/>
        <s v="DT:001755"/>
        <s v="DT:001883"/>
        <s v="DT:001884"/>
        <s v="DT:000226"/>
        <s v="DT:000786"/>
        <s v="DT:001578"/>
        <s v="DT:001758"/>
        <s v="DT:001790"/>
        <s v="DT:001904"/>
        <s v="DT:001906"/>
        <s v="DT:000490"/>
        <s v="DT:000641"/>
        <s v="DT:001530"/>
        <s v="DT:001300"/>
        <s v="DT:001301"/>
        <s v="DT:001976"/>
        <s v="DT:001616"/>
        <s v="DT:001113"/>
        <s v="DT:001250"/>
        <s v="DT:001374"/>
        <s v="DT:001736"/>
        <s v="DT:001864"/>
        <s v="DT:001968"/>
        <s v="DT:000131"/>
        <s v="DT:001135"/>
        <s v="DT:001034"/>
        <s v="DT:001035"/>
        <s v="DT:001316"/>
        <s v="DT:001607"/>
        <s v="DT:001798"/>
        <s v="DT:001799"/>
        <s v="DT:000260"/>
        <s v="DT:000264"/>
        <s v="DT:000362"/>
        <s v="DT:000534"/>
        <s v="DT:000535"/>
        <s v="DT:000705"/>
        <s v="DT:000848"/>
        <s v="DT:000984"/>
        <s v="DT:001335"/>
        <s v="DT:000064"/>
        <s v="DT:000851"/>
        <s v="DT:000119"/>
        <s v="DT:000439"/>
        <s v="DT:001547"/>
        <s v="DT:000321"/>
        <s v="DT:001225"/>
        <s v="DT:001817"/>
        <s v="DT:001355"/>
        <s v="DT:001428"/>
        <s v="DT:000948"/>
        <s v="DT:001045"/>
        <s v="DT:000558"/>
        <s v="DT:000843"/>
        <s v="DT:000957"/>
        <s v="DT:001143"/>
        <s v="DT:001618"/>
        <s v="DT:001867"/>
        <s v="DT:000775"/>
        <s v="DT:000992"/>
        <s v="DT:001121"/>
        <s v="DT:001358"/>
        <s v="DT:001626"/>
        <s v="DT:001863"/>
        <s v="DT:000560"/>
        <s v="DT:000776"/>
        <s v="DT:000963"/>
        <s v="DT:001123"/>
        <s v="DT:001421"/>
        <s v="DT:001624"/>
        <s v="DT:000557"/>
        <s v="DT:000952"/>
        <s v="DT:001177"/>
        <s v="DT:001359"/>
        <s v="DT:001651"/>
        <s v="DT:001857"/>
        <s v="DT:000779"/>
        <s v="DT:000947"/>
        <s v="DT:001103"/>
        <s v="DT:001351"/>
        <s v="DT:001625"/>
        <s v="DT:000296"/>
        <s v="DT:000627"/>
        <s v="DT:001460"/>
        <s v="DT:001623"/>
        <s v="DT:001734"/>
        <s v="DT:001767"/>
        <s v="DT:001768"/>
        <s v="DT:001845"/>
        <s v="DT:001381"/>
        <s v="DT:000991"/>
        <s v="DT:001329"/>
        <s v="DT:001330"/>
        <s v="DT:001772"/>
        <s v="DT:001773"/>
        <s v="DT:001597"/>
        <s v="DT:001688"/>
        <s v="DT:001796"/>
        <s v="DT:001953"/>
        <s v="DT:000975"/>
        <s v="DT:000086"/>
        <s v="DT:000884"/>
        <s v="DT:000969"/>
        <s v="DT:001549"/>
        <s v="DT:000246"/>
        <s v="DT:000543"/>
        <s v="DT:000861"/>
        <s v="DT:001066"/>
        <s v="DT:000279"/>
        <s v="DT:000677"/>
        <s v="DT:000231"/>
        <s v="DT:001963"/>
        <s v="DT:001762"/>
        <s v="DT:000230"/>
        <s v="DT:001841"/>
        <s v="DT:001842"/>
        <s v="DT:001287"/>
        <s v="DT:001631"/>
        <s v="DT:000663"/>
        <s v="DT:000791"/>
        <s v="DT:001093"/>
        <s v="DT:000691"/>
        <s v="DT:000681"/>
        <s v="DT:000682"/>
        <s v="DT:001697"/>
        <s v="DT:001851"/>
        <s v="DT:001852"/>
        <s v="DT:001725"/>
        <s v="DT:000001"/>
        <s v="DT:000839"/>
        <s v="DT:000117"/>
        <s v="DT:001882"/>
        <s v="DT:000910"/>
        <s v="DT:001686"/>
        <s v="DT:000030"/>
        <s v="DT:000687"/>
        <s v="DT:001609"/>
        <s v="DT:001610"/>
        <s v="DT:000436"/>
        <s v="DT:001257"/>
        <s v="DT:001638"/>
        <s v="DT:000326"/>
        <s v="DT:000635"/>
        <s v="DT:000853"/>
        <s v="DT:000926"/>
        <s v="DT:001705"/>
        <s v="DT:001830"/>
        <s v="DT:001831"/>
        <s v="DT:001978"/>
        <s v="DT:001174"/>
        <s v="DT:001438"/>
        <s v="DT:001439"/>
        <s v="DT:001828"/>
        <s v="DT:000261"/>
        <s v="DT:000858"/>
        <s v="DT:001389"/>
        <s v="DT:001662"/>
        <s v="DT:001690"/>
        <s v="DT:001985"/>
        <s v="DT:001390"/>
        <s v="DT:001391"/>
        <s v="DT:001981"/>
        <s v="DT:001982"/>
        <s v="DT:001835"/>
        <s v="DT:001836"/>
        <s v="DT:001975"/>
        <s v="DT:001983"/>
        <s v="DT:001984"/>
        <s v="DT:000250"/>
        <s v="DT:000452"/>
        <s v="DT:001303"/>
        <s v="DT:001396"/>
        <s v="DT:001399"/>
        <s v="DT:001706"/>
        <s v="DT:001939"/>
        <s v="DT:001940"/>
        <s v="DT:000229"/>
        <s v="DT:000313"/>
        <s v="DT:001016"/>
        <s v="DT:001759"/>
        <s v="DT:001832"/>
        <s v="DT:001833"/>
        <s v="DT:001703"/>
        <s v="DT:001776"/>
        <s v="DT:001979"/>
        <s v="DT:000985"/>
        <s v="DT:001907"/>
        <s v="DT:001760"/>
        <s v="DT:000011"/>
        <s v="DT:000207"/>
        <s v="DT:000403"/>
        <s v="DT:001741"/>
        <s v="DT:000593"/>
        <s v="DT:000602"/>
        <s v="DT:001550"/>
        <s v="DT:001990"/>
        <s v="DT:001823"/>
        <s v="DT:001824"/>
        <s v="DT:000498"/>
        <s v="DT:000609"/>
        <s v="DT:001243"/>
        <s v="DT:001628"/>
        <s v="DT:000160"/>
        <s v="DT:000834"/>
        <s v="DT:001820"/>
        <s v="DT:001974"/>
        <s v="DT:000140"/>
        <s v="DT:000221"/>
        <s v="DT:001821"/>
        <s v="DT:001988"/>
        <s v="DT:001484"/>
        <s v="DT:001840"/>
        <s v="DT:000760"/>
        <s v="DT:001648"/>
        <s v="DT:001846"/>
        <s v="DT:001318"/>
        <s v="DT:000764"/>
        <s v="DT:000872"/>
        <s v="DT:001131"/>
        <s v="DT:000402"/>
        <s v="DT:000875"/>
        <s v="DT:001732"/>
        <s v="DT:001733"/>
      </sharedItems>
    </cacheField>
    <cacheField name="Amount" numFmtId="4">
      <sharedItems containsSemiMixedTypes="0" containsString="0" containsNumber="1">
        <n v="79000.01"/>
        <n v="16000.3"/>
        <n v="119200.01"/>
        <n v="158792.52"/>
        <n v="245000.03"/>
        <n v="297500.02"/>
        <n v="107640.47"/>
        <n v="350000.01"/>
        <n v="349570.01"/>
        <n v="32000.6"/>
        <n v="84264.55"/>
        <n v="44400.0"/>
        <n v="35000.0"/>
        <n v="94008.75"/>
        <n v="180000.0"/>
        <n v="21000.0"/>
        <n v="37500.01"/>
        <n v="54200.02"/>
        <n v="79600.01"/>
        <n v="41000.02"/>
        <n v="37901.28"/>
        <n v="80800.01"/>
        <n v="69901.88"/>
        <n v="56100.0"/>
        <n v="3594.18"/>
        <n v="82200.01"/>
        <n v="67200.0"/>
        <n v="112100.01"/>
        <n v="95999.99"/>
        <n v="7200.0"/>
        <n v="166335.5"/>
        <n v="1029000.0"/>
        <n v="599745.0"/>
        <n v="23666.67"/>
        <n v="175000.0"/>
        <n v="214495.51"/>
        <n v="139999.99"/>
        <n v="108496.61"/>
        <n v="41500.38"/>
        <n v="56000.0"/>
        <n v="48999.99"/>
        <n v="280000.0"/>
        <n v="177004.13"/>
        <n v="28000.0"/>
        <n v="76500.0"/>
        <n v="67976.55"/>
        <n v="102800.01"/>
        <n v="63057.01"/>
        <n v="10500.0"/>
        <n v="72999.98"/>
        <n v="31499.99"/>
        <n v="74800.01"/>
        <n v="62000.02"/>
        <n v="5000.0"/>
        <n v="78300.01"/>
        <n v="60000.0"/>
        <n v="123000.05"/>
        <n v="126774.92"/>
        <n v="75680.0"/>
        <n v="237000.04"/>
        <n v="2733.37"/>
        <n v="156000.23"/>
        <n v="51094.02"/>
        <n v="100100.0"/>
        <n v="136800.0"/>
        <n v="70000.0"/>
        <n v="22200.01"/>
        <n v="153400.01"/>
        <n v="95100.04"/>
        <n v="360000.0"/>
        <n v="136700.02"/>
        <n v="8749.96"/>
        <n v="1000.0"/>
        <n v="145312.79"/>
        <n v="61426.21"/>
        <n v="344185.09"/>
        <n v="138900.01"/>
        <n v="130592.51"/>
        <n v="56800.0"/>
        <n v="94997.75"/>
        <n v="104999.98"/>
        <n v="209999.96"/>
        <n v="125999.98"/>
        <n v="157499.97"/>
        <n v="21000.01"/>
        <n v="141060.02"/>
        <n v="161149.92"/>
        <n v="43499.99"/>
        <n v="153525.03"/>
        <n v="191160.46"/>
        <n v="182100.07"/>
        <n v="82500.0"/>
        <n v="76100.0"/>
        <n v="82911.32"/>
        <n v="32800.01"/>
        <n v="109682.09"/>
        <n v="90000.0"/>
        <n v="125000.0"/>
        <n v="30000.0"/>
        <n v="150882.08"/>
        <n v="207963.65"/>
        <n v="164987.72"/>
        <n v="59500.0"/>
        <n v="250700.0"/>
        <n v="63387.51"/>
        <n v="136800.01"/>
        <n v="159825.01"/>
        <n v="119350.0"/>
        <n v="403879.95"/>
        <n v="64800.01"/>
        <n v="268979.84"/>
        <n v="91380.0"/>
        <n v="258410.01"/>
        <n v="85320.45"/>
        <n v="79385.45"/>
        <n v="200975.01"/>
        <n v="27000.0"/>
        <n v="91620.0"/>
        <n v="79750.0"/>
        <n v="117321.97"/>
        <n v="25200.0"/>
        <n v="157344.58"/>
        <n v="100800.0"/>
        <n v="129947.57"/>
        <n v="562012.39"/>
        <n v="199963.98"/>
        <n v="397500.02"/>
        <n v="108000.0"/>
        <n v="221194.26"/>
        <n v="240000.0"/>
        <n v="356333.61"/>
        <n v="102759.25"/>
        <n v="32400.01"/>
        <n v="14000.0"/>
        <n v="120000.0"/>
        <n v="34957.0"/>
        <n v="64400.0"/>
        <n v="5504.0"/>
        <n v="18505.05"/>
        <n v="44999.99"/>
        <n v="42000.0"/>
        <n v="48178.5"/>
        <n v="440549.91"/>
        <n v="44249.93"/>
        <n v="151180.6"/>
        <n v="29200.0"/>
        <n v="54400.0"/>
        <n v="140400.02"/>
        <n v="93511.3"/>
        <n v="21519.95"/>
        <n v="16800.0"/>
        <n v="91000.0"/>
        <n v="45500.0"/>
        <n v="52500.0"/>
        <n v="39906.26"/>
        <n v="49082.07"/>
        <n v="190353.84"/>
        <n v="17478.5"/>
        <n v="38500.0"/>
        <n v="52457.0"/>
        <n v="33325.0"/>
        <n v="243010.2"/>
        <n v="55620.02"/>
        <n v="248094.48"/>
        <n v="134085.87"/>
        <n v="521240.63"/>
        <n v="189000.01"/>
        <n v="284703.0"/>
        <n v="589499.38"/>
        <n v="493240.0"/>
        <n v="316439.96"/>
        <n v="233523.98"/>
        <n v="538140.0"/>
        <n v="474360.01"/>
        <n v="305260.01"/>
        <n v="361740.0"/>
        <n v="4774.3"/>
        <n v="2250.0"/>
        <n v="467869.35"/>
        <n v="6304.27"/>
        <n v="6468.97"/>
        <n v="8180.35"/>
        <n v="400469.5"/>
        <n v="386787.55"/>
        <n v="254682.54"/>
        <n v="348601.21"/>
        <n v="4090.17"/>
        <n v="267815.69"/>
        <n v="141204.05"/>
        <n v="176345.27"/>
        <n v="206426.65"/>
        <n v="52499.99"/>
        <n v="132500.01"/>
        <n v="83375.01"/>
        <n v="204600.02"/>
        <n v="230600.44"/>
        <n v="37899.55"/>
        <n v="158900.0"/>
        <n v="38012.0"/>
        <n v="28804.63"/>
        <n v="60761.53"/>
        <n v="67800.0"/>
        <n v="3586.65"/>
        <n v="21400.01"/>
        <n v="68424.83"/>
        <n v="49400.02"/>
        <n v="75912.53"/>
        <n v="59000.03"/>
        <n v="35000.01"/>
        <n v="78200.02"/>
        <n v="75350.01"/>
        <n v="7300.0"/>
        <n v="77820.0"/>
        <n v="81000.0"/>
        <n v="113322.62"/>
        <n v="30554.0"/>
        <n v="110432.0"/>
        <n v="73500.0"/>
        <n v="51300.0"/>
        <n v="84561.31"/>
        <n v="101600.0"/>
        <n v="74300.78"/>
        <n v="81600.0"/>
        <n v="120300.01"/>
        <n v="144800.01"/>
        <n v="56101.03"/>
        <n v="218800.02"/>
        <n v="525000.0"/>
        <n v="47802.18"/>
        <n v="90516.15"/>
        <n v="41862.67"/>
        <n v="62993.02"/>
        <n v="89900.0"/>
        <n v="87100.0"/>
        <n v="79400.01"/>
        <n v="84020.45"/>
        <n v="167770.01"/>
        <n v="168216.26"/>
        <n v="32700.0"/>
        <n v="117600.0"/>
        <n v="665098.77"/>
        <n v="38500.01"/>
        <n v="17500.0"/>
        <n v="63898.0"/>
        <n v="95900.0"/>
        <n v="148404.14"/>
        <n v="165400.04"/>
        <n v="64500.01"/>
        <n v="94900.02"/>
        <n v="76200.02"/>
        <n v="55000.01"/>
        <n v="94633.52"/>
        <n v="105100.01"/>
        <n v="91000.9"/>
        <n v="115600.01"/>
        <n v="899000.03"/>
        <n v="901001.36"/>
        <n v="849000.12"/>
        <n v="875000.01"/>
        <n v="96000.08"/>
        <n v="705000.1"/>
        <n v="133600.03"/>
        <n v="60001.13"/>
        <n v="99400.01"/>
        <n v="37439.02"/>
        <n v="83873.96"/>
        <n v="65005.25"/>
        <n v="20000.07"/>
        <n v="48000.04"/>
        <n v="38400.03"/>
        <n v="99999.94"/>
        <n v="59803.33"/>
        <n v="99000.0"/>
        <n v="61290.01"/>
        <n v="66849.98"/>
        <n v="49500.15"/>
        <n v="130784.17"/>
        <n v="113439.91"/>
        <n v="171999.99"/>
        <n v="83999.98"/>
        <n v="95000.01"/>
        <n v="95999.98"/>
        <n v="62999.99"/>
        <n v="32000.0"/>
        <n v="41999.99"/>
        <n v="152599.99"/>
        <n v="189995.5"/>
        <n v="142500.01"/>
        <n v="19999.99"/>
        <n v="34830.0"/>
        <n v="74562.51"/>
        <n v="20000.38"/>
        <n v="40999.95"/>
        <n v="30500.01"/>
        <n v="65500.01"/>
        <n v="59301.3"/>
        <n v="86500.09"/>
        <n v="32700.01"/>
        <n v="25500.0"/>
        <n v="14400.01"/>
        <n v="48916.96"/>
        <n v="182371.16"/>
        <n v="47500.0"/>
        <n v="85200.0"/>
        <n v="59600.01"/>
        <n v="276700.02"/>
        <n v="225762.55"/>
        <n v="54805.65"/>
        <n v="83065.82"/>
        <n v="24541.04"/>
        <n v="19200.35"/>
        <n v="93500.02"/>
        <n v="156710.0"/>
        <n v="385500.05"/>
        <n v="33600.0"/>
        <n v="15000.0"/>
        <n v="57000.01"/>
        <n v="48375.0"/>
        <n v="13001.05"/>
        <n v="342000.0"/>
        <n v="65999.63"/>
        <n v="170000.0"/>
        <n v="45150.0"/>
        <n v="66599.48"/>
        <n v="13200.0"/>
        <n v="121399.99"/>
        <n v="35999.6"/>
        <n v="105000.0"/>
        <n v="8200.0"/>
        <n v="2650.09"/>
        <n v="22200.0"/>
        <n v="125870.98"/>
        <n v="42000.01"/>
        <n v="114304.69"/>
        <n v="177000.0"/>
        <n v="20957.0"/>
        <n v="151576.08"/>
        <n v="156400.01"/>
        <n v="71951.9"/>
        <n v="119900.01"/>
        <n v="54000.0"/>
        <n v="86400.01"/>
        <n v="46999.99"/>
        <n v="80600.02"/>
        <n v="87500.0"/>
        <n v="50111.31"/>
        <n v="24600.01"/>
        <n v="65222.62"/>
        <n v="11502.5"/>
        <n v="2085.35"/>
        <n v="115500.0"/>
        <n v="55800.0"/>
        <n v="702284.16"/>
        <n v="36000.0"/>
        <n v="294800.0"/>
        <n v="77305.67"/>
        <n v="148500.0"/>
        <n v="296700.06"/>
        <n v="39999.98"/>
        <n v="129600.01"/>
        <n v="24000.0"/>
        <n v="107856.0"/>
        <n v="114600.01"/>
        <n v="168500.03"/>
        <n v="89600.01"/>
        <n v="42800.01"/>
        <n v="164700.0"/>
        <n v="6878.16"/>
        <n v="113299.98"/>
        <n v="28799.99"/>
        <n v="5999.99"/>
        <n v="174564.18"/>
        <n v="238982.07"/>
        <n v="65600.03"/>
        <n v="103111.33"/>
        <n v="85682.08"/>
        <n v="190382.08"/>
        <n v="93700.0"/>
        <n v="167364.17"/>
        <n v="74250.0"/>
        <n v="130775.45"/>
        <n v="108600.0"/>
        <n v="127680.0"/>
        <n v="78375.0"/>
        <n v="83200.01"/>
        <n v="130100.03"/>
        <n v="18000.0"/>
        <n v="157208.22"/>
        <n v="37125.0"/>
        <n v="8000.02"/>
        <n v="77100.0"/>
        <n v="127800.0"/>
        <n v="91482.09"/>
        <n v="98400.01"/>
        <n v="103900.0"/>
        <n v="149882.08"/>
        <n v="175731.48"/>
        <n v="101222.61"/>
        <n v="46700.0"/>
        <n v="311108.28"/>
        <n v="572000.03"/>
        <n v="259200.02"/>
        <n v="334100.05"/>
        <n v="234600.01"/>
        <n v="180892.52"/>
        <n v="24750.0"/>
        <n v="70602.02"/>
        <n v="243622.64"/>
        <n v="152500.58"/>
        <n v="358000.05"/>
        <n v="67800.01"/>
        <n v="358100.07"/>
        <n v="229983.04"/>
        <n v="447204.07"/>
        <n v="186600.0"/>
        <n v="343626.67"/>
        <n v="192100.01"/>
        <n v="288634.24"/>
        <n v="106500.02"/>
        <n v="144375.0"/>
        <n v="174076.95"/>
        <n v="387056.5"/>
        <n v="12000.0"/>
        <n v="15999.98"/>
        <n v="316300.38"/>
        <n v="237000.01"/>
        <n v="323222.66"/>
        <n v="198000.0"/>
        <n v="87341.04"/>
        <n v="29700.0"/>
        <n v="65411.32"/>
        <n v="132000.0"/>
        <n v="87200.02"/>
        <n v="111982.06"/>
        <n v="404350.08"/>
        <n v="188000.02"/>
        <n v="102600.0"/>
        <n v="451264.16"/>
        <n v="257200.03"/>
        <n v="176864.16"/>
        <n v="68600.01"/>
        <n v="302864.16"/>
        <n v="49500.0"/>
        <n v="339864.16"/>
        <n v="120200.0"/>
        <n v="234334.41"/>
        <n v="80562.52"/>
        <n v="38800.01"/>
        <n v="58350.0"/>
        <n v="7000.0"/>
        <n v="25500.08"/>
        <n v="26900.0"/>
        <n v="79500.01"/>
        <n v="233102.41"/>
        <n v="125779.78"/>
        <n v="195524.6"/>
        <n v="70100.01"/>
        <n v="37400.0"/>
        <n v="138579.79"/>
        <n v="151302.4"/>
        <n v="173679.8"/>
        <n v="119260.47"/>
        <n v="206291.1"/>
        <n v="190079.8"/>
        <n v="90939.9"/>
        <n v="311175.38"/>
        <n v="93480.01"/>
        <n v="137639.91"/>
        <n v="37400.01"/>
        <n v="64559.85"/>
        <n v="73169.81"/>
        <n v="144154.96"/>
        <n v="150700.01"/>
        <n v="178379.8"/>
        <n v="63000.0"/>
        <n v="265891.11"/>
        <n v="155300.01"/>
        <n v="323759.87"/>
        <n v="240279.81"/>
        <n v="68739.9"/>
        <n v="65400.0"/>
        <n v="107599.74"/>
        <n v="154200.02"/>
        <n v="217902.41"/>
        <n v="118833.51"/>
        <n v="169400.03"/>
        <n v="130726.56"/>
        <n v="127211.32"/>
        <n v="19530.03"/>
        <n v="69200.01"/>
        <n v="146400.0"/>
        <n v="137100.0"/>
        <n v="154200.0"/>
        <n v="233986.45"/>
        <n v="55570.01"/>
        <n v="37749.65"/>
        <n v="115622.61"/>
        <n v="162000.01"/>
        <n v="82999.98"/>
        <n v="143999.99"/>
        <n v="224999.99"/>
        <n v="223833.9"/>
        <n v="163056.54"/>
        <n v="125384.65"/>
        <n v="260890.46"/>
        <n v="377659.97"/>
        <n v="169262.33"/>
        <n v="153819.95"/>
        <n v="49579.0"/>
        <n v="134800.7"/>
        <n v="54611.31"/>
        <n v="3326.9"/>
        <n v="36000.68"/>
        <n v="66000.0"/>
        <n v="39775.0"/>
        <n v="132840.01"/>
        <n v="205077.51"/>
        <n v="233350.01"/>
        <n v="166320.45"/>
        <n v="98000.0"/>
        <n v="152763.65"/>
        <n v="149164.85"/>
        <n v="330626.65"/>
        <n v="167700.01"/>
        <n v="379500.37"/>
        <n v="94200.0"/>
        <n v="95277.25"/>
        <n v="39800.0"/>
        <n v="26002.1"/>
        <n v="96801.6"/>
        <n v="141300.01"/>
        <n v="130451.25"/>
        <n v="83151.25"/>
        <n v="48000.9"/>
        <n v="62100.01"/>
        <n v="109937.51"/>
        <n v="77525.02"/>
        <n v="87676.57"/>
        <n v="58600.0"/>
        <n v="81900.01"/>
        <n v="43157.0"/>
        <n v="128400.0"/>
        <n v="319949.65"/>
        <n v="393650.62"/>
        <n v="156750.0"/>
        <n v="296405.93"/>
        <n v="498297.28"/>
        <n v="184777.17"/>
        <n v="192300.0"/>
        <n v="110200.36"/>
        <n v="204500.0"/>
        <n v="25700.0"/>
        <n v="51400.01"/>
        <n v="33926.26"/>
        <n v="53700.0"/>
        <n v="50050.0"/>
        <n v="74200.0"/>
        <n v="119025.94"/>
        <n v="55000.18"/>
        <n v="122179.62"/>
        <n v="375000.0"/>
        <n v="523804.5"/>
        <n v="46800.01"/>
        <n v="24500.0"/>
        <n v="66500.01"/>
        <n v="73499.99"/>
        <n v="72101.33"/>
        <n v="137200.1"/>
        <n v="111500.08"/>
        <n v="57300.0"/>
        <n v="77000.0"/>
        <n v="69000.0"/>
        <n v="192800.01"/>
        <n v="96900.01"/>
        <n v="102737.56"/>
        <n v="201000.0"/>
        <n v="201722.62"/>
        <n v="60700.0"/>
        <n v="118950.01"/>
        <n v="5300.02"/>
        <n v="50725.01"/>
        <n v="46900.01"/>
        <n v="146100.0"/>
        <n v="31500.0"/>
        <n v="73623.11"/>
        <n v="203293.01"/>
        <n v="35243.75"/>
        <n v="16360.47"/>
        <n v="562944.93"/>
        <n v="126000.01"/>
        <n v="270949.98"/>
        <n v="187900.03"/>
        <n v="124900.01"/>
        <n v="41058.12"/>
        <n v="50400.0"/>
        <n v="82900.01"/>
        <n v="61200.01"/>
        <n v="102900.02"/>
        <n v="171600.0"/>
        <n v="304000.01"/>
        <n v="253137.87"/>
        <n v="119000.01"/>
        <n v="26401.14"/>
        <n v="168600.05"/>
        <n v="79200.0"/>
        <n v="186699.95"/>
        <n v="145700.0"/>
        <n v="91624.99"/>
        <n v="130900.0"/>
        <n v="132000.01"/>
        <n v="174500.03"/>
        <n v="140400.01"/>
        <n v="192984.0"/>
        <n v="98599.99"/>
        <n v="132000.02"/>
        <n v="271399.46"/>
        <n v="99316.96"/>
        <n v="43039.9"/>
        <n v="82600.0"/>
        <n v="12375.0"/>
        <n v="161679.79"/>
        <n v="170922.61"/>
        <n v="75500.05"/>
        <n v="45153.13"/>
        <n v="24686.04"/>
        <n v="146487.89"/>
        <n v="114222.61"/>
        <n v="128501.2"/>
        <n v="188676.48"/>
        <n v="197802.61"/>
        <n v="172800.02"/>
        <n v="305300.17"/>
        <n v="353881.7"/>
        <n v="61875.0"/>
        <n v="279865.1"/>
        <n v="157693.31"/>
        <n v="304200.38"/>
        <n v="158700.01"/>
        <n v="106400.0"/>
        <n v="60000.01"/>
        <n v="154100.0"/>
        <n v="169500.03"/>
        <n v="126000.0"/>
        <n v="156100.04"/>
        <n v="52200.01"/>
        <n v="166500.0"/>
        <n v="2100.0"/>
        <n v="147100.01"/>
        <n v="342326.78"/>
        <n v="88236.0"/>
        <n v="96400.0"/>
        <n v="169599.99"/>
        <n v="88200.0"/>
        <n v="124700.01"/>
        <n v="16500.0"/>
        <n v="98400.04"/>
        <n v="228000.08"/>
        <n v="308500.03"/>
        <n v="113600.0"/>
        <n v="290400.04"/>
        <n v="2784.16"/>
        <n v="220900.04"/>
        <n v="411400.01"/>
        <n v="127402.55"/>
        <n v="217804.23"/>
        <n v="156700.03"/>
        <n v="239600.04"/>
        <n v="70725.02"/>
        <n v="201100.05"/>
        <n v="56200.01"/>
        <n v="89000.0"/>
        <n v="42041.85"/>
        <n v="7568.24"/>
        <n v="272103.85"/>
        <n v="722000.0"/>
        <n v="287245.26"/>
        <n v="355999.92"/>
        <n v="538500.07"/>
        <n v="200200.03"/>
        <n v="688605.19"/>
        <n v="209550.01"/>
        <n v="302007.92"/>
        <n v="308400.04"/>
        <n v="359900.03"/>
        <n v="428600.03"/>
        <n v="426500.07"/>
        <n v="298000.05"/>
        <n v="127039.89"/>
        <n v="128500.02"/>
        <n v="55200.0"/>
        <n v="230108.01"/>
        <n v="375393.14"/>
        <n v="59102.43"/>
        <n v="179100.04"/>
        <n v="124733.27"/>
        <n v="102600.18"/>
        <n v="111300.0"/>
        <n v="56041.04"/>
        <n v="98164.0"/>
        <n v="97866.95"/>
        <n v="82412.73"/>
        <n v="144900.02"/>
        <n v="57811.31"/>
        <n v="202592.52"/>
        <n v="27600.0"/>
        <n v="93202.5"/>
        <n v="95800.01"/>
        <n v="135250.01"/>
        <n v="92400.0"/>
        <n v="256027.26"/>
        <n v="366324.99"/>
        <n v="232275.01"/>
        <n v="275450.03"/>
        <n v="83999.99"/>
        <n v="549470.4"/>
        <n v="329993.02"/>
        <n v="243805.7"/>
        <n v="269070.03"/>
        <n v="220825.01"/>
        <n v="207988.32"/>
        <n v="18628.76"/>
        <n v="7927.55"/>
        <n v="7173.35"/>
        <n v="454539.86"/>
        <n v="110700.01"/>
        <n v="619549.24"/>
        <n v="122400.0"/>
        <n v="104000.0"/>
        <n v="78135.5"/>
        <n v="221800.01"/>
        <n v="178200.04"/>
        <n v="260500.02"/>
        <n v="185000.03"/>
        <n v="76281.73"/>
        <n v="117802.18"/>
        <n v="72300.0"/>
        <n v="79800.0"/>
        <n v="27478.49"/>
        <n v="127200.0"/>
        <n v="25787.51"/>
        <n v="104212.5"/>
        <n v="123652.34"/>
        <n v="97082.07"/>
        <n v="167393.72"/>
        <n v="195573.12"/>
        <n v="164604.06"/>
        <n v="102125.85"/>
        <n v="81601.1"/>
        <n v="159840.01"/>
        <n v="231070.45"/>
        <n v="255780.02"/>
        <n v="120540.0"/>
        <n v="323048.62"/>
        <n v="256845.28"/>
        <n v="301787.5"/>
        <n v="125750.01"/>
        <n v="128503.35"/>
        <n v="199200.02"/>
        <n v="27850.09"/>
        <n v="107600.02"/>
        <n v="88000.02"/>
        <n v="55833.5"/>
        <n v="78500.0"/>
        <n v="66600.02"/>
        <n v="257900.06"/>
        <n v="193400.05"/>
        <n v="226800.02"/>
        <n v="155800.05"/>
        <n v="233100.03"/>
        <n v="240700.04"/>
        <n v="316400.01"/>
        <n v="117200.03"/>
        <n v="118400.02"/>
        <n v="102800.0"/>
        <n v="99700.04"/>
        <n v="98100.0"/>
        <n v="110000.03"/>
        <n v="131213.99"/>
        <n v="100093.04"/>
        <n v="30800.02"/>
        <n v="95800.0"/>
        <n v="54000.02"/>
        <n v="125000.01"/>
        <n v="85300.01"/>
        <n v="76000.03"/>
        <n v="39700.0"/>
        <n v="123440.0"/>
        <n v="106300.02"/>
        <n v="164700.01"/>
        <n v="143700.01"/>
        <n v="184149.5"/>
        <n v="99763.52"/>
        <n v="148168.77"/>
        <n v="121600.01"/>
        <n v="203613.75"/>
        <n v="265514.37"/>
        <n v="60333.82"/>
        <n v="249429.44"/>
        <n v="82946.15"/>
        <n v="109900.02"/>
        <n v="183660.62"/>
        <n v="48478.49"/>
        <n v="2733.34"/>
        <n v="293700.02"/>
        <n v="417800.03"/>
        <n v="310739.08"/>
        <n v="303632.48"/>
        <n v="243000.02"/>
        <n v="214783.09"/>
        <n v="86079.79"/>
        <n v="253297.64"/>
        <n v="334200.04"/>
        <n v="53375.9"/>
        <n v="47801.53"/>
        <n v="12512.51"/>
        <n v="16400.01"/>
        <n v="71114.0"/>
        <n v="162652.64"/>
        <n v="75075.0"/>
        <n v="15376.98"/>
        <n v="96423.55"/>
        <n v="68900.01"/>
        <n v="233958.9"/>
        <n v="157499.99"/>
        <n v="528262.99"/>
        <n v="96422.13"/>
        <n v="9600.01"/>
        <n v="420000.14"/>
        <n v="97100.01"/>
        <n v="77100.01"/>
        <n v="50266.67"/>
        <n v="4733.0"/>
        <n v="75651.21"/>
        <n v="104652.57"/>
        <n v="137905.29"/>
        <n v="84000.01"/>
        <n v="40900.01"/>
        <n v="37999.1"/>
        <n v="50601.33"/>
        <n v="64800.0"/>
        <n v="43200.0"/>
        <n v="142603.05"/>
        <n v="186404.23"/>
        <n v="205600.03"/>
        <n v="190400.02"/>
        <n v="22800.0"/>
        <n v="40000.0"/>
        <n v="91360.03"/>
        <n v="14964.86"/>
        <n v="45600.0"/>
        <n v="170764.33"/>
        <n v="77921.87"/>
        <n v="141864.34"/>
        <n v="130070.35"/>
        <n v="62400.0"/>
        <n v="114000.0"/>
        <n v="77700.0"/>
        <n v="82114.32"/>
        <n v="45000.0"/>
        <n v="91092.81"/>
        <n v="134671.21"/>
        <n v="94733.33"/>
        <n v="132700.01"/>
        <n v="1458.33"/>
        <n v="37649.98"/>
        <n v="48200.0"/>
        <n v="67157.0"/>
        <n v="118401.58"/>
        <n v="62601.55"/>
        <n v="96320.0"/>
        <n v="4600.0"/>
        <n v="11838.55"/>
        <n v="103100.19"/>
        <n v="229435.21"/>
        <n v="64500.0"/>
        <n v="55010.29"/>
        <n v="72568.31"/>
        <n v="46800.0"/>
        <n v="17499.99"/>
        <n v="51195.8"/>
        <n v="100782.16"/>
        <n v="199600.01"/>
        <n v="68400.0"/>
        <n v="82700.01"/>
        <n v="100300.0"/>
        <n v="876000.09"/>
        <n v="607500.08"/>
        <n v="45999.98"/>
        <n v="284900.03"/>
        <n v="251000.02"/>
        <n v="51000.15"/>
        <n v="61900.01"/>
        <n v="47900.0"/>
        <n v="51357.01"/>
        <n v="9281.76"/>
        <n v="77202.2"/>
        <n v="44357.0"/>
        <n v="66582.07"/>
        <n v="47953.13"/>
        <n v="13480.04"/>
        <n v="50039.91"/>
        <n v="34200.0"/>
        <n v="29500.0"/>
      </sharedItems>
    </cacheField>
    <cacheField name="Overdue Days" numFmtId="0">
      <sharedItems containsSemiMixedTypes="0" containsString="0" containsNumber="1" containsInteger="1">
        <n v="0.0"/>
        <n v="274.0"/>
        <n v="185.0"/>
        <n v="232.0"/>
        <n v="128.0"/>
        <n v="154.0"/>
        <n v="43.0"/>
        <n v="313.0"/>
        <n v="270.0"/>
        <n v="199.0"/>
        <n v="21.0"/>
        <n v="296.0"/>
        <n v="62.0"/>
        <n v="10.0"/>
        <n v="192.0"/>
        <n v="112.0"/>
        <n v="342.0"/>
        <n v="170.0"/>
        <n v="282.0"/>
        <n v="197.0"/>
        <n v="31.0"/>
        <n v="234.0"/>
        <n v="85.0"/>
        <n v="167.0"/>
        <n v="238.0"/>
        <n v="181.0"/>
        <n v="122.0"/>
        <n v="91.0"/>
        <n v="190.0"/>
        <n v="275.0"/>
        <n v="160.0"/>
        <n v="93.0"/>
        <n v="142.0"/>
        <n v="319.0"/>
        <n v="213.0"/>
        <n v="165.0"/>
        <n v="99.0"/>
        <n v="178.0"/>
        <n v="242.0"/>
        <n v="182.0"/>
        <n v="127.0"/>
        <n v="312.0"/>
        <n v="95.0"/>
        <n v="235.0"/>
        <n v="130.0"/>
        <n v="104.0"/>
        <n v="35.0"/>
        <n v="18.0"/>
        <n v="196.0"/>
        <n v="177.0"/>
        <n v="308.0"/>
        <n v="216.0"/>
        <n v="119.0"/>
        <n v="27.0"/>
        <n v="22.0"/>
        <n v="8.0"/>
        <n v="158.0"/>
        <n v="155.0"/>
        <n v="9.0"/>
        <n v="175.0"/>
        <n v="17.0"/>
        <n v="109.0"/>
        <n v="204.0"/>
        <n v="113.0"/>
        <n v="161.0"/>
        <n v="80.0"/>
        <n v="71.0"/>
        <n v="176.0"/>
        <n v="133.0"/>
        <n v="134.0"/>
        <n v="120.0"/>
        <n v="65.0"/>
        <n v="48.0"/>
        <n v="44.0"/>
        <n v="29.0"/>
        <n v="16.0"/>
        <n v="97.0"/>
        <n v="148.0"/>
        <n v="162.0"/>
        <n v="266.0"/>
        <n v="261.0"/>
        <n v="247.0"/>
        <n v="231.0"/>
        <n v="225.0"/>
        <n v="135.0"/>
        <n v="212.0"/>
        <n v="163.0"/>
        <n v="137.0"/>
        <n v="50.0"/>
        <n v="32.0"/>
        <n v="30.0"/>
        <n v="309.0"/>
        <n v="287.0"/>
        <n v="107.0"/>
        <n v="63.0"/>
        <n v="301.0"/>
        <n v="151.0"/>
        <n v="123.0"/>
        <n v="14.0"/>
        <n v="1.0"/>
        <n v="98.0"/>
        <n v="13.0"/>
        <n v="3.0"/>
        <n v="92.0"/>
        <n v="269.0"/>
        <n v="288.0"/>
        <n v="217.0"/>
        <n v="25.0"/>
        <n v="169.0"/>
        <n v="280.0"/>
        <n v="267.0"/>
        <n v="240.0"/>
        <n v="218.0"/>
        <n v="210.0"/>
        <n v="84.0"/>
        <n v="58.0"/>
        <n v="53.0"/>
        <n v="49.0"/>
        <n v="23.0"/>
        <n v="189.0"/>
        <n v="153.0"/>
        <n v="168.0"/>
        <n v="283.0"/>
        <n v="233.0"/>
        <n v="108.0"/>
        <n v="56.0"/>
        <n v="51.0"/>
        <n v="224.0"/>
        <n v="262.0"/>
        <n v="143.0"/>
        <n v="15.0"/>
        <n v="28.0"/>
        <n v="7.0"/>
        <n v="76.0"/>
        <n v="57.0"/>
        <n v="38.0"/>
        <n v="191.0"/>
        <n v="209.0"/>
        <n v="277.0"/>
        <n v="206.0"/>
        <n v="136.0"/>
        <n v="115.0"/>
        <n v="102.0"/>
        <n v="70.0"/>
        <n v="94.0"/>
        <n v="265.0"/>
        <n v="221.0"/>
        <n v="46.0"/>
        <n v="129.0"/>
        <n v="295.0"/>
        <n v="106.0"/>
        <n v="268.0"/>
        <n v="81.0"/>
        <n v="64.0"/>
        <n v="66.0"/>
        <n v="256.0"/>
        <n v="310.0"/>
        <n v="72.0"/>
        <n v="24.0"/>
        <n v="273.0"/>
        <n v="164.0"/>
        <n v="344.0"/>
        <n v="219.0"/>
        <n v="139.0"/>
        <n v="59.0"/>
        <n v="34.0"/>
        <n v="195.0"/>
        <n v="239.0"/>
        <n v="125.0"/>
        <n v="103.0"/>
        <n v="42.0"/>
        <n v="6.0"/>
        <n v="316.0"/>
        <n v="172.0"/>
        <n v="2.0"/>
        <n v="211.0"/>
        <n v="45.0"/>
        <n v="36.0"/>
        <n v="357.0"/>
        <n v="55.0"/>
        <n v="11.0"/>
        <n v="237.0"/>
        <n v="248.0"/>
        <n v="220.0"/>
        <n v="37.0"/>
        <n v="114.0"/>
        <n v="12.0"/>
        <n v="111.0"/>
        <n v="157.0"/>
        <n v="116.0"/>
        <n v="79.0"/>
        <n v="147.0"/>
        <n v="291.0"/>
        <n v="52.0"/>
        <n v="60.0"/>
        <n v="67.0"/>
        <n v="223.0"/>
        <n v="188.0"/>
        <n v="100.0"/>
        <n v="373.0"/>
        <n v="101.0"/>
        <n v="86.0"/>
        <n v="260.0"/>
        <n v="259.0"/>
        <n v="149.0"/>
        <n v="77.0"/>
        <n v="226.0"/>
        <n v="141.0"/>
        <n v="203.0"/>
        <n v="186.0"/>
        <n v="179.0"/>
        <n v="140.0"/>
        <n v="305.0"/>
        <n v="87.0"/>
        <n v="251.0"/>
        <n v="83.0"/>
        <n v="78.0"/>
        <n v="328.0"/>
        <n v="132.0"/>
        <n v="121.0"/>
        <n v="150.0"/>
        <n v="144.0"/>
        <n v="315.0"/>
        <n v="276.0"/>
        <n v="74.0"/>
        <n v="4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4" outline="0" multipleItemSelectionAllowed="1" showAll="0" sortType="ascending" defaultSubtotal="0">
      <items>
        <item x="4"/>
        <item x="0"/>
        <item x="2"/>
        <item x="3"/>
        <item x="1"/>
      </items>
    </pivotField>
    <pivotField name="Particulars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2"/>
        <item x="3"/>
        <item x="4"/>
        <item x="1"/>
      </items>
    </pivotField>
    <pivotField name="Quantity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1"/>
        <item x="3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7.xml><?xml version="1.0" encoding="utf-8"?>
<pivotTableDefinition xmlns="http://schemas.openxmlformats.org/spreadsheetml/2006/main" name="Pivot Table 4" cacheId="6" dataCaption="" rowGrandTotals="0" compact="0" compactData="0">
  <location ref="A1:E1177" firstHeaderRow="0" firstDataRow="4" firstDataCol="0"/>
  <pivotFields>
    <pivotField name="Date" axis="axisRow" compact="0" numFmtId="165" outline="0" multipleItemSelectionAllowed="1" showAll="0" sortType="ascending" defaultSubtotal="0">
      <items>
        <item x="198"/>
        <item x="179"/>
        <item x="156"/>
        <item x="18"/>
        <item x="217"/>
        <item x="9"/>
        <item x="34"/>
        <item x="151"/>
        <item x="98"/>
        <item x="52"/>
        <item x="221"/>
        <item x="103"/>
        <item x="13"/>
        <item x="192"/>
        <item x="114"/>
        <item x="99"/>
        <item x="124"/>
        <item x="20"/>
        <item x="146"/>
        <item x="117"/>
        <item x="135"/>
        <item x="218"/>
        <item x="67"/>
        <item x="1"/>
        <item x="154"/>
        <item x="10"/>
        <item x="149"/>
        <item x="30"/>
        <item x="85"/>
        <item x="140"/>
        <item x="129"/>
        <item x="86"/>
        <item x="202"/>
        <item x="113"/>
        <item x="163"/>
        <item x="118"/>
        <item x="143"/>
        <item x="158"/>
        <item x="87"/>
        <item x="88"/>
        <item x="206"/>
        <item x="26"/>
        <item x="39"/>
        <item x="119"/>
        <item x="175"/>
        <item x="200"/>
        <item x="45"/>
        <item x="23"/>
        <item x="125"/>
        <item x="4"/>
        <item x="89"/>
        <item x="164"/>
        <item x="90"/>
        <item x="128"/>
        <item x="196"/>
        <item x="141"/>
        <item x="183"/>
        <item x="157"/>
        <item x="120"/>
        <item x="115"/>
        <item x="54"/>
        <item x="35"/>
        <item x="92"/>
        <item x="171"/>
        <item x="121"/>
        <item x="134"/>
        <item x="136"/>
        <item x="21"/>
        <item x="209"/>
        <item x="11"/>
        <item x="205"/>
        <item x="50"/>
        <item x="16"/>
        <item x="133"/>
        <item x="73"/>
        <item x="213"/>
        <item x="210"/>
        <item x="2"/>
        <item x="208"/>
        <item x="25"/>
        <item x="40"/>
        <item x="145"/>
        <item x="38"/>
        <item x="51"/>
        <item x="74"/>
        <item x="63"/>
        <item x="170"/>
        <item x="19"/>
        <item x="84"/>
        <item x="104"/>
        <item x="27"/>
        <item x="56"/>
        <item x="155"/>
        <item x="93"/>
        <item x="69"/>
        <item x="219"/>
        <item x="36"/>
        <item x="166"/>
        <item x="61"/>
        <item x="6"/>
        <item x="31"/>
        <item x="43"/>
        <item x="130"/>
        <item x="203"/>
        <item x="83"/>
        <item x="191"/>
        <item x="105"/>
        <item x="215"/>
        <item x="185"/>
        <item x="211"/>
        <item x="160"/>
        <item x="94"/>
        <item x="33"/>
        <item x="75"/>
        <item x="46"/>
        <item x="137"/>
        <item x="5"/>
        <item x="41"/>
        <item x="107"/>
        <item x="53"/>
        <item x="91"/>
        <item x="76"/>
        <item x="55"/>
        <item x="188"/>
        <item x="147"/>
        <item x="186"/>
        <item x="68"/>
        <item x="17"/>
        <item x="165"/>
        <item x="66"/>
        <item x="28"/>
        <item x="100"/>
        <item x="47"/>
        <item x="222"/>
        <item x="199"/>
        <item x="197"/>
        <item x="77"/>
        <item x="207"/>
        <item x="44"/>
        <item x="189"/>
        <item x="167"/>
        <item x="37"/>
        <item x="70"/>
        <item x="168"/>
        <item x="214"/>
        <item x="32"/>
        <item x="24"/>
        <item x="29"/>
        <item x="216"/>
        <item x="139"/>
        <item x="71"/>
        <item x="190"/>
        <item x="14"/>
        <item x="204"/>
        <item x="187"/>
        <item x="195"/>
        <item x="110"/>
        <item x="152"/>
        <item x="72"/>
        <item x="138"/>
        <item x="132"/>
        <item x="212"/>
        <item x="150"/>
        <item x="78"/>
        <item x="148"/>
        <item x="101"/>
        <item x="194"/>
        <item x="161"/>
        <item x="111"/>
        <item x="201"/>
        <item x="126"/>
        <item x="180"/>
        <item x="122"/>
        <item x="169"/>
        <item x="127"/>
        <item x="95"/>
        <item x="123"/>
        <item x="79"/>
        <item x="142"/>
        <item x="176"/>
        <item x="80"/>
        <item x="7"/>
        <item x="174"/>
        <item x="220"/>
        <item x="159"/>
        <item x="184"/>
        <item x="177"/>
        <item x="48"/>
        <item x="162"/>
        <item x="96"/>
        <item x="22"/>
        <item x="97"/>
        <item x="81"/>
        <item x="173"/>
        <item x="57"/>
        <item x="116"/>
        <item x="153"/>
        <item x="112"/>
        <item x="58"/>
        <item x="12"/>
        <item x="49"/>
        <item x="64"/>
        <item x="82"/>
        <item x="178"/>
        <item x="108"/>
        <item x="182"/>
        <item x="62"/>
        <item x="59"/>
        <item x="172"/>
        <item x="15"/>
        <item x="144"/>
        <item x="106"/>
        <item x="181"/>
        <item x="65"/>
        <item x="102"/>
        <item x="8"/>
        <item x="3"/>
        <item x="131"/>
        <item x="60"/>
        <item x="109"/>
        <item x="0"/>
        <item x="42"/>
        <item x="193"/>
      </items>
    </pivotField>
    <pivotField name="Customer Name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4"/>
        <item x="43"/>
        <item x="45"/>
        <item x="46"/>
        <item x="47"/>
        <item x="48"/>
        <item x="49"/>
        <item x="51"/>
        <item x="50"/>
        <item x="52"/>
        <item x="53"/>
        <item x="54"/>
        <item x="55"/>
        <item x="62"/>
        <item x="56"/>
        <item x="57"/>
        <item x="58"/>
        <item x="59"/>
        <item x="60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</items>
    </pivotField>
    <pivotField name="Invoice Number" axis="axisRow" compact="0" outline="0" multipleItemSelectionAllowed="1" showAll="0" sortType="ascending" defaultSubtotal="0">
      <items>
        <item x="736"/>
        <item x="615"/>
        <item x="930"/>
        <item x="692"/>
        <item x="59"/>
        <item x="19"/>
        <item x="774"/>
        <item x="990"/>
        <item x="16"/>
        <item x="243"/>
        <item x="357"/>
        <item x="642"/>
        <item x="94"/>
        <item x="936"/>
        <item x="768"/>
        <item x="463"/>
        <item x="441"/>
        <item x="751"/>
        <item x="752"/>
        <item x="544"/>
        <item x="769"/>
        <item x="842"/>
        <item x="2"/>
        <item x="383"/>
        <item x="253"/>
        <item x="737"/>
        <item x="34"/>
        <item x="594"/>
        <item x="20"/>
        <item x="297"/>
        <item x="746"/>
        <item x="747"/>
        <item x="27"/>
        <item x="902"/>
        <item x="45"/>
        <item x="358"/>
        <item x="240"/>
        <item x="208"/>
        <item x="359"/>
        <item x="538"/>
        <item x="620"/>
        <item x="287"/>
        <item x="764"/>
        <item x="653"/>
        <item x="348"/>
        <item x="43"/>
        <item x="257"/>
        <item x="114"/>
        <item x="360"/>
        <item x="932"/>
        <item x="60"/>
        <item x="844"/>
        <item x="9"/>
        <item x="149"/>
        <item x="39"/>
        <item x="95"/>
        <item x="214"/>
        <item x="47"/>
        <item x="115"/>
        <item x="585"/>
        <item x="566"/>
        <item x="825"/>
        <item x="133"/>
        <item x="321"/>
        <item x="96"/>
        <item x="384"/>
        <item x="1008"/>
        <item x="134"/>
        <item x="298"/>
        <item x="150"/>
        <item x="80"/>
        <item x="278"/>
        <item x="738"/>
        <item x="648"/>
        <item x="385"/>
        <item x="621"/>
        <item x="680"/>
        <item x="61"/>
        <item x="693"/>
        <item x="21"/>
        <item x="1004"/>
        <item x="329"/>
        <item x="151"/>
        <item x="178"/>
        <item x="787"/>
        <item x="282"/>
        <item x="349"/>
        <item x="13"/>
        <item x="753"/>
        <item x="711"/>
        <item x="512"/>
        <item x="694"/>
        <item x="587"/>
        <item x="643"/>
        <item x="179"/>
        <item x="513"/>
        <item x="361"/>
        <item x="116"/>
        <item x="795"/>
        <item x="781"/>
        <item x="640"/>
        <item x="656"/>
        <item x="592"/>
        <item x="622"/>
        <item x="219"/>
        <item x="362"/>
        <item x="570"/>
        <item x="154"/>
        <item x="173"/>
        <item x="991"/>
        <item x="568"/>
        <item x="269"/>
        <item x="215"/>
        <item x="712"/>
        <item x="140"/>
        <item x="220"/>
        <item x="363"/>
        <item x="1009"/>
        <item x="805"/>
        <item x="22"/>
        <item x="978"/>
        <item x="915"/>
        <item x="912"/>
        <item x="197"/>
        <item x="174"/>
        <item x="788"/>
        <item x="288"/>
        <item x="180"/>
        <item x="574"/>
        <item x="906"/>
        <item x="241"/>
        <item x="397"/>
        <item x="970"/>
        <item x="252"/>
        <item x="833"/>
        <item x="955"/>
        <item x="250"/>
        <item x="386"/>
        <item x="834"/>
        <item x="85"/>
        <item x="586"/>
        <item x="573"/>
        <item x="589"/>
        <item x="590"/>
        <item x="279"/>
        <item x="328"/>
        <item x="910"/>
        <item x="1"/>
        <item x="754"/>
        <item x="419"/>
        <item x="681"/>
        <item x="327"/>
        <item x="695"/>
        <item x="739"/>
        <item x="713"/>
        <item x="883"/>
        <item x="10"/>
        <item x="216"/>
        <item x="300"/>
        <item x="301"/>
        <item x="311"/>
        <item x="364"/>
        <item x="714"/>
        <item x="799"/>
        <item x="770"/>
        <item x="291"/>
        <item x="35"/>
        <item x="322"/>
        <item x="181"/>
        <item x="979"/>
        <item x="117"/>
        <item x="696"/>
        <item x="847"/>
        <item x="575"/>
        <item x="558"/>
        <item x="50"/>
        <item x="943"/>
        <item x="682"/>
        <item x="740"/>
        <item x="715"/>
        <item x="450"/>
        <item x="306"/>
        <item x="632"/>
        <item x="271"/>
        <item x="324"/>
        <item x="227"/>
        <item x="244"/>
        <item x="308"/>
        <item x="312"/>
        <item x="637"/>
        <item x="674"/>
        <item x="135"/>
        <item x="152"/>
        <item x="209"/>
        <item x="292"/>
        <item x="118"/>
        <item x="835"/>
        <item x="245"/>
        <item x="477"/>
        <item x="683"/>
        <item x="172"/>
        <item x="207"/>
        <item x="317"/>
        <item x="365"/>
        <item x="182"/>
        <item x="723"/>
        <item x="603"/>
        <item x="283"/>
        <item x="342"/>
        <item x="336"/>
        <item x="511"/>
        <item x="387"/>
        <item x="1021"/>
        <item x="992"/>
        <item x="119"/>
        <item x="120"/>
        <item x="491"/>
        <item x="716"/>
        <item x="28"/>
        <item x="684"/>
        <item x="410"/>
        <item x="141"/>
        <item x="44"/>
        <item x="242"/>
        <item x="366"/>
        <item x="299"/>
        <item x="940"/>
        <item x="845"/>
        <item x="183"/>
        <item x="559"/>
        <item x="388"/>
        <item x="420"/>
        <item x="971"/>
        <item x="665"/>
        <item x="52"/>
        <item x="97"/>
        <item x="62"/>
        <item x="157"/>
        <item x="25"/>
        <item x="421"/>
        <item x="789"/>
        <item x="221"/>
        <item x="326"/>
        <item x="53"/>
        <item x="4"/>
        <item x="98"/>
        <item x="724"/>
        <item x="725"/>
        <item x="99"/>
        <item x="812"/>
        <item x="330"/>
        <item x="685"/>
        <item x="184"/>
        <item x="121"/>
        <item x="755"/>
        <item x="1000"/>
        <item x="337"/>
        <item x="260"/>
        <item x="367"/>
        <item x="705"/>
        <item x="796"/>
        <item x="389"/>
        <item x="390"/>
        <item x="623"/>
        <item x="5"/>
        <item x="86"/>
        <item x="122"/>
        <item x="185"/>
        <item x="186"/>
        <item x="771"/>
        <item x="226"/>
        <item x="775"/>
        <item x="617"/>
        <item x="272"/>
        <item x="836"/>
        <item x="837"/>
        <item x="222"/>
        <item x="668"/>
        <item x="907"/>
        <item x="46"/>
        <item x="741"/>
        <item x="505"/>
        <item x="332"/>
        <item x="175"/>
        <item x="872"/>
        <item x="854"/>
        <item x="158"/>
        <item x="866"/>
        <item x="261"/>
        <item x="638"/>
        <item x="258"/>
        <item x="228"/>
        <item x="63"/>
        <item x="422"/>
        <item x="686"/>
        <item x="64"/>
        <item x="40"/>
        <item x="748"/>
        <item x="765"/>
        <item x="766"/>
        <item x="782"/>
        <item x="641"/>
        <item x="320"/>
        <item x="994"/>
        <item x="560"/>
        <item x="123"/>
        <item x="756"/>
        <item x="124"/>
        <item x="399"/>
        <item x="995"/>
        <item x="100"/>
        <item x="101"/>
        <item x="593"/>
        <item x="1001"/>
        <item x="391"/>
        <item x="187"/>
        <item x="246"/>
        <item x="65"/>
        <item x="561"/>
        <item x="675"/>
        <item x="884"/>
        <item x="595"/>
        <item x="600"/>
        <item x="284"/>
        <item x="210"/>
        <item x="944"/>
        <item x="522"/>
        <item x="23"/>
        <item x="813"/>
        <item x="624"/>
        <item x="333"/>
        <item x="87"/>
        <item x="749"/>
        <item x="66"/>
        <item x="772"/>
        <item x="726"/>
        <item x="11"/>
        <item x="451"/>
        <item x="797"/>
        <item x="48"/>
        <item x="188"/>
        <item x="392"/>
        <item x="677"/>
        <item x="920"/>
        <item x="625"/>
        <item x="31"/>
        <item x="657"/>
        <item x="289"/>
        <item x="663"/>
        <item x="112"/>
        <item x="911"/>
        <item x="527"/>
        <item x="393"/>
        <item x="924"/>
        <item x="925"/>
        <item x="88"/>
        <item x="125"/>
        <item x="937"/>
        <item x="17"/>
        <item x="923"/>
        <item x="273"/>
        <item x="717"/>
        <item x="368"/>
        <item x="800"/>
        <item x="555"/>
        <item x="626"/>
        <item x="531"/>
        <item x="838"/>
        <item x="280"/>
        <item x="89"/>
        <item x="604"/>
        <item x="83"/>
        <item x="669"/>
        <item x="84"/>
        <item x="584"/>
        <item x="605"/>
        <item x="262"/>
        <item x="596"/>
        <item x="223"/>
        <item x="41"/>
        <item x="251"/>
        <item x="270"/>
        <item x="75"/>
        <item x="727"/>
        <item x="142"/>
        <item x="581"/>
        <item x="369"/>
        <item x="687"/>
        <item x="697"/>
        <item x="728"/>
        <item x="274"/>
        <item x="32"/>
        <item x="556"/>
        <item x="153"/>
        <item x="350"/>
        <item x="343"/>
        <item x="76"/>
        <item x="54"/>
        <item x="698"/>
        <item x="649"/>
        <item x="189"/>
        <item x="1014"/>
        <item x="616"/>
        <item x="36"/>
        <item x="1018"/>
        <item x="275"/>
        <item x="6"/>
        <item x="217"/>
        <item x="601"/>
        <item x="658"/>
        <item x="659"/>
        <item x="860"/>
        <item x="867"/>
        <item x="878"/>
        <item x="627"/>
        <item x="806"/>
        <item x="688"/>
        <item x="729"/>
        <item x="921"/>
        <item x="102"/>
        <item x="229"/>
        <item x="790"/>
        <item x="791"/>
        <item x="506"/>
        <item x="730"/>
        <item x="72"/>
        <item x="650"/>
        <item x="263"/>
        <item x="51"/>
        <item x="211"/>
        <item x="190"/>
        <item x="113"/>
        <item x="571"/>
        <item x="1005"/>
        <item x="264"/>
        <item x="931"/>
        <item x="562"/>
        <item x="855"/>
        <item x="155"/>
        <item x="839"/>
        <item x="843"/>
        <item x="945"/>
        <item x="956"/>
        <item x="908"/>
        <item x="515"/>
        <item x="254"/>
        <item x="42"/>
        <item x="731"/>
        <item x="370"/>
        <item x="371"/>
        <item x="757"/>
        <item x="1019"/>
        <item x="1022"/>
        <item x="699"/>
        <item x="903"/>
        <item x="344"/>
        <item x="548"/>
        <item x="345"/>
        <item x="90"/>
        <item x="372"/>
        <item x="126"/>
        <item x="635"/>
        <item x="166"/>
        <item x="167"/>
        <item x="660"/>
        <item x="639"/>
        <item x="591"/>
        <item x="163"/>
        <item x="26"/>
        <item x="37"/>
        <item x="934"/>
        <item x="38"/>
        <item x="798"/>
        <item x="127"/>
        <item x="394"/>
        <item x="276"/>
        <item x="576"/>
        <item x="946"/>
        <item x="633"/>
        <item x="191"/>
        <item x="33"/>
        <item x="742"/>
        <item x="879"/>
        <item x="852"/>
        <item x="758"/>
        <item x="873"/>
        <item x="302"/>
        <item x="856"/>
        <item x="268"/>
        <item x="868"/>
        <item x="103"/>
        <item x="104"/>
        <item x="351"/>
        <item x="904"/>
        <item x="91"/>
        <item x="901"/>
        <item x="750"/>
        <item x="569"/>
        <item x="840"/>
        <item x="987"/>
        <item x="14"/>
        <item x="892"/>
        <item x="861"/>
        <item x="689"/>
        <item x="690"/>
        <item x="528"/>
        <item x="980"/>
        <item x="168"/>
        <item x="293"/>
        <item x="827"/>
        <item x="828"/>
        <item x="323"/>
        <item x="536"/>
        <item x="532"/>
        <item x="92"/>
        <item x="853"/>
        <item x="700"/>
        <item x="309"/>
        <item x="606"/>
        <item x="277"/>
        <item x="516"/>
        <item x="792"/>
        <item x="267"/>
        <item x="909"/>
        <item x="234"/>
        <item x="759"/>
        <item x="922"/>
        <item x="706"/>
        <item x="880"/>
        <item x="325"/>
        <item x="313"/>
        <item x="819"/>
        <item x="105"/>
        <item x="106"/>
        <item x="862"/>
        <item x="869"/>
        <item x="307"/>
        <item x="670"/>
        <item x="1020"/>
        <item x="315"/>
        <item x="318"/>
        <item x="826"/>
        <item x="305"/>
        <item x="294"/>
        <item x="857"/>
        <item x="144"/>
        <item x="145"/>
        <item x="654"/>
        <item x="534"/>
        <item x="546"/>
        <item x="541"/>
        <item x="525"/>
        <item x="951"/>
        <item x="423"/>
        <item x="514"/>
        <item x="874"/>
        <item x="607"/>
        <item x="608"/>
        <item x="346"/>
        <item x="492"/>
        <item x="192"/>
        <item x="169"/>
        <item x="655"/>
        <item x="701"/>
        <item x="702"/>
        <item x="671"/>
        <item x="707"/>
        <item x="708"/>
        <item x="848"/>
        <item x="793"/>
        <item x="224"/>
        <item x="691"/>
        <item x="452"/>
        <item x="442"/>
        <item x="478"/>
        <item x="493"/>
        <item x="1002"/>
        <item x="467"/>
        <item x="820"/>
        <item x="255"/>
        <item x="941"/>
        <item x="597"/>
        <item x="598"/>
        <item x="198"/>
        <item x="599"/>
        <item x="373"/>
        <item x="225"/>
        <item x="411"/>
        <item x="412"/>
        <item x="413"/>
        <item x="479"/>
        <item x="480"/>
        <item x="235"/>
        <item x="918"/>
        <item x="128"/>
        <item x="563"/>
        <item x="212"/>
        <item x="424"/>
        <item x="815"/>
        <item x="816"/>
        <item x="453"/>
        <item x="972"/>
        <item x="434"/>
        <item x="443"/>
        <item x="204"/>
        <item x="829"/>
        <item x="1017"/>
        <item x="468"/>
        <item x="469"/>
        <item x="107"/>
        <item x="494"/>
        <item x="495"/>
        <item x="352"/>
        <item x="481"/>
        <item x="108"/>
        <item x="893"/>
        <item x="894"/>
        <item x="567"/>
        <item x="841"/>
        <item x="281"/>
        <item x="572"/>
        <item x="651"/>
        <item x="881"/>
        <item x="425"/>
        <item x="444"/>
        <item x="850"/>
        <item x="109"/>
        <item x="129"/>
        <item x="863"/>
        <item x="875"/>
        <item x="295"/>
        <item x="460"/>
        <item x="486"/>
        <item x="193"/>
        <item x="353"/>
        <item x="7"/>
        <item x="461"/>
        <item x="199"/>
        <item x="496"/>
        <item x="821"/>
        <item x="400"/>
        <item x="401"/>
        <item x="891"/>
        <item x="760"/>
        <item x="761"/>
        <item x="957"/>
        <item x="961"/>
        <item x="962"/>
        <item x="678"/>
        <item x="743"/>
        <item x="732"/>
        <item x="435"/>
        <item x="973"/>
        <item x="744"/>
        <item x="733"/>
        <item x="974"/>
        <item x="374"/>
        <item x="464"/>
        <item x="404"/>
        <item x="445"/>
        <item x="338"/>
        <item x="628"/>
        <item x="529"/>
        <item x="507"/>
        <item x="550"/>
        <item x="870"/>
        <item x="535"/>
        <item x="517"/>
        <item x="801"/>
        <item x="851"/>
        <item x="303"/>
        <item x="519"/>
        <item x="454"/>
        <item x="436"/>
        <item x="952"/>
        <item x="953"/>
        <item x="426"/>
        <item x="542"/>
        <item x="533"/>
        <item x="55"/>
        <item x="354"/>
        <item x="629"/>
        <item x="130"/>
        <item x="666"/>
        <item x="497"/>
        <item x="885"/>
        <item x="636"/>
        <item x="482"/>
        <item x="470"/>
        <item x="564"/>
        <item x="236"/>
        <item x="375"/>
        <item x="24"/>
        <item x="110"/>
        <item x="1012"/>
        <item x="331"/>
        <item x="194"/>
        <item x="703"/>
        <item x="704"/>
        <item x="427"/>
        <item x="539"/>
        <item x="334"/>
        <item x="131"/>
        <item x="776"/>
        <item x="537"/>
        <item x="709"/>
        <item x="498"/>
        <item x="577"/>
        <item x="710"/>
        <item x="609"/>
        <item x="446"/>
        <item x="376"/>
        <item x="545"/>
        <item x="526"/>
        <item x="428"/>
        <item x="547"/>
        <item x="462"/>
        <item x="405"/>
        <item x="814"/>
        <item x="487"/>
        <item x="206"/>
        <item x="67"/>
        <item x="319"/>
        <item x="314"/>
        <item x="520"/>
        <item x="68"/>
        <item x="310"/>
        <item x="488"/>
        <item x="846"/>
        <item x="341"/>
        <item x="905"/>
        <item x="996"/>
        <item x="176"/>
        <item x="471"/>
        <item x="414"/>
        <item x="429"/>
        <item x="489"/>
        <item x="415"/>
        <item x="530"/>
        <item x="807"/>
        <item x="170"/>
        <item x="69"/>
        <item x="77"/>
        <item x="523"/>
        <item x="316"/>
        <item x="483"/>
        <item x="484"/>
        <item x="430"/>
        <item x="718"/>
        <item x="719"/>
        <item x="285"/>
        <item x="897"/>
        <item x="720"/>
        <item x="237"/>
        <item x="588"/>
        <item x="230"/>
        <item x="644"/>
        <item x="830"/>
        <item x="938"/>
        <item x="939"/>
        <item x="12"/>
        <item x="73"/>
        <item x="74"/>
        <item x="218"/>
        <item x="818"/>
        <item x="18"/>
        <item x="858"/>
        <item x="549"/>
        <item x="231"/>
        <item x="238"/>
        <item x="886"/>
        <item x="871"/>
        <item x="882"/>
        <item x="864"/>
        <item x="1003"/>
        <item x="56"/>
        <item x="136"/>
        <item x="919"/>
        <item x="137"/>
        <item x="57"/>
        <item x="472"/>
        <item x="200"/>
        <item x="942"/>
        <item x="81"/>
        <item x="1015"/>
        <item x="146"/>
        <item x="876"/>
        <item x="783"/>
        <item x="499"/>
        <item x="416"/>
        <item x="676"/>
        <item x="672"/>
        <item x="679"/>
        <item x="958"/>
        <item x="610"/>
        <item x="611"/>
        <item x="762"/>
        <item x="935"/>
        <item x="898"/>
        <item x="111"/>
        <item x="959"/>
        <item x="500"/>
        <item x="645"/>
        <item x="926"/>
        <item x="447"/>
        <item x="431"/>
        <item x="664"/>
        <item x="455"/>
        <item x="132"/>
        <item x="984"/>
        <item x="745"/>
        <item x="947"/>
        <item x="975"/>
        <item x="437"/>
        <item x="721"/>
        <item x="438"/>
        <item x="582"/>
        <item x="583"/>
        <item x="465"/>
        <item x="406"/>
        <item x="407"/>
        <item x="929"/>
        <item x="773"/>
        <item x="161"/>
        <item x="205"/>
        <item x="159"/>
        <item x="1023"/>
        <item x="1024"/>
        <item x="887"/>
        <item x="335"/>
        <item x="822"/>
        <item x="667"/>
        <item x="509"/>
        <item x="646"/>
        <item x="647"/>
        <item x="993"/>
        <item x="510"/>
        <item x="613"/>
        <item x="784"/>
        <item x="614"/>
        <item x="785"/>
        <item x="78"/>
        <item x="777"/>
        <item x="802"/>
        <item x="402"/>
        <item x="778"/>
        <item x="808"/>
        <item x="981"/>
        <item x="989"/>
        <item x="578"/>
        <item x="914"/>
        <item x="579"/>
        <item x="339"/>
        <item x="888"/>
        <item x="889"/>
        <item x="347"/>
        <item x="355"/>
        <item x="485"/>
        <item x="895"/>
        <item x="896"/>
        <item x="985"/>
        <item x="377"/>
        <item x="456"/>
        <item x="70"/>
        <item x="417"/>
        <item x="618"/>
        <item x="432"/>
        <item x="403"/>
        <item x="779"/>
        <item x="809"/>
        <item x="551"/>
        <item x="552"/>
        <item x="899"/>
        <item x="831"/>
        <item x="832"/>
        <item x="213"/>
        <item x="661"/>
        <item x="521"/>
        <item x="433"/>
        <item x="518"/>
        <item x="673"/>
        <item x="734"/>
        <item x="735"/>
        <item x="408"/>
        <item x="15"/>
        <item x="466"/>
        <item x="540"/>
        <item x="543"/>
        <item x="93"/>
        <item x="634"/>
        <item x="849"/>
        <item x="201"/>
        <item x="1006"/>
        <item x="1010"/>
        <item x="524"/>
        <item x="998"/>
        <item x="999"/>
        <item x="247"/>
        <item x="378"/>
        <item x="954"/>
        <item x="457"/>
        <item x="948"/>
        <item x="949"/>
        <item x="982"/>
        <item x="983"/>
        <item x="286"/>
        <item x="965"/>
        <item x="966"/>
        <item x="490"/>
        <item x="232"/>
        <item x="1013"/>
        <item x="916"/>
        <item x="917"/>
        <item x="395"/>
        <item x="156"/>
        <item x="890"/>
        <item x="1016"/>
        <item x="248"/>
        <item x="763"/>
        <item x="164"/>
        <item x="927"/>
        <item x="928"/>
        <item x="195"/>
        <item x="501"/>
        <item x="502"/>
        <item x="304"/>
        <item x="877"/>
        <item x="256"/>
        <item x="379"/>
        <item x="202"/>
        <item x="138"/>
        <item x="139"/>
        <item x="865"/>
        <item x="823"/>
        <item x="473"/>
        <item x="474"/>
        <item x="859"/>
        <item x="612"/>
        <item x="780"/>
        <item x="82"/>
        <item x="147"/>
        <item x="148"/>
        <item x="296"/>
        <item x="356"/>
        <item x="933"/>
        <item x="803"/>
        <item x="804"/>
        <item x="29"/>
        <item x="30"/>
        <item x="722"/>
        <item x="380"/>
        <item x="630"/>
        <item x="631"/>
        <item x="396"/>
        <item x="290"/>
        <item x="3"/>
        <item x="565"/>
        <item x="143"/>
        <item x="340"/>
        <item x="249"/>
        <item x="794"/>
        <item x="203"/>
        <item x="177"/>
        <item x="810"/>
        <item x="767"/>
        <item x="811"/>
        <item x="988"/>
        <item x="8"/>
        <item x="508"/>
        <item x="381"/>
        <item x="265"/>
        <item x="79"/>
        <item x="239"/>
        <item x="266"/>
        <item x="233"/>
        <item x="382"/>
        <item x="503"/>
        <item x="504"/>
        <item x="71"/>
        <item x="160"/>
        <item x="165"/>
        <item x="418"/>
        <item x="439"/>
        <item x="440"/>
        <item x="976"/>
        <item x="977"/>
        <item x="458"/>
        <item x="459"/>
        <item x="557"/>
        <item x="448"/>
        <item x="449"/>
        <item x="652"/>
        <item x="900"/>
        <item x="786"/>
        <item x="662"/>
        <item x="259"/>
        <item x="553"/>
        <item x="554"/>
        <item x="602"/>
        <item x="580"/>
        <item x="409"/>
        <item x="913"/>
        <item x="0"/>
        <item x="196"/>
        <item x="398"/>
        <item x="171"/>
        <item x="824"/>
        <item x="58"/>
        <item x="475"/>
        <item x="476"/>
        <item x="1007"/>
        <item x="967"/>
        <item x="817"/>
        <item x="162"/>
        <item x="950"/>
        <item x="986"/>
        <item x="619"/>
        <item x="963"/>
        <item x="964"/>
        <item x="968"/>
        <item x="969"/>
        <item x="960"/>
        <item x="49"/>
        <item x="1011"/>
        <item x="997"/>
      </items>
    </pivotField>
    <pivotField name="Amoun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t="default"/>
      </items>
    </pivotField>
    <pivotField name="Overdue Days" axis="axisRow" compact="0" outline="0" multipleItemSelectionAllowed="1" showAll="0" sortType="ascending">
      <items>
        <item x="0"/>
        <item x="99"/>
        <item x="174"/>
        <item x="102"/>
        <item x="171"/>
        <item x="132"/>
        <item x="55"/>
        <item x="58"/>
        <item x="13"/>
        <item x="180"/>
        <item x="186"/>
        <item x="101"/>
        <item x="98"/>
        <item x="130"/>
        <item x="75"/>
        <item x="60"/>
        <item x="47"/>
        <item x="10"/>
        <item x="54"/>
        <item x="118"/>
        <item x="158"/>
        <item x="107"/>
        <item x="53"/>
        <item x="131"/>
        <item x="74"/>
        <item x="90"/>
        <item x="20"/>
        <item x="89"/>
        <item x="165"/>
        <item x="46"/>
        <item x="177"/>
        <item x="184"/>
        <item x="135"/>
        <item x="225"/>
        <item x="170"/>
        <item x="6"/>
        <item x="73"/>
        <item x="176"/>
        <item x="147"/>
        <item x="72"/>
        <item x="117"/>
        <item x="88"/>
        <item x="126"/>
        <item x="193"/>
        <item x="116"/>
        <item x="179"/>
        <item x="125"/>
        <item x="134"/>
        <item x="115"/>
        <item x="164"/>
        <item x="194"/>
        <item x="12"/>
        <item x="94"/>
        <item x="153"/>
        <item x="71"/>
        <item x="154"/>
        <item x="195"/>
        <item x="143"/>
        <item x="66"/>
        <item x="157"/>
        <item x="224"/>
        <item x="133"/>
        <item x="205"/>
        <item x="216"/>
        <item x="190"/>
        <item x="65"/>
        <item x="152"/>
        <item x="215"/>
        <item x="114"/>
        <item x="22"/>
        <item x="201"/>
        <item x="213"/>
        <item x="27"/>
        <item x="103"/>
        <item x="31"/>
        <item x="144"/>
        <item x="42"/>
        <item x="76"/>
        <item x="100"/>
        <item x="36"/>
        <item x="198"/>
        <item x="200"/>
        <item x="142"/>
        <item x="169"/>
        <item x="45"/>
        <item x="150"/>
        <item x="93"/>
        <item x="124"/>
        <item x="61"/>
        <item x="187"/>
        <item x="15"/>
        <item x="63"/>
        <item x="185"/>
        <item x="141"/>
        <item x="189"/>
        <item x="52"/>
        <item x="70"/>
        <item x="219"/>
        <item x="26"/>
        <item x="97"/>
        <item x="168"/>
        <item x="40"/>
        <item x="4"/>
        <item x="148"/>
        <item x="44"/>
        <item x="218"/>
        <item x="68"/>
        <item x="69"/>
        <item x="84"/>
        <item x="140"/>
        <item x="87"/>
        <item x="163"/>
        <item x="211"/>
        <item x="207"/>
        <item x="32"/>
        <item x="129"/>
        <item x="221"/>
        <item x="191"/>
        <item x="77"/>
        <item x="204"/>
        <item x="220"/>
        <item x="96"/>
        <item x="120"/>
        <item x="5"/>
        <item x="57"/>
        <item x="188"/>
        <item x="56"/>
        <item x="30"/>
        <item x="64"/>
        <item x="78"/>
        <item x="86"/>
        <item x="160"/>
        <item x="35"/>
        <item x="23"/>
        <item x="121"/>
        <item x="108"/>
        <item x="17"/>
        <item x="173"/>
        <item x="59"/>
        <item x="67"/>
        <item x="49"/>
        <item x="37"/>
        <item x="210"/>
        <item x="25"/>
        <item x="39"/>
        <item x="2"/>
        <item x="209"/>
        <item x="197"/>
        <item x="119"/>
        <item x="28"/>
        <item x="136"/>
        <item x="14"/>
        <item x="166"/>
        <item x="48"/>
        <item x="19"/>
        <item x="9"/>
        <item x="208"/>
        <item x="62"/>
        <item x="139"/>
        <item x="137"/>
        <item x="113"/>
        <item x="175"/>
        <item x="85"/>
        <item x="34"/>
        <item x="51"/>
        <item x="106"/>
        <item x="112"/>
        <item x="162"/>
        <item x="183"/>
        <item x="146"/>
        <item x="196"/>
        <item x="127"/>
        <item x="83"/>
        <item x="206"/>
        <item x="82"/>
        <item x="3"/>
        <item x="123"/>
        <item x="21"/>
        <item x="43"/>
        <item x="181"/>
        <item x="24"/>
        <item x="167"/>
        <item x="111"/>
        <item x="38"/>
        <item x="81"/>
        <item x="182"/>
        <item x="214"/>
        <item x="155"/>
        <item x="203"/>
        <item x="202"/>
        <item x="80"/>
        <item x="128"/>
        <item x="145"/>
        <item x="79"/>
        <item x="110"/>
        <item x="151"/>
        <item x="104"/>
        <item x="8"/>
        <item x="159"/>
        <item x="1"/>
        <item x="29"/>
        <item x="223"/>
        <item x="138"/>
        <item x="109"/>
        <item x="18"/>
        <item x="122"/>
        <item x="92"/>
        <item x="105"/>
        <item x="192"/>
        <item x="149"/>
        <item x="11"/>
        <item x="95"/>
        <item x="212"/>
        <item x="50"/>
        <item x="91"/>
        <item x="156"/>
        <item x="41"/>
        <item x="7"/>
        <item x="222"/>
        <item x="172"/>
        <item x="33"/>
        <item x="217"/>
        <item x="16"/>
        <item x="161"/>
        <item x="178"/>
        <item x="199"/>
        <item t="default"/>
      </items>
    </pivotField>
  </pivotFields>
  <rowFields>
    <field x="0"/>
    <field x="2"/>
    <field x="1"/>
    <field x="4"/>
  </rowFields>
  <dataFields>
    <dataField name="SUM of Amount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7</v>
      </c>
    </row>
    <row r="3">
      <c r="A3" s="11" t="s">
        <v>15</v>
      </c>
      <c r="B3" s="12">
        <v>45856.0</v>
      </c>
      <c r="C3" s="13" t="s">
        <v>16</v>
      </c>
      <c r="D3" s="13" t="s">
        <v>17</v>
      </c>
      <c r="E3" s="14">
        <v>161.0</v>
      </c>
      <c r="F3" s="15">
        <v>4.0</v>
      </c>
      <c r="G3" s="16">
        <v>168000.0</v>
      </c>
      <c r="I3" s="11" t="s">
        <v>15</v>
      </c>
      <c r="J3" s="12">
        <v>45860.0</v>
      </c>
      <c r="K3" s="13" t="s">
        <v>18</v>
      </c>
      <c r="L3" s="13" t="s">
        <v>19</v>
      </c>
      <c r="M3" s="14" t="s">
        <v>20</v>
      </c>
      <c r="N3" s="15">
        <v>1.0</v>
      </c>
      <c r="O3" s="16">
        <v>42000.0</v>
      </c>
      <c r="P3" s="17">
        <f t="shared" ref="P3:P1844" si="1">sumif(K:K,K3,O:O)</f>
        <v>42000</v>
      </c>
      <c r="R3" s="11" t="s">
        <v>15</v>
      </c>
      <c r="S3" s="12">
        <v>45856.0</v>
      </c>
      <c r="T3" s="13" t="s">
        <v>16</v>
      </c>
      <c r="U3" s="13" t="s">
        <v>17</v>
      </c>
      <c r="V3" s="14">
        <v>161.0</v>
      </c>
      <c r="W3" s="15">
        <v>4.0</v>
      </c>
      <c r="X3" s="16">
        <v>168000.0</v>
      </c>
      <c r="Z3" s="18"/>
      <c r="AA3" s="18"/>
      <c r="AB3" s="18"/>
      <c r="AC3" s="18"/>
      <c r="AD3" s="18"/>
      <c r="AE3" s="18"/>
      <c r="AF3" s="18"/>
      <c r="AG3" s="18"/>
      <c r="AH3" s="19"/>
      <c r="AI3" s="20"/>
      <c r="AJ3" s="21"/>
      <c r="AK3" s="21"/>
      <c r="AL3" s="22"/>
      <c r="AM3" s="23"/>
      <c r="AN3" s="24"/>
      <c r="AP3" s="25"/>
      <c r="AQ3" s="26"/>
      <c r="AR3" s="27"/>
      <c r="AS3" s="27"/>
      <c r="AT3" s="2"/>
      <c r="AU3" s="28"/>
      <c r="AV3" s="29"/>
    </row>
    <row r="4">
      <c r="A4" s="11" t="s">
        <v>21</v>
      </c>
      <c r="B4" s="15">
        <v>45862.0</v>
      </c>
      <c r="C4" s="13" t="s">
        <v>22</v>
      </c>
      <c r="D4" s="13" t="s">
        <v>17</v>
      </c>
      <c r="E4" s="14">
        <v>177.0</v>
      </c>
      <c r="F4" s="15">
        <v>0.5</v>
      </c>
      <c r="G4" s="16">
        <v>17100.0</v>
      </c>
      <c r="I4" s="11" t="s">
        <v>15</v>
      </c>
      <c r="J4" s="12">
        <v>45862.0</v>
      </c>
      <c r="K4" s="13" t="s">
        <v>23</v>
      </c>
      <c r="L4" s="13" t="s">
        <v>19</v>
      </c>
      <c r="M4" s="14" t="s">
        <v>24</v>
      </c>
      <c r="N4" s="15">
        <v>1.0</v>
      </c>
      <c r="O4" s="16">
        <v>42000.0</v>
      </c>
      <c r="P4" s="17">
        <f t="shared" si="1"/>
        <v>110400</v>
      </c>
      <c r="R4" s="11" t="s">
        <v>21</v>
      </c>
      <c r="S4" s="15">
        <v>45862.0</v>
      </c>
      <c r="T4" s="13" t="s">
        <v>22</v>
      </c>
      <c r="U4" s="13" t="s">
        <v>17</v>
      </c>
      <c r="V4" s="14">
        <v>177.0</v>
      </c>
      <c r="W4" s="15">
        <v>0.5</v>
      </c>
      <c r="X4" s="16">
        <v>17100.0</v>
      </c>
      <c r="Z4" s="18"/>
      <c r="AA4" s="18"/>
      <c r="AB4" s="18"/>
      <c r="AC4" s="18"/>
      <c r="AD4" s="18"/>
      <c r="AE4" s="18"/>
      <c r="AF4" s="18"/>
      <c r="AG4" s="18"/>
      <c r="AH4" s="19"/>
      <c r="AI4" s="20"/>
      <c r="AJ4" s="21"/>
      <c r="AK4" s="21"/>
      <c r="AL4" s="22"/>
      <c r="AM4" s="23"/>
      <c r="AN4" s="24"/>
      <c r="AP4" s="25"/>
      <c r="AQ4" s="26"/>
      <c r="AR4" s="27"/>
      <c r="AS4" s="27"/>
      <c r="AT4" s="2"/>
      <c r="AU4" s="30"/>
      <c r="AV4" s="31"/>
    </row>
    <row r="5">
      <c r="A5" s="11" t="s">
        <v>25</v>
      </c>
      <c r="B5" s="15">
        <v>45862.0</v>
      </c>
      <c r="C5" s="13" t="s">
        <v>22</v>
      </c>
      <c r="D5" s="13" t="s">
        <v>17</v>
      </c>
      <c r="E5" s="14">
        <v>177.0</v>
      </c>
      <c r="F5" s="15">
        <v>0.5</v>
      </c>
      <c r="G5" s="16">
        <v>17100.0</v>
      </c>
      <c r="I5" s="11" t="s">
        <v>21</v>
      </c>
      <c r="J5" s="15">
        <v>45862.0</v>
      </c>
      <c r="K5" s="13" t="s">
        <v>23</v>
      </c>
      <c r="L5" s="13" t="s">
        <v>19</v>
      </c>
      <c r="M5" s="14" t="s">
        <v>24</v>
      </c>
      <c r="N5" s="15">
        <v>1.0</v>
      </c>
      <c r="O5" s="16">
        <v>34200.0</v>
      </c>
      <c r="P5" s="17">
        <f t="shared" si="1"/>
        <v>110400</v>
      </c>
      <c r="R5" s="11" t="s">
        <v>25</v>
      </c>
      <c r="S5" s="15">
        <v>45862.0</v>
      </c>
      <c r="T5" s="13" t="s">
        <v>22</v>
      </c>
      <c r="U5" s="13" t="s">
        <v>17</v>
      </c>
      <c r="V5" s="14">
        <v>177.0</v>
      </c>
      <c r="W5" s="15">
        <v>0.5</v>
      </c>
      <c r="X5" s="16">
        <v>17100.0</v>
      </c>
      <c r="Z5" s="18"/>
      <c r="AA5" s="18"/>
      <c r="AB5" s="18"/>
      <c r="AC5" s="18"/>
      <c r="AD5" s="18"/>
      <c r="AE5" s="18"/>
      <c r="AF5" s="18"/>
      <c r="AG5" s="18"/>
      <c r="AH5" s="19"/>
      <c r="AI5" s="20"/>
      <c r="AJ5" s="21"/>
      <c r="AK5" s="21"/>
      <c r="AL5" s="22"/>
      <c r="AM5" s="23"/>
      <c r="AN5" s="24"/>
      <c r="AP5" s="32"/>
      <c r="AQ5" s="26"/>
      <c r="AR5" s="27"/>
      <c r="AS5" s="27"/>
      <c r="AT5" s="2"/>
      <c r="AU5" s="30"/>
      <c r="AV5" s="31"/>
    </row>
    <row r="6">
      <c r="A6" s="11" t="s">
        <v>15</v>
      </c>
      <c r="B6" s="12">
        <v>45856.0</v>
      </c>
      <c r="C6" s="13" t="s">
        <v>26</v>
      </c>
      <c r="D6" s="13" t="s">
        <v>17</v>
      </c>
      <c r="E6" s="14">
        <v>162.0</v>
      </c>
      <c r="F6" s="15">
        <v>1.0</v>
      </c>
      <c r="G6" s="16">
        <v>42000.0</v>
      </c>
      <c r="I6" s="11" t="s">
        <v>27</v>
      </c>
      <c r="J6" s="15">
        <v>45862.0</v>
      </c>
      <c r="K6" s="13" t="s">
        <v>23</v>
      </c>
      <c r="L6" s="13" t="s">
        <v>19</v>
      </c>
      <c r="M6" s="14" t="s">
        <v>24</v>
      </c>
      <c r="N6" s="15">
        <v>1.0</v>
      </c>
      <c r="O6" s="16">
        <v>34200.0</v>
      </c>
      <c r="P6" s="17">
        <f t="shared" si="1"/>
        <v>110400</v>
      </c>
      <c r="R6" s="11" t="s">
        <v>15</v>
      </c>
      <c r="S6" s="12">
        <v>45856.0</v>
      </c>
      <c r="T6" s="13" t="s">
        <v>26</v>
      </c>
      <c r="U6" s="13" t="s">
        <v>17</v>
      </c>
      <c r="V6" s="14">
        <v>162.0</v>
      </c>
      <c r="W6" s="15">
        <v>1.0</v>
      </c>
      <c r="X6" s="16">
        <v>42000.0</v>
      </c>
      <c r="Z6" s="18"/>
      <c r="AA6" s="18"/>
      <c r="AB6" s="18"/>
      <c r="AC6" s="18"/>
      <c r="AD6" s="18"/>
      <c r="AE6" s="18"/>
      <c r="AF6" s="18"/>
      <c r="AG6" s="18"/>
      <c r="AH6" s="11"/>
      <c r="AI6" s="33"/>
      <c r="AJ6" s="13"/>
      <c r="AK6" s="13"/>
      <c r="AL6" s="14"/>
      <c r="AM6" s="15"/>
      <c r="AN6" s="16"/>
      <c r="AP6" s="32"/>
      <c r="AQ6" s="26"/>
      <c r="AR6" s="27"/>
      <c r="AS6" s="27"/>
      <c r="AT6" s="2"/>
      <c r="AU6" s="30"/>
      <c r="AV6" s="31"/>
    </row>
    <row r="7">
      <c r="A7" s="11" t="s">
        <v>25</v>
      </c>
      <c r="B7" s="15">
        <v>45856.0</v>
      </c>
      <c r="C7" s="13" t="s">
        <v>26</v>
      </c>
      <c r="D7" s="13" t="s">
        <v>17</v>
      </c>
      <c r="E7" s="14">
        <v>162.0</v>
      </c>
      <c r="F7" s="15">
        <v>0.5</v>
      </c>
      <c r="G7" s="16">
        <v>17100.0</v>
      </c>
      <c r="I7" s="11" t="s">
        <v>15</v>
      </c>
      <c r="J7" s="12">
        <v>45860.0</v>
      </c>
      <c r="K7" s="13" t="s">
        <v>28</v>
      </c>
      <c r="L7" s="13" t="s">
        <v>19</v>
      </c>
      <c r="M7" s="14" t="s">
        <v>29</v>
      </c>
      <c r="N7" s="14">
        <v>0.5</v>
      </c>
      <c r="O7" s="16">
        <v>21000.0</v>
      </c>
      <c r="P7" s="17">
        <f t="shared" si="1"/>
        <v>21000</v>
      </c>
      <c r="R7" s="11" t="s">
        <v>25</v>
      </c>
      <c r="S7" s="15">
        <v>45856.0</v>
      </c>
      <c r="T7" s="13" t="s">
        <v>26</v>
      </c>
      <c r="U7" s="13" t="s">
        <v>17</v>
      </c>
      <c r="V7" s="14">
        <v>162.0</v>
      </c>
      <c r="W7" s="15">
        <v>0.5</v>
      </c>
      <c r="X7" s="16">
        <v>17100.0</v>
      </c>
      <c r="Z7" s="18"/>
      <c r="AA7" s="18"/>
      <c r="AB7" s="18"/>
      <c r="AC7" s="18"/>
      <c r="AD7" s="18"/>
      <c r="AE7" s="18"/>
      <c r="AF7" s="18"/>
      <c r="AG7" s="18"/>
      <c r="AH7" s="25"/>
      <c r="AI7" s="26"/>
      <c r="AJ7" s="27"/>
      <c r="AK7" s="27"/>
      <c r="AL7" s="2"/>
      <c r="AM7" s="2"/>
      <c r="AN7" s="34"/>
      <c r="AP7" s="32"/>
      <c r="AQ7" s="26"/>
      <c r="AR7" s="27"/>
      <c r="AS7" s="27"/>
      <c r="AT7" s="2"/>
      <c r="AU7" s="30"/>
      <c r="AV7" s="31"/>
    </row>
    <row r="8">
      <c r="A8" s="11" t="s">
        <v>15</v>
      </c>
      <c r="B8" s="12">
        <v>45857.0</v>
      </c>
      <c r="C8" s="13" t="s">
        <v>30</v>
      </c>
      <c r="D8" s="13" t="s">
        <v>17</v>
      </c>
      <c r="E8" s="14">
        <v>168.0</v>
      </c>
      <c r="F8" s="15">
        <v>1.0</v>
      </c>
      <c r="G8" s="16">
        <v>42000.0</v>
      </c>
      <c r="I8" s="11"/>
      <c r="J8" s="33"/>
      <c r="K8" s="13"/>
      <c r="L8" s="13"/>
      <c r="M8" s="14"/>
      <c r="N8" s="15"/>
      <c r="O8" s="16"/>
      <c r="P8" s="17">
        <f t="shared" si="1"/>
        <v>0</v>
      </c>
      <c r="R8" s="11" t="s">
        <v>15</v>
      </c>
      <c r="S8" s="12">
        <v>45857.0</v>
      </c>
      <c r="T8" s="13" t="s">
        <v>30</v>
      </c>
      <c r="U8" s="13" t="s">
        <v>17</v>
      </c>
      <c r="V8" s="14">
        <v>168.0</v>
      </c>
      <c r="W8" s="15">
        <v>1.0</v>
      </c>
      <c r="X8" s="16">
        <v>42000.0</v>
      </c>
      <c r="Z8" s="18"/>
      <c r="AA8" s="18"/>
      <c r="AB8" s="18"/>
      <c r="AC8" s="18"/>
      <c r="AD8" s="18"/>
      <c r="AE8" s="18"/>
      <c r="AF8" s="18"/>
      <c r="AG8" s="18"/>
      <c r="AH8" s="25"/>
      <c r="AI8" s="26"/>
      <c r="AJ8" s="27"/>
      <c r="AK8" s="27"/>
      <c r="AL8" s="2"/>
      <c r="AM8" s="35"/>
      <c r="AN8" s="34"/>
      <c r="AQ8" s="36"/>
      <c r="AV8" s="37"/>
    </row>
    <row r="9">
      <c r="A9" s="11" t="s">
        <v>15</v>
      </c>
      <c r="B9" s="12">
        <v>45859.0</v>
      </c>
      <c r="C9" s="13" t="s">
        <v>31</v>
      </c>
      <c r="D9" s="13" t="s">
        <v>17</v>
      </c>
      <c r="E9" s="14">
        <v>169.0</v>
      </c>
      <c r="F9" s="15">
        <v>0.5</v>
      </c>
      <c r="G9" s="16">
        <v>21000.0</v>
      </c>
      <c r="I9" s="38"/>
      <c r="J9" s="39"/>
      <c r="K9" s="40"/>
      <c r="L9" s="40"/>
      <c r="M9" s="41"/>
      <c r="N9" s="41"/>
      <c r="O9" s="42"/>
      <c r="P9" s="17">
        <f t="shared" si="1"/>
        <v>0</v>
      </c>
      <c r="R9" s="11" t="s">
        <v>15</v>
      </c>
      <c r="S9" s="12">
        <v>45859.0</v>
      </c>
      <c r="T9" s="13" t="s">
        <v>31</v>
      </c>
      <c r="U9" s="13" t="s">
        <v>17</v>
      </c>
      <c r="V9" s="14">
        <v>169.0</v>
      </c>
      <c r="W9" s="15">
        <v>0.5</v>
      </c>
      <c r="X9" s="16">
        <v>21000.0</v>
      </c>
      <c r="AQ9" s="36"/>
      <c r="AV9" s="37"/>
    </row>
    <row r="10">
      <c r="A10" s="11" t="s">
        <v>15</v>
      </c>
      <c r="B10" s="12">
        <v>45860.0</v>
      </c>
      <c r="C10" s="13" t="s">
        <v>18</v>
      </c>
      <c r="D10" s="13" t="s">
        <v>19</v>
      </c>
      <c r="E10" s="14" t="s">
        <v>20</v>
      </c>
      <c r="F10" s="15">
        <v>1.0</v>
      </c>
      <c r="G10" s="16">
        <v>42000.0</v>
      </c>
      <c r="I10" s="38"/>
      <c r="J10" s="39"/>
      <c r="K10" s="40"/>
      <c r="L10" s="40"/>
      <c r="M10" s="41"/>
      <c r="N10" s="41"/>
      <c r="O10" s="42"/>
      <c r="P10" s="17">
        <f t="shared" si="1"/>
        <v>0</v>
      </c>
      <c r="R10" s="38"/>
      <c r="S10" s="39"/>
      <c r="T10" s="40"/>
      <c r="U10" s="40"/>
      <c r="V10" s="41"/>
      <c r="W10" s="43"/>
      <c r="X10" s="42"/>
      <c r="AQ10" s="36"/>
      <c r="AV10" s="37"/>
    </row>
    <row r="11">
      <c r="A11" s="11" t="s">
        <v>15</v>
      </c>
      <c r="B11" s="12">
        <v>45862.0</v>
      </c>
      <c r="C11" s="13" t="s">
        <v>23</v>
      </c>
      <c r="D11" s="13" t="s">
        <v>19</v>
      </c>
      <c r="E11" s="14" t="s">
        <v>24</v>
      </c>
      <c r="F11" s="15">
        <v>1.0</v>
      </c>
      <c r="G11" s="16">
        <v>42000.0</v>
      </c>
      <c r="I11" s="38"/>
      <c r="J11" s="39"/>
      <c r="K11" s="40"/>
      <c r="L11" s="40"/>
      <c r="M11" s="41"/>
      <c r="N11" s="41"/>
      <c r="O11" s="42"/>
      <c r="P11" s="17">
        <f t="shared" si="1"/>
        <v>0</v>
      </c>
      <c r="R11" s="38"/>
      <c r="S11" s="39"/>
      <c r="T11" s="40"/>
      <c r="U11" s="40"/>
      <c r="V11" s="41"/>
      <c r="W11" s="43"/>
      <c r="X11" s="42"/>
      <c r="AQ11" s="36"/>
      <c r="AV11" s="37"/>
    </row>
    <row r="12">
      <c r="A12" s="11" t="s">
        <v>21</v>
      </c>
      <c r="B12" s="15">
        <v>45862.0</v>
      </c>
      <c r="C12" s="13" t="s">
        <v>23</v>
      </c>
      <c r="D12" s="13" t="s">
        <v>19</v>
      </c>
      <c r="E12" s="14" t="s">
        <v>24</v>
      </c>
      <c r="F12" s="15">
        <v>1.0</v>
      </c>
      <c r="G12" s="16">
        <v>34200.0</v>
      </c>
      <c r="I12" s="38"/>
      <c r="J12" s="39"/>
      <c r="K12" s="40"/>
      <c r="L12" s="40"/>
      <c r="M12" s="41"/>
      <c r="N12" s="41"/>
      <c r="O12" s="42"/>
      <c r="P12" s="17">
        <f t="shared" si="1"/>
        <v>0</v>
      </c>
      <c r="R12" s="38"/>
      <c r="S12" s="39"/>
      <c r="T12" s="40"/>
      <c r="U12" s="40"/>
      <c r="V12" s="41"/>
      <c r="W12" s="43"/>
      <c r="X12" s="42"/>
      <c r="AQ12" s="36"/>
      <c r="AV12" s="37"/>
    </row>
    <row r="13">
      <c r="A13" s="11" t="s">
        <v>27</v>
      </c>
      <c r="B13" s="15">
        <v>45862.0</v>
      </c>
      <c r="C13" s="13" t="s">
        <v>23</v>
      </c>
      <c r="D13" s="13" t="s">
        <v>19</v>
      </c>
      <c r="E13" s="14" t="s">
        <v>24</v>
      </c>
      <c r="F13" s="15">
        <v>1.0</v>
      </c>
      <c r="G13" s="16">
        <v>34200.0</v>
      </c>
      <c r="I13" s="38"/>
      <c r="J13" s="39"/>
      <c r="K13" s="44"/>
      <c r="L13" s="40"/>
      <c r="M13" s="41"/>
      <c r="N13" s="41"/>
      <c r="O13" s="42"/>
      <c r="P13" s="17">
        <f t="shared" si="1"/>
        <v>0</v>
      </c>
      <c r="R13" s="38"/>
      <c r="S13" s="39"/>
      <c r="T13" s="40"/>
      <c r="U13" s="40"/>
      <c r="V13" s="41"/>
      <c r="W13" s="43"/>
      <c r="X13" s="42"/>
      <c r="AQ13" s="36"/>
      <c r="AV13" s="37"/>
    </row>
    <row r="14">
      <c r="A14" s="11" t="s">
        <v>15</v>
      </c>
      <c r="B14" s="12">
        <v>45860.0</v>
      </c>
      <c r="C14" s="13" t="s">
        <v>28</v>
      </c>
      <c r="D14" s="13" t="s">
        <v>19</v>
      </c>
      <c r="E14" s="14" t="s">
        <v>29</v>
      </c>
      <c r="F14" s="14">
        <v>0.5</v>
      </c>
      <c r="G14" s="16">
        <v>21000.0</v>
      </c>
      <c r="I14" s="38"/>
      <c r="J14" s="39"/>
      <c r="K14" s="44"/>
      <c r="L14" s="40"/>
      <c r="M14" s="41"/>
      <c r="N14" s="41"/>
      <c r="O14" s="42"/>
      <c r="P14" s="17">
        <f t="shared" si="1"/>
        <v>0</v>
      </c>
      <c r="R14" s="38"/>
      <c r="S14" s="39"/>
      <c r="T14" s="40"/>
      <c r="U14" s="40"/>
      <c r="V14" s="41"/>
      <c r="W14" s="41"/>
      <c r="X14" s="42"/>
      <c r="AQ14" s="36"/>
      <c r="AV14" s="37"/>
    </row>
    <row r="15">
      <c r="A15" s="38"/>
      <c r="B15" s="39"/>
      <c r="C15" s="40"/>
      <c r="D15" s="40"/>
      <c r="E15" s="41"/>
      <c r="F15" s="41"/>
      <c r="G15" s="42"/>
      <c r="I15" s="38"/>
      <c r="J15" s="39"/>
      <c r="K15" s="40"/>
      <c r="L15" s="40"/>
      <c r="M15" s="41"/>
      <c r="N15" s="41"/>
      <c r="O15" s="42"/>
      <c r="P15" s="17">
        <f t="shared" si="1"/>
        <v>0</v>
      </c>
      <c r="R15" s="45"/>
      <c r="S15" s="46"/>
      <c r="T15" s="47"/>
      <c r="U15" s="47"/>
      <c r="V15" s="48"/>
      <c r="W15" s="49"/>
      <c r="X15" s="50"/>
      <c r="AQ15" s="36"/>
      <c r="AV15" s="37"/>
    </row>
    <row r="16">
      <c r="A16" s="38"/>
      <c r="B16" s="39"/>
      <c r="C16" s="40"/>
      <c r="D16" s="40"/>
      <c r="E16" s="41"/>
      <c r="F16" s="41"/>
      <c r="G16" s="42"/>
      <c r="I16" s="38"/>
      <c r="J16" s="39"/>
      <c r="K16" s="40"/>
      <c r="L16" s="40"/>
      <c r="M16" s="41"/>
      <c r="N16" s="41"/>
      <c r="O16" s="42"/>
      <c r="P16" s="17">
        <f t="shared" si="1"/>
        <v>0</v>
      </c>
      <c r="R16" s="45"/>
      <c r="S16" s="46"/>
      <c r="T16" s="47"/>
      <c r="U16" s="47"/>
      <c r="V16" s="48"/>
      <c r="W16" s="48"/>
      <c r="X16" s="50"/>
      <c r="AQ16" s="36"/>
      <c r="AV16" s="37"/>
    </row>
    <row r="17">
      <c r="A17" s="38"/>
      <c r="B17" s="39"/>
      <c r="C17" s="40"/>
      <c r="D17" s="40"/>
      <c r="E17" s="41"/>
      <c r="F17" s="41"/>
      <c r="G17" s="42"/>
      <c r="I17" s="38"/>
      <c r="J17" s="39"/>
      <c r="K17" s="40"/>
      <c r="L17" s="40"/>
      <c r="M17" s="41"/>
      <c r="N17" s="41"/>
      <c r="O17" s="42"/>
      <c r="P17" s="17">
        <f t="shared" si="1"/>
        <v>0</v>
      </c>
      <c r="R17" s="45"/>
      <c r="S17" s="46"/>
      <c r="T17" s="47"/>
      <c r="U17" s="47"/>
      <c r="V17" s="48"/>
      <c r="W17" s="48"/>
      <c r="X17" s="50"/>
      <c r="AQ17" s="36"/>
      <c r="AV17" s="37"/>
    </row>
    <row r="18">
      <c r="A18" s="38"/>
      <c r="B18" s="39"/>
      <c r="C18" s="40"/>
      <c r="D18" s="40"/>
      <c r="E18" s="41"/>
      <c r="F18" s="41"/>
      <c r="G18" s="42"/>
      <c r="I18" s="38"/>
      <c r="J18" s="39"/>
      <c r="K18" s="44"/>
      <c r="L18" s="40"/>
      <c r="M18" s="41"/>
      <c r="N18" s="41"/>
      <c r="O18" s="42"/>
      <c r="P18" s="17">
        <f t="shared" si="1"/>
        <v>0</v>
      </c>
      <c r="R18" s="45"/>
      <c r="S18" s="46"/>
      <c r="T18" s="47"/>
      <c r="U18" s="47"/>
      <c r="V18" s="48"/>
      <c r="W18" s="48"/>
      <c r="X18" s="50"/>
      <c r="AQ18" s="36"/>
      <c r="AV18" s="37"/>
    </row>
    <row r="19">
      <c r="A19" s="38"/>
      <c r="B19" s="39"/>
      <c r="C19" s="40"/>
      <c r="D19" s="40"/>
      <c r="E19" s="41"/>
      <c r="F19" s="41"/>
      <c r="G19" s="42"/>
      <c r="I19" s="38"/>
      <c r="J19" s="39"/>
      <c r="K19" s="44"/>
      <c r="L19" s="40"/>
      <c r="M19" s="41"/>
      <c r="N19" s="41"/>
      <c r="O19" s="42"/>
      <c r="P19" s="17">
        <f t="shared" si="1"/>
        <v>0</v>
      </c>
      <c r="R19" s="45"/>
      <c r="S19" s="46"/>
      <c r="T19" s="47"/>
      <c r="U19" s="47"/>
      <c r="V19" s="48"/>
      <c r="W19" s="48"/>
      <c r="X19" s="50"/>
      <c r="AQ19" s="36"/>
      <c r="AV19" s="37"/>
    </row>
    <row r="20">
      <c r="A20" s="38"/>
      <c r="B20" s="39"/>
      <c r="C20" s="40"/>
      <c r="D20" s="40"/>
      <c r="E20" s="41"/>
      <c r="F20" s="41"/>
      <c r="G20" s="42"/>
      <c r="I20" s="38"/>
      <c r="J20" s="39"/>
      <c r="K20" s="44"/>
      <c r="L20" s="40"/>
      <c r="M20" s="41"/>
      <c r="N20" s="41"/>
      <c r="O20" s="42"/>
      <c r="P20" s="17">
        <f t="shared" si="1"/>
        <v>0</v>
      </c>
      <c r="R20" s="45"/>
      <c r="S20" s="46"/>
      <c r="T20" s="47"/>
      <c r="U20" s="47"/>
      <c r="V20" s="48"/>
      <c r="W20" s="49"/>
      <c r="X20" s="50"/>
      <c r="AQ20" s="36"/>
      <c r="AV20" s="37"/>
    </row>
    <row r="21">
      <c r="A21" s="38"/>
      <c r="B21" s="39"/>
      <c r="C21" s="40"/>
      <c r="D21" s="40"/>
      <c r="E21" s="41"/>
      <c r="F21" s="41"/>
      <c r="G21" s="42"/>
      <c r="I21" s="38"/>
      <c r="J21" s="39"/>
      <c r="K21" s="40"/>
      <c r="L21" s="40"/>
      <c r="M21" s="41"/>
      <c r="N21" s="41"/>
      <c r="O21" s="42"/>
      <c r="P21" s="17">
        <f t="shared" si="1"/>
        <v>0</v>
      </c>
      <c r="R21" s="45"/>
      <c r="S21" s="51"/>
      <c r="T21" s="52"/>
      <c r="U21" s="52"/>
      <c r="V21" s="53"/>
      <c r="W21" s="54"/>
      <c r="X21" s="24"/>
      <c r="AQ21" s="36"/>
      <c r="AV21" s="37"/>
    </row>
    <row r="22">
      <c r="A22" s="38"/>
      <c r="B22" s="39"/>
      <c r="C22" s="40"/>
      <c r="D22" s="40"/>
      <c r="E22" s="41"/>
      <c r="F22" s="41"/>
      <c r="G22" s="42"/>
      <c r="I22" s="38"/>
      <c r="J22" s="39"/>
      <c r="K22" s="40"/>
      <c r="L22" s="40"/>
      <c r="M22" s="41"/>
      <c r="N22" s="41"/>
      <c r="O22" s="42"/>
      <c r="P22" s="17">
        <f t="shared" si="1"/>
        <v>0</v>
      </c>
      <c r="R22" s="45"/>
      <c r="S22" s="46"/>
      <c r="T22" s="40"/>
      <c r="U22" s="40"/>
      <c r="V22" s="41"/>
      <c r="W22" s="55"/>
      <c r="X22" s="50"/>
      <c r="AQ22" s="36"/>
      <c r="AV22" s="37"/>
    </row>
    <row r="23">
      <c r="A23" s="38"/>
      <c r="B23" s="39"/>
      <c r="C23" s="40"/>
      <c r="D23" s="40"/>
      <c r="E23" s="41"/>
      <c r="F23" s="41"/>
      <c r="G23" s="42"/>
      <c r="I23" s="32"/>
      <c r="J23" s="26"/>
      <c r="K23" s="27"/>
      <c r="L23" s="27"/>
      <c r="M23" s="2"/>
      <c r="N23" s="35"/>
      <c r="O23" s="31"/>
      <c r="P23" s="17">
        <f t="shared" si="1"/>
        <v>0</v>
      </c>
      <c r="R23" s="45"/>
      <c r="S23" s="46"/>
      <c r="T23" s="47"/>
      <c r="U23" s="47"/>
      <c r="V23" s="48"/>
      <c r="W23" s="49"/>
      <c r="X23" s="50"/>
      <c r="AQ23" s="36"/>
      <c r="AV23" s="37"/>
    </row>
    <row r="24">
      <c r="A24" s="38"/>
      <c r="B24" s="39"/>
      <c r="C24" s="40"/>
      <c r="D24" s="40"/>
      <c r="E24" s="41"/>
      <c r="F24" s="41"/>
      <c r="G24" s="42"/>
      <c r="I24" s="32"/>
      <c r="J24" s="26"/>
      <c r="K24" s="27"/>
      <c r="L24" s="27"/>
      <c r="M24" s="2"/>
      <c r="N24" s="35"/>
      <c r="O24" s="31"/>
      <c r="P24" s="17">
        <f t="shared" si="1"/>
        <v>0</v>
      </c>
      <c r="R24" s="45"/>
      <c r="S24" s="46"/>
      <c r="T24" s="47"/>
      <c r="U24" s="47"/>
      <c r="V24" s="48"/>
      <c r="W24" s="48"/>
      <c r="X24" s="50"/>
      <c r="AQ24" s="36"/>
      <c r="AV24" s="37"/>
    </row>
    <row r="25">
      <c r="A25" s="38"/>
      <c r="B25" s="39"/>
      <c r="C25" s="44"/>
      <c r="D25" s="40"/>
      <c r="E25" s="41"/>
      <c r="F25" s="41"/>
      <c r="G25" s="42"/>
      <c r="I25" s="32"/>
      <c r="J25" s="26"/>
      <c r="K25" s="27"/>
      <c r="L25" s="27"/>
      <c r="M25" s="2"/>
      <c r="N25" s="35"/>
      <c r="O25" s="31"/>
      <c r="P25" s="17">
        <f t="shared" si="1"/>
        <v>0</v>
      </c>
      <c r="R25" s="25"/>
      <c r="S25" s="26"/>
      <c r="T25" s="27"/>
      <c r="U25" s="27"/>
      <c r="V25" s="2"/>
      <c r="W25" s="35"/>
      <c r="X25" s="34"/>
      <c r="AQ25" s="36"/>
      <c r="AV25" s="37"/>
    </row>
    <row r="26">
      <c r="A26" s="38"/>
      <c r="B26" s="39"/>
      <c r="C26" s="44"/>
      <c r="D26" s="40"/>
      <c r="E26" s="41"/>
      <c r="F26" s="41"/>
      <c r="G26" s="42"/>
      <c r="I26" s="32"/>
      <c r="J26" s="26"/>
      <c r="K26" s="27"/>
      <c r="L26" s="27"/>
      <c r="M26" s="2"/>
      <c r="N26" s="35"/>
      <c r="O26" s="31"/>
      <c r="P26" s="17">
        <f t="shared" si="1"/>
        <v>0</v>
      </c>
      <c r="R26" s="25"/>
      <c r="S26" s="26"/>
      <c r="T26" s="27"/>
      <c r="U26" s="27"/>
      <c r="V26" s="2"/>
      <c r="W26" s="2"/>
      <c r="X26" s="34"/>
      <c r="AQ26" s="36"/>
      <c r="AV26" s="37"/>
    </row>
    <row r="27">
      <c r="A27" s="38"/>
      <c r="B27" s="39"/>
      <c r="C27" s="40"/>
      <c r="D27" s="40"/>
      <c r="E27" s="41"/>
      <c r="F27" s="41"/>
      <c r="G27" s="42"/>
      <c r="I27" s="25"/>
      <c r="J27" s="26"/>
      <c r="K27" s="56"/>
      <c r="L27" s="27"/>
      <c r="M27" s="2"/>
      <c r="N27" s="35"/>
      <c r="O27" s="31"/>
      <c r="P27" s="17">
        <f t="shared" si="1"/>
        <v>0</v>
      </c>
      <c r="R27" s="25"/>
      <c r="S27" s="26"/>
      <c r="T27" s="27"/>
      <c r="U27" s="27"/>
      <c r="V27" s="2"/>
      <c r="W27" s="35"/>
      <c r="X27" s="34"/>
      <c r="AQ27" s="36"/>
      <c r="AV27" s="37"/>
    </row>
    <row r="28">
      <c r="A28" s="38"/>
      <c r="B28" s="39"/>
      <c r="C28" s="40"/>
      <c r="D28" s="40"/>
      <c r="E28" s="41"/>
      <c r="F28" s="41"/>
      <c r="G28" s="42"/>
      <c r="I28" s="25"/>
      <c r="J28" s="26"/>
      <c r="K28" s="27"/>
      <c r="L28" s="27"/>
      <c r="M28" s="2"/>
      <c r="N28" s="35"/>
      <c r="O28" s="31"/>
      <c r="P28" s="17">
        <f t="shared" si="1"/>
        <v>0</v>
      </c>
      <c r="R28" s="25"/>
      <c r="S28" s="26"/>
      <c r="T28" s="27"/>
      <c r="U28" s="27"/>
      <c r="V28" s="2"/>
      <c r="W28" s="2"/>
      <c r="X28" s="34"/>
      <c r="AQ28" s="36"/>
      <c r="AV28" s="37"/>
    </row>
    <row r="29">
      <c r="A29" s="38"/>
      <c r="B29" s="39"/>
      <c r="C29" s="40"/>
      <c r="D29" s="40"/>
      <c r="E29" s="41"/>
      <c r="F29" s="41"/>
      <c r="G29" s="42"/>
      <c r="I29" s="25"/>
      <c r="J29" s="26"/>
      <c r="K29" s="27"/>
      <c r="L29" s="27"/>
      <c r="M29" s="2"/>
      <c r="N29" s="35"/>
      <c r="O29" s="31"/>
      <c r="P29" s="17">
        <f t="shared" si="1"/>
        <v>0</v>
      </c>
      <c r="R29" s="25"/>
      <c r="S29" s="26"/>
      <c r="T29" s="27"/>
      <c r="U29" s="27"/>
      <c r="V29" s="2"/>
      <c r="W29" s="35"/>
      <c r="X29" s="34"/>
      <c r="AQ29" s="36"/>
      <c r="AV29" s="37"/>
    </row>
    <row r="30">
      <c r="A30" s="38"/>
      <c r="B30" s="39"/>
      <c r="C30" s="44"/>
      <c r="D30" s="40"/>
      <c r="E30" s="41"/>
      <c r="F30" s="41"/>
      <c r="G30" s="42"/>
      <c r="I30" s="25"/>
      <c r="J30" s="26"/>
      <c r="K30" s="56"/>
      <c r="L30" s="27"/>
      <c r="M30" s="2"/>
      <c r="N30" s="35"/>
      <c r="O30" s="31"/>
      <c r="P30" s="17">
        <f t="shared" si="1"/>
        <v>0</v>
      </c>
      <c r="R30" s="25"/>
      <c r="S30" s="26"/>
      <c r="T30" s="27"/>
      <c r="U30" s="27"/>
      <c r="V30" s="2"/>
      <c r="W30" s="2"/>
      <c r="X30" s="34"/>
      <c r="AQ30" s="36"/>
      <c r="AV30" s="37"/>
    </row>
    <row r="31">
      <c r="A31" s="38"/>
      <c r="B31" s="39"/>
      <c r="C31" s="44"/>
      <c r="D31" s="40"/>
      <c r="E31" s="41"/>
      <c r="F31" s="41"/>
      <c r="G31" s="42"/>
      <c r="I31" s="25"/>
      <c r="J31" s="26"/>
      <c r="K31" s="56"/>
      <c r="L31" s="27"/>
      <c r="M31" s="2"/>
      <c r="N31" s="35"/>
      <c r="O31" s="31"/>
      <c r="P31" s="17">
        <f t="shared" si="1"/>
        <v>0</v>
      </c>
      <c r="R31" s="25"/>
      <c r="S31" s="26"/>
      <c r="T31" s="27"/>
      <c r="U31" s="27"/>
      <c r="V31" s="2"/>
      <c r="W31" s="35"/>
      <c r="X31" s="34"/>
      <c r="AQ31" s="36"/>
      <c r="AV31" s="37"/>
    </row>
    <row r="32">
      <c r="A32" s="38"/>
      <c r="B32" s="39"/>
      <c r="C32" s="44"/>
      <c r="D32" s="40"/>
      <c r="E32" s="41"/>
      <c r="F32" s="41"/>
      <c r="G32" s="42"/>
      <c r="I32" s="25"/>
      <c r="J32" s="26"/>
      <c r="K32" s="56"/>
      <c r="L32" s="27"/>
      <c r="M32" s="2"/>
      <c r="N32" s="35"/>
      <c r="O32" s="31"/>
      <c r="P32" s="17">
        <f t="shared" si="1"/>
        <v>0</v>
      </c>
      <c r="R32" s="25"/>
      <c r="S32" s="26"/>
      <c r="T32" s="27"/>
      <c r="U32" s="27"/>
      <c r="V32" s="2"/>
      <c r="W32" s="2"/>
      <c r="X32" s="34"/>
      <c r="AQ32" s="36"/>
      <c r="AV32" s="37"/>
    </row>
    <row r="33">
      <c r="A33" s="38"/>
      <c r="B33" s="39"/>
      <c r="C33" s="40"/>
      <c r="D33" s="40"/>
      <c r="E33" s="41"/>
      <c r="F33" s="41"/>
      <c r="G33" s="42"/>
      <c r="I33" s="25"/>
      <c r="J33" s="26"/>
      <c r="K33" s="56"/>
      <c r="L33" s="27"/>
      <c r="M33" s="2"/>
      <c r="N33" s="35"/>
      <c r="O33" s="31"/>
      <c r="P33" s="17">
        <f t="shared" si="1"/>
        <v>0</v>
      </c>
      <c r="R33" s="25"/>
      <c r="S33" s="26"/>
      <c r="T33" s="56"/>
      <c r="U33" s="27"/>
      <c r="V33" s="2"/>
      <c r="W33" s="35"/>
      <c r="X33" s="34"/>
      <c r="AQ33" s="36"/>
      <c r="AV33" s="37"/>
    </row>
    <row r="34">
      <c r="A34" s="38"/>
      <c r="B34" s="39"/>
      <c r="C34" s="40"/>
      <c r="D34" s="40"/>
      <c r="E34" s="41"/>
      <c r="F34" s="41"/>
      <c r="G34" s="42"/>
      <c r="I34" s="25"/>
      <c r="J34" s="26"/>
      <c r="K34" s="56"/>
      <c r="L34" s="27"/>
      <c r="M34" s="2"/>
      <c r="N34" s="35"/>
      <c r="O34" s="31"/>
      <c r="P34" s="17">
        <f t="shared" si="1"/>
        <v>0</v>
      </c>
      <c r="R34" s="25"/>
      <c r="S34" s="26"/>
      <c r="T34" s="56"/>
      <c r="U34" s="27"/>
      <c r="V34" s="2"/>
      <c r="W34" s="2"/>
      <c r="X34" s="34"/>
      <c r="AQ34" s="36"/>
      <c r="AV34" s="37"/>
    </row>
    <row r="35">
      <c r="A35" s="45"/>
      <c r="B35" s="46"/>
      <c r="C35" s="57"/>
      <c r="D35" s="47"/>
      <c r="E35" s="48"/>
      <c r="F35" s="49"/>
      <c r="G35" s="50"/>
      <c r="I35" s="25"/>
      <c r="J35" s="26"/>
      <c r="K35" s="56"/>
      <c r="L35" s="27"/>
      <c r="M35" s="2"/>
      <c r="N35" s="35"/>
      <c r="O35" s="31"/>
      <c r="P35" s="17">
        <f t="shared" si="1"/>
        <v>0</v>
      </c>
      <c r="R35" s="25"/>
      <c r="S35" s="26"/>
      <c r="T35" s="27"/>
      <c r="U35" s="27"/>
      <c r="V35" s="2"/>
      <c r="W35" s="35"/>
      <c r="X35" s="34"/>
      <c r="AQ35" s="36"/>
      <c r="AV35" s="37"/>
    </row>
    <row r="36">
      <c r="A36" s="45"/>
      <c r="B36" s="46"/>
      <c r="C36" s="57"/>
      <c r="D36" s="47"/>
      <c r="E36" s="48"/>
      <c r="F36" s="49"/>
      <c r="G36" s="50"/>
      <c r="I36" s="25"/>
      <c r="J36" s="26"/>
      <c r="K36" s="56"/>
      <c r="L36" s="27"/>
      <c r="M36" s="2"/>
      <c r="N36" s="35"/>
      <c r="O36" s="31"/>
      <c r="P36" s="17">
        <f t="shared" si="1"/>
        <v>0</v>
      </c>
      <c r="R36" s="25"/>
      <c r="S36" s="26"/>
      <c r="T36" s="27"/>
      <c r="U36" s="27"/>
      <c r="V36" s="2"/>
      <c r="W36" s="35"/>
      <c r="X36" s="34"/>
      <c r="AQ36" s="36"/>
      <c r="AV36" s="37"/>
    </row>
    <row r="37">
      <c r="A37" s="45"/>
      <c r="B37" s="46"/>
      <c r="C37" s="57"/>
      <c r="D37" s="47"/>
      <c r="E37" s="48"/>
      <c r="F37" s="48"/>
      <c r="G37" s="50"/>
      <c r="I37" s="25"/>
      <c r="J37" s="26"/>
      <c r="K37" s="56"/>
      <c r="L37" s="27"/>
      <c r="M37" s="2"/>
      <c r="N37" s="35"/>
      <c r="O37" s="31"/>
      <c r="P37" s="17">
        <f t="shared" si="1"/>
        <v>0</v>
      </c>
      <c r="R37" s="25"/>
      <c r="S37" s="26"/>
      <c r="T37" s="56"/>
      <c r="U37" s="27"/>
      <c r="V37" s="2"/>
      <c r="W37" s="35"/>
      <c r="X37" s="34"/>
      <c r="AQ37" s="36"/>
      <c r="AV37" s="37"/>
    </row>
    <row r="38">
      <c r="A38" s="19"/>
      <c r="B38" s="46"/>
      <c r="C38" s="47"/>
      <c r="D38" s="47"/>
      <c r="E38" s="48"/>
      <c r="F38" s="48"/>
      <c r="G38" s="50"/>
      <c r="I38" s="25"/>
      <c r="J38" s="26"/>
      <c r="K38" s="56"/>
      <c r="L38" s="27"/>
      <c r="M38" s="2"/>
      <c r="N38" s="35"/>
      <c r="O38" s="31"/>
      <c r="P38" s="17">
        <f t="shared" si="1"/>
        <v>0</v>
      </c>
      <c r="R38" s="25"/>
      <c r="S38" s="26"/>
      <c r="T38" s="27"/>
      <c r="U38" s="27"/>
      <c r="V38" s="2"/>
      <c r="W38" s="35"/>
      <c r="X38" s="34"/>
      <c r="AQ38" s="36"/>
      <c r="AV38" s="37"/>
    </row>
    <row r="39">
      <c r="A39" s="25"/>
      <c r="B39" s="26"/>
      <c r="C39" s="56"/>
      <c r="D39" s="27"/>
      <c r="E39" s="2"/>
      <c r="F39" s="35"/>
      <c r="G39" s="31"/>
      <c r="J39" s="36"/>
      <c r="O39" s="37"/>
      <c r="P39" s="17">
        <f t="shared" si="1"/>
        <v>0</v>
      </c>
      <c r="R39" s="25"/>
      <c r="S39" s="26"/>
      <c r="T39" s="27"/>
      <c r="U39" s="27"/>
      <c r="V39" s="2"/>
      <c r="W39" s="35"/>
      <c r="X39" s="34"/>
      <c r="AQ39" s="36"/>
      <c r="AV39" s="37"/>
    </row>
    <row r="40">
      <c r="A40" s="25"/>
      <c r="B40" s="26"/>
      <c r="C40" s="56"/>
      <c r="D40" s="27"/>
      <c r="E40" s="2"/>
      <c r="F40" s="35"/>
      <c r="G40" s="31"/>
      <c r="J40" s="36"/>
      <c r="O40" s="37"/>
      <c r="P40" s="17">
        <f t="shared" si="1"/>
        <v>0</v>
      </c>
      <c r="R40" s="25"/>
      <c r="S40" s="26"/>
      <c r="T40" s="27"/>
      <c r="U40" s="27"/>
      <c r="V40" s="2"/>
      <c r="W40" s="35"/>
      <c r="X40" s="34"/>
      <c r="AQ40" s="36"/>
      <c r="AV40" s="37"/>
    </row>
    <row r="41">
      <c r="B41" s="36"/>
      <c r="G41" s="37"/>
      <c r="J41" s="36"/>
      <c r="O41" s="37"/>
      <c r="P41" s="17">
        <f t="shared" si="1"/>
        <v>0</v>
      </c>
      <c r="R41" s="25"/>
      <c r="S41" s="26"/>
      <c r="T41" s="56"/>
      <c r="U41" s="27"/>
      <c r="V41" s="2"/>
      <c r="W41" s="35"/>
      <c r="X41" s="34"/>
      <c r="AQ41" s="36"/>
      <c r="AV41" s="37"/>
    </row>
    <row r="42">
      <c r="B42" s="36"/>
      <c r="G42" s="37"/>
      <c r="J42" s="36"/>
      <c r="O42" s="37"/>
      <c r="P42" s="17">
        <f t="shared" si="1"/>
        <v>0</v>
      </c>
      <c r="R42" s="25"/>
      <c r="S42" s="26"/>
      <c r="T42" s="27"/>
      <c r="U42" s="27"/>
      <c r="V42" s="2"/>
      <c r="W42" s="35"/>
      <c r="X42" s="34"/>
      <c r="AQ42" s="36"/>
      <c r="AV42" s="37"/>
    </row>
    <row r="43">
      <c r="B43" s="36"/>
      <c r="G43" s="37"/>
      <c r="J43" s="36"/>
      <c r="O43" s="37"/>
      <c r="P43" s="17">
        <f t="shared" si="1"/>
        <v>0</v>
      </c>
      <c r="R43" s="18"/>
      <c r="S43" s="58"/>
      <c r="T43" s="59"/>
      <c r="U43" s="59"/>
      <c r="V43" s="60"/>
      <c r="W43" s="61"/>
      <c r="X43" s="62"/>
      <c r="AQ43" s="36"/>
      <c r="AV43" s="37"/>
    </row>
    <row r="44">
      <c r="B44" s="36"/>
      <c r="G44" s="37"/>
      <c r="J44" s="36"/>
      <c r="O44" s="37"/>
      <c r="P44" s="17">
        <f t="shared" si="1"/>
        <v>0</v>
      </c>
      <c r="R44" s="25"/>
      <c r="S44" s="26"/>
      <c r="T44" s="27"/>
      <c r="U44" s="27"/>
      <c r="V44" s="2"/>
      <c r="W44" s="2"/>
      <c r="X44" s="34"/>
      <c r="AQ44" s="36"/>
      <c r="AV44" s="37"/>
    </row>
    <row r="45">
      <c r="B45" s="36"/>
      <c r="G45" s="37"/>
      <c r="J45" s="36"/>
      <c r="O45" s="37"/>
      <c r="P45" s="17">
        <f t="shared" si="1"/>
        <v>0</v>
      </c>
      <c r="AQ45" s="36"/>
      <c r="AV45" s="37"/>
    </row>
    <row r="46">
      <c r="B46" s="36"/>
      <c r="G46" s="37"/>
      <c r="J46" s="36"/>
      <c r="O46" s="37"/>
      <c r="P46" s="17">
        <f t="shared" si="1"/>
        <v>0</v>
      </c>
      <c r="AQ46" s="36"/>
      <c r="AV46" s="37"/>
    </row>
    <row r="47">
      <c r="B47" s="36"/>
      <c r="G47" s="37"/>
      <c r="J47" s="36"/>
      <c r="O47" s="37"/>
      <c r="P47" s="17">
        <f t="shared" si="1"/>
        <v>0</v>
      </c>
      <c r="AQ47" s="36"/>
      <c r="AV47" s="37"/>
    </row>
    <row r="48">
      <c r="B48" s="36"/>
      <c r="G48" s="37"/>
      <c r="J48" s="36"/>
      <c r="O48" s="37"/>
      <c r="P48" s="17">
        <f t="shared" si="1"/>
        <v>0</v>
      </c>
      <c r="AQ48" s="36"/>
      <c r="AV48" s="37"/>
    </row>
    <row r="49">
      <c r="B49" s="36"/>
      <c r="G49" s="37"/>
      <c r="J49" s="36"/>
      <c r="O49" s="37"/>
      <c r="P49" s="17">
        <f t="shared" si="1"/>
        <v>0</v>
      </c>
      <c r="AQ49" s="36"/>
      <c r="AV49" s="37"/>
    </row>
    <row r="50">
      <c r="B50" s="36"/>
      <c r="G50" s="37"/>
      <c r="J50" s="36"/>
      <c r="O50" s="37"/>
      <c r="P50" s="17">
        <f t="shared" si="1"/>
        <v>0</v>
      </c>
      <c r="AQ50" s="36"/>
      <c r="AV50" s="37"/>
    </row>
    <row r="51">
      <c r="B51" s="36"/>
      <c r="G51" s="37"/>
      <c r="J51" s="36"/>
      <c r="O51" s="37"/>
      <c r="P51" s="17">
        <f t="shared" si="1"/>
        <v>0</v>
      </c>
      <c r="AQ51" s="36"/>
      <c r="AV51" s="37"/>
    </row>
    <row r="52">
      <c r="B52" s="36"/>
      <c r="G52" s="37"/>
      <c r="J52" s="36"/>
      <c r="O52" s="37"/>
      <c r="P52" s="17">
        <f t="shared" si="1"/>
        <v>0</v>
      </c>
      <c r="AQ52" s="36"/>
      <c r="AV52" s="37"/>
    </row>
    <row r="53">
      <c r="B53" s="36"/>
      <c r="G53" s="37"/>
      <c r="J53" s="36"/>
      <c r="O53" s="37"/>
      <c r="P53" s="17">
        <f t="shared" si="1"/>
        <v>0</v>
      </c>
      <c r="AQ53" s="36"/>
      <c r="AV53" s="37"/>
    </row>
    <row r="54">
      <c r="B54" s="36"/>
      <c r="G54" s="37"/>
      <c r="J54" s="36"/>
      <c r="O54" s="37"/>
      <c r="P54" s="17">
        <f t="shared" si="1"/>
        <v>0</v>
      </c>
      <c r="AQ54" s="36"/>
    </row>
    <row r="55">
      <c r="B55" s="36"/>
      <c r="G55" s="37"/>
      <c r="J55" s="36"/>
      <c r="O55" s="37"/>
      <c r="P55" s="17">
        <f t="shared" si="1"/>
        <v>0</v>
      </c>
      <c r="AQ55" s="36"/>
    </row>
    <row r="56">
      <c r="B56" s="36"/>
      <c r="G56" s="37"/>
      <c r="J56" s="36"/>
      <c r="O56" s="37"/>
      <c r="P56" s="17">
        <f t="shared" si="1"/>
        <v>0</v>
      </c>
      <c r="AQ56" s="36"/>
    </row>
    <row r="57">
      <c r="B57" s="36"/>
      <c r="G57" s="37"/>
      <c r="J57" s="36"/>
      <c r="O57" s="37"/>
      <c r="P57" s="17">
        <f t="shared" si="1"/>
        <v>0</v>
      </c>
      <c r="AQ57" s="36"/>
    </row>
    <row r="58">
      <c r="B58" s="36"/>
      <c r="G58" s="37"/>
      <c r="J58" s="36"/>
      <c r="O58" s="37"/>
      <c r="P58" s="17">
        <f t="shared" si="1"/>
        <v>0</v>
      </c>
      <c r="AQ58" s="36"/>
    </row>
    <row r="59">
      <c r="B59" s="36"/>
      <c r="G59" s="37"/>
      <c r="J59" s="36"/>
      <c r="O59" s="37"/>
      <c r="P59" s="17">
        <f t="shared" si="1"/>
        <v>0</v>
      </c>
      <c r="AQ59" s="36"/>
    </row>
    <row r="60">
      <c r="B60" s="36"/>
      <c r="G60" s="37"/>
      <c r="J60" s="36"/>
      <c r="O60" s="37"/>
      <c r="P60" s="17">
        <f t="shared" si="1"/>
        <v>0</v>
      </c>
      <c r="AQ60" s="36"/>
    </row>
    <row r="61">
      <c r="B61" s="36"/>
      <c r="G61" s="37"/>
      <c r="J61" s="36"/>
      <c r="O61" s="37"/>
      <c r="P61" s="17">
        <f t="shared" si="1"/>
        <v>0</v>
      </c>
      <c r="AQ61" s="36"/>
    </row>
    <row r="62">
      <c r="B62" s="36"/>
      <c r="G62" s="37"/>
      <c r="J62" s="36"/>
      <c r="O62" s="37"/>
      <c r="P62" s="17">
        <f t="shared" si="1"/>
        <v>0</v>
      </c>
      <c r="AQ62" s="36"/>
    </row>
    <row r="63">
      <c r="B63" s="36"/>
      <c r="G63" s="37"/>
      <c r="J63" s="36"/>
      <c r="O63" s="37"/>
      <c r="P63" s="17">
        <f t="shared" si="1"/>
        <v>0</v>
      </c>
      <c r="AQ63" s="36"/>
    </row>
    <row r="64">
      <c r="B64" s="36"/>
      <c r="G64" s="37"/>
      <c r="J64" s="36"/>
      <c r="O64" s="37"/>
      <c r="P64" s="17">
        <f t="shared" si="1"/>
        <v>0</v>
      </c>
      <c r="AQ64" s="36"/>
    </row>
    <row r="65">
      <c r="J65" s="36"/>
      <c r="O65" s="37"/>
      <c r="P65" s="17">
        <f t="shared" si="1"/>
        <v>0</v>
      </c>
      <c r="AQ65" s="36"/>
    </row>
    <row r="66">
      <c r="B66" s="36"/>
      <c r="G66" s="37"/>
      <c r="J66" s="36"/>
      <c r="O66" s="37"/>
      <c r="P66" s="17">
        <f t="shared" si="1"/>
        <v>0</v>
      </c>
      <c r="AQ66" s="36"/>
    </row>
    <row r="67">
      <c r="B67" s="36"/>
      <c r="G67" s="37"/>
      <c r="J67" s="36"/>
      <c r="O67" s="37"/>
      <c r="P67" s="17">
        <f t="shared" si="1"/>
        <v>0</v>
      </c>
      <c r="AQ67" s="36"/>
    </row>
    <row r="68">
      <c r="B68" s="36"/>
      <c r="G68" s="37"/>
      <c r="J68" s="36"/>
      <c r="O68" s="37"/>
      <c r="P68" s="17">
        <f t="shared" si="1"/>
        <v>0</v>
      </c>
      <c r="AQ68" s="36"/>
    </row>
    <row r="69">
      <c r="B69" s="36"/>
      <c r="G69" s="37"/>
      <c r="J69" s="36"/>
      <c r="O69" s="37"/>
      <c r="P69" s="17">
        <f t="shared" si="1"/>
        <v>0</v>
      </c>
      <c r="AQ69" s="36"/>
    </row>
    <row r="70">
      <c r="B70" s="36"/>
      <c r="G70" s="37"/>
      <c r="J70" s="36"/>
      <c r="O70" s="37"/>
      <c r="P70" s="17">
        <f t="shared" si="1"/>
        <v>0</v>
      </c>
      <c r="AQ70" s="36"/>
    </row>
    <row r="71">
      <c r="B71" s="36"/>
      <c r="G71" s="37"/>
      <c r="J71" s="36"/>
      <c r="O71" s="37"/>
      <c r="P71" s="17">
        <f t="shared" si="1"/>
        <v>0</v>
      </c>
      <c r="AQ71" s="36"/>
    </row>
    <row r="72">
      <c r="B72" s="36"/>
      <c r="G72" s="37"/>
      <c r="J72" s="36"/>
      <c r="O72" s="37"/>
      <c r="P72" s="17">
        <f t="shared" si="1"/>
        <v>0</v>
      </c>
      <c r="AQ72" s="36"/>
    </row>
    <row r="73">
      <c r="B73" s="36"/>
      <c r="G73" s="37"/>
      <c r="J73" s="36"/>
      <c r="O73" s="37"/>
      <c r="P73" s="17">
        <f t="shared" si="1"/>
        <v>0</v>
      </c>
      <c r="AQ73" s="36"/>
    </row>
    <row r="74">
      <c r="B74" s="36"/>
      <c r="G74" s="37"/>
      <c r="J74" s="36"/>
      <c r="O74" s="37"/>
      <c r="P74" s="17">
        <f t="shared" si="1"/>
        <v>0</v>
      </c>
      <c r="AQ74" s="36"/>
    </row>
    <row r="75">
      <c r="B75" s="36"/>
      <c r="G75" s="37"/>
      <c r="J75" s="36"/>
      <c r="O75" s="37"/>
      <c r="P75" s="17">
        <f t="shared" si="1"/>
        <v>0</v>
      </c>
      <c r="AQ75" s="36"/>
    </row>
    <row r="76">
      <c r="B76" s="36"/>
      <c r="G76" s="37"/>
      <c r="J76" s="36"/>
      <c r="O76" s="37"/>
      <c r="P76" s="17">
        <f t="shared" si="1"/>
        <v>0</v>
      </c>
      <c r="AQ76" s="36"/>
    </row>
    <row r="77">
      <c r="B77" s="36"/>
      <c r="G77" s="37"/>
      <c r="J77" s="36"/>
      <c r="O77" s="37"/>
      <c r="P77" s="17">
        <f t="shared" si="1"/>
        <v>0</v>
      </c>
      <c r="AQ77" s="36"/>
    </row>
    <row r="78">
      <c r="B78" s="36"/>
      <c r="G78" s="37"/>
      <c r="J78" s="36"/>
      <c r="O78" s="37"/>
      <c r="P78" s="17">
        <f t="shared" si="1"/>
        <v>0</v>
      </c>
      <c r="AQ78" s="36"/>
    </row>
    <row r="79">
      <c r="B79" s="36"/>
      <c r="G79" s="37"/>
      <c r="J79" s="36"/>
      <c r="O79" s="37"/>
      <c r="P79" s="17">
        <f t="shared" si="1"/>
        <v>0</v>
      </c>
      <c r="AQ79" s="36"/>
    </row>
    <row r="80">
      <c r="B80" s="36"/>
      <c r="G80" s="37"/>
      <c r="J80" s="36"/>
      <c r="O80" s="37"/>
      <c r="P80" s="17">
        <f t="shared" si="1"/>
        <v>0</v>
      </c>
      <c r="AQ80" s="36"/>
    </row>
    <row r="81">
      <c r="B81" s="36"/>
      <c r="G81" s="37"/>
      <c r="J81" s="36"/>
      <c r="O81" s="37"/>
      <c r="P81" s="17">
        <f t="shared" si="1"/>
        <v>0</v>
      </c>
      <c r="AQ81" s="36"/>
    </row>
    <row r="82">
      <c r="B82" s="36"/>
      <c r="G82" s="37"/>
      <c r="J82" s="36"/>
      <c r="O82" s="37"/>
      <c r="P82" s="17">
        <f t="shared" si="1"/>
        <v>0</v>
      </c>
      <c r="AQ82" s="36"/>
    </row>
    <row r="83">
      <c r="B83" s="36"/>
      <c r="G83" s="37"/>
      <c r="J83" s="36"/>
      <c r="O83" s="37"/>
      <c r="P83" s="17">
        <f t="shared" si="1"/>
        <v>0</v>
      </c>
      <c r="AQ83" s="36"/>
    </row>
    <row r="84">
      <c r="B84" s="36"/>
      <c r="G84" s="37"/>
      <c r="J84" s="36"/>
      <c r="O84" s="37"/>
      <c r="P84" s="17">
        <f t="shared" si="1"/>
        <v>0</v>
      </c>
      <c r="AQ84" s="36"/>
    </row>
    <row r="85">
      <c r="B85" s="36"/>
      <c r="G85" s="37"/>
      <c r="J85" s="36"/>
      <c r="O85" s="37"/>
      <c r="P85" s="17">
        <f t="shared" si="1"/>
        <v>0</v>
      </c>
      <c r="AQ85" s="36"/>
    </row>
    <row r="86">
      <c r="B86" s="36"/>
      <c r="G86" s="37"/>
      <c r="J86" s="36"/>
      <c r="O86" s="37"/>
      <c r="P86" s="17">
        <f t="shared" si="1"/>
        <v>0</v>
      </c>
      <c r="AQ86" s="36"/>
    </row>
    <row r="87">
      <c r="B87" s="36"/>
      <c r="G87" s="37"/>
      <c r="J87" s="36"/>
      <c r="O87" s="37"/>
      <c r="P87" s="17">
        <f t="shared" si="1"/>
        <v>0</v>
      </c>
      <c r="AQ87" s="36"/>
    </row>
    <row r="88">
      <c r="B88" s="36"/>
      <c r="G88" s="37"/>
      <c r="J88" s="36"/>
      <c r="O88" s="37"/>
      <c r="P88" s="17">
        <f t="shared" si="1"/>
        <v>0</v>
      </c>
      <c r="AQ88" s="36"/>
    </row>
    <row r="89">
      <c r="B89" s="36"/>
      <c r="G89" s="37"/>
      <c r="J89" s="36"/>
      <c r="O89" s="37"/>
      <c r="P89" s="17">
        <f t="shared" si="1"/>
        <v>0</v>
      </c>
      <c r="AQ89" s="36"/>
    </row>
    <row r="90">
      <c r="B90" s="36"/>
      <c r="G90" s="37"/>
      <c r="J90" s="36"/>
      <c r="O90" s="37"/>
      <c r="P90" s="17">
        <f t="shared" si="1"/>
        <v>0</v>
      </c>
      <c r="AQ90" s="36"/>
    </row>
    <row r="91">
      <c r="B91" s="36"/>
      <c r="G91" s="37"/>
      <c r="J91" s="36"/>
      <c r="O91" s="37"/>
      <c r="P91" s="17">
        <f t="shared" si="1"/>
        <v>0</v>
      </c>
      <c r="AQ91" s="36"/>
    </row>
    <row r="92">
      <c r="B92" s="36"/>
      <c r="G92" s="37"/>
      <c r="J92" s="36"/>
      <c r="O92" s="37"/>
      <c r="P92" s="17">
        <f t="shared" si="1"/>
        <v>0</v>
      </c>
      <c r="AQ92" s="36"/>
    </row>
    <row r="93">
      <c r="B93" s="36"/>
      <c r="G93" s="37"/>
      <c r="J93" s="36"/>
      <c r="O93" s="37"/>
      <c r="P93" s="17">
        <f t="shared" si="1"/>
        <v>0</v>
      </c>
      <c r="AQ93" s="36"/>
    </row>
    <row r="94">
      <c r="B94" s="36"/>
      <c r="G94" s="37"/>
      <c r="J94" s="36"/>
      <c r="O94" s="37"/>
      <c r="P94" s="17">
        <f t="shared" si="1"/>
        <v>0</v>
      </c>
      <c r="AQ94" s="36"/>
    </row>
    <row r="95">
      <c r="B95" s="36"/>
      <c r="G95" s="37"/>
      <c r="J95" s="36"/>
      <c r="O95" s="37"/>
      <c r="P95" s="17">
        <f t="shared" si="1"/>
        <v>0</v>
      </c>
      <c r="AQ95" s="36"/>
    </row>
    <row r="96">
      <c r="B96" s="36"/>
      <c r="G96" s="37"/>
      <c r="J96" s="36"/>
      <c r="O96" s="37"/>
      <c r="P96" s="17">
        <f t="shared" si="1"/>
        <v>0</v>
      </c>
      <c r="AQ96" s="36"/>
    </row>
    <row r="97">
      <c r="B97" s="36"/>
      <c r="G97" s="37"/>
      <c r="J97" s="36"/>
      <c r="O97" s="37"/>
      <c r="P97" s="17">
        <f t="shared" si="1"/>
        <v>0</v>
      </c>
      <c r="AQ97" s="36"/>
    </row>
    <row r="98">
      <c r="B98" s="36"/>
      <c r="G98" s="37"/>
      <c r="J98" s="36"/>
      <c r="O98" s="37"/>
      <c r="P98" s="17">
        <f t="shared" si="1"/>
        <v>0</v>
      </c>
      <c r="AQ98" s="36"/>
    </row>
    <row r="99">
      <c r="B99" s="36"/>
      <c r="G99" s="37"/>
      <c r="J99" s="36"/>
      <c r="O99" s="37"/>
      <c r="P99" s="17">
        <f t="shared" si="1"/>
        <v>0</v>
      </c>
      <c r="AQ99" s="36"/>
    </row>
    <row r="100">
      <c r="B100" s="36"/>
      <c r="G100" s="37"/>
      <c r="J100" s="36"/>
      <c r="O100" s="37"/>
      <c r="P100" s="17">
        <f t="shared" si="1"/>
        <v>0</v>
      </c>
      <c r="AQ100" s="36"/>
    </row>
    <row r="101">
      <c r="B101" s="36"/>
      <c r="G101" s="37"/>
      <c r="J101" s="36"/>
      <c r="O101" s="37"/>
      <c r="P101" s="17">
        <f t="shared" si="1"/>
        <v>0</v>
      </c>
      <c r="AQ101" s="36"/>
    </row>
    <row r="102">
      <c r="B102" s="36"/>
      <c r="G102" s="37"/>
      <c r="J102" s="36"/>
      <c r="O102" s="37"/>
      <c r="P102" s="17">
        <f t="shared" si="1"/>
        <v>0</v>
      </c>
      <c r="AQ102" s="36"/>
    </row>
    <row r="103">
      <c r="B103" s="36"/>
      <c r="G103" s="37"/>
      <c r="J103" s="36"/>
      <c r="O103" s="37"/>
      <c r="P103" s="17">
        <f t="shared" si="1"/>
        <v>0</v>
      </c>
      <c r="AQ103" s="36"/>
    </row>
    <row r="104">
      <c r="B104" s="36"/>
      <c r="G104" s="37"/>
      <c r="J104" s="36"/>
      <c r="O104" s="37"/>
      <c r="P104" s="17">
        <f t="shared" si="1"/>
        <v>0</v>
      </c>
      <c r="AQ104" s="36"/>
    </row>
    <row r="105">
      <c r="B105" s="36"/>
      <c r="G105" s="37"/>
      <c r="J105" s="36"/>
      <c r="O105" s="37"/>
      <c r="P105" s="17">
        <f t="shared" si="1"/>
        <v>0</v>
      </c>
      <c r="AQ105" s="36"/>
    </row>
    <row r="106">
      <c r="B106" s="36"/>
      <c r="G106" s="37"/>
      <c r="J106" s="36"/>
      <c r="O106" s="37"/>
      <c r="P106" s="17">
        <f t="shared" si="1"/>
        <v>0</v>
      </c>
      <c r="AQ106" s="36"/>
    </row>
    <row r="107">
      <c r="B107" s="36"/>
      <c r="G107" s="37"/>
      <c r="J107" s="36"/>
      <c r="O107" s="37"/>
      <c r="P107" s="17">
        <f t="shared" si="1"/>
        <v>0</v>
      </c>
      <c r="AQ107" s="36"/>
    </row>
    <row r="108">
      <c r="B108" s="36"/>
      <c r="G108" s="37"/>
      <c r="J108" s="36"/>
      <c r="O108" s="37"/>
      <c r="P108" s="17">
        <f t="shared" si="1"/>
        <v>0</v>
      </c>
      <c r="AQ108" s="36"/>
    </row>
    <row r="109">
      <c r="B109" s="36"/>
      <c r="G109" s="37"/>
      <c r="J109" s="36"/>
      <c r="O109" s="37"/>
      <c r="P109" s="17">
        <f t="shared" si="1"/>
        <v>0</v>
      </c>
      <c r="AQ109" s="36"/>
    </row>
    <row r="110">
      <c r="B110" s="36"/>
      <c r="G110" s="37"/>
      <c r="J110" s="36"/>
      <c r="O110" s="37"/>
      <c r="P110" s="17">
        <f t="shared" si="1"/>
        <v>0</v>
      </c>
      <c r="AQ110" s="36"/>
    </row>
    <row r="111">
      <c r="B111" s="36"/>
      <c r="G111" s="37"/>
      <c r="J111" s="36"/>
      <c r="O111" s="37"/>
      <c r="P111" s="17">
        <f t="shared" si="1"/>
        <v>0</v>
      </c>
      <c r="AQ111" s="36"/>
    </row>
    <row r="112">
      <c r="B112" s="36"/>
      <c r="G112" s="37"/>
      <c r="J112" s="36"/>
      <c r="O112" s="37"/>
      <c r="P112" s="17">
        <f t="shared" si="1"/>
        <v>0</v>
      </c>
      <c r="AQ112" s="36"/>
    </row>
    <row r="113">
      <c r="B113" s="36"/>
      <c r="G113" s="37"/>
      <c r="J113" s="36"/>
      <c r="O113" s="37"/>
      <c r="P113" s="17">
        <f t="shared" si="1"/>
        <v>0</v>
      </c>
      <c r="AQ113" s="36"/>
    </row>
    <row r="114">
      <c r="B114" s="36"/>
      <c r="G114" s="37"/>
      <c r="J114" s="36"/>
      <c r="O114" s="37"/>
      <c r="P114" s="17">
        <f t="shared" si="1"/>
        <v>0</v>
      </c>
      <c r="AQ114" s="36"/>
    </row>
    <row r="115">
      <c r="B115" s="36"/>
      <c r="G115" s="37"/>
      <c r="J115" s="36"/>
      <c r="O115" s="37"/>
      <c r="P115" s="17">
        <f t="shared" si="1"/>
        <v>0</v>
      </c>
      <c r="AQ115" s="36"/>
    </row>
    <row r="116">
      <c r="B116" s="36"/>
      <c r="G116" s="37"/>
      <c r="J116" s="36"/>
      <c r="O116" s="37"/>
      <c r="P116" s="17">
        <f t="shared" si="1"/>
        <v>0</v>
      </c>
      <c r="AQ116" s="36"/>
    </row>
    <row r="117">
      <c r="B117" s="36"/>
      <c r="G117" s="37"/>
      <c r="J117" s="36"/>
      <c r="O117" s="37"/>
      <c r="P117" s="17">
        <f t="shared" si="1"/>
        <v>0</v>
      </c>
      <c r="AQ117" s="36"/>
    </row>
    <row r="118">
      <c r="B118" s="36"/>
      <c r="G118" s="37"/>
      <c r="J118" s="36"/>
      <c r="O118" s="37"/>
      <c r="P118" s="17">
        <f t="shared" si="1"/>
        <v>0</v>
      </c>
      <c r="AQ118" s="36"/>
    </row>
    <row r="119">
      <c r="B119" s="36"/>
      <c r="G119" s="37"/>
      <c r="J119" s="36"/>
      <c r="O119" s="37"/>
      <c r="P119" s="17">
        <f t="shared" si="1"/>
        <v>0</v>
      </c>
      <c r="AQ119" s="36"/>
    </row>
    <row r="120">
      <c r="B120" s="36"/>
      <c r="G120" s="37"/>
      <c r="J120" s="36"/>
      <c r="O120" s="37"/>
      <c r="P120" s="17">
        <f t="shared" si="1"/>
        <v>0</v>
      </c>
      <c r="AQ120" s="36"/>
    </row>
    <row r="121">
      <c r="B121" s="36"/>
      <c r="G121" s="37"/>
      <c r="J121" s="36"/>
      <c r="O121" s="37"/>
      <c r="P121" s="17">
        <f t="shared" si="1"/>
        <v>0</v>
      </c>
      <c r="AQ121" s="36"/>
    </row>
    <row r="122">
      <c r="B122" s="36"/>
      <c r="G122" s="37"/>
      <c r="J122" s="36"/>
      <c r="O122" s="37"/>
      <c r="P122" s="17">
        <f t="shared" si="1"/>
        <v>0</v>
      </c>
      <c r="AQ122" s="36"/>
    </row>
    <row r="123">
      <c r="B123" s="36"/>
      <c r="G123" s="37"/>
      <c r="J123" s="36"/>
      <c r="O123" s="37"/>
      <c r="P123" s="17">
        <f t="shared" si="1"/>
        <v>0</v>
      </c>
      <c r="AQ123" s="36"/>
    </row>
    <row r="124">
      <c r="B124" s="36"/>
      <c r="G124" s="37"/>
      <c r="J124" s="36"/>
      <c r="O124" s="37"/>
      <c r="P124" s="17">
        <f t="shared" si="1"/>
        <v>0</v>
      </c>
      <c r="AQ124" s="36"/>
    </row>
    <row r="125">
      <c r="B125" s="36"/>
      <c r="G125" s="37"/>
      <c r="J125" s="36"/>
      <c r="O125" s="37"/>
      <c r="P125" s="17">
        <f t="shared" si="1"/>
        <v>0</v>
      </c>
      <c r="AQ125" s="36"/>
    </row>
    <row r="126">
      <c r="B126" s="36"/>
      <c r="G126" s="37"/>
      <c r="J126" s="36"/>
      <c r="O126" s="37"/>
      <c r="P126" s="17">
        <f t="shared" si="1"/>
        <v>0</v>
      </c>
      <c r="AQ126" s="36"/>
    </row>
    <row r="127">
      <c r="B127" s="36"/>
      <c r="G127" s="37"/>
      <c r="J127" s="36"/>
      <c r="O127" s="37"/>
      <c r="P127" s="17">
        <f t="shared" si="1"/>
        <v>0</v>
      </c>
      <c r="AQ127" s="36"/>
    </row>
    <row r="128">
      <c r="B128" s="36"/>
      <c r="G128" s="37"/>
      <c r="J128" s="36"/>
      <c r="O128" s="37"/>
      <c r="P128" s="17">
        <f t="shared" si="1"/>
        <v>0</v>
      </c>
      <c r="AQ128" s="36"/>
    </row>
    <row r="129">
      <c r="B129" s="36"/>
      <c r="G129" s="37"/>
      <c r="J129" s="36"/>
      <c r="O129" s="37"/>
      <c r="P129" s="17">
        <f t="shared" si="1"/>
        <v>0</v>
      </c>
      <c r="AQ129" s="36"/>
    </row>
    <row r="130">
      <c r="B130" s="36"/>
      <c r="G130" s="37"/>
      <c r="J130" s="36"/>
      <c r="O130" s="37"/>
      <c r="P130" s="17">
        <f t="shared" si="1"/>
        <v>0</v>
      </c>
      <c r="AQ130" s="36"/>
    </row>
    <row r="131">
      <c r="B131" s="36"/>
      <c r="G131" s="37"/>
      <c r="J131" s="36"/>
      <c r="O131" s="37"/>
      <c r="P131" s="17">
        <f t="shared" si="1"/>
        <v>0</v>
      </c>
      <c r="AQ131" s="36"/>
    </row>
    <row r="132">
      <c r="B132" s="36"/>
      <c r="G132" s="37"/>
      <c r="J132" s="36"/>
      <c r="O132" s="37"/>
      <c r="P132" s="17">
        <f t="shared" si="1"/>
        <v>0</v>
      </c>
      <c r="AQ132" s="36"/>
    </row>
    <row r="133">
      <c r="B133" s="36"/>
      <c r="G133" s="37"/>
      <c r="J133" s="36"/>
      <c r="O133" s="37"/>
      <c r="P133" s="17">
        <f t="shared" si="1"/>
        <v>0</v>
      </c>
      <c r="AQ133" s="36"/>
    </row>
    <row r="134">
      <c r="B134" s="36"/>
      <c r="G134" s="37"/>
      <c r="J134" s="36"/>
      <c r="O134" s="37"/>
      <c r="P134" s="17">
        <f t="shared" si="1"/>
        <v>0</v>
      </c>
      <c r="AQ134" s="36"/>
    </row>
    <row r="135">
      <c r="B135" s="36"/>
      <c r="G135" s="37"/>
      <c r="J135" s="36"/>
      <c r="O135" s="37"/>
      <c r="P135" s="17">
        <f t="shared" si="1"/>
        <v>0</v>
      </c>
      <c r="AQ135" s="36"/>
    </row>
    <row r="136">
      <c r="B136" s="36"/>
      <c r="G136" s="37"/>
      <c r="J136" s="36"/>
      <c r="O136" s="37"/>
      <c r="P136" s="17">
        <f t="shared" si="1"/>
        <v>0</v>
      </c>
      <c r="AQ136" s="36"/>
    </row>
    <row r="137">
      <c r="B137" s="36"/>
      <c r="G137" s="37"/>
      <c r="J137" s="36"/>
      <c r="O137" s="37"/>
      <c r="P137" s="17">
        <f t="shared" si="1"/>
        <v>0</v>
      </c>
      <c r="AQ137" s="36"/>
    </row>
    <row r="138">
      <c r="B138" s="36"/>
      <c r="G138" s="37"/>
      <c r="J138" s="36"/>
      <c r="O138" s="37"/>
      <c r="P138" s="17">
        <f t="shared" si="1"/>
        <v>0</v>
      </c>
      <c r="AQ138" s="36"/>
    </row>
    <row r="139">
      <c r="B139" s="36"/>
      <c r="G139" s="37"/>
      <c r="J139" s="36"/>
      <c r="O139" s="37"/>
      <c r="P139" s="17">
        <f t="shared" si="1"/>
        <v>0</v>
      </c>
      <c r="AQ139" s="36"/>
    </row>
    <row r="140">
      <c r="B140" s="36"/>
      <c r="G140" s="37"/>
      <c r="J140" s="36"/>
      <c r="O140" s="37"/>
      <c r="P140" s="17">
        <f t="shared" si="1"/>
        <v>0</v>
      </c>
      <c r="AQ140" s="36"/>
    </row>
    <row r="141">
      <c r="B141" s="36"/>
      <c r="G141" s="37"/>
      <c r="J141" s="36"/>
      <c r="O141" s="37"/>
      <c r="P141" s="17">
        <f t="shared" si="1"/>
        <v>0</v>
      </c>
      <c r="AQ141" s="36"/>
    </row>
    <row r="142">
      <c r="B142" s="36"/>
      <c r="G142" s="37"/>
      <c r="J142" s="36"/>
      <c r="O142" s="37"/>
      <c r="P142" s="17">
        <f t="shared" si="1"/>
        <v>0</v>
      </c>
      <c r="AQ142" s="36"/>
    </row>
    <row r="143">
      <c r="B143" s="36"/>
      <c r="G143" s="37"/>
      <c r="J143" s="36"/>
      <c r="O143" s="37"/>
      <c r="P143" s="17">
        <f t="shared" si="1"/>
        <v>0</v>
      </c>
      <c r="AQ143" s="36"/>
    </row>
    <row r="144">
      <c r="B144" s="36"/>
      <c r="G144" s="37"/>
      <c r="J144" s="36"/>
      <c r="O144" s="37"/>
      <c r="P144" s="17">
        <f t="shared" si="1"/>
        <v>0</v>
      </c>
      <c r="AQ144" s="36"/>
    </row>
    <row r="145">
      <c r="B145" s="36"/>
      <c r="G145" s="37"/>
      <c r="J145" s="36"/>
      <c r="O145" s="37"/>
      <c r="P145" s="17">
        <f t="shared" si="1"/>
        <v>0</v>
      </c>
      <c r="AQ145" s="36"/>
    </row>
    <row r="146">
      <c r="B146" s="36"/>
      <c r="G146" s="37"/>
      <c r="J146" s="36"/>
      <c r="O146" s="37"/>
      <c r="P146" s="17">
        <f t="shared" si="1"/>
        <v>0</v>
      </c>
      <c r="AQ146" s="36"/>
    </row>
    <row r="147">
      <c r="B147" s="36"/>
      <c r="G147" s="37"/>
      <c r="J147" s="36"/>
      <c r="O147" s="37"/>
      <c r="P147" s="17">
        <f t="shared" si="1"/>
        <v>0</v>
      </c>
      <c r="AQ147" s="36"/>
    </row>
    <row r="148">
      <c r="B148" s="36"/>
      <c r="G148" s="37"/>
      <c r="J148" s="36"/>
      <c r="O148" s="37"/>
      <c r="P148" s="17">
        <f t="shared" si="1"/>
        <v>0</v>
      </c>
      <c r="AQ148" s="36"/>
    </row>
    <row r="149">
      <c r="B149" s="36"/>
      <c r="G149" s="37"/>
      <c r="J149" s="36"/>
      <c r="O149" s="37"/>
      <c r="P149" s="17">
        <f t="shared" si="1"/>
        <v>0</v>
      </c>
      <c r="AQ149" s="36"/>
    </row>
    <row r="150">
      <c r="B150" s="36"/>
      <c r="G150" s="37"/>
      <c r="J150" s="36"/>
      <c r="O150" s="37"/>
      <c r="P150" s="17">
        <f t="shared" si="1"/>
        <v>0</v>
      </c>
      <c r="AQ150" s="36"/>
    </row>
    <row r="151">
      <c r="B151" s="36"/>
      <c r="G151" s="37"/>
      <c r="J151" s="36"/>
      <c r="O151" s="37"/>
      <c r="P151" s="17">
        <f t="shared" si="1"/>
        <v>0</v>
      </c>
      <c r="AQ151" s="36"/>
    </row>
    <row r="152">
      <c r="B152" s="36"/>
      <c r="G152" s="37"/>
      <c r="J152" s="36"/>
      <c r="O152" s="37"/>
      <c r="P152" s="17">
        <f t="shared" si="1"/>
        <v>0</v>
      </c>
      <c r="AQ152" s="36"/>
    </row>
    <row r="153">
      <c r="B153" s="36"/>
      <c r="G153" s="37"/>
      <c r="J153" s="36"/>
      <c r="O153" s="37"/>
      <c r="P153" s="17">
        <f t="shared" si="1"/>
        <v>0</v>
      </c>
      <c r="AQ153" s="36"/>
    </row>
    <row r="154">
      <c r="B154" s="36"/>
      <c r="G154" s="37"/>
      <c r="J154" s="36"/>
      <c r="O154" s="37"/>
      <c r="P154" s="17">
        <f t="shared" si="1"/>
        <v>0</v>
      </c>
      <c r="AQ154" s="36"/>
    </row>
    <row r="155">
      <c r="B155" s="36"/>
      <c r="G155" s="37"/>
      <c r="J155" s="36"/>
      <c r="O155" s="37"/>
      <c r="P155" s="17">
        <f t="shared" si="1"/>
        <v>0</v>
      </c>
      <c r="AQ155" s="36"/>
    </row>
    <row r="156">
      <c r="B156" s="36"/>
      <c r="G156" s="37"/>
      <c r="J156" s="36"/>
      <c r="O156" s="37"/>
      <c r="P156" s="17">
        <f t="shared" si="1"/>
        <v>0</v>
      </c>
      <c r="AQ156" s="36"/>
    </row>
    <row r="157">
      <c r="B157" s="36"/>
      <c r="G157" s="37"/>
      <c r="J157" s="36"/>
      <c r="O157" s="37"/>
      <c r="P157" s="17">
        <f t="shared" si="1"/>
        <v>0</v>
      </c>
      <c r="AQ157" s="36"/>
    </row>
    <row r="158">
      <c r="B158" s="36"/>
      <c r="G158" s="37"/>
      <c r="J158" s="36"/>
      <c r="O158" s="37"/>
      <c r="P158" s="17">
        <f t="shared" si="1"/>
        <v>0</v>
      </c>
      <c r="AQ158" s="36"/>
    </row>
    <row r="159">
      <c r="B159" s="36"/>
      <c r="G159" s="37"/>
      <c r="J159" s="36"/>
      <c r="O159" s="37"/>
      <c r="P159" s="17">
        <f t="shared" si="1"/>
        <v>0</v>
      </c>
      <c r="AQ159" s="36"/>
    </row>
    <row r="160">
      <c r="B160" s="36"/>
      <c r="G160" s="37"/>
      <c r="J160" s="36"/>
      <c r="O160" s="37"/>
      <c r="P160" s="17">
        <f t="shared" si="1"/>
        <v>0</v>
      </c>
      <c r="AQ160" s="36"/>
    </row>
    <row r="161">
      <c r="B161" s="36"/>
      <c r="G161" s="37"/>
      <c r="J161" s="36"/>
      <c r="O161" s="37"/>
      <c r="P161" s="17">
        <f t="shared" si="1"/>
        <v>0</v>
      </c>
      <c r="AQ161" s="36"/>
    </row>
    <row r="162">
      <c r="B162" s="36"/>
      <c r="G162" s="37"/>
      <c r="J162" s="36"/>
      <c r="O162" s="37"/>
      <c r="P162" s="17">
        <f t="shared" si="1"/>
        <v>0</v>
      </c>
      <c r="AQ162" s="36"/>
    </row>
    <row r="163">
      <c r="B163" s="36"/>
      <c r="G163" s="37"/>
      <c r="J163" s="36"/>
      <c r="O163" s="37"/>
      <c r="P163" s="17">
        <f t="shared" si="1"/>
        <v>0</v>
      </c>
      <c r="AQ163" s="36"/>
    </row>
    <row r="164">
      <c r="B164" s="36"/>
      <c r="G164" s="37"/>
      <c r="J164" s="36"/>
      <c r="O164" s="37"/>
      <c r="P164" s="17">
        <f t="shared" si="1"/>
        <v>0</v>
      </c>
      <c r="AQ164" s="36"/>
    </row>
    <row r="165">
      <c r="B165" s="36"/>
      <c r="G165" s="37"/>
      <c r="J165" s="36"/>
      <c r="O165" s="37"/>
      <c r="P165" s="17">
        <f t="shared" si="1"/>
        <v>0</v>
      </c>
      <c r="AQ165" s="36"/>
    </row>
    <row r="166">
      <c r="B166" s="36"/>
      <c r="G166" s="37"/>
      <c r="J166" s="36"/>
      <c r="O166" s="37"/>
      <c r="P166" s="17">
        <f t="shared" si="1"/>
        <v>0</v>
      </c>
      <c r="AQ166" s="36"/>
    </row>
    <row r="167">
      <c r="B167" s="36"/>
      <c r="G167" s="37"/>
      <c r="J167" s="36"/>
      <c r="O167" s="37"/>
      <c r="P167" s="17">
        <f t="shared" si="1"/>
        <v>0</v>
      </c>
      <c r="AQ167" s="36"/>
    </row>
    <row r="168">
      <c r="B168" s="36"/>
      <c r="G168" s="37"/>
      <c r="J168" s="36"/>
      <c r="O168" s="37"/>
      <c r="P168" s="17">
        <f t="shared" si="1"/>
        <v>0</v>
      </c>
      <c r="AQ168" s="36"/>
    </row>
    <row r="169">
      <c r="B169" s="36"/>
      <c r="G169" s="37"/>
      <c r="J169" s="36"/>
      <c r="O169" s="37"/>
      <c r="P169" s="17">
        <f t="shared" si="1"/>
        <v>0</v>
      </c>
      <c r="AQ169" s="36"/>
    </row>
    <row r="170">
      <c r="B170" s="36"/>
      <c r="G170" s="37"/>
      <c r="J170" s="36"/>
      <c r="O170" s="37"/>
      <c r="P170" s="17">
        <f t="shared" si="1"/>
        <v>0</v>
      </c>
      <c r="AQ170" s="36"/>
    </row>
    <row r="171">
      <c r="B171" s="36"/>
      <c r="G171" s="37"/>
      <c r="J171" s="36"/>
      <c r="O171" s="37"/>
      <c r="P171" s="17">
        <f t="shared" si="1"/>
        <v>0</v>
      </c>
      <c r="AQ171" s="36"/>
    </row>
    <row r="172">
      <c r="B172" s="36"/>
      <c r="G172" s="37"/>
      <c r="J172" s="36"/>
      <c r="O172" s="37"/>
      <c r="P172" s="17">
        <f t="shared" si="1"/>
        <v>0</v>
      </c>
      <c r="AQ172" s="36"/>
    </row>
    <row r="173">
      <c r="B173" s="36"/>
      <c r="G173" s="37"/>
      <c r="J173" s="36"/>
      <c r="O173" s="37"/>
      <c r="P173" s="17">
        <f t="shared" si="1"/>
        <v>0</v>
      </c>
      <c r="AQ173" s="36"/>
    </row>
    <row r="174">
      <c r="B174" s="36"/>
      <c r="G174" s="37"/>
      <c r="J174" s="36"/>
      <c r="O174" s="37"/>
      <c r="P174" s="17">
        <f t="shared" si="1"/>
        <v>0</v>
      </c>
      <c r="AQ174" s="36"/>
    </row>
    <row r="175">
      <c r="B175" s="36"/>
      <c r="G175" s="37"/>
      <c r="J175" s="36"/>
      <c r="O175" s="37"/>
      <c r="P175" s="17">
        <f t="shared" si="1"/>
        <v>0</v>
      </c>
      <c r="AQ175" s="36"/>
    </row>
    <row r="176">
      <c r="B176" s="36"/>
      <c r="G176" s="37"/>
      <c r="J176" s="36"/>
      <c r="O176" s="37"/>
      <c r="P176" s="17">
        <f t="shared" si="1"/>
        <v>0</v>
      </c>
      <c r="AQ176" s="36"/>
    </row>
    <row r="177">
      <c r="B177" s="36"/>
      <c r="G177" s="37"/>
      <c r="J177" s="36"/>
      <c r="O177" s="37"/>
      <c r="P177" s="17">
        <f t="shared" si="1"/>
        <v>0</v>
      </c>
      <c r="AQ177" s="36"/>
    </row>
    <row r="178">
      <c r="B178" s="36"/>
      <c r="G178" s="37"/>
      <c r="J178" s="36"/>
      <c r="O178" s="37"/>
      <c r="P178" s="17">
        <f t="shared" si="1"/>
        <v>0</v>
      </c>
      <c r="AQ178" s="36"/>
    </row>
    <row r="179">
      <c r="B179" s="36"/>
      <c r="G179" s="37"/>
      <c r="J179" s="36"/>
      <c r="O179" s="37"/>
      <c r="P179" s="17">
        <f t="shared" si="1"/>
        <v>0</v>
      </c>
      <c r="AQ179" s="36"/>
    </row>
    <row r="180">
      <c r="B180" s="36"/>
      <c r="G180" s="37"/>
      <c r="J180" s="36"/>
      <c r="O180" s="37"/>
      <c r="P180" s="17">
        <f t="shared" si="1"/>
        <v>0</v>
      </c>
      <c r="AQ180" s="36"/>
    </row>
    <row r="181">
      <c r="B181" s="36"/>
      <c r="G181" s="37"/>
      <c r="J181" s="36"/>
      <c r="O181" s="37"/>
      <c r="P181" s="17">
        <f t="shared" si="1"/>
        <v>0</v>
      </c>
      <c r="AQ181" s="36"/>
    </row>
    <row r="182">
      <c r="B182" s="36"/>
      <c r="G182" s="37"/>
      <c r="J182" s="36"/>
      <c r="O182" s="37"/>
      <c r="P182" s="17">
        <f t="shared" si="1"/>
        <v>0</v>
      </c>
      <c r="AQ182" s="36"/>
    </row>
    <row r="183">
      <c r="B183" s="36"/>
      <c r="G183" s="37"/>
      <c r="J183" s="36"/>
      <c r="O183" s="37"/>
      <c r="P183" s="17">
        <f t="shared" si="1"/>
        <v>0</v>
      </c>
      <c r="AQ183" s="36"/>
    </row>
    <row r="184">
      <c r="B184" s="36"/>
      <c r="G184" s="37"/>
      <c r="J184" s="36"/>
      <c r="O184" s="37"/>
      <c r="P184" s="17">
        <f t="shared" si="1"/>
        <v>0</v>
      </c>
      <c r="AQ184" s="36"/>
    </row>
    <row r="185">
      <c r="B185" s="36"/>
      <c r="G185" s="37"/>
      <c r="J185" s="36"/>
      <c r="O185" s="37"/>
      <c r="P185" s="17">
        <f t="shared" si="1"/>
        <v>0</v>
      </c>
      <c r="AQ185" s="36"/>
    </row>
    <row r="186">
      <c r="B186" s="36"/>
      <c r="G186" s="37"/>
      <c r="J186" s="36"/>
      <c r="O186" s="37"/>
      <c r="P186" s="17">
        <f t="shared" si="1"/>
        <v>0</v>
      </c>
      <c r="AQ186" s="36"/>
    </row>
    <row r="187">
      <c r="B187" s="36"/>
      <c r="G187" s="37"/>
      <c r="J187" s="36"/>
      <c r="O187" s="37"/>
      <c r="P187" s="17">
        <f t="shared" si="1"/>
        <v>0</v>
      </c>
      <c r="AQ187" s="36"/>
    </row>
    <row r="188">
      <c r="B188" s="36"/>
      <c r="G188" s="37"/>
      <c r="J188" s="36"/>
      <c r="O188" s="37"/>
      <c r="P188" s="17">
        <f t="shared" si="1"/>
        <v>0</v>
      </c>
      <c r="AQ188" s="36"/>
    </row>
    <row r="189">
      <c r="B189" s="36"/>
      <c r="G189" s="37"/>
      <c r="J189" s="36"/>
      <c r="O189" s="37"/>
      <c r="P189" s="17">
        <f t="shared" si="1"/>
        <v>0</v>
      </c>
      <c r="AQ189" s="36"/>
    </row>
    <row r="190">
      <c r="B190" s="36"/>
      <c r="G190" s="37"/>
      <c r="J190" s="36"/>
      <c r="O190" s="37"/>
      <c r="P190" s="17">
        <f t="shared" si="1"/>
        <v>0</v>
      </c>
      <c r="AQ190" s="36"/>
    </row>
    <row r="191">
      <c r="B191" s="36"/>
      <c r="G191" s="37"/>
      <c r="J191" s="36"/>
      <c r="O191" s="37"/>
      <c r="P191" s="17">
        <f t="shared" si="1"/>
        <v>0</v>
      </c>
      <c r="AQ191" s="36"/>
    </row>
    <row r="192">
      <c r="B192" s="36"/>
      <c r="G192" s="37"/>
      <c r="J192" s="36"/>
      <c r="O192" s="37"/>
      <c r="P192" s="17">
        <f t="shared" si="1"/>
        <v>0</v>
      </c>
      <c r="AQ192" s="36"/>
    </row>
    <row r="193">
      <c r="B193" s="36"/>
      <c r="G193" s="37"/>
      <c r="J193" s="36"/>
      <c r="O193" s="37"/>
      <c r="P193" s="17">
        <f t="shared" si="1"/>
        <v>0</v>
      </c>
      <c r="AQ193" s="36"/>
    </row>
    <row r="194">
      <c r="B194" s="36"/>
      <c r="G194" s="37"/>
      <c r="J194" s="36"/>
      <c r="O194" s="37"/>
      <c r="P194" s="17">
        <f t="shared" si="1"/>
        <v>0</v>
      </c>
      <c r="AQ194" s="36"/>
    </row>
    <row r="195">
      <c r="B195" s="36"/>
      <c r="G195" s="37"/>
      <c r="J195" s="36"/>
      <c r="O195" s="37"/>
      <c r="P195" s="17">
        <f t="shared" si="1"/>
        <v>0</v>
      </c>
      <c r="AQ195" s="36"/>
    </row>
    <row r="196">
      <c r="B196" s="36"/>
      <c r="G196" s="37"/>
      <c r="J196" s="36"/>
      <c r="O196" s="37"/>
      <c r="P196" s="17">
        <f t="shared" si="1"/>
        <v>0</v>
      </c>
      <c r="AQ196" s="36"/>
    </row>
    <row r="197">
      <c r="B197" s="36"/>
      <c r="G197" s="37"/>
      <c r="J197" s="36"/>
      <c r="O197" s="37"/>
      <c r="P197" s="17">
        <f t="shared" si="1"/>
        <v>0</v>
      </c>
      <c r="AQ197" s="36"/>
    </row>
    <row r="198">
      <c r="B198" s="36"/>
      <c r="G198" s="37"/>
      <c r="J198" s="36"/>
      <c r="O198" s="37"/>
      <c r="P198" s="17">
        <f t="shared" si="1"/>
        <v>0</v>
      </c>
      <c r="AQ198" s="36"/>
    </row>
    <row r="199">
      <c r="B199" s="36"/>
      <c r="G199" s="37"/>
      <c r="J199" s="36"/>
      <c r="O199" s="37"/>
      <c r="P199" s="17">
        <f t="shared" si="1"/>
        <v>0</v>
      </c>
      <c r="AQ199" s="36"/>
    </row>
    <row r="200">
      <c r="B200" s="36"/>
      <c r="G200" s="37"/>
      <c r="J200" s="36"/>
      <c r="O200" s="37"/>
      <c r="P200" s="17">
        <f t="shared" si="1"/>
        <v>0</v>
      </c>
      <c r="AQ200" s="36"/>
    </row>
    <row r="201">
      <c r="B201" s="36"/>
      <c r="G201" s="37"/>
      <c r="J201" s="36"/>
      <c r="O201" s="37"/>
      <c r="P201" s="17">
        <f t="shared" si="1"/>
        <v>0</v>
      </c>
      <c r="AQ201" s="36"/>
    </row>
    <row r="202">
      <c r="B202" s="36"/>
      <c r="G202" s="37"/>
      <c r="J202" s="36"/>
      <c r="O202" s="37"/>
      <c r="P202" s="17">
        <f t="shared" si="1"/>
        <v>0</v>
      </c>
      <c r="AQ202" s="36"/>
    </row>
    <row r="203">
      <c r="B203" s="36"/>
      <c r="G203" s="37"/>
      <c r="J203" s="36"/>
      <c r="O203" s="37"/>
      <c r="P203" s="17">
        <f t="shared" si="1"/>
        <v>0</v>
      </c>
      <c r="AQ203" s="36"/>
    </row>
    <row r="204">
      <c r="B204" s="36"/>
      <c r="G204" s="37"/>
      <c r="J204" s="36"/>
      <c r="O204" s="37"/>
      <c r="P204" s="17">
        <f t="shared" si="1"/>
        <v>0</v>
      </c>
      <c r="AQ204" s="36"/>
    </row>
    <row r="205">
      <c r="B205" s="36"/>
      <c r="G205" s="37"/>
      <c r="J205" s="36"/>
      <c r="O205" s="37"/>
      <c r="P205" s="17">
        <f t="shared" si="1"/>
        <v>0</v>
      </c>
      <c r="AQ205" s="36"/>
    </row>
    <row r="206">
      <c r="B206" s="36"/>
      <c r="G206" s="37"/>
      <c r="J206" s="36"/>
      <c r="O206" s="37"/>
      <c r="P206" s="17">
        <f t="shared" si="1"/>
        <v>0</v>
      </c>
      <c r="AQ206" s="36"/>
    </row>
    <row r="207">
      <c r="B207" s="36"/>
      <c r="G207" s="37"/>
      <c r="J207" s="36"/>
      <c r="O207" s="37"/>
      <c r="P207" s="17">
        <f t="shared" si="1"/>
        <v>0</v>
      </c>
      <c r="AQ207" s="36"/>
    </row>
    <row r="208">
      <c r="B208" s="36"/>
      <c r="G208" s="37"/>
      <c r="J208" s="36"/>
      <c r="O208" s="37"/>
      <c r="P208" s="17">
        <f t="shared" si="1"/>
        <v>0</v>
      </c>
      <c r="AQ208" s="36"/>
    </row>
    <row r="209">
      <c r="B209" s="36"/>
      <c r="G209" s="37"/>
      <c r="J209" s="36"/>
      <c r="O209" s="37"/>
      <c r="P209" s="17">
        <f t="shared" si="1"/>
        <v>0</v>
      </c>
      <c r="AQ209" s="36"/>
    </row>
    <row r="210">
      <c r="B210" s="36"/>
      <c r="G210" s="37"/>
      <c r="J210" s="36"/>
      <c r="O210" s="37"/>
      <c r="P210" s="17">
        <f t="shared" si="1"/>
        <v>0</v>
      </c>
      <c r="AQ210" s="36"/>
    </row>
    <row r="211">
      <c r="B211" s="36"/>
      <c r="G211" s="37"/>
      <c r="J211" s="36"/>
      <c r="O211" s="37"/>
      <c r="P211" s="17">
        <f t="shared" si="1"/>
        <v>0</v>
      </c>
      <c r="AQ211" s="36"/>
    </row>
    <row r="212">
      <c r="B212" s="36"/>
      <c r="G212" s="37"/>
      <c r="J212" s="36"/>
      <c r="O212" s="37"/>
      <c r="P212" s="17">
        <f t="shared" si="1"/>
        <v>0</v>
      </c>
      <c r="AQ212" s="36"/>
    </row>
    <row r="213">
      <c r="B213" s="36"/>
      <c r="G213" s="37"/>
      <c r="J213" s="36"/>
      <c r="O213" s="37"/>
      <c r="P213" s="17">
        <f t="shared" si="1"/>
        <v>0</v>
      </c>
      <c r="AQ213" s="36"/>
    </row>
    <row r="214">
      <c r="B214" s="36"/>
      <c r="G214" s="37"/>
      <c r="J214" s="36"/>
      <c r="O214" s="37"/>
      <c r="P214" s="17">
        <f t="shared" si="1"/>
        <v>0</v>
      </c>
      <c r="AQ214" s="36"/>
    </row>
    <row r="215">
      <c r="B215" s="36"/>
      <c r="G215" s="37"/>
      <c r="J215" s="36"/>
      <c r="O215" s="37"/>
      <c r="P215" s="17">
        <f t="shared" si="1"/>
        <v>0</v>
      </c>
      <c r="AQ215" s="36"/>
    </row>
    <row r="216">
      <c r="B216" s="36"/>
      <c r="G216" s="37"/>
      <c r="J216" s="36"/>
      <c r="O216" s="37"/>
      <c r="P216" s="17">
        <f t="shared" si="1"/>
        <v>0</v>
      </c>
      <c r="AQ216" s="36"/>
    </row>
    <row r="217">
      <c r="B217" s="36"/>
      <c r="G217" s="37"/>
      <c r="J217" s="36"/>
      <c r="O217" s="37"/>
      <c r="P217" s="17">
        <f t="shared" si="1"/>
        <v>0</v>
      </c>
      <c r="AQ217" s="36"/>
    </row>
    <row r="218">
      <c r="B218" s="36"/>
      <c r="G218" s="37"/>
      <c r="J218" s="36"/>
      <c r="O218" s="37"/>
      <c r="P218" s="17">
        <f t="shared" si="1"/>
        <v>0</v>
      </c>
      <c r="AQ218" s="36"/>
    </row>
    <row r="219">
      <c r="B219" s="36"/>
      <c r="G219" s="37"/>
      <c r="J219" s="36"/>
      <c r="O219" s="37"/>
      <c r="P219" s="17">
        <f t="shared" si="1"/>
        <v>0</v>
      </c>
      <c r="AQ219" s="36"/>
    </row>
    <row r="220">
      <c r="B220" s="36"/>
      <c r="G220" s="37"/>
      <c r="J220" s="36"/>
      <c r="O220" s="37"/>
      <c r="P220" s="17">
        <f t="shared" si="1"/>
        <v>0</v>
      </c>
      <c r="AQ220" s="36"/>
    </row>
    <row r="221">
      <c r="B221" s="36"/>
      <c r="G221" s="37"/>
      <c r="J221" s="36"/>
      <c r="O221" s="37"/>
      <c r="P221" s="17">
        <f t="shared" si="1"/>
        <v>0</v>
      </c>
      <c r="AQ221" s="36"/>
    </row>
    <row r="222">
      <c r="B222" s="36"/>
      <c r="G222" s="37"/>
      <c r="J222" s="36"/>
      <c r="O222" s="37"/>
      <c r="P222" s="17">
        <f t="shared" si="1"/>
        <v>0</v>
      </c>
      <c r="AQ222" s="36"/>
    </row>
    <row r="223">
      <c r="B223" s="36"/>
      <c r="G223" s="37"/>
      <c r="J223" s="36"/>
      <c r="O223" s="37"/>
      <c r="P223" s="17">
        <f t="shared" si="1"/>
        <v>0</v>
      </c>
      <c r="AQ223" s="36"/>
    </row>
    <row r="224">
      <c r="B224" s="36"/>
      <c r="G224" s="37"/>
      <c r="J224" s="36"/>
      <c r="O224" s="37"/>
      <c r="P224" s="17">
        <f t="shared" si="1"/>
        <v>0</v>
      </c>
      <c r="AQ224" s="36"/>
    </row>
    <row r="225">
      <c r="B225" s="36"/>
      <c r="G225" s="37"/>
      <c r="J225" s="36"/>
      <c r="O225" s="37"/>
      <c r="P225" s="17">
        <f t="shared" si="1"/>
        <v>0</v>
      </c>
      <c r="AQ225" s="36"/>
    </row>
    <row r="226">
      <c r="B226" s="36"/>
      <c r="G226" s="37"/>
      <c r="J226" s="36"/>
      <c r="O226" s="37"/>
      <c r="P226" s="17">
        <f t="shared" si="1"/>
        <v>0</v>
      </c>
      <c r="AQ226" s="36"/>
    </row>
    <row r="227">
      <c r="B227" s="36"/>
      <c r="G227" s="37"/>
      <c r="J227" s="36"/>
      <c r="O227" s="37"/>
      <c r="P227" s="17">
        <f t="shared" si="1"/>
        <v>0</v>
      </c>
      <c r="AQ227" s="36"/>
    </row>
    <row r="228">
      <c r="B228" s="36"/>
      <c r="G228" s="37"/>
      <c r="J228" s="36"/>
      <c r="O228" s="37"/>
      <c r="P228" s="17">
        <f t="shared" si="1"/>
        <v>0</v>
      </c>
      <c r="AQ228" s="36"/>
    </row>
    <row r="229">
      <c r="B229" s="36"/>
      <c r="G229" s="37"/>
      <c r="J229" s="36"/>
      <c r="O229" s="37"/>
      <c r="P229" s="17">
        <f t="shared" si="1"/>
        <v>0</v>
      </c>
      <c r="AQ229" s="36"/>
    </row>
    <row r="230">
      <c r="B230" s="36"/>
      <c r="G230" s="37"/>
      <c r="J230" s="36"/>
      <c r="O230" s="37"/>
      <c r="P230" s="17">
        <f t="shared" si="1"/>
        <v>0</v>
      </c>
      <c r="AQ230" s="36"/>
    </row>
    <row r="231">
      <c r="B231" s="36"/>
      <c r="G231" s="37"/>
      <c r="J231" s="36"/>
      <c r="O231" s="37"/>
      <c r="P231" s="17">
        <f t="shared" si="1"/>
        <v>0</v>
      </c>
      <c r="AQ231" s="36"/>
    </row>
    <row r="232">
      <c r="B232" s="36"/>
      <c r="G232" s="37"/>
      <c r="J232" s="36"/>
      <c r="O232" s="37"/>
      <c r="P232" s="17">
        <f t="shared" si="1"/>
        <v>0</v>
      </c>
      <c r="AQ232" s="36"/>
    </row>
    <row r="233">
      <c r="B233" s="36"/>
      <c r="G233" s="37"/>
      <c r="J233" s="36"/>
      <c r="O233" s="37"/>
      <c r="P233" s="17">
        <f t="shared" si="1"/>
        <v>0</v>
      </c>
      <c r="AQ233" s="36"/>
    </row>
    <row r="234">
      <c r="B234" s="36"/>
      <c r="G234" s="37"/>
      <c r="J234" s="36"/>
      <c r="O234" s="37"/>
      <c r="P234" s="17">
        <f t="shared" si="1"/>
        <v>0</v>
      </c>
      <c r="AQ234" s="36"/>
    </row>
    <row r="235">
      <c r="B235" s="36"/>
      <c r="G235" s="37"/>
      <c r="J235" s="36"/>
      <c r="O235" s="37"/>
      <c r="P235" s="17">
        <f t="shared" si="1"/>
        <v>0</v>
      </c>
      <c r="AQ235" s="36"/>
    </row>
    <row r="236">
      <c r="B236" s="36"/>
      <c r="G236" s="37"/>
      <c r="J236" s="36"/>
      <c r="O236" s="37"/>
      <c r="P236" s="17">
        <f t="shared" si="1"/>
        <v>0</v>
      </c>
      <c r="AQ236" s="36"/>
    </row>
    <row r="237">
      <c r="B237" s="36"/>
      <c r="G237" s="37"/>
      <c r="J237" s="36"/>
      <c r="O237" s="37"/>
      <c r="P237" s="17">
        <f t="shared" si="1"/>
        <v>0</v>
      </c>
      <c r="AQ237" s="36"/>
    </row>
    <row r="238">
      <c r="B238" s="36"/>
      <c r="G238" s="37"/>
      <c r="J238" s="36"/>
      <c r="O238" s="37"/>
      <c r="P238" s="17">
        <f t="shared" si="1"/>
        <v>0</v>
      </c>
      <c r="AQ238" s="36"/>
    </row>
    <row r="239">
      <c r="B239" s="36"/>
      <c r="G239" s="37"/>
      <c r="J239" s="36"/>
      <c r="O239" s="37"/>
      <c r="P239" s="17">
        <f t="shared" si="1"/>
        <v>0</v>
      </c>
      <c r="AQ239" s="36"/>
    </row>
    <row r="240">
      <c r="B240" s="36"/>
      <c r="G240" s="37"/>
      <c r="J240" s="36"/>
      <c r="O240" s="37"/>
      <c r="P240" s="17">
        <f t="shared" si="1"/>
        <v>0</v>
      </c>
      <c r="AQ240" s="36"/>
    </row>
    <row r="241">
      <c r="B241" s="36"/>
      <c r="G241" s="37"/>
      <c r="J241" s="36"/>
      <c r="O241" s="37"/>
      <c r="P241" s="17">
        <f t="shared" si="1"/>
        <v>0</v>
      </c>
      <c r="AQ241" s="36"/>
    </row>
    <row r="242">
      <c r="B242" s="36"/>
      <c r="G242" s="37"/>
      <c r="J242" s="36"/>
      <c r="O242" s="37"/>
      <c r="P242" s="17">
        <f t="shared" si="1"/>
        <v>0</v>
      </c>
      <c r="AQ242" s="36"/>
    </row>
    <row r="243">
      <c r="B243" s="36"/>
      <c r="G243" s="37"/>
      <c r="J243" s="36"/>
      <c r="O243" s="37"/>
      <c r="P243" s="17">
        <f t="shared" si="1"/>
        <v>0</v>
      </c>
      <c r="AQ243" s="36"/>
    </row>
    <row r="244">
      <c r="B244" s="36"/>
      <c r="G244" s="37"/>
      <c r="J244" s="36"/>
      <c r="O244" s="37"/>
      <c r="P244" s="17">
        <f t="shared" si="1"/>
        <v>0</v>
      </c>
      <c r="AQ244" s="36"/>
    </row>
    <row r="245">
      <c r="B245" s="36"/>
      <c r="G245" s="37"/>
      <c r="J245" s="36"/>
      <c r="O245" s="37"/>
      <c r="P245" s="17">
        <f t="shared" si="1"/>
        <v>0</v>
      </c>
      <c r="AQ245" s="36"/>
    </row>
    <row r="246">
      <c r="B246" s="36"/>
      <c r="G246" s="37"/>
      <c r="J246" s="36"/>
      <c r="O246" s="37"/>
      <c r="P246" s="17">
        <f t="shared" si="1"/>
        <v>0</v>
      </c>
      <c r="AQ246" s="36"/>
    </row>
    <row r="247">
      <c r="B247" s="36"/>
      <c r="G247" s="37"/>
      <c r="J247" s="36"/>
      <c r="O247" s="37"/>
      <c r="P247" s="17">
        <f t="shared" si="1"/>
        <v>0</v>
      </c>
      <c r="AQ247" s="36"/>
    </row>
    <row r="248">
      <c r="B248" s="36"/>
      <c r="G248" s="37"/>
      <c r="J248" s="36"/>
      <c r="O248" s="37"/>
      <c r="P248" s="17">
        <f t="shared" si="1"/>
        <v>0</v>
      </c>
      <c r="AQ248" s="36"/>
    </row>
    <row r="249">
      <c r="B249" s="36"/>
      <c r="G249" s="37"/>
      <c r="J249" s="36"/>
      <c r="O249" s="37"/>
      <c r="P249" s="17">
        <f t="shared" si="1"/>
        <v>0</v>
      </c>
      <c r="AQ249" s="36"/>
    </row>
    <row r="250">
      <c r="B250" s="36"/>
      <c r="G250" s="37"/>
      <c r="J250" s="36"/>
      <c r="O250" s="37"/>
      <c r="P250" s="17">
        <f t="shared" si="1"/>
        <v>0</v>
      </c>
      <c r="AQ250" s="36"/>
    </row>
    <row r="251">
      <c r="B251" s="36"/>
      <c r="G251" s="37"/>
      <c r="J251" s="36"/>
      <c r="O251" s="37"/>
      <c r="P251" s="17">
        <f t="shared" si="1"/>
        <v>0</v>
      </c>
      <c r="AQ251" s="36"/>
    </row>
    <row r="252">
      <c r="B252" s="36"/>
      <c r="G252" s="37"/>
      <c r="J252" s="36"/>
      <c r="O252" s="37"/>
      <c r="P252" s="17">
        <f t="shared" si="1"/>
        <v>0</v>
      </c>
      <c r="AQ252" s="36"/>
    </row>
    <row r="253">
      <c r="B253" s="36"/>
      <c r="G253" s="37"/>
      <c r="J253" s="36"/>
      <c r="O253" s="37"/>
      <c r="P253" s="17">
        <f t="shared" si="1"/>
        <v>0</v>
      </c>
      <c r="AQ253" s="36"/>
    </row>
    <row r="254">
      <c r="B254" s="36"/>
      <c r="G254" s="37"/>
      <c r="J254" s="36"/>
      <c r="O254" s="37"/>
      <c r="P254" s="17">
        <f t="shared" si="1"/>
        <v>0</v>
      </c>
      <c r="AQ254" s="36"/>
    </row>
    <row r="255">
      <c r="B255" s="36"/>
      <c r="G255" s="37"/>
      <c r="J255" s="36"/>
      <c r="O255" s="37"/>
      <c r="P255" s="17">
        <f t="shared" si="1"/>
        <v>0</v>
      </c>
      <c r="AQ255" s="36"/>
    </row>
    <row r="256">
      <c r="B256" s="36"/>
      <c r="G256" s="37"/>
      <c r="J256" s="36"/>
      <c r="O256" s="37"/>
      <c r="P256" s="17">
        <f t="shared" si="1"/>
        <v>0</v>
      </c>
      <c r="AQ256" s="36"/>
    </row>
    <row r="257">
      <c r="B257" s="36"/>
      <c r="G257" s="37"/>
      <c r="J257" s="36"/>
      <c r="O257" s="37"/>
      <c r="P257" s="17">
        <f t="shared" si="1"/>
        <v>0</v>
      </c>
      <c r="AQ257" s="36"/>
    </row>
    <row r="258">
      <c r="B258" s="36"/>
      <c r="G258" s="37"/>
      <c r="J258" s="36"/>
      <c r="O258" s="37"/>
      <c r="P258" s="17">
        <f t="shared" si="1"/>
        <v>0</v>
      </c>
      <c r="AQ258" s="36"/>
    </row>
    <row r="259">
      <c r="B259" s="36"/>
      <c r="G259" s="37"/>
      <c r="J259" s="36"/>
      <c r="O259" s="37"/>
      <c r="P259" s="17">
        <f t="shared" si="1"/>
        <v>0</v>
      </c>
      <c r="AQ259" s="36"/>
    </row>
    <row r="260">
      <c r="B260" s="36"/>
      <c r="G260" s="37"/>
      <c r="J260" s="36"/>
      <c r="O260" s="37"/>
      <c r="P260" s="17">
        <f t="shared" si="1"/>
        <v>0</v>
      </c>
      <c r="AQ260" s="36"/>
    </row>
    <row r="261">
      <c r="B261" s="36"/>
      <c r="G261" s="37"/>
      <c r="J261" s="36"/>
      <c r="O261" s="37"/>
      <c r="P261" s="17">
        <f t="shared" si="1"/>
        <v>0</v>
      </c>
      <c r="AQ261" s="36"/>
    </row>
    <row r="262">
      <c r="B262" s="36"/>
      <c r="G262" s="37"/>
      <c r="J262" s="36"/>
      <c r="O262" s="37"/>
      <c r="P262" s="17">
        <f t="shared" si="1"/>
        <v>0</v>
      </c>
      <c r="AQ262" s="36"/>
    </row>
    <row r="263">
      <c r="B263" s="36"/>
      <c r="G263" s="37"/>
      <c r="J263" s="36"/>
      <c r="O263" s="37"/>
      <c r="P263" s="17">
        <f t="shared" si="1"/>
        <v>0</v>
      </c>
      <c r="AQ263" s="36"/>
    </row>
    <row r="264">
      <c r="B264" s="36"/>
      <c r="G264" s="37"/>
      <c r="J264" s="36"/>
      <c r="O264" s="37"/>
      <c r="P264" s="17">
        <f t="shared" si="1"/>
        <v>0</v>
      </c>
      <c r="AQ264" s="36"/>
    </row>
    <row r="265">
      <c r="B265" s="36"/>
      <c r="G265" s="37"/>
      <c r="J265" s="36"/>
      <c r="O265" s="37"/>
      <c r="P265" s="17">
        <f t="shared" si="1"/>
        <v>0</v>
      </c>
      <c r="AQ265" s="36"/>
    </row>
    <row r="266">
      <c r="B266" s="36"/>
      <c r="G266" s="37"/>
      <c r="J266" s="36"/>
      <c r="O266" s="37"/>
      <c r="P266" s="17">
        <f t="shared" si="1"/>
        <v>0</v>
      </c>
      <c r="AQ266" s="36"/>
    </row>
    <row r="267">
      <c r="B267" s="36"/>
      <c r="G267" s="37"/>
      <c r="J267" s="36"/>
      <c r="O267" s="37"/>
      <c r="P267" s="17">
        <f t="shared" si="1"/>
        <v>0</v>
      </c>
      <c r="AQ267" s="36"/>
    </row>
    <row r="268">
      <c r="B268" s="36"/>
      <c r="G268" s="37"/>
      <c r="J268" s="36"/>
      <c r="O268" s="37"/>
      <c r="P268" s="17">
        <f t="shared" si="1"/>
        <v>0</v>
      </c>
      <c r="AQ268" s="36"/>
    </row>
    <row r="269">
      <c r="B269" s="36"/>
      <c r="G269" s="37"/>
      <c r="J269" s="36"/>
      <c r="O269" s="37"/>
      <c r="P269" s="17">
        <f t="shared" si="1"/>
        <v>0</v>
      </c>
      <c r="AQ269" s="36"/>
    </row>
    <row r="270">
      <c r="B270" s="36"/>
      <c r="G270" s="37"/>
      <c r="J270" s="36"/>
      <c r="O270" s="37"/>
      <c r="P270" s="17">
        <f t="shared" si="1"/>
        <v>0</v>
      </c>
      <c r="AQ270" s="36"/>
    </row>
    <row r="271">
      <c r="B271" s="36"/>
      <c r="G271" s="37"/>
      <c r="J271" s="36"/>
      <c r="O271" s="37"/>
      <c r="P271" s="17">
        <f t="shared" si="1"/>
        <v>0</v>
      </c>
      <c r="AQ271" s="36"/>
    </row>
    <row r="272">
      <c r="B272" s="36"/>
      <c r="G272" s="37"/>
      <c r="J272" s="36"/>
      <c r="O272" s="37"/>
      <c r="P272" s="17">
        <f t="shared" si="1"/>
        <v>0</v>
      </c>
      <c r="AQ272" s="36"/>
    </row>
    <row r="273">
      <c r="B273" s="36"/>
      <c r="G273" s="37"/>
      <c r="J273" s="36"/>
      <c r="O273" s="37"/>
      <c r="P273" s="17">
        <f t="shared" si="1"/>
        <v>0</v>
      </c>
      <c r="AQ273" s="36"/>
    </row>
    <row r="274">
      <c r="B274" s="36"/>
      <c r="G274" s="37"/>
      <c r="J274" s="36"/>
      <c r="O274" s="37"/>
      <c r="P274" s="17">
        <f t="shared" si="1"/>
        <v>0</v>
      </c>
      <c r="AQ274" s="36"/>
    </row>
    <row r="275">
      <c r="B275" s="36"/>
      <c r="G275" s="37"/>
      <c r="J275" s="36"/>
      <c r="O275" s="37"/>
      <c r="P275" s="17">
        <f t="shared" si="1"/>
        <v>0</v>
      </c>
      <c r="AQ275" s="36"/>
    </row>
    <row r="276">
      <c r="B276" s="36"/>
      <c r="G276" s="37"/>
      <c r="J276" s="36"/>
      <c r="O276" s="37"/>
      <c r="P276" s="17">
        <f t="shared" si="1"/>
        <v>0</v>
      </c>
      <c r="AQ276" s="36"/>
    </row>
    <row r="277">
      <c r="B277" s="36"/>
      <c r="G277" s="37"/>
      <c r="J277" s="36"/>
      <c r="O277" s="37"/>
      <c r="P277" s="17">
        <f t="shared" si="1"/>
        <v>0</v>
      </c>
      <c r="AQ277" s="36"/>
    </row>
    <row r="278">
      <c r="B278" s="36"/>
      <c r="G278" s="37"/>
      <c r="J278" s="36"/>
      <c r="O278" s="37"/>
      <c r="P278" s="17">
        <f t="shared" si="1"/>
        <v>0</v>
      </c>
      <c r="AQ278" s="36"/>
    </row>
    <row r="279">
      <c r="B279" s="36"/>
      <c r="G279" s="37"/>
      <c r="J279" s="36"/>
      <c r="O279" s="37"/>
      <c r="P279" s="17">
        <f t="shared" si="1"/>
        <v>0</v>
      </c>
      <c r="AQ279" s="36"/>
    </row>
    <row r="280">
      <c r="B280" s="36"/>
      <c r="G280" s="37"/>
      <c r="J280" s="36"/>
      <c r="O280" s="37"/>
      <c r="P280" s="17">
        <f t="shared" si="1"/>
        <v>0</v>
      </c>
      <c r="AQ280" s="36"/>
    </row>
    <row r="281">
      <c r="B281" s="36"/>
      <c r="G281" s="37"/>
      <c r="J281" s="36"/>
      <c r="O281" s="37"/>
      <c r="P281" s="17">
        <f t="shared" si="1"/>
        <v>0</v>
      </c>
      <c r="AQ281" s="36"/>
    </row>
    <row r="282">
      <c r="B282" s="36"/>
      <c r="G282" s="37"/>
      <c r="J282" s="36"/>
      <c r="O282" s="37"/>
      <c r="P282" s="17">
        <f t="shared" si="1"/>
        <v>0</v>
      </c>
      <c r="AQ282" s="36"/>
    </row>
    <row r="283">
      <c r="B283" s="36"/>
      <c r="G283" s="37"/>
      <c r="J283" s="36"/>
      <c r="O283" s="37"/>
      <c r="P283" s="17">
        <f t="shared" si="1"/>
        <v>0</v>
      </c>
      <c r="AQ283" s="36"/>
    </row>
    <row r="284">
      <c r="B284" s="36"/>
      <c r="G284" s="37"/>
      <c r="J284" s="36"/>
      <c r="O284" s="37"/>
      <c r="P284" s="17">
        <f t="shared" si="1"/>
        <v>0</v>
      </c>
      <c r="AQ284" s="36"/>
    </row>
    <row r="285">
      <c r="B285" s="36"/>
      <c r="G285" s="37"/>
      <c r="J285" s="36"/>
      <c r="O285" s="37"/>
      <c r="P285" s="17">
        <f t="shared" si="1"/>
        <v>0</v>
      </c>
      <c r="AQ285" s="36"/>
    </row>
    <row r="286">
      <c r="B286" s="36"/>
      <c r="G286" s="37"/>
      <c r="J286" s="36"/>
      <c r="O286" s="37"/>
      <c r="P286" s="17">
        <f t="shared" si="1"/>
        <v>0</v>
      </c>
      <c r="AQ286" s="36"/>
    </row>
    <row r="287">
      <c r="B287" s="36"/>
      <c r="G287" s="37"/>
      <c r="J287" s="36"/>
      <c r="O287" s="37"/>
      <c r="P287" s="17">
        <f t="shared" si="1"/>
        <v>0</v>
      </c>
      <c r="AQ287" s="36"/>
    </row>
    <row r="288">
      <c r="B288" s="36"/>
      <c r="G288" s="37"/>
      <c r="J288" s="36"/>
      <c r="O288" s="37"/>
      <c r="P288" s="17">
        <f t="shared" si="1"/>
        <v>0</v>
      </c>
      <c r="AQ288" s="36"/>
    </row>
    <row r="289">
      <c r="B289" s="36"/>
      <c r="G289" s="37"/>
      <c r="J289" s="36"/>
      <c r="O289" s="37"/>
      <c r="P289" s="17">
        <f t="shared" si="1"/>
        <v>0</v>
      </c>
      <c r="AQ289" s="36"/>
    </row>
    <row r="290">
      <c r="B290" s="36"/>
      <c r="G290" s="37"/>
      <c r="J290" s="36"/>
      <c r="O290" s="37"/>
      <c r="P290" s="17">
        <f t="shared" si="1"/>
        <v>0</v>
      </c>
      <c r="AQ290" s="36"/>
    </row>
    <row r="291">
      <c r="B291" s="36"/>
      <c r="G291" s="37"/>
      <c r="J291" s="36"/>
      <c r="O291" s="37"/>
      <c r="P291" s="17">
        <f t="shared" si="1"/>
        <v>0</v>
      </c>
      <c r="AQ291" s="36"/>
    </row>
    <row r="292">
      <c r="B292" s="36"/>
      <c r="G292" s="37"/>
      <c r="J292" s="36"/>
      <c r="O292" s="37"/>
      <c r="P292" s="17">
        <f t="shared" si="1"/>
        <v>0</v>
      </c>
      <c r="AQ292" s="36"/>
    </row>
    <row r="293">
      <c r="B293" s="36"/>
      <c r="G293" s="37"/>
      <c r="J293" s="36"/>
      <c r="O293" s="37"/>
      <c r="P293" s="17">
        <f t="shared" si="1"/>
        <v>0</v>
      </c>
      <c r="AQ293" s="36"/>
    </row>
    <row r="294">
      <c r="B294" s="36"/>
      <c r="G294" s="37"/>
      <c r="J294" s="36"/>
      <c r="O294" s="37"/>
      <c r="P294" s="17">
        <f t="shared" si="1"/>
        <v>0</v>
      </c>
      <c r="AQ294" s="36"/>
    </row>
    <row r="295">
      <c r="B295" s="36"/>
      <c r="G295" s="37"/>
      <c r="J295" s="36"/>
      <c r="O295" s="37"/>
      <c r="P295" s="17">
        <f t="shared" si="1"/>
        <v>0</v>
      </c>
      <c r="AQ295" s="36"/>
    </row>
    <row r="296">
      <c r="B296" s="36"/>
      <c r="G296" s="37"/>
      <c r="J296" s="36"/>
      <c r="O296" s="37"/>
      <c r="P296" s="17">
        <f t="shared" si="1"/>
        <v>0</v>
      </c>
      <c r="AQ296" s="36"/>
    </row>
    <row r="297">
      <c r="B297" s="36"/>
      <c r="G297" s="37"/>
      <c r="J297" s="36"/>
      <c r="O297" s="37"/>
      <c r="P297" s="17">
        <f t="shared" si="1"/>
        <v>0</v>
      </c>
      <c r="AQ297" s="36"/>
    </row>
    <row r="298">
      <c r="B298" s="36"/>
      <c r="G298" s="37"/>
      <c r="J298" s="36"/>
      <c r="O298" s="37"/>
      <c r="P298" s="17">
        <f t="shared" si="1"/>
        <v>0</v>
      </c>
      <c r="AQ298" s="36"/>
    </row>
    <row r="299">
      <c r="B299" s="36"/>
      <c r="G299" s="37"/>
      <c r="J299" s="36"/>
      <c r="O299" s="37"/>
      <c r="P299" s="17">
        <f t="shared" si="1"/>
        <v>0</v>
      </c>
      <c r="AQ299" s="36"/>
    </row>
    <row r="300">
      <c r="B300" s="36"/>
      <c r="G300" s="37"/>
      <c r="J300" s="36"/>
      <c r="O300" s="37"/>
      <c r="P300" s="17">
        <f t="shared" si="1"/>
        <v>0</v>
      </c>
      <c r="AQ300" s="36"/>
    </row>
    <row r="301">
      <c r="B301" s="36"/>
      <c r="G301" s="37"/>
      <c r="J301" s="36"/>
      <c r="O301" s="37"/>
      <c r="P301" s="17">
        <f t="shared" si="1"/>
        <v>0</v>
      </c>
      <c r="AQ301" s="36"/>
    </row>
    <row r="302">
      <c r="B302" s="36"/>
      <c r="G302" s="37"/>
      <c r="J302" s="36"/>
      <c r="O302" s="37"/>
      <c r="P302" s="17">
        <f t="shared" si="1"/>
        <v>0</v>
      </c>
      <c r="AQ302" s="36"/>
    </row>
    <row r="303">
      <c r="B303" s="36"/>
      <c r="G303" s="37"/>
      <c r="J303" s="36"/>
      <c r="O303" s="37"/>
      <c r="P303" s="17">
        <f t="shared" si="1"/>
        <v>0</v>
      </c>
      <c r="AQ303" s="36"/>
    </row>
    <row r="304">
      <c r="B304" s="36"/>
      <c r="G304" s="37"/>
      <c r="J304" s="36"/>
      <c r="O304" s="37"/>
      <c r="P304" s="17">
        <f t="shared" si="1"/>
        <v>0</v>
      </c>
      <c r="AQ304" s="36"/>
    </row>
    <row r="305">
      <c r="B305" s="36"/>
      <c r="G305" s="37"/>
      <c r="J305" s="36"/>
      <c r="O305" s="37"/>
      <c r="P305" s="17">
        <f t="shared" si="1"/>
        <v>0</v>
      </c>
      <c r="AQ305" s="36"/>
    </row>
    <row r="306">
      <c r="B306" s="36"/>
      <c r="G306" s="37"/>
      <c r="J306" s="36"/>
      <c r="O306" s="37"/>
      <c r="P306" s="17">
        <f t="shared" si="1"/>
        <v>0</v>
      </c>
      <c r="AQ306" s="36"/>
    </row>
    <row r="307">
      <c r="B307" s="36"/>
      <c r="G307" s="37"/>
      <c r="J307" s="36"/>
      <c r="O307" s="37"/>
      <c r="P307" s="17">
        <f t="shared" si="1"/>
        <v>0</v>
      </c>
      <c r="AQ307" s="36"/>
    </row>
    <row r="308">
      <c r="B308" s="36"/>
      <c r="G308" s="37"/>
      <c r="J308" s="36"/>
      <c r="O308" s="37"/>
      <c r="P308" s="17">
        <f t="shared" si="1"/>
        <v>0</v>
      </c>
      <c r="AQ308" s="36"/>
    </row>
    <row r="309">
      <c r="B309" s="36"/>
      <c r="G309" s="37"/>
      <c r="J309" s="36"/>
      <c r="O309" s="37"/>
      <c r="P309" s="17">
        <f t="shared" si="1"/>
        <v>0</v>
      </c>
      <c r="AQ309" s="36"/>
    </row>
    <row r="310">
      <c r="B310" s="36"/>
      <c r="G310" s="37"/>
      <c r="J310" s="36"/>
      <c r="O310" s="37"/>
      <c r="P310" s="17">
        <f t="shared" si="1"/>
        <v>0</v>
      </c>
      <c r="AQ310" s="36"/>
    </row>
    <row r="311">
      <c r="B311" s="36"/>
      <c r="G311" s="37"/>
      <c r="J311" s="36"/>
      <c r="O311" s="37"/>
      <c r="P311" s="17">
        <f t="shared" si="1"/>
        <v>0</v>
      </c>
      <c r="AQ311" s="36"/>
    </row>
    <row r="312">
      <c r="B312" s="36"/>
      <c r="G312" s="37"/>
      <c r="J312" s="36"/>
      <c r="O312" s="37"/>
      <c r="P312" s="17">
        <f t="shared" si="1"/>
        <v>0</v>
      </c>
      <c r="AQ312" s="36"/>
    </row>
    <row r="313">
      <c r="B313" s="36"/>
      <c r="G313" s="37"/>
      <c r="J313" s="36"/>
      <c r="O313" s="37"/>
      <c r="P313" s="17">
        <f t="shared" si="1"/>
        <v>0</v>
      </c>
      <c r="AQ313" s="36"/>
    </row>
    <row r="314">
      <c r="B314" s="36"/>
      <c r="G314" s="37"/>
      <c r="J314" s="36"/>
      <c r="O314" s="37"/>
      <c r="P314" s="17">
        <f t="shared" si="1"/>
        <v>0</v>
      </c>
      <c r="AQ314" s="36"/>
    </row>
    <row r="315">
      <c r="B315" s="36"/>
      <c r="G315" s="37"/>
      <c r="J315" s="36"/>
      <c r="O315" s="37"/>
      <c r="P315" s="17">
        <f t="shared" si="1"/>
        <v>0</v>
      </c>
      <c r="AQ315" s="36"/>
    </row>
    <row r="316">
      <c r="B316" s="36"/>
      <c r="G316" s="37"/>
      <c r="J316" s="36"/>
      <c r="O316" s="37"/>
      <c r="P316" s="17">
        <f t="shared" si="1"/>
        <v>0</v>
      </c>
      <c r="AQ316" s="36"/>
    </row>
    <row r="317">
      <c r="B317" s="36"/>
      <c r="G317" s="37"/>
      <c r="J317" s="36"/>
      <c r="O317" s="37"/>
      <c r="P317" s="17">
        <f t="shared" si="1"/>
        <v>0</v>
      </c>
      <c r="AQ317" s="36"/>
    </row>
    <row r="318">
      <c r="B318" s="36"/>
      <c r="G318" s="37"/>
      <c r="J318" s="36"/>
      <c r="O318" s="37"/>
      <c r="P318" s="17">
        <f t="shared" si="1"/>
        <v>0</v>
      </c>
      <c r="AQ318" s="36"/>
    </row>
    <row r="319">
      <c r="B319" s="36"/>
      <c r="G319" s="37"/>
      <c r="J319" s="36"/>
      <c r="O319" s="37"/>
      <c r="P319" s="17">
        <f t="shared" si="1"/>
        <v>0</v>
      </c>
      <c r="AQ319" s="36"/>
    </row>
    <row r="320">
      <c r="B320" s="36"/>
      <c r="G320" s="37"/>
      <c r="J320" s="36"/>
      <c r="O320" s="37"/>
      <c r="P320" s="17">
        <f t="shared" si="1"/>
        <v>0</v>
      </c>
      <c r="AQ320" s="36"/>
    </row>
    <row r="321">
      <c r="B321" s="36"/>
      <c r="G321" s="37"/>
      <c r="J321" s="36"/>
      <c r="O321" s="37"/>
      <c r="P321" s="17">
        <f t="shared" si="1"/>
        <v>0</v>
      </c>
      <c r="AQ321" s="36"/>
    </row>
    <row r="322">
      <c r="B322" s="36"/>
      <c r="G322" s="37"/>
      <c r="J322" s="36"/>
      <c r="O322" s="37"/>
      <c r="P322" s="17">
        <f t="shared" si="1"/>
        <v>0</v>
      </c>
      <c r="AQ322" s="36"/>
    </row>
    <row r="323">
      <c r="B323" s="36"/>
      <c r="G323" s="37"/>
      <c r="J323" s="36"/>
      <c r="O323" s="37"/>
      <c r="P323" s="17">
        <f t="shared" si="1"/>
        <v>0</v>
      </c>
      <c r="AQ323" s="36"/>
    </row>
    <row r="324">
      <c r="B324" s="36"/>
      <c r="G324" s="37"/>
      <c r="J324" s="36"/>
      <c r="O324" s="37"/>
      <c r="P324" s="17">
        <f t="shared" si="1"/>
        <v>0</v>
      </c>
      <c r="AQ324" s="36"/>
    </row>
    <row r="325">
      <c r="B325" s="36"/>
      <c r="G325" s="37"/>
      <c r="J325" s="36"/>
      <c r="O325" s="37"/>
      <c r="P325" s="17">
        <f t="shared" si="1"/>
        <v>0</v>
      </c>
      <c r="AQ325" s="36"/>
    </row>
    <row r="326">
      <c r="B326" s="36"/>
      <c r="G326" s="37"/>
      <c r="J326" s="36"/>
      <c r="O326" s="37"/>
      <c r="P326" s="17">
        <f t="shared" si="1"/>
        <v>0</v>
      </c>
      <c r="AQ326" s="36"/>
    </row>
    <row r="327">
      <c r="B327" s="36"/>
      <c r="G327" s="37"/>
      <c r="J327" s="36"/>
      <c r="O327" s="37"/>
      <c r="P327" s="17">
        <f t="shared" si="1"/>
        <v>0</v>
      </c>
      <c r="AQ327" s="36"/>
    </row>
    <row r="328">
      <c r="B328" s="36"/>
      <c r="G328" s="37"/>
      <c r="J328" s="36"/>
      <c r="O328" s="37"/>
      <c r="P328" s="17">
        <f t="shared" si="1"/>
        <v>0</v>
      </c>
      <c r="AQ328" s="36"/>
    </row>
    <row r="329">
      <c r="B329" s="36"/>
      <c r="G329" s="37"/>
      <c r="J329" s="36"/>
      <c r="O329" s="37"/>
      <c r="P329" s="17">
        <f t="shared" si="1"/>
        <v>0</v>
      </c>
      <c r="AQ329" s="36"/>
    </row>
    <row r="330">
      <c r="B330" s="36"/>
      <c r="G330" s="37"/>
      <c r="J330" s="36"/>
      <c r="O330" s="37"/>
      <c r="P330" s="17">
        <f t="shared" si="1"/>
        <v>0</v>
      </c>
      <c r="AQ330" s="36"/>
    </row>
    <row r="331">
      <c r="B331" s="36"/>
      <c r="G331" s="37"/>
      <c r="J331" s="36"/>
      <c r="O331" s="37"/>
      <c r="P331" s="17">
        <f t="shared" si="1"/>
        <v>0</v>
      </c>
      <c r="AQ331" s="36"/>
    </row>
    <row r="332">
      <c r="B332" s="36"/>
      <c r="G332" s="37"/>
      <c r="J332" s="36"/>
      <c r="O332" s="37"/>
      <c r="P332" s="17">
        <f t="shared" si="1"/>
        <v>0</v>
      </c>
      <c r="AQ332" s="36"/>
    </row>
    <row r="333">
      <c r="B333" s="36"/>
      <c r="G333" s="37"/>
      <c r="J333" s="36"/>
      <c r="O333" s="37"/>
      <c r="P333" s="17">
        <f t="shared" si="1"/>
        <v>0</v>
      </c>
      <c r="AQ333" s="36"/>
    </row>
    <row r="334">
      <c r="B334" s="36"/>
      <c r="G334" s="37"/>
      <c r="J334" s="36"/>
      <c r="O334" s="37"/>
      <c r="P334" s="17">
        <f t="shared" si="1"/>
        <v>0</v>
      </c>
      <c r="AQ334" s="36"/>
    </row>
    <row r="335">
      <c r="B335" s="36"/>
      <c r="G335" s="37"/>
      <c r="J335" s="36"/>
      <c r="O335" s="37"/>
      <c r="P335" s="17">
        <f t="shared" si="1"/>
        <v>0</v>
      </c>
      <c r="AQ335" s="36"/>
    </row>
    <row r="336">
      <c r="B336" s="36"/>
      <c r="G336" s="37"/>
      <c r="J336" s="36"/>
      <c r="O336" s="37"/>
      <c r="P336" s="17">
        <f t="shared" si="1"/>
        <v>0</v>
      </c>
      <c r="AQ336" s="36"/>
    </row>
    <row r="337">
      <c r="B337" s="36"/>
      <c r="G337" s="37"/>
      <c r="J337" s="36"/>
      <c r="O337" s="37"/>
      <c r="P337" s="17">
        <f t="shared" si="1"/>
        <v>0</v>
      </c>
      <c r="AQ337" s="36"/>
    </row>
    <row r="338">
      <c r="B338" s="36"/>
      <c r="G338" s="37"/>
      <c r="J338" s="36"/>
      <c r="O338" s="37"/>
      <c r="P338" s="17">
        <f t="shared" si="1"/>
        <v>0</v>
      </c>
      <c r="AQ338" s="36"/>
    </row>
    <row r="339">
      <c r="B339" s="36"/>
      <c r="G339" s="37"/>
      <c r="J339" s="36"/>
      <c r="O339" s="37"/>
      <c r="P339" s="17">
        <f t="shared" si="1"/>
        <v>0</v>
      </c>
      <c r="AQ339" s="36"/>
    </row>
    <row r="340">
      <c r="B340" s="36"/>
      <c r="G340" s="37"/>
      <c r="J340" s="36"/>
      <c r="O340" s="37"/>
      <c r="P340" s="17">
        <f t="shared" si="1"/>
        <v>0</v>
      </c>
      <c r="AQ340" s="36"/>
    </row>
    <row r="341">
      <c r="B341" s="36"/>
      <c r="G341" s="37"/>
      <c r="J341" s="36"/>
      <c r="O341" s="37"/>
      <c r="P341" s="17">
        <f t="shared" si="1"/>
        <v>0</v>
      </c>
      <c r="AQ341" s="36"/>
    </row>
    <row r="342">
      <c r="B342" s="36"/>
      <c r="G342" s="37"/>
      <c r="J342" s="36"/>
      <c r="O342" s="37"/>
      <c r="P342" s="17">
        <f t="shared" si="1"/>
        <v>0</v>
      </c>
      <c r="AQ342" s="36"/>
    </row>
    <row r="343">
      <c r="B343" s="36"/>
      <c r="G343" s="37"/>
      <c r="J343" s="36"/>
      <c r="O343" s="37"/>
      <c r="P343" s="17">
        <f t="shared" si="1"/>
        <v>0</v>
      </c>
      <c r="AQ343" s="36"/>
    </row>
    <row r="344">
      <c r="B344" s="36"/>
      <c r="G344" s="37"/>
      <c r="J344" s="36"/>
      <c r="O344" s="37"/>
      <c r="P344" s="17">
        <f t="shared" si="1"/>
        <v>0</v>
      </c>
      <c r="AQ344" s="36"/>
    </row>
    <row r="345">
      <c r="B345" s="36"/>
      <c r="G345" s="37"/>
      <c r="J345" s="36"/>
      <c r="O345" s="37"/>
      <c r="P345" s="17">
        <f t="shared" si="1"/>
        <v>0</v>
      </c>
      <c r="AQ345" s="36"/>
    </row>
    <row r="346">
      <c r="B346" s="36"/>
      <c r="G346" s="37"/>
      <c r="J346" s="36"/>
      <c r="O346" s="37"/>
      <c r="P346" s="17">
        <f t="shared" si="1"/>
        <v>0</v>
      </c>
      <c r="AQ346" s="36"/>
    </row>
    <row r="347">
      <c r="B347" s="36"/>
      <c r="G347" s="37"/>
      <c r="J347" s="36"/>
      <c r="O347" s="37"/>
      <c r="P347" s="17">
        <f t="shared" si="1"/>
        <v>0</v>
      </c>
      <c r="AQ347" s="36"/>
    </row>
    <row r="348">
      <c r="B348" s="36"/>
      <c r="G348" s="37"/>
      <c r="J348" s="36"/>
      <c r="O348" s="37"/>
      <c r="P348" s="17">
        <f t="shared" si="1"/>
        <v>0</v>
      </c>
      <c r="AQ348" s="36"/>
    </row>
    <row r="349">
      <c r="B349" s="36"/>
      <c r="G349" s="37"/>
      <c r="J349" s="36"/>
      <c r="O349" s="37"/>
      <c r="P349" s="17">
        <f t="shared" si="1"/>
        <v>0</v>
      </c>
      <c r="AQ349" s="36"/>
    </row>
    <row r="350">
      <c r="B350" s="36"/>
      <c r="G350" s="37"/>
      <c r="J350" s="36"/>
      <c r="O350" s="37"/>
      <c r="P350" s="17">
        <f t="shared" si="1"/>
        <v>0</v>
      </c>
      <c r="AQ350" s="36"/>
    </row>
    <row r="351">
      <c r="B351" s="36"/>
      <c r="G351" s="37"/>
      <c r="J351" s="36"/>
      <c r="O351" s="37"/>
      <c r="P351" s="17">
        <f t="shared" si="1"/>
        <v>0</v>
      </c>
      <c r="AQ351" s="36"/>
    </row>
    <row r="352">
      <c r="B352" s="36"/>
      <c r="G352" s="37"/>
      <c r="J352" s="36"/>
      <c r="O352" s="37"/>
      <c r="P352" s="17">
        <f t="shared" si="1"/>
        <v>0</v>
      </c>
      <c r="AQ352" s="36"/>
    </row>
    <row r="353">
      <c r="B353" s="36"/>
      <c r="G353" s="37"/>
      <c r="J353" s="36"/>
      <c r="O353" s="37"/>
      <c r="P353" s="17">
        <f t="shared" si="1"/>
        <v>0</v>
      </c>
      <c r="AQ353" s="36"/>
    </row>
    <row r="354">
      <c r="B354" s="36"/>
      <c r="G354" s="37"/>
      <c r="J354" s="36"/>
      <c r="O354" s="37"/>
      <c r="P354" s="17">
        <f t="shared" si="1"/>
        <v>0</v>
      </c>
      <c r="AQ354" s="36"/>
    </row>
    <row r="355">
      <c r="B355" s="36"/>
      <c r="G355" s="37"/>
      <c r="J355" s="36"/>
      <c r="O355" s="37"/>
      <c r="P355" s="17">
        <f t="shared" si="1"/>
        <v>0</v>
      </c>
      <c r="AQ355" s="36"/>
    </row>
    <row r="356">
      <c r="B356" s="36"/>
      <c r="G356" s="37"/>
      <c r="J356" s="36"/>
      <c r="O356" s="37"/>
      <c r="P356" s="17">
        <f t="shared" si="1"/>
        <v>0</v>
      </c>
      <c r="AQ356" s="36"/>
    </row>
    <row r="357">
      <c r="B357" s="36"/>
      <c r="G357" s="37"/>
      <c r="J357" s="36"/>
      <c r="O357" s="37"/>
      <c r="P357" s="17">
        <f t="shared" si="1"/>
        <v>0</v>
      </c>
      <c r="AQ357" s="36"/>
    </row>
    <row r="358">
      <c r="B358" s="36"/>
      <c r="G358" s="37"/>
      <c r="J358" s="36"/>
      <c r="O358" s="37"/>
      <c r="P358" s="17">
        <f t="shared" si="1"/>
        <v>0</v>
      </c>
      <c r="AQ358" s="36"/>
    </row>
    <row r="359">
      <c r="B359" s="36"/>
      <c r="G359" s="37"/>
      <c r="J359" s="36"/>
      <c r="O359" s="37"/>
      <c r="P359" s="17">
        <f t="shared" si="1"/>
        <v>0</v>
      </c>
      <c r="AQ359" s="36"/>
    </row>
    <row r="360">
      <c r="B360" s="36"/>
      <c r="G360" s="37"/>
      <c r="J360" s="36"/>
      <c r="O360" s="37"/>
      <c r="P360" s="17">
        <f t="shared" si="1"/>
        <v>0</v>
      </c>
      <c r="AQ360" s="36"/>
    </row>
    <row r="361">
      <c r="B361" s="36"/>
      <c r="G361" s="37"/>
      <c r="J361" s="36"/>
      <c r="O361" s="37"/>
      <c r="P361" s="17">
        <f t="shared" si="1"/>
        <v>0</v>
      </c>
      <c r="AQ361" s="36"/>
    </row>
    <row r="362">
      <c r="B362" s="36"/>
      <c r="G362" s="37"/>
      <c r="J362" s="36"/>
      <c r="O362" s="37"/>
      <c r="P362" s="17">
        <f t="shared" si="1"/>
        <v>0</v>
      </c>
      <c r="AQ362" s="36"/>
    </row>
    <row r="363">
      <c r="B363" s="36"/>
      <c r="G363" s="37"/>
      <c r="J363" s="36"/>
      <c r="O363" s="37"/>
      <c r="P363" s="17">
        <f t="shared" si="1"/>
        <v>0</v>
      </c>
      <c r="AQ363" s="36"/>
    </row>
    <row r="364">
      <c r="B364" s="36"/>
      <c r="G364" s="37"/>
      <c r="J364" s="36"/>
      <c r="O364" s="37"/>
      <c r="P364" s="17">
        <f t="shared" si="1"/>
        <v>0</v>
      </c>
      <c r="AQ364" s="36"/>
    </row>
    <row r="365">
      <c r="B365" s="36"/>
      <c r="G365" s="37"/>
      <c r="J365" s="36"/>
      <c r="O365" s="37"/>
      <c r="P365" s="17">
        <f t="shared" si="1"/>
        <v>0</v>
      </c>
      <c r="AQ365" s="36"/>
    </row>
    <row r="366">
      <c r="B366" s="36"/>
      <c r="G366" s="37"/>
      <c r="J366" s="36"/>
      <c r="O366" s="37"/>
      <c r="P366" s="17">
        <f t="shared" si="1"/>
        <v>0</v>
      </c>
      <c r="AQ366" s="36"/>
    </row>
    <row r="367">
      <c r="B367" s="36"/>
      <c r="G367" s="37"/>
      <c r="J367" s="36"/>
      <c r="O367" s="37"/>
      <c r="P367" s="17">
        <f t="shared" si="1"/>
        <v>0</v>
      </c>
      <c r="AQ367" s="36"/>
    </row>
    <row r="368">
      <c r="B368" s="36"/>
      <c r="G368" s="37"/>
      <c r="J368" s="36"/>
      <c r="O368" s="37"/>
      <c r="P368" s="17">
        <f t="shared" si="1"/>
        <v>0</v>
      </c>
      <c r="AQ368" s="36"/>
    </row>
    <row r="369">
      <c r="B369" s="36"/>
      <c r="G369" s="37"/>
      <c r="J369" s="36"/>
      <c r="O369" s="37"/>
      <c r="P369" s="17">
        <f t="shared" si="1"/>
        <v>0</v>
      </c>
      <c r="AQ369" s="36"/>
    </row>
    <row r="370">
      <c r="B370" s="36"/>
      <c r="G370" s="37"/>
      <c r="J370" s="36"/>
      <c r="O370" s="37"/>
      <c r="P370" s="17">
        <f t="shared" si="1"/>
        <v>0</v>
      </c>
      <c r="AQ370" s="36"/>
    </row>
    <row r="371">
      <c r="B371" s="36"/>
      <c r="G371" s="37"/>
      <c r="J371" s="36"/>
      <c r="O371" s="37"/>
      <c r="P371" s="17">
        <f t="shared" si="1"/>
        <v>0</v>
      </c>
      <c r="AQ371" s="36"/>
    </row>
    <row r="372">
      <c r="B372" s="36"/>
      <c r="G372" s="37"/>
      <c r="J372" s="36"/>
      <c r="O372" s="37"/>
      <c r="P372" s="17">
        <f t="shared" si="1"/>
        <v>0</v>
      </c>
      <c r="AQ372" s="36"/>
    </row>
    <row r="373">
      <c r="B373" s="36"/>
      <c r="G373" s="37"/>
      <c r="J373" s="36"/>
      <c r="O373" s="37"/>
      <c r="P373" s="17">
        <f t="shared" si="1"/>
        <v>0</v>
      </c>
      <c r="AQ373" s="36"/>
    </row>
    <row r="374">
      <c r="B374" s="36"/>
      <c r="G374" s="37"/>
      <c r="J374" s="36"/>
      <c r="O374" s="37"/>
      <c r="P374" s="17">
        <f t="shared" si="1"/>
        <v>0</v>
      </c>
      <c r="AQ374" s="36"/>
    </row>
    <row r="375">
      <c r="B375" s="36"/>
      <c r="G375" s="37"/>
      <c r="J375" s="36"/>
      <c r="O375" s="37"/>
      <c r="P375" s="17">
        <f t="shared" si="1"/>
        <v>0</v>
      </c>
      <c r="AQ375" s="36"/>
    </row>
    <row r="376">
      <c r="B376" s="36"/>
      <c r="G376" s="37"/>
      <c r="J376" s="36"/>
      <c r="O376" s="37"/>
      <c r="P376" s="17">
        <f t="shared" si="1"/>
        <v>0</v>
      </c>
      <c r="AQ376" s="36"/>
    </row>
    <row r="377">
      <c r="B377" s="36"/>
      <c r="G377" s="37"/>
      <c r="J377" s="36"/>
      <c r="O377" s="37"/>
      <c r="P377" s="17">
        <f t="shared" si="1"/>
        <v>0</v>
      </c>
      <c r="AQ377" s="36"/>
    </row>
    <row r="378">
      <c r="B378" s="36"/>
      <c r="G378" s="37"/>
      <c r="J378" s="36"/>
      <c r="O378" s="37"/>
      <c r="P378" s="17">
        <f t="shared" si="1"/>
        <v>0</v>
      </c>
      <c r="AQ378" s="36"/>
    </row>
    <row r="379">
      <c r="B379" s="36"/>
      <c r="G379" s="37"/>
      <c r="J379" s="36"/>
      <c r="O379" s="37"/>
      <c r="P379" s="17">
        <f t="shared" si="1"/>
        <v>0</v>
      </c>
      <c r="AQ379" s="36"/>
    </row>
    <row r="380">
      <c r="B380" s="36"/>
      <c r="G380" s="37"/>
      <c r="J380" s="36"/>
      <c r="O380" s="37"/>
      <c r="P380" s="17">
        <f t="shared" si="1"/>
        <v>0</v>
      </c>
      <c r="AQ380" s="36"/>
    </row>
    <row r="381">
      <c r="B381" s="36"/>
      <c r="G381" s="37"/>
      <c r="J381" s="36"/>
      <c r="O381" s="37"/>
      <c r="P381" s="17">
        <f t="shared" si="1"/>
        <v>0</v>
      </c>
      <c r="AQ381" s="36"/>
    </row>
    <row r="382">
      <c r="B382" s="36"/>
      <c r="G382" s="37"/>
      <c r="J382" s="36"/>
      <c r="O382" s="37"/>
      <c r="P382" s="17">
        <f t="shared" si="1"/>
        <v>0</v>
      </c>
      <c r="AQ382" s="36"/>
    </row>
    <row r="383">
      <c r="B383" s="36"/>
      <c r="G383" s="37"/>
      <c r="J383" s="36"/>
      <c r="O383" s="37"/>
      <c r="P383" s="17">
        <f t="shared" si="1"/>
        <v>0</v>
      </c>
      <c r="AQ383" s="36"/>
    </row>
    <row r="384">
      <c r="B384" s="36"/>
      <c r="G384" s="37"/>
      <c r="J384" s="36"/>
      <c r="O384" s="37"/>
      <c r="P384" s="17">
        <f t="shared" si="1"/>
        <v>0</v>
      </c>
      <c r="AQ384" s="36"/>
    </row>
    <row r="385">
      <c r="B385" s="36"/>
      <c r="G385" s="37"/>
      <c r="J385" s="36"/>
      <c r="O385" s="37"/>
      <c r="P385" s="17">
        <f t="shared" si="1"/>
        <v>0</v>
      </c>
      <c r="AQ385" s="36"/>
    </row>
    <row r="386">
      <c r="B386" s="36"/>
      <c r="G386" s="37"/>
      <c r="J386" s="36"/>
      <c r="O386" s="37"/>
      <c r="P386" s="17">
        <f t="shared" si="1"/>
        <v>0</v>
      </c>
      <c r="AQ386" s="36"/>
    </row>
    <row r="387">
      <c r="B387" s="36"/>
      <c r="G387" s="37"/>
      <c r="J387" s="36"/>
      <c r="O387" s="37"/>
      <c r="P387" s="17">
        <f t="shared" si="1"/>
        <v>0</v>
      </c>
      <c r="AQ387" s="36"/>
    </row>
    <row r="388">
      <c r="B388" s="36"/>
      <c r="G388" s="37"/>
      <c r="J388" s="36"/>
      <c r="O388" s="37"/>
      <c r="P388" s="17">
        <f t="shared" si="1"/>
        <v>0</v>
      </c>
      <c r="AQ388" s="36"/>
    </row>
    <row r="389">
      <c r="B389" s="36"/>
      <c r="G389" s="37"/>
      <c r="J389" s="36"/>
      <c r="O389" s="37"/>
      <c r="P389" s="17">
        <f t="shared" si="1"/>
        <v>0</v>
      </c>
      <c r="AQ389" s="36"/>
    </row>
    <row r="390">
      <c r="B390" s="36"/>
      <c r="G390" s="37"/>
      <c r="J390" s="36"/>
      <c r="O390" s="37"/>
      <c r="P390" s="17">
        <f t="shared" si="1"/>
        <v>0</v>
      </c>
      <c r="AQ390" s="36"/>
    </row>
    <row r="391">
      <c r="B391" s="36"/>
      <c r="G391" s="37"/>
      <c r="J391" s="36"/>
      <c r="O391" s="37"/>
      <c r="P391" s="17">
        <f t="shared" si="1"/>
        <v>0</v>
      </c>
      <c r="AQ391" s="36"/>
    </row>
    <row r="392">
      <c r="B392" s="36"/>
      <c r="G392" s="37"/>
      <c r="J392" s="36"/>
      <c r="O392" s="37"/>
      <c r="P392" s="17">
        <f t="shared" si="1"/>
        <v>0</v>
      </c>
      <c r="AQ392" s="36"/>
    </row>
    <row r="393">
      <c r="B393" s="36"/>
      <c r="G393" s="37"/>
      <c r="J393" s="36"/>
      <c r="O393" s="37"/>
      <c r="P393" s="17">
        <f t="shared" si="1"/>
        <v>0</v>
      </c>
      <c r="AQ393" s="36"/>
    </row>
    <row r="394">
      <c r="B394" s="36"/>
      <c r="G394" s="37"/>
      <c r="J394" s="36"/>
      <c r="O394" s="37"/>
      <c r="P394" s="17">
        <f t="shared" si="1"/>
        <v>0</v>
      </c>
      <c r="AQ394" s="36"/>
    </row>
    <row r="395">
      <c r="B395" s="36"/>
      <c r="G395" s="37"/>
      <c r="J395" s="36"/>
      <c r="O395" s="37"/>
      <c r="P395" s="17">
        <f t="shared" si="1"/>
        <v>0</v>
      </c>
      <c r="AQ395" s="36"/>
    </row>
    <row r="396">
      <c r="B396" s="36"/>
      <c r="G396" s="37"/>
      <c r="J396" s="36"/>
      <c r="O396" s="37"/>
      <c r="P396" s="17">
        <f t="shared" si="1"/>
        <v>0</v>
      </c>
      <c r="AQ396" s="36"/>
    </row>
    <row r="397">
      <c r="B397" s="36"/>
      <c r="G397" s="37"/>
      <c r="J397" s="36"/>
      <c r="O397" s="37"/>
      <c r="P397" s="17">
        <f t="shared" si="1"/>
        <v>0</v>
      </c>
      <c r="AQ397" s="36"/>
    </row>
    <row r="398">
      <c r="B398" s="36"/>
      <c r="G398" s="37"/>
      <c r="J398" s="36"/>
      <c r="O398" s="37"/>
      <c r="P398" s="17">
        <f t="shared" si="1"/>
        <v>0</v>
      </c>
      <c r="AQ398" s="36"/>
    </row>
    <row r="399">
      <c r="B399" s="36"/>
      <c r="G399" s="37"/>
      <c r="J399" s="36"/>
      <c r="O399" s="37"/>
      <c r="P399" s="17">
        <f t="shared" si="1"/>
        <v>0</v>
      </c>
      <c r="AQ399" s="36"/>
    </row>
    <row r="400">
      <c r="B400" s="36"/>
      <c r="G400" s="37"/>
      <c r="J400" s="36"/>
      <c r="O400" s="37"/>
      <c r="P400" s="17">
        <f t="shared" si="1"/>
        <v>0</v>
      </c>
      <c r="AQ400" s="36"/>
    </row>
    <row r="401">
      <c r="B401" s="36"/>
      <c r="G401" s="37"/>
      <c r="J401" s="36"/>
      <c r="O401" s="37"/>
      <c r="P401" s="17">
        <f t="shared" si="1"/>
        <v>0</v>
      </c>
      <c r="AQ401" s="36"/>
    </row>
    <row r="402">
      <c r="B402" s="36"/>
      <c r="G402" s="37"/>
      <c r="J402" s="36"/>
      <c r="O402" s="37"/>
      <c r="P402" s="17">
        <f t="shared" si="1"/>
        <v>0</v>
      </c>
      <c r="AQ402" s="36"/>
    </row>
    <row r="403">
      <c r="B403" s="36"/>
      <c r="G403" s="37"/>
      <c r="J403" s="36"/>
      <c r="O403" s="37"/>
      <c r="P403" s="17">
        <f t="shared" si="1"/>
        <v>0</v>
      </c>
      <c r="AQ403" s="36"/>
    </row>
    <row r="404">
      <c r="B404" s="36"/>
      <c r="G404" s="37"/>
      <c r="J404" s="36"/>
      <c r="O404" s="37"/>
      <c r="P404" s="17">
        <f t="shared" si="1"/>
        <v>0</v>
      </c>
      <c r="AQ404" s="36"/>
    </row>
    <row r="405">
      <c r="B405" s="36"/>
      <c r="G405" s="37"/>
      <c r="J405" s="36"/>
      <c r="O405" s="37"/>
      <c r="P405" s="17">
        <f t="shared" si="1"/>
        <v>0</v>
      </c>
      <c r="AQ405" s="36"/>
    </row>
    <row r="406">
      <c r="B406" s="36"/>
      <c r="G406" s="37"/>
      <c r="J406" s="36"/>
      <c r="O406" s="37"/>
      <c r="P406" s="17">
        <f t="shared" si="1"/>
        <v>0</v>
      </c>
      <c r="AQ406" s="36"/>
    </row>
    <row r="407">
      <c r="B407" s="36"/>
      <c r="G407" s="37"/>
      <c r="J407" s="36"/>
      <c r="O407" s="37"/>
      <c r="P407" s="17">
        <f t="shared" si="1"/>
        <v>0</v>
      </c>
      <c r="AQ407" s="36"/>
    </row>
    <row r="408">
      <c r="B408" s="36"/>
      <c r="G408" s="37"/>
      <c r="J408" s="36"/>
      <c r="O408" s="37"/>
      <c r="P408" s="17">
        <f t="shared" si="1"/>
        <v>0</v>
      </c>
      <c r="AQ408" s="36"/>
    </row>
    <row r="409">
      <c r="B409" s="36"/>
      <c r="G409" s="37"/>
      <c r="J409" s="36"/>
      <c r="O409" s="37"/>
      <c r="P409" s="17">
        <f t="shared" si="1"/>
        <v>0</v>
      </c>
      <c r="AQ409" s="36"/>
    </row>
    <row r="410">
      <c r="B410" s="36"/>
      <c r="G410" s="37"/>
      <c r="J410" s="36"/>
      <c r="O410" s="37"/>
      <c r="P410" s="17">
        <f t="shared" si="1"/>
        <v>0</v>
      </c>
      <c r="AQ410" s="36"/>
    </row>
    <row r="411">
      <c r="B411" s="36"/>
      <c r="G411" s="37"/>
      <c r="J411" s="36"/>
      <c r="O411" s="37"/>
      <c r="P411" s="17">
        <f t="shared" si="1"/>
        <v>0</v>
      </c>
      <c r="AQ411" s="36"/>
    </row>
    <row r="412">
      <c r="B412" s="36"/>
      <c r="G412" s="37"/>
      <c r="J412" s="36"/>
      <c r="O412" s="37"/>
      <c r="P412" s="17">
        <f t="shared" si="1"/>
        <v>0</v>
      </c>
      <c r="AQ412" s="36"/>
    </row>
    <row r="413">
      <c r="B413" s="36"/>
      <c r="G413" s="37"/>
      <c r="J413" s="36"/>
      <c r="O413" s="37"/>
      <c r="P413" s="17">
        <f t="shared" si="1"/>
        <v>0</v>
      </c>
      <c r="AQ413" s="36"/>
    </row>
    <row r="414">
      <c r="B414" s="36"/>
      <c r="G414" s="37"/>
      <c r="J414" s="36"/>
      <c r="O414" s="37"/>
      <c r="P414" s="17">
        <f t="shared" si="1"/>
        <v>0</v>
      </c>
      <c r="AQ414" s="36"/>
    </row>
    <row r="415">
      <c r="B415" s="36"/>
      <c r="G415" s="37"/>
      <c r="J415" s="36"/>
      <c r="O415" s="37"/>
      <c r="P415" s="17">
        <f t="shared" si="1"/>
        <v>0</v>
      </c>
      <c r="AQ415" s="36"/>
    </row>
    <row r="416">
      <c r="B416" s="36"/>
      <c r="G416" s="37"/>
      <c r="J416" s="36"/>
      <c r="O416" s="37"/>
      <c r="P416" s="17">
        <f t="shared" si="1"/>
        <v>0</v>
      </c>
      <c r="AQ416" s="36"/>
    </row>
    <row r="417">
      <c r="B417" s="36"/>
      <c r="G417" s="37"/>
      <c r="J417" s="36"/>
      <c r="O417" s="37"/>
      <c r="P417" s="17">
        <f t="shared" si="1"/>
        <v>0</v>
      </c>
      <c r="AQ417" s="36"/>
    </row>
    <row r="418">
      <c r="B418" s="36"/>
      <c r="G418" s="37"/>
      <c r="J418" s="36"/>
      <c r="O418" s="37"/>
      <c r="P418" s="17">
        <f t="shared" si="1"/>
        <v>0</v>
      </c>
      <c r="AQ418" s="36"/>
    </row>
    <row r="419">
      <c r="B419" s="36"/>
      <c r="G419" s="37"/>
      <c r="J419" s="36"/>
      <c r="O419" s="37"/>
      <c r="P419" s="17">
        <f t="shared" si="1"/>
        <v>0</v>
      </c>
      <c r="AQ419" s="36"/>
    </row>
    <row r="420">
      <c r="B420" s="36"/>
      <c r="G420" s="37"/>
      <c r="J420" s="36"/>
      <c r="O420" s="37"/>
      <c r="P420" s="17">
        <f t="shared" si="1"/>
        <v>0</v>
      </c>
      <c r="AQ420" s="36"/>
    </row>
    <row r="421">
      <c r="B421" s="36"/>
      <c r="G421" s="37"/>
      <c r="J421" s="36"/>
      <c r="O421" s="37"/>
      <c r="P421" s="17">
        <f t="shared" si="1"/>
        <v>0</v>
      </c>
      <c r="AQ421" s="36"/>
    </row>
    <row r="422">
      <c r="B422" s="36"/>
      <c r="G422" s="37"/>
      <c r="J422" s="36"/>
      <c r="O422" s="37"/>
      <c r="P422" s="17">
        <f t="shared" si="1"/>
        <v>0</v>
      </c>
      <c r="AQ422" s="36"/>
    </row>
    <row r="423">
      <c r="B423" s="36"/>
      <c r="G423" s="37"/>
      <c r="J423" s="36"/>
      <c r="O423" s="37"/>
      <c r="P423" s="17">
        <f t="shared" si="1"/>
        <v>0</v>
      </c>
      <c r="AQ423" s="36"/>
    </row>
    <row r="424">
      <c r="B424" s="36"/>
      <c r="G424" s="37"/>
      <c r="J424" s="36"/>
      <c r="O424" s="37"/>
      <c r="P424" s="17">
        <f t="shared" si="1"/>
        <v>0</v>
      </c>
      <c r="AQ424" s="36"/>
    </row>
    <row r="425">
      <c r="B425" s="36"/>
      <c r="G425" s="37"/>
      <c r="J425" s="36"/>
      <c r="O425" s="37"/>
      <c r="P425" s="17">
        <f t="shared" si="1"/>
        <v>0</v>
      </c>
      <c r="AQ425" s="36"/>
    </row>
    <row r="426">
      <c r="B426" s="36"/>
      <c r="G426" s="37"/>
      <c r="J426" s="36"/>
      <c r="O426" s="37"/>
      <c r="P426" s="17">
        <f t="shared" si="1"/>
        <v>0</v>
      </c>
      <c r="AQ426" s="36"/>
    </row>
    <row r="427">
      <c r="B427" s="36"/>
      <c r="G427" s="37"/>
      <c r="J427" s="36"/>
      <c r="O427" s="37"/>
      <c r="P427" s="17">
        <f t="shared" si="1"/>
        <v>0</v>
      </c>
      <c r="AQ427" s="36"/>
    </row>
    <row r="428">
      <c r="B428" s="36"/>
      <c r="G428" s="37"/>
      <c r="J428" s="36"/>
      <c r="O428" s="37"/>
      <c r="P428" s="17">
        <f t="shared" si="1"/>
        <v>0</v>
      </c>
      <c r="AQ428" s="36"/>
    </row>
    <row r="429">
      <c r="B429" s="36"/>
      <c r="G429" s="37"/>
      <c r="J429" s="36"/>
      <c r="O429" s="37"/>
      <c r="P429" s="17">
        <f t="shared" si="1"/>
        <v>0</v>
      </c>
      <c r="AQ429" s="36"/>
    </row>
    <row r="430">
      <c r="B430" s="36"/>
      <c r="G430" s="37"/>
      <c r="J430" s="36"/>
      <c r="O430" s="37"/>
      <c r="P430" s="17">
        <f t="shared" si="1"/>
        <v>0</v>
      </c>
      <c r="AQ430" s="36"/>
    </row>
    <row r="431">
      <c r="B431" s="36"/>
      <c r="G431" s="37"/>
      <c r="J431" s="36"/>
      <c r="O431" s="37"/>
      <c r="P431" s="17">
        <f t="shared" si="1"/>
        <v>0</v>
      </c>
      <c r="AQ431" s="36"/>
    </row>
    <row r="432">
      <c r="B432" s="36"/>
      <c r="G432" s="37"/>
      <c r="J432" s="36"/>
      <c r="O432" s="37"/>
      <c r="P432" s="17">
        <f t="shared" si="1"/>
        <v>0</v>
      </c>
      <c r="AQ432" s="36"/>
    </row>
    <row r="433">
      <c r="B433" s="36"/>
      <c r="G433" s="37"/>
      <c r="J433" s="36"/>
      <c r="O433" s="37"/>
      <c r="P433" s="17">
        <f t="shared" si="1"/>
        <v>0</v>
      </c>
      <c r="AQ433" s="36"/>
    </row>
    <row r="434">
      <c r="B434" s="36"/>
      <c r="G434" s="37"/>
      <c r="J434" s="36"/>
      <c r="O434" s="37"/>
      <c r="P434" s="17">
        <f t="shared" si="1"/>
        <v>0</v>
      </c>
      <c r="AQ434" s="36"/>
    </row>
    <row r="435">
      <c r="B435" s="36"/>
      <c r="G435" s="37"/>
      <c r="J435" s="36"/>
      <c r="O435" s="37"/>
      <c r="P435" s="17">
        <f t="shared" si="1"/>
        <v>0</v>
      </c>
      <c r="AQ435" s="36"/>
    </row>
    <row r="436">
      <c r="B436" s="36"/>
      <c r="G436" s="37"/>
      <c r="J436" s="36"/>
      <c r="O436" s="37"/>
      <c r="P436" s="17">
        <f t="shared" si="1"/>
        <v>0</v>
      </c>
      <c r="AQ436" s="36"/>
    </row>
    <row r="437">
      <c r="B437" s="36"/>
      <c r="G437" s="37"/>
      <c r="J437" s="36"/>
      <c r="O437" s="37"/>
      <c r="P437" s="17">
        <f t="shared" si="1"/>
        <v>0</v>
      </c>
      <c r="AQ437" s="36"/>
    </row>
    <row r="438">
      <c r="B438" s="36"/>
      <c r="G438" s="37"/>
      <c r="J438" s="36"/>
      <c r="O438" s="37"/>
      <c r="P438" s="17">
        <f t="shared" si="1"/>
        <v>0</v>
      </c>
      <c r="AQ438" s="36"/>
    </row>
    <row r="439">
      <c r="B439" s="36"/>
      <c r="G439" s="37"/>
      <c r="J439" s="36"/>
      <c r="O439" s="37"/>
      <c r="P439" s="17">
        <f t="shared" si="1"/>
        <v>0</v>
      </c>
      <c r="AQ439" s="36"/>
    </row>
    <row r="440">
      <c r="B440" s="36"/>
      <c r="G440" s="37"/>
      <c r="J440" s="36"/>
      <c r="O440" s="37"/>
      <c r="P440" s="17">
        <f t="shared" si="1"/>
        <v>0</v>
      </c>
      <c r="AQ440" s="36"/>
    </row>
    <row r="441">
      <c r="B441" s="36"/>
      <c r="G441" s="37"/>
      <c r="J441" s="36"/>
      <c r="O441" s="37"/>
      <c r="P441" s="17">
        <f t="shared" si="1"/>
        <v>0</v>
      </c>
      <c r="AQ441" s="36"/>
    </row>
    <row r="442">
      <c r="B442" s="36"/>
      <c r="G442" s="37"/>
      <c r="J442" s="36"/>
      <c r="O442" s="37"/>
      <c r="P442" s="17">
        <f t="shared" si="1"/>
        <v>0</v>
      </c>
      <c r="AQ442" s="36"/>
    </row>
    <row r="443">
      <c r="B443" s="36"/>
      <c r="G443" s="37"/>
      <c r="J443" s="36"/>
      <c r="O443" s="37"/>
      <c r="P443" s="17">
        <f t="shared" si="1"/>
        <v>0</v>
      </c>
      <c r="AQ443" s="36"/>
    </row>
    <row r="444">
      <c r="B444" s="36"/>
      <c r="G444" s="37"/>
      <c r="J444" s="36"/>
      <c r="O444" s="37"/>
      <c r="P444" s="17">
        <f t="shared" si="1"/>
        <v>0</v>
      </c>
      <c r="AQ444" s="36"/>
    </row>
    <row r="445">
      <c r="B445" s="36"/>
      <c r="G445" s="37"/>
      <c r="J445" s="36"/>
      <c r="O445" s="37"/>
      <c r="P445" s="17">
        <f t="shared" si="1"/>
        <v>0</v>
      </c>
      <c r="AQ445" s="36"/>
    </row>
    <row r="446">
      <c r="B446" s="36"/>
      <c r="G446" s="37"/>
      <c r="J446" s="36"/>
      <c r="O446" s="37"/>
      <c r="P446" s="17">
        <f t="shared" si="1"/>
        <v>0</v>
      </c>
      <c r="AQ446" s="36"/>
    </row>
    <row r="447">
      <c r="B447" s="36"/>
      <c r="G447" s="37"/>
      <c r="J447" s="36"/>
      <c r="O447" s="37"/>
      <c r="P447" s="17">
        <f t="shared" si="1"/>
        <v>0</v>
      </c>
      <c r="AQ447" s="36"/>
    </row>
    <row r="448">
      <c r="B448" s="36"/>
      <c r="G448" s="37"/>
      <c r="J448" s="36"/>
      <c r="O448" s="37"/>
      <c r="P448" s="17">
        <f t="shared" si="1"/>
        <v>0</v>
      </c>
      <c r="AQ448" s="36"/>
    </row>
    <row r="449">
      <c r="B449" s="36"/>
      <c r="G449" s="37"/>
      <c r="J449" s="36"/>
      <c r="O449" s="37"/>
      <c r="P449" s="17">
        <f t="shared" si="1"/>
        <v>0</v>
      </c>
      <c r="AQ449" s="36"/>
    </row>
    <row r="450">
      <c r="B450" s="36"/>
      <c r="G450" s="37"/>
      <c r="J450" s="36"/>
      <c r="O450" s="37"/>
      <c r="P450" s="17">
        <f t="shared" si="1"/>
        <v>0</v>
      </c>
      <c r="AQ450" s="36"/>
    </row>
    <row r="451">
      <c r="B451" s="36"/>
      <c r="G451" s="37"/>
      <c r="J451" s="36"/>
      <c r="O451" s="37"/>
      <c r="P451" s="17">
        <f t="shared" si="1"/>
        <v>0</v>
      </c>
      <c r="AQ451" s="36"/>
    </row>
    <row r="452">
      <c r="B452" s="36"/>
      <c r="G452" s="37"/>
      <c r="J452" s="36"/>
      <c r="O452" s="37"/>
      <c r="P452" s="17">
        <f t="shared" si="1"/>
        <v>0</v>
      </c>
      <c r="AQ452" s="36"/>
    </row>
    <row r="453">
      <c r="B453" s="36"/>
      <c r="G453" s="37"/>
      <c r="J453" s="36"/>
      <c r="O453" s="37"/>
      <c r="P453" s="17">
        <f t="shared" si="1"/>
        <v>0</v>
      </c>
      <c r="AQ453" s="36"/>
    </row>
    <row r="454">
      <c r="B454" s="36"/>
      <c r="G454" s="37"/>
      <c r="J454" s="36"/>
      <c r="O454" s="37"/>
      <c r="P454" s="17">
        <f t="shared" si="1"/>
        <v>0</v>
      </c>
      <c r="AQ454" s="36"/>
    </row>
    <row r="455">
      <c r="B455" s="36"/>
      <c r="G455" s="37"/>
      <c r="J455" s="36"/>
      <c r="O455" s="37"/>
      <c r="P455" s="17">
        <f t="shared" si="1"/>
        <v>0</v>
      </c>
      <c r="AQ455" s="36"/>
    </row>
    <row r="456">
      <c r="B456" s="36"/>
      <c r="G456" s="37"/>
      <c r="J456" s="36"/>
      <c r="O456" s="37"/>
      <c r="P456" s="17">
        <f t="shared" si="1"/>
        <v>0</v>
      </c>
      <c r="AQ456" s="36"/>
    </row>
    <row r="457">
      <c r="B457" s="36"/>
      <c r="G457" s="37"/>
      <c r="J457" s="36"/>
      <c r="O457" s="37"/>
      <c r="P457" s="17">
        <f t="shared" si="1"/>
        <v>0</v>
      </c>
      <c r="AQ457" s="36"/>
    </row>
    <row r="458">
      <c r="B458" s="36"/>
      <c r="G458" s="37"/>
      <c r="J458" s="36"/>
      <c r="O458" s="37"/>
      <c r="P458" s="17">
        <f t="shared" si="1"/>
        <v>0</v>
      </c>
      <c r="AQ458" s="36"/>
    </row>
    <row r="459">
      <c r="B459" s="36"/>
      <c r="G459" s="37"/>
      <c r="J459" s="36"/>
      <c r="O459" s="37"/>
      <c r="P459" s="17">
        <f t="shared" si="1"/>
        <v>0</v>
      </c>
      <c r="AQ459" s="36"/>
    </row>
    <row r="460">
      <c r="B460" s="36"/>
      <c r="G460" s="37"/>
      <c r="J460" s="36"/>
      <c r="O460" s="37"/>
      <c r="P460" s="17">
        <f t="shared" si="1"/>
        <v>0</v>
      </c>
      <c r="AQ460" s="36"/>
    </row>
    <row r="461">
      <c r="B461" s="36"/>
      <c r="G461" s="37"/>
      <c r="J461" s="36"/>
      <c r="O461" s="37"/>
      <c r="P461" s="17">
        <f t="shared" si="1"/>
        <v>0</v>
      </c>
      <c r="AQ461" s="36"/>
    </row>
    <row r="462">
      <c r="B462" s="36"/>
      <c r="G462" s="37"/>
      <c r="J462" s="36"/>
      <c r="O462" s="37"/>
      <c r="P462" s="17">
        <f t="shared" si="1"/>
        <v>0</v>
      </c>
      <c r="AQ462" s="36"/>
    </row>
    <row r="463">
      <c r="B463" s="36"/>
      <c r="G463" s="37"/>
      <c r="J463" s="36"/>
      <c r="O463" s="37"/>
      <c r="P463" s="17">
        <f t="shared" si="1"/>
        <v>0</v>
      </c>
      <c r="AQ463" s="36"/>
    </row>
    <row r="464">
      <c r="B464" s="36"/>
      <c r="G464" s="37"/>
      <c r="J464" s="36"/>
      <c r="O464" s="37"/>
      <c r="P464" s="17">
        <f t="shared" si="1"/>
        <v>0</v>
      </c>
      <c r="AQ464" s="36"/>
    </row>
    <row r="465">
      <c r="B465" s="36"/>
      <c r="G465" s="37"/>
      <c r="J465" s="36"/>
      <c r="O465" s="37"/>
      <c r="P465" s="17">
        <f t="shared" si="1"/>
        <v>0</v>
      </c>
      <c r="AQ465" s="36"/>
    </row>
    <row r="466">
      <c r="B466" s="36"/>
      <c r="G466" s="37"/>
      <c r="J466" s="36"/>
      <c r="O466" s="37"/>
      <c r="P466" s="17">
        <f t="shared" si="1"/>
        <v>0</v>
      </c>
      <c r="AQ466" s="36"/>
    </row>
    <row r="467">
      <c r="B467" s="36"/>
      <c r="G467" s="37"/>
      <c r="J467" s="36"/>
      <c r="O467" s="37"/>
      <c r="P467" s="17">
        <f t="shared" si="1"/>
        <v>0</v>
      </c>
      <c r="AQ467" s="36"/>
    </row>
    <row r="468">
      <c r="B468" s="36"/>
      <c r="G468" s="37"/>
      <c r="J468" s="36"/>
      <c r="O468" s="37"/>
      <c r="P468" s="17">
        <f t="shared" si="1"/>
        <v>0</v>
      </c>
      <c r="AQ468" s="36"/>
    </row>
    <row r="469">
      <c r="B469" s="36"/>
      <c r="G469" s="37"/>
      <c r="J469" s="36"/>
      <c r="O469" s="37"/>
      <c r="P469" s="17">
        <f t="shared" si="1"/>
        <v>0</v>
      </c>
      <c r="AQ469" s="36"/>
    </row>
    <row r="470">
      <c r="B470" s="36"/>
      <c r="G470" s="37"/>
      <c r="J470" s="36"/>
      <c r="O470" s="37"/>
      <c r="P470" s="17">
        <f t="shared" si="1"/>
        <v>0</v>
      </c>
      <c r="AQ470" s="36"/>
    </row>
    <row r="471">
      <c r="B471" s="36"/>
      <c r="G471" s="37"/>
      <c r="J471" s="36"/>
      <c r="O471" s="37"/>
      <c r="P471" s="17">
        <f t="shared" si="1"/>
        <v>0</v>
      </c>
      <c r="AQ471" s="36"/>
    </row>
    <row r="472">
      <c r="B472" s="36"/>
      <c r="G472" s="37"/>
      <c r="J472" s="36"/>
      <c r="O472" s="37"/>
      <c r="P472" s="17">
        <f t="shared" si="1"/>
        <v>0</v>
      </c>
      <c r="AQ472" s="36"/>
    </row>
    <row r="473">
      <c r="B473" s="36"/>
      <c r="G473" s="37"/>
      <c r="J473" s="36"/>
      <c r="O473" s="37"/>
      <c r="P473" s="17">
        <f t="shared" si="1"/>
        <v>0</v>
      </c>
      <c r="AQ473" s="36"/>
    </row>
    <row r="474">
      <c r="B474" s="36"/>
      <c r="G474" s="37"/>
      <c r="J474" s="36"/>
      <c r="O474" s="37"/>
      <c r="P474" s="17">
        <f t="shared" si="1"/>
        <v>0</v>
      </c>
      <c r="AQ474" s="36"/>
    </row>
    <row r="475">
      <c r="B475" s="36"/>
      <c r="G475" s="37"/>
      <c r="J475" s="36"/>
      <c r="O475" s="37"/>
      <c r="P475" s="17">
        <f t="shared" si="1"/>
        <v>0</v>
      </c>
      <c r="AQ475" s="36"/>
    </row>
    <row r="476">
      <c r="B476" s="36"/>
      <c r="G476" s="37"/>
      <c r="J476" s="36"/>
      <c r="O476" s="37"/>
      <c r="P476" s="17">
        <f t="shared" si="1"/>
        <v>0</v>
      </c>
      <c r="AQ476" s="36"/>
    </row>
    <row r="477">
      <c r="B477" s="36"/>
      <c r="G477" s="37"/>
      <c r="J477" s="36"/>
      <c r="O477" s="37"/>
      <c r="P477" s="17">
        <f t="shared" si="1"/>
        <v>0</v>
      </c>
      <c r="AQ477" s="36"/>
    </row>
    <row r="478">
      <c r="B478" s="36"/>
      <c r="G478" s="37"/>
      <c r="J478" s="36"/>
      <c r="O478" s="37"/>
      <c r="P478" s="17">
        <f t="shared" si="1"/>
        <v>0</v>
      </c>
      <c r="AQ478" s="36"/>
    </row>
    <row r="479">
      <c r="B479" s="36"/>
      <c r="G479" s="37"/>
      <c r="J479" s="36"/>
      <c r="O479" s="37"/>
      <c r="P479" s="17">
        <f t="shared" si="1"/>
        <v>0</v>
      </c>
      <c r="AQ479" s="36"/>
    </row>
    <row r="480">
      <c r="B480" s="36"/>
      <c r="G480" s="37"/>
      <c r="J480" s="36"/>
      <c r="O480" s="37"/>
      <c r="P480" s="17">
        <f t="shared" si="1"/>
        <v>0</v>
      </c>
      <c r="AQ480" s="36"/>
    </row>
    <row r="481">
      <c r="B481" s="36"/>
      <c r="G481" s="37"/>
      <c r="J481" s="36"/>
      <c r="O481" s="37"/>
      <c r="P481" s="17">
        <f t="shared" si="1"/>
        <v>0</v>
      </c>
      <c r="AQ481" s="36"/>
    </row>
    <row r="482">
      <c r="B482" s="36"/>
      <c r="G482" s="37"/>
      <c r="J482" s="36"/>
      <c r="O482" s="37"/>
      <c r="P482" s="17">
        <f t="shared" si="1"/>
        <v>0</v>
      </c>
      <c r="AQ482" s="36"/>
    </row>
    <row r="483">
      <c r="B483" s="36"/>
      <c r="G483" s="37"/>
      <c r="J483" s="36"/>
      <c r="O483" s="37"/>
      <c r="P483" s="17">
        <f t="shared" si="1"/>
        <v>0</v>
      </c>
      <c r="AQ483" s="36"/>
    </row>
    <row r="484">
      <c r="B484" s="36"/>
      <c r="G484" s="37"/>
      <c r="J484" s="36"/>
      <c r="O484" s="37"/>
      <c r="P484" s="17">
        <f t="shared" si="1"/>
        <v>0</v>
      </c>
      <c r="AQ484" s="36"/>
    </row>
    <row r="485">
      <c r="B485" s="36"/>
      <c r="G485" s="37"/>
      <c r="J485" s="36"/>
      <c r="O485" s="37"/>
      <c r="P485" s="17">
        <f t="shared" si="1"/>
        <v>0</v>
      </c>
      <c r="AQ485" s="36"/>
    </row>
    <row r="486">
      <c r="B486" s="36"/>
      <c r="G486" s="37"/>
      <c r="J486" s="36"/>
      <c r="O486" s="37"/>
      <c r="P486" s="17">
        <f t="shared" si="1"/>
        <v>0</v>
      </c>
      <c r="AQ486" s="36"/>
    </row>
    <row r="487">
      <c r="B487" s="36"/>
      <c r="G487" s="37"/>
      <c r="J487" s="36"/>
      <c r="O487" s="37"/>
      <c r="P487" s="17">
        <f t="shared" si="1"/>
        <v>0</v>
      </c>
      <c r="AQ487" s="36"/>
    </row>
    <row r="488">
      <c r="B488" s="36"/>
      <c r="G488" s="37"/>
      <c r="J488" s="36"/>
      <c r="O488" s="37"/>
      <c r="P488" s="17">
        <f t="shared" si="1"/>
        <v>0</v>
      </c>
      <c r="AQ488" s="36"/>
    </row>
    <row r="489">
      <c r="B489" s="36"/>
      <c r="G489" s="37"/>
      <c r="J489" s="36"/>
      <c r="O489" s="37"/>
      <c r="P489" s="17">
        <f t="shared" si="1"/>
        <v>0</v>
      </c>
      <c r="AQ489" s="36"/>
    </row>
    <row r="490">
      <c r="B490" s="36"/>
      <c r="G490" s="37"/>
      <c r="J490" s="36"/>
      <c r="O490" s="37"/>
      <c r="P490" s="17">
        <f t="shared" si="1"/>
        <v>0</v>
      </c>
      <c r="AQ490" s="36"/>
    </row>
    <row r="491">
      <c r="B491" s="36"/>
      <c r="G491" s="37"/>
      <c r="J491" s="36"/>
      <c r="O491" s="37"/>
      <c r="P491" s="17">
        <f t="shared" si="1"/>
        <v>0</v>
      </c>
      <c r="AQ491" s="36"/>
    </row>
    <row r="492">
      <c r="B492" s="36"/>
      <c r="G492" s="37"/>
      <c r="J492" s="36"/>
      <c r="O492" s="37"/>
      <c r="P492" s="17">
        <f t="shared" si="1"/>
        <v>0</v>
      </c>
      <c r="AQ492" s="36"/>
    </row>
    <row r="493">
      <c r="B493" s="36"/>
      <c r="G493" s="37"/>
      <c r="J493" s="36"/>
      <c r="O493" s="37"/>
      <c r="P493" s="17">
        <f t="shared" si="1"/>
        <v>0</v>
      </c>
      <c r="AQ493" s="36"/>
    </row>
    <row r="494">
      <c r="B494" s="36"/>
      <c r="G494" s="37"/>
      <c r="J494" s="36"/>
      <c r="O494" s="37"/>
      <c r="P494" s="17">
        <f t="shared" si="1"/>
        <v>0</v>
      </c>
      <c r="AQ494" s="36"/>
    </row>
    <row r="495">
      <c r="B495" s="36"/>
      <c r="G495" s="37"/>
      <c r="J495" s="36"/>
      <c r="O495" s="37"/>
      <c r="P495" s="17">
        <f t="shared" si="1"/>
        <v>0</v>
      </c>
      <c r="AQ495" s="36"/>
    </row>
    <row r="496">
      <c r="B496" s="36"/>
      <c r="G496" s="37"/>
      <c r="J496" s="36"/>
      <c r="O496" s="37"/>
      <c r="P496" s="17">
        <f t="shared" si="1"/>
        <v>0</v>
      </c>
      <c r="AQ496" s="36"/>
    </row>
    <row r="497">
      <c r="B497" s="36"/>
      <c r="G497" s="37"/>
      <c r="J497" s="36"/>
      <c r="O497" s="37"/>
      <c r="P497" s="17">
        <f t="shared" si="1"/>
        <v>0</v>
      </c>
      <c r="AQ497" s="36"/>
    </row>
    <row r="498">
      <c r="B498" s="36"/>
      <c r="G498" s="37"/>
      <c r="J498" s="36"/>
      <c r="O498" s="37"/>
      <c r="P498" s="17">
        <f t="shared" si="1"/>
        <v>0</v>
      </c>
      <c r="AQ498" s="36"/>
    </row>
    <row r="499">
      <c r="B499" s="36"/>
      <c r="G499" s="37"/>
      <c r="J499" s="36"/>
      <c r="O499" s="37"/>
      <c r="P499" s="17">
        <f t="shared" si="1"/>
        <v>0</v>
      </c>
      <c r="AQ499" s="36"/>
    </row>
    <row r="500">
      <c r="B500" s="36"/>
      <c r="G500" s="37"/>
      <c r="J500" s="36"/>
      <c r="O500" s="37"/>
      <c r="P500" s="17">
        <f t="shared" si="1"/>
        <v>0</v>
      </c>
      <c r="AQ500" s="36"/>
    </row>
    <row r="501">
      <c r="B501" s="36"/>
      <c r="G501" s="37"/>
      <c r="J501" s="36"/>
      <c r="O501" s="37"/>
      <c r="P501" s="17">
        <f t="shared" si="1"/>
        <v>0</v>
      </c>
      <c r="AQ501" s="36"/>
    </row>
    <row r="502">
      <c r="B502" s="36"/>
      <c r="G502" s="37"/>
      <c r="J502" s="36"/>
      <c r="O502" s="37"/>
      <c r="P502" s="17">
        <f t="shared" si="1"/>
        <v>0</v>
      </c>
      <c r="AQ502" s="36"/>
    </row>
    <row r="503">
      <c r="B503" s="36"/>
      <c r="G503" s="37"/>
      <c r="J503" s="36"/>
      <c r="O503" s="37"/>
      <c r="P503" s="17">
        <f t="shared" si="1"/>
        <v>0</v>
      </c>
      <c r="AQ503" s="36"/>
    </row>
    <row r="504">
      <c r="B504" s="36"/>
      <c r="G504" s="37"/>
      <c r="J504" s="36"/>
      <c r="O504" s="37"/>
      <c r="P504" s="17">
        <f t="shared" si="1"/>
        <v>0</v>
      </c>
      <c r="AQ504" s="36"/>
    </row>
    <row r="505">
      <c r="B505" s="36"/>
      <c r="G505" s="37"/>
      <c r="J505" s="36"/>
      <c r="O505" s="37"/>
      <c r="P505" s="17">
        <f t="shared" si="1"/>
        <v>0</v>
      </c>
      <c r="AQ505" s="36"/>
    </row>
    <row r="506">
      <c r="B506" s="36"/>
      <c r="G506" s="37"/>
      <c r="J506" s="36"/>
      <c r="O506" s="37"/>
      <c r="P506" s="17">
        <f t="shared" si="1"/>
        <v>0</v>
      </c>
      <c r="AQ506" s="36"/>
    </row>
    <row r="507">
      <c r="B507" s="36"/>
      <c r="G507" s="37"/>
      <c r="J507" s="36"/>
      <c r="O507" s="37"/>
      <c r="P507" s="17">
        <f t="shared" si="1"/>
        <v>0</v>
      </c>
      <c r="AQ507" s="36"/>
    </row>
    <row r="508">
      <c r="B508" s="36"/>
      <c r="G508" s="37"/>
      <c r="J508" s="36"/>
      <c r="O508" s="37"/>
      <c r="P508" s="17">
        <f t="shared" si="1"/>
        <v>0</v>
      </c>
      <c r="AQ508" s="36"/>
    </row>
    <row r="509">
      <c r="B509" s="36"/>
      <c r="G509" s="37"/>
      <c r="J509" s="36"/>
      <c r="O509" s="37"/>
      <c r="P509" s="17">
        <f t="shared" si="1"/>
        <v>0</v>
      </c>
      <c r="AQ509" s="36"/>
    </row>
    <row r="510">
      <c r="B510" s="36"/>
      <c r="G510" s="37"/>
      <c r="J510" s="36"/>
      <c r="O510" s="37"/>
      <c r="P510" s="17">
        <f t="shared" si="1"/>
        <v>0</v>
      </c>
      <c r="AQ510" s="36"/>
    </row>
    <row r="511">
      <c r="B511" s="36"/>
      <c r="G511" s="37"/>
      <c r="J511" s="36"/>
      <c r="O511" s="37"/>
      <c r="P511" s="17">
        <f t="shared" si="1"/>
        <v>0</v>
      </c>
      <c r="AQ511" s="36"/>
    </row>
    <row r="512">
      <c r="B512" s="36"/>
      <c r="G512" s="37"/>
      <c r="J512" s="36"/>
      <c r="O512" s="37"/>
      <c r="P512" s="17">
        <f t="shared" si="1"/>
        <v>0</v>
      </c>
      <c r="AQ512" s="36"/>
    </row>
    <row r="513">
      <c r="B513" s="36"/>
      <c r="G513" s="37"/>
      <c r="J513" s="36"/>
      <c r="O513" s="37"/>
      <c r="P513" s="17">
        <f t="shared" si="1"/>
        <v>0</v>
      </c>
      <c r="AQ513" s="36"/>
    </row>
    <row r="514">
      <c r="B514" s="36"/>
      <c r="G514" s="37"/>
      <c r="J514" s="36"/>
      <c r="O514" s="37"/>
      <c r="P514" s="17">
        <f t="shared" si="1"/>
        <v>0</v>
      </c>
      <c r="AQ514" s="36"/>
    </row>
    <row r="515">
      <c r="B515" s="36"/>
      <c r="G515" s="37"/>
      <c r="J515" s="36"/>
      <c r="O515" s="37"/>
      <c r="P515" s="17">
        <f t="shared" si="1"/>
        <v>0</v>
      </c>
      <c r="AQ515" s="36"/>
    </row>
    <row r="516">
      <c r="B516" s="36"/>
      <c r="G516" s="37"/>
      <c r="J516" s="36"/>
      <c r="O516" s="37"/>
      <c r="P516" s="17">
        <f t="shared" si="1"/>
        <v>0</v>
      </c>
      <c r="AQ516" s="36"/>
    </row>
    <row r="517">
      <c r="B517" s="36"/>
      <c r="G517" s="37"/>
      <c r="J517" s="36"/>
      <c r="O517" s="37"/>
      <c r="P517" s="17">
        <f t="shared" si="1"/>
        <v>0</v>
      </c>
      <c r="AQ517" s="36"/>
    </row>
    <row r="518">
      <c r="B518" s="36"/>
      <c r="G518" s="37"/>
      <c r="J518" s="36"/>
      <c r="O518" s="37"/>
      <c r="P518" s="17">
        <f t="shared" si="1"/>
        <v>0</v>
      </c>
    </row>
    <row r="519">
      <c r="B519" s="36"/>
      <c r="G519" s="37"/>
      <c r="J519" s="36"/>
      <c r="O519" s="37"/>
      <c r="P519" s="17">
        <f t="shared" si="1"/>
        <v>0</v>
      </c>
    </row>
    <row r="520">
      <c r="B520" s="36"/>
      <c r="G520" s="37"/>
      <c r="J520" s="36"/>
      <c r="O520" s="37"/>
      <c r="P520" s="17">
        <f t="shared" si="1"/>
        <v>0</v>
      </c>
    </row>
    <row r="521">
      <c r="B521" s="36"/>
      <c r="G521" s="37"/>
      <c r="J521" s="36"/>
      <c r="O521" s="37"/>
      <c r="P521" s="17">
        <f t="shared" si="1"/>
        <v>0</v>
      </c>
    </row>
    <row r="522">
      <c r="B522" s="36"/>
      <c r="G522" s="37"/>
      <c r="J522" s="36"/>
      <c r="O522" s="37"/>
      <c r="P522" s="17">
        <f t="shared" si="1"/>
        <v>0</v>
      </c>
    </row>
    <row r="523">
      <c r="B523" s="36"/>
      <c r="G523" s="37"/>
      <c r="J523" s="36"/>
      <c r="O523" s="37"/>
      <c r="P523" s="17">
        <f t="shared" si="1"/>
        <v>0</v>
      </c>
    </row>
    <row r="524">
      <c r="B524" s="36"/>
      <c r="G524" s="37"/>
      <c r="J524" s="36"/>
      <c r="O524" s="37"/>
      <c r="P524" s="17">
        <f t="shared" si="1"/>
        <v>0</v>
      </c>
    </row>
    <row r="525">
      <c r="B525" s="36"/>
      <c r="G525" s="37"/>
      <c r="J525" s="36"/>
      <c r="O525" s="37"/>
      <c r="P525" s="17">
        <f t="shared" si="1"/>
        <v>0</v>
      </c>
    </row>
    <row r="526">
      <c r="B526" s="36"/>
      <c r="G526" s="37"/>
      <c r="J526" s="36"/>
      <c r="O526" s="37"/>
      <c r="P526" s="17">
        <f t="shared" si="1"/>
        <v>0</v>
      </c>
    </row>
    <row r="527">
      <c r="B527" s="36"/>
      <c r="G527" s="37"/>
      <c r="J527" s="36"/>
      <c r="O527" s="37"/>
      <c r="P527" s="17">
        <f t="shared" si="1"/>
        <v>0</v>
      </c>
    </row>
    <row r="528">
      <c r="B528" s="36"/>
      <c r="G528" s="37"/>
      <c r="J528" s="36"/>
      <c r="O528" s="37"/>
      <c r="P528" s="17">
        <f t="shared" si="1"/>
        <v>0</v>
      </c>
    </row>
    <row r="529">
      <c r="B529" s="36"/>
      <c r="G529" s="37"/>
      <c r="J529" s="36"/>
      <c r="O529" s="37"/>
      <c r="P529" s="17">
        <f t="shared" si="1"/>
        <v>0</v>
      </c>
    </row>
    <row r="530">
      <c r="B530" s="36"/>
      <c r="G530" s="37"/>
      <c r="J530" s="36"/>
      <c r="O530" s="37"/>
      <c r="P530" s="17">
        <f t="shared" si="1"/>
        <v>0</v>
      </c>
    </row>
    <row r="531">
      <c r="B531" s="36"/>
      <c r="G531" s="37"/>
      <c r="J531" s="36"/>
      <c r="O531" s="37"/>
      <c r="P531" s="17">
        <f t="shared" si="1"/>
        <v>0</v>
      </c>
    </row>
    <row r="532">
      <c r="B532" s="36"/>
      <c r="G532" s="37"/>
      <c r="J532" s="36"/>
      <c r="O532" s="37"/>
      <c r="P532" s="17">
        <f t="shared" si="1"/>
        <v>0</v>
      </c>
    </row>
    <row r="533">
      <c r="B533" s="36"/>
      <c r="G533" s="37"/>
      <c r="J533" s="36"/>
      <c r="O533" s="37"/>
      <c r="P533" s="17">
        <f t="shared" si="1"/>
        <v>0</v>
      </c>
    </row>
    <row r="534">
      <c r="B534" s="36"/>
      <c r="G534" s="37"/>
      <c r="J534" s="36"/>
      <c r="O534" s="37"/>
      <c r="P534" s="17">
        <f t="shared" si="1"/>
        <v>0</v>
      </c>
    </row>
    <row r="535">
      <c r="B535" s="36"/>
      <c r="G535" s="37"/>
      <c r="J535" s="36"/>
      <c r="O535" s="37"/>
      <c r="P535" s="17">
        <f t="shared" si="1"/>
        <v>0</v>
      </c>
    </row>
    <row r="536">
      <c r="B536" s="36"/>
      <c r="G536" s="37"/>
      <c r="J536" s="36"/>
      <c r="O536" s="37"/>
      <c r="P536" s="17">
        <f t="shared" si="1"/>
        <v>0</v>
      </c>
    </row>
    <row r="537">
      <c r="B537" s="36"/>
      <c r="G537" s="37"/>
      <c r="J537" s="36"/>
      <c r="O537" s="37"/>
      <c r="P537" s="17">
        <f t="shared" si="1"/>
        <v>0</v>
      </c>
    </row>
    <row r="538">
      <c r="B538" s="36"/>
      <c r="G538" s="37"/>
      <c r="J538" s="36"/>
      <c r="O538" s="37"/>
      <c r="P538" s="17">
        <f t="shared" si="1"/>
        <v>0</v>
      </c>
    </row>
    <row r="539">
      <c r="B539" s="36"/>
      <c r="G539" s="37"/>
      <c r="J539" s="36"/>
      <c r="O539" s="37"/>
      <c r="P539" s="17">
        <f t="shared" si="1"/>
        <v>0</v>
      </c>
    </row>
    <row r="540">
      <c r="B540" s="36"/>
      <c r="G540" s="37"/>
      <c r="J540" s="36"/>
      <c r="O540" s="37"/>
      <c r="P540" s="17">
        <f t="shared" si="1"/>
        <v>0</v>
      </c>
    </row>
    <row r="541">
      <c r="B541" s="36"/>
      <c r="G541" s="37"/>
      <c r="J541" s="36"/>
      <c r="O541" s="37"/>
      <c r="P541" s="17">
        <f t="shared" si="1"/>
        <v>0</v>
      </c>
    </row>
    <row r="542">
      <c r="B542" s="36"/>
      <c r="G542" s="37"/>
      <c r="J542" s="36"/>
      <c r="O542" s="37"/>
      <c r="P542" s="17">
        <f t="shared" si="1"/>
        <v>0</v>
      </c>
    </row>
    <row r="543">
      <c r="B543" s="36"/>
      <c r="G543" s="37"/>
      <c r="J543" s="36"/>
      <c r="O543" s="37"/>
      <c r="P543" s="17">
        <f t="shared" si="1"/>
        <v>0</v>
      </c>
    </row>
    <row r="544">
      <c r="B544" s="36"/>
      <c r="G544" s="37"/>
      <c r="J544" s="36"/>
      <c r="O544" s="37"/>
      <c r="P544" s="17">
        <f t="shared" si="1"/>
        <v>0</v>
      </c>
    </row>
    <row r="545">
      <c r="B545" s="36"/>
      <c r="G545" s="37"/>
      <c r="J545" s="36"/>
      <c r="O545" s="37"/>
      <c r="P545" s="17">
        <f t="shared" si="1"/>
        <v>0</v>
      </c>
    </row>
    <row r="546">
      <c r="B546" s="36"/>
      <c r="G546" s="37"/>
      <c r="J546" s="36"/>
      <c r="O546" s="37"/>
      <c r="P546" s="17">
        <f t="shared" si="1"/>
        <v>0</v>
      </c>
    </row>
    <row r="547">
      <c r="B547" s="36"/>
      <c r="G547" s="37"/>
      <c r="J547" s="36"/>
      <c r="O547" s="37"/>
      <c r="P547" s="17">
        <f t="shared" si="1"/>
        <v>0</v>
      </c>
    </row>
    <row r="548">
      <c r="B548" s="36"/>
      <c r="G548" s="37"/>
      <c r="J548" s="36"/>
      <c r="O548" s="37"/>
      <c r="P548" s="17">
        <f t="shared" si="1"/>
        <v>0</v>
      </c>
    </row>
    <row r="549">
      <c r="B549" s="36"/>
      <c r="G549" s="37"/>
      <c r="J549" s="36"/>
      <c r="O549" s="37"/>
      <c r="P549" s="17">
        <f t="shared" si="1"/>
        <v>0</v>
      </c>
    </row>
    <row r="550">
      <c r="B550" s="36"/>
      <c r="G550" s="37"/>
      <c r="J550" s="36"/>
      <c r="O550" s="37"/>
      <c r="P550" s="17">
        <f t="shared" si="1"/>
        <v>0</v>
      </c>
    </row>
    <row r="551">
      <c r="B551" s="36"/>
      <c r="G551" s="37"/>
      <c r="J551" s="36"/>
      <c r="O551" s="37"/>
      <c r="P551" s="17">
        <f t="shared" si="1"/>
        <v>0</v>
      </c>
    </row>
    <row r="552">
      <c r="B552" s="36"/>
      <c r="G552" s="37"/>
      <c r="J552" s="36"/>
      <c r="O552" s="37"/>
      <c r="P552" s="17">
        <f t="shared" si="1"/>
        <v>0</v>
      </c>
    </row>
    <row r="553">
      <c r="B553" s="36"/>
      <c r="G553" s="37"/>
      <c r="J553" s="36"/>
      <c r="O553" s="37"/>
      <c r="P553" s="17">
        <f t="shared" si="1"/>
        <v>0</v>
      </c>
    </row>
    <row r="554">
      <c r="B554" s="36"/>
      <c r="G554" s="37"/>
      <c r="J554" s="36"/>
      <c r="O554" s="37"/>
      <c r="P554" s="17">
        <f t="shared" si="1"/>
        <v>0</v>
      </c>
    </row>
    <row r="555">
      <c r="B555" s="36"/>
      <c r="G555" s="37"/>
      <c r="J555" s="36"/>
      <c r="O555" s="37"/>
      <c r="P555" s="17">
        <f t="shared" si="1"/>
        <v>0</v>
      </c>
    </row>
    <row r="556">
      <c r="B556" s="36"/>
      <c r="G556" s="37"/>
      <c r="J556" s="36"/>
      <c r="O556" s="37"/>
      <c r="P556" s="17">
        <f t="shared" si="1"/>
        <v>0</v>
      </c>
    </row>
    <row r="557">
      <c r="B557" s="36"/>
      <c r="G557" s="37"/>
      <c r="J557" s="36"/>
      <c r="O557" s="37"/>
      <c r="P557" s="17">
        <f t="shared" si="1"/>
        <v>0</v>
      </c>
    </row>
    <row r="558">
      <c r="B558" s="36"/>
      <c r="G558" s="37"/>
      <c r="J558" s="36"/>
      <c r="O558" s="37"/>
      <c r="P558" s="17">
        <f t="shared" si="1"/>
        <v>0</v>
      </c>
    </row>
    <row r="559">
      <c r="B559" s="36"/>
      <c r="G559" s="37"/>
      <c r="J559" s="36"/>
      <c r="O559" s="37"/>
      <c r="P559" s="17">
        <f t="shared" si="1"/>
        <v>0</v>
      </c>
    </row>
    <row r="560">
      <c r="B560" s="36"/>
      <c r="G560" s="37"/>
      <c r="J560" s="36"/>
      <c r="O560" s="37"/>
      <c r="P560" s="17">
        <f t="shared" si="1"/>
        <v>0</v>
      </c>
    </row>
    <row r="561">
      <c r="B561" s="36"/>
      <c r="G561" s="37"/>
      <c r="J561" s="36"/>
      <c r="O561" s="37"/>
      <c r="P561" s="17">
        <f t="shared" si="1"/>
        <v>0</v>
      </c>
    </row>
    <row r="562">
      <c r="B562" s="36"/>
      <c r="G562" s="37"/>
      <c r="J562" s="36"/>
      <c r="O562" s="37"/>
      <c r="P562" s="17">
        <f t="shared" si="1"/>
        <v>0</v>
      </c>
    </row>
    <row r="563">
      <c r="B563" s="36"/>
      <c r="G563" s="37"/>
      <c r="J563" s="36"/>
      <c r="O563" s="37"/>
      <c r="P563" s="17">
        <f t="shared" si="1"/>
        <v>0</v>
      </c>
    </row>
    <row r="564">
      <c r="B564" s="36"/>
      <c r="G564" s="37"/>
      <c r="J564" s="36"/>
      <c r="O564" s="37"/>
      <c r="P564" s="17">
        <f t="shared" si="1"/>
        <v>0</v>
      </c>
    </row>
    <row r="565">
      <c r="B565" s="36"/>
      <c r="G565" s="37"/>
      <c r="J565" s="36"/>
      <c r="O565" s="37"/>
      <c r="P565" s="17">
        <f t="shared" si="1"/>
        <v>0</v>
      </c>
    </row>
    <row r="566">
      <c r="B566" s="36"/>
      <c r="G566" s="37"/>
      <c r="J566" s="36"/>
      <c r="O566" s="37"/>
      <c r="P566" s="17">
        <f t="shared" si="1"/>
        <v>0</v>
      </c>
    </row>
    <row r="567">
      <c r="B567" s="36"/>
      <c r="G567" s="37"/>
      <c r="J567" s="36"/>
      <c r="O567" s="37"/>
      <c r="P567" s="17">
        <f t="shared" si="1"/>
        <v>0</v>
      </c>
    </row>
    <row r="568">
      <c r="B568" s="36"/>
      <c r="G568" s="37"/>
      <c r="J568" s="36"/>
      <c r="O568" s="37"/>
      <c r="P568" s="17">
        <f t="shared" si="1"/>
        <v>0</v>
      </c>
    </row>
    <row r="569">
      <c r="B569" s="36"/>
      <c r="G569" s="37"/>
      <c r="J569" s="36"/>
      <c r="O569" s="37"/>
      <c r="P569" s="17">
        <f t="shared" si="1"/>
        <v>0</v>
      </c>
    </row>
    <row r="570">
      <c r="B570" s="36"/>
      <c r="G570" s="37"/>
      <c r="J570" s="36"/>
      <c r="O570" s="37"/>
      <c r="P570" s="17">
        <f t="shared" si="1"/>
        <v>0</v>
      </c>
    </row>
    <row r="571">
      <c r="B571" s="36"/>
      <c r="G571" s="37"/>
      <c r="J571" s="36"/>
      <c r="O571" s="37"/>
      <c r="P571" s="17">
        <f t="shared" si="1"/>
        <v>0</v>
      </c>
    </row>
    <row r="572">
      <c r="B572" s="36"/>
      <c r="G572" s="37"/>
      <c r="J572" s="36"/>
      <c r="O572" s="37"/>
      <c r="P572" s="17">
        <f t="shared" si="1"/>
        <v>0</v>
      </c>
    </row>
    <row r="573">
      <c r="B573" s="36"/>
      <c r="G573" s="37"/>
      <c r="J573" s="36"/>
      <c r="O573" s="37"/>
      <c r="P573" s="17">
        <f t="shared" si="1"/>
        <v>0</v>
      </c>
    </row>
    <row r="574">
      <c r="B574" s="36"/>
      <c r="G574" s="37"/>
      <c r="J574" s="36"/>
      <c r="O574" s="37"/>
      <c r="P574" s="17">
        <f t="shared" si="1"/>
        <v>0</v>
      </c>
    </row>
    <row r="575">
      <c r="B575" s="36"/>
      <c r="G575" s="37"/>
      <c r="J575" s="36"/>
      <c r="O575" s="37"/>
      <c r="P575" s="17">
        <f t="shared" si="1"/>
        <v>0</v>
      </c>
    </row>
    <row r="576">
      <c r="B576" s="36"/>
      <c r="G576" s="37"/>
      <c r="J576" s="36"/>
      <c r="O576" s="37"/>
      <c r="P576" s="17">
        <f t="shared" si="1"/>
        <v>0</v>
      </c>
    </row>
    <row r="577">
      <c r="B577" s="36"/>
      <c r="G577" s="37"/>
      <c r="J577" s="36"/>
      <c r="O577" s="37"/>
      <c r="P577" s="17">
        <f t="shared" si="1"/>
        <v>0</v>
      </c>
    </row>
    <row r="578">
      <c r="B578" s="36"/>
      <c r="G578" s="37"/>
      <c r="J578" s="36"/>
      <c r="O578" s="37"/>
      <c r="P578" s="17">
        <f t="shared" si="1"/>
        <v>0</v>
      </c>
    </row>
    <row r="579">
      <c r="B579" s="36"/>
      <c r="G579" s="37"/>
      <c r="J579" s="36"/>
      <c r="O579" s="37"/>
      <c r="P579" s="17">
        <f t="shared" si="1"/>
        <v>0</v>
      </c>
    </row>
    <row r="580">
      <c r="B580" s="36"/>
      <c r="G580" s="37"/>
      <c r="J580" s="36"/>
      <c r="O580" s="37"/>
      <c r="P580" s="17">
        <f t="shared" si="1"/>
        <v>0</v>
      </c>
    </row>
    <row r="581">
      <c r="B581" s="36"/>
      <c r="G581" s="37"/>
      <c r="J581" s="36"/>
      <c r="O581" s="37"/>
      <c r="P581" s="17">
        <f t="shared" si="1"/>
        <v>0</v>
      </c>
    </row>
    <row r="582">
      <c r="B582" s="36"/>
      <c r="G582" s="37"/>
      <c r="J582" s="36"/>
      <c r="O582" s="37"/>
      <c r="P582" s="17">
        <f t="shared" si="1"/>
        <v>0</v>
      </c>
    </row>
    <row r="583">
      <c r="B583" s="36"/>
      <c r="G583" s="37"/>
      <c r="J583" s="36"/>
      <c r="O583" s="37"/>
      <c r="P583" s="17">
        <f t="shared" si="1"/>
        <v>0</v>
      </c>
    </row>
    <row r="584">
      <c r="B584" s="36"/>
      <c r="G584" s="37"/>
      <c r="J584" s="36"/>
      <c r="O584" s="37"/>
      <c r="P584" s="17">
        <f t="shared" si="1"/>
        <v>0</v>
      </c>
    </row>
    <row r="585">
      <c r="B585" s="36"/>
      <c r="G585" s="37"/>
      <c r="J585" s="36"/>
      <c r="O585" s="37"/>
      <c r="P585" s="17">
        <f t="shared" si="1"/>
        <v>0</v>
      </c>
    </row>
    <row r="586">
      <c r="B586" s="36"/>
      <c r="G586" s="37"/>
      <c r="J586" s="36"/>
      <c r="O586" s="37"/>
      <c r="P586" s="17">
        <f t="shared" si="1"/>
        <v>0</v>
      </c>
    </row>
    <row r="587">
      <c r="B587" s="36"/>
      <c r="G587" s="37"/>
      <c r="J587" s="36"/>
      <c r="O587" s="37"/>
      <c r="P587" s="17">
        <f t="shared" si="1"/>
        <v>0</v>
      </c>
    </row>
    <row r="588">
      <c r="B588" s="36"/>
      <c r="G588" s="37"/>
      <c r="J588" s="36"/>
      <c r="O588" s="37"/>
      <c r="P588" s="17">
        <f t="shared" si="1"/>
        <v>0</v>
      </c>
    </row>
    <row r="589">
      <c r="B589" s="36"/>
      <c r="G589" s="37"/>
      <c r="J589" s="36"/>
      <c r="O589" s="37"/>
      <c r="P589" s="17">
        <f t="shared" si="1"/>
        <v>0</v>
      </c>
    </row>
    <row r="590">
      <c r="B590" s="36"/>
      <c r="G590" s="37"/>
      <c r="J590" s="36"/>
      <c r="O590" s="37"/>
      <c r="P590" s="17">
        <f t="shared" si="1"/>
        <v>0</v>
      </c>
    </row>
    <row r="591">
      <c r="B591" s="36"/>
      <c r="G591" s="37"/>
      <c r="J591" s="36"/>
      <c r="O591" s="37"/>
      <c r="P591" s="17">
        <f t="shared" si="1"/>
        <v>0</v>
      </c>
    </row>
    <row r="592">
      <c r="B592" s="36"/>
      <c r="G592" s="37"/>
      <c r="J592" s="36"/>
      <c r="O592" s="37"/>
      <c r="P592" s="17">
        <f t="shared" si="1"/>
        <v>0</v>
      </c>
    </row>
    <row r="593">
      <c r="B593" s="36"/>
      <c r="G593" s="37"/>
      <c r="J593" s="36"/>
      <c r="O593" s="37"/>
      <c r="P593" s="17">
        <f t="shared" si="1"/>
        <v>0</v>
      </c>
    </row>
    <row r="594">
      <c r="B594" s="36"/>
      <c r="G594" s="37"/>
      <c r="J594" s="36"/>
      <c r="O594" s="37"/>
      <c r="P594" s="17">
        <f t="shared" si="1"/>
        <v>0</v>
      </c>
    </row>
    <row r="595">
      <c r="B595" s="36"/>
      <c r="G595" s="37"/>
      <c r="J595" s="36"/>
      <c r="O595" s="37"/>
      <c r="P595" s="17">
        <f t="shared" si="1"/>
        <v>0</v>
      </c>
    </row>
    <row r="596">
      <c r="B596" s="36"/>
      <c r="G596" s="37"/>
      <c r="J596" s="36"/>
      <c r="O596" s="37"/>
      <c r="P596" s="17">
        <f t="shared" si="1"/>
        <v>0</v>
      </c>
    </row>
    <row r="597">
      <c r="B597" s="36"/>
      <c r="G597" s="37"/>
      <c r="J597" s="36"/>
      <c r="O597" s="37"/>
      <c r="P597" s="17">
        <f t="shared" si="1"/>
        <v>0</v>
      </c>
    </row>
    <row r="598">
      <c r="B598" s="36"/>
      <c r="G598" s="37"/>
      <c r="J598" s="36"/>
      <c r="O598" s="37"/>
      <c r="P598" s="17">
        <f t="shared" si="1"/>
        <v>0</v>
      </c>
    </row>
    <row r="599">
      <c r="B599" s="36"/>
      <c r="G599" s="37"/>
      <c r="J599" s="36"/>
      <c r="O599" s="37"/>
      <c r="P599" s="17">
        <f t="shared" si="1"/>
        <v>0</v>
      </c>
    </row>
    <row r="600">
      <c r="B600" s="36"/>
      <c r="G600" s="37"/>
      <c r="J600" s="36"/>
      <c r="O600" s="37"/>
      <c r="P600" s="17">
        <f t="shared" si="1"/>
        <v>0</v>
      </c>
    </row>
    <row r="601">
      <c r="B601" s="36"/>
      <c r="G601" s="37"/>
      <c r="J601" s="36"/>
      <c r="O601" s="37"/>
      <c r="P601" s="17">
        <f t="shared" si="1"/>
        <v>0</v>
      </c>
    </row>
    <row r="602">
      <c r="B602" s="36"/>
      <c r="G602" s="37"/>
      <c r="J602" s="36"/>
      <c r="O602" s="37"/>
      <c r="P602" s="17">
        <f t="shared" si="1"/>
        <v>0</v>
      </c>
    </row>
    <row r="603">
      <c r="B603" s="36"/>
      <c r="G603" s="37"/>
      <c r="J603" s="36"/>
      <c r="O603" s="37"/>
      <c r="P603" s="17">
        <f t="shared" si="1"/>
        <v>0</v>
      </c>
    </row>
    <row r="604">
      <c r="B604" s="36"/>
      <c r="G604" s="37"/>
      <c r="J604" s="36"/>
      <c r="O604" s="37"/>
      <c r="P604" s="17">
        <f t="shared" si="1"/>
        <v>0</v>
      </c>
    </row>
    <row r="605">
      <c r="B605" s="36"/>
      <c r="G605" s="37"/>
      <c r="J605" s="36"/>
      <c r="O605" s="37"/>
      <c r="P605" s="17">
        <f t="shared" si="1"/>
        <v>0</v>
      </c>
    </row>
    <row r="606">
      <c r="B606" s="36"/>
      <c r="G606" s="37"/>
      <c r="J606" s="36"/>
      <c r="O606" s="37"/>
      <c r="P606" s="17">
        <f t="shared" si="1"/>
        <v>0</v>
      </c>
    </row>
    <row r="607">
      <c r="B607" s="36"/>
      <c r="G607" s="37"/>
      <c r="J607" s="36"/>
      <c r="O607" s="37"/>
      <c r="P607" s="17">
        <f t="shared" si="1"/>
        <v>0</v>
      </c>
    </row>
    <row r="608">
      <c r="B608" s="36"/>
      <c r="G608" s="37"/>
      <c r="J608" s="36"/>
      <c r="O608" s="37"/>
      <c r="P608" s="17">
        <f t="shared" si="1"/>
        <v>0</v>
      </c>
    </row>
    <row r="609">
      <c r="B609" s="36"/>
      <c r="G609" s="37"/>
      <c r="J609" s="36"/>
      <c r="O609" s="37"/>
      <c r="P609" s="17">
        <f t="shared" si="1"/>
        <v>0</v>
      </c>
    </row>
    <row r="610">
      <c r="B610" s="36"/>
      <c r="G610" s="37"/>
      <c r="J610" s="36"/>
      <c r="O610" s="37"/>
      <c r="P610" s="17">
        <f t="shared" si="1"/>
        <v>0</v>
      </c>
    </row>
    <row r="611">
      <c r="B611" s="36"/>
      <c r="G611" s="37"/>
      <c r="J611" s="36"/>
      <c r="O611" s="37"/>
      <c r="P611" s="17">
        <f t="shared" si="1"/>
        <v>0</v>
      </c>
    </row>
    <row r="612">
      <c r="B612" s="36"/>
      <c r="G612" s="37"/>
      <c r="J612" s="36"/>
      <c r="O612" s="37"/>
      <c r="P612" s="17">
        <f t="shared" si="1"/>
        <v>0</v>
      </c>
    </row>
    <row r="613">
      <c r="B613" s="36"/>
      <c r="G613" s="37"/>
      <c r="J613" s="36"/>
      <c r="O613" s="37"/>
      <c r="P613" s="17">
        <f t="shared" si="1"/>
        <v>0</v>
      </c>
    </row>
    <row r="614">
      <c r="B614" s="36"/>
      <c r="G614" s="37"/>
      <c r="J614" s="36"/>
      <c r="O614" s="37"/>
      <c r="P614" s="17">
        <f t="shared" si="1"/>
        <v>0</v>
      </c>
    </row>
    <row r="615">
      <c r="B615" s="36"/>
      <c r="G615" s="37"/>
      <c r="J615" s="36"/>
      <c r="O615" s="37"/>
      <c r="P615" s="17">
        <f t="shared" si="1"/>
        <v>0</v>
      </c>
    </row>
    <row r="616">
      <c r="B616" s="36"/>
      <c r="G616" s="37"/>
      <c r="J616" s="36"/>
      <c r="O616" s="37"/>
      <c r="P616" s="17">
        <f t="shared" si="1"/>
        <v>0</v>
      </c>
    </row>
    <row r="617">
      <c r="B617" s="36"/>
      <c r="G617" s="37"/>
      <c r="J617" s="36"/>
      <c r="O617" s="37"/>
      <c r="P617" s="17">
        <f t="shared" si="1"/>
        <v>0</v>
      </c>
    </row>
    <row r="618">
      <c r="B618" s="36"/>
      <c r="G618" s="37"/>
      <c r="J618" s="36"/>
      <c r="O618" s="37"/>
      <c r="P618" s="17">
        <f t="shared" si="1"/>
        <v>0</v>
      </c>
    </row>
    <row r="619">
      <c r="B619" s="36"/>
      <c r="G619" s="37"/>
      <c r="J619" s="36"/>
      <c r="O619" s="37"/>
      <c r="P619" s="17">
        <f t="shared" si="1"/>
        <v>0</v>
      </c>
    </row>
    <row r="620">
      <c r="B620" s="36"/>
      <c r="G620" s="37"/>
      <c r="J620" s="36"/>
      <c r="O620" s="37"/>
      <c r="P620" s="17">
        <f t="shared" si="1"/>
        <v>0</v>
      </c>
    </row>
    <row r="621">
      <c r="B621" s="36"/>
      <c r="G621" s="37"/>
      <c r="J621" s="36"/>
      <c r="O621" s="37"/>
      <c r="P621" s="17">
        <f t="shared" si="1"/>
        <v>0</v>
      </c>
    </row>
    <row r="622">
      <c r="B622" s="36"/>
      <c r="G622" s="37"/>
      <c r="J622" s="36"/>
      <c r="O622" s="37"/>
      <c r="P622" s="17">
        <f t="shared" si="1"/>
        <v>0</v>
      </c>
    </row>
    <row r="623">
      <c r="B623" s="36"/>
      <c r="G623" s="37"/>
      <c r="J623" s="36"/>
      <c r="O623" s="37"/>
      <c r="P623" s="17">
        <f t="shared" si="1"/>
        <v>0</v>
      </c>
    </row>
    <row r="624">
      <c r="B624" s="36"/>
      <c r="G624" s="37"/>
      <c r="J624" s="36"/>
      <c r="O624" s="37"/>
      <c r="P624" s="17">
        <f t="shared" si="1"/>
        <v>0</v>
      </c>
    </row>
    <row r="625">
      <c r="B625" s="36"/>
      <c r="G625" s="37"/>
      <c r="J625" s="36"/>
      <c r="O625" s="37"/>
      <c r="P625" s="17">
        <f t="shared" si="1"/>
        <v>0</v>
      </c>
    </row>
    <row r="626">
      <c r="B626" s="36"/>
      <c r="G626" s="37"/>
      <c r="J626" s="36"/>
      <c r="O626" s="37"/>
      <c r="P626" s="17">
        <f t="shared" si="1"/>
        <v>0</v>
      </c>
    </row>
    <row r="627">
      <c r="B627" s="36"/>
      <c r="G627" s="37"/>
      <c r="J627" s="36"/>
      <c r="O627" s="37"/>
      <c r="P627" s="17">
        <f t="shared" si="1"/>
        <v>0</v>
      </c>
    </row>
    <row r="628">
      <c r="B628" s="36"/>
      <c r="G628" s="37"/>
      <c r="J628" s="36"/>
      <c r="O628" s="37"/>
      <c r="P628" s="17">
        <f t="shared" si="1"/>
        <v>0</v>
      </c>
    </row>
    <row r="629">
      <c r="B629" s="36"/>
      <c r="G629" s="37"/>
      <c r="J629" s="36"/>
      <c r="O629" s="37"/>
      <c r="P629" s="17">
        <f t="shared" si="1"/>
        <v>0</v>
      </c>
    </row>
    <row r="630">
      <c r="B630" s="36"/>
      <c r="G630" s="37"/>
      <c r="J630" s="36"/>
      <c r="O630" s="37"/>
      <c r="P630" s="17">
        <f t="shared" si="1"/>
        <v>0</v>
      </c>
    </row>
    <row r="631">
      <c r="B631" s="36"/>
      <c r="G631" s="37"/>
      <c r="J631" s="36"/>
      <c r="O631" s="37"/>
      <c r="P631" s="17">
        <f t="shared" si="1"/>
        <v>0</v>
      </c>
    </row>
    <row r="632">
      <c r="B632" s="36"/>
      <c r="G632" s="37"/>
      <c r="J632" s="36"/>
      <c r="O632" s="37"/>
      <c r="P632" s="17">
        <f t="shared" si="1"/>
        <v>0</v>
      </c>
    </row>
    <row r="633">
      <c r="B633" s="36"/>
      <c r="G633" s="37"/>
      <c r="J633" s="36"/>
      <c r="O633" s="37"/>
      <c r="P633" s="17">
        <f t="shared" si="1"/>
        <v>0</v>
      </c>
    </row>
    <row r="634">
      <c r="B634" s="36"/>
      <c r="G634" s="37"/>
      <c r="J634" s="36"/>
      <c r="O634" s="37"/>
      <c r="P634" s="17">
        <f t="shared" si="1"/>
        <v>0</v>
      </c>
    </row>
    <row r="635">
      <c r="B635" s="36"/>
      <c r="G635" s="37"/>
      <c r="J635" s="36"/>
      <c r="O635" s="37"/>
      <c r="P635" s="17">
        <f t="shared" si="1"/>
        <v>0</v>
      </c>
    </row>
    <row r="636">
      <c r="B636" s="36"/>
      <c r="G636" s="37"/>
      <c r="J636" s="36"/>
      <c r="O636" s="37"/>
      <c r="P636" s="17">
        <f t="shared" si="1"/>
        <v>0</v>
      </c>
    </row>
    <row r="637">
      <c r="B637" s="36"/>
      <c r="G637" s="37"/>
      <c r="J637" s="36"/>
      <c r="O637" s="37"/>
      <c r="P637" s="17">
        <f t="shared" si="1"/>
        <v>0</v>
      </c>
    </row>
    <row r="638">
      <c r="B638" s="36"/>
      <c r="G638" s="37"/>
      <c r="J638" s="36"/>
      <c r="O638" s="37"/>
      <c r="P638" s="17">
        <f t="shared" si="1"/>
        <v>0</v>
      </c>
    </row>
    <row r="639">
      <c r="B639" s="36"/>
      <c r="G639" s="37"/>
      <c r="J639" s="36"/>
      <c r="O639" s="37"/>
      <c r="P639" s="17">
        <f t="shared" si="1"/>
        <v>0</v>
      </c>
    </row>
    <row r="640">
      <c r="B640" s="36"/>
      <c r="G640" s="37"/>
      <c r="J640" s="36"/>
      <c r="O640" s="37"/>
      <c r="P640" s="17">
        <f t="shared" si="1"/>
        <v>0</v>
      </c>
    </row>
    <row r="641">
      <c r="B641" s="36"/>
      <c r="G641" s="37"/>
      <c r="J641" s="36"/>
      <c r="O641" s="37"/>
      <c r="P641" s="17">
        <f t="shared" si="1"/>
        <v>0</v>
      </c>
    </row>
    <row r="642">
      <c r="B642" s="36"/>
      <c r="G642" s="37"/>
      <c r="J642" s="36"/>
      <c r="O642" s="37"/>
      <c r="P642" s="17">
        <f t="shared" si="1"/>
        <v>0</v>
      </c>
    </row>
    <row r="643">
      <c r="B643" s="36"/>
      <c r="G643" s="37"/>
      <c r="J643" s="36"/>
      <c r="O643" s="37"/>
      <c r="P643" s="17">
        <f t="shared" si="1"/>
        <v>0</v>
      </c>
    </row>
    <row r="644">
      <c r="B644" s="36"/>
      <c r="G644" s="37"/>
      <c r="J644" s="36"/>
      <c r="O644" s="37"/>
      <c r="P644" s="17">
        <f t="shared" si="1"/>
        <v>0</v>
      </c>
    </row>
    <row r="645">
      <c r="B645" s="36"/>
      <c r="G645" s="37"/>
      <c r="J645" s="36"/>
      <c r="O645" s="37"/>
      <c r="P645" s="17">
        <f t="shared" si="1"/>
        <v>0</v>
      </c>
    </row>
    <row r="646">
      <c r="B646" s="36"/>
      <c r="G646" s="37"/>
      <c r="J646" s="36"/>
      <c r="O646" s="37"/>
      <c r="P646" s="17">
        <f t="shared" si="1"/>
        <v>0</v>
      </c>
    </row>
    <row r="647">
      <c r="B647" s="36"/>
      <c r="G647" s="37"/>
      <c r="J647" s="36"/>
      <c r="O647" s="37"/>
      <c r="P647" s="17">
        <f t="shared" si="1"/>
        <v>0</v>
      </c>
    </row>
    <row r="648">
      <c r="B648" s="36"/>
      <c r="G648" s="37"/>
      <c r="J648" s="36"/>
      <c r="O648" s="37"/>
      <c r="P648" s="17">
        <f t="shared" si="1"/>
        <v>0</v>
      </c>
    </row>
    <row r="649">
      <c r="B649" s="36"/>
      <c r="G649" s="37"/>
      <c r="J649" s="36"/>
      <c r="O649" s="37"/>
      <c r="P649" s="17">
        <f t="shared" si="1"/>
        <v>0</v>
      </c>
    </row>
    <row r="650">
      <c r="B650" s="36"/>
      <c r="G650" s="37"/>
      <c r="J650" s="36"/>
      <c r="O650" s="37"/>
      <c r="P650" s="17">
        <f t="shared" si="1"/>
        <v>0</v>
      </c>
    </row>
    <row r="651">
      <c r="B651" s="36"/>
      <c r="G651" s="37"/>
      <c r="J651" s="36"/>
      <c r="O651" s="37"/>
      <c r="P651" s="17">
        <f t="shared" si="1"/>
        <v>0</v>
      </c>
    </row>
    <row r="652">
      <c r="B652" s="36"/>
      <c r="G652" s="37"/>
      <c r="J652" s="36"/>
      <c r="O652" s="37"/>
      <c r="P652" s="17">
        <f t="shared" si="1"/>
        <v>0</v>
      </c>
    </row>
    <row r="653">
      <c r="B653" s="36"/>
      <c r="G653" s="37"/>
      <c r="J653" s="36"/>
      <c r="O653" s="37"/>
      <c r="P653" s="17">
        <f t="shared" si="1"/>
        <v>0</v>
      </c>
    </row>
    <row r="654">
      <c r="B654" s="36"/>
      <c r="G654" s="37"/>
      <c r="J654" s="36"/>
      <c r="O654" s="37"/>
      <c r="P654" s="17">
        <f t="shared" si="1"/>
        <v>0</v>
      </c>
    </row>
    <row r="655">
      <c r="B655" s="36"/>
      <c r="G655" s="37"/>
      <c r="J655" s="36"/>
      <c r="O655" s="37"/>
      <c r="P655" s="17">
        <f t="shared" si="1"/>
        <v>0</v>
      </c>
    </row>
    <row r="656">
      <c r="B656" s="36"/>
      <c r="G656" s="37"/>
      <c r="J656" s="36"/>
      <c r="O656" s="37"/>
      <c r="P656" s="17">
        <f t="shared" si="1"/>
        <v>0</v>
      </c>
    </row>
    <row r="657">
      <c r="B657" s="36"/>
      <c r="G657" s="37"/>
      <c r="J657" s="36"/>
      <c r="O657" s="37"/>
      <c r="P657" s="17">
        <f t="shared" si="1"/>
        <v>0</v>
      </c>
    </row>
    <row r="658">
      <c r="B658" s="36"/>
      <c r="G658" s="37"/>
      <c r="J658" s="36"/>
      <c r="O658" s="37"/>
      <c r="P658" s="17">
        <f t="shared" si="1"/>
        <v>0</v>
      </c>
    </row>
    <row r="659">
      <c r="B659" s="36"/>
      <c r="G659" s="37"/>
      <c r="J659" s="36"/>
      <c r="O659" s="37"/>
      <c r="P659" s="17">
        <f t="shared" si="1"/>
        <v>0</v>
      </c>
    </row>
    <row r="660">
      <c r="B660" s="36"/>
      <c r="G660" s="37"/>
      <c r="J660" s="36"/>
      <c r="P660" s="17">
        <f t="shared" si="1"/>
        <v>0</v>
      </c>
    </row>
    <row r="661">
      <c r="B661" s="36"/>
      <c r="G661" s="37"/>
      <c r="P661" s="17">
        <f t="shared" si="1"/>
        <v>0</v>
      </c>
    </row>
    <row r="662">
      <c r="B662" s="36"/>
      <c r="G662" s="37"/>
      <c r="P662" s="17">
        <f t="shared" si="1"/>
        <v>0</v>
      </c>
    </row>
    <row r="663">
      <c r="B663" s="36"/>
      <c r="G663" s="37"/>
      <c r="P663" s="17">
        <f t="shared" si="1"/>
        <v>0</v>
      </c>
    </row>
    <row r="664">
      <c r="B664" s="36"/>
      <c r="G664" s="37"/>
      <c r="P664" s="17">
        <f t="shared" si="1"/>
        <v>0</v>
      </c>
    </row>
    <row r="665">
      <c r="B665" s="36"/>
      <c r="G665" s="37"/>
      <c r="P665" s="17">
        <f t="shared" si="1"/>
        <v>0</v>
      </c>
    </row>
    <row r="666">
      <c r="B666" s="36"/>
      <c r="G666" s="37"/>
      <c r="P666" s="17">
        <f t="shared" si="1"/>
        <v>0</v>
      </c>
    </row>
    <row r="667">
      <c r="B667" s="36"/>
      <c r="G667" s="37"/>
      <c r="P667" s="17">
        <f t="shared" si="1"/>
        <v>0</v>
      </c>
    </row>
    <row r="668">
      <c r="B668" s="36"/>
      <c r="G668" s="37"/>
      <c r="P668" s="17">
        <f t="shared" si="1"/>
        <v>0</v>
      </c>
    </row>
    <row r="669">
      <c r="B669" s="36"/>
      <c r="G669" s="37"/>
      <c r="P669" s="17">
        <f t="shared" si="1"/>
        <v>0</v>
      </c>
    </row>
    <row r="670">
      <c r="B670" s="36"/>
      <c r="G670" s="37"/>
      <c r="P670" s="17">
        <f t="shared" si="1"/>
        <v>0</v>
      </c>
    </row>
    <row r="671">
      <c r="B671" s="36"/>
      <c r="G671" s="37"/>
      <c r="P671" s="17">
        <f t="shared" si="1"/>
        <v>0</v>
      </c>
    </row>
    <row r="672">
      <c r="B672" s="36"/>
      <c r="G672" s="37"/>
      <c r="P672" s="17">
        <f t="shared" si="1"/>
        <v>0</v>
      </c>
    </row>
    <row r="673">
      <c r="B673" s="36"/>
      <c r="G673" s="37"/>
      <c r="P673" s="17">
        <f t="shared" si="1"/>
        <v>0</v>
      </c>
    </row>
    <row r="674">
      <c r="B674" s="36"/>
      <c r="G674" s="37"/>
      <c r="P674" s="17">
        <f t="shared" si="1"/>
        <v>0</v>
      </c>
    </row>
    <row r="675">
      <c r="B675" s="36"/>
      <c r="G675" s="37"/>
      <c r="P675" s="17">
        <f t="shared" si="1"/>
        <v>0</v>
      </c>
    </row>
    <row r="676">
      <c r="B676" s="36"/>
      <c r="G676" s="37"/>
      <c r="P676" s="17">
        <f t="shared" si="1"/>
        <v>0</v>
      </c>
    </row>
    <row r="677">
      <c r="B677" s="36"/>
      <c r="G677" s="37"/>
      <c r="P677" s="17">
        <f t="shared" si="1"/>
        <v>0</v>
      </c>
    </row>
    <row r="678">
      <c r="B678" s="36"/>
      <c r="G678" s="37"/>
      <c r="P678" s="17">
        <f t="shared" si="1"/>
        <v>0</v>
      </c>
    </row>
    <row r="679">
      <c r="B679" s="36"/>
      <c r="G679" s="37"/>
      <c r="P679" s="17">
        <f t="shared" si="1"/>
        <v>0</v>
      </c>
    </row>
    <row r="680">
      <c r="B680" s="36"/>
      <c r="G680" s="37"/>
      <c r="P680" s="17">
        <f t="shared" si="1"/>
        <v>0</v>
      </c>
    </row>
    <row r="681">
      <c r="B681" s="36"/>
      <c r="G681" s="37"/>
      <c r="P681" s="17">
        <f t="shared" si="1"/>
        <v>0</v>
      </c>
    </row>
    <row r="682">
      <c r="B682" s="36"/>
      <c r="G682" s="37"/>
      <c r="P682" s="17">
        <f t="shared" si="1"/>
        <v>0</v>
      </c>
    </row>
    <row r="683">
      <c r="B683" s="36"/>
      <c r="G683" s="37"/>
      <c r="P683" s="17">
        <f t="shared" si="1"/>
        <v>0</v>
      </c>
    </row>
    <row r="684">
      <c r="B684" s="36"/>
      <c r="G684" s="37"/>
      <c r="P684" s="17">
        <f t="shared" si="1"/>
        <v>0</v>
      </c>
    </row>
    <row r="685">
      <c r="B685" s="36"/>
      <c r="G685" s="37"/>
      <c r="P685" s="17">
        <f t="shared" si="1"/>
        <v>0</v>
      </c>
    </row>
    <row r="686">
      <c r="B686" s="36"/>
      <c r="G686" s="37"/>
      <c r="P686" s="17">
        <f t="shared" si="1"/>
        <v>0</v>
      </c>
    </row>
    <row r="687">
      <c r="B687" s="36"/>
      <c r="G687" s="37"/>
      <c r="P687" s="17">
        <f t="shared" si="1"/>
        <v>0</v>
      </c>
    </row>
    <row r="688">
      <c r="B688" s="36"/>
      <c r="G688" s="37"/>
      <c r="P688" s="17">
        <f t="shared" si="1"/>
        <v>0</v>
      </c>
    </row>
    <row r="689">
      <c r="B689" s="36"/>
      <c r="G689" s="37"/>
      <c r="P689" s="17">
        <f t="shared" si="1"/>
        <v>0</v>
      </c>
    </row>
    <row r="690">
      <c r="B690" s="36"/>
      <c r="G690" s="37"/>
      <c r="P690" s="17">
        <f t="shared" si="1"/>
        <v>0</v>
      </c>
    </row>
    <row r="691">
      <c r="B691" s="36"/>
      <c r="G691" s="37"/>
      <c r="P691" s="17">
        <f t="shared" si="1"/>
        <v>0</v>
      </c>
    </row>
    <row r="692">
      <c r="B692" s="36"/>
      <c r="G692" s="37"/>
      <c r="P692" s="17">
        <f t="shared" si="1"/>
        <v>0</v>
      </c>
    </row>
    <row r="693">
      <c r="B693" s="36"/>
      <c r="G693" s="37"/>
      <c r="P693" s="17">
        <f t="shared" si="1"/>
        <v>0</v>
      </c>
    </row>
    <row r="694">
      <c r="B694" s="36"/>
      <c r="G694" s="37"/>
      <c r="P694" s="17">
        <f t="shared" si="1"/>
        <v>0</v>
      </c>
    </row>
    <row r="695">
      <c r="B695" s="36"/>
      <c r="G695" s="37"/>
      <c r="P695" s="17">
        <f t="shared" si="1"/>
        <v>0</v>
      </c>
    </row>
    <row r="696">
      <c r="B696" s="36"/>
      <c r="G696" s="37"/>
      <c r="P696" s="17">
        <f t="shared" si="1"/>
        <v>0</v>
      </c>
    </row>
    <row r="697">
      <c r="B697" s="36"/>
      <c r="G697" s="37"/>
      <c r="P697" s="17">
        <f t="shared" si="1"/>
        <v>0</v>
      </c>
    </row>
    <row r="698">
      <c r="B698" s="36"/>
      <c r="G698" s="37"/>
      <c r="P698" s="17">
        <f t="shared" si="1"/>
        <v>0</v>
      </c>
    </row>
    <row r="699">
      <c r="B699" s="36"/>
      <c r="G699" s="37"/>
      <c r="P699" s="17">
        <f t="shared" si="1"/>
        <v>0</v>
      </c>
    </row>
    <row r="700">
      <c r="B700" s="36"/>
      <c r="G700" s="37"/>
      <c r="P700" s="17">
        <f t="shared" si="1"/>
        <v>0</v>
      </c>
    </row>
    <row r="701">
      <c r="B701" s="36"/>
      <c r="G701" s="37"/>
      <c r="P701" s="17">
        <f t="shared" si="1"/>
        <v>0</v>
      </c>
    </row>
    <row r="702">
      <c r="B702" s="36"/>
      <c r="G702" s="37"/>
      <c r="P702" s="17">
        <f t="shared" si="1"/>
        <v>0</v>
      </c>
    </row>
    <row r="703">
      <c r="B703" s="36"/>
      <c r="G703" s="37"/>
      <c r="P703" s="17">
        <f t="shared" si="1"/>
        <v>0</v>
      </c>
    </row>
    <row r="704">
      <c r="B704" s="36"/>
      <c r="G704" s="37"/>
      <c r="P704" s="17">
        <f t="shared" si="1"/>
        <v>0</v>
      </c>
    </row>
    <row r="705">
      <c r="B705" s="36"/>
      <c r="G705" s="37"/>
      <c r="P705" s="17">
        <f t="shared" si="1"/>
        <v>0</v>
      </c>
    </row>
    <row r="706">
      <c r="B706" s="36"/>
      <c r="G706" s="37"/>
      <c r="P706" s="17">
        <f t="shared" si="1"/>
        <v>0</v>
      </c>
    </row>
    <row r="707">
      <c r="B707" s="36"/>
      <c r="G707" s="37"/>
      <c r="P707" s="17">
        <f t="shared" si="1"/>
        <v>0</v>
      </c>
    </row>
    <row r="708">
      <c r="B708" s="36"/>
      <c r="G708" s="37"/>
      <c r="P708" s="17">
        <f t="shared" si="1"/>
        <v>0</v>
      </c>
    </row>
    <row r="709">
      <c r="B709" s="36"/>
      <c r="G709" s="37"/>
      <c r="P709" s="17">
        <f t="shared" si="1"/>
        <v>0</v>
      </c>
    </row>
    <row r="710">
      <c r="B710" s="36"/>
      <c r="G710" s="37"/>
      <c r="P710" s="17">
        <f t="shared" si="1"/>
        <v>0</v>
      </c>
    </row>
    <row r="711">
      <c r="B711" s="36"/>
      <c r="G711" s="37"/>
      <c r="P711" s="17">
        <f t="shared" si="1"/>
        <v>0</v>
      </c>
    </row>
    <row r="712">
      <c r="B712" s="36"/>
      <c r="G712" s="37"/>
      <c r="P712" s="17">
        <f t="shared" si="1"/>
        <v>0</v>
      </c>
    </row>
    <row r="713">
      <c r="B713" s="36"/>
      <c r="G713" s="37"/>
      <c r="P713" s="17">
        <f t="shared" si="1"/>
        <v>0</v>
      </c>
    </row>
    <row r="714">
      <c r="B714" s="36"/>
      <c r="G714" s="37"/>
      <c r="P714" s="17">
        <f t="shared" si="1"/>
        <v>0</v>
      </c>
    </row>
    <row r="715">
      <c r="B715" s="36"/>
      <c r="P715" s="17">
        <f t="shared" si="1"/>
        <v>0</v>
      </c>
    </row>
    <row r="716">
      <c r="B716" s="36"/>
      <c r="P716" s="17">
        <f t="shared" si="1"/>
        <v>0</v>
      </c>
    </row>
    <row r="717">
      <c r="B717" s="36"/>
      <c r="P717" s="17">
        <f t="shared" si="1"/>
        <v>0</v>
      </c>
    </row>
    <row r="718">
      <c r="B718" s="36"/>
      <c r="P718" s="17">
        <f t="shared" si="1"/>
        <v>0</v>
      </c>
    </row>
    <row r="719">
      <c r="B719" s="36"/>
      <c r="P719" s="17">
        <f t="shared" si="1"/>
        <v>0</v>
      </c>
    </row>
    <row r="720">
      <c r="B720" s="36"/>
      <c r="P720" s="17">
        <f t="shared" si="1"/>
        <v>0</v>
      </c>
    </row>
    <row r="721">
      <c r="B721" s="36"/>
      <c r="P721" s="17">
        <f t="shared" si="1"/>
        <v>0</v>
      </c>
    </row>
    <row r="722">
      <c r="B722" s="36"/>
      <c r="P722" s="17">
        <f t="shared" si="1"/>
        <v>0</v>
      </c>
    </row>
    <row r="723">
      <c r="B723" s="36"/>
      <c r="P723" s="17">
        <f t="shared" si="1"/>
        <v>0</v>
      </c>
    </row>
    <row r="724">
      <c r="B724" s="36"/>
      <c r="P724" s="17">
        <f t="shared" si="1"/>
        <v>0</v>
      </c>
    </row>
    <row r="725">
      <c r="B725" s="36"/>
      <c r="P725" s="17">
        <f t="shared" si="1"/>
        <v>0</v>
      </c>
    </row>
    <row r="726">
      <c r="B726" s="36"/>
      <c r="P726" s="17">
        <f t="shared" si="1"/>
        <v>0</v>
      </c>
    </row>
    <row r="727">
      <c r="B727" s="36"/>
      <c r="P727" s="17">
        <f t="shared" si="1"/>
        <v>0</v>
      </c>
    </row>
    <row r="728">
      <c r="P728" s="17">
        <f t="shared" si="1"/>
        <v>0</v>
      </c>
    </row>
    <row r="729">
      <c r="P729" s="17">
        <f t="shared" si="1"/>
        <v>0</v>
      </c>
    </row>
    <row r="730">
      <c r="P730" s="17">
        <f t="shared" si="1"/>
        <v>0</v>
      </c>
    </row>
    <row r="731">
      <c r="P731" s="17">
        <f t="shared" si="1"/>
        <v>0</v>
      </c>
    </row>
    <row r="732">
      <c r="P732" s="17">
        <f t="shared" si="1"/>
        <v>0</v>
      </c>
    </row>
    <row r="733">
      <c r="P733" s="17">
        <f t="shared" si="1"/>
        <v>0</v>
      </c>
    </row>
    <row r="734">
      <c r="P734" s="17">
        <f t="shared" si="1"/>
        <v>0</v>
      </c>
    </row>
    <row r="735">
      <c r="P735" s="17">
        <f t="shared" si="1"/>
        <v>0</v>
      </c>
    </row>
    <row r="736">
      <c r="P736" s="17">
        <f t="shared" si="1"/>
        <v>0</v>
      </c>
    </row>
    <row r="737">
      <c r="P737" s="17">
        <f t="shared" si="1"/>
        <v>0</v>
      </c>
    </row>
    <row r="738">
      <c r="P738" s="17">
        <f t="shared" si="1"/>
        <v>0</v>
      </c>
    </row>
    <row r="739">
      <c r="P739" s="17">
        <f t="shared" si="1"/>
        <v>0</v>
      </c>
    </row>
    <row r="740">
      <c r="P740" s="17">
        <f t="shared" si="1"/>
        <v>0</v>
      </c>
    </row>
    <row r="741">
      <c r="P741" s="17">
        <f t="shared" si="1"/>
        <v>0</v>
      </c>
    </row>
    <row r="742">
      <c r="P742" s="17">
        <f t="shared" si="1"/>
        <v>0</v>
      </c>
    </row>
    <row r="743">
      <c r="P743" s="17">
        <f t="shared" si="1"/>
        <v>0</v>
      </c>
    </row>
    <row r="744">
      <c r="P744" s="17">
        <f t="shared" si="1"/>
        <v>0</v>
      </c>
    </row>
    <row r="745">
      <c r="P745" s="17">
        <f t="shared" si="1"/>
        <v>0</v>
      </c>
    </row>
    <row r="746">
      <c r="P746" s="17">
        <f t="shared" si="1"/>
        <v>0</v>
      </c>
    </row>
    <row r="747">
      <c r="P747" s="17">
        <f t="shared" si="1"/>
        <v>0</v>
      </c>
    </row>
    <row r="748">
      <c r="P748" s="17">
        <f t="shared" si="1"/>
        <v>0</v>
      </c>
    </row>
    <row r="749">
      <c r="P749" s="17">
        <f t="shared" si="1"/>
        <v>0</v>
      </c>
    </row>
    <row r="750">
      <c r="P750" s="17">
        <f t="shared" si="1"/>
        <v>0</v>
      </c>
    </row>
    <row r="751">
      <c r="P751" s="17">
        <f t="shared" si="1"/>
        <v>0</v>
      </c>
    </row>
    <row r="752">
      <c r="P752" s="17">
        <f t="shared" si="1"/>
        <v>0</v>
      </c>
    </row>
    <row r="753">
      <c r="P753" s="17">
        <f t="shared" si="1"/>
        <v>0</v>
      </c>
    </row>
    <row r="754">
      <c r="P754" s="17">
        <f t="shared" si="1"/>
        <v>0</v>
      </c>
    </row>
    <row r="755">
      <c r="P755" s="17">
        <f t="shared" si="1"/>
        <v>0</v>
      </c>
    </row>
    <row r="756">
      <c r="P756" s="17">
        <f t="shared" si="1"/>
        <v>0</v>
      </c>
    </row>
    <row r="757">
      <c r="P757" s="17">
        <f t="shared" si="1"/>
        <v>0</v>
      </c>
    </row>
    <row r="758">
      <c r="P758" s="17">
        <f t="shared" si="1"/>
        <v>0</v>
      </c>
    </row>
    <row r="759">
      <c r="P759" s="17">
        <f t="shared" si="1"/>
        <v>0</v>
      </c>
    </row>
    <row r="760">
      <c r="P760" s="17">
        <f t="shared" si="1"/>
        <v>0</v>
      </c>
    </row>
    <row r="761">
      <c r="P761" s="17">
        <f t="shared" si="1"/>
        <v>0</v>
      </c>
    </row>
    <row r="762">
      <c r="P762" s="17">
        <f t="shared" si="1"/>
        <v>0</v>
      </c>
    </row>
    <row r="763">
      <c r="P763" s="17">
        <f t="shared" si="1"/>
        <v>0</v>
      </c>
    </row>
    <row r="764">
      <c r="P764" s="17">
        <f t="shared" si="1"/>
        <v>0</v>
      </c>
    </row>
    <row r="765">
      <c r="P765" s="17">
        <f t="shared" si="1"/>
        <v>0</v>
      </c>
    </row>
    <row r="766">
      <c r="P766" s="17">
        <f t="shared" si="1"/>
        <v>0</v>
      </c>
    </row>
    <row r="767">
      <c r="P767" s="17">
        <f t="shared" si="1"/>
        <v>0</v>
      </c>
    </row>
    <row r="768">
      <c r="P768" s="17">
        <f t="shared" si="1"/>
        <v>0</v>
      </c>
    </row>
    <row r="769">
      <c r="P769" s="17">
        <f t="shared" si="1"/>
        <v>0</v>
      </c>
    </row>
    <row r="770">
      <c r="P770" s="17">
        <f t="shared" si="1"/>
        <v>0</v>
      </c>
    </row>
    <row r="771">
      <c r="P771" s="17">
        <f t="shared" si="1"/>
        <v>0</v>
      </c>
    </row>
    <row r="772">
      <c r="P772" s="17">
        <f t="shared" si="1"/>
        <v>0</v>
      </c>
    </row>
    <row r="773">
      <c r="P773" s="17">
        <f t="shared" si="1"/>
        <v>0</v>
      </c>
    </row>
    <row r="774">
      <c r="P774" s="17">
        <f t="shared" si="1"/>
        <v>0</v>
      </c>
    </row>
    <row r="775">
      <c r="P775" s="17">
        <f t="shared" si="1"/>
        <v>0</v>
      </c>
    </row>
    <row r="776">
      <c r="P776" s="17">
        <f t="shared" si="1"/>
        <v>0</v>
      </c>
    </row>
    <row r="777">
      <c r="P777" s="17">
        <f t="shared" si="1"/>
        <v>0</v>
      </c>
    </row>
    <row r="778">
      <c r="P778" s="17">
        <f t="shared" si="1"/>
        <v>0</v>
      </c>
    </row>
    <row r="779">
      <c r="P779" s="17">
        <f t="shared" si="1"/>
        <v>0</v>
      </c>
    </row>
    <row r="780">
      <c r="P780" s="17">
        <f t="shared" si="1"/>
        <v>0</v>
      </c>
    </row>
    <row r="781">
      <c r="P781" s="17">
        <f t="shared" si="1"/>
        <v>0</v>
      </c>
    </row>
    <row r="782">
      <c r="P782" s="17">
        <f t="shared" si="1"/>
        <v>0</v>
      </c>
    </row>
    <row r="783">
      <c r="P783" s="17">
        <f t="shared" si="1"/>
        <v>0</v>
      </c>
    </row>
    <row r="784">
      <c r="P784" s="17">
        <f t="shared" si="1"/>
        <v>0</v>
      </c>
    </row>
    <row r="785">
      <c r="P785" s="17">
        <f t="shared" si="1"/>
        <v>0</v>
      </c>
    </row>
    <row r="786">
      <c r="P786" s="17">
        <f t="shared" si="1"/>
        <v>0</v>
      </c>
    </row>
    <row r="787">
      <c r="P787" s="17">
        <f t="shared" si="1"/>
        <v>0</v>
      </c>
    </row>
    <row r="788">
      <c r="P788" s="17">
        <f t="shared" si="1"/>
        <v>0</v>
      </c>
    </row>
    <row r="789">
      <c r="P789" s="17">
        <f t="shared" si="1"/>
        <v>0</v>
      </c>
    </row>
    <row r="790">
      <c r="P790" s="17">
        <f t="shared" si="1"/>
        <v>0</v>
      </c>
    </row>
    <row r="791">
      <c r="P791" s="17">
        <f t="shared" si="1"/>
        <v>0</v>
      </c>
    </row>
    <row r="792">
      <c r="P792" s="17">
        <f t="shared" si="1"/>
        <v>0</v>
      </c>
    </row>
    <row r="793">
      <c r="P793" s="17">
        <f t="shared" si="1"/>
        <v>0</v>
      </c>
    </row>
    <row r="794">
      <c r="P794" s="17">
        <f t="shared" si="1"/>
        <v>0</v>
      </c>
    </row>
    <row r="795">
      <c r="P795" s="17">
        <f t="shared" si="1"/>
        <v>0</v>
      </c>
    </row>
    <row r="796">
      <c r="P796" s="17">
        <f t="shared" si="1"/>
        <v>0</v>
      </c>
    </row>
    <row r="797">
      <c r="P797" s="17">
        <f t="shared" si="1"/>
        <v>0</v>
      </c>
    </row>
    <row r="798">
      <c r="P798" s="17">
        <f t="shared" si="1"/>
        <v>0</v>
      </c>
    </row>
    <row r="799">
      <c r="P799" s="17">
        <f t="shared" si="1"/>
        <v>0</v>
      </c>
    </row>
    <row r="800">
      <c r="P800" s="17">
        <f t="shared" si="1"/>
        <v>0</v>
      </c>
    </row>
    <row r="801">
      <c r="P801" s="17">
        <f t="shared" si="1"/>
        <v>0</v>
      </c>
    </row>
    <row r="802">
      <c r="P802" s="17">
        <f t="shared" si="1"/>
        <v>0</v>
      </c>
    </row>
    <row r="803">
      <c r="P803" s="17">
        <f t="shared" si="1"/>
        <v>0</v>
      </c>
    </row>
    <row r="804">
      <c r="P804" s="17">
        <f t="shared" si="1"/>
        <v>0</v>
      </c>
    </row>
    <row r="805">
      <c r="P805" s="17">
        <f t="shared" si="1"/>
        <v>0</v>
      </c>
    </row>
    <row r="806">
      <c r="P806" s="17">
        <f t="shared" si="1"/>
        <v>0</v>
      </c>
    </row>
    <row r="807">
      <c r="P807" s="17">
        <f t="shared" si="1"/>
        <v>0</v>
      </c>
    </row>
    <row r="808">
      <c r="P808" s="17">
        <f t="shared" si="1"/>
        <v>0</v>
      </c>
    </row>
    <row r="809">
      <c r="P809" s="17">
        <f t="shared" si="1"/>
        <v>0</v>
      </c>
    </row>
    <row r="810">
      <c r="P810" s="17">
        <f t="shared" si="1"/>
        <v>0</v>
      </c>
    </row>
    <row r="811">
      <c r="P811" s="17">
        <f t="shared" si="1"/>
        <v>0</v>
      </c>
    </row>
    <row r="812">
      <c r="P812" s="17">
        <f t="shared" si="1"/>
        <v>0</v>
      </c>
    </row>
    <row r="813">
      <c r="P813" s="17">
        <f t="shared" si="1"/>
        <v>0</v>
      </c>
    </row>
    <row r="814">
      <c r="P814" s="17">
        <f t="shared" si="1"/>
        <v>0</v>
      </c>
    </row>
    <row r="815">
      <c r="P815" s="17">
        <f t="shared" si="1"/>
        <v>0</v>
      </c>
    </row>
    <row r="816">
      <c r="P816" s="17">
        <f t="shared" si="1"/>
        <v>0</v>
      </c>
    </row>
    <row r="817">
      <c r="P817" s="17">
        <f t="shared" si="1"/>
        <v>0</v>
      </c>
    </row>
    <row r="818">
      <c r="P818" s="17">
        <f t="shared" si="1"/>
        <v>0</v>
      </c>
    </row>
    <row r="819">
      <c r="P819" s="17">
        <f t="shared" si="1"/>
        <v>0</v>
      </c>
    </row>
    <row r="820">
      <c r="P820" s="17">
        <f t="shared" si="1"/>
        <v>0</v>
      </c>
    </row>
    <row r="821">
      <c r="P821" s="17">
        <f t="shared" si="1"/>
        <v>0</v>
      </c>
    </row>
    <row r="822">
      <c r="P822" s="17">
        <f t="shared" si="1"/>
        <v>0</v>
      </c>
    </row>
    <row r="823">
      <c r="P823" s="17">
        <f t="shared" si="1"/>
        <v>0</v>
      </c>
    </row>
    <row r="824">
      <c r="P824" s="17">
        <f t="shared" si="1"/>
        <v>0</v>
      </c>
    </row>
    <row r="825">
      <c r="P825" s="17">
        <f t="shared" si="1"/>
        <v>0</v>
      </c>
    </row>
    <row r="826">
      <c r="P826" s="17">
        <f t="shared" si="1"/>
        <v>0</v>
      </c>
    </row>
    <row r="827">
      <c r="P827" s="17">
        <f t="shared" si="1"/>
        <v>0</v>
      </c>
    </row>
    <row r="828">
      <c r="P828" s="17">
        <f t="shared" si="1"/>
        <v>0</v>
      </c>
    </row>
    <row r="829">
      <c r="P829" s="17">
        <f t="shared" si="1"/>
        <v>0</v>
      </c>
    </row>
    <row r="830">
      <c r="P830" s="17">
        <f t="shared" si="1"/>
        <v>0</v>
      </c>
    </row>
    <row r="831">
      <c r="P831" s="17">
        <f t="shared" si="1"/>
        <v>0</v>
      </c>
    </row>
    <row r="832">
      <c r="P832" s="17">
        <f t="shared" si="1"/>
        <v>0</v>
      </c>
    </row>
    <row r="833">
      <c r="P833" s="17">
        <f t="shared" si="1"/>
        <v>0</v>
      </c>
    </row>
    <row r="834">
      <c r="P834" s="17">
        <f t="shared" si="1"/>
        <v>0</v>
      </c>
    </row>
    <row r="835">
      <c r="P835" s="17">
        <f t="shared" si="1"/>
        <v>0</v>
      </c>
    </row>
    <row r="836">
      <c r="P836" s="17">
        <f t="shared" si="1"/>
        <v>0</v>
      </c>
    </row>
    <row r="837">
      <c r="P837" s="17">
        <f t="shared" si="1"/>
        <v>0</v>
      </c>
    </row>
    <row r="838">
      <c r="P838" s="17">
        <f t="shared" si="1"/>
        <v>0</v>
      </c>
    </row>
    <row r="839">
      <c r="P839" s="17">
        <f t="shared" si="1"/>
        <v>0</v>
      </c>
    </row>
    <row r="840">
      <c r="P840" s="17">
        <f t="shared" si="1"/>
        <v>0</v>
      </c>
    </row>
    <row r="841">
      <c r="P841" s="17">
        <f t="shared" si="1"/>
        <v>0</v>
      </c>
    </row>
    <row r="842">
      <c r="P842" s="17">
        <f t="shared" si="1"/>
        <v>0</v>
      </c>
    </row>
    <row r="843">
      <c r="P843" s="17">
        <f t="shared" si="1"/>
        <v>0</v>
      </c>
    </row>
    <row r="844">
      <c r="P844" s="17">
        <f t="shared" si="1"/>
        <v>0</v>
      </c>
    </row>
    <row r="845">
      <c r="P845" s="17">
        <f t="shared" si="1"/>
        <v>0</v>
      </c>
    </row>
    <row r="846">
      <c r="P846" s="17">
        <f t="shared" si="1"/>
        <v>0</v>
      </c>
    </row>
    <row r="847">
      <c r="P847" s="17">
        <f t="shared" si="1"/>
        <v>0</v>
      </c>
    </row>
    <row r="848">
      <c r="P848" s="17">
        <f t="shared" si="1"/>
        <v>0</v>
      </c>
    </row>
    <row r="849">
      <c r="P849" s="17">
        <f t="shared" si="1"/>
        <v>0</v>
      </c>
    </row>
    <row r="850">
      <c r="P850" s="17">
        <f t="shared" si="1"/>
        <v>0</v>
      </c>
    </row>
    <row r="851">
      <c r="P851" s="17">
        <f t="shared" si="1"/>
        <v>0</v>
      </c>
    </row>
    <row r="852">
      <c r="P852" s="17">
        <f t="shared" si="1"/>
        <v>0</v>
      </c>
    </row>
    <row r="853">
      <c r="P853" s="17">
        <f t="shared" si="1"/>
        <v>0</v>
      </c>
    </row>
    <row r="854">
      <c r="P854" s="17">
        <f t="shared" si="1"/>
        <v>0</v>
      </c>
    </row>
    <row r="855">
      <c r="P855" s="17">
        <f t="shared" si="1"/>
        <v>0</v>
      </c>
    </row>
    <row r="856">
      <c r="P856" s="17">
        <f t="shared" si="1"/>
        <v>0</v>
      </c>
    </row>
    <row r="857">
      <c r="P857" s="17">
        <f t="shared" si="1"/>
        <v>0</v>
      </c>
    </row>
    <row r="858">
      <c r="P858" s="17">
        <f t="shared" si="1"/>
        <v>0</v>
      </c>
    </row>
    <row r="859">
      <c r="P859" s="17">
        <f t="shared" si="1"/>
        <v>0</v>
      </c>
    </row>
    <row r="860">
      <c r="P860" s="17">
        <f t="shared" si="1"/>
        <v>0</v>
      </c>
    </row>
    <row r="861">
      <c r="P861" s="17">
        <f t="shared" si="1"/>
        <v>0</v>
      </c>
    </row>
    <row r="862">
      <c r="P862" s="17">
        <f t="shared" si="1"/>
        <v>0</v>
      </c>
    </row>
    <row r="863">
      <c r="P863" s="17">
        <f t="shared" si="1"/>
        <v>0</v>
      </c>
    </row>
    <row r="864">
      <c r="P864" s="17">
        <f t="shared" si="1"/>
        <v>0</v>
      </c>
    </row>
    <row r="865">
      <c r="P865" s="17">
        <f t="shared" si="1"/>
        <v>0</v>
      </c>
    </row>
    <row r="866">
      <c r="P866" s="17">
        <f t="shared" si="1"/>
        <v>0</v>
      </c>
    </row>
    <row r="867">
      <c r="P867" s="17">
        <f t="shared" si="1"/>
        <v>0</v>
      </c>
    </row>
    <row r="868">
      <c r="P868" s="17">
        <f t="shared" si="1"/>
        <v>0</v>
      </c>
    </row>
    <row r="869">
      <c r="P869" s="17">
        <f t="shared" si="1"/>
        <v>0</v>
      </c>
    </row>
    <row r="870">
      <c r="P870" s="17">
        <f t="shared" si="1"/>
        <v>0</v>
      </c>
    </row>
    <row r="871">
      <c r="P871" s="17">
        <f t="shared" si="1"/>
        <v>0</v>
      </c>
    </row>
    <row r="872">
      <c r="P872" s="17">
        <f t="shared" si="1"/>
        <v>0</v>
      </c>
    </row>
    <row r="873">
      <c r="P873" s="17">
        <f t="shared" si="1"/>
        <v>0</v>
      </c>
    </row>
    <row r="874">
      <c r="P874" s="17">
        <f t="shared" si="1"/>
        <v>0</v>
      </c>
    </row>
    <row r="875">
      <c r="P875" s="17">
        <f t="shared" si="1"/>
        <v>0</v>
      </c>
    </row>
    <row r="876">
      <c r="P876" s="17">
        <f t="shared" si="1"/>
        <v>0</v>
      </c>
    </row>
    <row r="877">
      <c r="P877" s="17">
        <f t="shared" si="1"/>
        <v>0</v>
      </c>
    </row>
    <row r="878">
      <c r="P878" s="17">
        <f t="shared" si="1"/>
        <v>0</v>
      </c>
    </row>
    <row r="879">
      <c r="P879" s="17">
        <f t="shared" si="1"/>
        <v>0</v>
      </c>
    </row>
    <row r="880">
      <c r="P880" s="17">
        <f t="shared" si="1"/>
        <v>0</v>
      </c>
    </row>
    <row r="881">
      <c r="P881" s="17">
        <f t="shared" si="1"/>
        <v>0</v>
      </c>
    </row>
    <row r="882">
      <c r="P882" s="17">
        <f t="shared" si="1"/>
        <v>0</v>
      </c>
    </row>
    <row r="883">
      <c r="P883" s="17">
        <f t="shared" si="1"/>
        <v>0</v>
      </c>
    </row>
    <row r="884">
      <c r="P884" s="17">
        <f t="shared" si="1"/>
        <v>0</v>
      </c>
    </row>
    <row r="885">
      <c r="P885" s="17">
        <f t="shared" si="1"/>
        <v>0</v>
      </c>
    </row>
    <row r="886">
      <c r="P886" s="17">
        <f t="shared" si="1"/>
        <v>0</v>
      </c>
    </row>
    <row r="887">
      <c r="P887" s="17">
        <f t="shared" si="1"/>
        <v>0</v>
      </c>
    </row>
    <row r="888">
      <c r="P888" s="17">
        <f t="shared" si="1"/>
        <v>0</v>
      </c>
    </row>
    <row r="889">
      <c r="P889" s="17">
        <f t="shared" si="1"/>
        <v>0</v>
      </c>
    </row>
    <row r="890">
      <c r="P890" s="17">
        <f t="shared" si="1"/>
        <v>0</v>
      </c>
    </row>
    <row r="891">
      <c r="P891" s="17">
        <f t="shared" si="1"/>
        <v>0</v>
      </c>
    </row>
    <row r="892">
      <c r="P892" s="17">
        <f t="shared" si="1"/>
        <v>0</v>
      </c>
    </row>
    <row r="893">
      <c r="P893" s="17">
        <f t="shared" si="1"/>
        <v>0</v>
      </c>
    </row>
    <row r="894">
      <c r="P894" s="17">
        <f t="shared" si="1"/>
        <v>0</v>
      </c>
    </row>
    <row r="895">
      <c r="P895" s="17">
        <f t="shared" si="1"/>
        <v>0</v>
      </c>
    </row>
    <row r="896">
      <c r="P896" s="17">
        <f t="shared" si="1"/>
        <v>0</v>
      </c>
    </row>
    <row r="897">
      <c r="P897" s="17">
        <f t="shared" si="1"/>
        <v>0</v>
      </c>
    </row>
    <row r="898">
      <c r="P898" s="17">
        <f t="shared" si="1"/>
        <v>0</v>
      </c>
    </row>
    <row r="899">
      <c r="P899" s="17">
        <f t="shared" si="1"/>
        <v>0</v>
      </c>
    </row>
    <row r="900">
      <c r="P900" s="17">
        <f t="shared" si="1"/>
        <v>0</v>
      </c>
    </row>
    <row r="901">
      <c r="P901" s="17">
        <f t="shared" si="1"/>
        <v>0</v>
      </c>
    </row>
    <row r="902">
      <c r="P902" s="17">
        <f t="shared" si="1"/>
        <v>0</v>
      </c>
    </row>
    <row r="903">
      <c r="P903" s="17">
        <f t="shared" si="1"/>
        <v>0</v>
      </c>
    </row>
    <row r="904">
      <c r="P904" s="17">
        <f t="shared" si="1"/>
        <v>0</v>
      </c>
    </row>
    <row r="905">
      <c r="P905" s="17">
        <f t="shared" si="1"/>
        <v>0</v>
      </c>
    </row>
    <row r="906">
      <c r="P906" s="17">
        <f t="shared" si="1"/>
        <v>0</v>
      </c>
    </row>
    <row r="907">
      <c r="P907" s="17">
        <f t="shared" si="1"/>
        <v>0</v>
      </c>
    </row>
    <row r="908">
      <c r="P908" s="17">
        <f t="shared" si="1"/>
        <v>0</v>
      </c>
    </row>
    <row r="909">
      <c r="P909" s="17">
        <f t="shared" si="1"/>
        <v>0</v>
      </c>
    </row>
    <row r="910">
      <c r="P910" s="17">
        <f t="shared" si="1"/>
        <v>0</v>
      </c>
    </row>
    <row r="911">
      <c r="P911" s="17">
        <f t="shared" si="1"/>
        <v>0</v>
      </c>
    </row>
    <row r="912">
      <c r="P912" s="17">
        <f t="shared" si="1"/>
        <v>0</v>
      </c>
    </row>
    <row r="913">
      <c r="P913" s="17">
        <f t="shared" si="1"/>
        <v>0</v>
      </c>
    </row>
    <row r="914">
      <c r="P914" s="17">
        <f t="shared" si="1"/>
        <v>0</v>
      </c>
    </row>
    <row r="915">
      <c r="P915" s="17">
        <f t="shared" si="1"/>
        <v>0</v>
      </c>
    </row>
    <row r="916">
      <c r="P916" s="17">
        <f t="shared" si="1"/>
        <v>0</v>
      </c>
    </row>
    <row r="917">
      <c r="P917" s="17">
        <f t="shared" si="1"/>
        <v>0</v>
      </c>
    </row>
    <row r="918">
      <c r="P918" s="17">
        <f t="shared" si="1"/>
        <v>0</v>
      </c>
    </row>
    <row r="919">
      <c r="P919" s="17">
        <f t="shared" si="1"/>
        <v>0</v>
      </c>
    </row>
    <row r="920">
      <c r="P920" s="17">
        <f t="shared" si="1"/>
        <v>0</v>
      </c>
    </row>
    <row r="921">
      <c r="P921" s="17">
        <f t="shared" si="1"/>
        <v>0</v>
      </c>
    </row>
    <row r="922">
      <c r="P922" s="17">
        <f t="shared" si="1"/>
        <v>0</v>
      </c>
    </row>
    <row r="923">
      <c r="P923" s="17">
        <f t="shared" si="1"/>
        <v>0</v>
      </c>
    </row>
    <row r="924">
      <c r="P924" s="17">
        <f t="shared" si="1"/>
        <v>0</v>
      </c>
    </row>
    <row r="925">
      <c r="P925" s="17">
        <f t="shared" si="1"/>
        <v>0</v>
      </c>
    </row>
    <row r="926">
      <c r="P926" s="17">
        <f t="shared" si="1"/>
        <v>0</v>
      </c>
    </row>
    <row r="927">
      <c r="P927" s="17">
        <f t="shared" si="1"/>
        <v>0</v>
      </c>
    </row>
    <row r="928">
      <c r="P928" s="17">
        <f t="shared" si="1"/>
        <v>0</v>
      </c>
    </row>
    <row r="929">
      <c r="P929" s="17">
        <f t="shared" si="1"/>
        <v>0</v>
      </c>
    </row>
    <row r="930">
      <c r="P930" s="17">
        <f t="shared" si="1"/>
        <v>0</v>
      </c>
    </row>
    <row r="931">
      <c r="P931" s="17">
        <f t="shared" si="1"/>
        <v>0</v>
      </c>
    </row>
    <row r="932">
      <c r="P932" s="17">
        <f t="shared" si="1"/>
        <v>0</v>
      </c>
    </row>
    <row r="933">
      <c r="P933" s="17">
        <f t="shared" si="1"/>
        <v>0</v>
      </c>
    </row>
    <row r="934">
      <c r="P934" s="17">
        <f t="shared" si="1"/>
        <v>0</v>
      </c>
    </row>
    <row r="935">
      <c r="P935" s="17">
        <f t="shared" si="1"/>
        <v>0</v>
      </c>
    </row>
    <row r="936">
      <c r="P936" s="17">
        <f t="shared" si="1"/>
        <v>0</v>
      </c>
    </row>
    <row r="937">
      <c r="P937" s="17">
        <f t="shared" si="1"/>
        <v>0</v>
      </c>
    </row>
    <row r="938">
      <c r="P938" s="17">
        <f t="shared" si="1"/>
        <v>0</v>
      </c>
    </row>
    <row r="939">
      <c r="P939" s="17">
        <f t="shared" si="1"/>
        <v>0</v>
      </c>
    </row>
    <row r="940">
      <c r="P940" s="17">
        <f t="shared" si="1"/>
        <v>0</v>
      </c>
    </row>
    <row r="941">
      <c r="P941" s="17">
        <f t="shared" si="1"/>
        <v>0</v>
      </c>
    </row>
    <row r="942">
      <c r="P942" s="17">
        <f t="shared" si="1"/>
        <v>0</v>
      </c>
    </row>
    <row r="943">
      <c r="P943" s="17">
        <f t="shared" si="1"/>
        <v>0</v>
      </c>
    </row>
    <row r="944">
      <c r="P944" s="17">
        <f t="shared" si="1"/>
        <v>0</v>
      </c>
    </row>
    <row r="945">
      <c r="P945" s="17">
        <f t="shared" si="1"/>
        <v>0</v>
      </c>
    </row>
    <row r="946">
      <c r="P946" s="17">
        <f t="shared" si="1"/>
        <v>0</v>
      </c>
    </row>
    <row r="947">
      <c r="P947" s="17">
        <f t="shared" si="1"/>
        <v>0</v>
      </c>
    </row>
    <row r="948">
      <c r="P948" s="17">
        <f t="shared" si="1"/>
        <v>0</v>
      </c>
    </row>
    <row r="949">
      <c r="P949" s="17">
        <f t="shared" si="1"/>
        <v>0</v>
      </c>
    </row>
    <row r="950">
      <c r="P950" s="17">
        <f t="shared" si="1"/>
        <v>0</v>
      </c>
    </row>
    <row r="951">
      <c r="P951" s="17">
        <f t="shared" si="1"/>
        <v>0</v>
      </c>
    </row>
    <row r="952">
      <c r="P952" s="17">
        <f t="shared" si="1"/>
        <v>0</v>
      </c>
    </row>
    <row r="953">
      <c r="P953" s="17">
        <f t="shared" si="1"/>
        <v>0</v>
      </c>
    </row>
    <row r="954">
      <c r="P954" s="17">
        <f t="shared" si="1"/>
        <v>0</v>
      </c>
    </row>
    <row r="955">
      <c r="P955" s="17">
        <f t="shared" si="1"/>
        <v>0</v>
      </c>
    </row>
    <row r="956">
      <c r="P956" s="17">
        <f t="shared" si="1"/>
        <v>0</v>
      </c>
    </row>
    <row r="957">
      <c r="P957" s="17">
        <f t="shared" si="1"/>
        <v>0</v>
      </c>
    </row>
    <row r="958">
      <c r="P958" s="17">
        <f t="shared" si="1"/>
        <v>0</v>
      </c>
    </row>
    <row r="959">
      <c r="P959" s="17">
        <f t="shared" si="1"/>
        <v>0</v>
      </c>
    </row>
    <row r="960">
      <c r="P960" s="17">
        <f t="shared" si="1"/>
        <v>0</v>
      </c>
    </row>
    <row r="961">
      <c r="P961" s="17">
        <f t="shared" si="1"/>
        <v>0</v>
      </c>
    </row>
    <row r="962">
      <c r="P962" s="17">
        <f t="shared" si="1"/>
        <v>0</v>
      </c>
    </row>
    <row r="963">
      <c r="P963" s="17">
        <f t="shared" si="1"/>
        <v>0</v>
      </c>
    </row>
    <row r="964">
      <c r="P964" s="17">
        <f t="shared" si="1"/>
        <v>0</v>
      </c>
    </row>
    <row r="965">
      <c r="P965" s="17">
        <f t="shared" si="1"/>
        <v>0</v>
      </c>
    </row>
    <row r="966">
      <c r="P966" s="17">
        <f t="shared" si="1"/>
        <v>0</v>
      </c>
    </row>
    <row r="967">
      <c r="P967" s="17">
        <f t="shared" si="1"/>
        <v>0</v>
      </c>
    </row>
    <row r="968">
      <c r="P968" s="17">
        <f t="shared" si="1"/>
        <v>0</v>
      </c>
    </row>
    <row r="969">
      <c r="P969" s="17">
        <f t="shared" si="1"/>
        <v>0</v>
      </c>
    </row>
    <row r="970">
      <c r="P970" s="17">
        <f t="shared" si="1"/>
        <v>0</v>
      </c>
    </row>
    <row r="971">
      <c r="P971" s="17">
        <f t="shared" si="1"/>
        <v>0</v>
      </c>
    </row>
    <row r="972">
      <c r="P972" s="17">
        <f t="shared" si="1"/>
        <v>0</v>
      </c>
    </row>
    <row r="973">
      <c r="P973" s="17">
        <f t="shared" si="1"/>
        <v>0</v>
      </c>
    </row>
    <row r="974">
      <c r="P974" s="17">
        <f t="shared" si="1"/>
        <v>0</v>
      </c>
    </row>
    <row r="975">
      <c r="P975" s="17">
        <f t="shared" si="1"/>
        <v>0</v>
      </c>
    </row>
    <row r="976">
      <c r="P976" s="17">
        <f t="shared" si="1"/>
        <v>0</v>
      </c>
    </row>
    <row r="977">
      <c r="P977" s="17">
        <f t="shared" si="1"/>
        <v>0</v>
      </c>
    </row>
    <row r="978">
      <c r="P978" s="17">
        <f t="shared" si="1"/>
        <v>0</v>
      </c>
    </row>
    <row r="979">
      <c r="P979" s="17">
        <f t="shared" si="1"/>
        <v>0</v>
      </c>
    </row>
    <row r="980">
      <c r="P980" s="17">
        <f t="shared" si="1"/>
        <v>0</v>
      </c>
    </row>
    <row r="981">
      <c r="P981" s="17">
        <f t="shared" si="1"/>
        <v>0</v>
      </c>
    </row>
    <row r="982">
      <c r="P982" s="17">
        <f t="shared" si="1"/>
        <v>0</v>
      </c>
    </row>
    <row r="983">
      <c r="P983" s="17">
        <f t="shared" si="1"/>
        <v>0</v>
      </c>
    </row>
    <row r="984">
      <c r="P984" s="17">
        <f t="shared" si="1"/>
        <v>0</v>
      </c>
    </row>
    <row r="985">
      <c r="P985" s="17">
        <f t="shared" si="1"/>
        <v>0</v>
      </c>
    </row>
    <row r="986">
      <c r="P986" s="17">
        <f t="shared" si="1"/>
        <v>0</v>
      </c>
    </row>
    <row r="987">
      <c r="P987" s="17">
        <f t="shared" si="1"/>
        <v>0</v>
      </c>
    </row>
    <row r="988">
      <c r="P988" s="17">
        <f t="shared" si="1"/>
        <v>0</v>
      </c>
    </row>
    <row r="989">
      <c r="P989" s="17">
        <f t="shared" si="1"/>
        <v>0</v>
      </c>
    </row>
    <row r="990">
      <c r="P990" s="17">
        <f t="shared" si="1"/>
        <v>0</v>
      </c>
    </row>
    <row r="991">
      <c r="P991" s="17">
        <f t="shared" si="1"/>
        <v>0</v>
      </c>
    </row>
    <row r="992">
      <c r="P992" s="17">
        <f t="shared" si="1"/>
        <v>0</v>
      </c>
    </row>
    <row r="993">
      <c r="P993" s="17">
        <f t="shared" si="1"/>
        <v>0</v>
      </c>
    </row>
    <row r="994">
      <c r="P994" s="17">
        <f t="shared" si="1"/>
        <v>0</v>
      </c>
    </row>
    <row r="995">
      <c r="P995" s="17">
        <f t="shared" si="1"/>
        <v>0</v>
      </c>
    </row>
    <row r="996">
      <c r="P996" s="17">
        <f t="shared" si="1"/>
        <v>0</v>
      </c>
    </row>
    <row r="997">
      <c r="P997" s="17">
        <f t="shared" si="1"/>
        <v>0</v>
      </c>
    </row>
    <row r="998">
      <c r="P998" s="17">
        <f t="shared" si="1"/>
        <v>0</v>
      </c>
    </row>
    <row r="999">
      <c r="P999" s="17">
        <f t="shared" si="1"/>
        <v>0</v>
      </c>
    </row>
    <row r="1000">
      <c r="P1000" s="17">
        <f t="shared" si="1"/>
        <v>0</v>
      </c>
    </row>
    <row r="1001">
      <c r="P1001" s="17">
        <f t="shared" si="1"/>
        <v>0</v>
      </c>
    </row>
    <row r="1002">
      <c r="P1002" s="17">
        <f t="shared" si="1"/>
        <v>0</v>
      </c>
    </row>
    <row r="1003">
      <c r="P1003" s="17">
        <f t="shared" si="1"/>
        <v>0</v>
      </c>
    </row>
    <row r="1004">
      <c r="P1004" s="17">
        <f t="shared" si="1"/>
        <v>0</v>
      </c>
    </row>
    <row r="1005">
      <c r="P1005" s="17">
        <f t="shared" si="1"/>
        <v>0</v>
      </c>
    </row>
    <row r="1006">
      <c r="P1006" s="17">
        <f t="shared" si="1"/>
        <v>0</v>
      </c>
    </row>
    <row r="1007">
      <c r="P1007" s="17">
        <f t="shared" si="1"/>
        <v>0</v>
      </c>
    </row>
    <row r="1008">
      <c r="P1008" s="17">
        <f t="shared" si="1"/>
        <v>0</v>
      </c>
    </row>
    <row r="1009">
      <c r="P1009" s="17">
        <f t="shared" si="1"/>
        <v>0</v>
      </c>
    </row>
    <row r="1010">
      <c r="P1010" s="17">
        <f t="shared" si="1"/>
        <v>0</v>
      </c>
    </row>
    <row r="1011">
      <c r="P1011" s="17">
        <f t="shared" si="1"/>
        <v>0</v>
      </c>
    </row>
    <row r="1012">
      <c r="P1012" s="17">
        <f t="shared" si="1"/>
        <v>0</v>
      </c>
    </row>
    <row r="1013">
      <c r="P1013" s="17">
        <f t="shared" si="1"/>
        <v>0</v>
      </c>
    </row>
    <row r="1014">
      <c r="P1014" s="17">
        <f t="shared" si="1"/>
        <v>0</v>
      </c>
    </row>
    <row r="1015">
      <c r="P1015" s="17">
        <f t="shared" si="1"/>
        <v>0</v>
      </c>
    </row>
    <row r="1016">
      <c r="P1016" s="17">
        <f t="shared" si="1"/>
        <v>0</v>
      </c>
    </row>
    <row r="1017">
      <c r="P1017" s="17">
        <f t="shared" si="1"/>
        <v>0</v>
      </c>
    </row>
    <row r="1018">
      <c r="P1018" s="17">
        <f t="shared" si="1"/>
        <v>0</v>
      </c>
    </row>
    <row r="1019">
      <c r="P1019" s="17">
        <f t="shared" si="1"/>
        <v>0</v>
      </c>
    </row>
    <row r="1020">
      <c r="P1020" s="17">
        <f t="shared" si="1"/>
        <v>0</v>
      </c>
    </row>
    <row r="1021">
      <c r="P1021" s="17">
        <f t="shared" si="1"/>
        <v>0</v>
      </c>
    </row>
    <row r="1022">
      <c r="P1022" s="17">
        <f t="shared" si="1"/>
        <v>0</v>
      </c>
    </row>
    <row r="1023">
      <c r="P1023" s="17">
        <f t="shared" si="1"/>
        <v>0</v>
      </c>
    </row>
    <row r="1024">
      <c r="P1024" s="17">
        <f t="shared" si="1"/>
        <v>0</v>
      </c>
    </row>
    <row r="1025">
      <c r="P1025" s="17">
        <f t="shared" si="1"/>
        <v>0</v>
      </c>
    </row>
    <row r="1026">
      <c r="P1026" s="17">
        <f t="shared" si="1"/>
        <v>0</v>
      </c>
    </row>
    <row r="1027">
      <c r="P1027" s="17">
        <f t="shared" si="1"/>
        <v>0</v>
      </c>
    </row>
    <row r="1028">
      <c r="P1028" s="17">
        <f t="shared" si="1"/>
        <v>0</v>
      </c>
    </row>
    <row r="1029">
      <c r="P1029" s="17">
        <f t="shared" si="1"/>
        <v>0</v>
      </c>
    </row>
    <row r="1030">
      <c r="P1030" s="17">
        <f t="shared" si="1"/>
        <v>0</v>
      </c>
    </row>
    <row r="1031">
      <c r="P1031" s="17">
        <f t="shared" si="1"/>
        <v>0</v>
      </c>
    </row>
    <row r="1032">
      <c r="P1032" s="17">
        <f t="shared" si="1"/>
        <v>0</v>
      </c>
    </row>
    <row r="1033">
      <c r="P1033" s="17">
        <f t="shared" si="1"/>
        <v>0</v>
      </c>
    </row>
    <row r="1034">
      <c r="P1034" s="17">
        <f t="shared" si="1"/>
        <v>0</v>
      </c>
    </row>
    <row r="1035">
      <c r="P1035" s="17">
        <f t="shared" si="1"/>
        <v>0</v>
      </c>
    </row>
    <row r="1036">
      <c r="P1036" s="17">
        <f t="shared" si="1"/>
        <v>0</v>
      </c>
    </row>
    <row r="1037">
      <c r="P1037" s="17">
        <f t="shared" si="1"/>
        <v>0</v>
      </c>
    </row>
    <row r="1038">
      <c r="P1038" s="17">
        <f t="shared" si="1"/>
        <v>0</v>
      </c>
    </row>
    <row r="1039">
      <c r="P1039" s="17">
        <f t="shared" si="1"/>
        <v>0</v>
      </c>
    </row>
    <row r="1040">
      <c r="P1040" s="17">
        <f t="shared" si="1"/>
        <v>0</v>
      </c>
    </row>
    <row r="1041">
      <c r="P1041" s="17">
        <f t="shared" si="1"/>
        <v>0</v>
      </c>
    </row>
    <row r="1042">
      <c r="P1042" s="17">
        <f t="shared" si="1"/>
        <v>0</v>
      </c>
    </row>
    <row r="1043">
      <c r="P1043" s="17">
        <f t="shared" si="1"/>
        <v>0</v>
      </c>
    </row>
    <row r="1044">
      <c r="P1044" s="17">
        <f t="shared" si="1"/>
        <v>0</v>
      </c>
    </row>
    <row r="1045">
      <c r="P1045" s="17">
        <f t="shared" si="1"/>
        <v>0</v>
      </c>
    </row>
    <row r="1046">
      <c r="P1046" s="17">
        <f t="shared" si="1"/>
        <v>0</v>
      </c>
    </row>
    <row r="1047">
      <c r="P1047" s="17">
        <f t="shared" si="1"/>
        <v>0</v>
      </c>
    </row>
    <row r="1048">
      <c r="P1048" s="17">
        <f t="shared" si="1"/>
        <v>0</v>
      </c>
    </row>
    <row r="1049">
      <c r="P1049" s="17">
        <f t="shared" si="1"/>
        <v>0</v>
      </c>
    </row>
    <row r="1050">
      <c r="P1050" s="17">
        <f t="shared" si="1"/>
        <v>0</v>
      </c>
    </row>
    <row r="1051">
      <c r="P1051" s="17">
        <f t="shared" si="1"/>
        <v>0</v>
      </c>
    </row>
    <row r="1052">
      <c r="P1052" s="17">
        <f t="shared" si="1"/>
        <v>0</v>
      </c>
    </row>
    <row r="1053">
      <c r="P1053" s="17">
        <f t="shared" si="1"/>
        <v>0</v>
      </c>
    </row>
    <row r="1054">
      <c r="P1054" s="17">
        <f t="shared" si="1"/>
        <v>0</v>
      </c>
    </row>
    <row r="1055">
      <c r="P1055" s="17">
        <f t="shared" si="1"/>
        <v>0</v>
      </c>
    </row>
    <row r="1056">
      <c r="P1056" s="17">
        <f t="shared" si="1"/>
        <v>0</v>
      </c>
    </row>
    <row r="1057">
      <c r="P1057" s="17">
        <f t="shared" si="1"/>
        <v>0</v>
      </c>
    </row>
    <row r="1058">
      <c r="P1058" s="17">
        <f t="shared" si="1"/>
        <v>0</v>
      </c>
    </row>
    <row r="1059">
      <c r="P1059" s="17">
        <f t="shared" si="1"/>
        <v>0</v>
      </c>
    </row>
    <row r="1060">
      <c r="P1060" s="17">
        <f t="shared" si="1"/>
        <v>0</v>
      </c>
    </row>
    <row r="1061">
      <c r="P1061" s="17">
        <f t="shared" si="1"/>
        <v>0</v>
      </c>
    </row>
    <row r="1062">
      <c r="P1062" s="17">
        <f t="shared" si="1"/>
        <v>0</v>
      </c>
    </row>
    <row r="1063">
      <c r="P1063" s="17">
        <f t="shared" si="1"/>
        <v>0</v>
      </c>
    </row>
    <row r="1064">
      <c r="P1064" s="17">
        <f t="shared" si="1"/>
        <v>0</v>
      </c>
    </row>
    <row r="1065">
      <c r="P1065" s="17">
        <f t="shared" si="1"/>
        <v>0</v>
      </c>
    </row>
    <row r="1066">
      <c r="P1066" s="17">
        <f t="shared" si="1"/>
        <v>0</v>
      </c>
    </row>
    <row r="1067">
      <c r="P1067" s="17">
        <f t="shared" si="1"/>
        <v>0</v>
      </c>
    </row>
    <row r="1068">
      <c r="P1068" s="17">
        <f t="shared" si="1"/>
        <v>0</v>
      </c>
    </row>
    <row r="1069">
      <c r="P1069" s="17">
        <f t="shared" si="1"/>
        <v>0</v>
      </c>
    </row>
    <row r="1070">
      <c r="P1070" s="17">
        <f t="shared" si="1"/>
        <v>0</v>
      </c>
    </row>
    <row r="1071">
      <c r="P1071" s="17">
        <f t="shared" si="1"/>
        <v>0</v>
      </c>
    </row>
    <row r="1072">
      <c r="P1072" s="17">
        <f t="shared" si="1"/>
        <v>0</v>
      </c>
    </row>
    <row r="1073">
      <c r="P1073" s="17">
        <f t="shared" si="1"/>
        <v>0</v>
      </c>
    </row>
    <row r="1074">
      <c r="P1074" s="17">
        <f t="shared" si="1"/>
        <v>0</v>
      </c>
    </row>
    <row r="1075">
      <c r="P1075" s="17">
        <f t="shared" si="1"/>
        <v>0</v>
      </c>
    </row>
    <row r="1076">
      <c r="P1076" s="17">
        <f t="shared" si="1"/>
        <v>0</v>
      </c>
    </row>
    <row r="1077">
      <c r="P1077" s="17">
        <f t="shared" si="1"/>
        <v>0</v>
      </c>
    </row>
    <row r="1078">
      <c r="P1078" s="17">
        <f t="shared" si="1"/>
        <v>0</v>
      </c>
    </row>
    <row r="1079">
      <c r="P1079" s="17">
        <f t="shared" si="1"/>
        <v>0</v>
      </c>
    </row>
    <row r="1080">
      <c r="P1080" s="17">
        <f t="shared" si="1"/>
        <v>0</v>
      </c>
    </row>
    <row r="1081">
      <c r="P1081" s="17">
        <f t="shared" si="1"/>
        <v>0</v>
      </c>
    </row>
    <row r="1082">
      <c r="P1082" s="17">
        <f t="shared" si="1"/>
        <v>0</v>
      </c>
    </row>
    <row r="1083">
      <c r="P1083" s="17">
        <f t="shared" si="1"/>
        <v>0</v>
      </c>
    </row>
    <row r="1084">
      <c r="P1084" s="17">
        <f t="shared" si="1"/>
        <v>0</v>
      </c>
    </row>
    <row r="1085">
      <c r="P1085" s="17">
        <f t="shared" si="1"/>
        <v>0</v>
      </c>
    </row>
    <row r="1086">
      <c r="P1086" s="17">
        <f t="shared" si="1"/>
        <v>0</v>
      </c>
    </row>
    <row r="1087">
      <c r="P1087" s="17">
        <f t="shared" si="1"/>
        <v>0</v>
      </c>
    </row>
    <row r="1088">
      <c r="P1088" s="17">
        <f t="shared" si="1"/>
        <v>0</v>
      </c>
    </row>
    <row r="1089">
      <c r="P1089" s="17">
        <f t="shared" si="1"/>
        <v>0</v>
      </c>
    </row>
    <row r="1090">
      <c r="P1090" s="17">
        <f t="shared" si="1"/>
        <v>0</v>
      </c>
    </row>
    <row r="1091">
      <c r="P1091" s="17">
        <f t="shared" si="1"/>
        <v>0</v>
      </c>
    </row>
    <row r="1092">
      <c r="P1092" s="17">
        <f t="shared" si="1"/>
        <v>0</v>
      </c>
    </row>
    <row r="1093">
      <c r="P1093" s="17">
        <f t="shared" si="1"/>
        <v>0</v>
      </c>
    </row>
    <row r="1094">
      <c r="P1094" s="17">
        <f t="shared" si="1"/>
        <v>0</v>
      </c>
    </row>
    <row r="1095">
      <c r="P1095" s="17">
        <f t="shared" si="1"/>
        <v>0</v>
      </c>
    </row>
    <row r="1096">
      <c r="P1096" s="17">
        <f t="shared" si="1"/>
        <v>0</v>
      </c>
    </row>
    <row r="1097">
      <c r="P1097" s="17">
        <f t="shared" si="1"/>
        <v>0</v>
      </c>
    </row>
    <row r="1098">
      <c r="P1098" s="17">
        <f t="shared" si="1"/>
        <v>0</v>
      </c>
    </row>
    <row r="1099">
      <c r="P1099" s="17">
        <f t="shared" si="1"/>
        <v>0</v>
      </c>
    </row>
    <row r="1100">
      <c r="P1100" s="17">
        <f t="shared" si="1"/>
        <v>0</v>
      </c>
    </row>
    <row r="1101">
      <c r="P1101" s="17">
        <f t="shared" si="1"/>
        <v>0</v>
      </c>
    </row>
    <row r="1102">
      <c r="P1102" s="17">
        <f t="shared" si="1"/>
        <v>0</v>
      </c>
    </row>
    <row r="1103">
      <c r="P1103" s="17">
        <f t="shared" si="1"/>
        <v>0</v>
      </c>
    </row>
    <row r="1104">
      <c r="P1104" s="17">
        <f t="shared" si="1"/>
        <v>0</v>
      </c>
    </row>
    <row r="1105">
      <c r="P1105" s="17">
        <f t="shared" si="1"/>
        <v>0</v>
      </c>
    </row>
    <row r="1106">
      <c r="P1106" s="17">
        <f t="shared" si="1"/>
        <v>0</v>
      </c>
    </row>
    <row r="1107">
      <c r="P1107" s="17">
        <f t="shared" si="1"/>
        <v>0</v>
      </c>
    </row>
    <row r="1108">
      <c r="P1108" s="17">
        <f t="shared" si="1"/>
        <v>0</v>
      </c>
    </row>
    <row r="1109">
      <c r="P1109" s="17">
        <f t="shared" si="1"/>
        <v>0</v>
      </c>
    </row>
    <row r="1110">
      <c r="P1110" s="17">
        <f t="shared" si="1"/>
        <v>0</v>
      </c>
    </row>
    <row r="1111">
      <c r="P1111" s="17">
        <f t="shared" si="1"/>
        <v>0</v>
      </c>
    </row>
    <row r="1112">
      <c r="P1112" s="17">
        <f t="shared" si="1"/>
        <v>0</v>
      </c>
    </row>
    <row r="1113">
      <c r="P1113" s="17">
        <f t="shared" si="1"/>
        <v>0</v>
      </c>
    </row>
    <row r="1114">
      <c r="P1114" s="17">
        <f t="shared" si="1"/>
        <v>0</v>
      </c>
    </row>
    <row r="1115">
      <c r="P1115" s="17">
        <f t="shared" si="1"/>
        <v>0</v>
      </c>
    </row>
    <row r="1116">
      <c r="P1116" s="17">
        <f t="shared" si="1"/>
        <v>0</v>
      </c>
    </row>
    <row r="1117">
      <c r="P1117" s="17">
        <f t="shared" si="1"/>
        <v>0</v>
      </c>
    </row>
    <row r="1118">
      <c r="P1118" s="17">
        <f t="shared" si="1"/>
        <v>0</v>
      </c>
    </row>
    <row r="1119">
      <c r="P1119" s="17">
        <f t="shared" si="1"/>
        <v>0</v>
      </c>
    </row>
    <row r="1120">
      <c r="P1120" s="17">
        <f t="shared" si="1"/>
        <v>0</v>
      </c>
    </row>
    <row r="1121">
      <c r="P1121" s="17">
        <f t="shared" si="1"/>
        <v>0</v>
      </c>
    </row>
    <row r="1122">
      <c r="P1122" s="17">
        <f t="shared" si="1"/>
        <v>0</v>
      </c>
    </row>
    <row r="1123">
      <c r="P1123" s="17">
        <f t="shared" si="1"/>
        <v>0</v>
      </c>
    </row>
    <row r="1124">
      <c r="P1124" s="17">
        <f t="shared" si="1"/>
        <v>0</v>
      </c>
    </row>
    <row r="1125">
      <c r="P1125" s="17">
        <f t="shared" si="1"/>
        <v>0</v>
      </c>
    </row>
    <row r="1126">
      <c r="P1126" s="17">
        <f t="shared" si="1"/>
        <v>0</v>
      </c>
    </row>
    <row r="1127">
      <c r="P1127" s="17">
        <f t="shared" si="1"/>
        <v>0</v>
      </c>
    </row>
    <row r="1128">
      <c r="P1128" s="17">
        <f t="shared" si="1"/>
        <v>0</v>
      </c>
    </row>
    <row r="1129">
      <c r="P1129" s="17">
        <f t="shared" si="1"/>
        <v>0</v>
      </c>
    </row>
    <row r="1130">
      <c r="P1130" s="17">
        <f t="shared" si="1"/>
        <v>0</v>
      </c>
    </row>
    <row r="1131">
      <c r="P1131" s="17">
        <f t="shared" si="1"/>
        <v>0</v>
      </c>
    </row>
    <row r="1132">
      <c r="P1132" s="17">
        <f t="shared" si="1"/>
        <v>0</v>
      </c>
    </row>
    <row r="1133">
      <c r="P1133" s="17">
        <f t="shared" si="1"/>
        <v>0</v>
      </c>
    </row>
    <row r="1134">
      <c r="P1134" s="17">
        <f t="shared" si="1"/>
        <v>0</v>
      </c>
    </row>
    <row r="1135">
      <c r="P1135" s="17">
        <f t="shared" si="1"/>
        <v>0</v>
      </c>
    </row>
    <row r="1136">
      <c r="P1136" s="17">
        <f t="shared" si="1"/>
        <v>0</v>
      </c>
    </row>
    <row r="1137">
      <c r="P1137" s="17">
        <f t="shared" si="1"/>
        <v>0</v>
      </c>
    </row>
    <row r="1138">
      <c r="P1138" s="17">
        <f t="shared" si="1"/>
        <v>0</v>
      </c>
    </row>
    <row r="1139">
      <c r="P1139" s="17">
        <f t="shared" si="1"/>
        <v>0</v>
      </c>
    </row>
    <row r="1140">
      <c r="P1140" s="17">
        <f t="shared" si="1"/>
        <v>0</v>
      </c>
    </row>
    <row r="1141">
      <c r="P1141" s="17">
        <f t="shared" si="1"/>
        <v>0</v>
      </c>
    </row>
    <row r="1142">
      <c r="P1142" s="17">
        <f t="shared" si="1"/>
        <v>0</v>
      </c>
    </row>
    <row r="1143">
      <c r="P1143" s="17">
        <f t="shared" si="1"/>
        <v>0</v>
      </c>
    </row>
    <row r="1144">
      <c r="P1144" s="17">
        <f t="shared" si="1"/>
        <v>0</v>
      </c>
    </row>
    <row r="1145">
      <c r="P1145" s="17">
        <f t="shared" si="1"/>
        <v>0</v>
      </c>
    </row>
    <row r="1146">
      <c r="P1146" s="17">
        <f t="shared" si="1"/>
        <v>0</v>
      </c>
    </row>
    <row r="1147">
      <c r="P1147" s="17">
        <f t="shared" si="1"/>
        <v>0</v>
      </c>
    </row>
    <row r="1148">
      <c r="P1148" s="17">
        <f t="shared" si="1"/>
        <v>0</v>
      </c>
    </row>
    <row r="1149">
      <c r="P1149" s="17">
        <f t="shared" si="1"/>
        <v>0</v>
      </c>
    </row>
    <row r="1150">
      <c r="P1150" s="17">
        <f t="shared" si="1"/>
        <v>0</v>
      </c>
    </row>
    <row r="1151">
      <c r="P1151" s="17">
        <f t="shared" si="1"/>
        <v>0</v>
      </c>
    </row>
    <row r="1152">
      <c r="P1152" s="17">
        <f t="shared" si="1"/>
        <v>0</v>
      </c>
    </row>
    <row r="1153">
      <c r="P1153" s="17">
        <f t="shared" si="1"/>
        <v>0</v>
      </c>
    </row>
    <row r="1154">
      <c r="P1154" s="17">
        <f t="shared" si="1"/>
        <v>0</v>
      </c>
    </row>
    <row r="1155">
      <c r="P1155" s="17">
        <f t="shared" si="1"/>
        <v>0</v>
      </c>
    </row>
    <row r="1156">
      <c r="P1156" s="17">
        <f t="shared" si="1"/>
        <v>0</v>
      </c>
    </row>
    <row r="1157">
      <c r="P1157" s="17">
        <f t="shared" si="1"/>
        <v>0</v>
      </c>
    </row>
    <row r="1158">
      <c r="P1158" s="17">
        <f t="shared" si="1"/>
        <v>0</v>
      </c>
    </row>
    <row r="1159">
      <c r="P1159" s="17">
        <f t="shared" si="1"/>
        <v>0</v>
      </c>
    </row>
    <row r="1160">
      <c r="P1160" s="17">
        <f t="shared" si="1"/>
        <v>0</v>
      </c>
    </row>
    <row r="1161">
      <c r="P1161" s="17">
        <f t="shared" si="1"/>
        <v>0</v>
      </c>
    </row>
    <row r="1162">
      <c r="P1162" s="17">
        <f t="shared" si="1"/>
        <v>0</v>
      </c>
    </row>
    <row r="1163">
      <c r="P1163" s="17">
        <f t="shared" si="1"/>
        <v>0</v>
      </c>
    </row>
    <row r="1164">
      <c r="P1164" s="17">
        <f t="shared" si="1"/>
        <v>0</v>
      </c>
    </row>
    <row r="1165">
      <c r="P1165" s="17">
        <f t="shared" si="1"/>
        <v>0</v>
      </c>
    </row>
    <row r="1166">
      <c r="P1166" s="17">
        <f t="shared" si="1"/>
        <v>0</v>
      </c>
    </row>
    <row r="1167">
      <c r="P1167" s="17">
        <f t="shared" si="1"/>
        <v>0</v>
      </c>
    </row>
    <row r="1168">
      <c r="P1168" s="17">
        <f t="shared" si="1"/>
        <v>0</v>
      </c>
    </row>
    <row r="1169">
      <c r="P1169" s="17">
        <f t="shared" si="1"/>
        <v>0</v>
      </c>
    </row>
    <row r="1170">
      <c r="P1170" s="17">
        <f t="shared" si="1"/>
        <v>0</v>
      </c>
    </row>
    <row r="1171">
      <c r="P1171" s="17">
        <f t="shared" si="1"/>
        <v>0</v>
      </c>
    </row>
    <row r="1172">
      <c r="P1172" s="17">
        <f t="shared" si="1"/>
        <v>0</v>
      </c>
    </row>
    <row r="1173">
      <c r="P1173" s="17">
        <f t="shared" si="1"/>
        <v>0</v>
      </c>
    </row>
    <row r="1174">
      <c r="P1174" s="17">
        <f t="shared" si="1"/>
        <v>0</v>
      </c>
    </row>
    <row r="1175">
      <c r="P1175" s="17">
        <f t="shared" si="1"/>
        <v>0</v>
      </c>
    </row>
    <row r="1176">
      <c r="P1176" s="17">
        <f t="shared" si="1"/>
        <v>0</v>
      </c>
    </row>
    <row r="1177">
      <c r="P1177" s="17">
        <f t="shared" si="1"/>
        <v>0</v>
      </c>
    </row>
    <row r="1178">
      <c r="P1178" s="17">
        <f t="shared" si="1"/>
        <v>0</v>
      </c>
    </row>
    <row r="1179">
      <c r="P1179" s="17">
        <f t="shared" si="1"/>
        <v>0</v>
      </c>
    </row>
    <row r="1180">
      <c r="P1180" s="17">
        <f t="shared" si="1"/>
        <v>0</v>
      </c>
    </row>
    <row r="1181">
      <c r="P1181" s="17">
        <f t="shared" si="1"/>
        <v>0</v>
      </c>
    </row>
    <row r="1182">
      <c r="P1182" s="17">
        <f t="shared" si="1"/>
        <v>0</v>
      </c>
    </row>
    <row r="1183">
      <c r="P1183" s="17">
        <f t="shared" si="1"/>
        <v>0</v>
      </c>
    </row>
    <row r="1184">
      <c r="P1184" s="17">
        <f t="shared" si="1"/>
        <v>0</v>
      </c>
    </row>
    <row r="1185">
      <c r="P1185" s="17">
        <f t="shared" si="1"/>
        <v>0</v>
      </c>
    </row>
    <row r="1186">
      <c r="P1186" s="17">
        <f t="shared" si="1"/>
        <v>0</v>
      </c>
    </row>
    <row r="1187">
      <c r="P1187" s="17">
        <f t="shared" si="1"/>
        <v>0</v>
      </c>
    </row>
    <row r="1188">
      <c r="P1188" s="17">
        <f t="shared" si="1"/>
        <v>0</v>
      </c>
    </row>
    <row r="1189">
      <c r="P1189" s="17">
        <f t="shared" si="1"/>
        <v>0</v>
      </c>
    </row>
    <row r="1190">
      <c r="P1190" s="17">
        <f t="shared" si="1"/>
        <v>0</v>
      </c>
    </row>
    <row r="1191">
      <c r="P1191" s="17">
        <f t="shared" si="1"/>
        <v>0</v>
      </c>
    </row>
    <row r="1192">
      <c r="P1192" s="17">
        <f t="shared" si="1"/>
        <v>0</v>
      </c>
    </row>
    <row r="1193">
      <c r="P1193" s="17">
        <f t="shared" si="1"/>
        <v>0</v>
      </c>
    </row>
    <row r="1194">
      <c r="P1194" s="17">
        <f t="shared" si="1"/>
        <v>0</v>
      </c>
    </row>
    <row r="1195">
      <c r="P1195" s="17">
        <f t="shared" si="1"/>
        <v>0</v>
      </c>
    </row>
    <row r="1196">
      <c r="P1196" s="17">
        <f t="shared" si="1"/>
        <v>0</v>
      </c>
    </row>
    <row r="1197">
      <c r="P1197" s="17">
        <f t="shared" si="1"/>
        <v>0</v>
      </c>
    </row>
    <row r="1198">
      <c r="P1198" s="17">
        <f t="shared" si="1"/>
        <v>0</v>
      </c>
    </row>
    <row r="1199">
      <c r="P1199" s="17">
        <f t="shared" si="1"/>
        <v>0</v>
      </c>
    </row>
    <row r="1200">
      <c r="P1200" s="17">
        <f t="shared" si="1"/>
        <v>0</v>
      </c>
    </row>
    <row r="1201">
      <c r="P1201" s="17">
        <f t="shared" si="1"/>
        <v>0</v>
      </c>
    </row>
    <row r="1202">
      <c r="P1202" s="17">
        <f t="shared" si="1"/>
        <v>0</v>
      </c>
    </row>
    <row r="1203">
      <c r="P1203" s="17">
        <f t="shared" si="1"/>
        <v>0</v>
      </c>
    </row>
    <row r="1204">
      <c r="P1204" s="17">
        <f t="shared" si="1"/>
        <v>0</v>
      </c>
    </row>
    <row r="1205">
      <c r="P1205" s="17">
        <f t="shared" si="1"/>
        <v>0</v>
      </c>
    </row>
    <row r="1206">
      <c r="P1206" s="17">
        <f t="shared" si="1"/>
        <v>0</v>
      </c>
    </row>
    <row r="1207">
      <c r="P1207" s="17">
        <f t="shared" si="1"/>
        <v>0</v>
      </c>
    </row>
    <row r="1208">
      <c r="P1208" s="17">
        <f t="shared" si="1"/>
        <v>0</v>
      </c>
    </row>
    <row r="1209">
      <c r="P1209" s="17">
        <f t="shared" si="1"/>
        <v>0</v>
      </c>
    </row>
    <row r="1210">
      <c r="P1210" s="17">
        <f t="shared" si="1"/>
        <v>0</v>
      </c>
    </row>
    <row r="1211">
      <c r="P1211" s="17">
        <f t="shared" si="1"/>
        <v>0</v>
      </c>
    </row>
    <row r="1212">
      <c r="P1212" s="17">
        <f t="shared" si="1"/>
        <v>0</v>
      </c>
    </row>
    <row r="1213">
      <c r="P1213" s="17">
        <f t="shared" si="1"/>
        <v>0</v>
      </c>
    </row>
    <row r="1214">
      <c r="P1214" s="17">
        <f t="shared" si="1"/>
        <v>0</v>
      </c>
    </row>
    <row r="1215">
      <c r="P1215" s="17">
        <f t="shared" si="1"/>
        <v>0</v>
      </c>
    </row>
    <row r="1216">
      <c r="P1216" s="17">
        <f t="shared" si="1"/>
        <v>0</v>
      </c>
    </row>
    <row r="1217">
      <c r="P1217" s="17">
        <f t="shared" si="1"/>
        <v>0</v>
      </c>
    </row>
    <row r="1218">
      <c r="P1218" s="17">
        <f t="shared" si="1"/>
        <v>0</v>
      </c>
    </row>
    <row r="1219">
      <c r="P1219" s="17">
        <f t="shared" si="1"/>
        <v>0</v>
      </c>
    </row>
    <row r="1220">
      <c r="P1220" s="17">
        <f t="shared" si="1"/>
        <v>0</v>
      </c>
    </row>
    <row r="1221">
      <c r="P1221" s="17">
        <f t="shared" si="1"/>
        <v>0</v>
      </c>
    </row>
    <row r="1222">
      <c r="P1222" s="17">
        <f t="shared" si="1"/>
        <v>0</v>
      </c>
    </row>
    <row r="1223">
      <c r="P1223" s="17">
        <f t="shared" si="1"/>
        <v>0</v>
      </c>
    </row>
    <row r="1224">
      <c r="P1224" s="17">
        <f t="shared" si="1"/>
        <v>0</v>
      </c>
    </row>
    <row r="1225">
      <c r="P1225" s="17">
        <f t="shared" si="1"/>
        <v>0</v>
      </c>
    </row>
    <row r="1226">
      <c r="P1226" s="17">
        <f t="shared" si="1"/>
        <v>0</v>
      </c>
    </row>
    <row r="1227">
      <c r="P1227" s="17">
        <f t="shared" si="1"/>
        <v>0</v>
      </c>
    </row>
    <row r="1228">
      <c r="P1228" s="17">
        <f t="shared" si="1"/>
        <v>0</v>
      </c>
    </row>
    <row r="1229">
      <c r="P1229" s="17">
        <f t="shared" si="1"/>
        <v>0</v>
      </c>
    </row>
    <row r="1230">
      <c r="P1230" s="17">
        <f t="shared" si="1"/>
        <v>0</v>
      </c>
    </row>
    <row r="1231">
      <c r="P1231" s="17">
        <f t="shared" si="1"/>
        <v>0</v>
      </c>
    </row>
    <row r="1232">
      <c r="P1232" s="17">
        <f t="shared" si="1"/>
        <v>0</v>
      </c>
    </row>
    <row r="1233">
      <c r="P1233" s="17">
        <f t="shared" si="1"/>
        <v>0</v>
      </c>
    </row>
    <row r="1234">
      <c r="P1234" s="17">
        <f t="shared" si="1"/>
        <v>0</v>
      </c>
    </row>
    <row r="1235">
      <c r="P1235" s="17">
        <f t="shared" si="1"/>
        <v>0</v>
      </c>
    </row>
    <row r="1236">
      <c r="P1236" s="17">
        <f t="shared" si="1"/>
        <v>0</v>
      </c>
    </row>
    <row r="1237">
      <c r="P1237" s="17">
        <f t="shared" si="1"/>
        <v>0</v>
      </c>
    </row>
    <row r="1238">
      <c r="P1238" s="17">
        <f t="shared" si="1"/>
        <v>0</v>
      </c>
    </row>
    <row r="1239">
      <c r="P1239" s="17">
        <f t="shared" si="1"/>
        <v>0</v>
      </c>
    </row>
    <row r="1240">
      <c r="P1240" s="17">
        <f t="shared" si="1"/>
        <v>0</v>
      </c>
    </row>
    <row r="1241">
      <c r="P1241" s="17">
        <f t="shared" si="1"/>
        <v>0</v>
      </c>
    </row>
    <row r="1242">
      <c r="P1242" s="17">
        <f t="shared" si="1"/>
        <v>0</v>
      </c>
    </row>
    <row r="1243">
      <c r="P1243" s="17">
        <f t="shared" si="1"/>
        <v>0</v>
      </c>
    </row>
    <row r="1244">
      <c r="P1244" s="17">
        <f t="shared" si="1"/>
        <v>0</v>
      </c>
    </row>
    <row r="1245">
      <c r="P1245" s="17">
        <f t="shared" si="1"/>
        <v>0</v>
      </c>
    </row>
    <row r="1246">
      <c r="P1246" s="17">
        <f t="shared" si="1"/>
        <v>0</v>
      </c>
    </row>
    <row r="1247">
      <c r="P1247" s="17">
        <f t="shared" si="1"/>
        <v>0</v>
      </c>
    </row>
    <row r="1248">
      <c r="P1248" s="17">
        <f t="shared" si="1"/>
        <v>0</v>
      </c>
    </row>
    <row r="1249">
      <c r="P1249" s="17">
        <f t="shared" si="1"/>
        <v>0</v>
      </c>
    </row>
    <row r="1250">
      <c r="P1250" s="17">
        <f t="shared" si="1"/>
        <v>0</v>
      </c>
    </row>
    <row r="1251">
      <c r="P1251" s="17">
        <f t="shared" si="1"/>
        <v>0</v>
      </c>
    </row>
    <row r="1252">
      <c r="P1252" s="17">
        <f t="shared" si="1"/>
        <v>0</v>
      </c>
    </row>
    <row r="1253">
      <c r="P1253" s="17">
        <f t="shared" si="1"/>
        <v>0</v>
      </c>
    </row>
    <row r="1254">
      <c r="P1254" s="17">
        <f t="shared" si="1"/>
        <v>0</v>
      </c>
    </row>
    <row r="1255">
      <c r="P1255" s="17">
        <f t="shared" si="1"/>
        <v>0</v>
      </c>
    </row>
    <row r="1256">
      <c r="P1256" s="17">
        <f t="shared" si="1"/>
        <v>0</v>
      </c>
    </row>
    <row r="1257">
      <c r="P1257" s="17">
        <f t="shared" si="1"/>
        <v>0</v>
      </c>
    </row>
    <row r="1258">
      <c r="P1258" s="17">
        <f t="shared" si="1"/>
        <v>0</v>
      </c>
    </row>
    <row r="1259">
      <c r="P1259" s="17">
        <f t="shared" si="1"/>
        <v>0</v>
      </c>
    </row>
    <row r="1260">
      <c r="P1260" s="17">
        <f t="shared" si="1"/>
        <v>0</v>
      </c>
    </row>
    <row r="1261">
      <c r="P1261" s="17">
        <f t="shared" si="1"/>
        <v>0</v>
      </c>
    </row>
    <row r="1262">
      <c r="P1262" s="17">
        <f t="shared" si="1"/>
        <v>0</v>
      </c>
    </row>
    <row r="1263">
      <c r="P1263" s="17">
        <f t="shared" si="1"/>
        <v>0</v>
      </c>
    </row>
    <row r="1264">
      <c r="P1264" s="17">
        <f t="shared" si="1"/>
        <v>0</v>
      </c>
    </row>
    <row r="1265">
      <c r="P1265" s="17">
        <f t="shared" si="1"/>
        <v>0</v>
      </c>
    </row>
    <row r="1266">
      <c r="P1266" s="17">
        <f t="shared" si="1"/>
        <v>0</v>
      </c>
    </row>
    <row r="1267">
      <c r="P1267" s="17">
        <f t="shared" si="1"/>
        <v>0</v>
      </c>
    </row>
    <row r="1268">
      <c r="P1268" s="17">
        <f t="shared" si="1"/>
        <v>0</v>
      </c>
    </row>
    <row r="1269">
      <c r="P1269" s="17">
        <f t="shared" si="1"/>
        <v>0</v>
      </c>
    </row>
    <row r="1270">
      <c r="P1270" s="17">
        <f t="shared" si="1"/>
        <v>0</v>
      </c>
    </row>
    <row r="1271">
      <c r="P1271" s="17">
        <f t="shared" si="1"/>
        <v>0</v>
      </c>
    </row>
    <row r="1272">
      <c r="P1272" s="17">
        <f t="shared" si="1"/>
        <v>0</v>
      </c>
    </row>
    <row r="1273">
      <c r="P1273" s="17">
        <f t="shared" si="1"/>
        <v>0</v>
      </c>
    </row>
    <row r="1274">
      <c r="P1274" s="17">
        <f t="shared" si="1"/>
        <v>0</v>
      </c>
    </row>
    <row r="1275">
      <c r="P1275" s="17">
        <f t="shared" si="1"/>
        <v>0</v>
      </c>
    </row>
    <row r="1276">
      <c r="P1276" s="17">
        <f t="shared" si="1"/>
        <v>0</v>
      </c>
    </row>
    <row r="1277">
      <c r="P1277" s="17">
        <f t="shared" si="1"/>
        <v>0</v>
      </c>
    </row>
    <row r="1278">
      <c r="P1278" s="17">
        <f t="shared" si="1"/>
        <v>0</v>
      </c>
    </row>
    <row r="1279">
      <c r="P1279" s="17">
        <f t="shared" si="1"/>
        <v>0</v>
      </c>
    </row>
    <row r="1280">
      <c r="P1280" s="17">
        <f t="shared" si="1"/>
        <v>0</v>
      </c>
    </row>
    <row r="1281">
      <c r="P1281" s="17">
        <f t="shared" si="1"/>
        <v>0</v>
      </c>
    </row>
    <row r="1282">
      <c r="P1282" s="17">
        <f t="shared" si="1"/>
        <v>0</v>
      </c>
    </row>
    <row r="1283">
      <c r="P1283" s="17">
        <f t="shared" si="1"/>
        <v>0</v>
      </c>
    </row>
    <row r="1284">
      <c r="P1284" s="17">
        <f t="shared" si="1"/>
        <v>0</v>
      </c>
    </row>
    <row r="1285">
      <c r="P1285" s="17">
        <f t="shared" si="1"/>
        <v>0</v>
      </c>
    </row>
    <row r="1286">
      <c r="P1286" s="17">
        <f t="shared" si="1"/>
        <v>0</v>
      </c>
    </row>
    <row r="1287">
      <c r="P1287" s="17">
        <f t="shared" si="1"/>
        <v>0</v>
      </c>
    </row>
    <row r="1288">
      <c r="P1288" s="17">
        <f t="shared" si="1"/>
        <v>0</v>
      </c>
    </row>
    <row r="1289">
      <c r="P1289" s="17">
        <f t="shared" si="1"/>
        <v>0</v>
      </c>
    </row>
    <row r="1290">
      <c r="P1290" s="17">
        <f t="shared" si="1"/>
        <v>0</v>
      </c>
    </row>
    <row r="1291">
      <c r="P1291" s="17">
        <f t="shared" si="1"/>
        <v>0</v>
      </c>
    </row>
    <row r="1292">
      <c r="P1292" s="17">
        <f t="shared" si="1"/>
        <v>0</v>
      </c>
    </row>
    <row r="1293">
      <c r="P1293" s="17">
        <f t="shared" si="1"/>
        <v>0</v>
      </c>
    </row>
    <row r="1294">
      <c r="P1294" s="17">
        <f t="shared" si="1"/>
        <v>0</v>
      </c>
    </row>
    <row r="1295">
      <c r="P1295" s="17">
        <f t="shared" si="1"/>
        <v>0</v>
      </c>
    </row>
    <row r="1296">
      <c r="P1296" s="17">
        <f t="shared" si="1"/>
        <v>0</v>
      </c>
    </row>
    <row r="1297">
      <c r="P1297" s="17">
        <f t="shared" si="1"/>
        <v>0</v>
      </c>
    </row>
    <row r="1298">
      <c r="P1298" s="17">
        <f t="shared" si="1"/>
        <v>0</v>
      </c>
    </row>
    <row r="1299">
      <c r="P1299" s="17">
        <f t="shared" si="1"/>
        <v>0</v>
      </c>
    </row>
    <row r="1300">
      <c r="P1300" s="17">
        <f t="shared" si="1"/>
        <v>0</v>
      </c>
    </row>
    <row r="1301">
      <c r="P1301" s="17">
        <f t="shared" si="1"/>
        <v>0</v>
      </c>
    </row>
    <row r="1302">
      <c r="P1302" s="17">
        <f t="shared" si="1"/>
        <v>0</v>
      </c>
    </row>
    <row r="1303">
      <c r="P1303" s="17">
        <f t="shared" si="1"/>
        <v>0</v>
      </c>
    </row>
    <row r="1304">
      <c r="P1304" s="17">
        <f t="shared" si="1"/>
        <v>0</v>
      </c>
    </row>
    <row r="1305">
      <c r="P1305" s="17">
        <f t="shared" si="1"/>
        <v>0</v>
      </c>
    </row>
    <row r="1306">
      <c r="P1306" s="17">
        <f t="shared" si="1"/>
        <v>0</v>
      </c>
    </row>
    <row r="1307">
      <c r="P1307" s="17">
        <f t="shared" si="1"/>
        <v>0</v>
      </c>
    </row>
    <row r="1308">
      <c r="P1308" s="17">
        <f t="shared" si="1"/>
        <v>0</v>
      </c>
    </row>
    <row r="1309">
      <c r="P1309" s="17">
        <f t="shared" si="1"/>
        <v>0</v>
      </c>
    </row>
    <row r="1310">
      <c r="P1310" s="17">
        <f t="shared" si="1"/>
        <v>0</v>
      </c>
    </row>
    <row r="1311">
      <c r="P1311" s="17">
        <f t="shared" si="1"/>
        <v>0</v>
      </c>
    </row>
    <row r="1312">
      <c r="P1312" s="17">
        <f t="shared" si="1"/>
        <v>0</v>
      </c>
    </row>
    <row r="1313">
      <c r="P1313" s="17">
        <f t="shared" si="1"/>
        <v>0</v>
      </c>
    </row>
    <row r="1314">
      <c r="P1314" s="17">
        <f t="shared" si="1"/>
        <v>0</v>
      </c>
    </row>
    <row r="1315">
      <c r="P1315" s="17">
        <f t="shared" si="1"/>
        <v>0</v>
      </c>
    </row>
    <row r="1316">
      <c r="P1316" s="17">
        <f t="shared" si="1"/>
        <v>0</v>
      </c>
    </row>
    <row r="1317">
      <c r="P1317" s="17">
        <f t="shared" si="1"/>
        <v>0</v>
      </c>
    </row>
    <row r="1318">
      <c r="P1318" s="17">
        <f t="shared" si="1"/>
        <v>0</v>
      </c>
    </row>
    <row r="1319">
      <c r="P1319" s="17">
        <f t="shared" si="1"/>
        <v>0</v>
      </c>
    </row>
    <row r="1320">
      <c r="P1320" s="17">
        <f t="shared" si="1"/>
        <v>0</v>
      </c>
    </row>
    <row r="1321">
      <c r="P1321" s="17">
        <f t="shared" si="1"/>
        <v>0</v>
      </c>
    </row>
    <row r="1322">
      <c r="P1322" s="17">
        <f t="shared" si="1"/>
        <v>0</v>
      </c>
    </row>
    <row r="1323">
      <c r="P1323" s="17">
        <f t="shared" si="1"/>
        <v>0</v>
      </c>
    </row>
    <row r="1324">
      <c r="P1324" s="17">
        <f t="shared" si="1"/>
        <v>0</v>
      </c>
    </row>
    <row r="1325">
      <c r="P1325" s="17">
        <f t="shared" si="1"/>
        <v>0</v>
      </c>
    </row>
    <row r="1326">
      <c r="P1326" s="17">
        <f t="shared" si="1"/>
        <v>0</v>
      </c>
    </row>
    <row r="1327">
      <c r="P1327" s="17">
        <f t="shared" si="1"/>
        <v>0</v>
      </c>
    </row>
    <row r="1328">
      <c r="P1328" s="17">
        <f t="shared" si="1"/>
        <v>0</v>
      </c>
    </row>
    <row r="1329">
      <c r="P1329" s="17">
        <f t="shared" si="1"/>
        <v>0</v>
      </c>
    </row>
    <row r="1330">
      <c r="P1330" s="17">
        <f t="shared" si="1"/>
        <v>0</v>
      </c>
    </row>
    <row r="1331">
      <c r="P1331" s="17">
        <f t="shared" si="1"/>
        <v>0</v>
      </c>
    </row>
    <row r="1332">
      <c r="P1332" s="17">
        <f t="shared" si="1"/>
        <v>0</v>
      </c>
    </row>
    <row r="1333">
      <c r="P1333" s="17">
        <f t="shared" si="1"/>
        <v>0</v>
      </c>
    </row>
    <row r="1334">
      <c r="P1334" s="17">
        <f t="shared" si="1"/>
        <v>0</v>
      </c>
    </row>
    <row r="1335">
      <c r="P1335" s="17">
        <f t="shared" si="1"/>
        <v>0</v>
      </c>
    </row>
    <row r="1336">
      <c r="P1336" s="17">
        <f t="shared" si="1"/>
        <v>0</v>
      </c>
    </row>
    <row r="1337">
      <c r="P1337" s="17">
        <f t="shared" si="1"/>
        <v>0</v>
      </c>
    </row>
    <row r="1338">
      <c r="P1338" s="17">
        <f t="shared" si="1"/>
        <v>0</v>
      </c>
    </row>
    <row r="1339">
      <c r="P1339" s="17">
        <f t="shared" si="1"/>
        <v>0</v>
      </c>
    </row>
    <row r="1340">
      <c r="P1340" s="17">
        <f t="shared" si="1"/>
        <v>0</v>
      </c>
    </row>
    <row r="1341">
      <c r="P1341" s="17">
        <f t="shared" si="1"/>
        <v>0</v>
      </c>
    </row>
    <row r="1342">
      <c r="P1342" s="17">
        <f t="shared" si="1"/>
        <v>0</v>
      </c>
    </row>
    <row r="1343">
      <c r="P1343" s="17">
        <f t="shared" si="1"/>
        <v>0</v>
      </c>
    </row>
    <row r="1344">
      <c r="P1344" s="17">
        <f t="shared" si="1"/>
        <v>0</v>
      </c>
    </row>
    <row r="1345">
      <c r="P1345" s="17">
        <f t="shared" si="1"/>
        <v>0</v>
      </c>
    </row>
    <row r="1346">
      <c r="P1346" s="17">
        <f t="shared" si="1"/>
        <v>0</v>
      </c>
    </row>
    <row r="1347">
      <c r="P1347" s="17">
        <f t="shared" si="1"/>
        <v>0</v>
      </c>
    </row>
    <row r="1348">
      <c r="P1348" s="17">
        <f t="shared" si="1"/>
        <v>0</v>
      </c>
    </row>
    <row r="1349">
      <c r="P1349" s="17">
        <f t="shared" si="1"/>
        <v>0</v>
      </c>
    </row>
    <row r="1350">
      <c r="P1350" s="17">
        <f t="shared" si="1"/>
        <v>0</v>
      </c>
    </row>
    <row r="1351">
      <c r="P1351" s="17">
        <f t="shared" si="1"/>
        <v>0</v>
      </c>
    </row>
    <row r="1352">
      <c r="P1352" s="17">
        <f t="shared" si="1"/>
        <v>0</v>
      </c>
    </row>
    <row r="1353">
      <c r="P1353" s="17">
        <f t="shared" si="1"/>
        <v>0</v>
      </c>
    </row>
    <row r="1354">
      <c r="P1354" s="17">
        <f t="shared" si="1"/>
        <v>0</v>
      </c>
    </row>
    <row r="1355">
      <c r="P1355" s="17">
        <f t="shared" si="1"/>
        <v>0</v>
      </c>
    </row>
    <row r="1356">
      <c r="P1356" s="17">
        <f t="shared" si="1"/>
        <v>0</v>
      </c>
    </row>
    <row r="1357">
      <c r="P1357" s="17">
        <f t="shared" si="1"/>
        <v>0</v>
      </c>
    </row>
    <row r="1358">
      <c r="P1358" s="17">
        <f t="shared" si="1"/>
        <v>0</v>
      </c>
    </row>
    <row r="1359">
      <c r="P1359" s="17">
        <f t="shared" si="1"/>
        <v>0</v>
      </c>
    </row>
    <row r="1360">
      <c r="P1360" s="17">
        <f t="shared" si="1"/>
        <v>0</v>
      </c>
    </row>
    <row r="1361">
      <c r="P1361" s="17">
        <f t="shared" si="1"/>
        <v>0</v>
      </c>
    </row>
    <row r="1362">
      <c r="P1362" s="17">
        <f t="shared" si="1"/>
        <v>0</v>
      </c>
    </row>
    <row r="1363">
      <c r="P1363" s="17">
        <f t="shared" si="1"/>
        <v>0</v>
      </c>
    </row>
    <row r="1364">
      <c r="P1364" s="17">
        <f t="shared" si="1"/>
        <v>0</v>
      </c>
    </row>
    <row r="1365">
      <c r="P1365" s="17">
        <f t="shared" si="1"/>
        <v>0</v>
      </c>
    </row>
    <row r="1366">
      <c r="P1366" s="17">
        <f t="shared" si="1"/>
        <v>0</v>
      </c>
    </row>
    <row r="1367">
      <c r="P1367" s="17">
        <f t="shared" si="1"/>
        <v>0</v>
      </c>
    </row>
    <row r="1368">
      <c r="P1368" s="17">
        <f t="shared" si="1"/>
        <v>0</v>
      </c>
    </row>
    <row r="1369">
      <c r="P1369" s="17">
        <f t="shared" si="1"/>
        <v>0</v>
      </c>
    </row>
    <row r="1370">
      <c r="P1370" s="17">
        <f t="shared" si="1"/>
        <v>0</v>
      </c>
    </row>
    <row r="1371">
      <c r="P1371" s="17">
        <f t="shared" si="1"/>
        <v>0</v>
      </c>
    </row>
    <row r="1372">
      <c r="P1372" s="17">
        <f t="shared" si="1"/>
        <v>0</v>
      </c>
    </row>
    <row r="1373">
      <c r="P1373" s="17">
        <f t="shared" si="1"/>
        <v>0</v>
      </c>
    </row>
    <row r="1374">
      <c r="P1374" s="17">
        <f t="shared" si="1"/>
        <v>0</v>
      </c>
    </row>
    <row r="1375">
      <c r="P1375" s="17">
        <f t="shared" si="1"/>
        <v>0</v>
      </c>
    </row>
    <row r="1376">
      <c r="P1376" s="17">
        <f t="shared" si="1"/>
        <v>0</v>
      </c>
    </row>
    <row r="1377">
      <c r="P1377" s="17">
        <f t="shared" si="1"/>
        <v>0</v>
      </c>
    </row>
    <row r="1378">
      <c r="P1378" s="17">
        <f t="shared" si="1"/>
        <v>0</v>
      </c>
    </row>
    <row r="1379">
      <c r="P1379" s="17">
        <f t="shared" si="1"/>
        <v>0</v>
      </c>
    </row>
    <row r="1380">
      <c r="P1380" s="17">
        <f t="shared" si="1"/>
        <v>0</v>
      </c>
    </row>
    <row r="1381">
      <c r="P1381" s="17">
        <f t="shared" si="1"/>
        <v>0</v>
      </c>
    </row>
    <row r="1382">
      <c r="P1382" s="17">
        <f t="shared" si="1"/>
        <v>0</v>
      </c>
    </row>
    <row r="1383">
      <c r="P1383" s="17">
        <f t="shared" si="1"/>
        <v>0</v>
      </c>
    </row>
    <row r="1384">
      <c r="P1384" s="17">
        <f t="shared" si="1"/>
        <v>0</v>
      </c>
    </row>
    <row r="1385">
      <c r="P1385" s="17">
        <f t="shared" si="1"/>
        <v>0</v>
      </c>
    </row>
    <row r="1386">
      <c r="P1386" s="17">
        <f t="shared" si="1"/>
        <v>0</v>
      </c>
    </row>
    <row r="1387">
      <c r="P1387" s="17">
        <f t="shared" si="1"/>
        <v>0</v>
      </c>
    </row>
    <row r="1388">
      <c r="P1388" s="17">
        <f t="shared" si="1"/>
        <v>0</v>
      </c>
    </row>
    <row r="1389">
      <c r="P1389" s="17">
        <f t="shared" si="1"/>
        <v>0</v>
      </c>
    </row>
    <row r="1390">
      <c r="P1390" s="17">
        <f t="shared" si="1"/>
        <v>0</v>
      </c>
    </row>
    <row r="1391">
      <c r="P1391" s="17">
        <f t="shared" si="1"/>
        <v>0</v>
      </c>
    </row>
    <row r="1392">
      <c r="P1392" s="17">
        <f t="shared" si="1"/>
        <v>0</v>
      </c>
    </row>
    <row r="1393">
      <c r="P1393" s="17">
        <f t="shared" si="1"/>
        <v>0</v>
      </c>
    </row>
    <row r="1394">
      <c r="P1394" s="17">
        <f t="shared" si="1"/>
        <v>0</v>
      </c>
    </row>
    <row r="1395">
      <c r="P1395" s="17">
        <f t="shared" si="1"/>
        <v>0</v>
      </c>
    </row>
    <row r="1396">
      <c r="P1396" s="17">
        <f t="shared" si="1"/>
        <v>0</v>
      </c>
    </row>
    <row r="1397">
      <c r="P1397" s="17">
        <f t="shared" si="1"/>
        <v>0</v>
      </c>
    </row>
    <row r="1398">
      <c r="P1398" s="17">
        <f t="shared" si="1"/>
        <v>0</v>
      </c>
    </row>
    <row r="1399">
      <c r="P1399" s="17">
        <f t="shared" si="1"/>
        <v>0</v>
      </c>
    </row>
    <row r="1400">
      <c r="P1400" s="17">
        <f t="shared" si="1"/>
        <v>0</v>
      </c>
    </row>
    <row r="1401">
      <c r="P1401" s="17">
        <f t="shared" si="1"/>
        <v>0</v>
      </c>
    </row>
    <row r="1402">
      <c r="P1402" s="17">
        <f t="shared" si="1"/>
        <v>0</v>
      </c>
    </row>
    <row r="1403">
      <c r="P1403" s="17">
        <f t="shared" si="1"/>
        <v>0</v>
      </c>
    </row>
    <row r="1404">
      <c r="P1404" s="17">
        <f t="shared" si="1"/>
        <v>0</v>
      </c>
    </row>
    <row r="1405">
      <c r="P1405" s="17">
        <f t="shared" si="1"/>
        <v>0</v>
      </c>
    </row>
    <row r="1406">
      <c r="P1406" s="17">
        <f t="shared" si="1"/>
        <v>0</v>
      </c>
    </row>
    <row r="1407">
      <c r="P1407" s="17">
        <f t="shared" si="1"/>
        <v>0</v>
      </c>
    </row>
    <row r="1408">
      <c r="P1408" s="17">
        <f t="shared" si="1"/>
        <v>0</v>
      </c>
    </row>
    <row r="1409">
      <c r="P1409" s="17">
        <f t="shared" si="1"/>
        <v>0</v>
      </c>
    </row>
    <row r="1410">
      <c r="P1410" s="17">
        <f t="shared" si="1"/>
        <v>0</v>
      </c>
    </row>
    <row r="1411">
      <c r="P1411" s="17">
        <f t="shared" si="1"/>
        <v>0</v>
      </c>
    </row>
    <row r="1412">
      <c r="P1412" s="17">
        <f t="shared" si="1"/>
        <v>0</v>
      </c>
    </row>
    <row r="1413">
      <c r="P1413" s="17">
        <f t="shared" si="1"/>
        <v>0</v>
      </c>
    </row>
    <row r="1414">
      <c r="P1414" s="17">
        <f t="shared" si="1"/>
        <v>0</v>
      </c>
    </row>
    <row r="1415">
      <c r="P1415" s="17">
        <f t="shared" si="1"/>
        <v>0</v>
      </c>
    </row>
    <row r="1416">
      <c r="P1416" s="17">
        <f t="shared" si="1"/>
        <v>0</v>
      </c>
    </row>
    <row r="1417">
      <c r="P1417" s="17">
        <f t="shared" si="1"/>
        <v>0</v>
      </c>
    </row>
    <row r="1418">
      <c r="P1418" s="17">
        <f t="shared" si="1"/>
        <v>0</v>
      </c>
    </row>
    <row r="1419">
      <c r="P1419" s="17">
        <f t="shared" si="1"/>
        <v>0</v>
      </c>
    </row>
    <row r="1420">
      <c r="P1420" s="17">
        <f t="shared" si="1"/>
        <v>0</v>
      </c>
    </row>
    <row r="1421">
      <c r="P1421" s="17">
        <f t="shared" si="1"/>
        <v>0</v>
      </c>
    </row>
    <row r="1422">
      <c r="P1422" s="17">
        <f t="shared" si="1"/>
        <v>0</v>
      </c>
    </row>
    <row r="1423">
      <c r="P1423" s="17">
        <f t="shared" si="1"/>
        <v>0</v>
      </c>
    </row>
    <row r="1424">
      <c r="P1424" s="17">
        <f t="shared" si="1"/>
        <v>0</v>
      </c>
    </row>
    <row r="1425">
      <c r="P1425" s="17">
        <f t="shared" si="1"/>
        <v>0</v>
      </c>
    </row>
    <row r="1426">
      <c r="P1426" s="17">
        <f t="shared" si="1"/>
        <v>0</v>
      </c>
    </row>
    <row r="1427">
      <c r="P1427" s="17">
        <f t="shared" si="1"/>
        <v>0</v>
      </c>
    </row>
    <row r="1428">
      <c r="P1428" s="17">
        <f t="shared" si="1"/>
        <v>0</v>
      </c>
    </row>
    <row r="1429">
      <c r="P1429" s="17">
        <f t="shared" si="1"/>
        <v>0</v>
      </c>
    </row>
    <row r="1430">
      <c r="P1430" s="17">
        <f t="shared" si="1"/>
        <v>0</v>
      </c>
    </row>
    <row r="1431">
      <c r="P1431" s="17">
        <f t="shared" si="1"/>
        <v>0</v>
      </c>
    </row>
    <row r="1432">
      <c r="P1432" s="17">
        <f t="shared" si="1"/>
        <v>0</v>
      </c>
    </row>
    <row r="1433">
      <c r="P1433" s="17">
        <f t="shared" si="1"/>
        <v>0</v>
      </c>
    </row>
    <row r="1434">
      <c r="P1434" s="17">
        <f t="shared" si="1"/>
        <v>0</v>
      </c>
    </row>
    <row r="1435">
      <c r="P1435" s="17">
        <f t="shared" si="1"/>
        <v>0</v>
      </c>
    </row>
    <row r="1436">
      <c r="P1436" s="17">
        <f t="shared" si="1"/>
        <v>0</v>
      </c>
    </row>
    <row r="1437">
      <c r="P1437" s="17">
        <f t="shared" si="1"/>
        <v>0</v>
      </c>
    </row>
    <row r="1438">
      <c r="P1438" s="17">
        <f t="shared" si="1"/>
        <v>0</v>
      </c>
    </row>
    <row r="1439">
      <c r="P1439" s="17">
        <f t="shared" si="1"/>
        <v>0</v>
      </c>
    </row>
    <row r="1440">
      <c r="P1440" s="17">
        <f t="shared" si="1"/>
        <v>0</v>
      </c>
    </row>
    <row r="1441">
      <c r="P1441" s="17">
        <f t="shared" si="1"/>
        <v>0</v>
      </c>
    </row>
    <row r="1442">
      <c r="P1442" s="17">
        <f t="shared" si="1"/>
        <v>0</v>
      </c>
    </row>
    <row r="1443">
      <c r="P1443" s="17">
        <f t="shared" si="1"/>
        <v>0</v>
      </c>
    </row>
    <row r="1444">
      <c r="P1444" s="17">
        <f t="shared" si="1"/>
        <v>0</v>
      </c>
    </row>
    <row r="1445">
      <c r="P1445" s="17">
        <f t="shared" si="1"/>
        <v>0</v>
      </c>
    </row>
    <row r="1446">
      <c r="P1446" s="17">
        <f t="shared" si="1"/>
        <v>0</v>
      </c>
    </row>
    <row r="1447">
      <c r="P1447" s="17">
        <f t="shared" si="1"/>
        <v>0</v>
      </c>
    </row>
    <row r="1448">
      <c r="P1448" s="17">
        <f t="shared" si="1"/>
        <v>0</v>
      </c>
    </row>
    <row r="1449">
      <c r="P1449" s="17">
        <f t="shared" si="1"/>
        <v>0</v>
      </c>
    </row>
    <row r="1450">
      <c r="P1450" s="17">
        <f t="shared" si="1"/>
        <v>0</v>
      </c>
    </row>
    <row r="1451">
      <c r="P1451" s="17">
        <f t="shared" si="1"/>
        <v>0</v>
      </c>
    </row>
    <row r="1452">
      <c r="P1452" s="17">
        <f t="shared" si="1"/>
        <v>0</v>
      </c>
    </row>
    <row r="1453">
      <c r="P1453" s="17">
        <f t="shared" si="1"/>
        <v>0</v>
      </c>
    </row>
    <row r="1454">
      <c r="P1454" s="17">
        <f t="shared" si="1"/>
        <v>0</v>
      </c>
    </row>
    <row r="1455">
      <c r="P1455" s="17">
        <f t="shared" si="1"/>
        <v>0</v>
      </c>
    </row>
    <row r="1456">
      <c r="P1456" s="17">
        <f t="shared" si="1"/>
        <v>0</v>
      </c>
    </row>
    <row r="1457">
      <c r="P1457" s="17">
        <f t="shared" si="1"/>
        <v>0</v>
      </c>
    </row>
    <row r="1458">
      <c r="P1458" s="17">
        <f t="shared" si="1"/>
        <v>0</v>
      </c>
    </row>
    <row r="1459">
      <c r="P1459" s="17">
        <f t="shared" si="1"/>
        <v>0</v>
      </c>
    </row>
    <row r="1460">
      <c r="P1460" s="17">
        <f t="shared" si="1"/>
        <v>0</v>
      </c>
    </row>
    <row r="1461">
      <c r="P1461" s="17">
        <f t="shared" si="1"/>
        <v>0</v>
      </c>
    </row>
    <row r="1462">
      <c r="P1462" s="17">
        <f t="shared" si="1"/>
        <v>0</v>
      </c>
    </row>
    <row r="1463">
      <c r="P1463" s="17">
        <f t="shared" si="1"/>
        <v>0</v>
      </c>
    </row>
    <row r="1464">
      <c r="P1464" s="17">
        <f t="shared" si="1"/>
        <v>0</v>
      </c>
    </row>
    <row r="1465">
      <c r="P1465" s="17">
        <f t="shared" si="1"/>
        <v>0</v>
      </c>
    </row>
    <row r="1466">
      <c r="P1466" s="17">
        <f t="shared" si="1"/>
        <v>0</v>
      </c>
    </row>
    <row r="1467">
      <c r="P1467" s="17">
        <f t="shared" si="1"/>
        <v>0</v>
      </c>
    </row>
    <row r="1468">
      <c r="P1468" s="17">
        <f t="shared" si="1"/>
        <v>0</v>
      </c>
    </row>
    <row r="1469">
      <c r="P1469" s="17">
        <f t="shared" si="1"/>
        <v>0</v>
      </c>
    </row>
    <row r="1470">
      <c r="P1470" s="17">
        <f t="shared" si="1"/>
        <v>0</v>
      </c>
    </row>
    <row r="1471">
      <c r="P1471" s="17">
        <f t="shared" si="1"/>
        <v>0</v>
      </c>
    </row>
    <row r="1472">
      <c r="P1472" s="17">
        <f t="shared" si="1"/>
        <v>0</v>
      </c>
    </row>
    <row r="1473">
      <c r="P1473" s="17">
        <f t="shared" si="1"/>
        <v>0</v>
      </c>
    </row>
    <row r="1474">
      <c r="P1474" s="17">
        <f t="shared" si="1"/>
        <v>0</v>
      </c>
    </row>
    <row r="1475">
      <c r="P1475" s="17">
        <f t="shared" si="1"/>
        <v>0</v>
      </c>
    </row>
    <row r="1476">
      <c r="P1476" s="17">
        <f t="shared" si="1"/>
        <v>0</v>
      </c>
    </row>
    <row r="1477">
      <c r="P1477" s="17">
        <f t="shared" si="1"/>
        <v>0</v>
      </c>
    </row>
    <row r="1478">
      <c r="P1478" s="17">
        <f t="shared" si="1"/>
        <v>0</v>
      </c>
    </row>
    <row r="1479">
      <c r="P1479" s="17">
        <f t="shared" si="1"/>
        <v>0</v>
      </c>
    </row>
    <row r="1480">
      <c r="P1480" s="17">
        <f t="shared" si="1"/>
        <v>0</v>
      </c>
    </row>
    <row r="1481">
      <c r="P1481" s="17">
        <f t="shared" si="1"/>
        <v>0</v>
      </c>
    </row>
    <row r="1482">
      <c r="P1482" s="17">
        <f t="shared" si="1"/>
        <v>0</v>
      </c>
    </row>
    <row r="1483">
      <c r="P1483" s="17">
        <f t="shared" si="1"/>
        <v>0</v>
      </c>
    </row>
    <row r="1484">
      <c r="P1484" s="17">
        <f t="shared" si="1"/>
        <v>0</v>
      </c>
    </row>
    <row r="1485">
      <c r="P1485" s="17">
        <f t="shared" si="1"/>
        <v>0</v>
      </c>
    </row>
    <row r="1486">
      <c r="P1486" s="17">
        <f t="shared" si="1"/>
        <v>0</v>
      </c>
    </row>
    <row r="1487">
      <c r="P1487" s="17">
        <f t="shared" si="1"/>
        <v>0</v>
      </c>
    </row>
    <row r="1488">
      <c r="P1488" s="17">
        <f t="shared" si="1"/>
        <v>0</v>
      </c>
    </row>
    <row r="1489">
      <c r="P1489" s="17">
        <f t="shared" si="1"/>
        <v>0</v>
      </c>
    </row>
    <row r="1490">
      <c r="P1490" s="17">
        <f t="shared" si="1"/>
        <v>0</v>
      </c>
    </row>
    <row r="1491">
      <c r="P1491" s="17">
        <f t="shared" si="1"/>
        <v>0</v>
      </c>
    </row>
    <row r="1492">
      <c r="P1492" s="17">
        <f t="shared" si="1"/>
        <v>0</v>
      </c>
    </row>
    <row r="1493">
      <c r="P1493" s="17">
        <f t="shared" si="1"/>
        <v>0</v>
      </c>
    </row>
    <row r="1494">
      <c r="P1494" s="17">
        <f t="shared" si="1"/>
        <v>0</v>
      </c>
    </row>
    <row r="1495">
      <c r="P1495" s="17">
        <f t="shared" si="1"/>
        <v>0</v>
      </c>
    </row>
    <row r="1496">
      <c r="P1496" s="17">
        <f t="shared" si="1"/>
        <v>0</v>
      </c>
    </row>
    <row r="1497">
      <c r="P1497" s="17">
        <f t="shared" si="1"/>
        <v>0</v>
      </c>
    </row>
    <row r="1498">
      <c r="P1498" s="17">
        <f t="shared" si="1"/>
        <v>0</v>
      </c>
    </row>
    <row r="1499">
      <c r="P1499" s="17">
        <f t="shared" si="1"/>
        <v>0</v>
      </c>
    </row>
    <row r="1500">
      <c r="P1500" s="17">
        <f t="shared" si="1"/>
        <v>0</v>
      </c>
    </row>
    <row r="1501">
      <c r="P1501" s="17">
        <f t="shared" si="1"/>
        <v>0</v>
      </c>
    </row>
    <row r="1502">
      <c r="P1502" s="17">
        <f t="shared" si="1"/>
        <v>0</v>
      </c>
    </row>
    <row r="1503">
      <c r="P1503" s="17">
        <f t="shared" si="1"/>
        <v>0</v>
      </c>
    </row>
    <row r="1504">
      <c r="P1504" s="17">
        <f t="shared" si="1"/>
        <v>0</v>
      </c>
    </row>
    <row r="1505">
      <c r="P1505" s="17">
        <f t="shared" si="1"/>
        <v>0</v>
      </c>
    </row>
    <row r="1506">
      <c r="P1506" s="17">
        <f t="shared" si="1"/>
        <v>0</v>
      </c>
    </row>
    <row r="1507">
      <c r="P1507" s="17">
        <f t="shared" si="1"/>
        <v>0</v>
      </c>
    </row>
    <row r="1508">
      <c r="P1508" s="17">
        <f t="shared" si="1"/>
        <v>0</v>
      </c>
    </row>
    <row r="1509">
      <c r="P1509" s="17">
        <f t="shared" si="1"/>
        <v>0</v>
      </c>
    </row>
    <row r="1510">
      <c r="P1510" s="17">
        <f t="shared" si="1"/>
        <v>0</v>
      </c>
    </row>
    <row r="1511">
      <c r="P1511" s="17">
        <f t="shared" si="1"/>
        <v>0</v>
      </c>
    </row>
    <row r="1512">
      <c r="P1512" s="17">
        <f t="shared" si="1"/>
        <v>0</v>
      </c>
    </row>
    <row r="1513">
      <c r="P1513" s="17">
        <f t="shared" si="1"/>
        <v>0</v>
      </c>
    </row>
    <row r="1514">
      <c r="P1514" s="17">
        <f t="shared" si="1"/>
        <v>0</v>
      </c>
    </row>
    <row r="1515">
      <c r="P1515" s="17">
        <f t="shared" si="1"/>
        <v>0</v>
      </c>
    </row>
    <row r="1516">
      <c r="P1516" s="17">
        <f t="shared" si="1"/>
        <v>0</v>
      </c>
    </row>
    <row r="1517">
      <c r="P1517" s="17">
        <f t="shared" si="1"/>
        <v>0</v>
      </c>
    </row>
    <row r="1518">
      <c r="P1518" s="17">
        <f t="shared" si="1"/>
        <v>0</v>
      </c>
    </row>
    <row r="1519">
      <c r="P1519" s="17">
        <f t="shared" si="1"/>
        <v>0</v>
      </c>
    </row>
    <row r="1520">
      <c r="P1520" s="17">
        <f t="shared" si="1"/>
        <v>0</v>
      </c>
    </row>
    <row r="1521">
      <c r="P1521" s="17">
        <f t="shared" si="1"/>
        <v>0</v>
      </c>
    </row>
    <row r="1522">
      <c r="P1522" s="17">
        <f t="shared" si="1"/>
        <v>0</v>
      </c>
    </row>
    <row r="1523">
      <c r="P1523" s="17">
        <f t="shared" si="1"/>
        <v>0</v>
      </c>
    </row>
    <row r="1524">
      <c r="P1524" s="17">
        <f t="shared" si="1"/>
        <v>0</v>
      </c>
    </row>
    <row r="1525">
      <c r="P1525" s="17">
        <f t="shared" si="1"/>
        <v>0</v>
      </c>
    </row>
    <row r="1526">
      <c r="P1526" s="17">
        <f t="shared" si="1"/>
        <v>0</v>
      </c>
    </row>
    <row r="1527">
      <c r="P1527" s="17">
        <f t="shared" si="1"/>
        <v>0</v>
      </c>
    </row>
    <row r="1528">
      <c r="P1528" s="17">
        <f t="shared" si="1"/>
        <v>0</v>
      </c>
    </row>
    <row r="1529">
      <c r="P1529" s="17">
        <f t="shared" si="1"/>
        <v>0</v>
      </c>
    </row>
    <row r="1530">
      <c r="P1530" s="17">
        <f t="shared" si="1"/>
        <v>0</v>
      </c>
    </row>
    <row r="1531">
      <c r="P1531" s="17">
        <f t="shared" si="1"/>
        <v>0</v>
      </c>
    </row>
    <row r="1532">
      <c r="P1532" s="17">
        <f t="shared" si="1"/>
        <v>0</v>
      </c>
    </row>
    <row r="1533">
      <c r="P1533" s="17">
        <f t="shared" si="1"/>
        <v>0</v>
      </c>
    </row>
    <row r="1534">
      <c r="P1534" s="17">
        <f t="shared" si="1"/>
        <v>0</v>
      </c>
    </row>
    <row r="1535">
      <c r="P1535" s="17">
        <f t="shared" si="1"/>
        <v>0</v>
      </c>
    </row>
    <row r="1536">
      <c r="P1536" s="17">
        <f t="shared" si="1"/>
        <v>0</v>
      </c>
    </row>
    <row r="1537">
      <c r="P1537" s="17">
        <f t="shared" si="1"/>
        <v>0</v>
      </c>
    </row>
    <row r="1538">
      <c r="P1538" s="17">
        <f t="shared" si="1"/>
        <v>0</v>
      </c>
    </row>
    <row r="1539">
      <c r="P1539" s="17">
        <f t="shared" si="1"/>
        <v>0</v>
      </c>
    </row>
    <row r="1540">
      <c r="P1540" s="17">
        <f t="shared" si="1"/>
        <v>0</v>
      </c>
    </row>
    <row r="1541">
      <c r="P1541" s="17">
        <f t="shared" si="1"/>
        <v>0</v>
      </c>
    </row>
    <row r="1542">
      <c r="P1542" s="17">
        <f t="shared" si="1"/>
        <v>0</v>
      </c>
    </row>
    <row r="1543">
      <c r="P1543" s="17">
        <f t="shared" si="1"/>
        <v>0</v>
      </c>
    </row>
    <row r="1544">
      <c r="P1544" s="17">
        <f t="shared" si="1"/>
        <v>0</v>
      </c>
    </row>
    <row r="1545">
      <c r="P1545" s="17">
        <f t="shared" si="1"/>
        <v>0</v>
      </c>
    </row>
    <row r="1546">
      <c r="P1546" s="17">
        <f t="shared" si="1"/>
        <v>0</v>
      </c>
    </row>
    <row r="1547">
      <c r="P1547" s="17">
        <f t="shared" si="1"/>
        <v>0</v>
      </c>
    </row>
    <row r="1548">
      <c r="P1548" s="17">
        <f t="shared" si="1"/>
        <v>0</v>
      </c>
    </row>
    <row r="1549">
      <c r="P1549" s="17">
        <f t="shared" si="1"/>
        <v>0</v>
      </c>
    </row>
    <row r="1550">
      <c r="P1550" s="17">
        <f t="shared" si="1"/>
        <v>0</v>
      </c>
    </row>
    <row r="1551">
      <c r="P1551" s="17">
        <f t="shared" si="1"/>
        <v>0</v>
      </c>
    </row>
    <row r="1552">
      <c r="P1552" s="17">
        <f t="shared" si="1"/>
        <v>0</v>
      </c>
    </row>
    <row r="1553">
      <c r="P1553" s="17">
        <f t="shared" si="1"/>
        <v>0</v>
      </c>
    </row>
    <row r="1554">
      <c r="P1554" s="17">
        <f t="shared" si="1"/>
        <v>0</v>
      </c>
    </row>
    <row r="1555">
      <c r="P1555" s="17">
        <f t="shared" si="1"/>
        <v>0</v>
      </c>
    </row>
    <row r="1556">
      <c r="P1556" s="17">
        <f t="shared" si="1"/>
        <v>0</v>
      </c>
    </row>
    <row r="1557">
      <c r="P1557" s="17">
        <f t="shared" si="1"/>
        <v>0</v>
      </c>
    </row>
    <row r="1558">
      <c r="P1558" s="17">
        <f t="shared" si="1"/>
        <v>0</v>
      </c>
    </row>
    <row r="1559">
      <c r="P1559" s="17">
        <f t="shared" si="1"/>
        <v>0</v>
      </c>
    </row>
    <row r="1560">
      <c r="P1560" s="17">
        <f t="shared" si="1"/>
        <v>0</v>
      </c>
    </row>
    <row r="1561">
      <c r="P1561" s="17">
        <f t="shared" si="1"/>
        <v>0</v>
      </c>
    </row>
    <row r="1562">
      <c r="P1562" s="17">
        <f t="shared" si="1"/>
        <v>0</v>
      </c>
    </row>
    <row r="1563">
      <c r="P1563" s="17">
        <f t="shared" si="1"/>
        <v>0</v>
      </c>
    </row>
    <row r="1564">
      <c r="P1564" s="17">
        <f t="shared" si="1"/>
        <v>0</v>
      </c>
    </row>
    <row r="1565">
      <c r="P1565" s="17">
        <f t="shared" si="1"/>
        <v>0</v>
      </c>
    </row>
    <row r="1566">
      <c r="P1566" s="17">
        <f t="shared" si="1"/>
        <v>0</v>
      </c>
    </row>
    <row r="1567">
      <c r="P1567" s="17">
        <f t="shared" si="1"/>
        <v>0</v>
      </c>
    </row>
    <row r="1568">
      <c r="P1568" s="17">
        <f t="shared" si="1"/>
        <v>0</v>
      </c>
    </row>
    <row r="1569">
      <c r="P1569" s="17">
        <f t="shared" si="1"/>
        <v>0</v>
      </c>
    </row>
    <row r="1570">
      <c r="P1570" s="17">
        <f t="shared" si="1"/>
        <v>0</v>
      </c>
    </row>
    <row r="1571">
      <c r="P1571" s="17">
        <f t="shared" si="1"/>
        <v>0</v>
      </c>
    </row>
    <row r="1572">
      <c r="P1572" s="17">
        <f t="shared" si="1"/>
        <v>0</v>
      </c>
    </row>
    <row r="1573">
      <c r="P1573" s="17">
        <f t="shared" si="1"/>
        <v>0</v>
      </c>
    </row>
    <row r="1574">
      <c r="P1574" s="17">
        <f t="shared" si="1"/>
        <v>0</v>
      </c>
    </row>
    <row r="1575">
      <c r="P1575" s="17">
        <f t="shared" si="1"/>
        <v>0</v>
      </c>
    </row>
    <row r="1576">
      <c r="P1576" s="17">
        <f t="shared" si="1"/>
        <v>0</v>
      </c>
    </row>
    <row r="1577">
      <c r="P1577" s="17">
        <f t="shared" si="1"/>
        <v>0</v>
      </c>
    </row>
    <row r="1578">
      <c r="P1578" s="17">
        <f t="shared" si="1"/>
        <v>0</v>
      </c>
    </row>
    <row r="1579">
      <c r="P1579" s="17">
        <f t="shared" si="1"/>
        <v>0</v>
      </c>
    </row>
    <row r="1580">
      <c r="P1580" s="17">
        <f t="shared" si="1"/>
        <v>0</v>
      </c>
    </row>
    <row r="1581">
      <c r="P1581" s="17">
        <f t="shared" si="1"/>
        <v>0</v>
      </c>
    </row>
    <row r="1582">
      <c r="P1582" s="17">
        <f t="shared" si="1"/>
        <v>0</v>
      </c>
    </row>
    <row r="1583">
      <c r="P1583" s="17">
        <f t="shared" si="1"/>
        <v>0</v>
      </c>
    </row>
    <row r="1584">
      <c r="P1584" s="17">
        <f t="shared" si="1"/>
        <v>0</v>
      </c>
    </row>
    <row r="1585">
      <c r="P1585" s="17">
        <f t="shared" si="1"/>
        <v>0</v>
      </c>
    </row>
    <row r="1586">
      <c r="P1586" s="17">
        <f t="shared" si="1"/>
        <v>0</v>
      </c>
    </row>
    <row r="1587">
      <c r="P1587" s="17">
        <f t="shared" si="1"/>
        <v>0</v>
      </c>
    </row>
    <row r="1588">
      <c r="P1588" s="17">
        <f t="shared" si="1"/>
        <v>0</v>
      </c>
    </row>
    <row r="1589">
      <c r="P1589" s="17">
        <f t="shared" si="1"/>
        <v>0</v>
      </c>
    </row>
    <row r="1590">
      <c r="P1590" s="17">
        <f t="shared" si="1"/>
        <v>0</v>
      </c>
    </row>
    <row r="1591">
      <c r="P1591" s="17">
        <f t="shared" si="1"/>
        <v>0</v>
      </c>
    </row>
    <row r="1592">
      <c r="P1592" s="17">
        <f t="shared" si="1"/>
        <v>0</v>
      </c>
    </row>
    <row r="1593">
      <c r="P1593" s="17">
        <f t="shared" si="1"/>
        <v>0</v>
      </c>
    </row>
    <row r="1594">
      <c r="P1594" s="17">
        <f t="shared" si="1"/>
        <v>0</v>
      </c>
    </row>
    <row r="1595">
      <c r="P1595" s="17">
        <f t="shared" si="1"/>
        <v>0</v>
      </c>
    </row>
    <row r="1596">
      <c r="P1596" s="17">
        <f t="shared" si="1"/>
        <v>0</v>
      </c>
    </row>
    <row r="1597">
      <c r="P1597" s="17">
        <f t="shared" si="1"/>
        <v>0</v>
      </c>
    </row>
    <row r="1598">
      <c r="P1598" s="17">
        <f t="shared" si="1"/>
        <v>0</v>
      </c>
    </row>
    <row r="1599">
      <c r="P1599" s="17">
        <f t="shared" si="1"/>
        <v>0</v>
      </c>
    </row>
    <row r="1600">
      <c r="P1600" s="17">
        <f t="shared" si="1"/>
        <v>0</v>
      </c>
    </row>
    <row r="1601">
      <c r="P1601" s="17">
        <f t="shared" si="1"/>
        <v>0</v>
      </c>
    </row>
    <row r="1602">
      <c r="P1602" s="17">
        <f t="shared" si="1"/>
        <v>0</v>
      </c>
    </row>
    <row r="1603">
      <c r="P1603" s="17">
        <f t="shared" si="1"/>
        <v>0</v>
      </c>
    </row>
    <row r="1604">
      <c r="P1604" s="17">
        <f t="shared" si="1"/>
        <v>0</v>
      </c>
    </row>
    <row r="1605">
      <c r="P1605" s="17">
        <f t="shared" si="1"/>
        <v>0</v>
      </c>
    </row>
    <row r="1606">
      <c r="P1606" s="17">
        <f t="shared" si="1"/>
        <v>0</v>
      </c>
    </row>
    <row r="1607">
      <c r="P1607" s="17">
        <f t="shared" si="1"/>
        <v>0</v>
      </c>
    </row>
    <row r="1608">
      <c r="P1608" s="17">
        <f t="shared" si="1"/>
        <v>0</v>
      </c>
    </row>
    <row r="1609">
      <c r="P1609" s="17">
        <f t="shared" si="1"/>
        <v>0</v>
      </c>
    </row>
    <row r="1610">
      <c r="P1610" s="17">
        <f t="shared" si="1"/>
        <v>0</v>
      </c>
    </row>
    <row r="1611">
      <c r="P1611" s="17">
        <f t="shared" si="1"/>
        <v>0</v>
      </c>
    </row>
    <row r="1612">
      <c r="P1612" s="17">
        <f t="shared" si="1"/>
        <v>0</v>
      </c>
    </row>
    <row r="1613">
      <c r="P1613" s="17">
        <f t="shared" si="1"/>
        <v>0</v>
      </c>
    </row>
    <row r="1614">
      <c r="P1614" s="17">
        <f t="shared" si="1"/>
        <v>0</v>
      </c>
    </row>
    <row r="1615">
      <c r="P1615" s="17">
        <f t="shared" si="1"/>
        <v>0</v>
      </c>
    </row>
    <row r="1616">
      <c r="P1616" s="17">
        <f t="shared" si="1"/>
        <v>0</v>
      </c>
    </row>
    <row r="1617">
      <c r="P1617" s="17">
        <f t="shared" si="1"/>
        <v>0</v>
      </c>
    </row>
    <row r="1618">
      <c r="P1618" s="17">
        <f t="shared" si="1"/>
        <v>0</v>
      </c>
    </row>
    <row r="1619">
      <c r="P1619" s="17">
        <f t="shared" si="1"/>
        <v>0</v>
      </c>
    </row>
    <row r="1620">
      <c r="P1620" s="17">
        <f t="shared" si="1"/>
        <v>0</v>
      </c>
    </row>
    <row r="1621">
      <c r="P1621" s="17">
        <f t="shared" si="1"/>
        <v>0</v>
      </c>
    </row>
    <row r="1622">
      <c r="P1622" s="17">
        <f t="shared" si="1"/>
        <v>0</v>
      </c>
    </row>
    <row r="1623">
      <c r="P1623" s="17">
        <f t="shared" si="1"/>
        <v>0</v>
      </c>
    </row>
    <row r="1624">
      <c r="P1624" s="17">
        <f t="shared" si="1"/>
        <v>0</v>
      </c>
    </row>
    <row r="1625">
      <c r="P1625" s="17">
        <f t="shared" si="1"/>
        <v>0</v>
      </c>
    </row>
    <row r="1626">
      <c r="P1626" s="17">
        <f t="shared" si="1"/>
        <v>0</v>
      </c>
    </row>
    <row r="1627">
      <c r="P1627" s="17">
        <f t="shared" si="1"/>
        <v>0</v>
      </c>
    </row>
    <row r="1628">
      <c r="P1628" s="17">
        <f t="shared" si="1"/>
        <v>0</v>
      </c>
    </row>
    <row r="1629">
      <c r="P1629" s="17">
        <f t="shared" si="1"/>
        <v>0</v>
      </c>
    </row>
    <row r="1630">
      <c r="P1630" s="17">
        <f t="shared" si="1"/>
        <v>0</v>
      </c>
    </row>
    <row r="1631">
      <c r="P1631" s="17">
        <f t="shared" si="1"/>
        <v>0</v>
      </c>
    </row>
    <row r="1632">
      <c r="P1632" s="17">
        <f t="shared" si="1"/>
        <v>0</v>
      </c>
    </row>
    <row r="1633">
      <c r="P1633" s="17">
        <f t="shared" si="1"/>
        <v>0</v>
      </c>
    </row>
    <row r="1634">
      <c r="P1634" s="17">
        <f t="shared" si="1"/>
        <v>0</v>
      </c>
    </row>
    <row r="1635">
      <c r="P1635" s="17">
        <f t="shared" si="1"/>
        <v>0</v>
      </c>
    </row>
    <row r="1636">
      <c r="P1636" s="17">
        <f t="shared" si="1"/>
        <v>0</v>
      </c>
    </row>
    <row r="1637">
      <c r="P1637" s="17">
        <f t="shared" si="1"/>
        <v>0</v>
      </c>
    </row>
    <row r="1638">
      <c r="P1638" s="17">
        <f t="shared" si="1"/>
        <v>0</v>
      </c>
    </row>
    <row r="1639">
      <c r="P1639" s="17">
        <f t="shared" si="1"/>
        <v>0</v>
      </c>
    </row>
    <row r="1640">
      <c r="P1640" s="17">
        <f t="shared" si="1"/>
        <v>0</v>
      </c>
    </row>
    <row r="1641">
      <c r="P1641" s="17">
        <f t="shared" si="1"/>
        <v>0</v>
      </c>
    </row>
    <row r="1642">
      <c r="P1642" s="17">
        <f t="shared" si="1"/>
        <v>0</v>
      </c>
    </row>
    <row r="1643">
      <c r="P1643" s="17">
        <f t="shared" si="1"/>
        <v>0</v>
      </c>
    </row>
    <row r="1644">
      <c r="P1644" s="17">
        <f t="shared" si="1"/>
        <v>0</v>
      </c>
    </row>
    <row r="1645">
      <c r="P1645" s="17">
        <f t="shared" si="1"/>
        <v>0</v>
      </c>
    </row>
    <row r="1646">
      <c r="P1646" s="17">
        <f t="shared" si="1"/>
        <v>0</v>
      </c>
    </row>
    <row r="1647">
      <c r="P1647" s="17">
        <f t="shared" si="1"/>
        <v>0</v>
      </c>
    </row>
    <row r="1648">
      <c r="P1648" s="17">
        <f t="shared" si="1"/>
        <v>0</v>
      </c>
    </row>
    <row r="1649">
      <c r="P1649" s="17">
        <f t="shared" si="1"/>
        <v>0</v>
      </c>
    </row>
    <row r="1650">
      <c r="P1650" s="17">
        <f t="shared" si="1"/>
        <v>0</v>
      </c>
    </row>
    <row r="1651">
      <c r="P1651" s="17">
        <f t="shared" si="1"/>
        <v>0</v>
      </c>
    </row>
    <row r="1652">
      <c r="P1652" s="17">
        <f t="shared" si="1"/>
        <v>0</v>
      </c>
    </row>
    <row r="1653">
      <c r="P1653" s="17">
        <f t="shared" si="1"/>
        <v>0</v>
      </c>
    </row>
    <row r="1654">
      <c r="P1654" s="17">
        <f t="shared" si="1"/>
        <v>0</v>
      </c>
    </row>
    <row r="1655">
      <c r="P1655" s="17">
        <f t="shared" si="1"/>
        <v>0</v>
      </c>
    </row>
    <row r="1656">
      <c r="P1656" s="17">
        <f t="shared" si="1"/>
        <v>0</v>
      </c>
    </row>
    <row r="1657">
      <c r="P1657" s="17">
        <f t="shared" si="1"/>
        <v>0</v>
      </c>
    </row>
    <row r="1658">
      <c r="P1658" s="17">
        <f t="shared" si="1"/>
        <v>0</v>
      </c>
    </row>
    <row r="1659">
      <c r="P1659" s="17">
        <f t="shared" si="1"/>
        <v>0</v>
      </c>
    </row>
    <row r="1660">
      <c r="P1660" s="17">
        <f t="shared" si="1"/>
        <v>0</v>
      </c>
    </row>
    <row r="1661">
      <c r="P1661" s="17">
        <f t="shared" si="1"/>
        <v>0</v>
      </c>
    </row>
    <row r="1662">
      <c r="P1662" s="17">
        <f t="shared" si="1"/>
        <v>0</v>
      </c>
    </row>
    <row r="1663">
      <c r="P1663" s="17">
        <f t="shared" si="1"/>
        <v>0</v>
      </c>
    </row>
    <row r="1664">
      <c r="P1664" s="17">
        <f t="shared" si="1"/>
        <v>0</v>
      </c>
    </row>
    <row r="1665">
      <c r="P1665" s="17">
        <f t="shared" si="1"/>
        <v>0</v>
      </c>
    </row>
    <row r="1666">
      <c r="P1666" s="17">
        <f t="shared" si="1"/>
        <v>0</v>
      </c>
    </row>
    <row r="1667">
      <c r="P1667" s="17">
        <f t="shared" si="1"/>
        <v>0</v>
      </c>
    </row>
    <row r="1668">
      <c r="P1668" s="17">
        <f t="shared" si="1"/>
        <v>0</v>
      </c>
    </row>
    <row r="1669">
      <c r="P1669" s="17">
        <f t="shared" si="1"/>
        <v>0</v>
      </c>
    </row>
    <row r="1670">
      <c r="P1670" s="17">
        <f t="shared" si="1"/>
        <v>0</v>
      </c>
    </row>
    <row r="1671">
      <c r="P1671" s="17">
        <f t="shared" si="1"/>
        <v>0</v>
      </c>
    </row>
    <row r="1672">
      <c r="P1672" s="17">
        <f t="shared" si="1"/>
        <v>0</v>
      </c>
    </row>
    <row r="1673">
      <c r="P1673" s="17">
        <f t="shared" si="1"/>
        <v>0</v>
      </c>
    </row>
    <row r="1674">
      <c r="P1674" s="17">
        <f t="shared" si="1"/>
        <v>0</v>
      </c>
    </row>
    <row r="1675">
      <c r="P1675" s="17">
        <f t="shared" si="1"/>
        <v>0</v>
      </c>
    </row>
    <row r="1676">
      <c r="P1676" s="17">
        <f t="shared" si="1"/>
        <v>0</v>
      </c>
    </row>
    <row r="1677">
      <c r="P1677" s="17">
        <f t="shared" si="1"/>
        <v>0</v>
      </c>
    </row>
    <row r="1678">
      <c r="P1678" s="17">
        <f t="shared" si="1"/>
        <v>0</v>
      </c>
    </row>
    <row r="1679">
      <c r="P1679" s="17">
        <f t="shared" si="1"/>
        <v>0</v>
      </c>
    </row>
    <row r="1680">
      <c r="P1680" s="17">
        <f t="shared" si="1"/>
        <v>0</v>
      </c>
    </row>
    <row r="1681">
      <c r="P1681" s="17">
        <f t="shared" si="1"/>
        <v>0</v>
      </c>
    </row>
    <row r="1682">
      <c r="P1682" s="17">
        <f t="shared" si="1"/>
        <v>0</v>
      </c>
    </row>
    <row r="1683">
      <c r="P1683" s="17">
        <f t="shared" si="1"/>
        <v>0</v>
      </c>
    </row>
    <row r="1684">
      <c r="P1684" s="17">
        <f t="shared" si="1"/>
        <v>0</v>
      </c>
    </row>
    <row r="1685">
      <c r="P1685" s="17">
        <f t="shared" si="1"/>
        <v>0</v>
      </c>
    </row>
    <row r="1686">
      <c r="P1686" s="17">
        <f t="shared" si="1"/>
        <v>0</v>
      </c>
    </row>
    <row r="1687">
      <c r="P1687" s="17">
        <f t="shared" si="1"/>
        <v>0</v>
      </c>
    </row>
    <row r="1688">
      <c r="P1688" s="17">
        <f t="shared" si="1"/>
        <v>0</v>
      </c>
    </row>
    <row r="1689">
      <c r="P1689" s="17">
        <f t="shared" si="1"/>
        <v>0</v>
      </c>
    </row>
    <row r="1690">
      <c r="P1690" s="17">
        <f t="shared" si="1"/>
        <v>0</v>
      </c>
    </row>
    <row r="1691">
      <c r="P1691" s="17">
        <f t="shared" si="1"/>
        <v>0</v>
      </c>
    </row>
    <row r="1692">
      <c r="P1692" s="17">
        <f t="shared" si="1"/>
        <v>0</v>
      </c>
    </row>
    <row r="1693">
      <c r="P1693" s="17">
        <f t="shared" si="1"/>
        <v>0</v>
      </c>
    </row>
    <row r="1694">
      <c r="P1694" s="17">
        <f t="shared" si="1"/>
        <v>0</v>
      </c>
    </row>
    <row r="1695">
      <c r="P1695" s="17">
        <f t="shared" si="1"/>
        <v>0</v>
      </c>
    </row>
    <row r="1696">
      <c r="P1696" s="17">
        <f t="shared" si="1"/>
        <v>0</v>
      </c>
    </row>
    <row r="1697">
      <c r="P1697" s="17">
        <f t="shared" si="1"/>
        <v>0</v>
      </c>
    </row>
    <row r="1698">
      <c r="P1698" s="17">
        <f t="shared" si="1"/>
        <v>0</v>
      </c>
    </row>
    <row r="1699">
      <c r="P1699" s="17">
        <f t="shared" si="1"/>
        <v>0</v>
      </c>
    </row>
    <row r="1700">
      <c r="P1700" s="17">
        <f t="shared" si="1"/>
        <v>0</v>
      </c>
    </row>
    <row r="1701">
      <c r="P1701" s="17">
        <f t="shared" si="1"/>
        <v>0</v>
      </c>
    </row>
    <row r="1702">
      <c r="P1702" s="17">
        <f t="shared" si="1"/>
        <v>0</v>
      </c>
    </row>
    <row r="1703">
      <c r="P1703" s="17">
        <f t="shared" si="1"/>
        <v>0</v>
      </c>
    </row>
    <row r="1704">
      <c r="P1704" s="17">
        <f t="shared" si="1"/>
        <v>0</v>
      </c>
    </row>
    <row r="1705">
      <c r="P1705" s="17">
        <f t="shared" si="1"/>
        <v>0</v>
      </c>
    </row>
    <row r="1706">
      <c r="P1706" s="17">
        <f t="shared" si="1"/>
        <v>0</v>
      </c>
    </row>
    <row r="1707">
      <c r="P1707" s="17">
        <f t="shared" si="1"/>
        <v>0</v>
      </c>
    </row>
    <row r="1708">
      <c r="P1708" s="17">
        <f t="shared" si="1"/>
        <v>0</v>
      </c>
    </row>
    <row r="1709">
      <c r="P1709" s="17">
        <f t="shared" si="1"/>
        <v>0</v>
      </c>
    </row>
    <row r="1710">
      <c r="P1710" s="17">
        <f t="shared" si="1"/>
        <v>0</v>
      </c>
    </row>
    <row r="1711">
      <c r="P1711" s="17">
        <f t="shared" si="1"/>
        <v>0</v>
      </c>
    </row>
    <row r="1712">
      <c r="P1712" s="17">
        <f t="shared" si="1"/>
        <v>0</v>
      </c>
    </row>
    <row r="1713">
      <c r="P1713" s="17">
        <f t="shared" si="1"/>
        <v>0</v>
      </c>
    </row>
    <row r="1714">
      <c r="P1714" s="17">
        <f t="shared" si="1"/>
        <v>0</v>
      </c>
    </row>
    <row r="1715">
      <c r="P1715" s="17">
        <f t="shared" si="1"/>
        <v>0</v>
      </c>
    </row>
    <row r="1716">
      <c r="P1716" s="17">
        <f t="shared" si="1"/>
        <v>0</v>
      </c>
    </row>
    <row r="1717">
      <c r="P1717" s="17">
        <f t="shared" si="1"/>
        <v>0</v>
      </c>
    </row>
    <row r="1718">
      <c r="P1718" s="17">
        <f t="shared" si="1"/>
        <v>0</v>
      </c>
    </row>
    <row r="1719">
      <c r="P1719" s="17">
        <f t="shared" si="1"/>
        <v>0</v>
      </c>
    </row>
    <row r="1720">
      <c r="P1720" s="17">
        <f t="shared" si="1"/>
        <v>0</v>
      </c>
    </row>
    <row r="1721">
      <c r="P1721" s="17">
        <f t="shared" si="1"/>
        <v>0</v>
      </c>
    </row>
    <row r="1722">
      <c r="P1722" s="17">
        <f t="shared" si="1"/>
        <v>0</v>
      </c>
    </row>
    <row r="1723">
      <c r="P1723" s="17">
        <f t="shared" si="1"/>
        <v>0</v>
      </c>
    </row>
    <row r="1724">
      <c r="P1724" s="17">
        <f t="shared" si="1"/>
        <v>0</v>
      </c>
    </row>
    <row r="1725">
      <c r="P1725" s="17">
        <f t="shared" si="1"/>
        <v>0</v>
      </c>
    </row>
    <row r="1726">
      <c r="P1726" s="17">
        <f t="shared" si="1"/>
        <v>0</v>
      </c>
    </row>
    <row r="1727">
      <c r="P1727" s="17">
        <f t="shared" si="1"/>
        <v>0</v>
      </c>
    </row>
    <row r="1728">
      <c r="P1728" s="17">
        <f t="shared" si="1"/>
        <v>0</v>
      </c>
    </row>
    <row r="1729">
      <c r="P1729" s="17">
        <f t="shared" si="1"/>
        <v>0</v>
      </c>
    </row>
    <row r="1730">
      <c r="P1730" s="17">
        <f t="shared" si="1"/>
        <v>0</v>
      </c>
    </row>
    <row r="1731">
      <c r="P1731" s="17">
        <f t="shared" si="1"/>
        <v>0</v>
      </c>
    </row>
    <row r="1732">
      <c r="P1732" s="17">
        <f t="shared" si="1"/>
        <v>0</v>
      </c>
    </row>
    <row r="1733">
      <c r="P1733" s="17">
        <f t="shared" si="1"/>
        <v>0</v>
      </c>
    </row>
    <row r="1734">
      <c r="P1734" s="17">
        <f t="shared" si="1"/>
        <v>0</v>
      </c>
    </row>
    <row r="1735">
      <c r="P1735" s="17">
        <f t="shared" si="1"/>
        <v>0</v>
      </c>
    </row>
    <row r="1736">
      <c r="P1736" s="17">
        <f t="shared" si="1"/>
        <v>0</v>
      </c>
    </row>
    <row r="1737">
      <c r="P1737" s="17">
        <f t="shared" si="1"/>
        <v>0</v>
      </c>
    </row>
    <row r="1738">
      <c r="P1738" s="17">
        <f t="shared" si="1"/>
        <v>0</v>
      </c>
    </row>
    <row r="1739">
      <c r="P1739" s="17">
        <f t="shared" si="1"/>
        <v>0</v>
      </c>
    </row>
    <row r="1740">
      <c r="P1740" s="17">
        <f t="shared" si="1"/>
        <v>0</v>
      </c>
    </row>
    <row r="1741">
      <c r="P1741" s="17">
        <f t="shared" si="1"/>
        <v>0</v>
      </c>
    </row>
    <row r="1742">
      <c r="P1742" s="17">
        <f t="shared" si="1"/>
        <v>0</v>
      </c>
    </row>
    <row r="1743">
      <c r="P1743" s="17">
        <f t="shared" si="1"/>
        <v>0</v>
      </c>
    </row>
    <row r="1744">
      <c r="P1744" s="17">
        <f t="shared" si="1"/>
        <v>0</v>
      </c>
    </row>
    <row r="1745">
      <c r="P1745" s="17">
        <f t="shared" si="1"/>
        <v>0</v>
      </c>
    </row>
    <row r="1746">
      <c r="P1746" s="17">
        <f t="shared" si="1"/>
        <v>0</v>
      </c>
    </row>
    <row r="1747">
      <c r="P1747" s="17">
        <f t="shared" si="1"/>
        <v>0</v>
      </c>
    </row>
    <row r="1748">
      <c r="P1748" s="17">
        <f t="shared" si="1"/>
        <v>0</v>
      </c>
    </row>
    <row r="1749">
      <c r="P1749" s="17">
        <f t="shared" si="1"/>
        <v>0</v>
      </c>
    </row>
    <row r="1750">
      <c r="P1750" s="17">
        <f t="shared" si="1"/>
        <v>0</v>
      </c>
    </row>
    <row r="1751">
      <c r="P1751" s="17">
        <f t="shared" si="1"/>
        <v>0</v>
      </c>
    </row>
    <row r="1752">
      <c r="P1752" s="17">
        <f t="shared" si="1"/>
        <v>0</v>
      </c>
    </row>
    <row r="1753">
      <c r="P1753" s="17">
        <f t="shared" si="1"/>
        <v>0</v>
      </c>
    </row>
    <row r="1754">
      <c r="P1754" s="17">
        <f t="shared" si="1"/>
        <v>0</v>
      </c>
    </row>
    <row r="1755">
      <c r="P1755" s="17">
        <f t="shared" si="1"/>
        <v>0</v>
      </c>
    </row>
    <row r="1756">
      <c r="P1756" s="17">
        <f t="shared" si="1"/>
        <v>0</v>
      </c>
    </row>
    <row r="1757">
      <c r="P1757" s="17">
        <f t="shared" si="1"/>
        <v>0</v>
      </c>
    </row>
    <row r="1758">
      <c r="P1758" s="17">
        <f t="shared" si="1"/>
        <v>0</v>
      </c>
    </row>
    <row r="1759">
      <c r="P1759" s="17">
        <f t="shared" si="1"/>
        <v>0</v>
      </c>
    </row>
    <row r="1760">
      <c r="P1760" s="17">
        <f t="shared" si="1"/>
        <v>0</v>
      </c>
    </row>
    <row r="1761">
      <c r="P1761" s="17">
        <f t="shared" si="1"/>
        <v>0</v>
      </c>
    </row>
    <row r="1762">
      <c r="P1762" s="17">
        <f t="shared" si="1"/>
        <v>0</v>
      </c>
    </row>
    <row r="1763">
      <c r="P1763" s="17">
        <f t="shared" si="1"/>
        <v>0</v>
      </c>
    </row>
    <row r="1764">
      <c r="P1764" s="17">
        <f t="shared" si="1"/>
        <v>0</v>
      </c>
    </row>
    <row r="1765">
      <c r="P1765" s="17">
        <f t="shared" si="1"/>
        <v>0</v>
      </c>
    </row>
    <row r="1766">
      <c r="P1766" s="17">
        <f t="shared" si="1"/>
        <v>0</v>
      </c>
    </row>
    <row r="1767">
      <c r="P1767" s="17">
        <f t="shared" si="1"/>
        <v>0</v>
      </c>
    </row>
    <row r="1768">
      <c r="P1768" s="17">
        <f t="shared" si="1"/>
        <v>0</v>
      </c>
    </row>
    <row r="1769">
      <c r="P1769" s="17">
        <f t="shared" si="1"/>
        <v>0</v>
      </c>
    </row>
    <row r="1770">
      <c r="P1770" s="17">
        <f t="shared" si="1"/>
        <v>0</v>
      </c>
    </row>
    <row r="1771">
      <c r="P1771" s="17">
        <f t="shared" si="1"/>
        <v>0</v>
      </c>
    </row>
    <row r="1772">
      <c r="P1772" s="17">
        <f t="shared" si="1"/>
        <v>0</v>
      </c>
    </row>
    <row r="1773">
      <c r="P1773" s="17">
        <f t="shared" si="1"/>
        <v>0</v>
      </c>
    </row>
    <row r="1774">
      <c r="P1774" s="17">
        <f t="shared" si="1"/>
        <v>0</v>
      </c>
    </row>
    <row r="1775">
      <c r="P1775" s="17">
        <f t="shared" si="1"/>
        <v>0</v>
      </c>
    </row>
    <row r="1776">
      <c r="P1776" s="17">
        <f t="shared" si="1"/>
        <v>0</v>
      </c>
    </row>
    <row r="1777">
      <c r="P1777" s="17">
        <f t="shared" si="1"/>
        <v>0</v>
      </c>
    </row>
    <row r="1778">
      <c r="P1778" s="17">
        <f t="shared" si="1"/>
        <v>0</v>
      </c>
    </row>
    <row r="1779">
      <c r="P1779" s="17">
        <f t="shared" si="1"/>
        <v>0</v>
      </c>
    </row>
    <row r="1780">
      <c r="P1780" s="17">
        <f t="shared" si="1"/>
        <v>0</v>
      </c>
    </row>
    <row r="1781">
      <c r="P1781" s="17">
        <f t="shared" si="1"/>
        <v>0</v>
      </c>
    </row>
    <row r="1782">
      <c r="P1782" s="17">
        <f t="shared" si="1"/>
        <v>0</v>
      </c>
    </row>
    <row r="1783">
      <c r="P1783" s="17">
        <f t="shared" si="1"/>
        <v>0</v>
      </c>
    </row>
    <row r="1784">
      <c r="P1784" s="17">
        <f t="shared" si="1"/>
        <v>0</v>
      </c>
    </row>
    <row r="1785">
      <c r="P1785" s="17">
        <f t="shared" si="1"/>
        <v>0</v>
      </c>
    </row>
    <row r="1786">
      <c r="P1786" s="17">
        <f t="shared" si="1"/>
        <v>0</v>
      </c>
    </row>
    <row r="1787">
      <c r="P1787" s="17">
        <f t="shared" si="1"/>
        <v>0</v>
      </c>
    </row>
    <row r="1788">
      <c r="P1788" s="17">
        <f t="shared" si="1"/>
        <v>0</v>
      </c>
    </row>
    <row r="1789">
      <c r="P1789" s="17">
        <f t="shared" si="1"/>
        <v>0</v>
      </c>
    </row>
    <row r="1790">
      <c r="P1790" s="17">
        <f t="shared" si="1"/>
        <v>0</v>
      </c>
    </row>
    <row r="1791">
      <c r="P1791" s="17">
        <f t="shared" si="1"/>
        <v>0</v>
      </c>
    </row>
    <row r="1792">
      <c r="P1792" s="17">
        <f t="shared" si="1"/>
        <v>0</v>
      </c>
    </row>
    <row r="1793">
      <c r="P1793" s="17">
        <f t="shared" si="1"/>
        <v>0</v>
      </c>
    </row>
    <row r="1794">
      <c r="P1794" s="17">
        <f t="shared" si="1"/>
        <v>0</v>
      </c>
    </row>
    <row r="1795">
      <c r="P1795" s="17">
        <f t="shared" si="1"/>
        <v>0</v>
      </c>
    </row>
    <row r="1796">
      <c r="P1796" s="17">
        <f t="shared" si="1"/>
        <v>0</v>
      </c>
    </row>
    <row r="1797">
      <c r="P1797" s="17">
        <f t="shared" si="1"/>
        <v>0</v>
      </c>
    </row>
    <row r="1798">
      <c r="P1798" s="17">
        <f t="shared" si="1"/>
        <v>0</v>
      </c>
    </row>
    <row r="1799">
      <c r="P1799" s="17">
        <f t="shared" si="1"/>
        <v>0</v>
      </c>
    </row>
    <row r="1800">
      <c r="P1800" s="17">
        <f t="shared" si="1"/>
        <v>0</v>
      </c>
    </row>
    <row r="1801">
      <c r="P1801" s="17">
        <f t="shared" si="1"/>
        <v>0</v>
      </c>
    </row>
    <row r="1802">
      <c r="P1802" s="17">
        <f t="shared" si="1"/>
        <v>0</v>
      </c>
    </row>
    <row r="1803">
      <c r="P1803" s="17">
        <f t="shared" si="1"/>
        <v>0</v>
      </c>
    </row>
    <row r="1804">
      <c r="P1804" s="17">
        <f t="shared" si="1"/>
        <v>0</v>
      </c>
    </row>
    <row r="1805">
      <c r="P1805" s="17">
        <f t="shared" si="1"/>
        <v>0</v>
      </c>
    </row>
    <row r="1806">
      <c r="P1806" s="17">
        <f t="shared" si="1"/>
        <v>0</v>
      </c>
    </row>
    <row r="1807">
      <c r="P1807" s="17">
        <f t="shared" si="1"/>
        <v>0</v>
      </c>
    </row>
    <row r="1808">
      <c r="P1808" s="17">
        <f t="shared" si="1"/>
        <v>0</v>
      </c>
    </row>
    <row r="1809">
      <c r="P1809" s="17">
        <f t="shared" si="1"/>
        <v>0</v>
      </c>
    </row>
    <row r="1810">
      <c r="P1810" s="17">
        <f t="shared" si="1"/>
        <v>0</v>
      </c>
    </row>
    <row r="1811">
      <c r="P1811" s="17">
        <f t="shared" si="1"/>
        <v>0</v>
      </c>
    </row>
    <row r="1812">
      <c r="P1812" s="17">
        <f t="shared" si="1"/>
        <v>0</v>
      </c>
    </row>
    <row r="1813">
      <c r="P1813" s="17">
        <f t="shared" si="1"/>
        <v>0</v>
      </c>
    </row>
    <row r="1814">
      <c r="P1814" s="17">
        <f t="shared" si="1"/>
        <v>0</v>
      </c>
    </row>
    <row r="1815">
      <c r="P1815" s="17">
        <f t="shared" si="1"/>
        <v>0</v>
      </c>
    </row>
    <row r="1816">
      <c r="P1816" s="17">
        <f t="shared" si="1"/>
        <v>0</v>
      </c>
    </row>
    <row r="1817">
      <c r="P1817" s="17">
        <f t="shared" si="1"/>
        <v>0</v>
      </c>
    </row>
    <row r="1818">
      <c r="P1818" s="17">
        <f t="shared" si="1"/>
        <v>0</v>
      </c>
    </row>
    <row r="1819">
      <c r="P1819" s="17">
        <f t="shared" si="1"/>
        <v>0</v>
      </c>
    </row>
    <row r="1820">
      <c r="P1820" s="17">
        <f t="shared" si="1"/>
        <v>0</v>
      </c>
    </row>
    <row r="1821">
      <c r="P1821" s="17">
        <f t="shared" si="1"/>
        <v>0</v>
      </c>
    </row>
    <row r="1822">
      <c r="P1822" s="17">
        <f t="shared" si="1"/>
        <v>0</v>
      </c>
    </row>
    <row r="1823">
      <c r="P1823" s="17">
        <f t="shared" si="1"/>
        <v>0</v>
      </c>
    </row>
    <row r="1824">
      <c r="P1824" s="17">
        <f t="shared" si="1"/>
        <v>0</v>
      </c>
    </row>
    <row r="1825">
      <c r="P1825" s="17">
        <f t="shared" si="1"/>
        <v>0</v>
      </c>
    </row>
    <row r="1826">
      <c r="P1826" s="17">
        <f t="shared" si="1"/>
        <v>0</v>
      </c>
    </row>
    <row r="1827">
      <c r="P1827" s="17">
        <f t="shared" si="1"/>
        <v>0</v>
      </c>
    </row>
    <row r="1828">
      <c r="P1828" s="17">
        <f t="shared" si="1"/>
        <v>0</v>
      </c>
    </row>
    <row r="1829">
      <c r="P1829" s="17">
        <f t="shared" si="1"/>
        <v>0</v>
      </c>
    </row>
    <row r="1830">
      <c r="P1830" s="17">
        <f t="shared" si="1"/>
        <v>0</v>
      </c>
    </row>
    <row r="1831">
      <c r="P1831" s="17">
        <f t="shared" si="1"/>
        <v>0</v>
      </c>
    </row>
    <row r="1832">
      <c r="P1832" s="17">
        <f t="shared" si="1"/>
        <v>0</v>
      </c>
    </row>
    <row r="1833">
      <c r="P1833" s="17">
        <f t="shared" si="1"/>
        <v>0</v>
      </c>
    </row>
    <row r="1834">
      <c r="P1834" s="17">
        <f t="shared" si="1"/>
        <v>0</v>
      </c>
    </row>
    <row r="1835">
      <c r="P1835" s="17">
        <f t="shared" si="1"/>
        <v>0</v>
      </c>
    </row>
    <row r="1836">
      <c r="P1836" s="17">
        <f t="shared" si="1"/>
        <v>0</v>
      </c>
    </row>
    <row r="1837">
      <c r="P1837" s="17">
        <f t="shared" si="1"/>
        <v>0</v>
      </c>
    </row>
    <row r="1838">
      <c r="P1838" s="17">
        <f t="shared" si="1"/>
        <v>0</v>
      </c>
    </row>
    <row r="1839">
      <c r="P1839" s="17">
        <f t="shared" si="1"/>
        <v>0</v>
      </c>
    </row>
    <row r="1840">
      <c r="P1840" s="17">
        <f t="shared" si="1"/>
        <v>0</v>
      </c>
    </row>
    <row r="1841">
      <c r="P1841" s="17">
        <f t="shared" si="1"/>
        <v>0</v>
      </c>
    </row>
    <row r="1842">
      <c r="P1842" s="17">
        <f t="shared" si="1"/>
        <v>0</v>
      </c>
    </row>
    <row r="1843">
      <c r="P1843" s="17">
        <f t="shared" si="1"/>
        <v>0</v>
      </c>
    </row>
    <row r="1844">
      <c r="P1844" s="17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4" t="s">
        <v>33</v>
      </c>
      <c r="I1" s="65">
        <f>countifs(B:B,"&lt;&gt;",F:F,"&lt;&gt;")-1</f>
        <v>3</v>
      </c>
      <c r="K1" s="6" t="s">
        <v>34</v>
      </c>
      <c r="L1" s="6" t="s">
        <v>35</v>
      </c>
      <c r="M1" s="6" t="s">
        <v>13</v>
      </c>
    </row>
    <row r="2">
      <c r="H2" s="64" t="s">
        <v>36</v>
      </c>
      <c r="I2" s="65">
        <f t="array" ref="I2">(COUNTA(UNIQUE(C:C))-1)</f>
        <v>3</v>
      </c>
      <c r="K2" s="66" t="str">
        <f>'Internal Summary'!B40</f>
        <v>500g Toddler Protein (12x)</v>
      </c>
      <c r="L2" s="65">
        <f t="shared" ref="L2:L13" si="1">sumif(D:D,K2,E:E)</f>
        <v>2.5</v>
      </c>
      <c r="M2" s="65">
        <f t="shared" ref="M2:M13" si="2">sumif(D:D,K2,F:F)</f>
        <v>105000</v>
      </c>
      <c r="N2" s="67"/>
    </row>
    <row r="3">
      <c r="H3" s="64" t="s">
        <v>37</v>
      </c>
      <c r="I3" s="65">
        <f>sum(F:F)</f>
        <v>173400</v>
      </c>
      <c r="K3" s="66" t="str">
        <f>'Internal Summary'!B41</f>
        <v>56g Lemongrass Tea (12x)</v>
      </c>
      <c r="L3" s="65">
        <f t="shared" si="1"/>
        <v>1</v>
      </c>
      <c r="M3" s="65">
        <f t="shared" si="2"/>
        <v>34200</v>
      </c>
      <c r="N3" s="67"/>
    </row>
    <row r="4">
      <c r="H4" s="1"/>
      <c r="K4" s="66" t="str">
        <f>'Internal Summary'!B42</f>
        <v>56g Moringa Tea (12x)</v>
      </c>
      <c r="L4" s="65">
        <f t="shared" si="1"/>
        <v>1</v>
      </c>
      <c r="M4" s="65">
        <f t="shared" si="2"/>
        <v>34200</v>
      </c>
      <c r="N4" s="67"/>
    </row>
    <row r="5">
      <c r="H5" s="1"/>
      <c r="K5" s="66" t="str">
        <f>'Internal Summary'!B43</f>
        <v>56g Soursop Tea (12x)</v>
      </c>
      <c r="L5" s="65">
        <f t="shared" si="1"/>
        <v>0</v>
      </c>
      <c r="M5" s="65">
        <f t="shared" si="2"/>
        <v>0</v>
      </c>
      <c r="N5" s="67"/>
    </row>
    <row r="6">
      <c r="K6" s="66" t="str">
        <f>'Internal Summary'!B44</f>
        <v/>
      </c>
      <c r="L6" s="65">
        <f t="shared" si="1"/>
        <v>0</v>
      </c>
      <c r="M6" s="65">
        <f t="shared" si="2"/>
        <v>0</v>
      </c>
    </row>
    <row r="7">
      <c r="K7" s="66" t="str">
        <f>'Internal Summary'!B45</f>
        <v/>
      </c>
      <c r="L7" s="65">
        <f t="shared" si="1"/>
        <v>0</v>
      </c>
      <c r="M7" s="65">
        <f t="shared" si="2"/>
        <v>0</v>
      </c>
    </row>
    <row r="8">
      <c r="K8" s="66" t="str">
        <f>'Internal Summary'!B46</f>
        <v/>
      </c>
      <c r="L8" s="65">
        <f t="shared" si="1"/>
        <v>0</v>
      </c>
      <c r="M8" s="65">
        <f t="shared" si="2"/>
        <v>0</v>
      </c>
    </row>
    <row r="9">
      <c r="K9" s="66" t="str">
        <f>'Internal Summary'!B47</f>
        <v/>
      </c>
      <c r="L9" s="65">
        <f t="shared" si="1"/>
        <v>0</v>
      </c>
      <c r="M9" s="65">
        <f t="shared" si="2"/>
        <v>0</v>
      </c>
    </row>
    <row r="10">
      <c r="K10" s="66" t="str">
        <f>'Internal Summary'!B48</f>
        <v/>
      </c>
      <c r="L10" s="65">
        <f t="shared" si="1"/>
        <v>0</v>
      </c>
      <c r="M10" s="65">
        <f t="shared" si="2"/>
        <v>0</v>
      </c>
    </row>
    <row r="11">
      <c r="K11" s="66" t="str">
        <f>'Internal Summary'!B49</f>
        <v/>
      </c>
      <c r="L11" s="65">
        <f t="shared" si="1"/>
        <v>0</v>
      </c>
      <c r="M11" s="65">
        <f t="shared" si="2"/>
        <v>0</v>
      </c>
    </row>
    <row r="12">
      <c r="A12" s="36">
        <v>45758.0</v>
      </c>
      <c r="K12" s="66" t="str">
        <f>'Internal Summary'!B50</f>
        <v/>
      </c>
      <c r="L12" s="65">
        <f t="shared" si="1"/>
        <v>0</v>
      </c>
      <c r="M12" s="65">
        <f t="shared" si="2"/>
        <v>0</v>
      </c>
    </row>
    <row r="13">
      <c r="K13" s="66" t="str">
        <f>'Internal Summary'!B51</f>
        <v/>
      </c>
      <c r="L13" s="65">
        <f t="shared" si="1"/>
        <v>0</v>
      </c>
      <c r="M13" s="65">
        <f t="shared" si="2"/>
        <v>0</v>
      </c>
    </row>
    <row r="14"/>
    <row r="15">
      <c r="I15" s="63"/>
    </row>
    <row r="16"/>
    <row r="17"/>
    <row r="18">
      <c r="I18" s="63"/>
    </row>
    <row r="19"/>
    <row r="20"/>
    <row r="21">
      <c r="I21" s="63"/>
    </row>
    <row r="24">
      <c r="I24" s="63"/>
    </row>
    <row r="27">
      <c r="I27" s="63"/>
    </row>
    <row r="30">
      <c r="I30" s="63"/>
    </row>
    <row r="33">
      <c r="I33" s="63"/>
    </row>
    <row r="36">
      <c r="I36" s="63"/>
    </row>
    <row r="39">
      <c r="I39" s="63"/>
    </row>
    <row r="42">
      <c r="I42" s="63"/>
    </row>
    <row r="45">
      <c r="I45" s="63"/>
    </row>
    <row r="48">
      <c r="I48" s="63"/>
    </row>
    <row r="51">
      <c r="I51" s="63"/>
    </row>
    <row r="54">
      <c r="I54" s="63"/>
    </row>
    <row r="57">
      <c r="I57" s="63"/>
    </row>
    <row r="60">
      <c r="I60" s="63"/>
    </row>
    <row r="63">
      <c r="I63" s="63"/>
    </row>
    <row r="66">
      <c r="I66" s="63"/>
    </row>
    <row r="69">
      <c r="I69" s="63"/>
    </row>
    <row r="72">
      <c r="I72" s="63"/>
    </row>
    <row r="75">
      <c r="I75" s="63"/>
    </row>
    <row r="78">
      <c r="I78" s="63"/>
    </row>
    <row r="81">
      <c r="I81" s="63"/>
    </row>
    <row r="84">
      <c r="I84" s="63"/>
    </row>
    <row r="87">
      <c r="I87" s="63"/>
    </row>
    <row r="90">
      <c r="I90" s="63"/>
    </row>
    <row r="93">
      <c r="I93" s="63"/>
    </row>
    <row r="96">
      <c r="I96" s="63"/>
    </row>
    <row r="99">
      <c r="I99" s="63"/>
    </row>
    <row r="102">
      <c r="I102" s="63"/>
    </row>
    <row r="105">
      <c r="I105" s="63"/>
    </row>
    <row r="108">
      <c r="I108" s="63"/>
    </row>
    <row r="111">
      <c r="I111" s="63"/>
    </row>
    <row r="114">
      <c r="I114" s="63"/>
    </row>
    <row r="117">
      <c r="I117" s="63"/>
    </row>
    <row r="120">
      <c r="I120" s="63"/>
    </row>
    <row r="123">
      <c r="I123" s="63"/>
    </row>
    <row r="126">
      <c r="I126" s="63"/>
    </row>
    <row r="129">
      <c r="I129" s="63"/>
    </row>
    <row r="132">
      <c r="I132" s="63"/>
    </row>
    <row r="135">
      <c r="I135" s="63"/>
    </row>
    <row r="138">
      <c r="I138" s="63"/>
    </row>
    <row r="141">
      <c r="I141" s="63"/>
    </row>
    <row r="144">
      <c r="I144" s="63"/>
    </row>
    <row r="147">
      <c r="I147" s="63"/>
    </row>
    <row r="150">
      <c r="I150" s="63"/>
    </row>
    <row r="153">
      <c r="I153" s="63"/>
    </row>
    <row r="156">
      <c r="I156" s="63"/>
    </row>
    <row r="159">
      <c r="I159" s="63"/>
    </row>
    <row r="162">
      <c r="I162" s="63"/>
    </row>
    <row r="165">
      <c r="I165" s="63"/>
    </row>
    <row r="168">
      <c r="I168" s="63"/>
    </row>
    <row r="171">
      <c r="I171" s="63"/>
    </row>
    <row r="174">
      <c r="I174" s="63"/>
    </row>
    <row r="177">
      <c r="I177" s="63"/>
    </row>
    <row r="180">
      <c r="I180" s="63"/>
    </row>
    <row r="183">
      <c r="I183" s="63"/>
    </row>
    <row r="186">
      <c r="I186" s="63"/>
    </row>
    <row r="189">
      <c r="I189" s="63"/>
    </row>
    <row r="192">
      <c r="I192" s="63"/>
    </row>
    <row r="195">
      <c r="I195" s="63"/>
    </row>
    <row r="198">
      <c r="I198" s="63"/>
    </row>
    <row r="201">
      <c r="I201" s="63"/>
    </row>
    <row r="204">
      <c r="I204" s="63"/>
    </row>
    <row r="207">
      <c r="I207" s="63"/>
    </row>
    <row r="210">
      <c r="I210" s="63"/>
    </row>
    <row r="213">
      <c r="I213" s="63"/>
    </row>
    <row r="216">
      <c r="I216" s="63"/>
    </row>
    <row r="219">
      <c r="I219" s="63"/>
    </row>
    <row r="222">
      <c r="I222" s="63"/>
    </row>
    <row r="225">
      <c r="I225" s="63"/>
    </row>
    <row r="228">
      <c r="I228" s="63"/>
    </row>
    <row r="231">
      <c r="I231" s="63"/>
    </row>
    <row r="234">
      <c r="I234" s="63"/>
    </row>
    <row r="237">
      <c r="I237" s="63"/>
    </row>
    <row r="240">
      <c r="I240" s="63"/>
    </row>
    <row r="243">
      <c r="I243" s="63"/>
    </row>
    <row r="318">
      <c r="I318" s="63"/>
    </row>
    <row r="321">
      <c r="I321" s="63"/>
    </row>
    <row r="324">
      <c r="I324" s="63"/>
    </row>
    <row r="327">
      <c r="I327" s="63"/>
    </row>
    <row r="330">
      <c r="I330" s="63"/>
    </row>
    <row r="333">
      <c r="I333" s="63"/>
    </row>
    <row r="336">
      <c r="I336" s="63"/>
    </row>
    <row r="339">
      <c r="I339" s="63"/>
    </row>
    <row r="342">
      <c r="I342" s="63"/>
    </row>
    <row r="345">
      <c r="I345" s="63"/>
    </row>
    <row r="348">
      <c r="I348" s="63"/>
    </row>
    <row r="351">
      <c r="I351" s="63"/>
    </row>
    <row r="354">
      <c r="I354" s="63"/>
    </row>
    <row r="357">
      <c r="I357" s="63"/>
    </row>
    <row r="360">
      <c r="I360" s="63"/>
    </row>
    <row r="363">
      <c r="I363" s="63"/>
    </row>
    <row r="366">
      <c r="I366" s="63"/>
    </row>
    <row r="369">
      <c r="I369" s="63"/>
    </row>
    <row r="372">
      <c r="I372" s="63"/>
    </row>
    <row r="375">
      <c r="I375" s="63"/>
    </row>
    <row r="378">
      <c r="I378" s="63"/>
    </row>
    <row r="381">
      <c r="I381" s="63"/>
    </row>
    <row r="384">
      <c r="I384" s="63"/>
    </row>
    <row r="387">
      <c r="I387" s="63"/>
    </row>
    <row r="390">
      <c r="I390" s="63"/>
    </row>
    <row r="393">
      <c r="I393" s="63"/>
    </row>
    <row r="396">
      <c r="I396" s="63"/>
    </row>
    <row r="399">
      <c r="I399" s="63"/>
    </row>
    <row r="402">
      <c r="I402" s="63"/>
    </row>
    <row r="405">
      <c r="I405" s="63"/>
    </row>
    <row r="408">
      <c r="I408" s="63"/>
    </row>
    <row r="411">
      <c r="I411" s="63"/>
    </row>
    <row r="414">
      <c r="I414" s="63"/>
    </row>
    <row r="417">
      <c r="I417" s="63"/>
    </row>
    <row r="420">
      <c r="I420" s="63"/>
    </row>
    <row r="423">
      <c r="I423" s="63"/>
    </row>
    <row r="426">
      <c r="I426" s="63"/>
    </row>
    <row r="429">
      <c r="I429" s="63"/>
    </row>
    <row r="432">
      <c r="I432" s="63"/>
    </row>
    <row r="435">
      <c r="I435" s="63"/>
    </row>
    <row r="438">
      <c r="I438" s="63"/>
    </row>
    <row r="441">
      <c r="I441" s="63"/>
    </row>
    <row r="444">
      <c r="I444" s="63"/>
    </row>
    <row r="447">
      <c r="I447" s="63"/>
    </row>
    <row r="450">
      <c r="I450" s="63"/>
    </row>
    <row r="453">
      <c r="I453" s="63"/>
    </row>
    <row r="456">
      <c r="I456" s="63"/>
    </row>
    <row r="459">
      <c r="I459" s="63"/>
    </row>
    <row r="462">
      <c r="I462" s="63"/>
    </row>
    <row r="465">
      <c r="I465" s="63"/>
    </row>
    <row r="468">
      <c r="I468" s="63"/>
    </row>
    <row r="471">
      <c r="I471" s="63"/>
    </row>
    <row r="474">
      <c r="I474" s="63"/>
    </row>
    <row r="477">
      <c r="I477" s="63"/>
    </row>
    <row r="480">
      <c r="I480" s="63"/>
    </row>
    <row r="483">
      <c r="I483" s="63"/>
    </row>
    <row r="486">
      <c r="I486" s="63"/>
    </row>
    <row r="489">
      <c r="I489" s="63"/>
    </row>
    <row r="492">
      <c r="I492" s="63"/>
    </row>
    <row r="495">
      <c r="I495" s="63"/>
    </row>
    <row r="498">
      <c r="I498" s="63"/>
    </row>
    <row r="501">
      <c r="I501" s="63"/>
    </row>
    <row r="504">
      <c r="I504" s="63"/>
    </row>
    <row r="507">
      <c r="I507" s="63"/>
    </row>
    <row r="510">
      <c r="I510" s="63"/>
    </row>
    <row r="513">
      <c r="I513" s="63"/>
    </row>
    <row r="516">
      <c r="I516" s="63"/>
    </row>
    <row r="519">
      <c r="I519" s="63"/>
    </row>
    <row r="522">
      <c r="I522" s="63"/>
    </row>
    <row r="525">
      <c r="I525" s="63"/>
    </row>
    <row r="528">
      <c r="I528" s="63"/>
    </row>
    <row r="531">
      <c r="I531" s="63"/>
    </row>
    <row r="534">
      <c r="I534" s="63"/>
    </row>
    <row r="537">
      <c r="I537" s="63"/>
    </row>
    <row r="540">
      <c r="I540" s="63"/>
    </row>
    <row r="543">
      <c r="I543" s="63"/>
    </row>
    <row r="546">
      <c r="I546" s="63"/>
    </row>
    <row r="549">
      <c r="I549" s="63"/>
    </row>
    <row r="552">
      <c r="I552" s="63"/>
    </row>
    <row r="555">
      <c r="I555" s="63"/>
    </row>
    <row r="558">
      <c r="I558" s="63"/>
    </row>
    <row r="561">
      <c r="I561" s="63"/>
    </row>
    <row r="564">
      <c r="I564" s="63"/>
    </row>
    <row r="567">
      <c r="I567" s="63"/>
    </row>
    <row r="570">
      <c r="I570" s="63"/>
    </row>
    <row r="573">
      <c r="I573" s="63"/>
    </row>
    <row r="576">
      <c r="I576" s="63"/>
    </row>
    <row r="579">
      <c r="I579" s="63"/>
    </row>
    <row r="582">
      <c r="I582" s="63"/>
    </row>
    <row r="585">
      <c r="I585" s="63"/>
    </row>
    <row r="588">
      <c r="I588" s="63"/>
    </row>
    <row r="591">
      <c r="I591" s="63"/>
    </row>
    <row r="594">
      <c r="I594" s="63"/>
    </row>
    <row r="597">
      <c r="I597" s="63"/>
    </row>
    <row r="600">
      <c r="I600" s="63"/>
    </row>
    <row r="603">
      <c r="I603" s="63"/>
    </row>
    <row r="606">
      <c r="I606" s="6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64" t="s">
        <v>33</v>
      </c>
      <c r="I1" s="65">
        <f>countifs(B:B,"&lt;&gt;",F:F,"&lt;&gt;")-1</f>
        <v>5</v>
      </c>
      <c r="K1" s="69" t="s">
        <v>34</v>
      </c>
      <c r="L1" s="69" t="s">
        <v>35</v>
      </c>
      <c r="M1" s="69" t="s">
        <v>13</v>
      </c>
      <c r="N1" s="69" t="s">
        <v>38</v>
      </c>
      <c r="O1" s="69" t="s">
        <v>39</v>
      </c>
    </row>
    <row r="2">
      <c r="H2" s="64" t="s">
        <v>36</v>
      </c>
      <c r="I2" s="65">
        <f t="array" ref="I2">(COUNTA(UNIQUE(C:C))-1)</f>
        <v>5</v>
      </c>
      <c r="K2" s="66" t="str">
        <f>'Internal Summary'!B40</f>
        <v>500g Toddler Protein (12x)</v>
      </c>
      <c r="L2" s="65">
        <f t="shared" ref="L2:L13" si="1">sumif(D:D,K2,E:E)</f>
        <v>6.5</v>
      </c>
      <c r="M2" s="65">
        <f t="shared" ref="M2:M13" si="2">sumif(D:D,K2,F:F)</f>
        <v>273000</v>
      </c>
      <c r="N2" s="65">
        <v>1250.0</v>
      </c>
      <c r="O2" s="70">
        <f t="shared" ref="O2:O5" si="3">L2*N2</f>
        <v>8125</v>
      </c>
    </row>
    <row r="3">
      <c r="H3" s="64" t="s">
        <v>37</v>
      </c>
      <c r="I3" s="65">
        <f>sum(F:F)</f>
        <v>324300</v>
      </c>
      <c r="K3" s="66" t="str">
        <f>'Internal Summary'!B41</f>
        <v>56g Lemongrass Tea (12x)</v>
      </c>
      <c r="L3" s="65">
        <f t="shared" si="1"/>
        <v>0.5</v>
      </c>
      <c r="M3" s="65">
        <f t="shared" si="2"/>
        <v>17100</v>
      </c>
      <c r="N3" s="65">
        <v>600.0</v>
      </c>
      <c r="O3" s="70">
        <f t="shared" si="3"/>
        <v>300</v>
      </c>
    </row>
    <row r="4">
      <c r="H4" s="1"/>
      <c r="K4" s="66" t="str">
        <f>'Internal Summary'!B42</f>
        <v>56g Moringa Tea (12x)</v>
      </c>
      <c r="L4" s="65">
        <f t="shared" si="1"/>
        <v>0</v>
      </c>
      <c r="M4" s="65">
        <f t="shared" si="2"/>
        <v>0</v>
      </c>
      <c r="N4" s="65">
        <v>600.0</v>
      </c>
      <c r="O4" s="70">
        <f t="shared" si="3"/>
        <v>0</v>
      </c>
    </row>
    <row r="5">
      <c r="H5" s="1"/>
      <c r="K5" s="66" t="str">
        <f>'Internal Summary'!B43</f>
        <v>56g Soursop Tea (12x)</v>
      </c>
      <c r="L5" s="65">
        <f t="shared" si="1"/>
        <v>1</v>
      </c>
      <c r="M5" s="65">
        <f t="shared" si="2"/>
        <v>34200</v>
      </c>
      <c r="N5" s="65">
        <v>600.0</v>
      </c>
      <c r="O5" s="70">
        <f t="shared" si="3"/>
        <v>600</v>
      </c>
    </row>
    <row r="6">
      <c r="K6" s="66" t="str">
        <f>'Internal Summary'!B44</f>
        <v/>
      </c>
      <c r="L6" s="65">
        <f t="shared" si="1"/>
        <v>0</v>
      </c>
      <c r="M6" s="65">
        <f t="shared" si="2"/>
        <v>0</v>
      </c>
      <c r="N6" s="71"/>
      <c r="O6" s="70"/>
    </row>
    <row r="7">
      <c r="K7" s="66" t="str">
        <f>'Internal Summary'!B45</f>
        <v/>
      </c>
      <c r="L7" s="65">
        <f t="shared" si="1"/>
        <v>0</v>
      </c>
      <c r="M7" s="65">
        <f t="shared" si="2"/>
        <v>0</v>
      </c>
      <c r="N7" s="66" t="s">
        <v>40</v>
      </c>
      <c r="O7" s="72">
        <f>sum(O2:O5)</f>
        <v>9025</v>
      </c>
    </row>
    <row r="8">
      <c r="K8" s="66" t="str">
        <f>'Internal Summary'!B46</f>
        <v/>
      </c>
      <c r="L8" s="65">
        <f t="shared" si="1"/>
        <v>0</v>
      </c>
      <c r="M8" s="65">
        <f t="shared" si="2"/>
        <v>0</v>
      </c>
    </row>
    <row r="9">
      <c r="K9" s="66" t="str">
        <f>'Internal Summary'!B47</f>
        <v/>
      </c>
      <c r="L9" s="65">
        <f t="shared" si="1"/>
        <v>0</v>
      </c>
      <c r="M9" s="65">
        <f t="shared" si="2"/>
        <v>0</v>
      </c>
    </row>
    <row r="10">
      <c r="K10" s="66" t="str">
        <f>'Internal Summary'!B48</f>
        <v/>
      </c>
      <c r="L10" s="65">
        <f t="shared" si="1"/>
        <v>0</v>
      </c>
      <c r="M10" s="65">
        <f t="shared" si="2"/>
        <v>0</v>
      </c>
    </row>
    <row r="11">
      <c r="K11" s="66" t="str">
        <f>'Internal Summary'!B49</f>
        <v/>
      </c>
      <c r="L11" s="65">
        <f t="shared" si="1"/>
        <v>0</v>
      </c>
      <c r="M11" s="65">
        <f t="shared" si="2"/>
        <v>0</v>
      </c>
    </row>
    <row r="12">
      <c r="K12" s="66" t="str">
        <f>'Internal Summary'!B50</f>
        <v/>
      </c>
      <c r="L12" s="65">
        <f t="shared" si="1"/>
        <v>0</v>
      </c>
      <c r="M12" s="65">
        <f t="shared" si="2"/>
        <v>0</v>
      </c>
    </row>
    <row r="13">
      <c r="K13" s="66" t="str">
        <f>'Internal Summary'!B51</f>
        <v/>
      </c>
      <c r="L13" s="65">
        <f t="shared" si="1"/>
        <v>0</v>
      </c>
      <c r="M13" s="65">
        <f t="shared" si="2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4" t="s">
        <v>33</v>
      </c>
      <c r="I1" s="65">
        <f>countifs(B:B,"&lt;&gt;",F:F,"&lt;&gt;")-1</f>
        <v>0</v>
      </c>
      <c r="K1" s="66" t="s">
        <v>34</v>
      </c>
      <c r="L1" s="66" t="s">
        <v>47</v>
      </c>
      <c r="M1" s="66" t="s">
        <v>13</v>
      </c>
    </row>
    <row r="2">
      <c r="H2" s="64" t="s">
        <v>36</v>
      </c>
      <c r="I2" s="65">
        <f t="array" ref="I2">(COUNTA(UNIQUE(C:C))-1)</f>
        <v>0</v>
      </c>
      <c r="K2" s="66" t="str">
        <f>'Internal Summary'!B40</f>
        <v>500g Toddler Protein (12x)</v>
      </c>
      <c r="L2" s="65">
        <f t="shared" ref="L2:L13" si="1">sumif(D:D,K2,E:E)</f>
        <v>0</v>
      </c>
      <c r="M2" s="71">
        <f t="shared" ref="M2:M13" si="2">sumif(D:D,K2,F:F)</f>
        <v>0</v>
      </c>
    </row>
    <row r="3">
      <c r="H3" s="64" t="s">
        <v>37</v>
      </c>
      <c r="I3" s="65">
        <f>sum(F:F)</f>
        <v>0</v>
      </c>
      <c r="K3" s="66" t="str">
        <f>'Internal Summary'!B41</f>
        <v>56g Lemongrass Tea (12x)</v>
      </c>
      <c r="L3" s="65">
        <f t="shared" si="1"/>
        <v>0</v>
      </c>
      <c r="M3" s="71">
        <f t="shared" si="2"/>
        <v>0</v>
      </c>
    </row>
    <row r="4">
      <c r="H4" s="1"/>
      <c r="K4" s="66" t="str">
        <f>'Internal Summary'!B42</f>
        <v>56g Moringa Tea (12x)</v>
      </c>
      <c r="L4" s="65">
        <f t="shared" si="1"/>
        <v>0</v>
      </c>
      <c r="M4" s="71">
        <f t="shared" si="2"/>
        <v>0</v>
      </c>
    </row>
    <row r="5">
      <c r="H5" s="1"/>
      <c r="K5" s="66" t="str">
        <f>'Internal Summary'!B43</f>
        <v>56g Soursop Tea (12x)</v>
      </c>
      <c r="L5" s="65">
        <f t="shared" si="1"/>
        <v>0</v>
      </c>
      <c r="M5" s="71">
        <f t="shared" si="2"/>
        <v>0</v>
      </c>
    </row>
    <row r="6">
      <c r="K6" s="66" t="str">
        <f>'Internal Summary'!B44</f>
        <v/>
      </c>
      <c r="L6" s="65">
        <f t="shared" si="1"/>
        <v>0</v>
      </c>
      <c r="M6" s="71">
        <f t="shared" si="2"/>
        <v>0</v>
      </c>
    </row>
    <row r="7">
      <c r="K7" s="66" t="str">
        <f>'Internal Summary'!B45</f>
        <v/>
      </c>
      <c r="L7" s="65">
        <f t="shared" si="1"/>
        <v>0</v>
      </c>
      <c r="M7" s="71">
        <f t="shared" si="2"/>
        <v>0</v>
      </c>
    </row>
    <row r="8">
      <c r="K8" s="66" t="str">
        <f>'Internal Summary'!B46</f>
        <v/>
      </c>
      <c r="L8" s="65">
        <f t="shared" si="1"/>
        <v>0</v>
      </c>
      <c r="M8" s="71">
        <f t="shared" si="2"/>
        <v>0</v>
      </c>
    </row>
    <row r="9">
      <c r="K9" s="66" t="str">
        <f>'Internal Summary'!B47</f>
        <v/>
      </c>
      <c r="L9" s="65">
        <f t="shared" si="1"/>
        <v>0</v>
      </c>
      <c r="M9" s="71">
        <f t="shared" si="2"/>
        <v>0</v>
      </c>
    </row>
    <row r="10">
      <c r="K10" s="66" t="str">
        <f>'Internal Summary'!B48</f>
        <v/>
      </c>
      <c r="L10" s="65">
        <f t="shared" si="1"/>
        <v>0</v>
      </c>
      <c r="M10" s="71">
        <f t="shared" si="2"/>
        <v>0</v>
      </c>
    </row>
    <row r="11">
      <c r="K11" s="66" t="str">
        <f>'Internal Summary'!B49</f>
        <v/>
      </c>
      <c r="L11" s="65">
        <f t="shared" si="1"/>
        <v>0</v>
      </c>
      <c r="M11" s="71">
        <f t="shared" si="2"/>
        <v>0</v>
      </c>
    </row>
    <row r="12">
      <c r="K12" s="66" t="str">
        <f>'Internal Summary'!B50</f>
        <v/>
      </c>
      <c r="L12" s="65">
        <f t="shared" si="1"/>
        <v>0</v>
      </c>
      <c r="M12" s="71">
        <f t="shared" si="2"/>
        <v>0</v>
      </c>
    </row>
    <row r="13">
      <c r="K13" s="66" t="str">
        <f>'Internal Summary'!B51</f>
        <v/>
      </c>
      <c r="L13" s="65">
        <f t="shared" si="1"/>
        <v>0</v>
      </c>
      <c r="M13" s="7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4" t="s">
        <v>33</v>
      </c>
      <c r="I1" s="65">
        <f>countifs(B:B,"&lt;&gt;",F:F,"&lt;&gt;")-1</f>
        <v>0</v>
      </c>
      <c r="K1" s="66" t="s">
        <v>34</v>
      </c>
      <c r="L1" s="66" t="s">
        <v>35</v>
      </c>
    </row>
    <row r="2">
      <c r="H2" s="64" t="s">
        <v>36</v>
      </c>
      <c r="I2" s="65">
        <f t="array" ref="I2">(COUNTA(UNIQUE(C:C,,0))-1)</f>
        <v>0</v>
      </c>
      <c r="K2" s="66" t="str">
        <f>'Internal Summary'!B40</f>
        <v>500g Toddler Protein (12x)</v>
      </c>
      <c r="L2" s="65">
        <f t="shared" ref="L2:L13" si="1">sumif(D:D,K2,E:E)</f>
        <v>0</v>
      </c>
    </row>
    <row r="3">
      <c r="H3" s="64" t="s">
        <v>37</v>
      </c>
      <c r="I3" s="65">
        <f>sum(F:F)</f>
        <v>0</v>
      </c>
      <c r="K3" s="66" t="str">
        <f>'Internal Summary'!B41</f>
        <v>56g Lemongrass Tea (12x)</v>
      </c>
      <c r="L3" s="65">
        <f t="shared" si="1"/>
        <v>0</v>
      </c>
    </row>
    <row r="4">
      <c r="H4" s="1"/>
      <c r="K4" s="66" t="str">
        <f>'Internal Summary'!B42</f>
        <v>56g Moringa Tea (12x)</v>
      </c>
      <c r="L4" s="65">
        <f t="shared" si="1"/>
        <v>0</v>
      </c>
    </row>
    <row r="5">
      <c r="H5" s="1"/>
      <c r="K5" s="66" t="str">
        <f>'Internal Summary'!B43</f>
        <v>56g Soursop Tea (12x)</v>
      </c>
      <c r="L5" s="65">
        <f t="shared" si="1"/>
        <v>0</v>
      </c>
    </row>
    <row r="6">
      <c r="K6" s="66" t="str">
        <f>'Internal Summary'!B44</f>
        <v/>
      </c>
      <c r="L6" s="65">
        <f t="shared" si="1"/>
        <v>0</v>
      </c>
    </row>
    <row r="7">
      <c r="K7" s="66" t="str">
        <f>'Internal Summary'!B45</f>
        <v/>
      </c>
      <c r="L7" s="65">
        <f t="shared" si="1"/>
        <v>0</v>
      </c>
    </row>
    <row r="8">
      <c r="K8" s="66" t="str">
        <f>'Internal Summary'!B46</f>
        <v/>
      </c>
      <c r="L8" s="65">
        <f t="shared" si="1"/>
        <v>0</v>
      </c>
    </row>
    <row r="9">
      <c r="K9" s="66" t="str">
        <f>'Internal Summary'!B47</f>
        <v/>
      </c>
      <c r="L9" s="65">
        <f t="shared" si="1"/>
        <v>0</v>
      </c>
    </row>
    <row r="10">
      <c r="K10" s="66" t="str">
        <f>'Internal Summary'!B48</f>
        <v/>
      </c>
      <c r="L10" s="65">
        <f t="shared" si="1"/>
        <v>0</v>
      </c>
    </row>
    <row r="11">
      <c r="K11" s="66" t="str">
        <f>'Internal Summary'!B49</f>
        <v/>
      </c>
      <c r="L11" s="65">
        <f t="shared" si="1"/>
        <v>0</v>
      </c>
    </row>
    <row r="12">
      <c r="K12" s="66" t="str">
        <f>'Internal Summary'!B50</f>
        <v/>
      </c>
      <c r="L12" s="65">
        <f t="shared" si="1"/>
        <v>0</v>
      </c>
    </row>
    <row r="13">
      <c r="K13" s="66" t="str">
        <f>'Internal Summary'!B51</f>
        <v/>
      </c>
      <c r="L13" s="65">
        <f t="shared" si="1"/>
        <v>0</v>
      </c>
    </row>
    <row r="14"/>
    <row r="15"/>
    <row r="16"/>
    <row r="17"/>
    <row r="132" ht="14.25" customHeight="1"/>
    <row r="138">
      <c r="A138" s="7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4" t="s">
        <v>33</v>
      </c>
      <c r="I1" s="65">
        <f>countifs(B:B,"&lt;&gt;",F:F,"&lt;&gt;")-1</f>
        <v>0</v>
      </c>
      <c r="K1" s="66" t="s">
        <v>34</v>
      </c>
      <c r="L1" s="66" t="s">
        <v>35</v>
      </c>
    </row>
    <row r="2">
      <c r="H2" s="64" t="s">
        <v>36</v>
      </c>
      <c r="I2" s="65">
        <f t="array" ref="I2">(COUNTA(UNIQUE(C:C,,0))-1)</f>
        <v>0</v>
      </c>
      <c r="K2" s="66" t="str">
        <f>'Internal Summary'!B40</f>
        <v>500g Toddler Protein (12x)</v>
      </c>
      <c r="L2" s="65">
        <f t="shared" ref="L2:L13" si="1">sumif(D:D,K2,E:E)</f>
        <v>0</v>
      </c>
    </row>
    <row r="3">
      <c r="H3" s="64" t="s">
        <v>37</v>
      </c>
      <c r="I3" s="65">
        <f>sum(F:F)</f>
        <v>0</v>
      </c>
      <c r="K3" s="66" t="str">
        <f>'Internal Summary'!B41</f>
        <v>56g Lemongrass Tea (12x)</v>
      </c>
      <c r="L3" s="65">
        <f t="shared" si="1"/>
        <v>0</v>
      </c>
    </row>
    <row r="4">
      <c r="H4" s="1"/>
      <c r="K4" s="66" t="str">
        <f>'Internal Summary'!B42</f>
        <v>56g Moringa Tea (12x)</v>
      </c>
      <c r="L4" s="65">
        <f t="shared" si="1"/>
        <v>0</v>
      </c>
    </row>
    <row r="5">
      <c r="H5" s="1"/>
      <c r="K5" s="66" t="str">
        <f>'Internal Summary'!B43</f>
        <v>56g Soursop Tea (12x)</v>
      </c>
      <c r="L5" s="65">
        <f t="shared" si="1"/>
        <v>0</v>
      </c>
    </row>
    <row r="6">
      <c r="K6" s="66" t="str">
        <f>'Internal Summary'!B44</f>
        <v/>
      </c>
      <c r="L6" s="65">
        <f t="shared" si="1"/>
        <v>0</v>
      </c>
    </row>
    <row r="7">
      <c r="K7" s="66" t="str">
        <f>'Internal Summary'!B45</f>
        <v/>
      </c>
      <c r="L7" s="65">
        <f t="shared" si="1"/>
        <v>0</v>
      </c>
    </row>
    <row r="8">
      <c r="K8" s="66" t="str">
        <f>'Internal Summary'!B46</f>
        <v/>
      </c>
      <c r="L8" s="65">
        <f t="shared" si="1"/>
        <v>0</v>
      </c>
    </row>
    <row r="9">
      <c r="K9" s="66" t="str">
        <f>'Internal Summary'!B47</f>
        <v/>
      </c>
      <c r="L9" s="65">
        <f t="shared" si="1"/>
        <v>0</v>
      </c>
    </row>
    <row r="10">
      <c r="K10" s="66" t="str">
        <f>'Internal Summary'!B48</f>
        <v/>
      </c>
      <c r="L10" s="65">
        <f t="shared" si="1"/>
        <v>0</v>
      </c>
    </row>
    <row r="11">
      <c r="K11" s="66" t="str">
        <f>'Internal Summary'!B49</f>
        <v/>
      </c>
      <c r="L11" s="65">
        <f t="shared" si="1"/>
        <v>0</v>
      </c>
    </row>
    <row r="12">
      <c r="K12" s="66" t="str">
        <f>'Internal Summary'!B50</f>
        <v/>
      </c>
      <c r="L12" s="65">
        <f t="shared" si="1"/>
        <v>0</v>
      </c>
    </row>
    <row r="13">
      <c r="K13" s="66" t="str">
        <f>'Internal Summary'!B51</f>
        <v/>
      </c>
      <c r="L13" s="6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4"/>
      <c r="B1" s="64" t="s">
        <v>48</v>
      </c>
      <c r="C1" s="64" t="s">
        <v>35</v>
      </c>
      <c r="D1" s="64" t="s">
        <v>49</v>
      </c>
      <c r="E1" s="64" t="s">
        <v>50</v>
      </c>
      <c r="F1" s="75"/>
    </row>
    <row r="2">
      <c r="A2" s="76" t="s">
        <v>51</v>
      </c>
      <c r="B2" s="77" t="s">
        <v>33</v>
      </c>
      <c r="C2" s="78"/>
      <c r="D2" s="79"/>
      <c r="E2" s="80">
        <f>'Dala Sales &amp; Deliveries'!I1+'External Delivery Fulfillment'!I1</f>
        <v>8</v>
      </c>
      <c r="F2" s="75"/>
    </row>
    <row r="3">
      <c r="A3" s="81"/>
      <c r="B3" s="77" t="s">
        <v>52</v>
      </c>
      <c r="C3" s="78"/>
      <c r="D3" s="78"/>
      <c r="E3" s="77">
        <f>'Raw Data'!AX2</f>
        <v>7</v>
      </c>
      <c r="F3" s="75"/>
    </row>
    <row r="4">
      <c r="B4" s="82" t="s">
        <v>53</v>
      </c>
      <c r="C4" s="75"/>
      <c r="D4" s="83"/>
      <c r="E4" s="84">
        <f>'Dala Sales &amp; Deliveries'!I3</f>
        <v>173400</v>
      </c>
      <c r="F4" s="75"/>
    </row>
    <row r="5">
      <c r="B5" s="82" t="s">
        <v>54</v>
      </c>
      <c r="C5" s="75"/>
      <c r="D5" s="83"/>
      <c r="E5" s="84">
        <f>'External Delivery Fulfillment'!I3</f>
        <v>324300</v>
      </c>
      <c r="F5" s="75"/>
    </row>
    <row r="6">
      <c r="A6" s="85"/>
      <c r="B6" s="86" t="s">
        <v>55</v>
      </c>
      <c r="C6" s="87"/>
      <c r="D6" s="78"/>
      <c r="E6" s="88"/>
      <c r="F6" s="75"/>
    </row>
    <row r="7">
      <c r="A7" s="89"/>
      <c r="B7" s="90" t="s">
        <v>56</v>
      </c>
      <c r="C7" s="91"/>
      <c r="D7" s="91"/>
      <c r="E7" s="92">
        <f>sum(E4:E6)</f>
        <v>497700</v>
      </c>
      <c r="F7" s="75"/>
    </row>
    <row r="8">
      <c r="A8" s="76" t="s">
        <v>57</v>
      </c>
      <c r="B8" s="77" t="s">
        <v>58</v>
      </c>
      <c r="C8" s="78"/>
      <c r="D8" s="93"/>
      <c r="E8" s="94"/>
    </row>
    <row r="9">
      <c r="A9" s="89"/>
      <c r="B9" s="90" t="s">
        <v>59</v>
      </c>
      <c r="C9" s="95">
        <v>0.09</v>
      </c>
      <c r="D9" s="96"/>
      <c r="E9" s="92">
        <f>E8*(C9+100%)-E8</f>
        <v>0</v>
      </c>
      <c r="K9" s="63"/>
      <c r="L9" s="63"/>
      <c r="M9" s="63"/>
    </row>
    <row r="10">
      <c r="A10" s="97" t="s">
        <v>60</v>
      </c>
      <c r="B10" s="90" t="s">
        <v>61</v>
      </c>
      <c r="C10" s="91"/>
      <c r="D10" s="96"/>
      <c r="E10" s="92">
        <f>E7-E8-E9</f>
        <v>497700</v>
      </c>
    </row>
    <row r="11">
      <c r="A11" s="76" t="s">
        <v>62</v>
      </c>
      <c r="B11" s="77" t="s">
        <v>63</v>
      </c>
      <c r="C11" s="98">
        <v>1.0</v>
      </c>
      <c r="D11" s="99">
        <v>250000.0</v>
      </c>
      <c r="E11" s="99">
        <f>C11*D11</f>
        <v>250000</v>
      </c>
    </row>
    <row r="12">
      <c r="A12" s="81"/>
      <c r="B12" s="77" t="s">
        <v>59</v>
      </c>
      <c r="C12" s="100"/>
      <c r="D12" s="93"/>
      <c r="E12" s="99">
        <f>E10*C9</f>
        <v>44793</v>
      </c>
    </row>
    <row r="13">
      <c r="A13" s="81"/>
      <c r="B13" s="86" t="s">
        <v>64</v>
      </c>
      <c r="C13" s="78"/>
      <c r="D13" s="101" t="s">
        <v>65</v>
      </c>
      <c r="E13" s="99">
        <f>C22+C26</f>
        <v>4325</v>
      </c>
    </row>
    <row r="14">
      <c r="A14" s="81"/>
      <c r="B14" s="77" t="s">
        <v>66</v>
      </c>
      <c r="C14" s="93"/>
      <c r="D14" s="93"/>
      <c r="E14" s="102">
        <v>0.0</v>
      </c>
    </row>
    <row r="15">
      <c r="A15" s="81"/>
      <c r="B15" s="77" t="s">
        <v>67</v>
      </c>
      <c r="C15" s="93"/>
      <c r="D15" s="93"/>
      <c r="E15" s="99">
        <f>C30</f>
        <v>0</v>
      </c>
    </row>
    <row r="16">
      <c r="A16" s="89"/>
      <c r="B16" s="90" t="s">
        <v>68</v>
      </c>
      <c r="C16" s="96"/>
      <c r="D16" s="96"/>
      <c r="E16" s="92">
        <f>sum(E11:E15)</f>
        <v>299118</v>
      </c>
      <c r="H16" s="1"/>
      <c r="I16" s="1"/>
    </row>
    <row r="17">
      <c r="A17" s="97" t="s">
        <v>69</v>
      </c>
      <c r="B17" s="90" t="s">
        <v>70</v>
      </c>
      <c r="C17" s="96"/>
      <c r="D17" s="96"/>
      <c r="E17" s="92">
        <f>E10-E16+C36</f>
        <v>198582</v>
      </c>
      <c r="H17" s="1"/>
      <c r="I17" s="88"/>
      <c r="J17" s="103"/>
      <c r="K17" s="103"/>
      <c r="L17" s="103"/>
      <c r="M17" s="103"/>
      <c r="N17" s="103"/>
    </row>
    <row r="18">
      <c r="A18" s="104"/>
      <c r="B18" s="104"/>
      <c r="C18" s="104"/>
      <c r="D18" s="104"/>
      <c r="E18" s="104"/>
      <c r="H18" s="1"/>
      <c r="I18" s="1"/>
      <c r="J18" s="103"/>
      <c r="K18" s="103"/>
      <c r="L18" s="103"/>
      <c r="M18" s="103"/>
      <c r="N18" s="103"/>
    </row>
    <row r="19">
      <c r="A19" s="1"/>
      <c r="B19" s="104"/>
      <c r="C19" s="104"/>
      <c r="D19" s="104"/>
      <c r="E19" s="104"/>
      <c r="H19" s="1"/>
      <c r="I19" s="1"/>
      <c r="J19" s="103"/>
      <c r="K19" s="103"/>
      <c r="L19" s="103"/>
      <c r="M19" s="103"/>
      <c r="N19" s="103"/>
    </row>
    <row r="20">
      <c r="A20" s="1" t="s">
        <v>71</v>
      </c>
      <c r="B20" s="104"/>
      <c r="C20" s="104"/>
      <c r="D20" s="104"/>
      <c r="E20" s="104"/>
      <c r="H20" s="1"/>
      <c r="I20" s="1"/>
      <c r="J20" s="103"/>
      <c r="K20" s="103"/>
      <c r="L20" s="103"/>
      <c r="M20" s="103"/>
      <c r="N20" s="103"/>
    </row>
    <row r="21">
      <c r="A21" s="104"/>
      <c r="B21" s="64" t="s">
        <v>72</v>
      </c>
      <c r="C21" s="105">
        <f>U69</f>
        <v>0</v>
      </c>
      <c r="H21" s="1"/>
      <c r="I21" s="1"/>
      <c r="J21" s="106"/>
      <c r="K21" s="106"/>
      <c r="L21" s="107"/>
      <c r="M21" s="103"/>
      <c r="N21" s="103"/>
    </row>
    <row r="22">
      <c r="A22" s="104"/>
      <c r="B22" s="64" t="s">
        <v>73</v>
      </c>
      <c r="C22" s="105">
        <f>V69</f>
        <v>0</v>
      </c>
      <c r="H22" s="1"/>
      <c r="I22" s="1"/>
      <c r="J22" s="106"/>
      <c r="K22" s="106"/>
      <c r="L22" s="107"/>
      <c r="M22" s="103"/>
      <c r="N22" s="103"/>
    </row>
    <row r="23">
      <c r="A23" s="104"/>
      <c r="B23" s="64" t="s">
        <v>74</v>
      </c>
      <c r="C23" s="105">
        <f>S69</f>
        <v>0</v>
      </c>
      <c r="H23" s="1"/>
      <c r="I23" s="1"/>
      <c r="J23" s="106"/>
      <c r="K23" s="106"/>
      <c r="L23" s="107"/>
      <c r="M23" s="103"/>
      <c r="N23" s="103"/>
    </row>
    <row r="24">
      <c r="A24" s="104"/>
      <c r="B24" s="64" t="s">
        <v>75</v>
      </c>
      <c r="C24" s="105">
        <f>T69</f>
        <v>0</v>
      </c>
      <c r="H24" s="1"/>
      <c r="I24" s="88"/>
      <c r="J24" s="106"/>
      <c r="K24" s="106"/>
      <c r="L24" s="107"/>
      <c r="M24" s="103"/>
      <c r="N24" s="103"/>
    </row>
    <row r="25">
      <c r="A25" s="104"/>
      <c r="B25" s="64" t="s">
        <v>76</v>
      </c>
      <c r="C25" s="105">
        <f>67</f>
        <v>67</v>
      </c>
      <c r="H25" s="1"/>
      <c r="I25" s="1"/>
    </row>
    <row r="26">
      <c r="A26" s="104"/>
      <c r="B26" s="64" t="s">
        <v>77</v>
      </c>
      <c r="C26" s="108">
        <f>P69</f>
        <v>4325</v>
      </c>
      <c r="H26" s="1"/>
      <c r="I26" s="1"/>
    </row>
    <row r="27">
      <c r="A27" s="104"/>
      <c r="B27" s="64" t="s">
        <v>78</v>
      </c>
      <c r="C27" s="65">
        <f>Q69</f>
        <v>8</v>
      </c>
      <c r="H27" s="1"/>
      <c r="I27" s="1"/>
    </row>
    <row r="28">
      <c r="A28" s="104"/>
      <c r="B28" s="64" t="s">
        <v>79</v>
      </c>
      <c r="C28" s="65">
        <f>R69</f>
        <v>9025</v>
      </c>
      <c r="H28" s="1"/>
      <c r="I28" s="1"/>
    </row>
    <row r="29">
      <c r="A29" s="104"/>
      <c r="B29" s="64" t="s">
        <v>80</v>
      </c>
      <c r="C29" s="105">
        <f>F69</f>
        <v>0</v>
      </c>
      <c r="D29" s="104"/>
      <c r="H29" s="1"/>
      <c r="I29" s="1"/>
    </row>
    <row r="30">
      <c r="A30" s="104"/>
      <c r="B30" s="64" t="s">
        <v>81</v>
      </c>
      <c r="C30" s="105">
        <f>G69</f>
        <v>0</v>
      </c>
      <c r="D30" s="104"/>
      <c r="H30" s="1"/>
      <c r="I30" s="1"/>
    </row>
    <row r="31">
      <c r="A31" s="104"/>
      <c r="B31" s="64" t="s">
        <v>82</v>
      </c>
      <c r="C31" s="105">
        <f>I69</f>
        <v>0</v>
      </c>
      <c r="D31" s="104"/>
      <c r="H31" s="1"/>
      <c r="I31" s="1"/>
    </row>
    <row r="32">
      <c r="A32" s="104"/>
      <c r="B32" s="64" t="s">
        <v>83</v>
      </c>
      <c r="C32" s="105">
        <f>J69</f>
        <v>0</v>
      </c>
      <c r="D32" s="104"/>
      <c r="H32" s="1"/>
      <c r="I32" s="1"/>
    </row>
    <row r="33">
      <c r="B33" s="64" t="s">
        <v>84</v>
      </c>
      <c r="C33" s="105">
        <v>0.0</v>
      </c>
    </row>
    <row r="34">
      <c r="B34" s="64" t="s">
        <v>85</v>
      </c>
      <c r="C34" s="65">
        <f>K69</f>
        <v>38.5</v>
      </c>
    </row>
    <row r="35">
      <c r="B35" s="64" t="s">
        <v>86</v>
      </c>
      <c r="C35" s="105">
        <v>0.0</v>
      </c>
    </row>
    <row r="36">
      <c r="B36" s="64" t="s">
        <v>87</v>
      </c>
      <c r="C36" s="10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4" t="s">
        <v>88</v>
      </c>
      <c r="C39" s="64" t="s">
        <v>89</v>
      </c>
      <c r="D39" s="64" t="s">
        <v>90</v>
      </c>
      <c r="E39" s="64" t="s">
        <v>91</v>
      </c>
      <c r="F39" s="66" t="s">
        <v>92</v>
      </c>
      <c r="G39" s="66" t="s">
        <v>93</v>
      </c>
      <c r="H39" s="66" t="s">
        <v>94</v>
      </c>
      <c r="I39" s="66" t="s">
        <v>95</v>
      </c>
      <c r="J39" s="66" t="s">
        <v>96</v>
      </c>
      <c r="K39" s="66" t="s">
        <v>97</v>
      </c>
      <c r="L39" s="66" t="s">
        <v>84</v>
      </c>
      <c r="M39" s="66" t="s">
        <v>86</v>
      </c>
      <c r="N39" s="66" t="s">
        <v>98</v>
      </c>
      <c r="O39" s="66" t="s">
        <v>99</v>
      </c>
      <c r="P39" s="66" t="s">
        <v>100</v>
      </c>
      <c r="Q39" s="66" t="s">
        <v>101</v>
      </c>
      <c r="R39" s="66" t="s">
        <v>102</v>
      </c>
      <c r="S39" s="66" t="s">
        <v>103</v>
      </c>
      <c r="T39" s="66" t="s">
        <v>75</v>
      </c>
      <c r="U39" s="66" t="s">
        <v>104</v>
      </c>
      <c r="V39" s="66" t="s">
        <v>105</v>
      </c>
      <c r="W39" s="66" t="s">
        <v>106</v>
      </c>
    </row>
    <row r="40">
      <c r="B40" s="109" t="s">
        <v>15</v>
      </c>
      <c r="C40" s="110">
        <v>42000.0</v>
      </c>
      <c r="D40" s="109">
        <v>600.0</v>
      </c>
      <c r="E40" s="110">
        <v>1250.0</v>
      </c>
      <c r="F40" s="109"/>
      <c r="G40" s="71">
        <f t="shared" ref="G40:G68" si="1">F40*C40</f>
        <v>0</v>
      </c>
      <c r="H40" s="109">
        <v>25.0</v>
      </c>
      <c r="I40" s="109"/>
      <c r="J40" s="109"/>
      <c r="K40" s="109">
        <v>6.0</v>
      </c>
      <c r="L40" s="108">
        <f t="shared" ref="L40:L68" si="2">H40+U40+W40-O40-Q40-I40-J40</f>
        <v>16</v>
      </c>
      <c r="M40" s="65">
        <f t="shared" ref="M40:M68" si="3">K40-L40</f>
        <v>-10</v>
      </c>
      <c r="N40" s="71">
        <f t="shared" ref="N40:N68" si="4">M40*C40</f>
        <v>-420000</v>
      </c>
      <c r="O40" s="65">
        <f>'Dala Sales &amp; Deliveries'!L2</f>
        <v>2.5</v>
      </c>
      <c r="P40" s="71">
        <f t="shared" ref="P40:P68" si="5">O40*E40</f>
        <v>3125</v>
      </c>
      <c r="Q40" s="65">
        <f>'External Delivery Fulfillment'!L2</f>
        <v>6.5</v>
      </c>
      <c r="R40" s="71">
        <f t="shared" ref="R40:R68" si="6">Q40*E40</f>
        <v>8125</v>
      </c>
      <c r="S40" s="65">
        <f>'Forwarding From Client'!L2</f>
        <v>0</v>
      </c>
      <c r="T40" s="71">
        <f t="shared" ref="T40:T68" si="7">S40*E40</f>
        <v>0</v>
      </c>
      <c r="U40" s="65">
        <f>'Dala Restocking'!L2</f>
        <v>0</v>
      </c>
      <c r="V40" s="71">
        <f t="shared" ref="V40:V68" si="8">U40*D40</f>
        <v>0</v>
      </c>
      <c r="W40" s="65">
        <f>'Client Restocking'!L2</f>
        <v>0</v>
      </c>
    </row>
    <row r="41">
      <c r="B41" s="109" t="s">
        <v>21</v>
      </c>
      <c r="C41" s="110">
        <v>34200.0</v>
      </c>
      <c r="D41" s="109">
        <v>350.0</v>
      </c>
      <c r="E41" s="110">
        <v>600.0</v>
      </c>
      <c r="F41" s="111"/>
      <c r="G41" s="71">
        <f t="shared" si="1"/>
        <v>0</v>
      </c>
      <c r="H41" s="109">
        <v>25.0</v>
      </c>
      <c r="I41" s="109"/>
      <c r="J41" s="111"/>
      <c r="K41" s="109">
        <v>13.5</v>
      </c>
      <c r="L41" s="108">
        <f t="shared" si="2"/>
        <v>23.5</v>
      </c>
      <c r="M41" s="65">
        <f t="shared" si="3"/>
        <v>-10</v>
      </c>
      <c r="N41" s="71">
        <f t="shared" si="4"/>
        <v>-342000</v>
      </c>
      <c r="O41" s="65">
        <f>'Dala Sales &amp; Deliveries'!L3</f>
        <v>1</v>
      </c>
      <c r="P41" s="71">
        <f t="shared" si="5"/>
        <v>600</v>
      </c>
      <c r="Q41" s="65">
        <f>'External Delivery Fulfillment'!L3</f>
        <v>0.5</v>
      </c>
      <c r="R41" s="71">
        <f t="shared" si="6"/>
        <v>300</v>
      </c>
      <c r="S41" s="65">
        <f>'Forwarding From Client'!L3</f>
        <v>0</v>
      </c>
      <c r="T41" s="71">
        <f t="shared" si="7"/>
        <v>0</v>
      </c>
      <c r="U41" s="65">
        <f>'Dala Restocking'!L3</f>
        <v>0</v>
      </c>
      <c r="V41" s="71">
        <f t="shared" si="8"/>
        <v>0</v>
      </c>
      <c r="W41" s="65">
        <f>'Client Restocking'!L3</f>
        <v>0</v>
      </c>
    </row>
    <row r="42">
      <c r="B42" s="109" t="s">
        <v>27</v>
      </c>
      <c r="C42" s="110">
        <v>34200.0</v>
      </c>
      <c r="D42" s="109">
        <v>350.0</v>
      </c>
      <c r="E42" s="110">
        <v>600.0</v>
      </c>
      <c r="F42" s="111"/>
      <c r="G42" s="71">
        <f t="shared" si="1"/>
        <v>0</v>
      </c>
      <c r="H42" s="109">
        <v>25.0</v>
      </c>
      <c r="I42" s="109"/>
      <c r="J42" s="111"/>
      <c r="K42" s="109">
        <v>9.0</v>
      </c>
      <c r="L42" s="108">
        <f t="shared" si="2"/>
        <v>24</v>
      </c>
      <c r="M42" s="65">
        <f t="shared" si="3"/>
        <v>-15</v>
      </c>
      <c r="N42" s="71">
        <f t="shared" si="4"/>
        <v>-513000</v>
      </c>
      <c r="O42" s="65">
        <f>'Dala Sales &amp; Deliveries'!L4</f>
        <v>1</v>
      </c>
      <c r="P42" s="71">
        <f t="shared" si="5"/>
        <v>600</v>
      </c>
      <c r="Q42" s="65">
        <f>'External Delivery Fulfillment'!L4</f>
        <v>0</v>
      </c>
      <c r="R42" s="71">
        <f t="shared" si="6"/>
        <v>0</v>
      </c>
      <c r="S42" s="65">
        <f>'Forwarding From Client'!L4</f>
        <v>0</v>
      </c>
      <c r="T42" s="71">
        <f t="shared" si="7"/>
        <v>0</v>
      </c>
      <c r="U42" s="65">
        <f>'Dala Restocking'!L4</f>
        <v>0</v>
      </c>
      <c r="V42" s="71">
        <f t="shared" si="8"/>
        <v>0</v>
      </c>
      <c r="W42" s="65">
        <f>'Client Restocking'!L4</f>
        <v>0</v>
      </c>
    </row>
    <row r="43">
      <c r="B43" s="109" t="s">
        <v>25</v>
      </c>
      <c r="C43" s="110">
        <v>34200.0</v>
      </c>
      <c r="D43" s="109">
        <v>350.0</v>
      </c>
      <c r="E43" s="110">
        <v>600.0</v>
      </c>
      <c r="F43" s="111"/>
      <c r="G43" s="71">
        <f t="shared" si="1"/>
        <v>0</v>
      </c>
      <c r="H43" s="109">
        <v>25.0</v>
      </c>
      <c r="I43" s="109"/>
      <c r="J43" s="111"/>
      <c r="K43" s="109">
        <v>10.0</v>
      </c>
      <c r="L43" s="108">
        <f t="shared" si="2"/>
        <v>24</v>
      </c>
      <c r="M43" s="65">
        <f t="shared" si="3"/>
        <v>-14</v>
      </c>
      <c r="N43" s="71">
        <f t="shared" si="4"/>
        <v>-478800</v>
      </c>
      <c r="O43" s="65">
        <f>'Dala Sales &amp; Deliveries'!L5</f>
        <v>0</v>
      </c>
      <c r="P43" s="71">
        <f t="shared" si="5"/>
        <v>0</v>
      </c>
      <c r="Q43" s="65">
        <f>'External Delivery Fulfillment'!L5</f>
        <v>1</v>
      </c>
      <c r="R43" s="71">
        <f t="shared" si="6"/>
        <v>600</v>
      </c>
      <c r="S43" s="65">
        <f>'Forwarding From Client'!L5</f>
        <v>0</v>
      </c>
      <c r="T43" s="71">
        <f t="shared" si="7"/>
        <v>0</v>
      </c>
      <c r="U43" s="65">
        <f>'Dala Restocking'!L5</f>
        <v>0</v>
      </c>
      <c r="V43" s="71">
        <f t="shared" si="8"/>
        <v>0</v>
      </c>
      <c r="W43" s="65">
        <f>'Client Restocking'!L5</f>
        <v>0</v>
      </c>
    </row>
    <row r="44">
      <c r="B44" s="109"/>
      <c r="C44" s="110"/>
      <c r="D44" s="109"/>
      <c r="E44" s="110"/>
      <c r="F44" s="111"/>
      <c r="G44" s="71">
        <f t="shared" si="1"/>
        <v>0</v>
      </c>
      <c r="H44" s="109"/>
      <c r="I44" s="109"/>
      <c r="J44" s="111"/>
      <c r="K44" s="111"/>
      <c r="L44" s="108">
        <f t="shared" si="2"/>
        <v>0</v>
      </c>
      <c r="M44" s="65">
        <f t="shared" si="3"/>
        <v>0</v>
      </c>
      <c r="N44" s="71">
        <f t="shared" si="4"/>
        <v>0</v>
      </c>
      <c r="O44" s="65">
        <f>'Dala Sales &amp; Deliveries'!L6</f>
        <v>0</v>
      </c>
      <c r="P44" s="71">
        <f t="shared" si="5"/>
        <v>0</v>
      </c>
      <c r="Q44" s="65">
        <f>'External Delivery Fulfillment'!L6</f>
        <v>0</v>
      </c>
      <c r="R44" s="71">
        <f t="shared" si="6"/>
        <v>0</v>
      </c>
      <c r="S44" s="65">
        <f>'Forwarding From Client'!L6</f>
        <v>0</v>
      </c>
      <c r="T44" s="71">
        <f t="shared" si="7"/>
        <v>0</v>
      </c>
      <c r="U44" s="65">
        <f>'Dala Restocking'!L6</f>
        <v>0</v>
      </c>
      <c r="V44" s="71">
        <f t="shared" si="8"/>
        <v>0</v>
      </c>
      <c r="W44" s="65">
        <f>'Client Restocking'!L6</f>
        <v>0</v>
      </c>
    </row>
    <row r="45">
      <c r="B45" s="109"/>
      <c r="C45" s="110"/>
      <c r="D45" s="109"/>
      <c r="E45" s="110"/>
      <c r="F45" s="111"/>
      <c r="G45" s="71">
        <f t="shared" si="1"/>
        <v>0</v>
      </c>
      <c r="H45" s="111"/>
      <c r="I45" s="111"/>
      <c r="J45" s="111"/>
      <c r="K45" s="111"/>
      <c r="L45" s="108">
        <f t="shared" si="2"/>
        <v>0</v>
      </c>
      <c r="M45" s="65">
        <f t="shared" si="3"/>
        <v>0</v>
      </c>
      <c r="N45" s="71">
        <f t="shared" si="4"/>
        <v>0</v>
      </c>
      <c r="O45" s="65">
        <f>'Dala Sales &amp; Deliveries'!L7</f>
        <v>0</v>
      </c>
      <c r="P45" s="71">
        <f t="shared" si="5"/>
        <v>0</v>
      </c>
      <c r="Q45" s="65">
        <f>'External Delivery Fulfillment'!L7</f>
        <v>0</v>
      </c>
      <c r="R45" s="71">
        <f t="shared" si="6"/>
        <v>0</v>
      </c>
      <c r="S45" s="65">
        <f>'Forwarding From Client'!L7</f>
        <v>0</v>
      </c>
      <c r="T45" s="71">
        <f t="shared" si="7"/>
        <v>0</v>
      </c>
      <c r="U45" s="65">
        <f>'Dala Restocking'!L7</f>
        <v>0</v>
      </c>
      <c r="V45" s="71">
        <f t="shared" si="8"/>
        <v>0</v>
      </c>
      <c r="W45" s="65">
        <f>'Client Restocking'!L7</f>
        <v>0</v>
      </c>
    </row>
    <row r="46">
      <c r="B46" s="109"/>
      <c r="C46" s="110"/>
      <c r="D46" s="109"/>
      <c r="E46" s="110"/>
      <c r="F46" s="111"/>
      <c r="G46" s="71">
        <f t="shared" si="1"/>
        <v>0</v>
      </c>
      <c r="H46" s="111"/>
      <c r="I46" s="111"/>
      <c r="J46" s="111"/>
      <c r="K46" s="111"/>
      <c r="L46" s="108">
        <f t="shared" si="2"/>
        <v>0</v>
      </c>
      <c r="M46" s="65">
        <f t="shared" si="3"/>
        <v>0</v>
      </c>
      <c r="N46" s="71">
        <f t="shared" si="4"/>
        <v>0</v>
      </c>
      <c r="O46" s="65">
        <f>'Dala Sales &amp; Deliveries'!L8</f>
        <v>0</v>
      </c>
      <c r="P46" s="71">
        <f t="shared" si="5"/>
        <v>0</v>
      </c>
      <c r="Q46" s="65">
        <f>'External Delivery Fulfillment'!L8</f>
        <v>0</v>
      </c>
      <c r="R46" s="71">
        <f t="shared" si="6"/>
        <v>0</v>
      </c>
      <c r="S46" s="65">
        <f>'Forwarding From Client'!L8</f>
        <v>0</v>
      </c>
      <c r="T46" s="71">
        <f t="shared" si="7"/>
        <v>0</v>
      </c>
      <c r="U46" s="65">
        <f>'Dala Restocking'!L8</f>
        <v>0</v>
      </c>
      <c r="V46" s="71">
        <f t="shared" si="8"/>
        <v>0</v>
      </c>
      <c r="W46" s="65">
        <f>'Client Restocking'!L8</f>
        <v>0</v>
      </c>
    </row>
    <row r="47">
      <c r="B47" s="109"/>
      <c r="C47" s="110"/>
      <c r="D47" s="109"/>
      <c r="E47" s="110"/>
      <c r="F47" s="111"/>
      <c r="G47" s="71">
        <f t="shared" si="1"/>
        <v>0</v>
      </c>
      <c r="H47" s="111"/>
      <c r="I47" s="111"/>
      <c r="J47" s="111"/>
      <c r="K47" s="111"/>
      <c r="L47" s="108">
        <f t="shared" si="2"/>
        <v>0</v>
      </c>
      <c r="M47" s="65">
        <f t="shared" si="3"/>
        <v>0</v>
      </c>
      <c r="N47" s="71">
        <f t="shared" si="4"/>
        <v>0</v>
      </c>
      <c r="O47" s="65">
        <f>'Dala Sales &amp; Deliveries'!L9</f>
        <v>0</v>
      </c>
      <c r="P47" s="71">
        <f t="shared" si="5"/>
        <v>0</v>
      </c>
      <c r="Q47" s="65">
        <f>'External Delivery Fulfillment'!L9</f>
        <v>0</v>
      </c>
      <c r="R47" s="71">
        <f t="shared" si="6"/>
        <v>0</v>
      </c>
      <c r="S47" s="65">
        <f>'Forwarding From Client'!L9</f>
        <v>0</v>
      </c>
      <c r="T47" s="71">
        <f t="shared" si="7"/>
        <v>0</v>
      </c>
      <c r="U47" s="65">
        <f>'Dala Restocking'!L9</f>
        <v>0</v>
      </c>
      <c r="V47" s="71">
        <f t="shared" si="8"/>
        <v>0</v>
      </c>
      <c r="W47" s="65">
        <f>'Client Restocking'!L9</f>
        <v>0</v>
      </c>
    </row>
    <row r="48">
      <c r="B48" s="109"/>
      <c r="C48" s="110"/>
      <c r="D48" s="109"/>
      <c r="E48" s="110"/>
      <c r="F48" s="111"/>
      <c r="G48" s="71">
        <f t="shared" si="1"/>
        <v>0</v>
      </c>
      <c r="H48" s="111"/>
      <c r="I48" s="111"/>
      <c r="J48" s="111"/>
      <c r="K48" s="111"/>
      <c r="L48" s="108">
        <f t="shared" si="2"/>
        <v>0</v>
      </c>
      <c r="M48" s="65">
        <f t="shared" si="3"/>
        <v>0</v>
      </c>
      <c r="N48" s="71">
        <f t="shared" si="4"/>
        <v>0</v>
      </c>
      <c r="O48" s="65">
        <f>'Dala Sales &amp; Deliveries'!L10</f>
        <v>0</v>
      </c>
      <c r="P48" s="71">
        <f t="shared" si="5"/>
        <v>0</v>
      </c>
      <c r="Q48" s="65">
        <f>'External Delivery Fulfillment'!L10</f>
        <v>0</v>
      </c>
      <c r="R48" s="71">
        <f t="shared" si="6"/>
        <v>0</v>
      </c>
      <c r="S48" s="65">
        <f>'Forwarding From Client'!L10</f>
        <v>0</v>
      </c>
      <c r="T48" s="71">
        <f t="shared" si="7"/>
        <v>0</v>
      </c>
      <c r="U48" s="65">
        <f>'Dala Restocking'!L10</f>
        <v>0</v>
      </c>
      <c r="V48" s="71">
        <f t="shared" si="8"/>
        <v>0</v>
      </c>
      <c r="W48" s="65">
        <f>'Client Restocking'!L10</f>
        <v>0</v>
      </c>
    </row>
    <row r="49">
      <c r="B49" s="109"/>
      <c r="C49" s="110"/>
      <c r="D49" s="109"/>
      <c r="E49" s="110"/>
      <c r="F49" s="111"/>
      <c r="G49" s="71">
        <f t="shared" si="1"/>
        <v>0</v>
      </c>
      <c r="H49" s="111"/>
      <c r="I49" s="111"/>
      <c r="J49" s="111"/>
      <c r="K49" s="111"/>
      <c r="L49" s="108">
        <f t="shared" si="2"/>
        <v>0</v>
      </c>
      <c r="M49" s="65">
        <f t="shared" si="3"/>
        <v>0</v>
      </c>
      <c r="N49" s="71">
        <f t="shared" si="4"/>
        <v>0</v>
      </c>
      <c r="O49" s="65">
        <f>'Dala Sales &amp; Deliveries'!L11</f>
        <v>0</v>
      </c>
      <c r="P49" s="71">
        <f t="shared" si="5"/>
        <v>0</v>
      </c>
      <c r="Q49" s="65">
        <f>'External Delivery Fulfillment'!L11</f>
        <v>0</v>
      </c>
      <c r="R49" s="71">
        <f t="shared" si="6"/>
        <v>0</v>
      </c>
      <c r="S49" s="65">
        <f>'Forwarding From Client'!L11</f>
        <v>0</v>
      </c>
      <c r="T49" s="71">
        <f t="shared" si="7"/>
        <v>0</v>
      </c>
      <c r="U49" s="65">
        <f>'Dala Restocking'!L11</f>
        <v>0</v>
      </c>
      <c r="V49" s="71">
        <f t="shared" si="8"/>
        <v>0</v>
      </c>
      <c r="W49" s="65">
        <f>'Client Restocking'!L11</f>
        <v>0</v>
      </c>
    </row>
    <row r="50">
      <c r="B50" s="109"/>
      <c r="C50" s="110"/>
      <c r="D50" s="109"/>
      <c r="E50" s="110"/>
      <c r="F50" s="111"/>
      <c r="G50" s="71">
        <f t="shared" si="1"/>
        <v>0</v>
      </c>
      <c r="H50" s="111"/>
      <c r="I50" s="111"/>
      <c r="J50" s="111"/>
      <c r="K50" s="111"/>
      <c r="L50" s="108">
        <f t="shared" si="2"/>
        <v>0</v>
      </c>
      <c r="M50" s="65">
        <f t="shared" si="3"/>
        <v>0</v>
      </c>
      <c r="N50" s="71">
        <f t="shared" si="4"/>
        <v>0</v>
      </c>
      <c r="O50" s="65">
        <f>'Dala Sales &amp; Deliveries'!L12</f>
        <v>0</v>
      </c>
      <c r="P50" s="71">
        <f t="shared" si="5"/>
        <v>0</v>
      </c>
      <c r="Q50" s="65">
        <f>'External Delivery Fulfillment'!L12</f>
        <v>0</v>
      </c>
      <c r="R50" s="71">
        <f t="shared" si="6"/>
        <v>0</v>
      </c>
      <c r="S50" s="65">
        <f>'Forwarding From Client'!L12</f>
        <v>0</v>
      </c>
      <c r="T50" s="71">
        <f t="shared" si="7"/>
        <v>0</v>
      </c>
      <c r="U50" s="65">
        <f>'Dala Restocking'!L12</f>
        <v>0</v>
      </c>
      <c r="V50" s="71">
        <f t="shared" si="8"/>
        <v>0</v>
      </c>
      <c r="W50" s="65">
        <f>'Client Restocking'!L12</f>
        <v>0</v>
      </c>
    </row>
    <row r="51">
      <c r="B51" s="109"/>
      <c r="C51" s="110"/>
      <c r="D51" s="109"/>
      <c r="E51" s="110"/>
      <c r="F51" s="111"/>
      <c r="G51" s="71">
        <f t="shared" si="1"/>
        <v>0</v>
      </c>
      <c r="H51" s="111"/>
      <c r="I51" s="111"/>
      <c r="J51" s="111"/>
      <c r="K51" s="111"/>
      <c r="L51" s="108">
        <f t="shared" si="2"/>
        <v>0</v>
      </c>
      <c r="M51" s="65">
        <f t="shared" si="3"/>
        <v>0</v>
      </c>
      <c r="N51" s="71">
        <f t="shared" si="4"/>
        <v>0</v>
      </c>
      <c r="O51" s="65">
        <f>'Dala Sales &amp; Deliveries'!L13</f>
        <v>0</v>
      </c>
      <c r="P51" s="71">
        <f t="shared" si="5"/>
        <v>0</v>
      </c>
      <c r="Q51" s="65">
        <f>'External Delivery Fulfillment'!L13</f>
        <v>0</v>
      </c>
      <c r="R51" s="71">
        <f t="shared" si="6"/>
        <v>0</v>
      </c>
      <c r="S51" s="65">
        <f>'Forwarding From Client'!L13</f>
        <v>0</v>
      </c>
      <c r="T51" s="71">
        <f t="shared" si="7"/>
        <v>0</v>
      </c>
      <c r="U51" s="65">
        <f>'Dala Restocking'!L13</f>
        <v>0</v>
      </c>
      <c r="V51" s="71">
        <f t="shared" si="8"/>
        <v>0</v>
      </c>
      <c r="W51" s="65">
        <f>'Client Restocking'!L13</f>
        <v>0</v>
      </c>
    </row>
    <row r="52">
      <c r="B52" s="111"/>
      <c r="C52" s="111"/>
      <c r="D52" s="111"/>
      <c r="E52" s="111"/>
      <c r="F52" s="111"/>
      <c r="G52" s="71">
        <f t="shared" si="1"/>
        <v>0</v>
      </c>
      <c r="H52" s="111"/>
      <c r="I52" s="111"/>
      <c r="J52" s="111"/>
      <c r="K52" s="111"/>
      <c r="L52" s="66">
        <f t="shared" si="2"/>
        <v>0</v>
      </c>
      <c r="M52" s="71">
        <f t="shared" si="3"/>
        <v>0</v>
      </c>
      <c r="N52" s="71">
        <f t="shared" si="4"/>
        <v>0</v>
      </c>
      <c r="O52" s="71" t="str">
        <f>'Dala Sales &amp; Deliveries'!L14</f>
        <v/>
      </c>
      <c r="P52" s="71">
        <f t="shared" si="5"/>
        <v>0</v>
      </c>
      <c r="Q52" s="71" t="str">
        <f>'External Delivery Fulfillment'!L14</f>
        <v/>
      </c>
      <c r="R52" s="71">
        <f t="shared" si="6"/>
        <v>0</v>
      </c>
      <c r="S52" s="71" t="str">
        <f>'Forwarding From Client'!L14</f>
        <v/>
      </c>
      <c r="T52" s="71">
        <f t="shared" si="7"/>
        <v>0</v>
      </c>
      <c r="U52" s="71" t="str">
        <f>'Dala Restocking'!L14</f>
        <v/>
      </c>
      <c r="V52" s="71">
        <f t="shared" si="8"/>
        <v>0</v>
      </c>
      <c r="W52" s="71" t="str">
        <f>'Client Restocking'!L14</f>
        <v/>
      </c>
    </row>
    <row r="53">
      <c r="B53" s="111"/>
      <c r="C53" s="111"/>
      <c r="D53" s="111"/>
      <c r="E53" s="111"/>
      <c r="F53" s="111"/>
      <c r="G53" s="71">
        <f t="shared" si="1"/>
        <v>0</v>
      </c>
      <c r="H53" s="111"/>
      <c r="I53" s="111"/>
      <c r="J53" s="111"/>
      <c r="K53" s="111"/>
      <c r="L53" s="66">
        <f t="shared" si="2"/>
        <v>0</v>
      </c>
      <c r="M53" s="71">
        <f t="shared" si="3"/>
        <v>0</v>
      </c>
      <c r="N53" s="71">
        <f t="shared" si="4"/>
        <v>0</v>
      </c>
      <c r="O53" s="71" t="str">
        <f>'Dala Sales &amp; Deliveries'!L15</f>
        <v/>
      </c>
      <c r="P53" s="71">
        <f t="shared" si="5"/>
        <v>0</v>
      </c>
      <c r="Q53" s="71" t="str">
        <f>'External Delivery Fulfillment'!L15</f>
        <v/>
      </c>
      <c r="R53" s="71">
        <f t="shared" si="6"/>
        <v>0</v>
      </c>
      <c r="S53" s="71" t="str">
        <f>'Forwarding From Client'!L15</f>
        <v/>
      </c>
      <c r="T53" s="71">
        <f t="shared" si="7"/>
        <v>0</v>
      </c>
      <c r="U53" s="71" t="str">
        <f>'Dala Restocking'!L15</f>
        <v/>
      </c>
      <c r="V53" s="71">
        <f t="shared" si="8"/>
        <v>0</v>
      </c>
      <c r="W53" s="71" t="str">
        <f>'Client Restocking'!L15</f>
        <v/>
      </c>
    </row>
    <row r="54">
      <c r="B54" s="111"/>
      <c r="C54" s="111"/>
      <c r="D54" s="111"/>
      <c r="E54" s="111"/>
      <c r="F54" s="111"/>
      <c r="G54" s="71">
        <f t="shared" si="1"/>
        <v>0</v>
      </c>
      <c r="H54" s="111"/>
      <c r="I54" s="111"/>
      <c r="J54" s="111"/>
      <c r="K54" s="111"/>
      <c r="L54" s="66">
        <f t="shared" si="2"/>
        <v>0</v>
      </c>
      <c r="M54" s="71">
        <f t="shared" si="3"/>
        <v>0</v>
      </c>
      <c r="N54" s="71">
        <f t="shared" si="4"/>
        <v>0</v>
      </c>
      <c r="O54" s="71" t="str">
        <f>'Dala Sales &amp; Deliveries'!L16</f>
        <v/>
      </c>
      <c r="P54" s="71">
        <f t="shared" si="5"/>
        <v>0</v>
      </c>
      <c r="Q54" s="71" t="str">
        <f>'External Delivery Fulfillment'!L16</f>
        <v/>
      </c>
      <c r="R54" s="71">
        <f t="shared" si="6"/>
        <v>0</v>
      </c>
      <c r="S54" s="71" t="str">
        <f>'Forwarding From Client'!L16</f>
        <v/>
      </c>
      <c r="T54" s="71">
        <f t="shared" si="7"/>
        <v>0</v>
      </c>
      <c r="U54" s="71" t="str">
        <f>'Dala Restocking'!L16</f>
        <v/>
      </c>
      <c r="V54" s="71">
        <f t="shared" si="8"/>
        <v>0</v>
      </c>
      <c r="W54" s="71" t="str">
        <f>'Client Restocking'!L16</f>
        <v/>
      </c>
    </row>
    <row r="55">
      <c r="B55" s="111"/>
      <c r="C55" s="111"/>
      <c r="D55" s="111"/>
      <c r="E55" s="111"/>
      <c r="F55" s="111"/>
      <c r="G55" s="71">
        <f t="shared" si="1"/>
        <v>0</v>
      </c>
      <c r="H55" s="111"/>
      <c r="I55" s="111"/>
      <c r="J55" s="111"/>
      <c r="K55" s="111"/>
      <c r="L55" s="66">
        <f t="shared" si="2"/>
        <v>0</v>
      </c>
      <c r="M55" s="71">
        <f t="shared" si="3"/>
        <v>0</v>
      </c>
      <c r="N55" s="71">
        <f t="shared" si="4"/>
        <v>0</v>
      </c>
      <c r="O55" s="71" t="str">
        <f>'Dala Sales &amp; Deliveries'!L17</f>
        <v/>
      </c>
      <c r="P55" s="71">
        <f t="shared" si="5"/>
        <v>0</v>
      </c>
      <c r="Q55" s="71" t="str">
        <f>'External Delivery Fulfillment'!L17</f>
        <v/>
      </c>
      <c r="R55" s="71">
        <f t="shared" si="6"/>
        <v>0</v>
      </c>
      <c r="S55" s="71" t="str">
        <f>'Forwarding From Client'!L17</f>
        <v/>
      </c>
      <c r="T55" s="71">
        <f t="shared" si="7"/>
        <v>0</v>
      </c>
      <c r="U55" s="71" t="str">
        <f>'Dala Restocking'!L17</f>
        <v/>
      </c>
      <c r="V55" s="71">
        <f t="shared" si="8"/>
        <v>0</v>
      </c>
      <c r="W55" s="71" t="str">
        <f>'Client Restocking'!L17</f>
        <v/>
      </c>
    </row>
    <row r="56">
      <c r="B56" s="111"/>
      <c r="C56" s="111"/>
      <c r="D56" s="111"/>
      <c r="E56" s="111"/>
      <c r="F56" s="111"/>
      <c r="G56" s="71">
        <f t="shared" si="1"/>
        <v>0</v>
      </c>
      <c r="H56" s="111"/>
      <c r="I56" s="111"/>
      <c r="J56" s="111"/>
      <c r="K56" s="111"/>
      <c r="L56" s="66">
        <f t="shared" si="2"/>
        <v>0</v>
      </c>
      <c r="M56" s="71">
        <f t="shared" si="3"/>
        <v>0</v>
      </c>
      <c r="N56" s="71">
        <f t="shared" si="4"/>
        <v>0</v>
      </c>
      <c r="O56" s="71" t="str">
        <f>'Dala Sales &amp; Deliveries'!L18</f>
        <v/>
      </c>
      <c r="P56" s="71">
        <f t="shared" si="5"/>
        <v>0</v>
      </c>
      <c r="Q56" s="71" t="str">
        <f>'External Delivery Fulfillment'!L18</f>
        <v/>
      </c>
      <c r="R56" s="71">
        <f t="shared" si="6"/>
        <v>0</v>
      </c>
      <c r="S56" s="71" t="str">
        <f>'Forwarding From Client'!L18</f>
        <v/>
      </c>
      <c r="T56" s="71">
        <f t="shared" si="7"/>
        <v>0</v>
      </c>
      <c r="U56" s="71" t="str">
        <f>'Dala Restocking'!L18</f>
        <v/>
      </c>
      <c r="V56" s="71">
        <f t="shared" si="8"/>
        <v>0</v>
      </c>
      <c r="W56" s="71" t="str">
        <f>'Client Restocking'!L18</f>
        <v/>
      </c>
    </row>
    <row r="57">
      <c r="B57" s="111"/>
      <c r="C57" s="111"/>
      <c r="D57" s="111"/>
      <c r="E57" s="111"/>
      <c r="F57" s="111"/>
      <c r="G57" s="71">
        <f t="shared" si="1"/>
        <v>0</v>
      </c>
      <c r="H57" s="111"/>
      <c r="I57" s="111"/>
      <c r="J57" s="111"/>
      <c r="K57" s="111"/>
      <c r="L57" s="66">
        <f t="shared" si="2"/>
        <v>0</v>
      </c>
      <c r="M57" s="71">
        <f t="shared" si="3"/>
        <v>0</v>
      </c>
      <c r="N57" s="71">
        <f t="shared" si="4"/>
        <v>0</v>
      </c>
      <c r="O57" s="71" t="str">
        <f>'Dala Sales &amp; Deliveries'!L19</f>
        <v/>
      </c>
      <c r="P57" s="71">
        <f t="shared" si="5"/>
        <v>0</v>
      </c>
      <c r="Q57" s="71" t="str">
        <f>'External Delivery Fulfillment'!L19</f>
        <v/>
      </c>
      <c r="R57" s="71">
        <f t="shared" si="6"/>
        <v>0</v>
      </c>
      <c r="S57" s="71" t="str">
        <f>'Forwarding From Client'!L19</f>
        <v/>
      </c>
      <c r="T57" s="71">
        <f t="shared" si="7"/>
        <v>0</v>
      </c>
      <c r="U57" s="71" t="str">
        <f>'Dala Restocking'!L19</f>
        <v/>
      </c>
      <c r="V57" s="71">
        <f t="shared" si="8"/>
        <v>0</v>
      </c>
      <c r="W57" s="71" t="str">
        <f>'Client Restocking'!L19</f>
        <v/>
      </c>
    </row>
    <row r="58">
      <c r="B58" s="111"/>
      <c r="C58" s="111"/>
      <c r="D58" s="111"/>
      <c r="E58" s="111"/>
      <c r="F58" s="111"/>
      <c r="G58" s="71">
        <f t="shared" si="1"/>
        <v>0</v>
      </c>
      <c r="H58" s="111"/>
      <c r="I58" s="111"/>
      <c r="J58" s="111"/>
      <c r="K58" s="111"/>
      <c r="L58" s="66">
        <f t="shared" si="2"/>
        <v>0</v>
      </c>
      <c r="M58" s="71">
        <f t="shared" si="3"/>
        <v>0</v>
      </c>
      <c r="N58" s="71">
        <f t="shared" si="4"/>
        <v>0</v>
      </c>
      <c r="O58" s="71" t="str">
        <f>'Dala Sales &amp; Deliveries'!L20</f>
        <v/>
      </c>
      <c r="P58" s="71">
        <f t="shared" si="5"/>
        <v>0</v>
      </c>
      <c r="Q58" s="71" t="str">
        <f>'External Delivery Fulfillment'!L20</f>
        <v/>
      </c>
      <c r="R58" s="71">
        <f t="shared" si="6"/>
        <v>0</v>
      </c>
      <c r="S58" s="71" t="str">
        <f>'Forwarding From Client'!L20</f>
        <v/>
      </c>
      <c r="T58" s="71">
        <f t="shared" si="7"/>
        <v>0</v>
      </c>
      <c r="U58" s="71" t="str">
        <f>'Dala Restocking'!L20</f>
        <v/>
      </c>
      <c r="V58" s="71">
        <f t="shared" si="8"/>
        <v>0</v>
      </c>
      <c r="W58" s="71" t="str">
        <f>'Client Restocking'!L20</f>
        <v/>
      </c>
    </row>
    <row r="59">
      <c r="B59" s="111"/>
      <c r="C59" s="111"/>
      <c r="D59" s="111"/>
      <c r="E59" s="111"/>
      <c r="F59" s="111"/>
      <c r="G59" s="71">
        <f t="shared" si="1"/>
        <v>0</v>
      </c>
      <c r="H59" s="111"/>
      <c r="I59" s="111"/>
      <c r="J59" s="111"/>
      <c r="K59" s="111"/>
      <c r="L59" s="66">
        <f t="shared" si="2"/>
        <v>0</v>
      </c>
      <c r="M59" s="71">
        <f t="shared" si="3"/>
        <v>0</v>
      </c>
      <c r="N59" s="71">
        <f t="shared" si="4"/>
        <v>0</v>
      </c>
      <c r="O59" s="71" t="str">
        <f>'Dala Sales &amp; Deliveries'!L21</f>
        <v/>
      </c>
      <c r="P59" s="71">
        <f t="shared" si="5"/>
        <v>0</v>
      </c>
      <c r="Q59" s="71" t="str">
        <f>'External Delivery Fulfillment'!L21</f>
        <v/>
      </c>
      <c r="R59" s="71">
        <f t="shared" si="6"/>
        <v>0</v>
      </c>
      <c r="S59" s="71" t="str">
        <f>'Forwarding From Client'!L21</f>
        <v/>
      </c>
      <c r="T59" s="71">
        <f t="shared" si="7"/>
        <v>0</v>
      </c>
      <c r="U59" s="71" t="str">
        <f>'Dala Restocking'!L21</f>
        <v/>
      </c>
      <c r="V59" s="71">
        <f t="shared" si="8"/>
        <v>0</v>
      </c>
      <c r="W59" s="71" t="str">
        <f>'Client Restocking'!L21</f>
        <v/>
      </c>
    </row>
    <row r="60">
      <c r="B60" s="111"/>
      <c r="C60" s="111"/>
      <c r="D60" s="111"/>
      <c r="E60" s="111"/>
      <c r="F60" s="111"/>
      <c r="G60" s="71">
        <f t="shared" si="1"/>
        <v>0</v>
      </c>
      <c r="H60" s="111"/>
      <c r="I60" s="111"/>
      <c r="J60" s="111"/>
      <c r="K60" s="111"/>
      <c r="L60" s="66">
        <f t="shared" si="2"/>
        <v>0</v>
      </c>
      <c r="M60" s="71">
        <f t="shared" si="3"/>
        <v>0</v>
      </c>
      <c r="N60" s="71">
        <f t="shared" si="4"/>
        <v>0</v>
      </c>
      <c r="O60" s="71" t="str">
        <f>'Dala Sales &amp; Deliveries'!L22</f>
        <v/>
      </c>
      <c r="P60" s="71">
        <f t="shared" si="5"/>
        <v>0</v>
      </c>
      <c r="Q60" s="71" t="str">
        <f>'External Delivery Fulfillment'!L22</f>
        <v/>
      </c>
      <c r="R60" s="71">
        <f t="shared" si="6"/>
        <v>0</v>
      </c>
      <c r="S60" s="71" t="str">
        <f>'Forwarding From Client'!L22</f>
        <v/>
      </c>
      <c r="T60" s="71">
        <f t="shared" si="7"/>
        <v>0</v>
      </c>
      <c r="U60" s="71" t="str">
        <f>'Dala Restocking'!L22</f>
        <v/>
      </c>
      <c r="V60" s="71">
        <f t="shared" si="8"/>
        <v>0</v>
      </c>
      <c r="W60" s="71" t="str">
        <f>'Client Restocking'!L22</f>
        <v/>
      </c>
    </row>
    <row r="61">
      <c r="B61" s="111"/>
      <c r="C61" s="111"/>
      <c r="D61" s="111"/>
      <c r="E61" s="111"/>
      <c r="F61" s="111"/>
      <c r="G61" s="71">
        <f t="shared" si="1"/>
        <v>0</v>
      </c>
      <c r="H61" s="111"/>
      <c r="I61" s="111"/>
      <c r="J61" s="111"/>
      <c r="K61" s="111"/>
      <c r="L61" s="66">
        <f t="shared" si="2"/>
        <v>0</v>
      </c>
      <c r="M61" s="71">
        <f t="shared" si="3"/>
        <v>0</v>
      </c>
      <c r="N61" s="71">
        <f t="shared" si="4"/>
        <v>0</v>
      </c>
      <c r="O61" s="71" t="str">
        <f>'Dala Sales &amp; Deliveries'!L23</f>
        <v/>
      </c>
      <c r="P61" s="71">
        <f t="shared" si="5"/>
        <v>0</v>
      </c>
      <c r="Q61" s="71" t="str">
        <f>'External Delivery Fulfillment'!L23</f>
        <v/>
      </c>
      <c r="R61" s="71">
        <f t="shared" si="6"/>
        <v>0</v>
      </c>
      <c r="S61" s="71" t="str">
        <f>'Forwarding From Client'!L23</f>
        <v/>
      </c>
      <c r="T61" s="71">
        <f t="shared" si="7"/>
        <v>0</v>
      </c>
      <c r="U61" s="71" t="str">
        <f>'Dala Restocking'!L23</f>
        <v/>
      </c>
      <c r="V61" s="71">
        <f t="shared" si="8"/>
        <v>0</v>
      </c>
      <c r="W61" s="71" t="str">
        <f>'Client Restocking'!L23</f>
        <v/>
      </c>
    </row>
    <row r="62">
      <c r="B62" s="111"/>
      <c r="C62" s="111"/>
      <c r="D62" s="111"/>
      <c r="E62" s="111"/>
      <c r="F62" s="111"/>
      <c r="G62" s="71">
        <f t="shared" si="1"/>
        <v>0</v>
      </c>
      <c r="H62" s="111"/>
      <c r="I62" s="111"/>
      <c r="J62" s="111"/>
      <c r="K62" s="111"/>
      <c r="L62" s="66">
        <f t="shared" si="2"/>
        <v>0</v>
      </c>
      <c r="M62" s="71">
        <f t="shared" si="3"/>
        <v>0</v>
      </c>
      <c r="N62" s="71">
        <f t="shared" si="4"/>
        <v>0</v>
      </c>
      <c r="O62" s="71" t="str">
        <f>'Dala Sales &amp; Deliveries'!L24</f>
        <v/>
      </c>
      <c r="P62" s="71">
        <f t="shared" si="5"/>
        <v>0</v>
      </c>
      <c r="Q62" s="71" t="str">
        <f>'External Delivery Fulfillment'!L24</f>
        <v/>
      </c>
      <c r="R62" s="71">
        <f t="shared" si="6"/>
        <v>0</v>
      </c>
      <c r="S62" s="71" t="str">
        <f>'Forwarding From Client'!L24</f>
        <v/>
      </c>
      <c r="T62" s="71">
        <f t="shared" si="7"/>
        <v>0</v>
      </c>
      <c r="U62" s="71" t="str">
        <f>'Dala Restocking'!L24</f>
        <v/>
      </c>
      <c r="V62" s="71">
        <f t="shared" si="8"/>
        <v>0</v>
      </c>
      <c r="W62" s="71" t="str">
        <f>'Client Restocking'!L24</f>
        <v/>
      </c>
    </row>
    <row r="63">
      <c r="B63" s="111"/>
      <c r="C63" s="111"/>
      <c r="D63" s="111"/>
      <c r="E63" s="111"/>
      <c r="F63" s="111"/>
      <c r="G63" s="71">
        <f t="shared" si="1"/>
        <v>0</v>
      </c>
      <c r="H63" s="111"/>
      <c r="I63" s="111"/>
      <c r="J63" s="111"/>
      <c r="K63" s="111"/>
      <c r="L63" s="66">
        <f t="shared" si="2"/>
        <v>0</v>
      </c>
      <c r="M63" s="71">
        <f t="shared" si="3"/>
        <v>0</v>
      </c>
      <c r="N63" s="71">
        <f t="shared" si="4"/>
        <v>0</v>
      </c>
      <c r="O63" s="71" t="str">
        <f>'Dala Sales &amp; Deliveries'!L25</f>
        <v/>
      </c>
      <c r="P63" s="71">
        <f t="shared" si="5"/>
        <v>0</v>
      </c>
      <c r="Q63" s="71" t="str">
        <f>'External Delivery Fulfillment'!L25</f>
        <v/>
      </c>
      <c r="R63" s="71">
        <f t="shared" si="6"/>
        <v>0</v>
      </c>
      <c r="S63" s="71" t="str">
        <f>'Forwarding From Client'!L25</f>
        <v/>
      </c>
      <c r="T63" s="71">
        <f t="shared" si="7"/>
        <v>0</v>
      </c>
      <c r="U63" s="71" t="str">
        <f>'Dala Restocking'!L25</f>
        <v/>
      </c>
      <c r="V63" s="71">
        <f t="shared" si="8"/>
        <v>0</v>
      </c>
      <c r="W63" s="71" t="str">
        <f>'Client Restocking'!L25</f>
        <v/>
      </c>
    </row>
    <row r="64">
      <c r="B64" s="111"/>
      <c r="C64" s="111"/>
      <c r="D64" s="111"/>
      <c r="E64" s="111"/>
      <c r="F64" s="111"/>
      <c r="G64" s="71">
        <f t="shared" si="1"/>
        <v>0</v>
      </c>
      <c r="H64" s="111"/>
      <c r="I64" s="111"/>
      <c r="J64" s="111"/>
      <c r="K64" s="111"/>
      <c r="L64" s="66">
        <f t="shared" si="2"/>
        <v>0</v>
      </c>
      <c r="M64" s="71">
        <f t="shared" si="3"/>
        <v>0</v>
      </c>
      <c r="N64" s="71">
        <f t="shared" si="4"/>
        <v>0</v>
      </c>
      <c r="O64" s="71" t="str">
        <f>'Dala Sales &amp; Deliveries'!L26</f>
        <v/>
      </c>
      <c r="P64" s="71">
        <f t="shared" si="5"/>
        <v>0</v>
      </c>
      <c r="Q64" s="71" t="str">
        <f>'External Delivery Fulfillment'!L26</f>
        <v/>
      </c>
      <c r="R64" s="71">
        <f t="shared" si="6"/>
        <v>0</v>
      </c>
      <c r="S64" s="71" t="str">
        <f>'Forwarding From Client'!L26</f>
        <v/>
      </c>
      <c r="T64" s="71">
        <f t="shared" si="7"/>
        <v>0</v>
      </c>
      <c r="U64" s="71" t="str">
        <f>'Dala Restocking'!L26</f>
        <v/>
      </c>
      <c r="V64" s="71">
        <f t="shared" si="8"/>
        <v>0</v>
      </c>
      <c r="W64" s="71" t="str">
        <f>'Client Restocking'!L26</f>
        <v/>
      </c>
    </row>
    <row r="65">
      <c r="B65" s="111"/>
      <c r="C65" s="111"/>
      <c r="D65" s="111"/>
      <c r="E65" s="111"/>
      <c r="F65" s="111"/>
      <c r="G65" s="71">
        <f t="shared" si="1"/>
        <v>0</v>
      </c>
      <c r="H65" s="111"/>
      <c r="I65" s="111"/>
      <c r="J65" s="111"/>
      <c r="K65" s="111"/>
      <c r="L65" s="66">
        <f t="shared" si="2"/>
        <v>0</v>
      </c>
      <c r="M65" s="71">
        <f t="shared" si="3"/>
        <v>0</v>
      </c>
      <c r="N65" s="71">
        <f t="shared" si="4"/>
        <v>0</v>
      </c>
      <c r="O65" s="71" t="str">
        <f>'Dala Sales &amp; Deliveries'!L27</f>
        <v/>
      </c>
      <c r="P65" s="71">
        <f t="shared" si="5"/>
        <v>0</v>
      </c>
      <c r="Q65" s="71" t="str">
        <f>'External Delivery Fulfillment'!L27</f>
        <v/>
      </c>
      <c r="R65" s="71">
        <f t="shared" si="6"/>
        <v>0</v>
      </c>
      <c r="S65" s="71" t="str">
        <f>'Forwarding From Client'!L27</f>
        <v/>
      </c>
      <c r="T65" s="71">
        <f t="shared" si="7"/>
        <v>0</v>
      </c>
      <c r="U65" s="71" t="str">
        <f>'Dala Restocking'!L27</f>
        <v/>
      </c>
      <c r="V65" s="71">
        <f t="shared" si="8"/>
        <v>0</v>
      </c>
      <c r="W65" s="71" t="str">
        <f>'Client Restocking'!L27</f>
        <v/>
      </c>
    </row>
    <row r="66">
      <c r="B66" s="111"/>
      <c r="C66" s="111"/>
      <c r="D66" s="111"/>
      <c r="E66" s="111"/>
      <c r="F66" s="111"/>
      <c r="G66" s="71">
        <f t="shared" si="1"/>
        <v>0</v>
      </c>
      <c r="H66" s="111"/>
      <c r="I66" s="111"/>
      <c r="J66" s="111"/>
      <c r="K66" s="111"/>
      <c r="L66" s="66">
        <f t="shared" si="2"/>
        <v>0</v>
      </c>
      <c r="M66" s="71">
        <f t="shared" si="3"/>
        <v>0</v>
      </c>
      <c r="N66" s="71">
        <f t="shared" si="4"/>
        <v>0</v>
      </c>
      <c r="O66" s="71" t="str">
        <f>'Dala Sales &amp; Deliveries'!L28</f>
        <v/>
      </c>
      <c r="P66" s="71">
        <f t="shared" si="5"/>
        <v>0</v>
      </c>
      <c r="Q66" s="71" t="str">
        <f>'External Delivery Fulfillment'!L28</f>
        <v/>
      </c>
      <c r="R66" s="71">
        <f t="shared" si="6"/>
        <v>0</v>
      </c>
      <c r="S66" s="71" t="str">
        <f>'Forwarding From Client'!L28</f>
        <v/>
      </c>
      <c r="T66" s="71">
        <f t="shared" si="7"/>
        <v>0</v>
      </c>
      <c r="U66" s="71" t="str">
        <f>'Dala Restocking'!L28</f>
        <v/>
      </c>
      <c r="V66" s="71">
        <f t="shared" si="8"/>
        <v>0</v>
      </c>
      <c r="W66" s="71" t="str">
        <f>'Client Restocking'!L28</f>
        <v/>
      </c>
    </row>
    <row r="67">
      <c r="B67" s="111"/>
      <c r="C67" s="111"/>
      <c r="D67" s="111"/>
      <c r="E67" s="111"/>
      <c r="F67" s="111"/>
      <c r="G67" s="71">
        <f t="shared" si="1"/>
        <v>0</v>
      </c>
      <c r="H67" s="111"/>
      <c r="I67" s="111"/>
      <c r="J67" s="111"/>
      <c r="K67" s="111"/>
      <c r="L67" s="66">
        <f t="shared" si="2"/>
        <v>0</v>
      </c>
      <c r="M67" s="71">
        <f t="shared" si="3"/>
        <v>0</v>
      </c>
      <c r="N67" s="71">
        <f t="shared" si="4"/>
        <v>0</v>
      </c>
      <c r="O67" s="71" t="str">
        <f>'Dala Sales &amp; Deliveries'!L29</f>
        <v/>
      </c>
      <c r="P67" s="71">
        <f t="shared" si="5"/>
        <v>0</v>
      </c>
      <c r="Q67" s="71" t="str">
        <f>'External Delivery Fulfillment'!L29</f>
        <v/>
      </c>
      <c r="R67" s="71">
        <f t="shared" si="6"/>
        <v>0</v>
      </c>
      <c r="S67" s="71" t="str">
        <f>'Forwarding From Client'!L29</f>
        <v/>
      </c>
      <c r="T67" s="71">
        <f t="shared" si="7"/>
        <v>0</v>
      </c>
      <c r="U67" s="71" t="str">
        <f>'Dala Restocking'!L29</f>
        <v/>
      </c>
      <c r="V67" s="71">
        <f t="shared" si="8"/>
        <v>0</v>
      </c>
      <c r="W67" s="71" t="str">
        <f>'Client Restocking'!L29</f>
        <v/>
      </c>
    </row>
    <row r="68">
      <c r="B68" s="111"/>
      <c r="C68" s="111"/>
      <c r="D68" s="111"/>
      <c r="E68" s="111"/>
      <c r="F68" s="111"/>
      <c r="G68" s="71">
        <f t="shared" si="1"/>
        <v>0</v>
      </c>
      <c r="H68" s="111"/>
      <c r="I68" s="111"/>
      <c r="J68" s="111"/>
      <c r="K68" s="111"/>
      <c r="L68" s="66">
        <f t="shared" si="2"/>
        <v>0</v>
      </c>
      <c r="M68" s="71">
        <f t="shared" si="3"/>
        <v>0</v>
      </c>
      <c r="N68" s="71">
        <f t="shared" si="4"/>
        <v>0</v>
      </c>
      <c r="O68" s="71" t="str">
        <f>'Dala Sales &amp; Deliveries'!L30</f>
        <v/>
      </c>
      <c r="P68" s="71">
        <f t="shared" si="5"/>
        <v>0</v>
      </c>
      <c r="Q68" s="71" t="str">
        <f>'External Delivery Fulfillment'!L30</f>
        <v/>
      </c>
      <c r="R68" s="71">
        <f t="shared" si="6"/>
        <v>0</v>
      </c>
      <c r="S68" s="71" t="str">
        <f>'Forwarding From Client'!L30</f>
        <v/>
      </c>
      <c r="T68" s="71">
        <f t="shared" si="7"/>
        <v>0</v>
      </c>
      <c r="U68" s="71" t="str">
        <f>'Dala Restocking'!L30</f>
        <v/>
      </c>
      <c r="V68" s="71">
        <f t="shared" si="8"/>
        <v>0</v>
      </c>
      <c r="W68" s="71" t="str">
        <f>'Client Restocking'!L30</f>
        <v/>
      </c>
    </row>
    <row r="69">
      <c r="B69" s="66" t="s">
        <v>40</v>
      </c>
      <c r="C69" s="66"/>
      <c r="D69" s="66"/>
      <c r="E69" s="71"/>
      <c r="F69" s="112">
        <f t="shared" ref="F69:W69" si="9">sum(F40:F68)</f>
        <v>0</v>
      </c>
      <c r="G69" s="112">
        <f t="shared" si="9"/>
        <v>0</v>
      </c>
      <c r="H69" s="112">
        <f t="shared" si="9"/>
        <v>100</v>
      </c>
      <c r="I69" s="112">
        <f t="shared" si="9"/>
        <v>0</v>
      </c>
      <c r="J69" s="112">
        <f t="shared" si="9"/>
        <v>0</v>
      </c>
      <c r="K69" s="112">
        <f t="shared" si="9"/>
        <v>38.5</v>
      </c>
      <c r="L69" s="65">
        <f t="shared" si="9"/>
        <v>87.5</v>
      </c>
      <c r="M69" s="65">
        <f t="shared" si="9"/>
        <v>-49</v>
      </c>
      <c r="N69" s="71">
        <f t="shared" si="9"/>
        <v>-1753800</v>
      </c>
      <c r="O69" s="65">
        <f t="shared" si="9"/>
        <v>4.5</v>
      </c>
      <c r="P69" s="71">
        <f t="shared" si="9"/>
        <v>4325</v>
      </c>
      <c r="Q69" s="65">
        <f t="shared" si="9"/>
        <v>8</v>
      </c>
      <c r="R69" s="71">
        <f t="shared" si="9"/>
        <v>9025</v>
      </c>
      <c r="S69" s="65">
        <f t="shared" si="9"/>
        <v>0</v>
      </c>
      <c r="T69" s="71">
        <f t="shared" si="9"/>
        <v>0</v>
      </c>
      <c r="U69" s="65">
        <f t="shared" si="9"/>
        <v>0</v>
      </c>
      <c r="V69" s="71">
        <f t="shared" si="9"/>
        <v>0</v>
      </c>
      <c r="W69" s="65">
        <f t="shared" si="9"/>
        <v>0</v>
      </c>
    </row>
    <row r="70">
      <c r="C70" s="6" t="s">
        <v>107</v>
      </c>
      <c r="D70" s="6" t="s">
        <v>107</v>
      </c>
      <c r="E70" s="6" t="s">
        <v>107</v>
      </c>
      <c r="F70" s="6" t="s">
        <v>107</v>
      </c>
      <c r="G70" s="6" t="s">
        <v>107</v>
      </c>
      <c r="H70" s="6" t="s">
        <v>107</v>
      </c>
      <c r="I70" s="6" t="s">
        <v>107</v>
      </c>
      <c r="J70" s="6" t="s">
        <v>107</v>
      </c>
      <c r="K70" s="6" t="s">
        <v>107</v>
      </c>
      <c r="L70" s="6" t="s">
        <v>107</v>
      </c>
      <c r="M70" s="6" t="s">
        <v>107</v>
      </c>
      <c r="N70" s="6" t="s">
        <v>107</v>
      </c>
      <c r="O70" s="6" t="s">
        <v>107</v>
      </c>
      <c r="P70" s="6" t="s">
        <v>107</v>
      </c>
      <c r="Q70" s="6" t="s">
        <v>107</v>
      </c>
      <c r="R70" s="6" t="s">
        <v>107</v>
      </c>
      <c r="S70" s="6" t="s">
        <v>107</v>
      </c>
      <c r="T70" s="6" t="s">
        <v>107</v>
      </c>
      <c r="U70" s="6" t="s">
        <v>107</v>
      </c>
      <c r="V70" s="6" t="s">
        <v>107</v>
      </c>
      <c r="W70" s="6" t="s">
        <v>107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4"/>
      <c r="B1" s="64" t="s">
        <v>48</v>
      </c>
      <c r="C1" s="64" t="s">
        <v>35</v>
      </c>
      <c r="D1" s="64" t="s">
        <v>49</v>
      </c>
      <c r="E1" s="64" t="s">
        <v>50</v>
      </c>
      <c r="F1" s="75"/>
    </row>
    <row r="2">
      <c r="A2" s="76" t="s">
        <v>51</v>
      </c>
      <c r="B2" s="77" t="s">
        <v>33</v>
      </c>
      <c r="C2" s="78"/>
      <c r="D2" s="78"/>
      <c r="E2" s="80">
        <f>'Dala Sales &amp; Deliveries'!I1+'External Delivery Fulfillment'!I1+'Forwarding From Client'!I1</f>
        <v>8</v>
      </c>
      <c r="F2" s="75"/>
    </row>
    <row r="3">
      <c r="A3" s="81"/>
      <c r="B3" s="77" t="s">
        <v>52</v>
      </c>
      <c r="C3" s="78"/>
      <c r="D3" s="78"/>
      <c r="E3" s="80">
        <f>'Raw Data'!AX2</f>
        <v>7</v>
      </c>
      <c r="F3" s="75"/>
    </row>
    <row r="4">
      <c r="B4" s="82" t="s">
        <v>53</v>
      </c>
      <c r="C4" s="75"/>
      <c r="D4" s="75"/>
      <c r="E4" s="84">
        <f>'Dala Sales &amp; Deliveries'!I3</f>
        <v>173400</v>
      </c>
      <c r="F4" s="75"/>
    </row>
    <row r="5">
      <c r="B5" s="82" t="s">
        <v>54</v>
      </c>
      <c r="C5" s="75"/>
      <c r="D5" s="75"/>
      <c r="E5" s="84">
        <f>'External Delivery Fulfillment'!I3</f>
        <v>324300</v>
      </c>
      <c r="F5" s="75"/>
    </row>
    <row r="6">
      <c r="A6" s="89"/>
      <c r="B6" s="90" t="s">
        <v>56</v>
      </c>
      <c r="C6" s="91"/>
      <c r="D6" s="96"/>
      <c r="E6" s="92">
        <f>sum(E4:E5)</f>
        <v>497700</v>
      </c>
      <c r="F6" s="75"/>
    </row>
    <row r="7">
      <c r="A7" s="76" t="s">
        <v>57</v>
      </c>
      <c r="B7" s="77" t="s">
        <v>58</v>
      </c>
      <c r="C7" s="78"/>
      <c r="D7" s="93"/>
      <c r="E7" s="94"/>
    </row>
    <row r="8">
      <c r="A8" s="81"/>
      <c r="B8" s="77" t="s">
        <v>64</v>
      </c>
      <c r="C8" s="113">
        <v>0.07</v>
      </c>
      <c r="D8" s="93"/>
      <c r="E8" s="99">
        <f>E7*(C8+100%)-E7</f>
        <v>0</v>
      </c>
      <c r="K8" s="63"/>
      <c r="L8" s="63"/>
      <c r="M8" s="63"/>
      <c r="N8" s="63"/>
    </row>
    <row r="9">
      <c r="A9" s="89"/>
      <c r="B9" s="90" t="s">
        <v>59</v>
      </c>
      <c r="C9" s="95">
        <v>0.13</v>
      </c>
      <c r="D9" s="96"/>
      <c r="E9" s="92">
        <f>E7*(C9+100%)-E7</f>
        <v>0</v>
      </c>
      <c r="K9" s="63"/>
      <c r="L9" s="63"/>
      <c r="M9" s="63"/>
      <c r="N9" s="63"/>
    </row>
    <row r="10">
      <c r="A10" s="76" t="s">
        <v>62</v>
      </c>
      <c r="B10" s="77" t="s">
        <v>63</v>
      </c>
      <c r="C10" s="98">
        <v>2.0</v>
      </c>
      <c r="D10" s="99">
        <v>250000.0</v>
      </c>
      <c r="E10" s="99">
        <f>C10*D10</f>
        <v>500000</v>
      </c>
    </row>
    <row r="11">
      <c r="A11" s="81"/>
      <c r="B11" s="86" t="s">
        <v>108</v>
      </c>
      <c r="C11" s="78"/>
      <c r="D11" s="101"/>
      <c r="E11" s="99">
        <f>V67</f>
        <v>0</v>
      </c>
    </row>
    <row r="12">
      <c r="A12" s="81"/>
      <c r="B12" s="86" t="s">
        <v>79</v>
      </c>
      <c r="C12" s="78"/>
      <c r="D12" s="101"/>
      <c r="E12" s="99">
        <f>R67</f>
        <v>9025</v>
      </c>
    </row>
    <row r="13">
      <c r="A13" s="81"/>
      <c r="B13" s="77" t="s">
        <v>66</v>
      </c>
      <c r="C13" s="93"/>
      <c r="D13" s="93"/>
      <c r="E13" s="114">
        <v>0.0</v>
      </c>
    </row>
    <row r="14">
      <c r="A14" s="81"/>
      <c r="B14" s="77" t="s">
        <v>67</v>
      </c>
      <c r="C14" s="93"/>
      <c r="D14" s="93"/>
      <c r="E14" s="99">
        <f>C28</f>
        <v>0</v>
      </c>
    </row>
    <row r="15">
      <c r="A15" s="89"/>
      <c r="B15" s="90" t="s">
        <v>109</v>
      </c>
      <c r="C15" s="96"/>
      <c r="D15" s="96"/>
      <c r="E15" s="92">
        <f>sum(E10:E14)</f>
        <v>509025</v>
      </c>
    </row>
    <row r="16">
      <c r="A16" s="104"/>
      <c r="B16" s="104"/>
      <c r="C16" s="104"/>
      <c r="D16" s="104"/>
      <c r="E16" s="104"/>
      <c r="H16" s="103"/>
      <c r="I16" s="103"/>
      <c r="J16" s="103"/>
      <c r="K16" s="103"/>
      <c r="L16" s="103"/>
      <c r="M16" s="103"/>
      <c r="N16" s="103"/>
      <c r="O16" s="103"/>
    </row>
    <row r="17">
      <c r="A17" s="1"/>
      <c r="B17" s="104"/>
      <c r="C17" s="104"/>
      <c r="D17" s="104"/>
      <c r="E17" s="104"/>
      <c r="H17" s="103"/>
      <c r="I17" s="103"/>
      <c r="J17" s="103"/>
      <c r="K17" s="103"/>
      <c r="L17" s="103"/>
      <c r="M17" s="103"/>
      <c r="N17" s="103"/>
      <c r="O17" s="103"/>
    </row>
    <row r="18">
      <c r="A18" s="1" t="s">
        <v>71</v>
      </c>
      <c r="B18" s="104"/>
      <c r="C18" s="104"/>
      <c r="D18" s="104"/>
      <c r="E18" s="104"/>
      <c r="H18" s="103"/>
      <c r="I18" s="103"/>
      <c r="J18" s="103"/>
      <c r="K18" s="103"/>
      <c r="L18" s="103"/>
      <c r="M18" s="103"/>
      <c r="N18" s="103"/>
      <c r="O18" s="103"/>
    </row>
    <row r="19">
      <c r="A19" s="104"/>
      <c r="B19" s="64" t="s">
        <v>72</v>
      </c>
      <c r="C19" s="105">
        <f>U67</f>
        <v>0</v>
      </c>
      <c r="D19" s="104"/>
      <c r="H19" s="115"/>
      <c r="I19" s="106"/>
      <c r="J19" s="106"/>
      <c r="K19" s="106"/>
      <c r="L19" s="106"/>
      <c r="M19" s="107"/>
      <c r="N19" s="103"/>
      <c r="O19" s="103"/>
    </row>
    <row r="20">
      <c r="A20" s="104"/>
      <c r="B20" s="64" t="s">
        <v>73</v>
      </c>
      <c r="C20" s="105">
        <f>V67</f>
        <v>0</v>
      </c>
      <c r="D20" s="104"/>
      <c r="H20" s="115"/>
      <c r="I20" s="106"/>
      <c r="J20" s="106"/>
      <c r="K20" s="106"/>
      <c r="L20" s="106"/>
      <c r="M20" s="107"/>
      <c r="N20" s="103"/>
      <c r="O20" s="103"/>
    </row>
    <row r="21">
      <c r="A21" s="104"/>
      <c r="B21" s="64" t="s">
        <v>74</v>
      </c>
      <c r="C21" s="105">
        <f>S67</f>
        <v>0</v>
      </c>
      <c r="D21" s="104"/>
      <c r="H21" s="115"/>
      <c r="I21" s="106"/>
      <c r="J21" s="106"/>
      <c r="K21" s="106"/>
      <c r="L21" s="106"/>
      <c r="M21" s="107"/>
      <c r="N21" s="103"/>
      <c r="O21" s="103"/>
    </row>
    <row r="22">
      <c r="A22" s="104"/>
      <c r="B22" s="64" t="s">
        <v>75</v>
      </c>
      <c r="C22" s="105">
        <f>T67</f>
        <v>0</v>
      </c>
      <c r="D22" s="104"/>
      <c r="H22" s="115"/>
      <c r="I22" s="106"/>
      <c r="J22" s="106"/>
      <c r="K22" s="106"/>
      <c r="L22" s="106"/>
      <c r="M22" s="107"/>
      <c r="N22" s="103"/>
      <c r="O22" s="103"/>
    </row>
    <row r="23">
      <c r="A23" s="104"/>
      <c r="B23" s="64" t="s">
        <v>76</v>
      </c>
      <c r="C23" s="105">
        <f>O67</f>
        <v>4.5</v>
      </c>
      <c r="D23" s="104"/>
      <c r="H23" s="115"/>
      <c r="I23" s="106"/>
      <c r="J23" s="106"/>
      <c r="K23" s="106"/>
      <c r="L23" s="106"/>
      <c r="M23" s="107"/>
      <c r="N23" s="103"/>
      <c r="O23" s="103"/>
    </row>
    <row r="24">
      <c r="A24" s="104"/>
      <c r="B24" s="64" t="s">
        <v>77</v>
      </c>
      <c r="C24" s="105">
        <f>P67</f>
        <v>4325</v>
      </c>
      <c r="D24" s="104"/>
      <c r="H24" s="115"/>
      <c r="I24" s="106"/>
      <c r="J24" s="106"/>
      <c r="K24" s="106"/>
      <c r="L24" s="106"/>
      <c r="M24" s="107"/>
      <c r="N24" s="103"/>
      <c r="O24" s="103"/>
    </row>
    <row r="25">
      <c r="A25" s="104"/>
      <c r="B25" s="64" t="s">
        <v>78</v>
      </c>
      <c r="C25" s="105">
        <f>Q67</f>
        <v>8</v>
      </c>
      <c r="D25" s="104"/>
      <c r="H25" s="115"/>
      <c r="I25" s="106"/>
      <c r="J25" s="106"/>
      <c r="K25" s="106"/>
      <c r="L25" s="106"/>
      <c r="M25" s="107"/>
      <c r="N25" s="103"/>
      <c r="O25" s="103"/>
    </row>
    <row r="26">
      <c r="A26" s="104"/>
      <c r="B26" s="64" t="s">
        <v>79</v>
      </c>
      <c r="C26" s="105">
        <f>R67</f>
        <v>9025</v>
      </c>
      <c r="D26" s="104"/>
    </row>
    <row r="27">
      <c r="A27" s="104"/>
      <c r="B27" s="64" t="s">
        <v>80</v>
      </c>
      <c r="C27" s="105">
        <f>F67</f>
        <v>0</v>
      </c>
      <c r="D27" s="104"/>
    </row>
    <row r="28">
      <c r="A28" s="104"/>
      <c r="B28" s="64" t="s">
        <v>81</v>
      </c>
      <c r="C28" s="105">
        <f>G67</f>
        <v>0</v>
      </c>
      <c r="D28" s="104"/>
    </row>
    <row r="29">
      <c r="A29" s="104"/>
      <c r="B29" s="64" t="s">
        <v>82</v>
      </c>
      <c r="C29" s="105">
        <f>I67</f>
        <v>0</v>
      </c>
      <c r="D29" s="104"/>
    </row>
    <row r="30">
      <c r="A30" s="104"/>
      <c r="B30" s="64" t="s">
        <v>110</v>
      </c>
      <c r="C30" s="105">
        <f>J67</f>
        <v>0</v>
      </c>
      <c r="D30" s="104"/>
    </row>
    <row r="31">
      <c r="A31" s="104"/>
      <c r="B31" s="64" t="s">
        <v>84</v>
      </c>
      <c r="C31" s="105">
        <f>L67</f>
        <v>-12.5</v>
      </c>
      <c r="D31" s="104"/>
    </row>
    <row r="32">
      <c r="A32" s="104"/>
      <c r="B32" s="64" t="s">
        <v>85</v>
      </c>
      <c r="C32" s="105">
        <f>K67</f>
        <v>17</v>
      </c>
      <c r="D32" s="104"/>
    </row>
    <row r="33">
      <c r="A33" s="104"/>
      <c r="B33" s="64" t="s">
        <v>86</v>
      </c>
      <c r="C33" s="105">
        <f>M67</f>
        <v>29.5</v>
      </c>
      <c r="D33" s="104"/>
    </row>
    <row r="34">
      <c r="A34" s="104"/>
      <c r="B34" s="64" t="s">
        <v>87</v>
      </c>
      <c r="C34" s="105">
        <f>-N67</f>
        <v>-1086900</v>
      </c>
      <c r="D34" s="104"/>
    </row>
    <row r="36">
      <c r="A36" s="116"/>
    </row>
    <row r="37">
      <c r="A37" s="101"/>
      <c r="B37" s="117" t="s">
        <v>88</v>
      </c>
      <c r="C37" s="64" t="s">
        <v>89</v>
      </c>
      <c r="D37" s="64" t="s">
        <v>90</v>
      </c>
      <c r="E37" s="64" t="s">
        <v>91</v>
      </c>
      <c r="F37" s="66" t="s">
        <v>92</v>
      </c>
      <c r="G37" s="66" t="s">
        <v>93</v>
      </c>
      <c r="H37" s="66" t="s">
        <v>94</v>
      </c>
      <c r="I37" s="66" t="s">
        <v>95</v>
      </c>
      <c r="J37" s="66" t="s">
        <v>96</v>
      </c>
      <c r="K37" s="66" t="s">
        <v>97</v>
      </c>
      <c r="L37" s="66" t="s">
        <v>84</v>
      </c>
      <c r="M37" s="66" t="s">
        <v>86</v>
      </c>
      <c r="N37" s="66" t="s">
        <v>98</v>
      </c>
      <c r="O37" s="66" t="s">
        <v>76</v>
      </c>
      <c r="P37" s="66" t="s">
        <v>100</v>
      </c>
      <c r="Q37" s="66" t="s">
        <v>101</v>
      </c>
      <c r="R37" s="66" t="s">
        <v>102</v>
      </c>
      <c r="S37" s="66" t="s">
        <v>103</v>
      </c>
      <c r="T37" s="66" t="s">
        <v>75</v>
      </c>
      <c r="U37" s="66" t="s">
        <v>104</v>
      </c>
      <c r="V37" s="66" t="s">
        <v>105</v>
      </c>
      <c r="W37" s="66" t="s">
        <v>106</v>
      </c>
    </row>
    <row r="38">
      <c r="A38" s="118"/>
      <c r="B38" s="119" t="str">
        <f>'Internal Summary'!B40</f>
        <v>500g Toddler Protein (12x)</v>
      </c>
      <c r="C38" s="65">
        <f>'Internal Summary'!C40</f>
        <v>42000</v>
      </c>
      <c r="D38" s="65">
        <f>'Internal Summary'!D40</f>
        <v>600</v>
      </c>
      <c r="E38" s="65">
        <f>'Internal Summary'!E40</f>
        <v>1250</v>
      </c>
      <c r="F38" s="110"/>
      <c r="G38" s="65">
        <f t="shared" ref="G38:G66" si="1">F38*C38</f>
        <v>0</v>
      </c>
      <c r="H38" s="110"/>
      <c r="I38" s="110"/>
      <c r="J38" s="110"/>
      <c r="K38" s="109">
        <v>1.0</v>
      </c>
      <c r="L38" s="120">
        <f t="shared" ref="L38:L66" si="2">H38+U38+W38-O38-Q38-I38-J38</f>
        <v>-9</v>
      </c>
      <c r="M38" s="65">
        <f t="shared" ref="M38:M66" si="3">K38-L38</f>
        <v>10</v>
      </c>
      <c r="N38" s="65">
        <f t="shared" ref="N38:N66" si="4">M38*C38</f>
        <v>420000</v>
      </c>
      <c r="O38" s="65">
        <f>'Dala Sales &amp; Deliveries'!L2</f>
        <v>2.5</v>
      </c>
      <c r="P38" s="65">
        <f t="shared" ref="P38:P66" si="5">O38*E38</f>
        <v>3125</v>
      </c>
      <c r="Q38" s="65">
        <f>'External Delivery Fulfillment'!L2</f>
        <v>6.5</v>
      </c>
      <c r="R38" s="65">
        <f t="shared" ref="R38:R66" si="6">Q38*E38</f>
        <v>8125</v>
      </c>
      <c r="S38" s="65">
        <f>'Forwarding From Client'!L2</f>
        <v>0</v>
      </c>
      <c r="T38" s="65">
        <f t="shared" ref="T38:T66" si="7">S38*E38</f>
        <v>0</v>
      </c>
      <c r="U38" s="65">
        <f>'Dala Restocking'!L2</f>
        <v>0</v>
      </c>
      <c r="V38" s="65">
        <f t="shared" ref="V38:V66" si="8">U38*D38</f>
        <v>0</v>
      </c>
      <c r="W38" s="65">
        <f>'Client Restocking'!L2</f>
        <v>0</v>
      </c>
    </row>
    <row r="39">
      <c r="A39" s="118"/>
      <c r="B39" s="119" t="str">
        <f>'Internal Summary'!B41</f>
        <v>56g Lemongrass Tea (12x)</v>
      </c>
      <c r="C39" s="65">
        <f>'Internal Summary'!C41</f>
        <v>34200</v>
      </c>
      <c r="D39" s="65">
        <f>'Internal Summary'!D41</f>
        <v>350</v>
      </c>
      <c r="E39" s="65">
        <f>'Internal Summary'!E41</f>
        <v>600</v>
      </c>
      <c r="F39" s="121"/>
      <c r="G39" s="65">
        <f t="shared" si="1"/>
        <v>0</v>
      </c>
      <c r="H39" s="121"/>
      <c r="I39" s="110"/>
      <c r="J39" s="121"/>
      <c r="K39" s="109">
        <v>9.5</v>
      </c>
      <c r="L39" s="120">
        <f t="shared" si="2"/>
        <v>-1.5</v>
      </c>
      <c r="M39" s="65">
        <f t="shared" si="3"/>
        <v>11</v>
      </c>
      <c r="N39" s="65">
        <f t="shared" si="4"/>
        <v>376200</v>
      </c>
      <c r="O39" s="65">
        <f>'Dala Sales &amp; Deliveries'!L3</f>
        <v>1</v>
      </c>
      <c r="P39" s="65">
        <f t="shared" si="5"/>
        <v>600</v>
      </c>
      <c r="Q39" s="65">
        <f>'External Delivery Fulfillment'!L3</f>
        <v>0.5</v>
      </c>
      <c r="R39" s="65">
        <f t="shared" si="6"/>
        <v>300</v>
      </c>
      <c r="S39" s="65">
        <f>'Forwarding From Client'!L3</f>
        <v>0</v>
      </c>
      <c r="T39" s="65">
        <f t="shared" si="7"/>
        <v>0</v>
      </c>
      <c r="U39" s="65">
        <f>'Dala Restocking'!L3</f>
        <v>0</v>
      </c>
      <c r="V39" s="65">
        <f t="shared" si="8"/>
        <v>0</v>
      </c>
      <c r="W39" s="65">
        <f>'Client Restocking'!L3</f>
        <v>0</v>
      </c>
    </row>
    <row r="40">
      <c r="A40" s="118"/>
      <c r="B40" s="119" t="str">
        <f>'Internal Summary'!B42</f>
        <v>56g Moringa Tea (12x)</v>
      </c>
      <c r="C40" s="65">
        <f>'Internal Summary'!C42</f>
        <v>34200</v>
      </c>
      <c r="D40" s="65">
        <f>'Internal Summary'!D42</f>
        <v>350</v>
      </c>
      <c r="E40" s="65">
        <f>'Internal Summary'!E42</f>
        <v>600</v>
      </c>
      <c r="F40" s="121"/>
      <c r="G40" s="65">
        <f t="shared" si="1"/>
        <v>0</v>
      </c>
      <c r="H40" s="121"/>
      <c r="I40" s="110"/>
      <c r="J40" s="121"/>
      <c r="K40" s="109">
        <v>4.0</v>
      </c>
      <c r="L40" s="120">
        <f t="shared" si="2"/>
        <v>-1</v>
      </c>
      <c r="M40" s="65">
        <f t="shared" si="3"/>
        <v>5</v>
      </c>
      <c r="N40" s="65">
        <f t="shared" si="4"/>
        <v>171000</v>
      </c>
      <c r="O40" s="65">
        <f>'Dala Sales &amp; Deliveries'!L4</f>
        <v>1</v>
      </c>
      <c r="P40" s="65">
        <f t="shared" si="5"/>
        <v>600</v>
      </c>
      <c r="Q40" s="65">
        <f>'External Delivery Fulfillment'!L4</f>
        <v>0</v>
      </c>
      <c r="R40" s="65">
        <f t="shared" si="6"/>
        <v>0</v>
      </c>
      <c r="S40" s="65">
        <f>'Forwarding From Client'!L4</f>
        <v>0</v>
      </c>
      <c r="T40" s="65">
        <f t="shared" si="7"/>
        <v>0</v>
      </c>
      <c r="U40" s="65">
        <f>'Dala Restocking'!L4</f>
        <v>0</v>
      </c>
      <c r="V40" s="65">
        <f t="shared" si="8"/>
        <v>0</v>
      </c>
      <c r="W40" s="65">
        <f>'Client Restocking'!L4</f>
        <v>0</v>
      </c>
    </row>
    <row r="41">
      <c r="A41" s="118"/>
      <c r="B41" s="119" t="str">
        <f>'Internal Summary'!B43</f>
        <v>56g Soursop Tea (12x)</v>
      </c>
      <c r="C41" s="65">
        <f>'Internal Summary'!C43</f>
        <v>34200</v>
      </c>
      <c r="D41" s="65">
        <f>'Internal Summary'!D43</f>
        <v>350</v>
      </c>
      <c r="E41" s="65">
        <f>'Internal Summary'!E43</f>
        <v>600</v>
      </c>
      <c r="F41" s="121"/>
      <c r="G41" s="65">
        <f t="shared" si="1"/>
        <v>0</v>
      </c>
      <c r="H41" s="121"/>
      <c r="I41" s="110"/>
      <c r="J41" s="121"/>
      <c r="K41" s="109">
        <v>2.5</v>
      </c>
      <c r="L41" s="120">
        <f t="shared" si="2"/>
        <v>-1</v>
      </c>
      <c r="M41" s="65">
        <f t="shared" si="3"/>
        <v>3.5</v>
      </c>
      <c r="N41" s="65">
        <f t="shared" si="4"/>
        <v>119700</v>
      </c>
      <c r="O41" s="65">
        <f>'Dala Sales &amp; Deliveries'!L5</f>
        <v>0</v>
      </c>
      <c r="P41" s="65">
        <f t="shared" si="5"/>
        <v>0</v>
      </c>
      <c r="Q41" s="65">
        <f>'External Delivery Fulfillment'!L5</f>
        <v>1</v>
      </c>
      <c r="R41" s="65">
        <f t="shared" si="6"/>
        <v>600</v>
      </c>
      <c r="S41" s="65">
        <f>'Forwarding From Client'!L5</f>
        <v>0</v>
      </c>
      <c r="T41" s="65">
        <f t="shared" si="7"/>
        <v>0</v>
      </c>
      <c r="U41" s="65">
        <f>'Dala Restocking'!L5</f>
        <v>0</v>
      </c>
      <c r="V41" s="65">
        <f t="shared" si="8"/>
        <v>0</v>
      </c>
      <c r="W41" s="65">
        <f>'Client Restocking'!L5</f>
        <v>0</v>
      </c>
    </row>
    <row r="42">
      <c r="A42" s="118"/>
      <c r="B42" s="119" t="str">
        <f>'Internal Summary'!B44</f>
        <v/>
      </c>
      <c r="C42" s="65" t="str">
        <f>'Internal Summary'!C44</f>
        <v/>
      </c>
      <c r="D42" s="65" t="str">
        <f>'Internal Summary'!D44</f>
        <v/>
      </c>
      <c r="E42" s="65" t="str">
        <f>'Internal Summary'!E44</f>
        <v/>
      </c>
      <c r="F42" s="121"/>
      <c r="G42" s="65">
        <f t="shared" si="1"/>
        <v>0</v>
      </c>
      <c r="H42" s="121"/>
      <c r="I42" s="121"/>
      <c r="J42" s="121"/>
      <c r="K42" s="110"/>
      <c r="L42" s="120">
        <f t="shared" si="2"/>
        <v>0</v>
      </c>
      <c r="M42" s="65">
        <f t="shared" si="3"/>
        <v>0</v>
      </c>
      <c r="N42" s="65">
        <f t="shared" si="4"/>
        <v>0</v>
      </c>
      <c r="O42" s="65">
        <f>'Dala Sales &amp; Deliveries'!L6</f>
        <v>0</v>
      </c>
      <c r="P42" s="65">
        <f t="shared" si="5"/>
        <v>0</v>
      </c>
      <c r="Q42" s="65">
        <f>'External Delivery Fulfillment'!L6</f>
        <v>0</v>
      </c>
      <c r="R42" s="65">
        <f t="shared" si="6"/>
        <v>0</v>
      </c>
      <c r="S42" s="65">
        <f>'Forwarding From Client'!L6</f>
        <v>0</v>
      </c>
      <c r="T42" s="65">
        <f t="shared" si="7"/>
        <v>0</v>
      </c>
      <c r="U42" s="65">
        <f>'Dala Restocking'!L6</f>
        <v>0</v>
      </c>
      <c r="V42" s="65">
        <f t="shared" si="8"/>
        <v>0</v>
      </c>
      <c r="W42" s="65">
        <f>'Client Restocking'!L6</f>
        <v>0</v>
      </c>
    </row>
    <row r="43">
      <c r="A43" s="118"/>
      <c r="B43" s="119" t="str">
        <f>'Internal Summary'!B45</f>
        <v/>
      </c>
      <c r="C43" s="65" t="str">
        <f>'Internal Summary'!C45</f>
        <v/>
      </c>
      <c r="D43" s="65" t="str">
        <f>'Internal Summary'!D45</f>
        <v/>
      </c>
      <c r="E43" s="65" t="str">
        <f>'Internal Summary'!E45</f>
        <v/>
      </c>
      <c r="F43" s="121"/>
      <c r="G43" s="65">
        <f t="shared" si="1"/>
        <v>0</v>
      </c>
      <c r="H43" s="121"/>
      <c r="I43" s="121"/>
      <c r="J43" s="121"/>
      <c r="K43" s="110"/>
      <c r="L43" s="120">
        <f t="shared" si="2"/>
        <v>0</v>
      </c>
      <c r="M43" s="65">
        <f t="shared" si="3"/>
        <v>0</v>
      </c>
      <c r="N43" s="65">
        <f t="shared" si="4"/>
        <v>0</v>
      </c>
      <c r="O43" s="65">
        <f>'Dala Sales &amp; Deliveries'!L7</f>
        <v>0</v>
      </c>
      <c r="P43" s="65">
        <f t="shared" si="5"/>
        <v>0</v>
      </c>
      <c r="Q43" s="65">
        <f>'External Delivery Fulfillment'!L7</f>
        <v>0</v>
      </c>
      <c r="R43" s="65">
        <f t="shared" si="6"/>
        <v>0</v>
      </c>
      <c r="S43" s="65">
        <f>'Forwarding From Client'!L7</f>
        <v>0</v>
      </c>
      <c r="T43" s="65">
        <f t="shared" si="7"/>
        <v>0</v>
      </c>
      <c r="U43" s="65">
        <f>'Dala Restocking'!L7</f>
        <v>0</v>
      </c>
      <c r="V43" s="65">
        <f t="shared" si="8"/>
        <v>0</v>
      </c>
      <c r="W43" s="65">
        <f>'Client Restocking'!L7</f>
        <v>0</v>
      </c>
    </row>
    <row r="44">
      <c r="A44" s="118"/>
      <c r="B44" s="119" t="str">
        <f>'Internal Summary'!B46</f>
        <v/>
      </c>
      <c r="C44" s="65" t="str">
        <f>'Internal Summary'!C46</f>
        <v/>
      </c>
      <c r="D44" s="65" t="str">
        <f>'Internal Summary'!D46</f>
        <v/>
      </c>
      <c r="E44" s="65" t="str">
        <f>'Internal Summary'!E46</f>
        <v/>
      </c>
      <c r="F44" s="121"/>
      <c r="G44" s="65">
        <f t="shared" si="1"/>
        <v>0</v>
      </c>
      <c r="H44" s="121"/>
      <c r="I44" s="121"/>
      <c r="J44" s="121"/>
      <c r="K44" s="110"/>
      <c r="L44" s="120">
        <f t="shared" si="2"/>
        <v>0</v>
      </c>
      <c r="M44" s="65">
        <f t="shared" si="3"/>
        <v>0</v>
      </c>
      <c r="N44" s="65">
        <f t="shared" si="4"/>
        <v>0</v>
      </c>
      <c r="O44" s="65">
        <f>'Dala Sales &amp; Deliveries'!L8</f>
        <v>0</v>
      </c>
      <c r="P44" s="65">
        <f t="shared" si="5"/>
        <v>0</v>
      </c>
      <c r="Q44" s="65">
        <f>'External Delivery Fulfillment'!L8</f>
        <v>0</v>
      </c>
      <c r="R44" s="65">
        <f t="shared" si="6"/>
        <v>0</v>
      </c>
      <c r="S44" s="65">
        <f>'Forwarding From Client'!L8</f>
        <v>0</v>
      </c>
      <c r="T44" s="65">
        <f t="shared" si="7"/>
        <v>0</v>
      </c>
      <c r="U44" s="65">
        <f>'Dala Restocking'!L8</f>
        <v>0</v>
      </c>
      <c r="V44" s="65">
        <f t="shared" si="8"/>
        <v>0</v>
      </c>
      <c r="W44" s="65">
        <f>'Client Restocking'!L8</f>
        <v>0</v>
      </c>
    </row>
    <row r="45">
      <c r="A45" s="118"/>
      <c r="B45" s="119" t="str">
        <f>'Internal Summary'!B47</f>
        <v/>
      </c>
      <c r="C45" s="65" t="str">
        <f>'Internal Summary'!C47</f>
        <v/>
      </c>
      <c r="D45" s="65" t="str">
        <f>'Internal Summary'!D47</f>
        <v/>
      </c>
      <c r="E45" s="65" t="str">
        <f>'Internal Summary'!E47</f>
        <v/>
      </c>
      <c r="F45" s="121"/>
      <c r="G45" s="65">
        <f t="shared" si="1"/>
        <v>0</v>
      </c>
      <c r="H45" s="121"/>
      <c r="I45" s="121"/>
      <c r="J45" s="121"/>
      <c r="K45" s="110"/>
      <c r="L45" s="120">
        <f t="shared" si="2"/>
        <v>0</v>
      </c>
      <c r="M45" s="65">
        <f t="shared" si="3"/>
        <v>0</v>
      </c>
      <c r="N45" s="65">
        <f t="shared" si="4"/>
        <v>0</v>
      </c>
      <c r="O45" s="65">
        <f>'Dala Sales &amp; Deliveries'!L9</f>
        <v>0</v>
      </c>
      <c r="P45" s="65">
        <f t="shared" si="5"/>
        <v>0</v>
      </c>
      <c r="Q45" s="65">
        <f>'External Delivery Fulfillment'!L9</f>
        <v>0</v>
      </c>
      <c r="R45" s="65">
        <f t="shared" si="6"/>
        <v>0</v>
      </c>
      <c r="S45" s="65">
        <f>'Forwarding From Client'!L9</f>
        <v>0</v>
      </c>
      <c r="T45" s="65">
        <f t="shared" si="7"/>
        <v>0</v>
      </c>
      <c r="U45" s="65">
        <f>'Dala Restocking'!L9</f>
        <v>0</v>
      </c>
      <c r="V45" s="65">
        <f t="shared" si="8"/>
        <v>0</v>
      </c>
      <c r="W45" s="65">
        <f>'Client Restocking'!L9</f>
        <v>0</v>
      </c>
    </row>
    <row r="46">
      <c r="A46" s="118"/>
      <c r="B46" s="119" t="str">
        <f>'Internal Summary'!B48</f>
        <v/>
      </c>
      <c r="C46" s="65" t="str">
        <f>'Internal Summary'!C48</f>
        <v/>
      </c>
      <c r="D46" s="65" t="str">
        <f>'Internal Summary'!D48</f>
        <v/>
      </c>
      <c r="E46" s="65" t="str">
        <f>'Internal Summary'!E48</f>
        <v/>
      </c>
      <c r="F46" s="121"/>
      <c r="G46" s="65">
        <f t="shared" si="1"/>
        <v>0</v>
      </c>
      <c r="H46" s="121"/>
      <c r="I46" s="121"/>
      <c r="J46" s="121"/>
      <c r="K46" s="110"/>
      <c r="L46" s="120">
        <f t="shared" si="2"/>
        <v>0</v>
      </c>
      <c r="M46" s="65">
        <f t="shared" si="3"/>
        <v>0</v>
      </c>
      <c r="N46" s="65">
        <f t="shared" si="4"/>
        <v>0</v>
      </c>
      <c r="O46" s="65">
        <f>'Dala Sales &amp; Deliveries'!L10</f>
        <v>0</v>
      </c>
      <c r="P46" s="65">
        <f t="shared" si="5"/>
        <v>0</v>
      </c>
      <c r="Q46" s="65">
        <f>'External Delivery Fulfillment'!L10</f>
        <v>0</v>
      </c>
      <c r="R46" s="65">
        <f t="shared" si="6"/>
        <v>0</v>
      </c>
      <c r="S46" s="65">
        <f>'Forwarding From Client'!L10</f>
        <v>0</v>
      </c>
      <c r="T46" s="65">
        <f t="shared" si="7"/>
        <v>0</v>
      </c>
      <c r="U46" s="65">
        <f>'Dala Restocking'!L10</f>
        <v>0</v>
      </c>
      <c r="V46" s="65">
        <f t="shared" si="8"/>
        <v>0</v>
      </c>
      <c r="W46" s="65">
        <f>'Client Restocking'!L10</f>
        <v>0</v>
      </c>
    </row>
    <row r="47">
      <c r="A47" s="118"/>
      <c r="B47" s="119" t="str">
        <f>'Internal Summary'!B49</f>
        <v/>
      </c>
      <c r="C47" s="65" t="str">
        <f>'Internal Summary'!C49</f>
        <v/>
      </c>
      <c r="D47" s="65" t="str">
        <f>'Internal Summary'!D49</f>
        <v/>
      </c>
      <c r="E47" s="65" t="str">
        <f>'Internal Summary'!E49</f>
        <v/>
      </c>
      <c r="F47" s="121"/>
      <c r="G47" s="65">
        <f t="shared" si="1"/>
        <v>0</v>
      </c>
      <c r="H47" s="121"/>
      <c r="I47" s="121"/>
      <c r="J47" s="121"/>
      <c r="K47" s="110"/>
      <c r="L47" s="120">
        <f t="shared" si="2"/>
        <v>0</v>
      </c>
      <c r="M47" s="65">
        <f t="shared" si="3"/>
        <v>0</v>
      </c>
      <c r="N47" s="65">
        <f t="shared" si="4"/>
        <v>0</v>
      </c>
      <c r="O47" s="65">
        <f>'Dala Sales &amp; Deliveries'!L11</f>
        <v>0</v>
      </c>
      <c r="P47" s="65">
        <f t="shared" si="5"/>
        <v>0</v>
      </c>
      <c r="Q47" s="65">
        <f>'External Delivery Fulfillment'!L11</f>
        <v>0</v>
      </c>
      <c r="R47" s="65">
        <f t="shared" si="6"/>
        <v>0</v>
      </c>
      <c r="S47" s="65">
        <f>'Forwarding From Client'!L11</f>
        <v>0</v>
      </c>
      <c r="T47" s="65">
        <f t="shared" si="7"/>
        <v>0</v>
      </c>
      <c r="U47" s="65">
        <f>'Dala Restocking'!L11</f>
        <v>0</v>
      </c>
      <c r="V47" s="65">
        <f t="shared" si="8"/>
        <v>0</v>
      </c>
      <c r="W47" s="65">
        <f>'Client Restocking'!L11</f>
        <v>0</v>
      </c>
    </row>
    <row r="48">
      <c r="A48" s="118"/>
      <c r="B48" s="119" t="str">
        <f>'Internal Summary'!B50</f>
        <v/>
      </c>
      <c r="C48" s="65" t="str">
        <f>'Internal Summary'!C50</f>
        <v/>
      </c>
      <c r="D48" s="65" t="str">
        <f>'Internal Summary'!D50</f>
        <v/>
      </c>
      <c r="E48" s="65" t="str">
        <f>'Internal Summary'!E50</f>
        <v/>
      </c>
      <c r="F48" s="121"/>
      <c r="G48" s="65">
        <f t="shared" si="1"/>
        <v>0</v>
      </c>
      <c r="H48" s="121"/>
      <c r="I48" s="121"/>
      <c r="J48" s="121"/>
      <c r="K48" s="110"/>
      <c r="L48" s="120">
        <f t="shared" si="2"/>
        <v>0</v>
      </c>
      <c r="M48" s="65">
        <f t="shared" si="3"/>
        <v>0</v>
      </c>
      <c r="N48" s="65">
        <f t="shared" si="4"/>
        <v>0</v>
      </c>
      <c r="O48" s="65">
        <f>'Dala Sales &amp; Deliveries'!L12</f>
        <v>0</v>
      </c>
      <c r="P48" s="65">
        <f t="shared" si="5"/>
        <v>0</v>
      </c>
      <c r="Q48" s="65">
        <f>'External Delivery Fulfillment'!L12</f>
        <v>0</v>
      </c>
      <c r="R48" s="65">
        <f t="shared" si="6"/>
        <v>0</v>
      </c>
      <c r="S48" s="65">
        <f>'Forwarding From Client'!L12</f>
        <v>0</v>
      </c>
      <c r="T48" s="65">
        <f t="shared" si="7"/>
        <v>0</v>
      </c>
      <c r="U48" s="65">
        <f>'Dala Restocking'!L12</f>
        <v>0</v>
      </c>
      <c r="V48" s="65">
        <f t="shared" si="8"/>
        <v>0</v>
      </c>
      <c r="W48" s="65">
        <f>'Client Restocking'!L12</f>
        <v>0</v>
      </c>
    </row>
    <row r="49">
      <c r="A49" s="118"/>
      <c r="B49" s="119" t="str">
        <f>'Internal Summary'!B51</f>
        <v/>
      </c>
      <c r="C49" s="65" t="str">
        <f>'Internal Summary'!C51</f>
        <v/>
      </c>
      <c r="D49" s="65" t="str">
        <f>'Internal Summary'!D51</f>
        <v/>
      </c>
      <c r="E49" s="65" t="str">
        <f>'Internal Summary'!E51</f>
        <v/>
      </c>
      <c r="F49" s="121"/>
      <c r="G49" s="65">
        <f t="shared" si="1"/>
        <v>0</v>
      </c>
      <c r="H49" s="121"/>
      <c r="I49" s="121"/>
      <c r="J49" s="121"/>
      <c r="K49" s="110"/>
      <c r="L49" s="120">
        <f t="shared" si="2"/>
        <v>0</v>
      </c>
      <c r="M49" s="65">
        <f t="shared" si="3"/>
        <v>0</v>
      </c>
      <c r="N49" s="65">
        <f t="shared" si="4"/>
        <v>0</v>
      </c>
      <c r="O49" s="65">
        <f>'Dala Sales &amp; Deliveries'!L13</f>
        <v>0</v>
      </c>
      <c r="P49" s="65">
        <f t="shared" si="5"/>
        <v>0</v>
      </c>
      <c r="Q49" s="65">
        <f>'External Delivery Fulfillment'!L13</f>
        <v>0</v>
      </c>
      <c r="R49" s="65">
        <f t="shared" si="6"/>
        <v>0</v>
      </c>
      <c r="S49" s="65">
        <f>'Forwarding From Client'!L13</f>
        <v>0</v>
      </c>
      <c r="T49" s="65">
        <f t="shared" si="7"/>
        <v>0</v>
      </c>
      <c r="U49" s="65">
        <f>'Dala Restocking'!L13</f>
        <v>0</v>
      </c>
      <c r="V49" s="65">
        <f t="shared" si="8"/>
        <v>0</v>
      </c>
      <c r="W49" s="65">
        <f>'Client Restocking'!L13</f>
        <v>0</v>
      </c>
    </row>
    <row r="50">
      <c r="B50" s="71" t="str">
        <f>'Internal Summary'!B52</f>
        <v/>
      </c>
      <c r="C50" s="65" t="str">
        <f>'Internal Summary'!C52</f>
        <v/>
      </c>
      <c r="D50" s="65" t="str">
        <f>'Internal Summary'!D52</f>
        <v/>
      </c>
      <c r="E50" s="65" t="str">
        <f>'Internal Summary'!E52</f>
        <v/>
      </c>
      <c r="F50" s="121"/>
      <c r="G50" s="65">
        <f t="shared" si="1"/>
        <v>0</v>
      </c>
      <c r="H50" s="121"/>
      <c r="I50" s="121"/>
      <c r="J50" s="121"/>
      <c r="K50" s="121"/>
      <c r="L50" s="120">
        <f t="shared" si="2"/>
        <v>0</v>
      </c>
      <c r="M50" s="65">
        <f t="shared" si="3"/>
        <v>0</v>
      </c>
      <c r="N50" s="65">
        <f t="shared" si="4"/>
        <v>0</v>
      </c>
      <c r="O50" s="65" t="str">
        <f>'Dala Sales &amp; Deliveries'!L14</f>
        <v/>
      </c>
      <c r="P50" s="65">
        <f t="shared" si="5"/>
        <v>0</v>
      </c>
      <c r="Q50" s="65" t="str">
        <f>'External Delivery Fulfillment'!L14</f>
        <v/>
      </c>
      <c r="R50" s="65">
        <f t="shared" si="6"/>
        <v>0</v>
      </c>
      <c r="S50" s="65" t="str">
        <f>'Forwarding From Client'!L14</f>
        <v/>
      </c>
      <c r="T50" s="65">
        <f t="shared" si="7"/>
        <v>0</v>
      </c>
      <c r="U50" s="65" t="str">
        <f>'Dala Restocking'!L14</f>
        <v/>
      </c>
      <c r="V50" s="65">
        <f t="shared" si="8"/>
        <v>0</v>
      </c>
      <c r="W50" s="65" t="str">
        <f>'Client Restocking'!L14</f>
        <v/>
      </c>
    </row>
    <row r="51">
      <c r="B51" s="71" t="str">
        <f>'Internal Summary'!B53</f>
        <v/>
      </c>
      <c r="C51" s="65" t="str">
        <f>'Internal Summary'!C53</f>
        <v/>
      </c>
      <c r="D51" s="65" t="str">
        <f>'Internal Summary'!D53</f>
        <v/>
      </c>
      <c r="E51" s="65" t="str">
        <f>'Internal Summary'!E53</f>
        <v/>
      </c>
      <c r="F51" s="121"/>
      <c r="G51" s="65">
        <f t="shared" si="1"/>
        <v>0</v>
      </c>
      <c r="H51" s="121"/>
      <c r="I51" s="121"/>
      <c r="J51" s="121"/>
      <c r="K51" s="121"/>
      <c r="L51" s="120">
        <f t="shared" si="2"/>
        <v>0</v>
      </c>
      <c r="M51" s="65">
        <f t="shared" si="3"/>
        <v>0</v>
      </c>
      <c r="N51" s="65">
        <f t="shared" si="4"/>
        <v>0</v>
      </c>
      <c r="O51" s="65" t="str">
        <f>'Dala Sales &amp; Deliveries'!L15</f>
        <v/>
      </c>
      <c r="P51" s="65">
        <f t="shared" si="5"/>
        <v>0</v>
      </c>
      <c r="Q51" s="65" t="str">
        <f>'External Delivery Fulfillment'!L15</f>
        <v/>
      </c>
      <c r="R51" s="65">
        <f t="shared" si="6"/>
        <v>0</v>
      </c>
      <c r="S51" s="65" t="str">
        <f>'Forwarding From Client'!L15</f>
        <v/>
      </c>
      <c r="T51" s="65">
        <f t="shared" si="7"/>
        <v>0</v>
      </c>
      <c r="U51" s="65" t="str">
        <f>'Dala Restocking'!L15</f>
        <v/>
      </c>
      <c r="V51" s="65">
        <f t="shared" si="8"/>
        <v>0</v>
      </c>
      <c r="W51" s="65" t="str">
        <f>'Client Restocking'!L15</f>
        <v/>
      </c>
    </row>
    <row r="52">
      <c r="B52" s="71" t="str">
        <f>'Internal Summary'!B54</f>
        <v/>
      </c>
      <c r="C52" s="65" t="str">
        <f>'Internal Summary'!C54</f>
        <v/>
      </c>
      <c r="D52" s="65" t="str">
        <f>'Internal Summary'!D54</f>
        <v/>
      </c>
      <c r="E52" s="65" t="str">
        <f>'Internal Summary'!E54</f>
        <v/>
      </c>
      <c r="F52" s="121"/>
      <c r="G52" s="65">
        <f t="shared" si="1"/>
        <v>0</v>
      </c>
      <c r="H52" s="121"/>
      <c r="I52" s="121"/>
      <c r="J52" s="121"/>
      <c r="K52" s="121"/>
      <c r="L52" s="120">
        <f t="shared" si="2"/>
        <v>0</v>
      </c>
      <c r="M52" s="65">
        <f t="shared" si="3"/>
        <v>0</v>
      </c>
      <c r="N52" s="65">
        <f t="shared" si="4"/>
        <v>0</v>
      </c>
      <c r="O52" s="65" t="str">
        <f>'Dala Sales &amp; Deliveries'!L16</f>
        <v/>
      </c>
      <c r="P52" s="65">
        <f t="shared" si="5"/>
        <v>0</v>
      </c>
      <c r="Q52" s="65" t="str">
        <f>'External Delivery Fulfillment'!L16</f>
        <v/>
      </c>
      <c r="R52" s="65">
        <f t="shared" si="6"/>
        <v>0</v>
      </c>
      <c r="S52" s="65" t="str">
        <f>'Forwarding From Client'!L16</f>
        <v/>
      </c>
      <c r="T52" s="65">
        <f t="shared" si="7"/>
        <v>0</v>
      </c>
      <c r="U52" s="65" t="str">
        <f>'Dala Restocking'!L16</f>
        <v/>
      </c>
      <c r="V52" s="65">
        <f t="shared" si="8"/>
        <v>0</v>
      </c>
      <c r="W52" s="65" t="str">
        <f>'Client Restocking'!L16</f>
        <v/>
      </c>
    </row>
    <row r="53">
      <c r="B53" s="71" t="str">
        <f>'Internal Summary'!B55</f>
        <v/>
      </c>
      <c r="C53" s="65" t="str">
        <f>'Internal Summary'!C55</f>
        <v/>
      </c>
      <c r="D53" s="65" t="str">
        <f>'Internal Summary'!D55</f>
        <v/>
      </c>
      <c r="E53" s="65" t="str">
        <f>'Internal Summary'!E55</f>
        <v/>
      </c>
      <c r="F53" s="121"/>
      <c r="G53" s="65">
        <f t="shared" si="1"/>
        <v>0</v>
      </c>
      <c r="H53" s="121"/>
      <c r="I53" s="121"/>
      <c r="J53" s="121"/>
      <c r="K53" s="121"/>
      <c r="L53" s="120">
        <f t="shared" si="2"/>
        <v>0</v>
      </c>
      <c r="M53" s="65">
        <f t="shared" si="3"/>
        <v>0</v>
      </c>
      <c r="N53" s="65">
        <f t="shared" si="4"/>
        <v>0</v>
      </c>
      <c r="O53" s="65" t="str">
        <f>'Dala Sales &amp; Deliveries'!L17</f>
        <v/>
      </c>
      <c r="P53" s="65">
        <f t="shared" si="5"/>
        <v>0</v>
      </c>
      <c r="Q53" s="65" t="str">
        <f>'External Delivery Fulfillment'!L17</f>
        <v/>
      </c>
      <c r="R53" s="65">
        <f t="shared" si="6"/>
        <v>0</v>
      </c>
      <c r="S53" s="65" t="str">
        <f>'Forwarding From Client'!L17</f>
        <v/>
      </c>
      <c r="T53" s="65">
        <f t="shared" si="7"/>
        <v>0</v>
      </c>
      <c r="U53" s="65" t="str">
        <f>'Dala Restocking'!L17</f>
        <v/>
      </c>
      <c r="V53" s="65">
        <f t="shared" si="8"/>
        <v>0</v>
      </c>
      <c r="W53" s="65" t="str">
        <f>'Client Restocking'!L17</f>
        <v/>
      </c>
    </row>
    <row r="54">
      <c r="B54" s="71" t="str">
        <f>'Internal Summary'!B56</f>
        <v/>
      </c>
      <c r="C54" s="65" t="str">
        <f>'Internal Summary'!C56</f>
        <v/>
      </c>
      <c r="D54" s="65" t="str">
        <f>'Internal Summary'!D56</f>
        <v/>
      </c>
      <c r="E54" s="65" t="str">
        <f>'Internal Summary'!E56</f>
        <v/>
      </c>
      <c r="F54" s="121"/>
      <c r="G54" s="65">
        <f t="shared" si="1"/>
        <v>0</v>
      </c>
      <c r="H54" s="121"/>
      <c r="I54" s="121"/>
      <c r="J54" s="121"/>
      <c r="K54" s="121"/>
      <c r="L54" s="120">
        <f t="shared" si="2"/>
        <v>0</v>
      </c>
      <c r="M54" s="65">
        <f t="shared" si="3"/>
        <v>0</v>
      </c>
      <c r="N54" s="65">
        <f t="shared" si="4"/>
        <v>0</v>
      </c>
      <c r="O54" s="65" t="str">
        <f>'Dala Sales &amp; Deliveries'!L18</f>
        <v/>
      </c>
      <c r="P54" s="65">
        <f t="shared" si="5"/>
        <v>0</v>
      </c>
      <c r="Q54" s="65" t="str">
        <f>'External Delivery Fulfillment'!L18</f>
        <v/>
      </c>
      <c r="R54" s="65">
        <f t="shared" si="6"/>
        <v>0</v>
      </c>
      <c r="S54" s="65" t="str">
        <f>'Forwarding From Client'!L18</f>
        <v/>
      </c>
      <c r="T54" s="65">
        <f t="shared" si="7"/>
        <v>0</v>
      </c>
      <c r="U54" s="65" t="str">
        <f>'Dala Restocking'!L18</f>
        <v/>
      </c>
      <c r="V54" s="65">
        <f t="shared" si="8"/>
        <v>0</v>
      </c>
      <c r="W54" s="65" t="str">
        <f>'Client Restocking'!L18</f>
        <v/>
      </c>
    </row>
    <row r="55">
      <c r="B55" s="71" t="str">
        <f>'Internal Summary'!B57</f>
        <v/>
      </c>
      <c r="C55" s="65" t="str">
        <f>'Internal Summary'!C57</f>
        <v/>
      </c>
      <c r="D55" s="65" t="str">
        <f>'Internal Summary'!D57</f>
        <v/>
      </c>
      <c r="E55" s="65" t="str">
        <f>'Internal Summary'!E57</f>
        <v/>
      </c>
      <c r="F55" s="121"/>
      <c r="G55" s="65">
        <f t="shared" si="1"/>
        <v>0</v>
      </c>
      <c r="H55" s="121"/>
      <c r="I55" s="121"/>
      <c r="J55" s="121"/>
      <c r="K55" s="121"/>
      <c r="L55" s="120">
        <f t="shared" si="2"/>
        <v>0</v>
      </c>
      <c r="M55" s="65">
        <f t="shared" si="3"/>
        <v>0</v>
      </c>
      <c r="N55" s="65">
        <f t="shared" si="4"/>
        <v>0</v>
      </c>
      <c r="O55" s="65" t="str">
        <f>'Dala Sales &amp; Deliveries'!L19</f>
        <v/>
      </c>
      <c r="P55" s="65">
        <f t="shared" si="5"/>
        <v>0</v>
      </c>
      <c r="Q55" s="65" t="str">
        <f>'External Delivery Fulfillment'!L19</f>
        <v/>
      </c>
      <c r="R55" s="65">
        <f t="shared" si="6"/>
        <v>0</v>
      </c>
      <c r="S55" s="65" t="str">
        <f>'Forwarding From Client'!L19</f>
        <v/>
      </c>
      <c r="T55" s="65">
        <f t="shared" si="7"/>
        <v>0</v>
      </c>
      <c r="U55" s="65" t="str">
        <f>'Dala Restocking'!L19</f>
        <v/>
      </c>
      <c r="V55" s="65">
        <f t="shared" si="8"/>
        <v>0</v>
      </c>
      <c r="W55" s="65" t="str">
        <f>'Client Restocking'!L19</f>
        <v/>
      </c>
    </row>
    <row r="56">
      <c r="B56" s="71" t="str">
        <f>'Internal Summary'!B58</f>
        <v/>
      </c>
      <c r="C56" s="65" t="str">
        <f>'Internal Summary'!C58</f>
        <v/>
      </c>
      <c r="D56" s="65" t="str">
        <f>'Internal Summary'!D58</f>
        <v/>
      </c>
      <c r="E56" s="65" t="str">
        <f>'Internal Summary'!E58</f>
        <v/>
      </c>
      <c r="F56" s="121"/>
      <c r="G56" s="65">
        <f t="shared" si="1"/>
        <v>0</v>
      </c>
      <c r="H56" s="121"/>
      <c r="I56" s="121"/>
      <c r="J56" s="121"/>
      <c r="K56" s="121"/>
      <c r="L56" s="120">
        <f t="shared" si="2"/>
        <v>0</v>
      </c>
      <c r="M56" s="65">
        <f t="shared" si="3"/>
        <v>0</v>
      </c>
      <c r="N56" s="65">
        <f t="shared" si="4"/>
        <v>0</v>
      </c>
      <c r="O56" s="65" t="str">
        <f>'Dala Sales &amp; Deliveries'!L20</f>
        <v/>
      </c>
      <c r="P56" s="65">
        <f t="shared" si="5"/>
        <v>0</v>
      </c>
      <c r="Q56" s="65" t="str">
        <f>'External Delivery Fulfillment'!L20</f>
        <v/>
      </c>
      <c r="R56" s="65">
        <f t="shared" si="6"/>
        <v>0</v>
      </c>
      <c r="S56" s="65" t="str">
        <f>'Forwarding From Client'!L20</f>
        <v/>
      </c>
      <c r="T56" s="65">
        <f t="shared" si="7"/>
        <v>0</v>
      </c>
      <c r="U56" s="65" t="str">
        <f>'Dala Restocking'!L20</f>
        <v/>
      </c>
      <c r="V56" s="65">
        <f t="shared" si="8"/>
        <v>0</v>
      </c>
      <c r="W56" s="65" t="str">
        <f>'Client Restocking'!L20</f>
        <v/>
      </c>
    </row>
    <row r="57">
      <c r="B57" s="71" t="str">
        <f>'Internal Summary'!B59</f>
        <v/>
      </c>
      <c r="C57" s="65" t="str">
        <f>'Internal Summary'!C59</f>
        <v/>
      </c>
      <c r="D57" s="65" t="str">
        <f>'Internal Summary'!D59</f>
        <v/>
      </c>
      <c r="E57" s="65" t="str">
        <f>'Internal Summary'!E59</f>
        <v/>
      </c>
      <c r="F57" s="121"/>
      <c r="G57" s="65">
        <f t="shared" si="1"/>
        <v>0</v>
      </c>
      <c r="H57" s="121"/>
      <c r="I57" s="121"/>
      <c r="J57" s="121"/>
      <c r="K57" s="121"/>
      <c r="L57" s="120">
        <f t="shared" si="2"/>
        <v>0</v>
      </c>
      <c r="M57" s="65">
        <f t="shared" si="3"/>
        <v>0</v>
      </c>
      <c r="N57" s="65">
        <f t="shared" si="4"/>
        <v>0</v>
      </c>
      <c r="O57" s="65" t="str">
        <f>'Dala Sales &amp; Deliveries'!L21</f>
        <v/>
      </c>
      <c r="P57" s="65">
        <f t="shared" si="5"/>
        <v>0</v>
      </c>
      <c r="Q57" s="65" t="str">
        <f>'External Delivery Fulfillment'!L21</f>
        <v/>
      </c>
      <c r="R57" s="65">
        <f t="shared" si="6"/>
        <v>0</v>
      </c>
      <c r="S57" s="65" t="str">
        <f>'Forwarding From Client'!L21</f>
        <v/>
      </c>
      <c r="T57" s="65">
        <f t="shared" si="7"/>
        <v>0</v>
      </c>
      <c r="U57" s="65" t="str">
        <f>'Dala Restocking'!L21</f>
        <v/>
      </c>
      <c r="V57" s="65">
        <f t="shared" si="8"/>
        <v>0</v>
      </c>
      <c r="W57" s="65" t="str">
        <f>'Client Restocking'!L21</f>
        <v/>
      </c>
    </row>
    <row r="58">
      <c r="B58" s="71" t="str">
        <f>'Internal Summary'!B60</f>
        <v/>
      </c>
      <c r="C58" s="65" t="str">
        <f>'Internal Summary'!C60</f>
        <v/>
      </c>
      <c r="D58" s="65" t="str">
        <f>'Internal Summary'!D60</f>
        <v/>
      </c>
      <c r="E58" s="65" t="str">
        <f>'Internal Summary'!E60</f>
        <v/>
      </c>
      <c r="F58" s="121"/>
      <c r="G58" s="65">
        <f t="shared" si="1"/>
        <v>0</v>
      </c>
      <c r="H58" s="121"/>
      <c r="I58" s="121"/>
      <c r="J58" s="121"/>
      <c r="K58" s="121"/>
      <c r="L58" s="120">
        <f t="shared" si="2"/>
        <v>0</v>
      </c>
      <c r="M58" s="65">
        <f t="shared" si="3"/>
        <v>0</v>
      </c>
      <c r="N58" s="65">
        <f t="shared" si="4"/>
        <v>0</v>
      </c>
      <c r="O58" s="65" t="str">
        <f>'Dala Sales &amp; Deliveries'!L22</f>
        <v/>
      </c>
      <c r="P58" s="65">
        <f t="shared" si="5"/>
        <v>0</v>
      </c>
      <c r="Q58" s="65" t="str">
        <f>'External Delivery Fulfillment'!L22</f>
        <v/>
      </c>
      <c r="R58" s="65">
        <f t="shared" si="6"/>
        <v>0</v>
      </c>
      <c r="S58" s="65" t="str">
        <f>'Forwarding From Client'!L22</f>
        <v/>
      </c>
      <c r="T58" s="65">
        <f t="shared" si="7"/>
        <v>0</v>
      </c>
      <c r="U58" s="65" t="str">
        <f>'Dala Restocking'!L22</f>
        <v/>
      </c>
      <c r="V58" s="65">
        <f t="shared" si="8"/>
        <v>0</v>
      </c>
      <c r="W58" s="65" t="str">
        <f>'Client Restocking'!L22</f>
        <v/>
      </c>
    </row>
    <row r="59">
      <c r="B59" s="71" t="str">
        <f>'Internal Summary'!B61</f>
        <v/>
      </c>
      <c r="C59" s="65" t="str">
        <f>'Internal Summary'!C61</f>
        <v/>
      </c>
      <c r="D59" s="65" t="str">
        <f>'Internal Summary'!D61</f>
        <v/>
      </c>
      <c r="E59" s="65" t="str">
        <f>'Internal Summary'!E61</f>
        <v/>
      </c>
      <c r="F59" s="121"/>
      <c r="G59" s="65">
        <f t="shared" si="1"/>
        <v>0</v>
      </c>
      <c r="H59" s="121"/>
      <c r="I59" s="121"/>
      <c r="J59" s="121"/>
      <c r="K59" s="121"/>
      <c r="L59" s="120">
        <f t="shared" si="2"/>
        <v>0</v>
      </c>
      <c r="M59" s="65">
        <f t="shared" si="3"/>
        <v>0</v>
      </c>
      <c r="N59" s="65">
        <f t="shared" si="4"/>
        <v>0</v>
      </c>
      <c r="O59" s="65" t="str">
        <f>'Dala Sales &amp; Deliveries'!L23</f>
        <v/>
      </c>
      <c r="P59" s="65">
        <f t="shared" si="5"/>
        <v>0</v>
      </c>
      <c r="Q59" s="65" t="str">
        <f>'External Delivery Fulfillment'!L23</f>
        <v/>
      </c>
      <c r="R59" s="65">
        <f t="shared" si="6"/>
        <v>0</v>
      </c>
      <c r="S59" s="65" t="str">
        <f>'Forwarding From Client'!L23</f>
        <v/>
      </c>
      <c r="T59" s="65">
        <f t="shared" si="7"/>
        <v>0</v>
      </c>
      <c r="U59" s="65" t="str">
        <f>'Dala Restocking'!L23</f>
        <v/>
      </c>
      <c r="V59" s="65">
        <f t="shared" si="8"/>
        <v>0</v>
      </c>
      <c r="W59" s="65" t="str">
        <f>'Client Restocking'!L23</f>
        <v/>
      </c>
    </row>
    <row r="60">
      <c r="B60" s="71" t="str">
        <f>'Internal Summary'!B62</f>
        <v/>
      </c>
      <c r="C60" s="65" t="str">
        <f>'Internal Summary'!C62</f>
        <v/>
      </c>
      <c r="D60" s="65" t="str">
        <f>'Internal Summary'!D62</f>
        <v/>
      </c>
      <c r="E60" s="65" t="str">
        <f>'Internal Summary'!E62</f>
        <v/>
      </c>
      <c r="F60" s="121"/>
      <c r="G60" s="65">
        <f t="shared" si="1"/>
        <v>0</v>
      </c>
      <c r="H60" s="121"/>
      <c r="I60" s="121"/>
      <c r="J60" s="121"/>
      <c r="K60" s="121"/>
      <c r="L60" s="120">
        <f t="shared" si="2"/>
        <v>0</v>
      </c>
      <c r="M60" s="65">
        <f t="shared" si="3"/>
        <v>0</v>
      </c>
      <c r="N60" s="65">
        <f t="shared" si="4"/>
        <v>0</v>
      </c>
      <c r="O60" s="65" t="str">
        <f>'Dala Sales &amp; Deliveries'!L24</f>
        <v/>
      </c>
      <c r="P60" s="65">
        <f t="shared" si="5"/>
        <v>0</v>
      </c>
      <c r="Q60" s="65" t="str">
        <f>'External Delivery Fulfillment'!L24</f>
        <v/>
      </c>
      <c r="R60" s="65">
        <f t="shared" si="6"/>
        <v>0</v>
      </c>
      <c r="S60" s="65" t="str">
        <f>'Forwarding From Client'!L24</f>
        <v/>
      </c>
      <c r="T60" s="65">
        <f t="shared" si="7"/>
        <v>0</v>
      </c>
      <c r="U60" s="65" t="str">
        <f>'Dala Restocking'!L24</f>
        <v/>
      </c>
      <c r="V60" s="65">
        <f t="shared" si="8"/>
        <v>0</v>
      </c>
      <c r="W60" s="65" t="str">
        <f>'Client Restocking'!L24</f>
        <v/>
      </c>
    </row>
    <row r="61">
      <c r="B61" s="71" t="str">
        <f>'Internal Summary'!B63</f>
        <v/>
      </c>
      <c r="C61" s="65" t="str">
        <f>'Internal Summary'!C63</f>
        <v/>
      </c>
      <c r="D61" s="65" t="str">
        <f>'Internal Summary'!D63</f>
        <v/>
      </c>
      <c r="E61" s="65" t="str">
        <f>'Internal Summary'!E63</f>
        <v/>
      </c>
      <c r="F61" s="121"/>
      <c r="G61" s="65">
        <f t="shared" si="1"/>
        <v>0</v>
      </c>
      <c r="H61" s="121"/>
      <c r="I61" s="121"/>
      <c r="J61" s="121"/>
      <c r="K61" s="121"/>
      <c r="L61" s="120">
        <f t="shared" si="2"/>
        <v>0</v>
      </c>
      <c r="M61" s="65">
        <f t="shared" si="3"/>
        <v>0</v>
      </c>
      <c r="N61" s="65">
        <f t="shared" si="4"/>
        <v>0</v>
      </c>
      <c r="O61" s="65" t="str">
        <f>'Dala Sales &amp; Deliveries'!L25</f>
        <v/>
      </c>
      <c r="P61" s="65">
        <f t="shared" si="5"/>
        <v>0</v>
      </c>
      <c r="Q61" s="65" t="str">
        <f>'External Delivery Fulfillment'!L25</f>
        <v/>
      </c>
      <c r="R61" s="65">
        <f t="shared" si="6"/>
        <v>0</v>
      </c>
      <c r="S61" s="65" t="str">
        <f>'Forwarding From Client'!L25</f>
        <v/>
      </c>
      <c r="T61" s="65">
        <f t="shared" si="7"/>
        <v>0</v>
      </c>
      <c r="U61" s="65" t="str">
        <f>'Dala Restocking'!L25</f>
        <v/>
      </c>
      <c r="V61" s="65">
        <f t="shared" si="8"/>
        <v>0</v>
      </c>
      <c r="W61" s="65" t="str">
        <f>'Client Restocking'!L25</f>
        <v/>
      </c>
    </row>
    <row r="62">
      <c r="B62" s="71" t="str">
        <f>'Internal Summary'!B64</f>
        <v/>
      </c>
      <c r="C62" s="65" t="str">
        <f>'Internal Summary'!C64</f>
        <v/>
      </c>
      <c r="D62" s="65" t="str">
        <f>'Internal Summary'!D64</f>
        <v/>
      </c>
      <c r="E62" s="65" t="str">
        <f>'Internal Summary'!E64</f>
        <v/>
      </c>
      <c r="F62" s="121"/>
      <c r="G62" s="65">
        <f t="shared" si="1"/>
        <v>0</v>
      </c>
      <c r="H62" s="121"/>
      <c r="I62" s="121"/>
      <c r="J62" s="121"/>
      <c r="K62" s="121"/>
      <c r="L62" s="120">
        <f t="shared" si="2"/>
        <v>0</v>
      </c>
      <c r="M62" s="65">
        <f t="shared" si="3"/>
        <v>0</v>
      </c>
      <c r="N62" s="65">
        <f t="shared" si="4"/>
        <v>0</v>
      </c>
      <c r="O62" s="65" t="str">
        <f>'Dala Sales &amp; Deliveries'!L26</f>
        <v/>
      </c>
      <c r="P62" s="65">
        <f t="shared" si="5"/>
        <v>0</v>
      </c>
      <c r="Q62" s="65" t="str">
        <f>'External Delivery Fulfillment'!L26</f>
        <v/>
      </c>
      <c r="R62" s="65">
        <f t="shared" si="6"/>
        <v>0</v>
      </c>
      <c r="S62" s="65" t="str">
        <f>'Forwarding From Client'!L26</f>
        <v/>
      </c>
      <c r="T62" s="65">
        <f t="shared" si="7"/>
        <v>0</v>
      </c>
      <c r="U62" s="65" t="str">
        <f>'Dala Restocking'!L26</f>
        <v/>
      </c>
      <c r="V62" s="65">
        <f t="shared" si="8"/>
        <v>0</v>
      </c>
      <c r="W62" s="65" t="str">
        <f>'Client Restocking'!L26</f>
        <v/>
      </c>
    </row>
    <row r="63">
      <c r="B63" s="71" t="str">
        <f>'Internal Summary'!B65</f>
        <v/>
      </c>
      <c r="C63" s="65" t="str">
        <f>'Internal Summary'!C65</f>
        <v/>
      </c>
      <c r="D63" s="65" t="str">
        <f>'Internal Summary'!D65</f>
        <v/>
      </c>
      <c r="E63" s="65" t="str">
        <f>'Internal Summary'!E65</f>
        <v/>
      </c>
      <c r="F63" s="121"/>
      <c r="G63" s="65">
        <f t="shared" si="1"/>
        <v>0</v>
      </c>
      <c r="H63" s="121"/>
      <c r="I63" s="121"/>
      <c r="J63" s="121"/>
      <c r="K63" s="121"/>
      <c r="L63" s="120">
        <f t="shared" si="2"/>
        <v>0</v>
      </c>
      <c r="M63" s="65">
        <f t="shared" si="3"/>
        <v>0</v>
      </c>
      <c r="N63" s="65">
        <f t="shared" si="4"/>
        <v>0</v>
      </c>
      <c r="O63" s="65" t="str">
        <f>'Dala Sales &amp; Deliveries'!L27</f>
        <v/>
      </c>
      <c r="P63" s="65">
        <f t="shared" si="5"/>
        <v>0</v>
      </c>
      <c r="Q63" s="65" t="str">
        <f>'External Delivery Fulfillment'!L27</f>
        <v/>
      </c>
      <c r="R63" s="65">
        <f t="shared" si="6"/>
        <v>0</v>
      </c>
      <c r="S63" s="65" t="str">
        <f>'Forwarding From Client'!L27</f>
        <v/>
      </c>
      <c r="T63" s="65">
        <f t="shared" si="7"/>
        <v>0</v>
      </c>
      <c r="U63" s="65" t="str">
        <f>'Dala Restocking'!L27</f>
        <v/>
      </c>
      <c r="V63" s="65">
        <f t="shared" si="8"/>
        <v>0</v>
      </c>
      <c r="W63" s="65" t="str">
        <f>'Client Restocking'!L27</f>
        <v/>
      </c>
    </row>
    <row r="64">
      <c r="B64" s="71" t="str">
        <f>'Internal Summary'!B66</f>
        <v/>
      </c>
      <c r="C64" s="65" t="str">
        <f>'Internal Summary'!C66</f>
        <v/>
      </c>
      <c r="D64" s="65" t="str">
        <f>'Internal Summary'!D66</f>
        <v/>
      </c>
      <c r="E64" s="65" t="str">
        <f>'Internal Summary'!E66</f>
        <v/>
      </c>
      <c r="F64" s="121"/>
      <c r="G64" s="65">
        <f t="shared" si="1"/>
        <v>0</v>
      </c>
      <c r="H64" s="121"/>
      <c r="I64" s="121"/>
      <c r="J64" s="121"/>
      <c r="K64" s="121"/>
      <c r="L64" s="120">
        <f t="shared" si="2"/>
        <v>0</v>
      </c>
      <c r="M64" s="65">
        <f t="shared" si="3"/>
        <v>0</v>
      </c>
      <c r="N64" s="65">
        <f t="shared" si="4"/>
        <v>0</v>
      </c>
      <c r="O64" s="65" t="str">
        <f>'Dala Sales &amp; Deliveries'!L28</f>
        <v/>
      </c>
      <c r="P64" s="65">
        <f t="shared" si="5"/>
        <v>0</v>
      </c>
      <c r="Q64" s="65" t="str">
        <f>'External Delivery Fulfillment'!L28</f>
        <v/>
      </c>
      <c r="R64" s="65">
        <f t="shared" si="6"/>
        <v>0</v>
      </c>
      <c r="S64" s="65" t="str">
        <f>'Forwarding From Client'!L28</f>
        <v/>
      </c>
      <c r="T64" s="65">
        <f t="shared" si="7"/>
        <v>0</v>
      </c>
      <c r="U64" s="65" t="str">
        <f>'Dala Restocking'!L28</f>
        <v/>
      </c>
      <c r="V64" s="65">
        <f t="shared" si="8"/>
        <v>0</v>
      </c>
      <c r="W64" s="65" t="str">
        <f>'Client Restocking'!L28</f>
        <v/>
      </c>
    </row>
    <row r="65">
      <c r="B65" s="71" t="str">
        <f>'Internal Summary'!B67</f>
        <v/>
      </c>
      <c r="C65" s="65" t="str">
        <f>'Internal Summary'!C67</f>
        <v/>
      </c>
      <c r="D65" s="65" t="str">
        <f>'Internal Summary'!D67</f>
        <v/>
      </c>
      <c r="E65" s="65" t="str">
        <f>'Internal Summary'!E67</f>
        <v/>
      </c>
      <c r="F65" s="121"/>
      <c r="G65" s="65">
        <f t="shared" si="1"/>
        <v>0</v>
      </c>
      <c r="H65" s="121"/>
      <c r="I65" s="121"/>
      <c r="J65" s="121"/>
      <c r="K65" s="121"/>
      <c r="L65" s="120">
        <f t="shared" si="2"/>
        <v>0</v>
      </c>
      <c r="M65" s="65">
        <f t="shared" si="3"/>
        <v>0</v>
      </c>
      <c r="N65" s="65">
        <f t="shared" si="4"/>
        <v>0</v>
      </c>
      <c r="O65" s="65" t="str">
        <f>'Dala Sales &amp; Deliveries'!L29</f>
        <v/>
      </c>
      <c r="P65" s="65">
        <f t="shared" si="5"/>
        <v>0</v>
      </c>
      <c r="Q65" s="65" t="str">
        <f>'External Delivery Fulfillment'!L29</f>
        <v/>
      </c>
      <c r="R65" s="65">
        <f t="shared" si="6"/>
        <v>0</v>
      </c>
      <c r="S65" s="65" t="str">
        <f>'Forwarding From Client'!L29</f>
        <v/>
      </c>
      <c r="T65" s="65">
        <f t="shared" si="7"/>
        <v>0</v>
      </c>
      <c r="U65" s="65" t="str">
        <f>'Dala Restocking'!L29</f>
        <v/>
      </c>
      <c r="V65" s="65">
        <f t="shared" si="8"/>
        <v>0</v>
      </c>
      <c r="W65" s="65" t="str">
        <f>'Client Restocking'!L29</f>
        <v/>
      </c>
    </row>
    <row r="66">
      <c r="B66" s="71" t="str">
        <f>'Internal Summary'!B68</f>
        <v/>
      </c>
      <c r="C66" s="65" t="str">
        <f>'Internal Summary'!C68</f>
        <v/>
      </c>
      <c r="D66" s="65" t="str">
        <f>'Internal Summary'!D68</f>
        <v/>
      </c>
      <c r="E66" s="65" t="str">
        <f>'Internal Summary'!E68</f>
        <v/>
      </c>
      <c r="F66" s="121"/>
      <c r="G66" s="65">
        <f t="shared" si="1"/>
        <v>0</v>
      </c>
      <c r="H66" s="121"/>
      <c r="I66" s="121"/>
      <c r="J66" s="121"/>
      <c r="K66" s="121"/>
      <c r="L66" s="120">
        <f t="shared" si="2"/>
        <v>0</v>
      </c>
      <c r="M66" s="65">
        <f t="shared" si="3"/>
        <v>0</v>
      </c>
      <c r="N66" s="65">
        <f t="shared" si="4"/>
        <v>0</v>
      </c>
      <c r="O66" s="65" t="str">
        <f>'Dala Sales &amp; Deliveries'!L30</f>
        <v/>
      </c>
      <c r="P66" s="65">
        <f t="shared" si="5"/>
        <v>0</v>
      </c>
      <c r="Q66" s="65" t="str">
        <f>'External Delivery Fulfillment'!L30</f>
        <v/>
      </c>
      <c r="R66" s="65">
        <f t="shared" si="6"/>
        <v>0</v>
      </c>
      <c r="S66" s="65" t="str">
        <f>'Forwarding From Client'!L30</f>
        <v/>
      </c>
      <c r="T66" s="65">
        <f t="shared" si="7"/>
        <v>0</v>
      </c>
      <c r="U66" s="65" t="str">
        <f>'Dala Restocking'!L30</f>
        <v/>
      </c>
      <c r="V66" s="65">
        <f t="shared" si="8"/>
        <v>0</v>
      </c>
      <c r="W66" s="65" t="str">
        <f>'Client Restocking'!L30</f>
        <v/>
      </c>
    </row>
    <row r="67">
      <c r="B67" s="66" t="s">
        <v>40</v>
      </c>
      <c r="C67" s="108"/>
      <c r="D67" s="108"/>
      <c r="E67" s="120"/>
      <c r="F67" s="120">
        <f t="shared" ref="F67:W67" si="9">sum(F38:F66)</f>
        <v>0</v>
      </c>
      <c r="G67" s="120">
        <f t="shared" si="9"/>
        <v>0</v>
      </c>
      <c r="H67" s="120">
        <f t="shared" si="9"/>
        <v>0</v>
      </c>
      <c r="I67" s="120">
        <f t="shared" si="9"/>
        <v>0</v>
      </c>
      <c r="J67" s="120">
        <f t="shared" si="9"/>
        <v>0</v>
      </c>
      <c r="K67" s="120">
        <f t="shared" si="9"/>
        <v>17</v>
      </c>
      <c r="L67" s="120">
        <f t="shared" si="9"/>
        <v>-12.5</v>
      </c>
      <c r="M67" s="65">
        <f t="shared" si="9"/>
        <v>29.5</v>
      </c>
      <c r="N67" s="65">
        <f t="shared" si="9"/>
        <v>1086900</v>
      </c>
      <c r="O67" s="65">
        <f t="shared" si="9"/>
        <v>4.5</v>
      </c>
      <c r="P67" s="65">
        <f t="shared" si="9"/>
        <v>4325</v>
      </c>
      <c r="Q67" s="65">
        <f t="shared" si="9"/>
        <v>8</v>
      </c>
      <c r="R67" s="65">
        <f t="shared" si="9"/>
        <v>9025</v>
      </c>
      <c r="S67" s="65">
        <f t="shared" si="9"/>
        <v>0</v>
      </c>
      <c r="T67" s="65">
        <f t="shared" si="9"/>
        <v>0</v>
      </c>
      <c r="U67" s="65">
        <f t="shared" si="9"/>
        <v>0</v>
      </c>
      <c r="V67" s="65">
        <f t="shared" si="9"/>
        <v>0</v>
      </c>
      <c r="W67" s="65">
        <f t="shared" si="9"/>
        <v>0</v>
      </c>
    </row>
    <row r="68">
      <c r="C68" s="6" t="s">
        <v>107</v>
      </c>
      <c r="D68" s="6" t="s">
        <v>107</v>
      </c>
      <c r="E68" s="6" t="s">
        <v>107</v>
      </c>
      <c r="F68" s="6" t="s">
        <v>107</v>
      </c>
      <c r="G68" s="6"/>
      <c r="H68" s="6" t="s">
        <v>107</v>
      </c>
      <c r="I68" s="6" t="s">
        <v>107</v>
      </c>
      <c r="J68" s="6" t="s">
        <v>107</v>
      </c>
      <c r="K68" s="6" t="s">
        <v>107</v>
      </c>
      <c r="L68" s="6" t="s">
        <v>107</v>
      </c>
      <c r="M68" s="6"/>
      <c r="N68" s="6" t="s">
        <v>107</v>
      </c>
      <c r="O68" s="6" t="s">
        <v>107</v>
      </c>
      <c r="P68" s="6" t="s">
        <v>107</v>
      </c>
      <c r="Q68" s="6" t="s">
        <v>107</v>
      </c>
      <c r="R68" s="6" t="s">
        <v>107</v>
      </c>
      <c r="S68" s="6"/>
      <c r="T68" s="6"/>
      <c r="U68" s="6" t="s">
        <v>107</v>
      </c>
      <c r="V68" s="6" t="s">
        <v>107</v>
      </c>
      <c r="W68" s="6" t="s">
        <v>107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5"/>
    <col customWidth="1" min="7" max="7" width="17.25"/>
  </cols>
  <sheetData>
    <row r="1">
      <c r="A1" s="104"/>
      <c r="B1" s="122" t="s">
        <v>111</v>
      </c>
      <c r="C1" s="123"/>
      <c r="D1" s="123"/>
      <c r="E1" s="124"/>
      <c r="F1" s="124"/>
    </row>
    <row r="2">
      <c r="A2" s="1" t="s">
        <v>112</v>
      </c>
      <c r="B2" s="125" t="s">
        <v>8</v>
      </c>
      <c r="C2" s="126" t="s">
        <v>113</v>
      </c>
      <c r="D2" s="127" t="s">
        <v>114</v>
      </c>
      <c r="E2" s="125" t="s">
        <v>115</v>
      </c>
      <c r="F2" s="128" t="s">
        <v>116</v>
      </c>
    </row>
    <row r="3">
      <c r="A3" s="129">
        <v>1.0</v>
      </c>
      <c r="B3" s="130">
        <v>45867.0</v>
      </c>
      <c r="C3" s="127" t="s">
        <v>117</v>
      </c>
      <c r="D3" s="127" t="s">
        <v>118</v>
      </c>
      <c r="E3" s="131">
        <v>79000.01</v>
      </c>
      <c r="F3" s="128">
        <v>0.0</v>
      </c>
    </row>
    <row r="4">
      <c r="A4" s="129">
        <v>2.0</v>
      </c>
      <c r="B4" s="130">
        <v>45582.0</v>
      </c>
      <c r="C4" s="127" t="s">
        <v>119</v>
      </c>
      <c r="D4" s="127" t="s">
        <v>120</v>
      </c>
      <c r="E4" s="131">
        <v>16000.3</v>
      </c>
      <c r="F4" s="128">
        <v>274.0</v>
      </c>
    </row>
    <row r="5">
      <c r="A5" s="129">
        <v>3.0</v>
      </c>
      <c r="B5" s="130">
        <v>45671.0</v>
      </c>
      <c r="C5" s="127" t="s">
        <v>121</v>
      </c>
      <c r="D5" s="127" t="s">
        <v>122</v>
      </c>
      <c r="E5" s="131">
        <v>119200.01</v>
      </c>
      <c r="F5" s="128">
        <v>185.0</v>
      </c>
    </row>
    <row r="6">
      <c r="A6" s="129">
        <v>4.0</v>
      </c>
      <c r="B6" s="130">
        <v>45862.0</v>
      </c>
      <c r="C6" s="127" t="s">
        <v>121</v>
      </c>
      <c r="D6" s="127" t="s">
        <v>123</v>
      </c>
      <c r="E6" s="131">
        <v>158792.52</v>
      </c>
      <c r="F6" s="128">
        <v>0.0</v>
      </c>
    </row>
    <row r="7">
      <c r="A7" s="129">
        <v>5.0</v>
      </c>
      <c r="B7" s="130">
        <v>45624.0</v>
      </c>
      <c r="C7" s="127" t="s">
        <v>124</v>
      </c>
      <c r="D7" s="127" t="s">
        <v>125</v>
      </c>
      <c r="E7" s="131">
        <v>245000.03</v>
      </c>
      <c r="F7" s="128">
        <v>232.0</v>
      </c>
    </row>
    <row r="8">
      <c r="A8" s="129">
        <v>6.0</v>
      </c>
      <c r="B8" s="130">
        <v>45728.0</v>
      </c>
      <c r="C8" s="127" t="s">
        <v>124</v>
      </c>
      <c r="D8" s="127" t="s">
        <v>126</v>
      </c>
      <c r="E8" s="131">
        <v>297500.02</v>
      </c>
      <c r="F8" s="128">
        <v>128.0</v>
      </c>
    </row>
    <row r="9">
      <c r="A9" s="129">
        <v>7.0</v>
      </c>
      <c r="B9" s="130">
        <v>45702.0</v>
      </c>
      <c r="C9" s="127" t="s">
        <v>124</v>
      </c>
      <c r="D9" s="127" t="s">
        <v>127</v>
      </c>
      <c r="E9" s="131">
        <v>107640.47</v>
      </c>
      <c r="F9" s="128">
        <v>154.0</v>
      </c>
    </row>
    <row r="10">
      <c r="A10" s="129">
        <v>8.0</v>
      </c>
      <c r="B10" s="132">
        <v>45813.0</v>
      </c>
      <c r="C10" s="127" t="s">
        <v>124</v>
      </c>
      <c r="D10" s="127" t="s">
        <v>128</v>
      </c>
      <c r="E10" s="131">
        <v>350000.01</v>
      </c>
      <c r="F10" s="128">
        <v>43.0</v>
      </c>
    </row>
    <row r="11">
      <c r="A11" s="129">
        <v>9.0</v>
      </c>
      <c r="B11" s="130">
        <v>45861.0</v>
      </c>
      <c r="C11" s="127" t="s">
        <v>124</v>
      </c>
      <c r="D11" s="127" t="s">
        <v>129</v>
      </c>
      <c r="E11" s="131">
        <v>349570.01</v>
      </c>
      <c r="F11" s="128">
        <v>0.0</v>
      </c>
    </row>
    <row r="12">
      <c r="A12" s="129">
        <v>10.0</v>
      </c>
      <c r="B12" s="132">
        <v>45543.0</v>
      </c>
      <c r="C12" s="127" t="s">
        <v>130</v>
      </c>
      <c r="D12" s="127" t="s">
        <v>131</v>
      </c>
      <c r="E12" s="131">
        <v>32000.6</v>
      </c>
      <c r="F12" s="128">
        <v>313.0</v>
      </c>
    </row>
    <row r="13">
      <c r="A13" s="129">
        <v>11.0</v>
      </c>
      <c r="B13" s="130">
        <v>45586.0</v>
      </c>
      <c r="C13" s="127" t="s">
        <v>130</v>
      </c>
      <c r="D13" s="127" t="s">
        <v>132</v>
      </c>
      <c r="E13" s="131">
        <v>84264.55</v>
      </c>
      <c r="F13" s="128">
        <v>270.0</v>
      </c>
    </row>
    <row r="14">
      <c r="A14" s="129">
        <v>12.0</v>
      </c>
      <c r="B14" s="130">
        <v>45657.0</v>
      </c>
      <c r="C14" s="127" t="s">
        <v>130</v>
      </c>
      <c r="D14" s="127" t="s">
        <v>133</v>
      </c>
      <c r="E14" s="131">
        <v>44400.0</v>
      </c>
      <c r="F14" s="128">
        <v>199.0</v>
      </c>
    </row>
    <row r="15">
      <c r="A15" s="129">
        <v>13.0</v>
      </c>
      <c r="B15" s="130">
        <v>45835.0</v>
      </c>
      <c r="C15" s="127" t="s">
        <v>130</v>
      </c>
      <c r="D15" s="127" t="s">
        <v>134</v>
      </c>
      <c r="E15" s="131">
        <v>35000.0</v>
      </c>
      <c r="F15" s="128">
        <v>21.0</v>
      </c>
    </row>
    <row r="16">
      <c r="A16" s="129">
        <v>14.0</v>
      </c>
      <c r="B16" s="130">
        <v>45560.0</v>
      </c>
      <c r="C16" s="127" t="s">
        <v>135</v>
      </c>
      <c r="D16" s="127" t="s">
        <v>136</v>
      </c>
      <c r="E16" s="131">
        <v>94008.75</v>
      </c>
      <c r="F16" s="128">
        <v>296.0</v>
      </c>
    </row>
    <row r="17">
      <c r="A17" s="129">
        <v>15.0</v>
      </c>
      <c r="B17" s="133">
        <v>45778.0</v>
      </c>
      <c r="C17" s="127" t="s">
        <v>137</v>
      </c>
      <c r="D17" s="127" t="s">
        <v>138</v>
      </c>
      <c r="E17" s="131">
        <v>180000.0</v>
      </c>
      <c r="F17" s="128">
        <v>62.0</v>
      </c>
    </row>
    <row r="18">
      <c r="A18" s="129">
        <v>16.0</v>
      </c>
      <c r="B18" s="130">
        <v>45853.0</v>
      </c>
      <c r="C18" s="127" t="s">
        <v>139</v>
      </c>
      <c r="D18" s="127" t="s">
        <v>140</v>
      </c>
      <c r="E18" s="131">
        <v>21000.0</v>
      </c>
      <c r="F18" s="128">
        <v>10.0</v>
      </c>
    </row>
    <row r="19">
      <c r="A19" s="129">
        <v>17.0</v>
      </c>
      <c r="B19" s="132">
        <v>45664.0</v>
      </c>
      <c r="C19" s="127" t="s">
        <v>141</v>
      </c>
      <c r="D19" s="127" t="s">
        <v>142</v>
      </c>
      <c r="E19" s="131">
        <v>37500.01</v>
      </c>
      <c r="F19" s="128">
        <v>192.0</v>
      </c>
    </row>
    <row r="20">
      <c r="A20" s="129">
        <v>18.0</v>
      </c>
      <c r="B20" s="130">
        <v>45744.0</v>
      </c>
      <c r="C20" s="127" t="s">
        <v>141</v>
      </c>
      <c r="D20" s="127" t="s">
        <v>143</v>
      </c>
      <c r="E20" s="131">
        <v>54200.02</v>
      </c>
      <c r="F20" s="128">
        <v>112.0</v>
      </c>
    </row>
    <row r="21">
      <c r="A21" s="129">
        <v>19.0</v>
      </c>
      <c r="B21" s="130">
        <v>45835.0</v>
      </c>
      <c r="C21" s="127" t="s">
        <v>141</v>
      </c>
      <c r="D21" s="127" t="s">
        <v>144</v>
      </c>
      <c r="E21" s="131">
        <v>79600.01</v>
      </c>
      <c r="F21" s="128">
        <v>21.0</v>
      </c>
    </row>
    <row r="22">
      <c r="A22" s="129">
        <v>20.0</v>
      </c>
      <c r="B22" s="132">
        <v>45664.0</v>
      </c>
      <c r="C22" s="127" t="s">
        <v>145</v>
      </c>
      <c r="D22" s="127" t="s">
        <v>146</v>
      </c>
      <c r="E22" s="131">
        <v>41000.02</v>
      </c>
      <c r="F22" s="128">
        <v>192.0</v>
      </c>
    </row>
    <row r="23">
      <c r="A23" s="129">
        <v>21.0</v>
      </c>
      <c r="B23" s="130">
        <v>45528.0</v>
      </c>
      <c r="C23" s="127" t="s">
        <v>145</v>
      </c>
      <c r="D23" s="127" t="s">
        <v>147</v>
      </c>
      <c r="E23" s="131">
        <v>37901.28</v>
      </c>
      <c r="F23" s="128">
        <v>342.0</v>
      </c>
    </row>
    <row r="24">
      <c r="A24" s="129">
        <v>22.0</v>
      </c>
      <c r="B24" s="130">
        <v>45686.0</v>
      </c>
      <c r="C24" s="127" t="s">
        <v>145</v>
      </c>
      <c r="D24" s="127" t="s">
        <v>148</v>
      </c>
      <c r="E24" s="131">
        <v>80800.01</v>
      </c>
      <c r="F24" s="128">
        <v>170.0</v>
      </c>
    </row>
    <row r="25">
      <c r="A25" s="129">
        <v>23.0</v>
      </c>
      <c r="B25" s="132">
        <v>45574.0</v>
      </c>
      <c r="C25" s="127" t="s">
        <v>145</v>
      </c>
      <c r="D25" s="127" t="s">
        <v>149</v>
      </c>
      <c r="E25" s="131">
        <v>69901.88</v>
      </c>
      <c r="F25" s="128">
        <v>282.0</v>
      </c>
    </row>
    <row r="26">
      <c r="A26" s="129">
        <v>24.0</v>
      </c>
      <c r="B26" s="130">
        <v>45652.0</v>
      </c>
      <c r="C26" s="127" t="s">
        <v>145</v>
      </c>
      <c r="D26" s="127" t="s">
        <v>150</v>
      </c>
      <c r="E26" s="131">
        <v>56100.0</v>
      </c>
      <c r="F26" s="128">
        <v>197.0</v>
      </c>
    </row>
    <row r="27">
      <c r="A27" s="129">
        <v>25.0</v>
      </c>
      <c r="B27" s="130">
        <v>45825.0</v>
      </c>
      <c r="C27" s="127" t="s">
        <v>145</v>
      </c>
      <c r="D27" s="127" t="s">
        <v>151</v>
      </c>
      <c r="E27" s="131">
        <v>3594.18</v>
      </c>
      <c r="F27" s="128">
        <v>31.0</v>
      </c>
    </row>
    <row r="28">
      <c r="A28" s="129">
        <v>26.0</v>
      </c>
      <c r="B28" s="130">
        <v>45622.0</v>
      </c>
      <c r="C28" s="127" t="s">
        <v>152</v>
      </c>
      <c r="D28" s="127" t="s">
        <v>153</v>
      </c>
      <c r="E28" s="131">
        <v>82200.01</v>
      </c>
      <c r="F28" s="128">
        <v>234.0</v>
      </c>
    </row>
    <row r="29">
      <c r="A29" s="129">
        <v>27.0</v>
      </c>
      <c r="B29" s="130">
        <v>45771.0</v>
      </c>
      <c r="C29" s="127" t="s">
        <v>152</v>
      </c>
      <c r="D29" s="127" t="s">
        <v>154</v>
      </c>
      <c r="E29" s="131">
        <v>67200.0</v>
      </c>
      <c r="F29" s="128">
        <v>85.0</v>
      </c>
    </row>
    <row r="30">
      <c r="A30" s="129">
        <v>28.0</v>
      </c>
      <c r="B30" s="130">
        <v>45673.0</v>
      </c>
      <c r="C30" s="127" t="s">
        <v>155</v>
      </c>
      <c r="D30" s="127" t="s">
        <v>156</v>
      </c>
      <c r="E30" s="131">
        <v>112100.01</v>
      </c>
      <c r="F30" s="128">
        <v>167.0</v>
      </c>
    </row>
    <row r="31">
      <c r="A31" s="129">
        <v>29.0</v>
      </c>
      <c r="B31" s="130">
        <v>45611.0</v>
      </c>
      <c r="C31" s="127" t="s">
        <v>157</v>
      </c>
      <c r="D31" s="127" t="s">
        <v>158</v>
      </c>
      <c r="E31" s="131">
        <v>95999.99</v>
      </c>
      <c r="F31" s="128">
        <v>238.0</v>
      </c>
    </row>
    <row r="32">
      <c r="A32" s="129">
        <v>30.0</v>
      </c>
      <c r="B32" s="130">
        <v>45861.0</v>
      </c>
      <c r="C32" s="127" t="s">
        <v>157</v>
      </c>
      <c r="D32" s="127" t="s">
        <v>159</v>
      </c>
      <c r="E32" s="131">
        <v>7200.0</v>
      </c>
      <c r="F32" s="128">
        <v>0.0</v>
      </c>
    </row>
    <row r="33">
      <c r="A33" s="129">
        <v>31.0</v>
      </c>
      <c r="B33" s="130">
        <v>45861.0</v>
      </c>
      <c r="C33" s="127" t="s">
        <v>157</v>
      </c>
      <c r="D33" s="127" t="s">
        <v>160</v>
      </c>
      <c r="E33" s="131">
        <v>166335.5</v>
      </c>
      <c r="F33" s="128">
        <v>0.0</v>
      </c>
    </row>
    <row r="34">
      <c r="A34" s="129">
        <v>32.0</v>
      </c>
      <c r="B34" s="132">
        <v>45689.0</v>
      </c>
      <c r="C34" s="127" t="s">
        <v>161</v>
      </c>
      <c r="D34" s="127" t="s">
        <v>162</v>
      </c>
      <c r="E34" s="131">
        <v>1029000.0</v>
      </c>
      <c r="F34" s="128">
        <v>181.0</v>
      </c>
    </row>
    <row r="35">
      <c r="A35" s="129">
        <v>33.0</v>
      </c>
      <c r="B35" s="132">
        <v>45748.0</v>
      </c>
      <c r="C35" s="127" t="s">
        <v>161</v>
      </c>
      <c r="D35" s="127" t="s">
        <v>163</v>
      </c>
      <c r="E35" s="131">
        <v>599745.0</v>
      </c>
      <c r="F35" s="128">
        <v>122.0</v>
      </c>
    </row>
    <row r="36">
      <c r="A36" s="129">
        <v>34.0</v>
      </c>
      <c r="B36" s="130">
        <v>45772.0</v>
      </c>
      <c r="C36" s="127" t="s">
        <v>161</v>
      </c>
      <c r="D36" s="127" t="s">
        <v>164</v>
      </c>
      <c r="E36" s="131">
        <v>23666.67</v>
      </c>
      <c r="F36" s="128">
        <v>91.0</v>
      </c>
    </row>
    <row r="37">
      <c r="A37" s="129">
        <v>35.0</v>
      </c>
      <c r="B37" s="130">
        <v>45673.0</v>
      </c>
      <c r="C37" s="127" t="s">
        <v>165</v>
      </c>
      <c r="D37" s="127" t="s">
        <v>166</v>
      </c>
      <c r="E37" s="131">
        <v>175000.0</v>
      </c>
      <c r="F37" s="128">
        <v>190.0</v>
      </c>
    </row>
    <row r="38">
      <c r="A38" s="129">
        <v>36.0</v>
      </c>
      <c r="B38" s="130">
        <v>45588.0</v>
      </c>
      <c r="C38" s="127" t="s">
        <v>165</v>
      </c>
      <c r="D38" s="127" t="s">
        <v>167</v>
      </c>
      <c r="E38" s="131">
        <v>214495.51</v>
      </c>
      <c r="F38" s="128">
        <v>275.0</v>
      </c>
    </row>
    <row r="39">
      <c r="A39" s="129">
        <v>37.0</v>
      </c>
      <c r="B39" s="130">
        <v>45703.0</v>
      </c>
      <c r="C39" s="127" t="s">
        <v>165</v>
      </c>
      <c r="D39" s="127" t="s">
        <v>168</v>
      </c>
      <c r="E39" s="131">
        <v>139999.99</v>
      </c>
      <c r="F39" s="128">
        <v>160.0</v>
      </c>
    </row>
    <row r="40">
      <c r="A40" s="129">
        <v>38.0</v>
      </c>
      <c r="B40" s="130">
        <v>45770.0</v>
      </c>
      <c r="C40" s="127" t="s">
        <v>165</v>
      </c>
      <c r="D40" s="127" t="s">
        <v>169</v>
      </c>
      <c r="E40" s="131">
        <v>350000.01</v>
      </c>
      <c r="F40" s="128">
        <v>93.0</v>
      </c>
    </row>
    <row r="41">
      <c r="A41" s="129">
        <v>39.0</v>
      </c>
      <c r="B41" s="132">
        <v>45721.0</v>
      </c>
      <c r="C41" s="127" t="s">
        <v>165</v>
      </c>
      <c r="D41" s="127" t="s">
        <v>170</v>
      </c>
      <c r="E41" s="131">
        <v>108496.61</v>
      </c>
      <c r="F41" s="128">
        <v>142.0</v>
      </c>
    </row>
    <row r="42">
      <c r="A42" s="129">
        <v>40.0</v>
      </c>
      <c r="B42" s="132">
        <v>45544.0</v>
      </c>
      <c r="C42" s="127" t="s">
        <v>171</v>
      </c>
      <c r="D42" s="127" t="s">
        <v>172</v>
      </c>
      <c r="E42" s="131">
        <v>41500.38</v>
      </c>
      <c r="F42" s="128">
        <v>319.0</v>
      </c>
    </row>
    <row r="43">
      <c r="A43" s="129">
        <v>41.0</v>
      </c>
      <c r="B43" s="130">
        <v>45643.0</v>
      </c>
      <c r="C43" s="127" t="s">
        <v>171</v>
      </c>
      <c r="D43" s="127" t="s">
        <v>173</v>
      </c>
      <c r="E43" s="131">
        <v>56000.0</v>
      </c>
      <c r="F43" s="128">
        <v>213.0</v>
      </c>
    </row>
    <row r="44">
      <c r="A44" s="129">
        <v>42.0</v>
      </c>
      <c r="B44" s="130">
        <v>45698.0</v>
      </c>
      <c r="C44" s="127" t="s">
        <v>171</v>
      </c>
      <c r="D44" s="127" t="s">
        <v>174</v>
      </c>
      <c r="E44" s="131">
        <v>48999.99</v>
      </c>
      <c r="F44" s="128">
        <v>165.0</v>
      </c>
    </row>
    <row r="45">
      <c r="A45" s="129">
        <v>43.0</v>
      </c>
      <c r="B45" s="130">
        <v>45764.0</v>
      </c>
      <c r="C45" s="127" t="s">
        <v>171</v>
      </c>
      <c r="D45" s="127" t="s">
        <v>175</v>
      </c>
      <c r="E45" s="131">
        <v>56000.0</v>
      </c>
      <c r="F45" s="128">
        <v>99.0</v>
      </c>
    </row>
    <row r="46">
      <c r="A46" s="129">
        <v>44.0</v>
      </c>
      <c r="B46" s="130">
        <v>45678.0</v>
      </c>
      <c r="C46" s="127" t="s">
        <v>176</v>
      </c>
      <c r="D46" s="127" t="s">
        <v>177</v>
      </c>
      <c r="E46" s="131">
        <v>280000.0</v>
      </c>
      <c r="F46" s="128">
        <v>178.0</v>
      </c>
    </row>
    <row r="47">
      <c r="A47" s="129">
        <v>45.0</v>
      </c>
      <c r="B47" s="130">
        <v>45614.0</v>
      </c>
      <c r="C47" s="127" t="s">
        <v>176</v>
      </c>
      <c r="D47" s="127" t="s">
        <v>178</v>
      </c>
      <c r="E47" s="131">
        <v>177004.13</v>
      </c>
      <c r="F47" s="128">
        <v>242.0</v>
      </c>
    </row>
    <row r="48">
      <c r="A48" s="129">
        <v>46.0</v>
      </c>
      <c r="B48" s="130">
        <v>45674.0</v>
      </c>
      <c r="C48" s="127" t="s">
        <v>179</v>
      </c>
      <c r="D48" s="127" t="s">
        <v>180</v>
      </c>
      <c r="E48" s="131">
        <v>28000.0</v>
      </c>
      <c r="F48" s="128">
        <v>182.0</v>
      </c>
    </row>
    <row r="49">
      <c r="A49" s="129">
        <v>47.0</v>
      </c>
      <c r="B49" s="130">
        <v>45729.0</v>
      </c>
      <c r="C49" s="127" t="s">
        <v>179</v>
      </c>
      <c r="D49" s="127" t="s">
        <v>181</v>
      </c>
      <c r="E49" s="131">
        <v>76500.0</v>
      </c>
      <c r="F49" s="128">
        <v>127.0</v>
      </c>
    </row>
    <row r="50">
      <c r="A50" s="129">
        <v>48.0</v>
      </c>
      <c r="B50" s="132">
        <v>45544.0</v>
      </c>
      <c r="C50" s="127" t="s">
        <v>182</v>
      </c>
      <c r="D50" s="127" t="s">
        <v>183</v>
      </c>
      <c r="E50" s="131">
        <v>67976.55</v>
      </c>
      <c r="F50" s="128">
        <v>312.0</v>
      </c>
    </row>
    <row r="51">
      <c r="A51" s="129">
        <v>49.0</v>
      </c>
      <c r="B51" s="130">
        <v>45657.0</v>
      </c>
      <c r="C51" s="127" t="s">
        <v>182</v>
      </c>
      <c r="D51" s="127" t="s">
        <v>184</v>
      </c>
      <c r="E51" s="131">
        <v>102800.01</v>
      </c>
      <c r="F51" s="128">
        <v>199.0</v>
      </c>
    </row>
    <row r="52">
      <c r="A52" s="129">
        <v>50.0</v>
      </c>
      <c r="B52" s="130">
        <v>45868.0</v>
      </c>
      <c r="C52" s="127" t="s">
        <v>185</v>
      </c>
      <c r="D52" s="127" t="s">
        <v>186</v>
      </c>
      <c r="E52" s="131">
        <v>63057.01</v>
      </c>
      <c r="F52" s="128">
        <v>0.0</v>
      </c>
    </row>
    <row r="53">
      <c r="A53" s="129">
        <v>51.0</v>
      </c>
      <c r="B53" s="130">
        <v>45705.0</v>
      </c>
      <c r="C53" s="127" t="s">
        <v>187</v>
      </c>
      <c r="D53" s="127" t="s">
        <v>188</v>
      </c>
      <c r="E53" s="131">
        <v>10500.0</v>
      </c>
      <c r="F53" s="128">
        <v>165.0</v>
      </c>
    </row>
    <row r="54">
      <c r="A54" s="129">
        <v>52.0</v>
      </c>
      <c r="B54" s="130">
        <v>45761.0</v>
      </c>
      <c r="C54" s="127" t="s">
        <v>187</v>
      </c>
      <c r="D54" s="127" t="s">
        <v>189</v>
      </c>
      <c r="E54" s="131">
        <v>10500.0</v>
      </c>
      <c r="F54" s="128">
        <v>95.0</v>
      </c>
    </row>
    <row r="55">
      <c r="A55" s="129">
        <v>53.0</v>
      </c>
      <c r="B55" s="130">
        <v>45621.0</v>
      </c>
      <c r="C55" s="127" t="s">
        <v>190</v>
      </c>
      <c r="D55" s="127" t="s">
        <v>191</v>
      </c>
      <c r="E55" s="131">
        <v>72999.98</v>
      </c>
      <c r="F55" s="128">
        <v>235.0</v>
      </c>
    </row>
    <row r="56">
      <c r="A56" s="129">
        <v>54.0</v>
      </c>
      <c r="B56" s="130">
        <v>45726.0</v>
      </c>
      <c r="C56" s="127" t="s">
        <v>190</v>
      </c>
      <c r="D56" s="127" t="s">
        <v>192</v>
      </c>
      <c r="E56" s="131">
        <v>31499.99</v>
      </c>
      <c r="F56" s="128">
        <v>130.0</v>
      </c>
    </row>
    <row r="57">
      <c r="A57" s="129">
        <v>55.0</v>
      </c>
      <c r="B57" s="132">
        <v>45752.0</v>
      </c>
      <c r="C57" s="127" t="s">
        <v>190</v>
      </c>
      <c r="D57" s="127" t="s">
        <v>193</v>
      </c>
      <c r="E57" s="131">
        <v>74800.01</v>
      </c>
      <c r="F57" s="128">
        <v>104.0</v>
      </c>
    </row>
    <row r="58">
      <c r="A58" s="129">
        <v>56.0</v>
      </c>
      <c r="B58" s="130">
        <v>45821.0</v>
      </c>
      <c r="C58" s="127" t="s">
        <v>190</v>
      </c>
      <c r="D58" s="127" t="s">
        <v>194</v>
      </c>
      <c r="E58" s="131">
        <v>62000.02</v>
      </c>
      <c r="F58" s="128">
        <v>35.0</v>
      </c>
    </row>
    <row r="59">
      <c r="A59" s="129">
        <v>57.0</v>
      </c>
      <c r="B59" s="130">
        <v>45838.0</v>
      </c>
      <c r="C59" s="127" t="s">
        <v>190</v>
      </c>
      <c r="D59" s="127" t="s">
        <v>195</v>
      </c>
      <c r="E59" s="131">
        <v>5000.0</v>
      </c>
      <c r="F59" s="128">
        <v>18.0</v>
      </c>
    </row>
    <row r="60">
      <c r="A60" s="129">
        <v>58.0</v>
      </c>
      <c r="B60" s="130">
        <v>45838.0</v>
      </c>
      <c r="C60" s="127" t="s">
        <v>190</v>
      </c>
      <c r="D60" s="127" t="s">
        <v>196</v>
      </c>
      <c r="E60" s="131">
        <v>78300.01</v>
      </c>
      <c r="F60" s="128">
        <v>18.0</v>
      </c>
    </row>
    <row r="61">
      <c r="A61" s="129">
        <v>59.0</v>
      </c>
      <c r="B61" s="130">
        <v>45867.0</v>
      </c>
      <c r="C61" s="127" t="s">
        <v>190</v>
      </c>
      <c r="D61" s="127" t="s">
        <v>197</v>
      </c>
      <c r="E61" s="131">
        <v>60000.0</v>
      </c>
      <c r="F61" s="128">
        <v>0.0</v>
      </c>
    </row>
    <row r="62">
      <c r="A62" s="129">
        <v>60.0</v>
      </c>
      <c r="B62" s="132">
        <v>45660.0</v>
      </c>
      <c r="C62" s="127" t="s">
        <v>198</v>
      </c>
      <c r="D62" s="127" t="s">
        <v>199</v>
      </c>
      <c r="E62" s="131">
        <v>123000.05</v>
      </c>
      <c r="F62" s="128">
        <v>196.0</v>
      </c>
    </row>
    <row r="63">
      <c r="A63" s="129">
        <v>61.0</v>
      </c>
      <c r="B63" s="130">
        <v>45679.0</v>
      </c>
      <c r="C63" s="127" t="s">
        <v>198</v>
      </c>
      <c r="D63" s="127" t="s">
        <v>200</v>
      </c>
      <c r="E63" s="131">
        <v>126774.92</v>
      </c>
      <c r="F63" s="128">
        <v>177.0</v>
      </c>
    </row>
    <row r="64">
      <c r="A64" s="129">
        <v>62.0</v>
      </c>
      <c r="B64" s="130">
        <v>45548.0</v>
      </c>
      <c r="C64" s="127" t="s">
        <v>198</v>
      </c>
      <c r="D64" s="127" t="s">
        <v>201</v>
      </c>
      <c r="E64" s="131">
        <v>75680.0</v>
      </c>
      <c r="F64" s="128">
        <v>308.0</v>
      </c>
    </row>
    <row r="65">
      <c r="A65" s="129">
        <v>63.0</v>
      </c>
      <c r="B65" s="130">
        <v>45621.0</v>
      </c>
      <c r="C65" s="127" t="s">
        <v>198</v>
      </c>
      <c r="D65" s="127" t="s">
        <v>202</v>
      </c>
      <c r="E65" s="131">
        <v>237000.04</v>
      </c>
      <c r="F65" s="128">
        <v>235.0</v>
      </c>
    </row>
    <row r="66">
      <c r="A66" s="129">
        <v>64.0</v>
      </c>
      <c r="B66" s="130">
        <v>45734.0</v>
      </c>
      <c r="C66" s="127" t="s">
        <v>198</v>
      </c>
      <c r="D66" s="127" t="s">
        <v>203</v>
      </c>
      <c r="E66" s="131">
        <v>2733.37</v>
      </c>
      <c r="F66" s="128">
        <v>122.0</v>
      </c>
    </row>
    <row r="67">
      <c r="A67" s="129">
        <v>65.0</v>
      </c>
      <c r="B67" s="130">
        <v>45640.0</v>
      </c>
      <c r="C67" s="127" t="s">
        <v>198</v>
      </c>
      <c r="D67" s="127" t="s">
        <v>204</v>
      </c>
      <c r="E67" s="131">
        <v>156000.23</v>
      </c>
      <c r="F67" s="128">
        <v>216.0</v>
      </c>
    </row>
    <row r="68">
      <c r="A68" s="129">
        <v>66.0</v>
      </c>
      <c r="B68" s="130">
        <v>45737.0</v>
      </c>
      <c r="C68" s="127" t="s">
        <v>198</v>
      </c>
      <c r="D68" s="127" t="s">
        <v>205</v>
      </c>
      <c r="E68" s="131">
        <v>51094.02</v>
      </c>
      <c r="F68" s="128">
        <v>119.0</v>
      </c>
    </row>
    <row r="69">
      <c r="A69" s="129">
        <v>67.0</v>
      </c>
      <c r="B69" s="132">
        <v>45691.0</v>
      </c>
      <c r="C69" s="127" t="s">
        <v>198</v>
      </c>
      <c r="D69" s="127" t="s">
        <v>206</v>
      </c>
      <c r="E69" s="131">
        <v>100100.0</v>
      </c>
      <c r="F69" s="128">
        <v>165.0</v>
      </c>
    </row>
    <row r="70">
      <c r="A70" s="129">
        <v>68.0</v>
      </c>
      <c r="B70" s="130">
        <v>45829.0</v>
      </c>
      <c r="C70" s="127" t="s">
        <v>198</v>
      </c>
      <c r="D70" s="127" t="s">
        <v>207</v>
      </c>
      <c r="E70" s="131">
        <v>136800.0</v>
      </c>
      <c r="F70" s="128">
        <v>27.0</v>
      </c>
    </row>
    <row r="71">
      <c r="A71" s="129">
        <v>69.0</v>
      </c>
      <c r="B71" s="130">
        <v>45829.0</v>
      </c>
      <c r="C71" s="127" t="s">
        <v>198</v>
      </c>
      <c r="D71" s="127" t="s">
        <v>208</v>
      </c>
      <c r="E71" s="131">
        <v>70000.0</v>
      </c>
      <c r="F71" s="128">
        <v>27.0</v>
      </c>
    </row>
    <row r="72">
      <c r="A72" s="129">
        <v>70.0</v>
      </c>
      <c r="B72" s="130">
        <v>45834.0</v>
      </c>
      <c r="C72" s="127" t="s">
        <v>198</v>
      </c>
      <c r="D72" s="127" t="s">
        <v>209</v>
      </c>
      <c r="E72" s="131">
        <v>22200.01</v>
      </c>
      <c r="F72" s="128">
        <v>22.0</v>
      </c>
    </row>
    <row r="73">
      <c r="A73" s="129">
        <v>71.0</v>
      </c>
      <c r="B73" s="130">
        <v>45848.0</v>
      </c>
      <c r="C73" s="127" t="s">
        <v>198</v>
      </c>
      <c r="D73" s="127" t="s">
        <v>210</v>
      </c>
      <c r="E73" s="131">
        <v>153400.01</v>
      </c>
      <c r="F73" s="128">
        <v>8.0</v>
      </c>
    </row>
    <row r="74">
      <c r="A74" s="129">
        <v>72.0</v>
      </c>
      <c r="B74" s="130">
        <v>45864.0</v>
      </c>
      <c r="C74" s="127" t="s">
        <v>198</v>
      </c>
      <c r="D74" s="127" t="s">
        <v>211</v>
      </c>
      <c r="E74" s="131">
        <v>180000.0</v>
      </c>
      <c r="F74" s="128">
        <v>0.0</v>
      </c>
    </row>
    <row r="75">
      <c r="A75" s="129">
        <v>73.0</v>
      </c>
      <c r="B75" s="130">
        <v>45761.0</v>
      </c>
      <c r="C75" s="127" t="s">
        <v>212</v>
      </c>
      <c r="D75" s="127" t="s">
        <v>213</v>
      </c>
      <c r="E75" s="131">
        <v>95100.04</v>
      </c>
      <c r="F75" s="128">
        <v>95.0</v>
      </c>
    </row>
    <row r="76">
      <c r="A76" s="129">
        <v>74.0</v>
      </c>
      <c r="B76" s="130">
        <v>45835.0</v>
      </c>
      <c r="C76" s="127" t="s">
        <v>212</v>
      </c>
      <c r="D76" s="127" t="s">
        <v>214</v>
      </c>
      <c r="E76" s="131">
        <v>360000.0</v>
      </c>
      <c r="F76" s="128">
        <v>21.0</v>
      </c>
    </row>
    <row r="77">
      <c r="A77" s="129">
        <v>75.0</v>
      </c>
      <c r="B77" s="130">
        <v>45835.0</v>
      </c>
      <c r="C77" s="127" t="s">
        <v>212</v>
      </c>
      <c r="D77" s="127" t="s">
        <v>215</v>
      </c>
      <c r="E77" s="131">
        <v>136700.02</v>
      </c>
      <c r="F77" s="128">
        <v>21.0</v>
      </c>
    </row>
    <row r="78">
      <c r="A78" s="129">
        <v>76.0</v>
      </c>
      <c r="B78" s="130">
        <v>45698.0</v>
      </c>
      <c r="C78" s="127" t="s">
        <v>216</v>
      </c>
      <c r="D78" s="127" t="s">
        <v>217</v>
      </c>
      <c r="E78" s="131">
        <v>8749.96</v>
      </c>
      <c r="F78" s="128">
        <v>158.0</v>
      </c>
    </row>
    <row r="79">
      <c r="A79" s="129">
        <v>77.0</v>
      </c>
      <c r="B79" s="130">
        <v>45701.0</v>
      </c>
      <c r="C79" s="127" t="s">
        <v>218</v>
      </c>
      <c r="D79" s="127" t="s">
        <v>219</v>
      </c>
      <c r="E79" s="131">
        <v>1000.0</v>
      </c>
      <c r="F79" s="128">
        <v>155.0</v>
      </c>
    </row>
    <row r="80">
      <c r="A80" s="129">
        <v>78.0</v>
      </c>
      <c r="B80" s="130">
        <v>45835.0</v>
      </c>
      <c r="C80" s="127" t="s">
        <v>218</v>
      </c>
      <c r="D80" s="127" t="s">
        <v>220</v>
      </c>
      <c r="E80" s="131">
        <v>145312.79</v>
      </c>
      <c r="F80" s="128">
        <v>21.0</v>
      </c>
    </row>
    <row r="81">
      <c r="A81" s="129">
        <v>79.0</v>
      </c>
      <c r="B81" s="132">
        <v>45847.0</v>
      </c>
      <c r="C81" s="127" t="s">
        <v>218</v>
      </c>
      <c r="D81" s="127" t="s">
        <v>221</v>
      </c>
      <c r="E81" s="131">
        <v>61426.21</v>
      </c>
      <c r="F81" s="128">
        <v>9.0</v>
      </c>
    </row>
    <row r="82">
      <c r="A82" s="129">
        <v>80.0</v>
      </c>
      <c r="B82" s="130">
        <v>45862.0</v>
      </c>
      <c r="C82" s="127" t="s">
        <v>218</v>
      </c>
      <c r="D82" s="127" t="s">
        <v>222</v>
      </c>
      <c r="E82" s="131">
        <v>344185.09</v>
      </c>
      <c r="F82" s="128">
        <v>0.0</v>
      </c>
    </row>
    <row r="83">
      <c r="A83" s="129">
        <v>81.0</v>
      </c>
      <c r="B83" s="130">
        <v>45681.0</v>
      </c>
      <c r="C83" s="127" t="s">
        <v>223</v>
      </c>
      <c r="D83" s="127" t="s">
        <v>224</v>
      </c>
      <c r="E83" s="131">
        <v>41000.02</v>
      </c>
      <c r="F83" s="128">
        <v>175.0</v>
      </c>
    </row>
    <row r="84">
      <c r="A84" s="129">
        <v>82.0</v>
      </c>
      <c r="B84" s="132">
        <v>45839.0</v>
      </c>
      <c r="C84" s="127" t="s">
        <v>223</v>
      </c>
      <c r="D84" s="127" t="s">
        <v>225</v>
      </c>
      <c r="E84" s="131">
        <v>138900.01</v>
      </c>
      <c r="F84" s="128">
        <v>17.0</v>
      </c>
    </row>
    <row r="85">
      <c r="A85" s="129">
        <v>83.0</v>
      </c>
      <c r="B85" s="130">
        <v>45859.0</v>
      </c>
      <c r="C85" s="127" t="s">
        <v>223</v>
      </c>
      <c r="D85" s="127" t="s">
        <v>226</v>
      </c>
      <c r="E85" s="131">
        <v>130592.51</v>
      </c>
      <c r="F85" s="128">
        <v>0.0</v>
      </c>
    </row>
    <row r="86">
      <c r="A86" s="129">
        <v>84.0</v>
      </c>
      <c r="B86" s="130">
        <v>45747.0</v>
      </c>
      <c r="C86" s="127" t="s">
        <v>227</v>
      </c>
      <c r="D86" s="127" t="s">
        <v>228</v>
      </c>
      <c r="E86" s="131">
        <v>21000.0</v>
      </c>
      <c r="F86" s="128">
        <v>109.0</v>
      </c>
    </row>
    <row r="87">
      <c r="A87" s="129">
        <v>85.0</v>
      </c>
      <c r="B87" s="130">
        <v>45747.0</v>
      </c>
      <c r="C87" s="127" t="s">
        <v>227</v>
      </c>
      <c r="D87" s="127" t="s">
        <v>229</v>
      </c>
      <c r="E87" s="131">
        <v>56800.0</v>
      </c>
      <c r="F87" s="128">
        <v>109.0</v>
      </c>
    </row>
    <row r="88">
      <c r="A88" s="129">
        <v>86.0</v>
      </c>
      <c r="B88" s="130">
        <v>45581.0</v>
      </c>
      <c r="C88" s="127" t="s">
        <v>230</v>
      </c>
      <c r="D88" s="127" t="s">
        <v>231</v>
      </c>
      <c r="E88" s="131">
        <v>94997.75</v>
      </c>
      <c r="F88" s="128">
        <v>275.0</v>
      </c>
    </row>
    <row r="89">
      <c r="A89" s="129">
        <v>87.0</v>
      </c>
      <c r="B89" s="130">
        <v>45728.0</v>
      </c>
      <c r="C89" s="127" t="s">
        <v>230</v>
      </c>
      <c r="D89" s="127" t="s">
        <v>232</v>
      </c>
      <c r="E89" s="131">
        <v>104999.98</v>
      </c>
      <c r="F89" s="128">
        <v>128.0</v>
      </c>
    </row>
    <row r="90">
      <c r="A90" s="129">
        <v>88.0</v>
      </c>
      <c r="B90" s="130">
        <v>45652.0</v>
      </c>
      <c r="C90" s="127" t="s">
        <v>230</v>
      </c>
      <c r="D90" s="127" t="s">
        <v>233</v>
      </c>
      <c r="E90" s="131">
        <v>209999.96</v>
      </c>
      <c r="F90" s="128">
        <v>204.0</v>
      </c>
    </row>
    <row r="91">
      <c r="A91" s="129">
        <v>89.0</v>
      </c>
      <c r="B91" s="130">
        <v>45743.0</v>
      </c>
      <c r="C91" s="127" t="s">
        <v>230</v>
      </c>
      <c r="D91" s="127" t="s">
        <v>234</v>
      </c>
      <c r="E91" s="131">
        <v>125999.98</v>
      </c>
      <c r="F91" s="128">
        <v>113.0</v>
      </c>
    </row>
    <row r="92">
      <c r="A92" s="129">
        <v>90.0</v>
      </c>
      <c r="B92" s="132">
        <v>45695.0</v>
      </c>
      <c r="C92" s="127" t="s">
        <v>230</v>
      </c>
      <c r="D92" s="127" t="s">
        <v>235</v>
      </c>
      <c r="E92" s="131">
        <v>157499.97</v>
      </c>
      <c r="F92" s="128">
        <v>161.0</v>
      </c>
    </row>
    <row r="93">
      <c r="A93" s="129">
        <v>91.0</v>
      </c>
      <c r="B93" s="130">
        <v>45765.0</v>
      </c>
      <c r="C93" s="127" t="s">
        <v>230</v>
      </c>
      <c r="D93" s="127" t="s">
        <v>236</v>
      </c>
      <c r="E93" s="131">
        <v>125999.98</v>
      </c>
      <c r="F93" s="128">
        <v>91.0</v>
      </c>
    </row>
    <row r="94">
      <c r="A94" s="129">
        <v>92.0</v>
      </c>
      <c r="B94" s="130">
        <v>45776.0</v>
      </c>
      <c r="C94" s="127" t="s">
        <v>230</v>
      </c>
      <c r="D94" s="127" t="s">
        <v>237</v>
      </c>
      <c r="E94" s="131">
        <v>157499.97</v>
      </c>
      <c r="F94" s="128">
        <v>80.0</v>
      </c>
    </row>
    <row r="95">
      <c r="A95" s="129">
        <v>93.0</v>
      </c>
      <c r="B95" s="133">
        <v>45785.0</v>
      </c>
      <c r="C95" s="127" t="s">
        <v>230</v>
      </c>
      <c r="D95" s="127" t="s">
        <v>238</v>
      </c>
      <c r="E95" s="131">
        <v>157499.97</v>
      </c>
      <c r="F95" s="128">
        <v>71.0</v>
      </c>
    </row>
    <row r="96">
      <c r="A96" s="129">
        <v>94.0</v>
      </c>
      <c r="B96" s="130">
        <v>45853.0</v>
      </c>
      <c r="C96" s="127" t="s">
        <v>239</v>
      </c>
      <c r="D96" s="127" t="s">
        <v>240</v>
      </c>
      <c r="E96" s="131">
        <v>21000.01</v>
      </c>
      <c r="F96" s="128">
        <v>17.0</v>
      </c>
    </row>
    <row r="97">
      <c r="A97" s="129">
        <v>95.0</v>
      </c>
      <c r="B97" s="132">
        <v>45666.0</v>
      </c>
      <c r="C97" s="127" t="s">
        <v>241</v>
      </c>
      <c r="D97" s="127" t="s">
        <v>242</v>
      </c>
      <c r="E97" s="131">
        <v>141060.02</v>
      </c>
      <c r="F97" s="128">
        <v>190.0</v>
      </c>
    </row>
    <row r="98">
      <c r="A98" s="129">
        <v>96.0</v>
      </c>
      <c r="B98" s="130">
        <v>45679.0</v>
      </c>
      <c r="C98" s="127" t="s">
        <v>241</v>
      </c>
      <c r="D98" s="127" t="s">
        <v>243</v>
      </c>
      <c r="E98" s="131">
        <v>161149.92</v>
      </c>
      <c r="F98" s="128">
        <v>177.0</v>
      </c>
    </row>
    <row r="99">
      <c r="A99" s="129">
        <v>97.0</v>
      </c>
      <c r="B99" s="130">
        <v>45680.0</v>
      </c>
      <c r="C99" s="127" t="s">
        <v>241</v>
      </c>
      <c r="D99" s="127" t="s">
        <v>244</v>
      </c>
      <c r="E99" s="131">
        <v>43499.99</v>
      </c>
      <c r="F99" s="128">
        <v>176.0</v>
      </c>
    </row>
    <row r="100">
      <c r="A100" s="129">
        <v>98.0</v>
      </c>
      <c r="B100" s="132">
        <v>45723.0</v>
      </c>
      <c r="C100" s="127" t="s">
        <v>241</v>
      </c>
      <c r="D100" s="127" t="s">
        <v>245</v>
      </c>
      <c r="E100" s="131">
        <v>153525.03</v>
      </c>
      <c r="F100" s="128">
        <v>133.0</v>
      </c>
    </row>
    <row r="101">
      <c r="A101" s="129">
        <v>99.0</v>
      </c>
      <c r="B101" s="130">
        <v>45726.0</v>
      </c>
      <c r="C101" s="127" t="s">
        <v>241</v>
      </c>
      <c r="D101" s="127" t="s">
        <v>246</v>
      </c>
      <c r="E101" s="131">
        <v>191160.46</v>
      </c>
      <c r="F101" s="128">
        <v>130.0</v>
      </c>
    </row>
    <row r="102">
      <c r="A102" s="129">
        <v>100.0</v>
      </c>
      <c r="B102" s="130">
        <v>45624.0</v>
      </c>
      <c r="C102" s="127" t="s">
        <v>241</v>
      </c>
      <c r="D102" s="127" t="s">
        <v>247</v>
      </c>
      <c r="E102" s="131">
        <v>182100.07</v>
      </c>
      <c r="F102" s="128">
        <v>232.0</v>
      </c>
    </row>
    <row r="103">
      <c r="A103" s="129">
        <v>101.0</v>
      </c>
      <c r="B103" s="130">
        <v>45736.0</v>
      </c>
      <c r="C103" s="127" t="s">
        <v>241</v>
      </c>
      <c r="D103" s="127" t="s">
        <v>248</v>
      </c>
      <c r="E103" s="131">
        <v>82500.0</v>
      </c>
      <c r="F103" s="128">
        <v>134.0</v>
      </c>
    </row>
    <row r="104">
      <c r="A104" s="129">
        <v>102.0</v>
      </c>
      <c r="B104" s="130">
        <v>45736.0</v>
      </c>
      <c r="C104" s="127" t="s">
        <v>241</v>
      </c>
      <c r="D104" s="127" t="s">
        <v>249</v>
      </c>
      <c r="E104" s="131">
        <v>76100.0</v>
      </c>
      <c r="F104" s="128">
        <v>120.0</v>
      </c>
    </row>
    <row r="105">
      <c r="A105" s="129">
        <v>103.0</v>
      </c>
      <c r="B105" s="130">
        <v>45757.0</v>
      </c>
      <c r="C105" s="127" t="s">
        <v>241</v>
      </c>
      <c r="D105" s="127" t="s">
        <v>250</v>
      </c>
      <c r="E105" s="131">
        <v>82911.32</v>
      </c>
      <c r="F105" s="128">
        <v>99.0</v>
      </c>
    </row>
    <row r="106">
      <c r="A106" s="129">
        <v>104.0</v>
      </c>
      <c r="B106" s="130">
        <v>45776.0</v>
      </c>
      <c r="C106" s="127" t="s">
        <v>241</v>
      </c>
      <c r="D106" s="127" t="s">
        <v>251</v>
      </c>
      <c r="E106" s="131">
        <v>60000.0</v>
      </c>
      <c r="F106" s="128">
        <v>80.0</v>
      </c>
    </row>
    <row r="107">
      <c r="A107" s="129">
        <v>105.0</v>
      </c>
      <c r="B107" s="130">
        <v>45776.0</v>
      </c>
      <c r="C107" s="127" t="s">
        <v>241</v>
      </c>
      <c r="D107" s="127" t="s">
        <v>252</v>
      </c>
      <c r="E107" s="131">
        <v>32800.01</v>
      </c>
      <c r="F107" s="128">
        <v>80.0</v>
      </c>
    </row>
    <row r="108">
      <c r="A108" s="129">
        <v>106.0</v>
      </c>
      <c r="B108" s="134">
        <v>45791.0</v>
      </c>
      <c r="C108" s="127" t="s">
        <v>241</v>
      </c>
      <c r="D108" s="127" t="s">
        <v>253</v>
      </c>
      <c r="E108" s="131">
        <v>109682.09</v>
      </c>
      <c r="F108" s="128">
        <v>65.0</v>
      </c>
    </row>
    <row r="109">
      <c r="A109" s="129">
        <v>107.0</v>
      </c>
      <c r="B109" s="134">
        <v>45791.0</v>
      </c>
      <c r="C109" s="127" t="s">
        <v>241</v>
      </c>
      <c r="D109" s="127" t="s">
        <v>254</v>
      </c>
      <c r="E109" s="131">
        <v>90000.0</v>
      </c>
      <c r="F109" s="128">
        <v>65.0</v>
      </c>
    </row>
    <row r="110">
      <c r="A110" s="129">
        <v>108.0</v>
      </c>
      <c r="B110" s="134">
        <v>45808.0</v>
      </c>
      <c r="C110" s="127" t="s">
        <v>241</v>
      </c>
      <c r="D110" s="127" t="s">
        <v>255</v>
      </c>
      <c r="E110" s="131">
        <v>125000.0</v>
      </c>
      <c r="F110" s="128">
        <v>48.0</v>
      </c>
    </row>
    <row r="111">
      <c r="A111" s="129">
        <v>109.0</v>
      </c>
      <c r="B111" s="134">
        <v>45808.0</v>
      </c>
      <c r="C111" s="127" t="s">
        <v>241</v>
      </c>
      <c r="D111" s="127" t="s">
        <v>256</v>
      </c>
      <c r="E111" s="131">
        <v>30000.0</v>
      </c>
      <c r="F111" s="128">
        <v>48.0</v>
      </c>
    </row>
    <row r="112">
      <c r="A112" s="129">
        <v>110.0</v>
      </c>
      <c r="B112" s="132">
        <v>45812.0</v>
      </c>
      <c r="C112" s="127" t="s">
        <v>241</v>
      </c>
      <c r="D112" s="127" t="s">
        <v>257</v>
      </c>
      <c r="E112" s="131">
        <v>30000.0</v>
      </c>
      <c r="F112" s="128">
        <v>44.0</v>
      </c>
    </row>
    <row r="113">
      <c r="A113" s="129">
        <v>111.0</v>
      </c>
      <c r="B113" s="132">
        <v>45812.0</v>
      </c>
      <c r="C113" s="127" t="s">
        <v>241</v>
      </c>
      <c r="D113" s="127" t="s">
        <v>128</v>
      </c>
      <c r="E113" s="131">
        <v>150882.08</v>
      </c>
      <c r="F113" s="128">
        <v>44.0</v>
      </c>
    </row>
    <row r="114">
      <c r="A114" s="129">
        <v>112.0</v>
      </c>
      <c r="B114" s="130">
        <v>45827.0</v>
      </c>
      <c r="C114" s="127" t="s">
        <v>241</v>
      </c>
      <c r="D114" s="127" t="s">
        <v>258</v>
      </c>
      <c r="E114" s="131">
        <v>207963.65</v>
      </c>
      <c r="F114" s="128">
        <v>29.0</v>
      </c>
    </row>
    <row r="115">
      <c r="A115" s="129">
        <v>113.0</v>
      </c>
      <c r="B115" s="132">
        <v>45840.0</v>
      </c>
      <c r="C115" s="127" t="s">
        <v>241</v>
      </c>
      <c r="D115" s="127" t="s">
        <v>259</v>
      </c>
      <c r="E115" s="131">
        <v>164987.72</v>
      </c>
      <c r="F115" s="128">
        <v>16.0</v>
      </c>
    </row>
    <row r="116">
      <c r="A116" s="129">
        <v>114.0</v>
      </c>
      <c r="B116" s="130">
        <v>45743.0</v>
      </c>
      <c r="C116" s="127" t="s">
        <v>260</v>
      </c>
      <c r="D116" s="127" t="s">
        <v>261</v>
      </c>
      <c r="E116" s="131">
        <v>59500.0</v>
      </c>
      <c r="F116" s="128">
        <v>97.0</v>
      </c>
    </row>
    <row r="117">
      <c r="A117" s="129">
        <v>115.0</v>
      </c>
      <c r="B117" s="130">
        <v>45708.0</v>
      </c>
      <c r="C117" s="127" t="s">
        <v>260</v>
      </c>
      <c r="D117" s="127" t="s">
        <v>262</v>
      </c>
      <c r="E117" s="131">
        <v>250700.0</v>
      </c>
      <c r="F117" s="128">
        <v>148.0</v>
      </c>
    </row>
    <row r="118">
      <c r="A118" s="129">
        <v>116.0</v>
      </c>
      <c r="B118" s="130">
        <v>45678.0</v>
      </c>
      <c r="C118" s="127" t="s">
        <v>263</v>
      </c>
      <c r="D118" s="127" t="s">
        <v>264</v>
      </c>
      <c r="E118" s="131">
        <v>63387.51</v>
      </c>
      <c r="F118" s="128">
        <v>178.0</v>
      </c>
    </row>
    <row r="119">
      <c r="A119" s="129">
        <v>117.0</v>
      </c>
      <c r="B119" s="130">
        <v>45679.0</v>
      </c>
      <c r="C119" s="127" t="s">
        <v>263</v>
      </c>
      <c r="D119" s="127" t="s">
        <v>265</v>
      </c>
      <c r="E119" s="131">
        <v>136800.01</v>
      </c>
      <c r="F119" s="128">
        <v>177.0</v>
      </c>
    </row>
    <row r="120">
      <c r="A120" s="129">
        <v>118.0</v>
      </c>
      <c r="B120" s="130">
        <v>45687.0</v>
      </c>
      <c r="C120" s="127" t="s">
        <v>263</v>
      </c>
      <c r="D120" s="127" t="s">
        <v>266</v>
      </c>
      <c r="E120" s="131">
        <v>159825.01</v>
      </c>
      <c r="F120" s="128">
        <v>162.0</v>
      </c>
    </row>
    <row r="121">
      <c r="A121" s="129">
        <v>119.0</v>
      </c>
      <c r="B121" s="130">
        <v>45590.0</v>
      </c>
      <c r="C121" s="127" t="s">
        <v>263</v>
      </c>
      <c r="D121" s="127" t="s">
        <v>267</v>
      </c>
      <c r="E121" s="131">
        <v>119350.0</v>
      </c>
      <c r="F121" s="128">
        <v>266.0</v>
      </c>
    </row>
    <row r="122">
      <c r="A122" s="129">
        <v>120.0</v>
      </c>
      <c r="B122" s="130">
        <v>45595.0</v>
      </c>
      <c r="C122" s="127" t="s">
        <v>263</v>
      </c>
      <c r="D122" s="127" t="s">
        <v>268</v>
      </c>
      <c r="E122" s="131">
        <v>403879.95</v>
      </c>
      <c r="F122" s="128">
        <v>261.0</v>
      </c>
    </row>
    <row r="123">
      <c r="A123" s="129">
        <v>121.0</v>
      </c>
      <c r="B123" s="130">
        <v>45608.0</v>
      </c>
      <c r="C123" s="127" t="s">
        <v>263</v>
      </c>
      <c r="D123" s="127" t="s">
        <v>269</v>
      </c>
      <c r="E123" s="131">
        <v>64800.01</v>
      </c>
      <c r="F123" s="128">
        <v>261.0</v>
      </c>
    </row>
    <row r="124">
      <c r="A124" s="129">
        <v>122.0</v>
      </c>
      <c r="B124" s="130">
        <v>45609.0</v>
      </c>
      <c r="C124" s="127" t="s">
        <v>263</v>
      </c>
      <c r="D124" s="127" t="s">
        <v>270</v>
      </c>
      <c r="E124" s="131">
        <v>268979.84</v>
      </c>
      <c r="F124" s="128">
        <v>247.0</v>
      </c>
    </row>
    <row r="125">
      <c r="A125" s="129">
        <v>123.0</v>
      </c>
      <c r="B125" s="130">
        <v>45625.0</v>
      </c>
      <c r="C125" s="127" t="s">
        <v>263</v>
      </c>
      <c r="D125" s="127" t="s">
        <v>271</v>
      </c>
      <c r="E125" s="131">
        <v>91380.0</v>
      </c>
      <c r="F125" s="128">
        <v>231.0</v>
      </c>
    </row>
    <row r="126">
      <c r="A126" s="129">
        <v>124.0</v>
      </c>
      <c r="B126" s="132">
        <v>45631.0</v>
      </c>
      <c r="C126" s="127" t="s">
        <v>263</v>
      </c>
      <c r="D126" s="127" t="s">
        <v>126</v>
      </c>
      <c r="E126" s="131">
        <v>258410.01</v>
      </c>
      <c r="F126" s="128">
        <v>225.0</v>
      </c>
    </row>
    <row r="127">
      <c r="A127" s="129">
        <v>125.0</v>
      </c>
      <c r="B127" s="130">
        <v>45728.0</v>
      </c>
      <c r="C127" s="127" t="s">
        <v>263</v>
      </c>
      <c r="D127" s="127" t="s">
        <v>272</v>
      </c>
      <c r="E127" s="131">
        <v>85320.45</v>
      </c>
      <c r="F127" s="128">
        <v>128.0</v>
      </c>
    </row>
    <row r="128">
      <c r="A128" s="129">
        <v>126.0</v>
      </c>
      <c r="B128" s="130">
        <v>45735.0</v>
      </c>
      <c r="C128" s="127" t="s">
        <v>263</v>
      </c>
      <c r="D128" s="127" t="s">
        <v>273</v>
      </c>
      <c r="E128" s="131">
        <v>79385.45</v>
      </c>
      <c r="F128" s="128">
        <v>135.0</v>
      </c>
    </row>
    <row r="129">
      <c r="A129" s="129">
        <v>127.0</v>
      </c>
      <c r="B129" s="130">
        <v>45644.0</v>
      </c>
      <c r="C129" s="127" t="s">
        <v>263</v>
      </c>
      <c r="D129" s="127" t="s">
        <v>274</v>
      </c>
      <c r="E129" s="131">
        <v>200975.01</v>
      </c>
      <c r="F129" s="128">
        <v>212.0</v>
      </c>
    </row>
    <row r="130">
      <c r="A130" s="129">
        <v>128.0</v>
      </c>
      <c r="B130" s="132">
        <v>45693.0</v>
      </c>
      <c r="C130" s="127" t="s">
        <v>263</v>
      </c>
      <c r="D130" s="127" t="s">
        <v>275</v>
      </c>
      <c r="E130" s="131">
        <v>27000.0</v>
      </c>
      <c r="F130" s="128">
        <v>163.0</v>
      </c>
    </row>
    <row r="131">
      <c r="A131" s="129">
        <v>129.0</v>
      </c>
      <c r="B131" s="132">
        <v>45719.0</v>
      </c>
      <c r="C131" s="127" t="s">
        <v>263</v>
      </c>
      <c r="D131" s="127" t="s">
        <v>276</v>
      </c>
      <c r="E131" s="131">
        <v>91620.0</v>
      </c>
      <c r="F131" s="128">
        <v>137.0</v>
      </c>
    </row>
    <row r="132">
      <c r="A132" s="129">
        <v>130.0</v>
      </c>
      <c r="B132" s="132">
        <v>45721.0</v>
      </c>
      <c r="C132" s="127" t="s">
        <v>263</v>
      </c>
      <c r="D132" s="127" t="s">
        <v>277</v>
      </c>
      <c r="E132" s="131">
        <v>79750.0</v>
      </c>
      <c r="F132" s="128">
        <v>135.0</v>
      </c>
    </row>
    <row r="133">
      <c r="A133" s="129">
        <v>131.0</v>
      </c>
      <c r="B133" s="134">
        <v>45806.0</v>
      </c>
      <c r="C133" s="127" t="s">
        <v>263</v>
      </c>
      <c r="D133" s="127" t="s">
        <v>278</v>
      </c>
      <c r="E133" s="131">
        <v>117321.97</v>
      </c>
      <c r="F133" s="128">
        <v>50.0</v>
      </c>
    </row>
    <row r="134">
      <c r="A134" s="129">
        <v>132.0</v>
      </c>
      <c r="B134" s="132">
        <v>45812.0</v>
      </c>
      <c r="C134" s="127" t="s">
        <v>263</v>
      </c>
      <c r="D134" s="127" t="s">
        <v>279</v>
      </c>
      <c r="E134" s="131">
        <v>25200.0</v>
      </c>
      <c r="F134" s="128">
        <v>44.0</v>
      </c>
    </row>
    <row r="135">
      <c r="A135" s="129">
        <v>133.0</v>
      </c>
      <c r="B135" s="130">
        <v>45824.0</v>
      </c>
      <c r="C135" s="127" t="s">
        <v>263</v>
      </c>
      <c r="D135" s="127" t="s">
        <v>280</v>
      </c>
      <c r="E135" s="131">
        <v>157344.58</v>
      </c>
      <c r="F135" s="128">
        <v>32.0</v>
      </c>
    </row>
    <row r="136">
      <c r="A136" s="129">
        <v>134.0</v>
      </c>
      <c r="B136" s="130">
        <v>45826.0</v>
      </c>
      <c r="C136" s="127" t="s">
        <v>263</v>
      </c>
      <c r="D136" s="127" t="s">
        <v>281</v>
      </c>
      <c r="E136" s="131">
        <v>100800.0</v>
      </c>
      <c r="F136" s="128">
        <v>30.0</v>
      </c>
    </row>
    <row r="137">
      <c r="A137" s="129">
        <v>135.0</v>
      </c>
      <c r="B137" s="132">
        <v>45840.0</v>
      </c>
      <c r="C137" s="127" t="s">
        <v>263</v>
      </c>
      <c r="D137" s="127" t="s">
        <v>282</v>
      </c>
      <c r="E137" s="131">
        <v>129947.57</v>
      </c>
      <c r="F137" s="128">
        <v>16.0</v>
      </c>
    </row>
    <row r="138">
      <c r="A138" s="129">
        <v>136.0</v>
      </c>
      <c r="B138" s="130">
        <v>45679.0</v>
      </c>
      <c r="C138" s="127" t="s">
        <v>283</v>
      </c>
      <c r="D138" s="127" t="s">
        <v>284</v>
      </c>
      <c r="E138" s="131">
        <v>562012.39</v>
      </c>
      <c r="F138" s="128">
        <v>177.0</v>
      </c>
    </row>
    <row r="139">
      <c r="A139" s="129">
        <v>137.0</v>
      </c>
      <c r="B139" s="130">
        <v>45547.0</v>
      </c>
      <c r="C139" s="127" t="s">
        <v>283</v>
      </c>
      <c r="D139" s="127" t="s">
        <v>285</v>
      </c>
      <c r="E139" s="131">
        <v>199963.98</v>
      </c>
      <c r="F139" s="128">
        <v>309.0</v>
      </c>
    </row>
    <row r="140">
      <c r="A140" s="129">
        <v>138.0</v>
      </c>
      <c r="B140" s="130">
        <v>45595.0</v>
      </c>
      <c r="C140" s="127" t="s">
        <v>283</v>
      </c>
      <c r="D140" s="127" t="s">
        <v>286</v>
      </c>
      <c r="E140" s="131">
        <v>397500.02</v>
      </c>
      <c r="F140" s="128">
        <v>261.0</v>
      </c>
    </row>
    <row r="141">
      <c r="A141" s="129">
        <v>139.0</v>
      </c>
      <c r="B141" s="130">
        <v>45708.0</v>
      </c>
      <c r="C141" s="127" t="s">
        <v>283</v>
      </c>
      <c r="D141" s="127" t="s">
        <v>213</v>
      </c>
      <c r="E141" s="131">
        <v>108000.0</v>
      </c>
      <c r="F141" s="128">
        <v>148.0</v>
      </c>
    </row>
    <row r="142">
      <c r="A142" s="129">
        <v>140.0</v>
      </c>
      <c r="B142" s="130">
        <v>45838.0</v>
      </c>
      <c r="C142" s="127" t="s">
        <v>283</v>
      </c>
      <c r="D142" s="127" t="s">
        <v>287</v>
      </c>
      <c r="E142" s="131">
        <v>221194.26</v>
      </c>
      <c r="F142" s="128">
        <v>18.0</v>
      </c>
    </row>
    <row r="143">
      <c r="A143" s="129">
        <v>141.0</v>
      </c>
      <c r="B143" s="130">
        <v>45838.0</v>
      </c>
      <c r="C143" s="127" t="s">
        <v>283</v>
      </c>
      <c r="D143" s="127" t="s">
        <v>288</v>
      </c>
      <c r="E143" s="131">
        <v>240000.0</v>
      </c>
      <c r="F143" s="128">
        <v>18.0</v>
      </c>
    </row>
    <row r="144">
      <c r="A144" s="129">
        <v>142.0</v>
      </c>
      <c r="B144" s="130">
        <v>45859.0</v>
      </c>
      <c r="C144" s="127" t="s">
        <v>283</v>
      </c>
      <c r="D144" s="127" t="s">
        <v>289</v>
      </c>
      <c r="E144" s="131">
        <v>356333.61</v>
      </c>
      <c r="F144" s="128">
        <v>0.0</v>
      </c>
    </row>
    <row r="145">
      <c r="A145" s="129">
        <v>143.0</v>
      </c>
      <c r="B145" s="130">
        <v>45859.0</v>
      </c>
      <c r="C145" s="127" t="s">
        <v>283</v>
      </c>
      <c r="D145" s="127" t="s">
        <v>290</v>
      </c>
      <c r="E145" s="131">
        <v>180000.0</v>
      </c>
      <c r="F145" s="128">
        <v>0.0</v>
      </c>
    </row>
    <row r="146">
      <c r="A146" s="129">
        <v>144.0</v>
      </c>
      <c r="B146" s="132">
        <v>45569.0</v>
      </c>
      <c r="C146" s="127" t="s">
        <v>291</v>
      </c>
      <c r="D146" s="127" t="s">
        <v>292</v>
      </c>
      <c r="E146" s="131">
        <v>102759.25</v>
      </c>
      <c r="F146" s="128">
        <v>287.0</v>
      </c>
    </row>
    <row r="147">
      <c r="A147" s="129">
        <v>145.0</v>
      </c>
      <c r="B147" s="130">
        <v>45614.0</v>
      </c>
      <c r="C147" s="127" t="s">
        <v>293</v>
      </c>
      <c r="D147" s="127" t="s">
        <v>294</v>
      </c>
      <c r="E147" s="131">
        <v>32400.01</v>
      </c>
      <c r="F147" s="128">
        <v>242.0</v>
      </c>
    </row>
    <row r="148">
      <c r="A148" s="129">
        <v>146.0</v>
      </c>
      <c r="B148" s="132">
        <v>45749.0</v>
      </c>
      <c r="C148" s="127" t="s">
        <v>293</v>
      </c>
      <c r="D148" s="127" t="s">
        <v>295</v>
      </c>
      <c r="E148" s="131">
        <v>32400.01</v>
      </c>
      <c r="F148" s="128">
        <v>107.0</v>
      </c>
    </row>
    <row r="149">
      <c r="A149" s="129">
        <v>147.0</v>
      </c>
      <c r="B149" s="130">
        <v>45861.0</v>
      </c>
      <c r="C149" s="127" t="s">
        <v>293</v>
      </c>
      <c r="D149" s="127" t="s">
        <v>296</v>
      </c>
      <c r="E149" s="131">
        <v>7200.0</v>
      </c>
      <c r="F149" s="128">
        <v>0.0</v>
      </c>
    </row>
    <row r="150">
      <c r="A150" s="129">
        <v>148.0</v>
      </c>
      <c r="B150" s="134">
        <v>45793.0</v>
      </c>
      <c r="C150" s="127" t="s">
        <v>297</v>
      </c>
      <c r="D150" s="127" t="s">
        <v>298</v>
      </c>
      <c r="E150" s="131">
        <v>14000.0</v>
      </c>
      <c r="F150" s="128">
        <v>63.0</v>
      </c>
    </row>
    <row r="151">
      <c r="A151" s="129">
        <v>149.0</v>
      </c>
      <c r="B151" s="134">
        <v>45793.0</v>
      </c>
      <c r="C151" s="127" t="s">
        <v>297</v>
      </c>
      <c r="D151" s="127" t="s">
        <v>299</v>
      </c>
      <c r="E151" s="131">
        <v>90000.0</v>
      </c>
      <c r="F151" s="128">
        <v>63.0</v>
      </c>
    </row>
    <row r="152">
      <c r="A152" s="129">
        <v>150.0</v>
      </c>
      <c r="B152" s="132">
        <v>45839.0</v>
      </c>
      <c r="C152" s="127" t="s">
        <v>297</v>
      </c>
      <c r="D152" s="127" t="s">
        <v>300</v>
      </c>
      <c r="E152" s="131">
        <v>120000.0</v>
      </c>
      <c r="F152" s="128">
        <v>17.0</v>
      </c>
    </row>
    <row r="153">
      <c r="A153" s="129">
        <v>151.0</v>
      </c>
      <c r="B153" s="130">
        <v>45860.0</v>
      </c>
      <c r="C153" s="127" t="s">
        <v>297</v>
      </c>
      <c r="D153" s="127" t="s">
        <v>301</v>
      </c>
      <c r="E153" s="131">
        <v>120000.0</v>
      </c>
      <c r="F153" s="128">
        <v>0.0</v>
      </c>
    </row>
    <row r="154">
      <c r="A154" s="129">
        <v>152.0</v>
      </c>
      <c r="B154" s="130">
        <v>45860.0</v>
      </c>
      <c r="C154" s="127" t="s">
        <v>297</v>
      </c>
      <c r="D154" s="127" t="s">
        <v>302</v>
      </c>
      <c r="E154" s="131">
        <v>34957.0</v>
      </c>
      <c r="F154" s="128">
        <v>0.0</v>
      </c>
    </row>
    <row r="155">
      <c r="A155" s="129">
        <v>153.0</v>
      </c>
      <c r="B155" s="130">
        <v>45679.0</v>
      </c>
      <c r="C155" s="127" t="s">
        <v>303</v>
      </c>
      <c r="D155" s="127" t="s">
        <v>304</v>
      </c>
      <c r="E155" s="131">
        <v>64400.0</v>
      </c>
      <c r="F155" s="128">
        <v>177.0</v>
      </c>
    </row>
    <row r="156">
      <c r="A156" s="129">
        <v>154.0</v>
      </c>
      <c r="B156" s="130">
        <v>45548.0</v>
      </c>
      <c r="C156" s="127" t="s">
        <v>303</v>
      </c>
      <c r="D156" s="127" t="s">
        <v>305</v>
      </c>
      <c r="E156" s="131">
        <v>5504.0</v>
      </c>
      <c r="F156" s="128">
        <v>308.0</v>
      </c>
    </row>
    <row r="157">
      <c r="A157" s="129">
        <v>155.0</v>
      </c>
      <c r="B157" s="130">
        <v>45555.0</v>
      </c>
      <c r="C157" s="127" t="s">
        <v>303</v>
      </c>
      <c r="D157" s="127" t="s">
        <v>306</v>
      </c>
      <c r="E157" s="131">
        <v>18505.05</v>
      </c>
      <c r="F157" s="128">
        <v>301.0</v>
      </c>
    </row>
    <row r="158">
      <c r="A158" s="129">
        <v>156.0</v>
      </c>
      <c r="B158" s="130">
        <v>45595.0</v>
      </c>
      <c r="C158" s="127" t="s">
        <v>303</v>
      </c>
      <c r="D158" s="127" t="s">
        <v>307</v>
      </c>
      <c r="E158" s="131">
        <v>44999.99</v>
      </c>
      <c r="F158" s="128">
        <v>261.0</v>
      </c>
    </row>
    <row r="159">
      <c r="A159" s="129">
        <v>157.0</v>
      </c>
      <c r="B159" s="132">
        <v>45752.0</v>
      </c>
      <c r="C159" s="127" t="s">
        <v>303</v>
      </c>
      <c r="D159" s="127" t="s">
        <v>308</v>
      </c>
      <c r="E159" s="131">
        <v>42000.0</v>
      </c>
      <c r="F159" s="128">
        <v>104.0</v>
      </c>
    </row>
    <row r="160">
      <c r="A160" s="129">
        <v>158.0</v>
      </c>
      <c r="B160" s="130">
        <v>45861.0</v>
      </c>
      <c r="C160" s="127" t="s">
        <v>303</v>
      </c>
      <c r="D160" s="127" t="s">
        <v>123</v>
      </c>
      <c r="E160" s="131">
        <v>48178.5</v>
      </c>
      <c r="F160" s="128">
        <v>0.0</v>
      </c>
    </row>
    <row r="161">
      <c r="A161" s="129">
        <v>159.0</v>
      </c>
      <c r="B161" s="130">
        <v>45688.0</v>
      </c>
      <c r="C161" s="127" t="s">
        <v>309</v>
      </c>
      <c r="D161" s="127" t="s">
        <v>310</v>
      </c>
      <c r="E161" s="131">
        <v>440549.91</v>
      </c>
      <c r="F161" s="128">
        <v>161.0</v>
      </c>
    </row>
    <row r="162">
      <c r="A162" s="129">
        <v>160.0</v>
      </c>
      <c r="B162" s="130">
        <v>45712.0</v>
      </c>
      <c r="C162" s="127" t="s">
        <v>311</v>
      </c>
      <c r="D162" s="127" t="s">
        <v>312</v>
      </c>
      <c r="E162" s="131">
        <v>44249.93</v>
      </c>
      <c r="F162" s="128">
        <v>151.0</v>
      </c>
    </row>
    <row r="163">
      <c r="A163" s="129">
        <v>161.0</v>
      </c>
      <c r="B163" s="130">
        <v>45856.0</v>
      </c>
      <c r="C163" s="127" t="s">
        <v>311</v>
      </c>
      <c r="D163" s="127" t="s">
        <v>313</v>
      </c>
      <c r="E163" s="131">
        <v>151180.6</v>
      </c>
      <c r="F163" s="128">
        <v>0.0</v>
      </c>
    </row>
    <row r="164">
      <c r="A164" s="129">
        <v>162.0</v>
      </c>
      <c r="B164" s="132">
        <v>45723.0</v>
      </c>
      <c r="C164" s="127" t="s">
        <v>314</v>
      </c>
      <c r="D164" s="127" t="s">
        <v>315</v>
      </c>
      <c r="E164" s="131">
        <v>29200.0</v>
      </c>
      <c r="F164" s="128">
        <v>133.0</v>
      </c>
    </row>
    <row r="165">
      <c r="A165" s="129">
        <v>163.0</v>
      </c>
      <c r="B165" s="130">
        <v>45733.0</v>
      </c>
      <c r="C165" s="127" t="s">
        <v>314</v>
      </c>
      <c r="D165" s="127" t="s">
        <v>316</v>
      </c>
      <c r="E165" s="131">
        <v>54400.0</v>
      </c>
      <c r="F165" s="128">
        <v>123.0</v>
      </c>
    </row>
    <row r="166">
      <c r="A166" s="129">
        <v>164.0</v>
      </c>
      <c r="B166" s="132">
        <v>45842.0</v>
      </c>
      <c r="C166" s="127" t="s">
        <v>314</v>
      </c>
      <c r="D166" s="127" t="s">
        <v>317</v>
      </c>
      <c r="E166" s="131">
        <v>140400.02</v>
      </c>
      <c r="F166" s="128">
        <v>14.0</v>
      </c>
    </row>
    <row r="167">
      <c r="A167" s="129">
        <v>165.0</v>
      </c>
      <c r="B167" s="130">
        <v>45866.0</v>
      </c>
      <c r="C167" s="127" t="s">
        <v>314</v>
      </c>
      <c r="D167" s="127" t="s">
        <v>211</v>
      </c>
      <c r="E167" s="131">
        <v>60000.0</v>
      </c>
      <c r="F167" s="128">
        <v>0.0</v>
      </c>
    </row>
    <row r="168">
      <c r="A168" s="129">
        <v>166.0</v>
      </c>
      <c r="B168" s="130">
        <v>45866.0</v>
      </c>
      <c r="C168" s="127" t="s">
        <v>314</v>
      </c>
      <c r="D168" s="127" t="s">
        <v>318</v>
      </c>
      <c r="E168" s="131">
        <v>93511.3</v>
      </c>
      <c r="F168" s="128">
        <v>0.0</v>
      </c>
    </row>
    <row r="169">
      <c r="A169" s="129">
        <v>167.0</v>
      </c>
      <c r="B169" s="132">
        <v>45842.0</v>
      </c>
      <c r="C169" s="127" t="s">
        <v>319</v>
      </c>
      <c r="D169" s="127" t="s">
        <v>320</v>
      </c>
      <c r="E169" s="131">
        <v>21519.95</v>
      </c>
      <c r="F169" s="128">
        <v>14.0</v>
      </c>
    </row>
    <row r="170">
      <c r="A170" s="129">
        <v>168.0</v>
      </c>
      <c r="B170" s="130">
        <v>45868.0</v>
      </c>
      <c r="C170" s="127" t="s">
        <v>321</v>
      </c>
      <c r="D170" s="127" t="s">
        <v>322</v>
      </c>
      <c r="E170" s="131">
        <v>16800.0</v>
      </c>
      <c r="F170" s="128">
        <v>1.0</v>
      </c>
    </row>
    <row r="171">
      <c r="A171" s="129">
        <v>169.0</v>
      </c>
      <c r="B171" s="130">
        <v>45771.0</v>
      </c>
      <c r="C171" s="127" t="s">
        <v>323</v>
      </c>
      <c r="D171" s="127" t="s">
        <v>324</v>
      </c>
      <c r="E171" s="131">
        <v>91000.0</v>
      </c>
      <c r="F171" s="128">
        <v>98.0</v>
      </c>
    </row>
    <row r="172">
      <c r="A172" s="129">
        <v>170.0</v>
      </c>
      <c r="B172" s="130">
        <v>45856.0</v>
      </c>
      <c r="C172" s="127" t="s">
        <v>323</v>
      </c>
      <c r="D172" s="127" t="s">
        <v>325</v>
      </c>
      <c r="E172" s="131">
        <v>45500.0</v>
      </c>
      <c r="F172" s="128">
        <v>13.0</v>
      </c>
    </row>
    <row r="173">
      <c r="A173" s="129">
        <v>171.0</v>
      </c>
      <c r="B173" s="130">
        <v>45866.0</v>
      </c>
      <c r="C173" s="127" t="s">
        <v>323</v>
      </c>
      <c r="D173" s="127" t="s">
        <v>326</v>
      </c>
      <c r="E173" s="131">
        <v>10500.0</v>
      </c>
      <c r="F173" s="128">
        <v>3.0</v>
      </c>
    </row>
    <row r="174">
      <c r="A174" s="129">
        <v>172.0</v>
      </c>
      <c r="B174" s="130">
        <v>45770.0</v>
      </c>
      <c r="C174" s="127" t="s">
        <v>327</v>
      </c>
      <c r="D174" s="127" t="s">
        <v>328</v>
      </c>
      <c r="E174" s="131">
        <v>90000.0</v>
      </c>
      <c r="F174" s="128">
        <v>99.0</v>
      </c>
    </row>
    <row r="175">
      <c r="A175" s="129">
        <v>173.0</v>
      </c>
      <c r="B175" s="130">
        <v>45771.0</v>
      </c>
      <c r="C175" s="127" t="s">
        <v>327</v>
      </c>
      <c r="D175" s="127" t="s">
        <v>329</v>
      </c>
      <c r="E175" s="131">
        <v>52500.0</v>
      </c>
      <c r="F175" s="128">
        <v>92.0</v>
      </c>
    </row>
    <row r="176">
      <c r="A176" s="129">
        <v>174.0</v>
      </c>
      <c r="B176" s="133">
        <v>45783.0</v>
      </c>
      <c r="C176" s="127" t="s">
        <v>327</v>
      </c>
      <c r="D176" s="127" t="s">
        <v>330</v>
      </c>
      <c r="E176" s="131">
        <v>39906.26</v>
      </c>
      <c r="F176" s="128">
        <v>80.0</v>
      </c>
    </row>
    <row r="177">
      <c r="A177" s="129">
        <v>175.0</v>
      </c>
      <c r="B177" s="134">
        <v>45798.0</v>
      </c>
      <c r="C177" s="127" t="s">
        <v>327</v>
      </c>
      <c r="D177" s="127" t="s">
        <v>331</v>
      </c>
      <c r="E177" s="131">
        <v>49082.07</v>
      </c>
      <c r="F177" s="128">
        <v>65.0</v>
      </c>
    </row>
    <row r="178">
      <c r="A178" s="129">
        <v>176.0</v>
      </c>
      <c r="B178" s="130">
        <v>45833.0</v>
      </c>
      <c r="C178" s="127" t="s">
        <v>327</v>
      </c>
      <c r="D178" s="127" t="s">
        <v>332</v>
      </c>
      <c r="E178" s="131">
        <v>190353.84</v>
      </c>
      <c r="F178" s="128">
        <v>30.0</v>
      </c>
    </row>
    <row r="179">
      <c r="A179" s="129">
        <v>177.0</v>
      </c>
      <c r="B179" s="130">
        <v>45867.0</v>
      </c>
      <c r="C179" s="127" t="s">
        <v>333</v>
      </c>
      <c r="D179" s="127" t="s">
        <v>334</v>
      </c>
      <c r="E179" s="131">
        <v>17478.5</v>
      </c>
      <c r="F179" s="128">
        <v>0.0</v>
      </c>
    </row>
    <row r="180">
      <c r="A180" s="129">
        <v>178.0</v>
      </c>
      <c r="B180" s="132">
        <v>45600.0</v>
      </c>
      <c r="C180" s="127" t="s">
        <v>335</v>
      </c>
      <c r="D180" s="127" t="s">
        <v>336</v>
      </c>
      <c r="E180" s="131">
        <v>38500.0</v>
      </c>
      <c r="F180" s="128">
        <v>269.0</v>
      </c>
    </row>
    <row r="181">
      <c r="A181" s="129">
        <v>179.0</v>
      </c>
      <c r="B181" s="130">
        <v>45701.0</v>
      </c>
      <c r="C181" s="127" t="s">
        <v>335</v>
      </c>
      <c r="D181" s="127" t="s">
        <v>127</v>
      </c>
      <c r="E181" s="131">
        <v>42000.0</v>
      </c>
      <c r="F181" s="128">
        <v>155.0</v>
      </c>
    </row>
    <row r="182">
      <c r="A182" s="129">
        <v>180.0</v>
      </c>
      <c r="B182" s="130">
        <v>45862.0</v>
      </c>
      <c r="C182" s="127" t="s">
        <v>335</v>
      </c>
      <c r="D182" s="127" t="s">
        <v>129</v>
      </c>
      <c r="E182" s="131">
        <v>52457.0</v>
      </c>
      <c r="F182" s="128">
        <v>0.0</v>
      </c>
    </row>
    <row r="183">
      <c r="A183" s="129">
        <v>181.0</v>
      </c>
      <c r="B183" s="132">
        <v>45568.0</v>
      </c>
      <c r="C183" s="127" t="s">
        <v>337</v>
      </c>
      <c r="D183" s="127" t="s">
        <v>338</v>
      </c>
      <c r="E183" s="131">
        <v>33325.0</v>
      </c>
      <c r="F183" s="128">
        <v>288.0</v>
      </c>
    </row>
    <row r="184">
      <c r="A184" s="129">
        <v>182.0</v>
      </c>
      <c r="B184" s="132">
        <v>45574.0</v>
      </c>
      <c r="C184" s="127" t="s">
        <v>337</v>
      </c>
      <c r="D184" s="127" t="s">
        <v>339</v>
      </c>
      <c r="E184" s="131">
        <v>243010.2</v>
      </c>
      <c r="F184" s="128">
        <v>282.0</v>
      </c>
    </row>
    <row r="185">
      <c r="A185" s="129">
        <v>183.0</v>
      </c>
      <c r="B185" s="130">
        <v>45639.0</v>
      </c>
      <c r="C185" s="127" t="s">
        <v>337</v>
      </c>
      <c r="D185" s="127" t="s">
        <v>340</v>
      </c>
      <c r="E185" s="131">
        <v>55620.02</v>
      </c>
      <c r="F185" s="128">
        <v>217.0</v>
      </c>
    </row>
    <row r="186">
      <c r="A186" s="129">
        <v>184.0</v>
      </c>
      <c r="B186" s="130">
        <v>45831.0</v>
      </c>
      <c r="C186" s="127" t="s">
        <v>337</v>
      </c>
      <c r="D186" s="127" t="s">
        <v>341</v>
      </c>
      <c r="E186" s="131">
        <v>248094.48</v>
      </c>
      <c r="F186" s="128">
        <v>25.0</v>
      </c>
    </row>
    <row r="187">
      <c r="A187" s="129">
        <v>185.0</v>
      </c>
      <c r="B187" s="130">
        <v>45860.0</v>
      </c>
      <c r="C187" s="127" t="s">
        <v>337</v>
      </c>
      <c r="D187" s="127" t="s">
        <v>342</v>
      </c>
      <c r="E187" s="131">
        <v>134085.87</v>
      </c>
      <c r="F187" s="128">
        <v>0.0</v>
      </c>
    </row>
    <row r="188">
      <c r="A188" s="129">
        <v>186.0</v>
      </c>
      <c r="B188" s="130">
        <v>45555.0</v>
      </c>
      <c r="C188" s="127" t="s">
        <v>343</v>
      </c>
      <c r="D188" s="127" t="s">
        <v>344</v>
      </c>
      <c r="E188" s="131">
        <v>521240.63</v>
      </c>
      <c r="F188" s="128">
        <v>301.0</v>
      </c>
    </row>
    <row r="189">
      <c r="A189" s="129">
        <v>187.0</v>
      </c>
      <c r="B189" s="130">
        <v>45687.0</v>
      </c>
      <c r="C189" s="127" t="s">
        <v>343</v>
      </c>
      <c r="D189" s="127" t="s">
        <v>345</v>
      </c>
      <c r="E189" s="131">
        <v>189000.01</v>
      </c>
      <c r="F189" s="128">
        <v>169.0</v>
      </c>
    </row>
    <row r="190">
      <c r="A190" s="129">
        <v>188.0</v>
      </c>
      <c r="B190" s="130">
        <v>45576.0</v>
      </c>
      <c r="C190" s="127" t="s">
        <v>343</v>
      </c>
      <c r="D190" s="127" t="s">
        <v>346</v>
      </c>
      <c r="E190" s="131">
        <v>284703.0</v>
      </c>
      <c r="F190" s="128">
        <v>280.0</v>
      </c>
    </row>
    <row r="191">
      <c r="A191" s="129">
        <v>189.0</v>
      </c>
      <c r="B191" s="130">
        <v>45590.0</v>
      </c>
      <c r="C191" s="127" t="s">
        <v>343</v>
      </c>
      <c r="D191" s="127" t="s">
        <v>347</v>
      </c>
      <c r="E191" s="131">
        <v>589499.38</v>
      </c>
      <c r="F191" s="128">
        <v>266.0</v>
      </c>
    </row>
    <row r="192">
      <c r="A192" s="129">
        <v>190.0</v>
      </c>
      <c r="B192" s="132">
        <v>45602.0</v>
      </c>
      <c r="C192" s="127" t="s">
        <v>343</v>
      </c>
      <c r="D192" s="127" t="s">
        <v>348</v>
      </c>
      <c r="E192" s="131">
        <v>493240.0</v>
      </c>
      <c r="F192" s="128">
        <v>267.0</v>
      </c>
    </row>
    <row r="193">
      <c r="A193" s="129">
        <v>191.0</v>
      </c>
      <c r="B193" s="130">
        <v>45616.0</v>
      </c>
      <c r="C193" s="127" t="s">
        <v>343</v>
      </c>
      <c r="D193" s="127" t="s">
        <v>349</v>
      </c>
      <c r="E193" s="131">
        <v>316439.96</v>
      </c>
      <c r="F193" s="128">
        <v>240.0</v>
      </c>
    </row>
    <row r="194">
      <c r="A194" s="129">
        <v>192.0</v>
      </c>
      <c r="B194" s="130">
        <v>45625.0</v>
      </c>
      <c r="C194" s="127" t="s">
        <v>343</v>
      </c>
      <c r="D194" s="127" t="s">
        <v>350</v>
      </c>
      <c r="E194" s="131">
        <v>233523.98</v>
      </c>
      <c r="F194" s="128">
        <v>231.0</v>
      </c>
    </row>
    <row r="195">
      <c r="A195" s="129">
        <v>193.0</v>
      </c>
      <c r="B195" s="130">
        <v>45728.0</v>
      </c>
      <c r="C195" s="127" t="s">
        <v>343</v>
      </c>
      <c r="D195" s="127" t="s">
        <v>351</v>
      </c>
      <c r="E195" s="131">
        <v>538140.0</v>
      </c>
      <c r="F195" s="128">
        <v>128.0</v>
      </c>
    </row>
    <row r="196">
      <c r="A196" s="129">
        <v>194.0</v>
      </c>
      <c r="B196" s="132">
        <v>45631.0</v>
      </c>
      <c r="C196" s="127" t="s">
        <v>343</v>
      </c>
      <c r="D196" s="127" t="s">
        <v>352</v>
      </c>
      <c r="E196" s="131">
        <v>474360.01</v>
      </c>
      <c r="F196" s="128">
        <v>225.0</v>
      </c>
    </row>
    <row r="197">
      <c r="A197" s="129">
        <v>195.0</v>
      </c>
      <c r="B197" s="130">
        <v>45638.0</v>
      </c>
      <c r="C197" s="127" t="s">
        <v>343</v>
      </c>
      <c r="D197" s="127" t="s">
        <v>316</v>
      </c>
      <c r="E197" s="131">
        <v>305260.01</v>
      </c>
      <c r="F197" s="128">
        <v>218.0</v>
      </c>
    </row>
    <row r="198">
      <c r="A198" s="129">
        <v>196.0</v>
      </c>
      <c r="B198" s="130">
        <v>45646.0</v>
      </c>
      <c r="C198" s="127" t="s">
        <v>343</v>
      </c>
      <c r="D198" s="127" t="s">
        <v>353</v>
      </c>
      <c r="E198" s="131">
        <v>361740.0</v>
      </c>
      <c r="F198" s="128">
        <v>210.0</v>
      </c>
    </row>
    <row r="199">
      <c r="A199" s="129">
        <v>197.0</v>
      </c>
      <c r="B199" s="130">
        <v>45657.0</v>
      </c>
      <c r="C199" s="127" t="s">
        <v>343</v>
      </c>
      <c r="D199" s="127" t="s">
        <v>354</v>
      </c>
      <c r="E199" s="131">
        <v>189000.01</v>
      </c>
      <c r="F199" s="128">
        <v>199.0</v>
      </c>
    </row>
    <row r="200">
      <c r="A200" s="129">
        <v>198.0</v>
      </c>
      <c r="B200" s="132">
        <v>45752.0</v>
      </c>
      <c r="C200" s="127" t="s">
        <v>343</v>
      </c>
      <c r="D200" s="127" t="s">
        <v>355</v>
      </c>
      <c r="E200" s="131">
        <v>4774.3</v>
      </c>
      <c r="F200" s="128">
        <v>104.0</v>
      </c>
    </row>
    <row r="201">
      <c r="A201" s="129">
        <v>199.0</v>
      </c>
      <c r="B201" s="130">
        <v>45708.0</v>
      </c>
      <c r="C201" s="127" t="s">
        <v>343</v>
      </c>
      <c r="D201" s="127" t="s">
        <v>356</v>
      </c>
      <c r="E201" s="131">
        <v>2250.0</v>
      </c>
      <c r="F201" s="128">
        <v>148.0</v>
      </c>
    </row>
    <row r="202">
      <c r="A202" s="129">
        <v>200.0</v>
      </c>
      <c r="B202" s="130">
        <v>45772.0</v>
      </c>
      <c r="C202" s="127" t="s">
        <v>343</v>
      </c>
      <c r="D202" s="127" t="s">
        <v>357</v>
      </c>
      <c r="E202" s="131">
        <v>467869.35</v>
      </c>
      <c r="F202" s="128">
        <v>84.0</v>
      </c>
    </row>
    <row r="203">
      <c r="A203" s="129">
        <v>201.0</v>
      </c>
      <c r="B203" s="134">
        <v>45798.0</v>
      </c>
      <c r="C203" s="127" t="s">
        <v>343</v>
      </c>
      <c r="D203" s="127" t="s">
        <v>358</v>
      </c>
      <c r="E203" s="131">
        <v>6304.27</v>
      </c>
      <c r="F203" s="128">
        <v>58.0</v>
      </c>
    </row>
    <row r="204">
      <c r="A204" s="129">
        <v>202.0</v>
      </c>
      <c r="B204" s="132">
        <v>45813.0</v>
      </c>
      <c r="C204" s="127" t="s">
        <v>343</v>
      </c>
      <c r="D204" s="127" t="s">
        <v>359</v>
      </c>
      <c r="E204" s="131">
        <v>6468.97</v>
      </c>
      <c r="F204" s="128">
        <v>43.0</v>
      </c>
    </row>
    <row r="205">
      <c r="A205" s="129">
        <v>203.0</v>
      </c>
      <c r="B205" s="130">
        <v>45826.0</v>
      </c>
      <c r="C205" s="127" t="s">
        <v>343</v>
      </c>
      <c r="D205" s="127" t="s">
        <v>360</v>
      </c>
      <c r="E205" s="131">
        <v>8180.35</v>
      </c>
      <c r="F205" s="128">
        <v>30.0</v>
      </c>
    </row>
    <row r="206">
      <c r="A206" s="129">
        <v>204.0</v>
      </c>
      <c r="B206" s="130">
        <v>45856.0</v>
      </c>
      <c r="C206" s="127" t="s">
        <v>343</v>
      </c>
      <c r="D206" s="127" t="s">
        <v>361</v>
      </c>
      <c r="E206" s="131">
        <v>400469.5</v>
      </c>
      <c r="F206" s="128">
        <v>0.0</v>
      </c>
    </row>
    <row r="207">
      <c r="A207" s="129">
        <v>205.0</v>
      </c>
      <c r="B207" s="130">
        <v>45867.0</v>
      </c>
      <c r="C207" s="127" t="s">
        <v>343</v>
      </c>
      <c r="D207" s="127" t="s">
        <v>362</v>
      </c>
      <c r="E207" s="131">
        <v>386787.55</v>
      </c>
      <c r="F207" s="128">
        <v>0.0</v>
      </c>
    </row>
    <row r="208">
      <c r="A208" s="129">
        <v>206.0</v>
      </c>
      <c r="B208" s="132">
        <v>45574.0</v>
      </c>
      <c r="C208" s="127" t="s">
        <v>363</v>
      </c>
      <c r="D208" s="127" t="s">
        <v>364</v>
      </c>
      <c r="E208" s="131">
        <v>254682.54</v>
      </c>
      <c r="F208" s="128">
        <v>282.0</v>
      </c>
    </row>
    <row r="209">
      <c r="A209" s="129">
        <v>207.0</v>
      </c>
      <c r="B209" s="134">
        <v>45803.0</v>
      </c>
      <c r="C209" s="127" t="s">
        <v>363</v>
      </c>
      <c r="D209" s="127" t="s">
        <v>365</v>
      </c>
      <c r="E209" s="131">
        <v>348601.21</v>
      </c>
      <c r="F209" s="128">
        <v>53.0</v>
      </c>
    </row>
    <row r="210">
      <c r="A210" s="129">
        <v>208.0</v>
      </c>
      <c r="B210" s="132">
        <v>45813.0</v>
      </c>
      <c r="C210" s="127" t="s">
        <v>363</v>
      </c>
      <c r="D210" s="127" t="s">
        <v>366</v>
      </c>
      <c r="E210" s="131">
        <v>4090.17</v>
      </c>
      <c r="F210" s="128">
        <v>43.0</v>
      </c>
    </row>
    <row r="211">
      <c r="A211" s="129">
        <v>209.0</v>
      </c>
      <c r="B211" s="130">
        <v>45838.0</v>
      </c>
      <c r="C211" s="127" t="s">
        <v>363</v>
      </c>
      <c r="D211" s="127" t="s">
        <v>367</v>
      </c>
      <c r="E211" s="131">
        <v>267815.69</v>
      </c>
      <c r="F211" s="128">
        <v>18.0</v>
      </c>
    </row>
    <row r="212">
      <c r="A212" s="129">
        <v>210.0</v>
      </c>
      <c r="B212" s="130">
        <v>45853.0</v>
      </c>
      <c r="C212" s="127" t="s">
        <v>363</v>
      </c>
      <c r="D212" s="127" t="s">
        <v>368</v>
      </c>
      <c r="E212" s="131">
        <v>141204.05</v>
      </c>
      <c r="F212" s="128">
        <v>3.0</v>
      </c>
    </row>
    <row r="213">
      <c r="A213" s="129">
        <v>211.0</v>
      </c>
      <c r="B213" s="130">
        <v>45859.0</v>
      </c>
      <c r="C213" s="127" t="s">
        <v>363</v>
      </c>
      <c r="D213" s="127" t="s">
        <v>369</v>
      </c>
      <c r="E213" s="131">
        <v>176345.27</v>
      </c>
      <c r="F213" s="128">
        <v>0.0</v>
      </c>
    </row>
    <row r="214">
      <c r="A214" s="129">
        <v>212.0</v>
      </c>
      <c r="B214" s="130">
        <v>45861.0</v>
      </c>
      <c r="C214" s="127" t="s">
        <v>363</v>
      </c>
      <c r="D214" s="127" t="s">
        <v>370</v>
      </c>
      <c r="E214" s="131">
        <v>206426.65</v>
      </c>
      <c r="F214" s="128">
        <v>0.0</v>
      </c>
    </row>
    <row r="215">
      <c r="A215" s="129">
        <v>213.0</v>
      </c>
      <c r="B215" s="134">
        <v>45807.0</v>
      </c>
      <c r="C215" s="127" t="s">
        <v>371</v>
      </c>
      <c r="D215" s="127" t="s">
        <v>372</v>
      </c>
      <c r="E215" s="131">
        <v>70000.0</v>
      </c>
      <c r="F215" s="128">
        <v>49.0</v>
      </c>
    </row>
    <row r="216">
      <c r="A216" s="129">
        <v>214.0</v>
      </c>
      <c r="B216" s="132">
        <v>45842.0</v>
      </c>
      <c r="C216" s="127" t="s">
        <v>371</v>
      </c>
      <c r="D216" s="127" t="s">
        <v>373</v>
      </c>
      <c r="E216" s="131">
        <v>70000.0</v>
      </c>
      <c r="F216" s="128">
        <v>14.0</v>
      </c>
    </row>
    <row r="217">
      <c r="A217" s="129">
        <v>215.0</v>
      </c>
      <c r="B217" s="130">
        <v>45833.0</v>
      </c>
      <c r="C217" s="127" t="s">
        <v>374</v>
      </c>
      <c r="D217" s="127" t="s">
        <v>375</v>
      </c>
      <c r="E217" s="131">
        <v>52499.99</v>
      </c>
      <c r="F217" s="128">
        <v>23.0</v>
      </c>
    </row>
    <row r="218">
      <c r="A218" s="129">
        <v>216.0</v>
      </c>
      <c r="B218" s="132">
        <v>45600.0</v>
      </c>
      <c r="C218" s="127" t="s">
        <v>376</v>
      </c>
      <c r="D218" s="127" t="s">
        <v>377</v>
      </c>
      <c r="E218" s="131">
        <v>132500.01</v>
      </c>
      <c r="F218" s="128">
        <v>269.0</v>
      </c>
    </row>
    <row r="219">
      <c r="A219" s="129">
        <v>217.0</v>
      </c>
      <c r="B219" s="130">
        <v>45674.0</v>
      </c>
      <c r="C219" s="127" t="s">
        <v>378</v>
      </c>
      <c r="D219" s="127" t="s">
        <v>379</v>
      </c>
      <c r="E219" s="131">
        <v>83375.01</v>
      </c>
      <c r="F219" s="128">
        <v>189.0</v>
      </c>
    </row>
    <row r="220">
      <c r="A220" s="129">
        <v>218.0</v>
      </c>
      <c r="B220" s="130">
        <v>45595.0</v>
      </c>
      <c r="C220" s="127" t="s">
        <v>380</v>
      </c>
      <c r="D220" s="127" t="s">
        <v>381</v>
      </c>
      <c r="E220" s="131">
        <v>204600.02</v>
      </c>
      <c r="F220" s="128">
        <v>261.0</v>
      </c>
    </row>
    <row r="221">
      <c r="A221" s="129">
        <v>219.0</v>
      </c>
      <c r="B221" s="130">
        <v>45652.0</v>
      </c>
      <c r="C221" s="127" t="s">
        <v>380</v>
      </c>
      <c r="D221" s="127" t="s">
        <v>382</v>
      </c>
      <c r="E221" s="131">
        <v>230600.44</v>
      </c>
      <c r="F221" s="128">
        <v>204.0</v>
      </c>
    </row>
    <row r="222">
      <c r="A222" s="129">
        <v>220.0</v>
      </c>
      <c r="B222" s="130">
        <v>45708.0</v>
      </c>
      <c r="C222" s="127" t="s">
        <v>380</v>
      </c>
      <c r="D222" s="127" t="s">
        <v>383</v>
      </c>
      <c r="E222" s="131">
        <v>37899.55</v>
      </c>
      <c r="F222" s="128">
        <v>148.0</v>
      </c>
    </row>
    <row r="223">
      <c r="A223" s="129">
        <v>221.0</v>
      </c>
      <c r="B223" s="134">
        <v>45806.0</v>
      </c>
      <c r="C223" s="127" t="s">
        <v>380</v>
      </c>
      <c r="D223" s="127" t="s">
        <v>384</v>
      </c>
      <c r="E223" s="131">
        <v>91000.0</v>
      </c>
      <c r="F223" s="128">
        <v>50.0</v>
      </c>
    </row>
    <row r="224">
      <c r="A224" s="129">
        <v>222.0</v>
      </c>
      <c r="B224" s="130">
        <v>45853.0</v>
      </c>
      <c r="C224" s="127" t="s">
        <v>380</v>
      </c>
      <c r="D224" s="127" t="s">
        <v>385</v>
      </c>
      <c r="E224" s="131">
        <v>158900.0</v>
      </c>
      <c r="F224" s="128">
        <v>3.0</v>
      </c>
    </row>
    <row r="225">
      <c r="A225" s="129">
        <v>223.0</v>
      </c>
      <c r="B225" s="132">
        <v>45544.0</v>
      </c>
      <c r="C225" s="127" t="s">
        <v>386</v>
      </c>
      <c r="D225" s="127" t="s">
        <v>387</v>
      </c>
      <c r="E225" s="131">
        <v>38012.0</v>
      </c>
      <c r="F225" s="128">
        <v>312.0</v>
      </c>
    </row>
    <row r="226">
      <c r="A226" s="129">
        <v>224.0</v>
      </c>
      <c r="B226" s="132">
        <v>45569.0</v>
      </c>
      <c r="C226" s="127" t="s">
        <v>386</v>
      </c>
      <c r="D226" s="127" t="s">
        <v>388</v>
      </c>
      <c r="E226" s="131">
        <v>28804.63</v>
      </c>
      <c r="F226" s="128">
        <v>287.0</v>
      </c>
    </row>
    <row r="227">
      <c r="A227" s="129">
        <v>225.0</v>
      </c>
      <c r="B227" s="130">
        <v>45586.0</v>
      </c>
      <c r="C227" s="127" t="s">
        <v>386</v>
      </c>
      <c r="D227" s="127" t="s">
        <v>389</v>
      </c>
      <c r="E227" s="131">
        <v>60761.53</v>
      </c>
      <c r="F227" s="128">
        <v>270.0</v>
      </c>
    </row>
    <row r="228">
      <c r="A228" s="129">
        <v>226.0</v>
      </c>
      <c r="B228" s="130">
        <v>45703.0</v>
      </c>
      <c r="C228" s="127" t="s">
        <v>386</v>
      </c>
      <c r="D228" s="127" t="s">
        <v>390</v>
      </c>
      <c r="E228" s="131">
        <v>67800.0</v>
      </c>
      <c r="F228" s="128">
        <v>153.0</v>
      </c>
    </row>
    <row r="229">
      <c r="A229" s="129">
        <v>227.0</v>
      </c>
      <c r="B229" s="130">
        <v>45835.0</v>
      </c>
      <c r="C229" s="127" t="s">
        <v>386</v>
      </c>
      <c r="D229" s="127" t="s">
        <v>391</v>
      </c>
      <c r="E229" s="131">
        <v>3586.65</v>
      </c>
      <c r="F229" s="128">
        <v>21.0</v>
      </c>
    </row>
    <row r="230">
      <c r="A230" s="129">
        <v>228.0</v>
      </c>
      <c r="B230" s="130">
        <v>45688.0</v>
      </c>
      <c r="C230" s="127" t="s">
        <v>392</v>
      </c>
      <c r="D230" s="127" t="s">
        <v>393</v>
      </c>
      <c r="E230" s="131">
        <v>21400.01</v>
      </c>
      <c r="F230" s="128">
        <v>168.0</v>
      </c>
    </row>
    <row r="231">
      <c r="A231" s="129">
        <v>229.0</v>
      </c>
      <c r="B231" s="132">
        <v>45573.0</v>
      </c>
      <c r="C231" s="127" t="s">
        <v>392</v>
      </c>
      <c r="D231" s="127" t="s">
        <v>394</v>
      </c>
      <c r="E231" s="131">
        <v>68424.83</v>
      </c>
      <c r="F231" s="128">
        <v>283.0</v>
      </c>
    </row>
    <row r="232">
      <c r="A232" s="129">
        <v>230.0</v>
      </c>
      <c r="B232" s="130">
        <v>45623.0</v>
      </c>
      <c r="C232" s="127" t="s">
        <v>392</v>
      </c>
      <c r="D232" s="127" t="s">
        <v>395</v>
      </c>
      <c r="E232" s="131">
        <v>49400.02</v>
      </c>
      <c r="F232" s="128">
        <v>233.0</v>
      </c>
    </row>
    <row r="233">
      <c r="A233" s="129">
        <v>231.0</v>
      </c>
      <c r="B233" s="130">
        <v>45729.0</v>
      </c>
      <c r="C233" s="127" t="s">
        <v>392</v>
      </c>
      <c r="D233" s="127" t="s">
        <v>396</v>
      </c>
      <c r="E233" s="131">
        <v>75912.53</v>
      </c>
      <c r="F233" s="128">
        <v>127.0</v>
      </c>
    </row>
    <row r="234">
      <c r="A234" s="129">
        <v>232.0</v>
      </c>
      <c r="B234" s="132">
        <v>45748.0</v>
      </c>
      <c r="C234" s="127" t="s">
        <v>392</v>
      </c>
      <c r="D234" s="127" t="s">
        <v>397</v>
      </c>
      <c r="E234" s="131">
        <v>59000.03</v>
      </c>
      <c r="F234" s="128">
        <v>108.0</v>
      </c>
    </row>
    <row r="235">
      <c r="A235" s="129">
        <v>233.0</v>
      </c>
      <c r="B235" s="134">
        <v>45800.0</v>
      </c>
      <c r="C235" s="127" t="s">
        <v>392</v>
      </c>
      <c r="D235" s="127" t="s">
        <v>398</v>
      </c>
      <c r="E235" s="131">
        <v>35000.01</v>
      </c>
      <c r="F235" s="128">
        <v>56.0</v>
      </c>
    </row>
    <row r="236">
      <c r="A236" s="129">
        <v>234.0</v>
      </c>
      <c r="B236" s="134">
        <v>45805.0</v>
      </c>
      <c r="C236" s="127" t="s">
        <v>392</v>
      </c>
      <c r="D236" s="127" t="s">
        <v>399</v>
      </c>
      <c r="E236" s="131">
        <v>35000.01</v>
      </c>
      <c r="F236" s="128">
        <v>51.0</v>
      </c>
    </row>
    <row r="237">
      <c r="A237" s="129">
        <v>235.0</v>
      </c>
      <c r="B237" s="132">
        <v>45632.0</v>
      </c>
      <c r="C237" s="127" t="s">
        <v>400</v>
      </c>
      <c r="D237" s="127" t="s">
        <v>401</v>
      </c>
      <c r="E237" s="131">
        <v>78200.02</v>
      </c>
      <c r="F237" s="128">
        <v>224.0</v>
      </c>
    </row>
    <row r="238">
      <c r="A238" s="129">
        <v>236.0</v>
      </c>
      <c r="B238" s="130">
        <v>45594.0</v>
      </c>
      <c r="C238" s="127" t="s">
        <v>402</v>
      </c>
      <c r="D238" s="127" t="s">
        <v>403</v>
      </c>
      <c r="E238" s="131">
        <v>75350.01</v>
      </c>
      <c r="F238" s="128">
        <v>262.0</v>
      </c>
    </row>
    <row r="239">
      <c r="A239" s="129">
        <v>237.0</v>
      </c>
      <c r="B239" s="130">
        <v>45639.0</v>
      </c>
      <c r="C239" s="127" t="s">
        <v>402</v>
      </c>
      <c r="D239" s="127" t="s">
        <v>404</v>
      </c>
      <c r="E239" s="131">
        <v>7300.0</v>
      </c>
      <c r="F239" s="128">
        <v>217.0</v>
      </c>
    </row>
    <row r="240">
      <c r="A240" s="129">
        <v>238.0</v>
      </c>
      <c r="B240" s="130">
        <v>45706.0</v>
      </c>
      <c r="C240" s="127" t="s">
        <v>405</v>
      </c>
      <c r="D240" s="127" t="s">
        <v>250</v>
      </c>
      <c r="E240" s="131">
        <v>28000.0</v>
      </c>
      <c r="F240" s="128">
        <v>143.0</v>
      </c>
    </row>
    <row r="241">
      <c r="A241" s="129">
        <v>239.0</v>
      </c>
      <c r="B241" s="130">
        <v>45757.0</v>
      </c>
      <c r="C241" s="127" t="s">
        <v>405</v>
      </c>
      <c r="D241" s="127" t="s">
        <v>406</v>
      </c>
      <c r="E241" s="131">
        <v>28000.0</v>
      </c>
      <c r="F241" s="128">
        <v>92.0</v>
      </c>
    </row>
    <row r="242">
      <c r="A242" s="129">
        <v>240.0</v>
      </c>
      <c r="B242" s="130">
        <v>45834.0</v>
      </c>
      <c r="C242" s="127" t="s">
        <v>405</v>
      </c>
      <c r="D242" s="127" t="s">
        <v>407</v>
      </c>
      <c r="E242" s="131">
        <v>28000.0</v>
      </c>
      <c r="F242" s="128">
        <v>15.0</v>
      </c>
    </row>
    <row r="243">
      <c r="A243" s="129">
        <v>241.0</v>
      </c>
      <c r="B243" s="130">
        <v>45835.0</v>
      </c>
      <c r="C243" s="127" t="s">
        <v>408</v>
      </c>
      <c r="D243" s="127" t="s">
        <v>409</v>
      </c>
      <c r="E243" s="131">
        <v>77820.0</v>
      </c>
      <c r="F243" s="128">
        <v>28.0</v>
      </c>
    </row>
    <row r="244">
      <c r="A244" s="129">
        <v>242.0</v>
      </c>
      <c r="B244" s="130">
        <v>45856.0</v>
      </c>
      <c r="C244" s="127" t="s">
        <v>408</v>
      </c>
      <c r="D244" s="127" t="s">
        <v>410</v>
      </c>
      <c r="E244" s="131">
        <v>81000.0</v>
      </c>
      <c r="F244" s="128">
        <v>7.0</v>
      </c>
    </row>
    <row r="245">
      <c r="A245" s="129">
        <v>243.0</v>
      </c>
      <c r="B245" s="130">
        <v>45863.0</v>
      </c>
      <c r="C245" s="127" t="s">
        <v>408</v>
      </c>
      <c r="D245" s="127" t="s">
        <v>411</v>
      </c>
      <c r="E245" s="131">
        <v>113322.62</v>
      </c>
      <c r="F245" s="128">
        <v>0.0</v>
      </c>
    </row>
    <row r="246">
      <c r="A246" s="129">
        <v>244.0</v>
      </c>
      <c r="B246" s="134">
        <v>45787.0</v>
      </c>
      <c r="C246" s="127" t="s">
        <v>412</v>
      </c>
      <c r="D246" s="127" t="s">
        <v>413</v>
      </c>
      <c r="E246" s="131">
        <v>38500.0</v>
      </c>
      <c r="F246" s="128">
        <v>76.0</v>
      </c>
    </row>
    <row r="247">
      <c r="A247" s="129">
        <v>245.0</v>
      </c>
      <c r="B247" s="134">
        <v>45806.0</v>
      </c>
      <c r="C247" s="127" t="s">
        <v>412</v>
      </c>
      <c r="D247" s="127" t="s">
        <v>414</v>
      </c>
      <c r="E247" s="131">
        <v>30554.0</v>
      </c>
      <c r="F247" s="128">
        <v>57.0</v>
      </c>
    </row>
    <row r="248">
      <c r="A248" s="129">
        <v>246.0</v>
      </c>
      <c r="B248" s="130">
        <v>45825.0</v>
      </c>
      <c r="C248" s="127" t="s">
        <v>412</v>
      </c>
      <c r="D248" s="127" t="s">
        <v>415</v>
      </c>
      <c r="E248" s="131">
        <v>110432.0</v>
      </c>
      <c r="F248" s="128">
        <v>38.0</v>
      </c>
    </row>
    <row r="249">
      <c r="A249" s="129">
        <v>247.0</v>
      </c>
      <c r="B249" s="130">
        <v>45835.0</v>
      </c>
      <c r="C249" s="127" t="s">
        <v>412</v>
      </c>
      <c r="D249" s="127" t="s">
        <v>416</v>
      </c>
      <c r="E249" s="131">
        <v>73500.0</v>
      </c>
      <c r="F249" s="128">
        <v>28.0</v>
      </c>
    </row>
    <row r="250">
      <c r="A250" s="129">
        <v>248.0</v>
      </c>
      <c r="B250" s="130">
        <v>45835.0</v>
      </c>
      <c r="C250" s="127" t="s">
        <v>412</v>
      </c>
      <c r="D250" s="127" t="s">
        <v>417</v>
      </c>
      <c r="E250" s="131">
        <v>51300.0</v>
      </c>
      <c r="F250" s="128">
        <v>28.0</v>
      </c>
    </row>
    <row r="251">
      <c r="A251" s="129">
        <v>249.0</v>
      </c>
      <c r="B251" s="130">
        <v>45863.0</v>
      </c>
      <c r="C251" s="127" t="s">
        <v>412</v>
      </c>
      <c r="D251" s="127" t="s">
        <v>418</v>
      </c>
      <c r="E251" s="131">
        <v>84561.31</v>
      </c>
      <c r="F251" s="128">
        <v>0.0</v>
      </c>
    </row>
    <row r="252">
      <c r="A252" s="129">
        <v>250.0</v>
      </c>
      <c r="B252" s="130">
        <v>45674.0</v>
      </c>
      <c r="C252" s="127" t="s">
        <v>419</v>
      </c>
      <c r="D252" s="127" t="s">
        <v>420</v>
      </c>
      <c r="E252" s="131">
        <v>101600.0</v>
      </c>
      <c r="F252" s="128">
        <v>182.0</v>
      </c>
    </row>
    <row r="253">
      <c r="A253" s="129">
        <v>251.0</v>
      </c>
      <c r="B253" s="130">
        <v>45576.0</v>
      </c>
      <c r="C253" s="127" t="s">
        <v>419</v>
      </c>
      <c r="D253" s="127" t="s">
        <v>421</v>
      </c>
      <c r="E253" s="131">
        <v>74300.78</v>
      </c>
      <c r="F253" s="128">
        <v>280.0</v>
      </c>
    </row>
    <row r="254">
      <c r="A254" s="129">
        <v>252.0</v>
      </c>
      <c r="B254" s="130">
        <v>45614.0</v>
      </c>
      <c r="C254" s="127" t="s">
        <v>419</v>
      </c>
      <c r="D254" s="127" t="s">
        <v>422</v>
      </c>
      <c r="E254" s="131">
        <v>81600.0</v>
      </c>
      <c r="F254" s="128">
        <v>242.0</v>
      </c>
    </row>
    <row r="255">
      <c r="A255" s="129">
        <v>253.0</v>
      </c>
      <c r="B255" s="132">
        <v>45665.0</v>
      </c>
      <c r="C255" s="127" t="s">
        <v>423</v>
      </c>
      <c r="D255" s="127" t="s">
        <v>424</v>
      </c>
      <c r="E255" s="131">
        <v>120300.01</v>
      </c>
      <c r="F255" s="128">
        <v>191.0</v>
      </c>
    </row>
    <row r="256">
      <c r="A256" s="129">
        <v>254.0</v>
      </c>
      <c r="B256" s="130">
        <v>45594.0</v>
      </c>
      <c r="C256" s="127" t="s">
        <v>423</v>
      </c>
      <c r="D256" s="127" t="s">
        <v>425</v>
      </c>
      <c r="E256" s="131">
        <v>144800.01</v>
      </c>
      <c r="F256" s="128">
        <v>262.0</v>
      </c>
    </row>
    <row r="257">
      <c r="A257" s="129">
        <v>255.0</v>
      </c>
      <c r="B257" s="130">
        <v>45595.0</v>
      </c>
      <c r="C257" s="127" t="s">
        <v>423</v>
      </c>
      <c r="D257" s="127" t="s">
        <v>426</v>
      </c>
      <c r="E257" s="131">
        <v>56101.03</v>
      </c>
      <c r="F257" s="128">
        <v>261.0</v>
      </c>
    </row>
    <row r="258">
      <c r="A258" s="129">
        <v>256.0</v>
      </c>
      <c r="B258" s="130">
        <v>45647.0</v>
      </c>
      <c r="C258" s="127" t="s">
        <v>423</v>
      </c>
      <c r="D258" s="127" t="s">
        <v>427</v>
      </c>
      <c r="E258" s="131">
        <v>218800.02</v>
      </c>
      <c r="F258" s="128">
        <v>209.0</v>
      </c>
    </row>
    <row r="259">
      <c r="A259" s="129">
        <v>257.0</v>
      </c>
      <c r="B259" s="130">
        <v>45853.0</v>
      </c>
      <c r="C259" s="127" t="s">
        <v>423</v>
      </c>
      <c r="D259" s="127" t="s">
        <v>428</v>
      </c>
      <c r="E259" s="131">
        <v>525000.0</v>
      </c>
      <c r="F259" s="128">
        <v>3.0</v>
      </c>
    </row>
    <row r="260">
      <c r="A260" s="129">
        <v>258.0</v>
      </c>
      <c r="B260" s="130">
        <v>45856.0</v>
      </c>
      <c r="C260" s="127" t="s">
        <v>423</v>
      </c>
      <c r="D260" s="127" t="s">
        <v>429</v>
      </c>
      <c r="E260" s="131">
        <v>49082.07</v>
      </c>
      <c r="F260" s="128">
        <v>0.0</v>
      </c>
    </row>
    <row r="261">
      <c r="A261" s="129">
        <v>259.0</v>
      </c>
      <c r="B261" s="130">
        <v>45861.0</v>
      </c>
      <c r="C261" s="127" t="s">
        <v>423</v>
      </c>
      <c r="D261" s="127" t="s">
        <v>430</v>
      </c>
      <c r="E261" s="131">
        <v>47802.18</v>
      </c>
      <c r="F261" s="128">
        <v>0.0</v>
      </c>
    </row>
    <row r="262">
      <c r="A262" s="129">
        <v>260.0</v>
      </c>
      <c r="B262" s="130">
        <v>45581.0</v>
      </c>
      <c r="C262" s="127" t="s">
        <v>431</v>
      </c>
      <c r="D262" s="127" t="s">
        <v>432</v>
      </c>
      <c r="E262" s="131">
        <v>90516.15</v>
      </c>
      <c r="F262" s="128">
        <v>275.0</v>
      </c>
    </row>
    <row r="263">
      <c r="A263" s="129">
        <v>261.0</v>
      </c>
      <c r="B263" s="130">
        <v>45698.0</v>
      </c>
      <c r="C263" s="127" t="s">
        <v>431</v>
      </c>
      <c r="D263" s="127" t="s">
        <v>433</v>
      </c>
      <c r="E263" s="131">
        <v>28000.0</v>
      </c>
      <c r="F263" s="128">
        <v>158.0</v>
      </c>
    </row>
    <row r="264">
      <c r="A264" s="129">
        <v>262.0</v>
      </c>
      <c r="B264" s="130">
        <v>45579.0</v>
      </c>
      <c r="C264" s="127" t="s">
        <v>434</v>
      </c>
      <c r="D264" s="127" t="s">
        <v>435</v>
      </c>
      <c r="E264" s="131">
        <v>41500.38</v>
      </c>
      <c r="F264" s="128">
        <v>277.0</v>
      </c>
    </row>
    <row r="265">
      <c r="A265" s="129">
        <v>263.0</v>
      </c>
      <c r="B265" s="130">
        <v>45650.0</v>
      </c>
      <c r="C265" s="127" t="s">
        <v>436</v>
      </c>
      <c r="D265" s="127" t="s">
        <v>437</v>
      </c>
      <c r="E265" s="131">
        <v>35000.0</v>
      </c>
      <c r="F265" s="128">
        <v>206.0</v>
      </c>
    </row>
    <row r="266">
      <c r="A266" s="129">
        <v>264.0</v>
      </c>
      <c r="B266" s="130">
        <v>45764.0</v>
      </c>
      <c r="C266" s="127" t="s">
        <v>436</v>
      </c>
      <c r="D266" s="127" t="s">
        <v>438</v>
      </c>
      <c r="E266" s="131">
        <v>41862.67</v>
      </c>
      <c r="F266" s="128">
        <v>92.0</v>
      </c>
    </row>
    <row r="267">
      <c r="A267" s="129">
        <v>265.0</v>
      </c>
      <c r="B267" s="134">
        <v>45803.0</v>
      </c>
      <c r="C267" s="127" t="s">
        <v>436</v>
      </c>
      <c r="D267" s="127" t="s">
        <v>439</v>
      </c>
      <c r="E267" s="131">
        <v>62993.02</v>
      </c>
      <c r="F267" s="128">
        <v>53.0</v>
      </c>
    </row>
    <row r="268">
      <c r="A268" s="129">
        <v>266.0</v>
      </c>
      <c r="B268" s="130">
        <v>45856.0</v>
      </c>
      <c r="C268" s="127" t="s">
        <v>436</v>
      </c>
      <c r="D268" s="127" t="s">
        <v>440</v>
      </c>
      <c r="E268" s="131">
        <v>35000.0</v>
      </c>
      <c r="F268" s="128">
        <v>0.0</v>
      </c>
    </row>
    <row r="269">
      <c r="A269" s="129">
        <v>267.0</v>
      </c>
      <c r="B269" s="130">
        <v>45678.0</v>
      </c>
      <c r="C269" s="127" t="s">
        <v>441</v>
      </c>
      <c r="D269" s="127" t="s">
        <v>442</v>
      </c>
      <c r="E269" s="131">
        <v>89900.0</v>
      </c>
      <c r="F269" s="128">
        <v>178.0</v>
      </c>
    </row>
    <row r="270">
      <c r="A270" s="129">
        <v>268.0</v>
      </c>
      <c r="B270" s="130">
        <v>45639.0</v>
      </c>
      <c r="C270" s="127" t="s">
        <v>441</v>
      </c>
      <c r="D270" s="127" t="s">
        <v>443</v>
      </c>
      <c r="E270" s="131">
        <v>87100.0</v>
      </c>
      <c r="F270" s="128">
        <v>217.0</v>
      </c>
    </row>
    <row r="271">
      <c r="A271" s="129">
        <v>269.0</v>
      </c>
      <c r="B271" s="130">
        <v>45866.0</v>
      </c>
      <c r="C271" s="127" t="s">
        <v>441</v>
      </c>
      <c r="D271" s="127" t="s">
        <v>444</v>
      </c>
      <c r="E271" s="131">
        <v>79400.01</v>
      </c>
      <c r="F271" s="128">
        <v>0.0</v>
      </c>
    </row>
    <row r="272">
      <c r="A272" s="129">
        <v>270.0</v>
      </c>
      <c r="B272" s="130">
        <v>45727.0</v>
      </c>
      <c r="C272" s="127" t="s">
        <v>445</v>
      </c>
      <c r="D272" s="127" t="s">
        <v>446</v>
      </c>
      <c r="E272" s="131">
        <v>84020.45</v>
      </c>
      <c r="F272" s="128">
        <v>136.0</v>
      </c>
    </row>
    <row r="273">
      <c r="A273" s="129">
        <v>271.0</v>
      </c>
      <c r="B273" s="130">
        <v>45733.0</v>
      </c>
      <c r="C273" s="127" t="s">
        <v>445</v>
      </c>
      <c r="D273" s="127" t="s">
        <v>447</v>
      </c>
      <c r="E273" s="131">
        <v>76100.0</v>
      </c>
      <c r="F273" s="128">
        <v>130.0</v>
      </c>
    </row>
    <row r="274">
      <c r="A274" s="129">
        <v>272.0</v>
      </c>
      <c r="B274" s="130">
        <v>45733.0</v>
      </c>
      <c r="C274" s="127" t="s">
        <v>445</v>
      </c>
      <c r="D274" s="127" t="s">
        <v>443</v>
      </c>
      <c r="E274" s="131">
        <v>82500.0</v>
      </c>
      <c r="F274" s="128">
        <v>130.0</v>
      </c>
    </row>
    <row r="275">
      <c r="A275" s="129">
        <v>273.0</v>
      </c>
      <c r="B275" s="132">
        <v>45748.0</v>
      </c>
      <c r="C275" s="127" t="s">
        <v>445</v>
      </c>
      <c r="D275" s="127" t="s">
        <v>448</v>
      </c>
      <c r="E275" s="131">
        <v>167770.01</v>
      </c>
      <c r="F275" s="128">
        <v>115.0</v>
      </c>
    </row>
    <row r="276">
      <c r="A276" s="129">
        <v>274.0</v>
      </c>
      <c r="B276" s="130">
        <v>45761.0</v>
      </c>
      <c r="C276" s="127" t="s">
        <v>445</v>
      </c>
      <c r="D276" s="127" t="s">
        <v>449</v>
      </c>
      <c r="E276" s="131">
        <v>168216.26</v>
      </c>
      <c r="F276" s="128">
        <v>102.0</v>
      </c>
    </row>
    <row r="277">
      <c r="A277" s="129">
        <v>275.0</v>
      </c>
      <c r="B277" s="130">
        <v>45712.0</v>
      </c>
      <c r="C277" s="127" t="s">
        <v>445</v>
      </c>
      <c r="D277" s="127" t="s">
        <v>450</v>
      </c>
      <c r="E277" s="131">
        <v>32700.0</v>
      </c>
      <c r="F277" s="128">
        <v>151.0</v>
      </c>
    </row>
    <row r="278">
      <c r="A278" s="129">
        <v>276.0</v>
      </c>
      <c r="B278" s="130">
        <v>45863.0</v>
      </c>
      <c r="C278" s="127" t="s">
        <v>445</v>
      </c>
      <c r="D278" s="127" t="s">
        <v>451</v>
      </c>
      <c r="E278" s="131">
        <v>117600.0</v>
      </c>
      <c r="F278" s="128">
        <v>0.0</v>
      </c>
    </row>
    <row r="279">
      <c r="A279" s="129">
        <v>277.0</v>
      </c>
      <c r="B279" s="130">
        <v>45863.0</v>
      </c>
      <c r="C279" s="127" t="s">
        <v>445</v>
      </c>
      <c r="D279" s="127" t="s">
        <v>452</v>
      </c>
      <c r="E279" s="131">
        <v>665098.77</v>
      </c>
      <c r="F279" s="128">
        <v>0.0</v>
      </c>
    </row>
    <row r="280">
      <c r="A280" s="129">
        <v>278.0</v>
      </c>
      <c r="B280" s="133">
        <v>45786.0</v>
      </c>
      <c r="C280" s="127" t="s">
        <v>453</v>
      </c>
      <c r="D280" s="127" t="s">
        <v>454</v>
      </c>
      <c r="E280" s="131">
        <v>38500.01</v>
      </c>
      <c r="F280" s="128">
        <v>70.0</v>
      </c>
    </row>
    <row r="281">
      <c r="A281" s="129">
        <v>279.0</v>
      </c>
      <c r="B281" s="130">
        <v>45775.0</v>
      </c>
      <c r="C281" s="127" t="s">
        <v>455</v>
      </c>
      <c r="D281" s="127" t="s">
        <v>456</v>
      </c>
      <c r="E281" s="131">
        <v>17500.0</v>
      </c>
      <c r="F281" s="128">
        <v>94.0</v>
      </c>
    </row>
    <row r="282">
      <c r="A282" s="129">
        <v>280.0</v>
      </c>
      <c r="B282" s="132">
        <v>45569.0</v>
      </c>
      <c r="C282" s="127" t="s">
        <v>457</v>
      </c>
      <c r="D282" s="127" t="s">
        <v>458</v>
      </c>
      <c r="E282" s="131">
        <v>63898.0</v>
      </c>
      <c r="F282" s="128">
        <v>287.0</v>
      </c>
    </row>
    <row r="283">
      <c r="A283" s="129">
        <v>281.0</v>
      </c>
      <c r="B283" s="130">
        <v>45698.0</v>
      </c>
      <c r="C283" s="127" t="s">
        <v>457</v>
      </c>
      <c r="D283" s="127" t="s">
        <v>459</v>
      </c>
      <c r="E283" s="131">
        <v>95900.0</v>
      </c>
      <c r="F283" s="128">
        <v>158.0</v>
      </c>
    </row>
    <row r="284">
      <c r="A284" s="129">
        <v>282.0</v>
      </c>
      <c r="B284" s="130">
        <v>45688.0</v>
      </c>
      <c r="C284" s="127" t="s">
        <v>460</v>
      </c>
      <c r="D284" s="127" t="s">
        <v>338</v>
      </c>
      <c r="E284" s="131">
        <v>35000.0</v>
      </c>
      <c r="F284" s="128">
        <v>161.0</v>
      </c>
    </row>
    <row r="285">
      <c r="A285" s="129">
        <v>283.0</v>
      </c>
      <c r="B285" s="130">
        <v>45591.0</v>
      </c>
      <c r="C285" s="127" t="s">
        <v>461</v>
      </c>
      <c r="D285" s="127" t="s">
        <v>462</v>
      </c>
      <c r="E285" s="131">
        <v>148404.14</v>
      </c>
      <c r="F285" s="128">
        <v>265.0</v>
      </c>
    </row>
    <row r="286">
      <c r="A286" s="129">
        <v>284.0</v>
      </c>
      <c r="B286" s="132">
        <v>45635.0</v>
      </c>
      <c r="C286" s="127" t="s">
        <v>461</v>
      </c>
      <c r="D286" s="127" t="s">
        <v>463</v>
      </c>
      <c r="E286" s="131">
        <v>165400.04</v>
      </c>
      <c r="F286" s="128">
        <v>221.0</v>
      </c>
    </row>
    <row r="287">
      <c r="A287" s="129">
        <v>285.0</v>
      </c>
      <c r="B287" s="130">
        <v>45744.0</v>
      </c>
      <c r="C287" s="127" t="s">
        <v>464</v>
      </c>
      <c r="D287" s="127" t="s">
        <v>465</v>
      </c>
      <c r="E287" s="131">
        <v>64500.01</v>
      </c>
      <c r="F287" s="128">
        <v>112.0</v>
      </c>
    </row>
    <row r="288">
      <c r="A288" s="129">
        <v>286.0</v>
      </c>
      <c r="B288" s="132">
        <v>45749.0</v>
      </c>
      <c r="C288" s="127" t="s">
        <v>466</v>
      </c>
      <c r="D288" s="127" t="s">
        <v>467</v>
      </c>
      <c r="E288" s="131">
        <v>94900.02</v>
      </c>
      <c r="F288" s="128">
        <v>107.0</v>
      </c>
    </row>
    <row r="289">
      <c r="A289" s="129">
        <v>287.0</v>
      </c>
      <c r="B289" s="130">
        <v>45701.0</v>
      </c>
      <c r="C289" s="127" t="s">
        <v>466</v>
      </c>
      <c r="D289" s="127" t="s">
        <v>468</v>
      </c>
      <c r="E289" s="131">
        <v>76200.02</v>
      </c>
      <c r="F289" s="128">
        <v>155.0</v>
      </c>
    </row>
    <row r="290">
      <c r="A290" s="129">
        <v>288.0</v>
      </c>
      <c r="B290" s="132">
        <v>45721.0</v>
      </c>
      <c r="C290" s="127" t="s">
        <v>466</v>
      </c>
      <c r="D290" s="127" t="s">
        <v>469</v>
      </c>
      <c r="E290" s="131">
        <v>55000.01</v>
      </c>
      <c r="F290" s="128">
        <v>135.0</v>
      </c>
    </row>
    <row r="291">
      <c r="A291" s="129">
        <v>289.0</v>
      </c>
      <c r="B291" s="133">
        <v>45785.0</v>
      </c>
      <c r="C291" s="127" t="s">
        <v>470</v>
      </c>
      <c r="D291" s="127" t="s">
        <v>471</v>
      </c>
      <c r="E291" s="131">
        <v>94633.52</v>
      </c>
      <c r="F291" s="128">
        <v>71.0</v>
      </c>
    </row>
    <row r="292">
      <c r="A292" s="129">
        <v>290.0</v>
      </c>
      <c r="B292" s="130">
        <v>45681.0</v>
      </c>
      <c r="C292" s="127" t="s">
        <v>472</v>
      </c>
      <c r="D292" s="127" t="s">
        <v>473</v>
      </c>
      <c r="E292" s="131">
        <v>105100.01</v>
      </c>
      <c r="F292" s="128">
        <v>175.0</v>
      </c>
    </row>
    <row r="293">
      <c r="A293" s="129">
        <v>291.0</v>
      </c>
      <c r="B293" s="130">
        <v>45581.0</v>
      </c>
      <c r="C293" s="127" t="s">
        <v>472</v>
      </c>
      <c r="D293" s="127" t="s">
        <v>474</v>
      </c>
      <c r="E293" s="131">
        <v>91000.9</v>
      </c>
      <c r="F293" s="128">
        <v>275.0</v>
      </c>
    </row>
    <row r="294">
      <c r="A294" s="129">
        <v>292.0</v>
      </c>
      <c r="B294" s="130">
        <v>45747.0</v>
      </c>
      <c r="C294" s="127" t="s">
        <v>472</v>
      </c>
      <c r="D294" s="127" t="s">
        <v>475</v>
      </c>
      <c r="E294" s="131">
        <v>115600.01</v>
      </c>
      <c r="F294" s="128">
        <v>109.0</v>
      </c>
    </row>
    <row r="295">
      <c r="A295" s="129">
        <v>293.0</v>
      </c>
      <c r="B295" s="132">
        <v>45810.0</v>
      </c>
      <c r="C295" s="127" t="s">
        <v>472</v>
      </c>
      <c r="D295" s="127" t="s">
        <v>476</v>
      </c>
      <c r="E295" s="131">
        <v>89900.0</v>
      </c>
      <c r="F295" s="128">
        <v>46.0</v>
      </c>
    </row>
    <row r="296">
      <c r="A296" s="129">
        <v>294.0</v>
      </c>
      <c r="B296" s="130">
        <v>45686.0</v>
      </c>
      <c r="C296" s="127" t="s">
        <v>477</v>
      </c>
      <c r="D296" s="127" t="s">
        <v>478</v>
      </c>
      <c r="E296" s="131">
        <v>899000.03</v>
      </c>
      <c r="F296" s="128">
        <v>170.0</v>
      </c>
    </row>
    <row r="297">
      <c r="A297" s="129">
        <v>295.0</v>
      </c>
      <c r="B297" s="132">
        <v>45603.0</v>
      </c>
      <c r="C297" s="127" t="s">
        <v>477</v>
      </c>
      <c r="D297" s="127" t="s">
        <v>479</v>
      </c>
      <c r="E297" s="131">
        <v>901001.36</v>
      </c>
      <c r="F297" s="128">
        <v>266.0</v>
      </c>
    </row>
    <row r="298">
      <c r="A298" s="129">
        <v>296.0</v>
      </c>
      <c r="B298" s="130">
        <v>45727.0</v>
      </c>
      <c r="C298" s="127" t="s">
        <v>477</v>
      </c>
      <c r="D298" s="127" t="s">
        <v>271</v>
      </c>
      <c r="E298" s="131">
        <v>849000.12</v>
      </c>
      <c r="F298" s="128">
        <v>129.0</v>
      </c>
    </row>
    <row r="299">
      <c r="A299" s="129">
        <v>297.0</v>
      </c>
      <c r="B299" s="130">
        <v>45652.0</v>
      </c>
      <c r="C299" s="127" t="s">
        <v>477</v>
      </c>
      <c r="D299" s="127" t="s">
        <v>480</v>
      </c>
      <c r="E299" s="131">
        <v>875000.01</v>
      </c>
      <c r="F299" s="128">
        <v>204.0</v>
      </c>
    </row>
    <row r="300">
      <c r="A300" s="129">
        <v>298.0</v>
      </c>
      <c r="B300" s="130">
        <v>45834.0</v>
      </c>
      <c r="C300" s="127" t="s">
        <v>477</v>
      </c>
      <c r="D300" s="127" t="s">
        <v>481</v>
      </c>
      <c r="E300" s="131">
        <v>96000.08</v>
      </c>
      <c r="F300" s="128">
        <v>22.0</v>
      </c>
    </row>
    <row r="301">
      <c r="A301" s="129">
        <v>299.0</v>
      </c>
      <c r="B301" s="130">
        <v>45855.0</v>
      </c>
      <c r="C301" s="127" t="s">
        <v>477</v>
      </c>
      <c r="D301" s="127" t="s">
        <v>482</v>
      </c>
      <c r="E301" s="131">
        <v>705000.1</v>
      </c>
      <c r="F301" s="128">
        <v>1.0</v>
      </c>
    </row>
    <row r="302">
      <c r="A302" s="129">
        <v>300.0</v>
      </c>
      <c r="B302" s="130">
        <v>45675.0</v>
      </c>
      <c r="C302" s="127" t="s">
        <v>483</v>
      </c>
      <c r="D302" s="127" t="s">
        <v>484</v>
      </c>
      <c r="E302" s="131">
        <v>133600.03</v>
      </c>
      <c r="F302" s="128">
        <v>165.0</v>
      </c>
    </row>
    <row r="303">
      <c r="A303" s="129">
        <v>301.0</v>
      </c>
      <c r="B303" s="130">
        <v>45575.0</v>
      </c>
      <c r="C303" s="127" t="s">
        <v>483</v>
      </c>
      <c r="D303" s="127" t="s">
        <v>485</v>
      </c>
      <c r="E303" s="131">
        <v>60001.13</v>
      </c>
      <c r="F303" s="128">
        <v>295.0</v>
      </c>
    </row>
    <row r="304">
      <c r="A304" s="129">
        <v>302.0</v>
      </c>
      <c r="B304" s="130">
        <v>45638.0</v>
      </c>
      <c r="C304" s="127" t="s">
        <v>483</v>
      </c>
      <c r="D304" s="127" t="s">
        <v>340</v>
      </c>
      <c r="E304" s="131">
        <v>99400.01</v>
      </c>
      <c r="F304" s="128">
        <v>218.0</v>
      </c>
    </row>
    <row r="305">
      <c r="A305" s="129">
        <v>303.0</v>
      </c>
      <c r="B305" s="130">
        <v>45743.0</v>
      </c>
      <c r="C305" s="127" t="s">
        <v>483</v>
      </c>
      <c r="D305" s="127" t="s">
        <v>486</v>
      </c>
      <c r="E305" s="131">
        <v>37439.02</v>
      </c>
      <c r="F305" s="128">
        <v>106.0</v>
      </c>
    </row>
    <row r="306">
      <c r="A306" s="129">
        <v>304.0</v>
      </c>
      <c r="B306" s="130">
        <v>45862.0</v>
      </c>
      <c r="C306" s="127" t="s">
        <v>483</v>
      </c>
      <c r="D306" s="127" t="s">
        <v>487</v>
      </c>
      <c r="E306" s="131">
        <v>83873.96</v>
      </c>
      <c r="F306" s="128">
        <v>8.0</v>
      </c>
    </row>
    <row r="307">
      <c r="A307" s="129">
        <v>305.0</v>
      </c>
      <c r="B307" s="130">
        <v>45588.0</v>
      </c>
      <c r="C307" s="127" t="s">
        <v>488</v>
      </c>
      <c r="D307" s="127" t="s">
        <v>489</v>
      </c>
      <c r="E307" s="131">
        <v>65005.25</v>
      </c>
      <c r="F307" s="128">
        <v>268.0</v>
      </c>
    </row>
    <row r="308">
      <c r="A308" s="129">
        <v>306.0</v>
      </c>
      <c r="B308" s="130">
        <v>45595.0</v>
      </c>
      <c r="C308" s="127" t="s">
        <v>490</v>
      </c>
      <c r="D308" s="127" t="s">
        <v>491</v>
      </c>
      <c r="E308" s="131">
        <v>20000.07</v>
      </c>
      <c r="F308" s="128">
        <v>261.0</v>
      </c>
    </row>
    <row r="309">
      <c r="A309" s="129">
        <v>307.0</v>
      </c>
      <c r="B309" s="133">
        <v>45783.0</v>
      </c>
      <c r="C309" s="127" t="s">
        <v>492</v>
      </c>
      <c r="D309" s="127" t="s">
        <v>493</v>
      </c>
      <c r="E309" s="131">
        <v>48000.04</v>
      </c>
      <c r="F309" s="128">
        <v>80.0</v>
      </c>
    </row>
    <row r="310">
      <c r="A310" s="129">
        <v>308.0</v>
      </c>
      <c r="B310" s="134">
        <v>45793.0</v>
      </c>
      <c r="C310" s="127" t="s">
        <v>492</v>
      </c>
      <c r="D310" s="127" t="s">
        <v>494</v>
      </c>
      <c r="E310" s="131">
        <v>38400.03</v>
      </c>
      <c r="F310" s="128">
        <v>70.0</v>
      </c>
    </row>
    <row r="311">
      <c r="A311" s="129">
        <v>309.0</v>
      </c>
      <c r="B311" s="132">
        <v>45812.0</v>
      </c>
      <c r="C311" s="127" t="s">
        <v>492</v>
      </c>
      <c r="D311" s="127" t="s">
        <v>495</v>
      </c>
      <c r="E311" s="131">
        <v>96000.08</v>
      </c>
      <c r="F311" s="128">
        <v>51.0</v>
      </c>
    </row>
    <row r="312">
      <c r="A312" s="129">
        <v>310.0</v>
      </c>
      <c r="B312" s="130">
        <v>45860.0</v>
      </c>
      <c r="C312" s="127" t="s">
        <v>492</v>
      </c>
      <c r="D312" s="127" t="s">
        <v>496</v>
      </c>
      <c r="E312" s="131">
        <v>99999.94</v>
      </c>
      <c r="F312" s="128">
        <v>3.0</v>
      </c>
    </row>
    <row r="313">
      <c r="A313" s="129">
        <v>311.0</v>
      </c>
      <c r="B313" s="130">
        <v>45673.0</v>
      </c>
      <c r="C313" s="127" t="s">
        <v>497</v>
      </c>
      <c r="D313" s="127" t="s">
        <v>498</v>
      </c>
      <c r="E313" s="131">
        <v>79400.01</v>
      </c>
      <c r="F313" s="128">
        <v>190.0</v>
      </c>
    </row>
    <row r="314">
      <c r="A314" s="129">
        <v>312.0</v>
      </c>
      <c r="B314" s="130">
        <v>45548.0</v>
      </c>
      <c r="C314" s="127" t="s">
        <v>497</v>
      </c>
      <c r="D314" s="127" t="s">
        <v>499</v>
      </c>
      <c r="E314" s="131">
        <v>59803.33</v>
      </c>
      <c r="F314" s="128">
        <v>308.0</v>
      </c>
    </row>
    <row r="315">
      <c r="A315" s="129">
        <v>313.0</v>
      </c>
      <c r="B315" s="130">
        <v>45614.0</v>
      </c>
      <c r="C315" s="127" t="s">
        <v>500</v>
      </c>
      <c r="D315" s="127" t="s">
        <v>501</v>
      </c>
      <c r="E315" s="131">
        <v>99000.0</v>
      </c>
      <c r="F315" s="128">
        <v>242.0</v>
      </c>
    </row>
    <row r="316">
      <c r="A316" s="129">
        <v>314.0</v>
      </c>
      <c r="B316" s="130">
        <v>45741.0</v>
      </c>
      <c r="C316" s="127" t="s">
        <v>500</v>
      </c>
      <c r="D316" s="127" t="s">
        <v>382</v>
      </c>
      <c r="E316" s="131">
        <v>61290.01</v>
      </c>
      <c r="F316" s="128">
        <v>115.0</v>
      </c>
    </row>
    <row r="317">
      <c r="A317" s="129">
        <v>315.0</v>
      </c>
      <c r="B317" s="130">
        <v>45586.0</v>
      </c>
      <c r="C317" s="127" t="s">
        <v>502</v>
      </c>
      <c r="D317" s="127" t="s">
        <v>503</v>
      </c>
      <c r="E317" s="131">
        <v>66849.98</v>
      </c>
      <c r="F317" s="128">
        <v>270.0</v>
      </c>
    </row>
    <row r="318">
      <c r="A318" s="129">
        <v>316.0</v>
      </c>
      <c r="B318" s="130">
        <v>45586.0</v>
      </c>
      <c r="C318" s="127" t="s">
        <v>502</v>
      </c>
      <c r="D318" s="127" t="s">
        <v>504</v>
      </c>
      <c r="E318" s="131">
        <v>49500.15</v>
      </c>
      <c r="F318" s="128">
        <v>270.0</v>
      </c>
    </row>
    <row r="319">
      <c r="A319" s="129">
        <v>317.0</v>
      </c>
      <c r="B319" s="130">
        <v>45775.0</v>
      </c>
      <c r="C319" s="127" t="s">
        <v>502</v>
      </c>
      <c r="D319" s="127" t="s">
        <v>505</v>
      </c>
      <c r="E319" s="131">
        <v>130784.17</v>
      </c>
      <c r="F319" s="128">
        <v>81.0</v>
      </c>
    </row>
    <row r="320">
      <c r="A320" s="129">
        <v>318.0</v>
      </c>
      <c r="B320" s="132">
        <v>45812.0</v>
      </c>
      <c r="C320" s="127" t="s">
        <v>502</v>
      </c>
      <c r="D320" s="127" t="s">
        <v>506</v>
      </c>
      <c r="E320" s="131">
        <v>113439.91</v>
      </c>
      <c r="F320" s="128">
        <v>44.0</v>
      </c>
    </row>
    <row r="321">
      <c r="A321" s="129">
        <v>319.0</v>
      </c>
      <c r="B321" s="130">
        <v>45856.0</v>
      </c>
      <c r="C321" s="127" t="s">
        <v>502</v>
      </c>
      <c r="D321" s="127" t="s">
        <v>507</v>
      </c>
      <c r="E321" s="131">
        <v>171999.99</v>
      </c>
      <c r="F321" s="128">
        <v>0.0</v>
      </c>
    </row>
    <row r="322">
      <c r="A322" s="129">
        <v>320.0</v>
      </c>
      <c r="B322" s="134">
        <v>45793.0</v>
      </c>
      <c r="C322" s="127" t="s">
        <v>508</v>
      </c>
      <c r="D322" s="127" t="s">
        <v>299</v>
      </c>
      <c r="E322" s="131">
        <v>104999.98</v>
      </c>
      <c r="F322" s="128">
        <v>63.0</v>
      </c>
    </row>
    <row r="323">
      <c r="A323" s="129">
        <v>321.0</v>
      </c>
      <c r="B323" s="134">
        <v>45792.0</v>
      </c>
      <c r="C323" s="127" t="s">
        <v>509</v>
      </c>
      <c r="D323" s="127" t="s">
        <v>510</v>
      </c>
      <c r="E323" s="131">
        <v>83999.98</v>
      </c>
      <c r="F323" s="128">
        <v>64.0</v>
      </c>
    </row>
    <row r="324">
      <c r="A324" s="129">
        <v>322.0</v>
      </c>
      <c r="B324" s="130">
        <v>45590.0</v>
      </c>
      <c r="C324" s="127" t="s">
        <v>511</v>
      </c>
      <c r="D324" s="127" t="s">
        <v>512</v>
      </c>
      <c r="E324" s="131">
        <v>95000.01</v>
      </c>
      <c r="F324" s="128">
        <v>266.0</v>
      </c>
    </row>
    <row r="325">
      <c r="A325" s="129">
        <v>323.0</v>
      </c>
      <c r="B325" s="134">
        <v>45792.0</v>
      </c>
      <c r="C325" s="127" t="s">
        <v>511</v>
      </c>
      <c r="D325" s="127" t="s">
        <v>513</v>
      </c>
      <c r="E325" s="131">
        <v>83999.98</v>
      </c>
      <c r="F325" s="128">
        <v>64.0</v>
      </c>
    </row>
    <row r="326">
      <c r="A326" s="129">
        <v>324.0</v>
      </c>
      <c r="B326" s="130">
        <v>45829.0</v>
      </c>
      <c r="C326" s="127" t="s">
        <v>511</v>
      </c>
      <c r="D326" s="127" t="s">
        <v>375</v>
      </c>
      <c r="E326" s="131">
        <v>209999.96</v>
      </c>
      <c r="F326" s="128">
        <v>27.0</v>
      </c>
    </row>
    <row r="327">
      <c r="A327" s="129">
        <v>325.0</v>
      </c>
      <c r="B327" s="130">
        <v>45595.0</v>
      </c>
      <c r="C327" s="127" t="s">
        <v>514</v>
      </c>
      <c r="D327" s="127" t="s">
        <v>515</v>
      </c>
      <c r="E327" s="131">
        <v>95999.98</v>
      </c>
      <c r="F327" s="128">
        <v>261.0</v>
      </c>
    </row>
    <row r="328">
      <c r="A328" s="129">
        <v>326.0</v>
      </c>
      <c r="B328" s="133">
        <v>45785.0</v>
      </c>
      <c r="C328" s="127" t="s">
        <v>514</v>
      </c>
      <c r="D328" s="127" t="s">
        <v>516</v>
      </c>
      <c r="E328" s="131">
        <v>52499.99</v>
      </c>
      <c r="F328" s="128">
        <v>71.0</v>
      </c>
    </row>
    <row r="329">
      <c r="A329" s="129">
        <v>327.0</v>
      </c>
      <c r="B329" s="130">
        <v>45829.0</v>
      </c>
      <c r="C329" s="127" t="s">
        <v>514</v>
      </c>
      <c r="D329" s="127" t="s">
        <v>517</v>
      </c>
      <c r="E329" s="131">
        <v>209999.96</v>
      </c>
      <c r="F329" s="128">
        <v>27.0</v>
      </c>
    </row>
    <row r="330">
      <c r="A330" s="129">
        <v>328.0</v>
      </c>
      <c r="B330" s="130">
        <v>45587.0</v>
      </c>
      <c r="C330" s="127" t="s">
        <v>518</v>
      </c>
      <c r="D330" s="127" t="s">
        <v>519</v>
      </c>
      <c r="E330" s="131">
        <v>95000.01</v>
      </c>
      <c r="F330" s="128">
        <v>269.0</v>
      </c>
    </row>
    <row r="331">
      <c r="A331" s="129">
        <v>329.0</v>
      </c>
      <c r="B331" s="130">
        <v>45595.0</v>
      </c>
      <c r="C331" s="127" t="s">
        <v>518</v>
      </c>
      <c r="D331" s="127" t="s">
        <v>520</v>
      </c>
      <c r="E331" s="131">
        <v>95999.99</v>
      </c>
      <c r="F331" s="128">
        <v>261.0</v>
      </c>
    </row>
    <row r="332">
      <c r="A332" s="129">
        <v>330.0</v>
      </c>
      <c r="B332" s="134">
        <v>45790.0</v>
      </c>
      <c r="C332" s="127" t="s">
        <v>518</v>
      </c>
      <c r="D332" s="127" t="s">
        <v>521</v>
      </c>
      <c r="E332" s="131">
        <v>31499.99</v>
      </c>
      <c r="F332" s="128">
        <v>66.0</v>
      </c>
    </row>
    <row r="333">
      <c r="A333" s="129">
        <v>331.0</v>
      </c>
      <c r="B333" s="130">
        <v>45829.0</v>
      </c>
      <c r="C333" s="127" t="s">
        <v>522</v>
      </c>
      <c r="D333" s="127" t="s">
        <v>523</v>
      </c>
      <c r="E333" s="131">
        <v>52499.99</v>
      </c>
      <c r="F333" s="128">
        <v>27.0</v>
      </c>
    </row>
    <row r="334">
      <c r="A334" s="129">
        <v>332.0</v>
      </c>
      <c r="B334" s="134">
        <v>45792.0</v>
      </c>
      <c r="C334" s="127" t="s">
        <v>524</v>
      </c>
      <c r="D334" s="127" t="s">
        <v>525</v>
      </c>
      <c r="E334" s="131">
        <v>62999.99</v>
      </c>
      <c r="F334" s="128">
        <v>64.0</v>
      </c>
    </row>
    <row r="335">
      <c r="A335" s="129">
        <v>333.0</v>
      </c>
      <c r="B335" s="130">
        <v>45834.0</v>
      </c>
      <c r="C335" s="127" t="s">
        <v>524</v>
      </c>
      <c r="D335" s="127" t="s">
        <v>526</v>
      </c>
      <c r="E335" s="131">
        <v>104999.98</v>
      </c>
      <c r="F335" s="128">
        <v>22.0</v>
      </c>
    </row>
    <row r="336">
      <c r="A336" s="129">
        <v>334.0</v>
      </c>
      <c r="B336" s="132">
        <v>45600.0</v>
      </c>
      <c r="C336" s="127" t="s">
        <v>527</v>
      </c>
      <c r="D336" s="127" t="s">
        <v>528</v>
      </c>
      <c r="E336" s="131">
        <v>32000.0</v>
      </c>
      <c r="F336" s="128">
        <v>256.0</v>
      </c>
    </row>
    <row r="337">
      <c r="A337" s="129">
        <v>335.0</v>
      </c>
      <c r="B337" s="134">
        <v>45792.0</v>
      </c>
      <c r="C337" s="127" t="s">
        <v>527</v>
      </c>
      <c r="D337" s="127" t="s">
        <v>529</v>
      </c>
      <c r="E337" s="131">
        <v>41999.99</v>
      </c>
      <c r="F337" s="128">
        <v>64.0</v>
      </c>
    </row>
    <row r="338">
      <c r="A338" s="129">
        <v>336.0</v>
      </c>
      <c r="B338" s="130">
        <v>45829.0</v>
      </c>
      <c r="C338" s="127" t="s">
        <v>527</v>
      </c>
      <c r="D338" s="127" t="s">
        <v>530</v>
      </c>
      <c r="E338" s="131">
        <v>104999.98</v>
      </c>
      <c r="F338" s="128">
        <v>27.0</v>
      </c>
    </row>
    <row r="339">
      <c r="A339" s="129">
        <v>337.0</v>
      </c>
      <c r="B339" s="130">
        <v>45643.0</v>
      </c>
      <c r="C339" s="127" t="s">
        <v>531</v>
      </c>
      <c r="D339" s="127" t="s">
        <v>532</v>
      </c>
      <c r="E339" s="131">
        <v>152599.99</v>
      </c>
      <c r="F339" s="128">
        <v>213.0</v>
      </c>
    </row>
    <row r="340">
      <c r="A340" s="129">
        <v>338.0</v>
      </c>
      <c r="B340" s="130">
        <v>45546.0</v>
      </c>
      <c r="C340" s="127" t="s">
        <v>533</v>
      </c>
      <c r="D340" s="127" t="s">
        <v>534</v>
      </c>
      <c r="E340" s="131">
        <v>189995.5</v>
      </c>
      <c r="F340" s="128">
        <v>310.0</v>
      </c>
    </row>
    <row r="341">
      <c r="A341" s="129">
        <v>339.0</v>
      </c>
      <c r="B341" s="130">
        <v>45590.0</v>
      </c>
      <c r="C341" s="127" t="s">
        <v>533</v>
      </c>
      <c r="D341" s="127" t="s">
        <v>535</v>
      </c>
      <c r="E341" s="131">
        <v>142500.01</v>
      </c>
      <c r="F341" s="128">
        <v>266.0</v>
      </c>
    </row>
    <row r="342">
      <c r="A342" s="129">
        <v>340.0</v>
      </c>
      <c r="B342" s="133">
        <v>45784.0</v>
      </c>
      <c r="C342" s="127" t="s">
        <v>533</v>
      </c>
      <c r="D342" s="127" t="s">
        <v>536</v>
      </c>
      <c r="E342" s="131">
        <v>104999.98</v>
      </c>
      <c r="F342" s="128">
        <v>72.0</v>
      </c>
    </row>
    <row r="343">
      <c r="A343" s="129">
        <v>341.0</v>
      </c>
      <c r="B343" s="130">
        <v>45832.0</v>
      </c>
      <c r="C343" s="127" t="s">
        <v>533</v>
      </c>
      <c r="D343" s="127" t="s">
        <v>375</v>
      </c>
      <c r="E343" s="131">
        <v>209999.96</v>
      </c>
      <c r="F343" s="128">
        <v>24.0</v>
      </c>
    </row>
    <row r="344">
      <c r="A344" s="129">
        <v>342.0</v>
      </c>
      <c r="B344" s="130">
        <v>45594.0</v>
      </c>
      <c r="C344" s="127" t="s">
        <v>537</v>
      </c>
      <c r="D344" s="127" t="s">
        <v>538</v>
      </c>
      <c r="E344" s="131">
        <v>95999.99</v>
      </c>
      <c r="F344" s="128">
        <v>262.0</v>
      </c>
    </row>
    <row r="345">
      <c r="A345" s="129">
        <v>343.0</v>
      </c>
      <c r="B345" s="134">
        <v>45790.0</v>
      </c>
      <c r="C345" s="127" t="s">
        <v>537</v>
      </c>
      <c r="D345" s="127" t="s">
        <v>539</v>
      </c>
      <c r="E345" s="131">
        <v>52499.99</v>
      </c>
      <c r="F345" s="128">
        <v>66.0</v>
      </c>
    </row>
    <row r="346">
      <c r="A346" s="129">
        <v>344.0</v>
      </c>
      <c r="B346" s="130">
        <v>45727.0</v>
      </c>
      <c r="C346" s="127" t="s">
        <v>540</v>
      </c>
      <c r="D346" s="127" t="s">
        <v>541</v>
      </c>
      <c r="E346" s="131">
        <v>35000.0</v>
      </c>
      <c r="F346" s="128">
        <v>129.0</v>
      </c>
    </row>
    <row r="347">
      <c r="A347" s="129">
        <v>345.0</v>
      </c>
      <c r="B347" s="130">
        <v>45583.0</v>
      </c>
      <c r="C347" s="127" t="s">
        <v>542</v>
      </c>
      <c r="D347" s="127" t="s">
        <v>543</v>
      </c>
      <c r="E347" s="131">
        <v>19999.99</v>
      </c>
      <c r="F347" s="128">
        <v>273.0</v>
      </c>
    </row>
    <row r="348">
      <c r="A348" s="129">
        <v>346.0</v>
      </c>
      <c r="B348" s="130">
        <v>45581.0</v>
      </c>
      <c r="C348" s="127" t="s">
        <v>544</v>
      </c>
      <c r="D348" s="127" t="s">
        <v>545</v>
      </c>
      <c r="E348" s="131">
        <v>34830.0</v>
      </c>
      <c r="F348" s="128">
        <v>275.0</v>
      </c>
    </row>
    <row r="349">
      <c r="A349" s="129">
        <v>347.0</v>
      </c>
      <c r="B349" s="130">
        <v>45679.0</v>
      </c>
      <c r="C349" s="127" t="s">
        <v>546</v>
      </c>
      <c r="D349" s="127" t="s">
        <v>183</v>
      </c>
      <c r="E349" s="131">
        <v>74562.51</v>
      </c>
      <c r="F349" s="128">
        <v>177.0</v>
      </c>
    </row>
    <row r="350">
      <c r="A350" s="129">
        <v>348.0</v>
      </c>
      <c r="B350" s="130">
        <v>45555.0</v>
      </c>
      <c r="C350" s="127" t="s">
        <v>546</v>
      </c>
      <c r="D350" s="127" t="s">
        <v>547</v>
      </c>
      <c r="E350" s="131">
        <v>20000.38</v>
      </c>
      <c r="F350" s="128">
        <v>301.0</v>
      </c>
    </row>
    <row r="351">
      <c r="A351" s="129">
        <v>349.0</v>
      </c>
      <c r="B351" s="130">
        <v>45624.0</v>
      </c>
      <c r="C351" s="127" t="s">
        <v>546</v>
      </c>
      <c r="D351" s="127" t="s">
        <v>548</v>
      </c>
      <c r="E351" s="131">
        <v>40999.95</v>
      </c>
      <c r="F351" s="128">
        <v>232.0</v>
      </c>
    </row>
    <row r="352">
      <c r="A352" s="129">
        <v>350.0</v>
      </c>
      <c r="B352" s="132">
        <v>45692.0</v>
      </c>
      <c r="C352" s="127" t="s">
        <v>546</v>
      </c>
      <c r="D352" s="127" t="s">
        <v>261</v>
      </c>
      <c r="E352" s="131">
        <v>30500.01</v>
      </c>
      <c r="F352" s="128">
        <v>164.0</v>
      </c>
    </row>
    <row r="353">
      <c r="A353" s="129">
        <v>351.0</v>
      </c>
      <c r="B353" s="130">
        <v>45826.0</v>
      </c>
      <c r="C353" s="127" t="s">
        <v>546</v>
      </c>
      <c r="D353" s="127" t="s">
        <v>549</v>
      </c>
      <c r="E353" s="131">
        <v>65500.01</v>
      </c>
      <c r="F353" s="128">
        <v>30.0</v>
      </c>
    </row>
    <row r="354">
      <c r="A354" s="129">
        <v>352.0</v>
      </c>
      <c r="B354" s="132">
        <v>45512.0</v>
      </c>
      <c r="C354" s="127" t="s">
        <v>550</v>
      </c>
      <c r="D354" s="127" t="s">
        <v>146</v>
      </c>
      <c r="E354" s="131">
        <v>59301.3</v>
      </c>
      <c r="F354" s="128">
        <v>344.0</v>
      </c>
    </row>
    <row r="355">
      <c r="A355" s="129">
        <v>353.0</v>
      </c>
      <c r="B355" s="130">
        <v>45637.0</v>
      </c>
      <c r="C355" s="127" t="s">
        <v>550</v>
      </c>
      <c r="D355" s="127" t="s">
        <v>551</v>
      </c>
      <c r="E355" s="131">
        <v>65500.01</v>
      </c>
      <c r="F355" s="128">
        <v>219.0</v>
      </c>
    </row>
    <row r="356">
      <c r="A356" s="129">
        <v>354.0</v>
      </c>
      <c r="B356" s="130">
        <v>45652.0</v>
      </c>
      <c r="C356" s="127" t="s">
        <v>550</v>
      </c>
      <c r="D356" s="127" t="s">
        <v>552</v>
      </c>
      <c r="E356" s="131">
        <v>86500.09</v>
      </c>
      <c r="F356" s="128">
        <v>204.0</v>
      </c>
    </row>
    <row r="357">
      <c r="A357" s="129">
        <v>355.0</v>
      </c>
      <c r="B357" s="130">
        <v>45826.0</v>
      </c>
      <c r="C357" s="127" t="s">
        <v>550</v>
      </c>
      <c r="D357" s="127" t="s">
        <v>553</v>
      </c>
      <c r="E357" s="131">
        <v>32700.01</v>
      </c>
      <c r="F357" s="128">
        <v>30.0</v>
      </c>
    </row>
    <row r="358">
      <c r="A358" s="129">
        <v>356.0</v>
      </c>
      <c r="B358" s="132">
        <v>45842.0</v>
      </c>
      <c r="C358" s="127" t="s">
        <v>550</v>
      </c>
      <c r="D358" s="127" t="s">
        <v>554</v>
      </c>
      <c r="E358" s="131">
        <v>29200.0</v>
      </c>
      <c r="F358" s="128">
        <v>14.0</v>
      </c>
    </row>
    <row r="359">
      <c r="A359" s="129">
        <v>357.0</v>
      </c>
      <c r="B359" s="132">
        <v>45604.0</v>
      </c>
      <c r="C359" s="127" t="s">
        <v>555</v>
      </c>
      <c r="D359" s="127" t="s">
        <v>556</v>
      </c>
      <c r="E359" s="131">
        <v>25500.0</v>
      </c>
      <c r="F359" s="128">
        <v>265.0</v>
      </c>
    </row>
    <row r="360">
      <c r="A360" s="129">
        <v>358.0</v>
      </c>
      <c r="B360" s="130">
        <v>45625.0</v>
      </c>
      <c r="C360" s="127" t="s">
        <v>555</v>
      </c>
      <c r="D360" s="127" t="s">
        <v>557</v>
      </c>
      <c r="E360" s="131">
        <v>45500.0</v>
      </c>
      <c r="F360" s="128">
        <v>231.0</v>
      </c>
    </row>
    <row r="361">
      <c r="A361" s="129">
        <v>359.0</v>
      </c>
      <c r="B361" s="130">
        <v>45818.0</v>
      </c>
      <c r="C361" s="127" t="s">
        <v>558</v>
      </c>
      <c r="D361" s="127" t="s">
        <v>559</v>
      </c>
      <c r="E361" s="131">
        <v>90000.0</v>
      </c>
      <c r="F361" s="128">
        <v>38.0</v>
      </c>
    </row>
    <row r="362">
      <c r="A362" s="129">
        <v>360.0</v>
      </c>
      <c r="B362" s="132">
        <v>45847.0</v>
      </c>
      <c r="C362" s="127" t="s">
        <v>558</v>
      </c>
      <c r="D362" s="127" t="s">
        <v>560</v>
      </c>
      <c r="E362" s="131">
        <v>14400.01</v>
      </c>
      <c r="F362" s="128">
        <v>9.0</v>
      </c>
    </row>
    <row r="363">
      <c r="A363" s="129">
        <v>361.0</v>
      </c>
      <c r="B363" s="130">
        <v>45862.0</v>
      </c>
      <c r="C363" s="127" t="s">
        <v>558</v>
      </c>
      <c r="D363" s="127" t="s">
        <v>561</v>
      </c>
      <c r="E363" s="131">
        <v>48916.96</v>
      </c>
      <c r="F363" s="128">
        <v>0.0</v>
      </c>
    </row>
    <row r="364">
      <c r="A364" s="129">
        <v>362.0</v>
      </c>
      <c r="B364" s="130">
        <v>45831.0</v>
      </c>
      <c r="C364" s="127" t="s">
        <v>562</v>
      </c>
      <c r="D364" s="127" t="s">
        <v>563</v>
      </c>
      <c r="E364" s="131">
        <v>182371.16</v>
      </c>
      <c r="F364" s="128">
        <v>25.0</v>
      </c>
    </row>
    <row r="365">
      <c r="A365" s="129">
        <v>363.0</v>
      </c>
      <c r="B365" s="132">
        <v>45603.0</v>
      </c>
      <c r="C365" s="127" t="s">
        <v>564</v>
      </c>
      <c r="D365" s="127" t="s">
        <v>565</v>
      </c>
      <c r="E365" s="131">
        <v>47500.0</v>
      </c>
      <c r="F365" s="128">
        <v>266.0</v>
      </c>
    </row>
    <row r="366">
      <c r="A366" s="129">
        <v>364.0</v>
      </c>
      <c r="B366" s="132">
        <v>45752.0</v>
      </c>
      <c r="C366" s="127" t="s">
        <v>566</v>
      </c>
      <c r="D366" s="127" t="s">
        <v>567</v>
      </c>
      <c r="E366" s="131">
        <v>85200.0</v>
      </c>
      <c r="F366" s="128">
        <v>104.0</v>
      </c>
    </row>
    <row r="367">
      <c r="A367" s="129">
        <v>365.0</v>
      </c>
      <c r="B367" s="132">
        <v>45717.0</v>
      </c>
      <c r="C367" s="127" t="s">
        <v>566</v>
      </c>
      <c r="D367" s="127" t="s">
        <v>568</v>
      </c>
      <c r="E367" s="131">
        <v>59600.01</v>
      </c>
      <c r="F367" s="128">
        <v>139.0</v>
      </c>
    </row>
    <row r="368">
      <c r="A368" s="129">
        <v>366.0</v>
      </c>
      <c r="B368" s="132">
        <v>45717.0</v>
      </c>
      <c r="C368" s="127" t="s">
        <v>566</v>
      </c>
      <c r="D368" s="127" t="s">
        <v>569</v>
      </c>
      <c r="E368" s="131">
        <v>276700.02</v>
      </c>
      <c r="F368" s="128">
        <v>139.0</v>
      </c>
    </row>
    <row r="369">
      <c r="A369" s="129">
        <v>367.0</v>
      </c>
      <c r="B369" s="134">
        <v>45797.0</v>
      </c>
      <c r="C369" s="127" t="s">
        <v>566</v>
      </c>
      <c r="D369" s="127" t="s">
        <v>570</v>
      </c>
      <c r="E369" s="131">
        <v>44400.0</v>
      </c>
      <c r="F369" s="128">
        <v>59.0</v>
      </c>
    </row>
    <row r="370">
      <c r="A370" s="129">
        <v>368.0</v>
      </c>
      <c r="B370" s="132">
        <v>45847.0</v>
      </c>
      <c r="C370" s="127" t="s">
        <v>566</v>
      </c>
      <c r="D370" s="127" t="s">
        <v>571</v>
      </c>
      <c r="E370" s="131">
        <v>35000.0</v>
      </c>
      <c r="F370" s="128">
        <v>9.0</v>
      </c>
    </row>
    <row r="371">
      <c r="A371" s="129">
        <v>369.0</v>
      </c>
      <c r="B371" s="130">
        <v>45678.0</v>
      </c>
      <c r="C371" s="127" t="s">
        <v>572</v>
      </c>
      <c r="D371" s="127" t="s">
        <v>573</v>
      </c>
      <c r="E371" s="131">
        <v>225762.55</v>
      </c>
      <c r="F371" s="128">
        <v>178.0</v>
      </c>
    </row>
    <row r="372">
      <c r="A372" s="129">
        <v>370.0</v>
      </c>
      <c r="B372" s="130">
        <v>45686.0</v>
      </c>
      <c r="C372" s="127" t="s">
        <v>574</v>
      </c>
      <c r="D372" s="127" t="s">
        <v>575</v>
      </c>
      <c r="E372" s="131">
        <v>45500.0</v>
      </c>
      <c r="F372" s="128">
        <v>170.0</v>
      </c>
    </row>
    <row r="373">
      <c r="A373" s="129">
        <v>371.0</v>
      </c>
      <c r="B373" s="132">
        <v>45752.0</v>
      </c>
      <c r="C373" s="127" t="s">
        <v>574</v>
      </c>
      <c r="D373" s="127" t="s">
        <v>576</v>
      </c>
      <c r="E373" s="131">
        <v>85200.0</v>
      </c>
      <c r="F373" s="128">
        <v>104.0</v>
      </c>
    </row>
    <row r="374">
      <c r="A374" s="129">
        <v>372.0</v>
      </c>
      <c r="B374" s="132">
        <v>45752.0</v>
      </c>
      <c r="C374" s="127" t="s">
        <v>574</v>
      </c>
      <c r="D374" s="127" t="s">
        <v>567</v>
      </c>
      <c r="E374" s="131">
        <v>54805.65</v>
      </c>
      <c r="F374" s="128">
        <v>104.0</v>
      </c>
    </row>
    <row r="375">
      <c r="A375" s="129">
        <v>373.0</v>
      </c>
      <c r="B375" s="130">
        <v>45776.0</v>
      </c>
      <c r="C375" s="127" t="s">
        <v>574</v>
      </c>
      <c r="D375" s="127" t="s">
        <v>577</v>
      </c>
      <c r="E375" s="131">
        <v>31499.99</v>
      </c>
      <c r="F375" s="128">
        <v>80.0</v>
      </c>
    </row>
    <row r="376">
      <c r="A376" s="129">
        <v>374.0</v>
      </c>
      <c r="B376" s="134">
        <v>45808.0</v>
      </c>
      <c r="C376" s="127" t="s">
        <v>574</v>
      </c>
      <c r="D376" s="127" t="s">
        <v>578</v>
      </c>
      <c r="E376" s="131">
        <v>35000.0</v>
      </c>
      <c r="F376" s="128">
        <v>48.0</v>
      </c>
    </row>
    <row r="377">
      <c r="A377" s="129">
        <v>375.0</v>
      </c>
      <c r="B377" s="132">
        <v>45812.0</v>
      </c>
      <c r="C377" s="127" t="s">
        <v>574</v>
      </c>
      <c r="D377" s="127" t="s">
        <v>579</v>
      </c>
      <c r="E377" s="131">
        <v>83065.82</v>
      </c>
      <c r="F377" s="128">
        <v>44.0</v>
      </c>
    </row>
    <row r="378">
      <c r="A378" s="129">
        <v>376.0</v>
      </c>
      <c r="B378" s="130">
        <v>45822.0</v>
      </c>
      <c r="C378" s="127" t="s">
        <v>574</v>
      </c>
      <c r="D378" s="127" t="s">
        <v>580</v>
      </c>
      <c r="E378" s="131">
        <v>24541.04</v>
      </c>
      <c r="F378" s="128">
        <v>34.0</v>
      </c>
    </row>
    <row r="379">
      <c r="A379" s="129">
        <v>377.0</v>
      </c>
      <c r="B379" s="132">
        <v>45847.0</v>
      </c>
      <c r="C379" s="127" t="s">
        <v>574</v>
      </c>
      <c r="D379" s="127" t="s">
        <v>581</v>
      </c>
      <c r="E379" s="131">
        <v>19200.35</v>
      </c>
      <c r="F379" s="128">
        <v>9.0</v>
      </c>
    </row>
    <row r="380">
      <c r="A380" s="129">
        <v>378.0</v>
      </c>
      <c r="B380" s="130">
        <v>45860.0</v>
      </c>
      <c r="C380" s="127" t="s">
        <v>582</v>
      </c>
      <c r="D380" s="127" t="s">
        <v>583</v>
      </c>
      <c r="E380" s="131">
        <v>93500.02</v>
      </c>
      <c r="F380" s="128">
        <v>0.0</v>
      </c>
    </row>
    <row r="381">
      <c r="A381" s="129">
        <v>379.0</v>
      </c>
      <c r="B381" s="132">
        <v>45666.0</v>
      </c>
      <c r="C381" s="127" t="s">
        <v>584</v>
      </c>
      <c r="D381" s="127" t="s">
        <v>585</v>
      </c>
      <c r="E381" s="131">
        <v>156710.0</v>
      </c>
      <c r="F381" s="128">
        <v>190.0</v>
      </c>
    </row>
    <row r="382">
      <c r="A382" s="129">
        <v>380.0</v>
      </c>
      <c r="B382" s="130">
        <v>45674.0</v>
      </c>
      <c r="C382" s="127" t="s">
        <v>584</v>
      </c>
      <c r="D382" s="127" t="s">
        <v>586</v>
      </c>
      <c r="E382" s="131">
        <v>385500.05</v>
      </c>
      <c r="F382" s="128">
        <v>195.0</v>
      </c>
    </row>
    <row r="383">
      <c r="A383" s="129">
        <v>381.0</v>
      </c>
      <c r="B383" s="130">
        <v>45528.0</v>
      </c>
      <c r="C383" s="127" t="s">
        <v>584</v>
      </c>
      <c r="D383" s="127" t="s">
        <v>379</v>
      </c>
      <c r="E383" s="131">
        <v>33600.0</v>
      </c>
      <c r="F383" s="128">
        <v>342.0</v>
      </c>
    </row>
    <row r="384">
      <c r="A384" s="129">
        <v>382.0</v>
      </c>
      <c r="B384" s="130">
        <v>45674.0</v>
      </c>
      <c r="C384" s="127" t="s">
        <v>584</v>
      </c>
      <c r="D384" s="127" t="s">
        <v>587</v>
      </c>
      <c r="E384" s="131">
        <v>15000.0</v>
      </c>
      <c r="F384" s="128">
        <v>195.0</v>
      </c>
    </row>
    <row r="385">
      <c r="A385" s="129">
        <v>383.0</v>
      </c>
      <c r="B385" s="130">
        <v>45679.0</v>
      </c>
      <c r="C385" s="127" t="s">
        <v>584</v>
      </c>
      <c r="D385" s="127" t="s">
        <v>588</v>
      </c>
      <c r="E385" s="131">
        <v>57000.01</v>
      </c>
      <c r="F385" s="128">
        <v>191.0</v>
      </c>
    </row>
    <row r="386">
      <c r="A386" s="129">
        <v>384.0</v>
      </c>
      <c r="B386" s="130">
        <v>45687.0</v>
      </c>
      <c r="C386" s="127" t="s">
        <v>584</v>
      </c>
      <c r="D386" s="127" t="s">
        <v>589</v>
      </c>
      <c r="E386" s="131">
        <v>48375.0</v>
      </c>
      <c r="F386" s="128">
        <v>169.0</v>
      </c>
    </row>
    <row r="387">
      <c r="A387" s="129">
        <v>385.0</v>
      </c>
      <c r="B387" s="132">
        <v>45568.0</v>
      </c>
      <c r="C387" s="127" t="s">
        <v>584</v>
      </c>
      <c r="D387" s="127" t="s">
        <v>590</v>
      </c>
      <c r="E387" s="131">
        <v>13001.05</v>
      </c>
      <c r="F387" s="128">
        <v>301.0</v>
      </c>
    </row>
    <row r="388">
      <c r="A388" s="129">
        <v>386.0</v>
      </c>
      <c r="B388" s="132">
        <v>45574.0</v>
      </c>
      <c r="C388" s="127" t="s">
        <v>584</v>
      </c>
      <c r="D388" s="127" t="s">
        <v>591</v>
      </c>
      <c r="E388" s="131">
        <v>342000.0</v>
      </c>
      <c r="F388" s="128">
        <v>295.0</v>
      </c>
    </row>
    <row r="389">
      <c r="A389" s="129">
        <v>387.0</v>
      </c>
      <c r="B389" s="130">
        <v>45701.0</v>
      </c>
      <c r="C389" s="127" t="s">
        <v>584</v>
      </c>
      <c r="D389" s="127" t="s">
        <v>592</v>
      </c>
      <c r="E389" s="131">
        <v>65999.63</v>
      </c>
      <c r="F389" s="128">
        <v>169.0</v>
      </c>
    </row>
    <row r="390">
      <c r="A390" s="129">
        <v>388.0</v>
      </c>
      <c r="B390" s="132">
        <v>45601.0</v>
      </c>
      <c r="C390" s="127" t="s">
        <v>584</v>
      </c>
      <c r="D390" s="127" t="s">
        <v>593</v>
      </c>
      <c r="E390" s="131">
        <v>170000.0</v>
      </c>
      <c r="F390" s="128">
        <v>268.0</v>
      </c>
    </row>
    <row r="391">
      <c r="A391" s="129">
        <v>389.0</v>
      </c>
      <c r="B391" s="130">
        <v>45614.0</v>
      </c>
      <c r="C391" s="127" t="s">
        <v>584</v>
      </c>
      <c r="D391" s="127" t="s">
        <v>594</v>
      </c>
      <c r="E391" s="131">
        <v>5000.0</v>
      </c>
      <c r="F391" s="128">
        <v>256.0</v>
      </c>
    </row>
    <row r="392">
      <c r="A392" s="129">
        <v>390.0</v>
      </c>
      <c r="B392" s="132">
        <v>45630.0</v>
      </c>
      <c r="C392" s="127" t="s">
        <v>584</v>
      </c>
      <c r="D392" s="127" t="s">
        <v>595</v>
      </c>
      <c r="E392" s="131">
        <v>45150.0</v>
      </c>
      <c r="F392" s="128">
        <v>239.0</v>
      </c>
    </row>
    <row r="393">
      <c r="A393" s="129">
        <v>391.0</v>
      </c>
      <c r="B393" s="130">
        <v>45745.0</v>
      </c>
      <c r="C393" s="127" t="s">
        <v>584</v>
      </c>
      <c r="D393" s="127" t="s">
        <v>596</v>
      </c>
      <c r="E393" s="131">
        <v>342000.0</v>
      </c>
      <c r="F393" s="128">
        <v>125.0</v>
      </c>
    </row>
    <row r="394">
      <c r="A394" s="129">
        <v>392.0</v>
      </c>
      <c r="B394" s="130">
        <v>45699.0</v>
      </c>
      <c r="C394" s="127" t="s">
        <v>584</v>
      </c>
      <c r="D394" s="127" t="s">
        <v>597</v>
      </c>
      <c r="E394" s="131">
        <v>66599.48</v>
      </c>
      <c r="F394" s="128">
        <v>170.0</v>
      </c>
    </row>
    <row r="395">
      <c r="A395" s="129">
        <v>393.0</v>
      </c>
      <c r="B395" s="130">
        <v>45763.0</v>
      </c>
      <c r="C395" s="127" t="s">
        <v>584</v>
      </c>
      <c r="D395" s="127" t="s">
        <v>598</v>
      </c>
      <c r="E395" s="131">
        <v>21000.0</v>
      </c>
      <c r="F395" s="128">
        <v>107.0</v>
      </c>
    </row>
    <row r="396">
      <c r="A396" s="129">
        <v>394.0</v>
      </c>
      <c r="B396" s="130">
        <v>45763.0</v>
      </c>
      <c r="C396" s="127" t="s">
        <v>584</v>
      </c>
      <c r="D396" s="127" t="s">
        <v>599</v>
      </c>
      <c r="E396" s="131">
        <v>13200.0</v>
      </c>
      <c r="F396" s="128">
        <v>106.0</v>
      </c>
    </row>
    <row r="397">
      <c r="A397" s="129">
        <v>395.0</v>
      </c>
      <c r="B397" s="130">
        <v>45766.0</v>
      </c>
      <c r="C397" s="127" t="s">
        <v>584</v>
      </c>
      <c r="D397" s="127" t="s">
        <v>600</v>
      </c>
      <c r="E397" s="131">
        <v>121399.99</v>
      </c>
      <c r="F397" s="128">
        <v>103.0</v>
      </c>
    </row>
    <row r="398">
      <c r="A398" s="129">
        <v>396.0</v>
      </c>
      <c r="B398" s="132">
        <v>45719.0</v>
      </c>
      <c r="C398" s="127" t="s">
        <v>584</v>
      </c>
      <c r="D398" s="127" t="s">
        <v>324</v>
      </c>
      <c r="E398" s="131">
        <v>35999.6</v>
      </c>
      <c r="F398" s="128">
        <v>151.0</v>
      </c>
    </row>
    <row r="399">
      <c r="A399" s="129">
        <v>397.0</v>
      </c>
      <c r="B399" s="134">
        <v>45804.0</v>
      </c>
      <c r="C399" s="127" t="s">
        <v>584</v>
      </c>
      <c r="D399" s="127" t="s">
        <v>601</v>
      </c>
      <c r="E399" s="131">
        <v>105000.0</v>
      </c>
      <c r="F399" s="128">
        <v>65.0</v>
      </c>
    </row>
    <row r="400">
      <c r="A400" s="129">
        <v>398.0</v>
      </c>
      <c r="B400" s="132">
        <v>45813.0</v>
      </c>
      <c r="C400" s="127" t="s">
        <v>584</v>
      </c>
      <c r="D400" s="127" t="s">
        <v>602</v>
      </c>
      <c r="E400" s="131">
        <v>8200.0</v>
      </c>
      <c r="F400" s="128">
        <v>56.0</v>
      </c>
    </row>
    <row r="401">
      <c r="A401" s="129">
        <v>399.0</v>
      </c>
      <c r="B401" s="130">
        <v>45825.0</v>
      </c>
      <c r="C401" s="127" t="s">
        <v>584</v>
      </c>
      <c r="D401" s="127" t="s">
        <v>603</v>
      </c>
      <c r="E401" s="131">
        <v>2650.09</v>
      </c>
      <c r="F401" s="128">
        <v>44.0</v>
      </c>
    </row>
    <row r="402">
      <c r="A402" s="129">
        <v>400.0</v>
      </c>
      <c r="B402" s="130">
        <v>45827.0</v>
      </c>
      <c r="C402" s="127" t="s">
        <v>584</v>
      </c>
      <c r="D402" s="127" t="s">
        <v>604</v>
      </c>
      <c r="E402" s="131">
        <v>21000.01</v>
      </c>
      <c r="F402" s="128">
        <v>42.0</v>
      </c>
    </row>
    <row r="403">
      <c r="A403" s="129">
        <v>401.0</v>
      </c>
      <c r="B403" s="132">
        <v>45847.0</v>
      </c>
      <c r="C403" s="127" t="s">
        <v>584</v>
      </c>
      <c r="D403" s="127" t="s">
        <v>605</v>
      </c>
      <c r="E403" s="131">
        <v>42000.0</v>
      </c>
      <c r="F403" s="128">
        <v>22.0</v>
      </c>
    </row>
    <row r="404">
      <c r="A404" s="129">
        <v>402.0</v>
      </c>
      <c r="B404" s="130">
        <v>45855.0</v>
      </c>
      <c r="C404" s="127" t="s">
        <v>584</v>
      </c>
      <c r="D404" s="127" t="s">
        <v>606</v>
      </c>
      <c r="E404" s="131">
        <v>22200.0</v>
      </c>
      <c r="F404" s="128">
        <v>14.0</v>
      </c>
    </row>
    <row r="405">
      <c r="A405" s="129">
        <v>403.0</v>
      </c>
      <c r="B405" s="130">
        <v>45859.0</v>
      </c>
      <c r="C405" s="127" t="s">
        <v>584</v>
      </c>
      <c r="D405" s="127" t="s">
        <v>607</v>
      </c>
      <c r="E405" s="131">
        <v>125870.98</v>
      </c>
      <c r="F405" s="128">
        <v>10.0</v>
      </c>
    </row>
    <row r="406">
      <c r="A406" s="129">
        <v>404.0</v>
      </c>
      <c r="B406" s="130">
        <v>45856.0</v>
      </c>
      <c r="C406" s="127" t="s">
        <v>584</v>
      </c>
      <c r="D406" s="127" t="s">
        <v>369</v>
      </c>
      <c r="E406" s="131">
        <v>8200.0</v>
      </c>
      <c r="F406" s="128">
        <v>13.0</v>
      </c>
    </row>
    <row r="407">
      <c r="A407" s="129">
        <v>405.0</v>
      </c>
      <c r="B407" s="130">
        <v>45861.0</v>
      </c>
      <c r="C407" s="127" t="s">
        <v>584</v>
      </c>
      <c r="D407" s="127" t="s">
        <v>608</v>
      </c>
      <c r="E407" s="131">
        <v>42000.01</v>
      </c>
      <c r="F407" s="128">
        <v>8.0</v>
      </c>
    </row>
    <row r="408">
      <c r="A408" s="129">
        <v>406.0</v>
      </c>
      <c r="B408" s="130">
        <v>45861.0</v>
      </c>
      <c r="C408" s="127" t="s">
        <v>584</v>
      </c>
      <c r="D408" s="127" t="s">
        <v>487</v>
      </c>
      <c r="E408" s="131">
        <v>114304.69</v>
      </c>
      <c r="F408" s="128">
        <v>0.0</v>
      </c>
    </row>
    <row r="409">
      <c r="A409" s="129">
        <v>407.0</v>
      </c>
      <c r="B409" s="130">
        <v>45863.0</v>
      </c>
      <c r="C409" s="127" t="s">
        <v>584</v>
      </c>
      <c r="D409" s="127" t="s">
        <v>609</v>
      </c>
      <c r="E409" s="131">
        <v>177000.0</v>
      </c>
      <c r="F409" s="128">
        <v>6.0</v>
      </c>
    </row>
    <row r="410">
      <c r="A410" s="129">
        <v>408.0</v>
      </c>
      <c r="B410" s="130">
        <v>45866.0</v>
      </c>
      <c r="C410" s="127" t="s">
        <v>584</v>
      </c>
      <c r="D410" s="127" t="s">
        <v>610</v>
      </c>
      <c r="E410" s="131">
        <v>20957.0</v>
      </c>
      <c r="F410" s="128">
        <v>3.0</v>
      </c>
    </row>
    <row r="411">
      <c r="A411" s="129">
        <v>409.0</v>
      </c>
      <c r="B411" s="130">
        <v>45671.0</v>
      </c>
      <c r="C411" s="127" t="s">
        <v>611</v>
      </c>
      <c r="D411" s="127" t="s">
        <v>612</v>
      </c>
      <c r="E411" s="131">
        <v>136700.02</v>
      </c>
      <c r="F411" s="128">
        <v>192.0</v>
      </c>
    </row>
    <row r="412">
      <c r="A412" s="129">
        <v>410.0</v>
      </c>
      <c r="B412" s="130">
        <v>45547.0</v>
      </c>
      <c r="C412" s="127" t="s">
        <v>611</v>
      </c>
      <c r="D412" s="127" t="s">
        <v>613</v>
      </c>
      <c r="E412" s="131">
        <v>151576.08</v>
      </c>
      <c r="F412" s="128">
        <v>316.0</v>
      </c>
    </row>
    <row r="413">
      <c r="A413" s="129">
        <v>411.0</v>
      </c>
      <c r="B413" s="130">
        <v>45684.0</v>
      </c>
      <c r="C413" s="127" t="s">
        <v>611</v>
      </c>
      <c r="D413" s="127" t="s">
        <v>614</v>
      </c>
      <c r="E413" s="131">
        <v>28000.0</v>
      </c>
      <c r="F413" s="128">
        <v>172.0</v>
      </c>
    </row>
    <row r="414">
      <c r="A414" s="129">
        <v>412.0</v>
      </c>
      <c r="B414" s="130">
        <v>45687.0</v>
      </c>
      <c r="C414" s="127" t="s">
        <v>611</v>
      </c>
      <c r="D414" s="127" t="s">
        <v>136</v>
      </c>
      <c r="E414" s="131">
        <v>156400.01</v>
      </c>
      <c r="F414" s="128">
        <v>162.0</v>
      </c>
    </row>
    <row r="415">
      <c r="A415" s="129">
        <v>413.0</v>
      </c>
      <c r="B415" s="130">
        <v>45581.0</v>
      </c>
      <c r="C415" s="127" t="s">
        <v>611</v>
      </c>
      <c r="D415" s="127" t="s">
        <v>615</v>
      </c>
      <c r="E415" s="131">
        <v>71951.9</v>
      </c>
      <c r="F415" s="128">
        <v>282.0</v>
      </c>
    </row>
    <row r="416">
      <c r="A416" s="129">
        <v>414.0</v>
      </c>
      <c r="B416" s="132">
        <v>45604.0</v>
      </c>
      <c r="C416" s="127" t="s">
        <v>611</v>
      </c>
      <c r="D416" s="127" t="s">
        <v>616</v>
      </c>
      <c r="E416" s="131">
        <v>119900.01</v>
      </c>
      <c r="F416" s="128">
        <v>265.0</v>
      </c>
    </row>
    <row r="417">
      <c r="A417" s="129">
        <v>415.0</v>
      </c>
      <c r="B417" s="130">
        <v>45616.0</v>
      </c>
      <c r="C417" s="127" t="s">
        <v>611</v>
      </c>
      <c r="D417" s="127" t="s">
        <v>617</v>
      </c>
      <c r="E417" s="131">
        <v>54000.0</v>
      </c>
      <c r="F417" s="128">
        <v>247.0</v>
      </c>
    </row>
    <row r="418">
      <c r="A418" s="129">
        <v>416.0</v>
      </c>
      <c r="B418" s="132">
        <v>45631.0</v>
      </c>
      <c r="C418" s="127" t="s">
        <v>611</v>
      </c>
      <c r="D418" s="127" t="s">
        <v>618</v>
      </c>
      <c r="E418" s="131">
        <v>86400.01</v>
      </c>
      <c r="F418" s="128">
        <v>232.0</v>
      </c>
    </row>
    <row r="419">
      <c r="A419" s="129">
        <v>417.0</v>
      </c>
      <c r="B419" s="132">
        <v>45631.0</v>
      </c>
      <c r="C419" s="127" t="s">
        <v>611</v>
      </c>
      <c r="D419" s="127" t="s">
        <v>619</v>
      </c>
      <c r="E419" s="131">
        <v>46999.99</v>
      </c>
      <c r="F419" s="128">
        <v>232.0</v>
      </c>
    </row>
    <row r="420">
      <c r="A420" s="129">
        <v>418.0</v>
      </c>
      <c r="B420" s="130">
        <v>45645.0</v>
      </c>
      <c r="C420" s="127" t="s">
        <v>611</v>
      </c>
      <c r="D420" s="127" t="s">
        <v>620</v>
      </c>
      <c r="E420" s="131">
        <v>80600.02</v>
      </c>
      <c r="F420" s="128">
        <v>218.0</v>
      </c>
    </row>
    <row r="421">
      <c r="A421" s="129">
        <v>419.0</v>
      </c>
      <c r="B421" s="130">
        <v>45657.0</v>
      </c>
      <c r="C421" s="127" t="s">
        <v>611</v>
      </c>
      <c r="D421" s="127" t="s">
        <v>621</v>
      </c>
      <c r="E421" s="131">
        <v>32400.01</v>
      </c>
      <c r="F421" s="128">
        <v>206.0</v>
      </c>
    </row>
    <row r="422">
      <c r="A422" s="129">
        <v>420.0</v>
      </c>
      <c r="B422" s="130">
        <v>45743.0</v>
      </c>
      <c r="C422" s="127" t="s">
        <v>611</v>
      </c>
      <c r="D422" s="127" t="s">
        <v>622</v>
      </c>
      <c r="E422" s="131">
        <v>87500.0</v>
      </c>
      <c r="F422" s="128">
        <v>120.0</v>
      </c>
    </row>
    <row r="423">
      <c r="A423" s="129">
        <v>421.0</v>
      </c>
      <c r="B423" s="130">
        <v>45771.0</v>
      </c>
      <c r="C423" s="127" t="s">
        <v>611</v>
      </c>
      <c r="D423" s="127" t="s">
        <v>623</v>
      </c>
      <c r="E423" s="131">
        <v>50111.31</v>
      </c>
      <c r="F423" s="128">
        <v>92.0</v>
      </c>
    </row>
    <row r="424">
      <c r="A424" s="129">
        <v>422.0</v>
      </c>
      <c r="B424" s="130">
        <v>45856.0</v>
      </c>
      <c r="C424" s="127" t="s">
        <v>611</v>
      </c>
      <c r="D424" s="127" t="s">
        <v>624</v>
      </c>
      <c r="E424" s="131">
        <v>24600.01</v>
      </c>
      <c r="F424" s="128">
        <v>7.0</v>
      </c>
    </row>
    <row r="425">
      <c r="A425" s="129">
        <v>423.0</v>
      </c>
      <c r="B425" s="130">
        <v>45861.0</v>
      </c>
      <c r="C425" s="127" t="s">
        <v>611</v>
      </c>
      <c r="D425" s="127" t="s">
        <v>625</v>
      </c>
      <c r="E425" s="131">
        <v>65222.62</v>
      </c>
      <c r="F425" s="128">
        <v>2.0</v>
      </c>
    </row>
    <row r="426">
      <c r="A426" s="129">
        <v>424.0</v>
      </c>
      <c r="B426" s="130">
        <v>45576.0</v>
      </c>
      <c r="C426" s="127" t="s">
        <v>626</v>
      </c>
      <c r="D426" s="127" t="s">
        <v>627</v>
      </c>
      <c r="E426" s="131">
        <v>11502.5</v>
      </c>
      <c r="F426" s="128">
        <v>280.0</v>
      </c>
    </row>
    <row r="427">
      <c r="A427" s="129">
        <v>425.0</v>
      </c>
      <c r="B427" s="130">
        <v>45867.0</v>
      </c>
      <c r="C427" s="127" t="s">
        <v>628</v>
      </c>
      <c r="D427" s="127" t="s">
        <v>629</v>
      </c>
      <c r="E427" s="131">
        <v>35000.0</v>
      </c>
      <c r="F427" s="128">
        <v>3.0</v>
      </c>
    </row>
    <row r="428">
      <c r="A428" s="129">
        <v>426.0</v>
      </c>
      <c r="B428" s="130">
        <v>45645.0</v>
      </c>
      <c r="C428" s="127" t="s">
        <v>630</v>
      </c>
      <c r="D428" s="127" t="s">
        <v>631</v>
      </c>
      <c r="E428" s="131">
        <v>2085.35</v>
      </c>
      <c r="F428" s="128">
        <v>211.0</v>
      </c>
    </row>
    <row r="429">
      <c r="A429" s="129">
        <v>427.0</v>
      </c>
      <c r="B429" s="132">
        <v>45813.0</v>
      </c>
      <c r="C429" s="127" t="s">
        <v>630</v>
      </c>
      <c r="D429" s="127" t="s">
        <v>632</v>
      </c>
      <c r="E429" s="131">
        <v>115500.0</v>
      </c>
      <c r="F429" s="128">
        <v>43.0</v>
      </c>
    </row>
    <row r="430">
      <c r="A430" s="129">
        <v>428.0</v>
      </c>
      <c r="B430" s="132">
        <v>45813.0</v>
      </c>
      <c r="C430" s="127" t="s">
        <v>630</v>
      </c>
      <c r="D430" s="127" t="s">
        <v>633</v>
      </c>
      <c r="E430" s="131">
        <v>55800.0</v>
      </c>
      <c r="F430" s="128">
        <v>43.0</v>
      </c>
    </row>
    <row r="431">
      <c r="A431" s="129">
        <v>429.0</v>
      </c>
      <c r="B431" s="132">
        <v>45847.0</v>
      </c>
      <c r="C431" s="127" t="s">
        <v>630</v>
      </c>
      <c r="D431" s="127" t="s">
        <v>634</v>
      </c>
      <c r="E431" s="131">
        <v>702284.16</v>
      </c>
      <c r="F431" s="128">
        <v>9.0</v>
      </c>
    </row>
    <row r="432">
      <c r="A432" s="129">
        <v>430.0</v>
      </c>
      <c r="B432" s="130">
        <v>45849.0</v>
      </c>
      <c r="C432" s="127" t="s">
        <v>630</v>
      </c>
      <c r="D432" s="127" t="s">
        <v>635</v>
      </c>
      <c r="E432" s="131">
        <v>36000.0</v>
      </c>
      <c r="F432" s="128">
        <v>7.0</v>
      </c>
    </row>
    <row r="433">
      <c r="A433" s="129">
        <v>431.0</v>
      </c>
      <c r="B433" s="132">
        <v>45813.0</v>
      </c>
      <c r="C433" s="127" t="s">
        <v>636</v>
      </c>
      <c r="D433" s="127" t="s">
        <v>637</v>
      </c>
      <c r="E433" s="131">
        <v>294800.0</v>
      </c>
      <c r="F433" s="128">
        <v>43.0</v>
      </c>
    </row>
    <row r="434">
      <c r="A434" s="129">
        <v>432.0</v>
      </c>
      <c r="B434" s="130">
        <v>45828.0</v>
      </c>
      <c r="C434" s="127" t="s">
        <v>636</v>
      </c>
      <c r="D434" s="127" t="s">
        <v>638</v>
      </c>
      <c r="E434" s="131">
        <v>77305.67</v>
      </c>
      <c r="F434" s="128">
        <v>28.0</v>
      </c>
    </row>
    <row r="435">
      <c r="A435" s="129">
        <v>433.0</v>
      </c>
      <c r="B435" s="130">
        <v>45832.0</v>
      </c>
      <c r="C435" s="127" t="s">
        <v>636</v>
      </c>
      <c r="D435" s="127" t="s">
        <v>530</v>
      </c>
      <c r="E435" s="131">
        <v>148500.0</v>
      </c>
      <c r="F435" s="128">
        <v>24.0</v>
      </c>
    </row>
    <row r="436">
      <c r="A436" s="129">
        <v>434.0</v>
      </c>
      <c r="B436" s="132">
        <v>45842.0</v>
      </c>
      <c r="C436" s="127" t="s">
        <v>636</v>
      </c>
      <c r="D436" s="127" t="s">
        <v>639</v>
      </c>
      <c r="E436" s="131">
        <v>36000.0</v>
      </c>
      <c r="F436" s="128">
        <v>14.0</v>
      </c>
    </row>
    <row r="437">
      <c r="A437" s="129">
        <v>435.0</v>
      </c>
      <c r="B437" s="132">
        <v>45842.0</v>
      </c>
      <c r="C437" s="127" t="s">
        <v>636</v>
      </c>
      <c r="D437" s="127" t="s">
        <v>640</v>
      </c>
      <c r="E437" s="131">
        <v>296700.06</v>
      </c>
      <c r="F437" s="128">
        <v>14.0</v>
      </c>
    </row>
    <row r="438">
      <c r="A438" s="129">
        <v>436.0</v>
      </c>
      <c r="B438" s="130">
        <v>45853.0</v>
      </c>
      <c r="C438" s="127" t="s">
        <v>636</v>
      </c>
      <c r="D438" s="127" t="s">
        <v>641</v>
      </c>
      <c r="E438" s="131">
        <v>93500.02</v>
      </c>
      <c r="F438" s="128">
        <v>3.0</v>
      </c>
    </row>
    <row r="439">
      <c r="A439" s="129">
        <v>437.0</v>
      </c>
      <c r="B439" s="130">
        <v>45867.0</v>
      </c>
      <c r="C439" s="127" t="s">
        <v>636</v>
      </c>
      <c r="D439" s="127" t="s">
        <v>642</v>
      </c>
      <c r="E439" s="131">
        <v>99000.0</v>
      </c>
      <c r="F439" s="128">
        <v>0.0</v>
      </c>
    </row>
    <row r="440">
      <c r="A440" s="129">
        <v>438.0</v>
      </c>
      <c r="B440" s="130">
        <v>45614.0</v>
      </c>
      <c r="C440" s="127" t="s">
        <v>643</v>
      </c>
      <c r="D440" s="127" t="s">
        <v>644</v>
      </c>
      <c r="E440" s="131">
        <v>39999.98</v>
      </c>
      <c r="F440" s="128">
        <v>242.0</v>
      </c>
    </row>
    <row r="441">
      <c r="A441" s="129">
        <v>439.0</v>
      </c>
      <c r="B441" s="134">
        <v>45805.0</v>
      </c>
      <c r="C441" s="127" t="s">
        <v>643</v>
      </c>
      <c r="D441" s="127" t="s">
        <v>645</v>
      </c>
      <c r="E441" s="131">
        <v>129600.01</v>
      </c>
      <c r="F441" s="128">
        <v>51.0</v>
      </c>
    </row>
    <row r="442">
      <c r="A442" s="129">
        <v>440.0</v>
      </c>
      <c r="B442" s="134">
        <v>45805.0</v>
      </c>
      <c r="C442" s="127" t="s">
        <v>643</v>
      </c>
      <c r="D442" s="127" t="s">
        <v>646</v>
      </c>
      <c r="E442" s="131">
        <v>24000.0</v>
      </c>
      <c r="F442" s="128">
        <v>51.0</v>
      </c>
    </row>
    <row r="443">
      <c r="A443" s="129">
        <v>441.0</v>
      </c>
      <c r="B443" s="134">
        <v>45805.0</v>
      </c>
      <c r="C443" s="127" t="s">
        <v>643</v>
      </c>
      <c r="D443" s="127" t="s">
        <v>647</v>
      </c>
      <c r="E443" s="131">
        <v>107856.0</v>
      </c>
      <c r="F443" s="128">
        <v>51.0</v>
      </c>
    </row>
    <row r="444">
      <c r="A444" s="129">
        <v>442.0</v>
      </c>
      <c r="B444" s="132">
        <v>45814.0</v>
      </c>
      <c r="C444" s="127" t="s">
        <v>643</v>
      </c>
      <c r="D444" s="127" t="s">
        <v>579</v>
      </c>
      <c r="E444" s="131">
        <v>114600.01</v>
      </c>
      <c r="F444" s="128">
        <v>42.0</v>
      </c>
    </row>
    <row r="445">
      <c r="A445" s="129">
        <v>443.0</v>
      </c>
      <c r="B445" s="130">
        <v>45829.0</v>
      </c>
      <c r="C445" s="127" t="s">
        <v>643</v>
      </c>
      <c r="D445" s="127" t="s">
        <v>648</v>
      </c>
      <c r="E445" s="131">
        <v>36000.0</v>
      </c>
      <c r="F445" s="128">
        <v>27.0</v>
      </c>
    </row>
    <row r="446">
      <c r="A446" s="129">
        <v>444.0</v>
      </c>
      <c r="B446" s="130">
        <v>45829.0</v>
      </c>
      <c r="C446" s="127" t="s">
        <v>643</v>
      </c>
      <c r="D446" s="127" t="s">
        <v>649</v>
      </c>
      <c r="E446" s="131">
        <v>148500.0</v>
      </c>
      <c r="F446" s="128">
        <v>27.0</v>
      </c>
    </row>
    <row r="447">
      <c r="A447" s="129">
        <v>445.0</v>
      </c>
      <c r="B447" s="132">
        <v>45840.0</v>
      </c>
      <c r="C447" s="127" t="s">
        <v>643</v>
      </c>
      <c r="D447" s="127" t="s">
        <v>650</v>
      </c>
      <c r="E447" s="131">
        <v>168500.03</v>
      </c>
      <c r="F447" s="128">
        <v>16.0</v>
      </c>
    </row>
    <row r="448">
      <c r="A448" s="129">
        <v>446.0</v>
      </c>
      <c r="B448" s="130">
        <v>45848.0</v>
      </c>
      <c r="C448" s="127" t="s">
        <v>643</v>
      </c>
      <c r="D448" s="127" t="s">
        <v>651</v>
      </c>
      <c r="E448" s="131">
        <v>89600.01</v>
      </c>
      <c r="F448" s="128">
        <v>8.0</v>
      </c>
    </row>
    <row r="449">
      <c r="A449" s="129">
        <v>447.0</v>
      </c>
      <c r="B449" s="130">
        <v>45864.0</v>
      </c>
      <c r="C449" s="127" t="s">
        <v>643</v>
      </c>
      <c r="D449" s="127" t="s">
        <v>610</v>
      </c>
      <c r="E449" s="131">
        <v>42800.01</v>
      </c>
      <c r="F449" s="128">
        <v>0.0</v>
      </c>
    </row>
    <row r="450">
      <c r="A450" s="129">
        <v>448.0</v>
      </c>
      <c r="B450" s="130">
        <v>45864.0</v>
      </c>
      <c r="C450" s="127" t="s">
        <v>643</v>
      </c>
      <c r="D450" s="127" t="s">
        <v>652</v>
      </c>
      <c r="E450" s="131">
        <v>164700.0</v>
      </c>
      <c r="F450" s="128">
        <v>0.0</v>
      </c>
    </row>
    <row r="451">
      <c r="A451" s="129">
        <v>449.0</v>
      </c>
      <c r="B451" s="130">
        <v>45582.0</v>
      </c>
      <c r="C451" s="127" t="s">
        <v>653</v>
      </c>
      <c r="D451" s="127" t="s">
        <v>654</v>
      </c>
      <c r="E451" s="131">
        <v>6878.16</v>
      </c>
      <c r="F451" s="128">
        <v>274.0</v>
      </c>
    </row>
    <row r="452">
      <c r="A452" s="129">
        <v>450.0</v>
      </c>
      <c r="B452" s="130">
        <v>45617.0</v>
      </c>
      <c r="C452" s="127" t="s">
        <v>653</v>
      </c>
      <c r="D452" s="127" t="s">
        <v>655</v>
      </c>
      <c r="E452" s="131">
        <v>113299.98</v>
      </c>
      <c r="F452" s="128">
        <v>239.0</v>
      </c>
    </row>
    <row r="453">
      <c r="A453" s="129">
        <v>451.0</v>
      </c>
      <c r="B453" s="130">
        <v>45624.0</v>
      </c>
      <c r="C453" s="127" t="s">
        <v>653</v>
      </c>
      <c r="D453" s="127" t="s">
        <v>656</v>
      </c>
      <c r="E453" s="131">
        <v>28799.99</v>
      </c>
      <c r="F453" s="128">
        <v>232.0</v>
      </c>
    </row>
    <row r="454">
      <c r="A454" s="129">
        <v>452.0</v>
      </c>
      <c r="B454" s="130">
        <v>45640.0</v>
      </c>
      <c r="C454" s="127" t="s">
        <v>653</v>
      </c>
      <c r="D454" s="127" t="s">
        <v>657</v>
      </c>
      <c r="E454" s="131">
        <v>5999.99</v>
      </c>
      <c r="F454" s="128">
        <v>216.0</v>
      </c>
    </row>
    <row r="455">
      <c r="A455" s="129">
        <v>453.0</v>
      </c>
      <c r="B455" s="134">
        <v>45793.0</v>
      </c>
      <c r="C455" s="127" t="s">
        <v>653</v>
      </c>
      <c r="D455" s="127" t="s">
        <v>658</v>
      </c>
      <c r="E455" s="131">
        <v>174564.18</v>
      </c>
      <c r="F455" s="128">
        <v>63.0</v>
      </c>
    </row>
    <row r="456">
      <c r="A456" s="129">
        <v>454.0</v>
      </c>
      <c r="B456" s="134">
        <v>45806.0</v>
      </c>
      <c r="C456" s="127" t="s">
        <v>653</v>
      </c>
      <c r="D456" s="127" t="s">
        <v>659</v>
      </c>
      <c r="E456" s="131">
        <v>238982.07</v>
      </c>
      <c r="F456" s="128">
        <v>50.0</v>
      </c>
    </row>
    <row r="457">
      <c r="A457" s="129">
        <v>455.0</v>
      </c>
      <c r="B457" s="132">
        <v>45811.0</v>
      </c>
      <c r="C457" s="127" t="s">
        <v>653</v>
      </c>
      <c r="D457" s="127" t="s">
        <v>660</v>
      </c>
      <c r="E457" s="131">
        <v>65600.03</v>
      </c>
      <c r="F457" s="128">
        <v>45.0</v>
      </c>
    </row>
    <row r="458">
      <c r="A458" s="129">
        <v>456.0</v>
      </c>
      <c r="B458" s="130">
        <v>45820.0</v>
      </c>
      <c r="C458" s="127" t="s">
        <v>653</v>
      </c>
      <c r="D458" s="127" t="s">
        <v>661</v>
      </c>
      <c r="E458" s="131">
        <v>52499.99</v>
      </c>
      <c r="F458" s="128">
        <v>36.0</v>
      </c>
    </row>
    <row r="459">
      <c r="A459" s="129">
        <v>457.0</v>
      </c>
      <c r="B459" s="130">
        <v>45827.0</v>
      </c>
      <c r="C459" s="127" t="s">
        <v>653</v>
      </c>
      <c r="D459" s="127" t="s">
        <v>662</v>
      </c>
      <c r="E459" s="131">
        <v>148500.0</v>
      </c>
      <c r="F459" s="128">
        <v>29.0</v>
      </c>
    </row>
    <row r="460">
      <c r="A460" s="129">
        <v>458.0</v>
      </c>
      <c r="B460" s="130">
        <v>45827.0</v>
      </c>
      <c r="C460" s="127" t="s">
        <v>653</v>
      </c>
      <c r="D460" s="127" t="s">
        <v>663</v>
      </c>
      <c r="E460" s="131">
        <v>103111.33</v>
      </c>
      <c r="F460" s="128">
        <v>29.0</v>
      </c>
    </row>
    <row r="461">
      <c r="A461" s="129">
        <v>459.0</v>
      </c>
      <c r="B461" s="130">
        <v>45829.0</v>
      </c>
      <c r="C461" s="127" t="s">
        <v>653</v>
      </c>
      <c r="D461" s="127" t="s">
        <v>664</v>
      </c>
      <c r="E461" s="131">
        <v>36000.0</v>
      </c>
      <c r="F461" s="128">
        <v>27.0</v>
      </c>
    </row>
    <row r="462">
      <c r="A462" s="129">
        <v>460.0</v>
      </c>
      <c r="B462" s="130">
        <v>45834.0</v>
      </c>
      <c r="C462" s="127" t="s">
        <v>653</v>
      </c>
      <c r="D462" s="127" t="s">
        <v>665</v>
      </c>
      <c r="E462" s="131">
        <v>85682.08</v>
      </c>
      <c r="F462" s="128">
        <v>22.0</v>
      </c>
    </row>
    <row r="463">
      <c r="A463" s="129">
        <v>461.0</v>
      </c>
      <c r="B463" s="132">
        <v>45841.0</v>
      </c>
      <c r="C463" s="127" t="s">
        <v>653</v>
      </c>
      <c r="D463" s="127" t="s">
        <v>666</v>
      </c>
      <c r="E463" s="131">
        <v>190382.08</v>
      </c>
      <c r="F463" s="128">
        <v>15.0</v>
      </c>
    </row>
    <row r="464">
      <c r="A464" s="129">
        <v>462.0</v>
      </c>
      <c r="B464" s="130">
        <v>45848.0</v>
      </c>
      <c r="C464" s="127" t="s">
        <v>653</v>
      </c>
      <c r="D464" s="127" t="s">
        <v>667</v>
      </c>
      <c r="E464" s="131">
        <v>93700.0</v>
      </c>
      <c r="F464" s="128">
        <v>8.0</v>
      </c>
    </row>
    <row r="465">
      <c r="A465" s="129">
        <v>463.0</v>
      </c>
      <c r="B465" s="130">
        <v>45853.0</v>
      </c>
      <c r="C465" s="127" t="s">
        <v>653</v>
      </c>
      <c r="D465" s="127" t="s">
        <v>668</v>
      </c>
      <c r="E465" s="131">
        <v>167364.17</v>
      </c>
      <c r="F465" s="128">
        <v>3.0</v>
      </c>
    </row>
    <row r="466">
      <c r="A466" s="129">
        <v>464.0</v>
      </c>
      <c r="B466" s="130">
        <v>45864.0</v>
      </c>
      <c r="C466" s="127" t="s">
        <v>653</v>
      </c>
      <c r="D466" s="127" t="s">
        <v>318</v>
      </c>
      <c r="E466" s="131">
        <v>74250.0</v>
      </c>
      <c r="F466" s="128">
        <v>0.0</v>
      </c>
    </row>
    <row r="467">
      <c r="A467" s="129">
        <v>465.0</v>
      </c>
      <c r="B467" s="130">
        <v>45864.0</v>
      </c>
      <c r="C467" s="127" t="s">
        <v>653</v>
      </c>
      <c r="D467" s="127" t="s">
        <v>326</v>
      </c>
      <c r="E467" s="131">
        <v>130775.45</v>
      </c>
      <c r="F467" s="128">
        <v>0.0</v>
      </c>
    </row>
    <row r="468">
      <c r="A468" s="129">
        <v>466.0</v>
      </c>
      <c r="B468" s="130">
        <v>45624.0</v>
      </c>
      <c r="C468" s="127" t="s">
        <v>669</v>
      </c>
      <c r="D468" s="127" t="s">
        <v>246</v>
      </c>
      <c r="E468" s="131">
        <v>108600.0</v>
      </c>
      <c r="F468" s="128">
        <v>232.0</v>
      </c>
    </row>
    <row r="469">
      <c r="A469" s="129">
        <v>467.0</v>
      </c>
      <c r="B469" s="134">
        <v>45806.0</v>
      </c>
      <c r="C469" s="127" t="s">
        <v>669</v>
      </c>
      <c r="D469" s="127" t="s">
        <v>670</v>
      </c>
      <c r="E469" s="131">
        <v>127680.0</v>
      </c>
      <c r="F469" s="128">
        <v>50.0</v>
      </c>
    </row>
    <row r="470">
      <c r="A470" s="129">
        <v>468.0</v>
      </c>
      <c r="B470" s="132">
        <v>45813.0</v>
      </c>
      <c r="C470" s="127" t="s">
        <v>669</v>
      </c>
      <c r="D470" s="127" t="s">
        <v>671</v>
      </c>
      <c r="E470" s="131">
        <v>78375.0</v>
      </c>
      <c r="F470" s="128">
        <v>43.0</v>
      </c>
    </row>
    <row r="471">
      <c r="A471" s="129">
        <v>469.0</v>
      </c>
      <c r="B471" s="130">
        <v>45820.0</v>
      </c>
      <c r="C471" s="127" t="s">
        <v>669</v>
      </c>
      <c r="D471" s="127" t="s">
        <v>672</v>
      </c>
      <c r="E471" s="131">
        <v>83200.01</v>
      </c>
      <c r="F471" s="128">
        <v>36.0</v>
      </c>
    </row>
    <row r="472">
      <c r="A472" s="129">
        <v>470.0</v>
      </c>
      <c r="B472" s="132">
        <v>45841.0</v>
      </c>
      <c r="C472" s="127" t="s">
        <v>669</v>
      </c>
      <c r="D472" s="127" t="s">
        <v>673</v>
      </c>
      <c r="E472" s="131">
        <v>130100.03</v>
      </c>
      <c r="F472" s="128">
        <v>15.0</v>
      </c>
    </row>
    <row r="473">
      <c r="A473" s="129">
        <v>471.0</v>
      </c>
      <c r="B473" s="132">
        <v>45841.0</v>
      </c>
      <c r="C473" s="127" t="s">
        <v>669</v>
      </c>
      <c r="D473" s="127" t="s">
        <v>674</v>
      </c>
      <c r="E473" s="131">
        <v>18000.0</v>
      </c>
      <c r="F473" s="128">
        <v>15.0</v>
      </c>
    </row>
    <row r="474">
      <c r="A474" s="129">
        <v>472.0</v>
      </c>
      <c r="B474" s="130">
        <v>45864.0</v>
      </c>
      <c r="C474" s="127" t="s">
        <v>669</v>
      </c>
      <c r="D474" s="127" t="s">
        <v>675</v>
      </c>
      <c r="E474" s="131">
        <v>157208.22</v>
      </c>
      <c r="F474" s="128">
        <v>0.0</v>
      </c>
    </row>
    <row r="475">
      <c r="A475" s="129">
        <v>473.0</v>
      </c>
      <c r="B475" s="130">
        <v>45864.0</v>
      </c>
      <c r="C475" s="127" t="s">
        <v>669</v>
      </c>
      <c r="D475" s="127" t="s">
        <v>676</v>
      </c>
      <c r="E475" s="131">
        <v>37125.0</v>
      </c>
      <c r="F475" s="128">
        <v>0.0</v>
      </c>
    </row>
    <row r="476">
      <c r="A476" s="129">
        <v>474.0</v>
      </c>
      <c r="B476" s="130">
        <v>45499.0</v>
      </c>
      <c r="C476" s="127" t="s">
        <v>677</v>
      </c>
      <c r="D476" s="127" t="s">
        <v>678</v>
      </c>
      <c r="E476" s="131">
        <v>8000.02</v>
      </c>
      <c r="F476" s="128">
        <v>357.0</v>
      </c>
    </row>
    <row r="477">
      <c r="A477" s="129">
        <v>475.0</v>
      </c>
      <c r="B477" s="134">
        <v>45801.0</v>
      </c>
      <c r="C477" s="127" t="s">
        <v>677</v>
      </c>
      <c r="D477" s="127" t="s">
        <v>679</v>
      </c>
      <c r="E477" s="131">
        <v>77100.0</v>
      </c>
      <c r="F477" s="128">
        <v>55.0</v>
      </c>
    </row>
    <row r="478">
      <c r="A478" s="129">
        <v>476.0</v>
      </c>
      <c r="B478" s="134">
        <v>45806.0</v>
      </c>
      <c r="C478" s="127" t="s">
        <v>677</v>
      </c>
      <c r="D478" s="127" t="s">
        <v>680</v>
      </c>
      <c r="E478" s="131">
        <v>127800.0</v>
      </c>
      <c r="F478" s="128">
        <v>50.0</v>
      </c>
    </row>
    <row r="479">
      <c r="A479" s="129">
        <v>477.0</v>
      </c>
      <c r="B479" s="132">
        <v>45811.0</v>
      </c>
      <c r="C479" s="127" t="s">
        <v>677</v>
      </c>
      <c r="D479" s="127" t="s">
        <v>681</v>
      </c>
      <c r="E479" s="131">
        <v>91482.09</v>
      </c>
      <c r="F479" s="128">
        <v>45.0</v>
      </c>
    </row>
    <row r="480">
      <c r="A480" s="129">
        <v>478.0</v>
      </c>
      <c r="B480" s="130">
        <v>45818.0</v>
      </c>
      <c r="C480" s="127" t="s">
        <v>677</v>
      </c>
      <c r="D480" s="127" t="s">
        <v>682</v>
      </c>
      <c r="E480" s="131">
        <v>98400.01</v>
      </c>
      <c r="F480" s="128">
        <v>38.0</v>
      </c>
    </row>
    <row r="481">
      <c r="A481" s="129">
        <v>479.0</v>
      </c>
      <c r="B481" s="130">
        <v>45828.0</v>
      </c>
      <c r="C481" s="127" t="s">
        <v>677</v>
      </c>
      <c r="D481" s="127" t="s">
        <v>683</v>
      </c>
      <c r="E481" s="131">
        <v>103900.0</v>
      </c>
      <c r="F481" s="128">
        <v>28.0</v>
      </c>
    </row>
    <row r="482">
      <c r="A482" s="129">
        <v>480.0</v>
      </c>
      <c r="B482" s="132">
        <v>45841.0</v>
      </c>
      <c r="C482" s="127" t="s">
        <v>677</v>
      </c>
      <c r="D482" s="127" t="s">
        <v>684</v>
      </c>
      <c r="E482" s="131">
        <v>149882.08</v>
      </c>
      <c r="F482" s="128">
        <v>15.0</v>
      </c>
    </row>
    <row r="483">
      <c r="A483" s="129">
        <v>481.0</v>
      </c>
      <c r="B483" s="130">
        <v>45857.0</v>
      </c>
      <c r="C483" s="127" t="s">
        <v>677</v>
      </c>
      <c r="D483" s="127" t="s">
        <v>369</v>
      </c>
      <c r="E483" s="131">
        <v>175731.48</v>
      </c>
      <c r="F483" s="128">
        <v>0.0</v>
      </c>
    </row>
    <row r="484">
      <c r="A484" s="129">
        <v>482.0</v>
      </c>
      <c r="B484" s="130">
        <v>45857.0</v>
      </c>
      <c r="C484" s="127" t="s">
        <v>677</v>
      </c>
      <c r="D484" s="127" t="s">
        <v>289</v>
      </c>
      <c r="E484" s="131">
        <v>24000.0</v>
      </c>
      <c r="F484" s="128">
        <v>0.0</v>
      </c>
    </row>
    <row r="485">
      <c r="A485" s="129">
        <v>483.0</v>
      </c>
      <c r="B485" s="130">
        <v>45864.0</v>
      </c>
      <c r="C485" s="127" t="s">
        <v>677</v>
      </c>
      <c r="D485" s="127" t="s">
        <v>685</v>
      </c>
      <c r="E485" s="131">
        <v>101222.61</v>
      </c>
      <c r="F485" s="128">
        <v>0.0</v>
      </c>
    </row>
    <row r="486">
      <c r="A486" s="129">
        <v>484.0</v>
      </c>
      <c r="B486" s="130">
        <v>45864.0</v>
      </c>
      <c r="C486" s="127" t="s">
        <v>677</v>
      </c>
      <c r="D486" s="127" t="s">
        <v>686</v>
      </c>
      <c r="E486" s="131">
        <v>46700.0</v>
      </c>
      <c r="F486" s="128">
        <v>0.0</v>
      </c>
    </row>
    <row r="487">
      <c r="A487" s="129">
        <v>485.0</v>
      </c>
      <c r="B487" s="130">
        <v>45590.0</v>
      </c>
      <c r="C487" s="127" t="s">
        <v>687</v>
      </c>
      <c r="D487" s="127" t="s">
        <v>688</v>
      </c>
      <c r="E487" s="131">
        <v>311108.28</v>
      </c>
      <c r="F487" s="128">
        <v>266.0</v>
      </c>
    </row>
    <row r="488">
      <c r="A488" s="129">
        <v>486.0</v>
      </c>
      <c r="B488" s="130">
        <v>45657.0</v>
      </c>
      <c r="C488" s="127" t="s">
        <v>687</v>
      </c>
      <c r="D488" s="127" t="s">
        <v>689</v>
      </c>
      <c r="E488" s="131">
        <v>572000.03</v>
      </c>
      <c r="F488" s="128">
        <v>199.0</v>
      </c>
    </row>
    <row r="489">
      <c r="A489" s="129">
        <v>487.0</v>
      </c>
      <c r="B489" s="134">
        <v>45801.0</v>
      </c>
      <c r="C489" s="127" t="s">
        <v>687</v>
      </c>
      <c r="D489" s="127" t="s">
        <v>690</v>
      </c>
      <c r="E489" s="131">
        <v>259200.02</v>
      </c>
      <c r="F489" s="128">
        <v>55.0</v>
      </c>
    </row>
    <row r="490">
      <c r="A490" s="129">
        <v>488.0</v>
      </c>
      <c r="B490" s="134">
        <v>45806.0</v>
      </c>
      <c r="C490" s="127" t="s">
        <v>687</v>
      </c>
      <c r="D490" s="127" t="s">
        <v>691</v>
      </c>
      <c r="E490" s="131">
        <v>127800.0</v>
      </c>
      <c r="F490" s="128">
        <v>50.0</v>
      </c>
    </row>
    <row r="491">
      <c r="A491" s="129">
        <v>489.0</v>
      </c>
      <c r="B491" s="130">
        <v>45821.0</v>
      </c>
      <c r="C491" s="127" t="s">
        <v>687</v>
      </c>
      <c r="D491" s="127" t="s">
        <v>692</v>
      </c>
      <c r="E491" s="131">
        <v>334100.05</v>
      </c>
      <c r="F491" s="128">
        <v>35.0</v>
      </c>
    </row>
    <row r="492">
      <c r="A492" s="129">
        <v>490.0</v>
      </c>
      <c r="B492" s="132">
        <v>45841.0</v>
      </c>
      <c r="C492" s="127" t="s">
        <v>687</v>
      </c>
      <c r="D492" s="127" t="s">
        <v>693</v>
      </c>
      <c r="E492" s="131">
        <v>67800.0</v>
      </c>
      <c r="F492" s="128">
        <v>15.0</v>
      </c>
    </row>
    <row r="493">
      <c r="A493" s="129">
        <v>491.0</v>
      </c>
      <c r="B493" s="130">
        <v>45848.0</v>
      </c>
      <c r="C493" s="127" t="s">
        <v>687</v>
      </c>
      <c r="D493" s="127" t="s">
        <v>694</v>
      </c>
      <c r="E493" s="131">
        <v>234600.01</v>
      </c>
      <c r="F493" s="128">
        <v>8.0</v>
      </c>
    </row>
    <row r="494">
      <c r="A494" s="129">
        <v>492.0</v>
      </c>
      <c r="B494" s="130">
        <v>45855.0</v>
      </c>
      <c r="C494" s="127" t="s">
        <v>687</v>
      </c>
      <c r="D494" s="127" t="s">
        <v>695</v>
      </c>
      <c r="E494" s="131">
        <v>24000.0</v>
      </c>
      <c r="F494" s="128">
        <v>1.0</v>
      </c>
    </row>
    <row r="495">
      <c r="A495" s="129">
        <v>493.0</v>
      </c>
      <c r="B495" s="130">
        <v>45864.0</v>
      </c>
      <c r="C495" s="127" t="s">
        <v>687</v>
      </c>
      <c r="D495" s="127" t="s">
        <v>696</v>
      </c>
      <c r="E495" s="131">
        <v>180892.52</v>
      </c>
      <c r="F495" s="128">
        <v>0.0</v>
      </c>
    </row>
    <row r="496">
      <c r="A496" s="129">
        <v>494.0</v>
      </c>
      <c r="B496" s="130">
        <v>45864.0</v>
      </c>
      <c r="C496" s="127" t="s">
        <v>687</v>
      </c>
      <c r="D496" s="127" t="s">
        <v>697</v>
      </c>
      <c r="E496" s="131">
        <v>24750.0</v>
      </c>
      <c r="F496" s="128">
        <v>0.0</v>
      </c>
    </row>
    <row r="497">
      <c r="A497" s="129">
        <v>495.0</v>
      </c>
      <c r="B497" s="132">
        <v>45812.0</v>
      </c>
      <c r="C497" s="127" t="s">
        <v>698</v>
      </c>
      <c r="D497" s="127" t="s">
        <v>699</v>
      </c>
      <c r="E497" s="131">
        <v>70602.02</v>
      </c>
      <c r="F497" s="128">
        <v>44.0</v>
      </c>
    </row>
    <row r="498">
      <c r="A498" s="129">
        <v>496.0</v>
      </c>
      <c r="B498" s="132">
        <v>45812.0</v>
      </c>
      <c r="C498" s="127" t="s">
        <v>698</v>
      </c>
      <c r="D498" s="127" t="s">
        <v>700</v>
      </c>
      <c r="E498" s="131">
        <v>127680.0</v>
      </c>
      <c r="F498" s="128">
        <v>44.0</v>
      </c>
    </row>
    <row r="499">
      <c r="A499" s="129">
        <v>497.0</v>
      </c>
      <c r="B499" s="130">
        <v>45827.0</v>
      </c>
      <c r="C499" s="127" t="s">
        <v>698</v>
      </c>
      <c r="D499" s="127" t="s">
        <v>701</v>
      </c>
      <c r="E499" s="131">
        <v>243622.64</v>
      </c>
      <c r="F499" s="128">
        <v>29.0</v>
      </c>
    </row>
    <row r="500">
      <c r="A500" s="129">
        <v>498.0</v>
      </c>
      <c r="B500" s="130">
        <v>45499.0</v>
      </c>
      <c r="C500" s="127" t="s">
        <v>702</v>
      </c>
      <c r="D500" s="127" t="s">
        <v>703</v>
      </c>
      <c r="E500" s="131">
        <v>152500.58</v>
      </c>
      <c r="F500" s="128">
        <v>357.0</v>
      </c>
    </row>
    <row r="501">
      <c r="A501" s="129">
        <v>499.0</v>
      </c>
      <c r="B501" s="132">
        <v>45813.0</v>
      </c>
      <c r="C501" s="127" t="s">
        <v>702</v>
      </c>
      <c r="D501" s="127" t="s">
        <v>704</v>
      </c>
      <c r="E501" s="131">
        <v>358000.05</v>
      </c>
      <c r="F501" s="128">
        <v>43.0</v>
      </c>
    </row>
    <row r="502">
      <c r="A502" s="129">
        <v>500.0</v>
      </c>
      <c r="B502" s="130">
        <v>45828.0</v>
      </c>
      <c r="C502" s="127" t="s">
        <v>702</v>
      </c>
      <c r="D502" s="127" t="s">
        <v>662</v>
      </c>
      <c r="E502" s="131">
        <v>67800.01</v>
      </c>
      <c r="F502" s="128">
        <v>28.0</v>
      </c>
    </row>
    <row r="503">
      <c r="A503" s="129">
        <v>501.0</v>
      </c>
      <c r="B503" s="130">
        <v>45832.0</v>
      </c>
      <c r="C503" s="127" t="s">
        <v>702</v>
      </c>
      <c r="D503" s="127" t="s">
        <v>207</v>
      </c>
      <c r="E503" s="131">
        <v>148500.0</v>
      </c>
      <c r="F503" s="128">
        <v>24.0</v>
      </c>
    </row>
    <row r="504">
      <c r="A504" s="129">
        <v>502.0</v>
      </c>
      <c r="B504" s="132">
        <v>45842.0</v>
      </c>
      <c r="C504" s="127" t="s">
        <v>702</v>
      </c>
      <c r="D504" s="127" t="s">
        <v>705</v>
      </c>
      <c r="E504" s="131">
        <v>36000.0</v>
      </c>
      <c r="F504" s="128">
        <v>14.0</v>
      </c>
    </row>
    <row r="505">
      <c r="A505" s="129">
        <v>503.0</v>
      </c>
      <c r="B505" s="130">
        <v>45853.0</v>
      </c>
      <c r="C505" s="127" t="s">
        <v>702</v>
      </c>
      <c r="D505" s="127" t="s">
        <v>706</v>
      </c>
      <c r="E505" s="131">
        <v>358100.07</v>
      </c>
      <c r="F505" s="128">
        <v>3.0</v>
      </c>
    </row>
    <row r="506">
      <c r="A506" s="129">
        <v>504.0</v>
      </c>
      <c r="B506" s="134">
        <v>45801.0</v>
      </c>
      <c r="C506" s="127" t="s">
        <v>707</v>
      </c>
      <c r="D506" s="127" t="s">
        <v>708</v>
      </c>
      <c r="E506" s="131">
        <v>229983.04</v>
      </c>
      <c r="F506" s="128">
        <v>55.0</v>
      </c>
    </row>
    <row r="507">
      <c r="A507" s="129">
        <v>505.0</v>
      </c>
      <c r="B507" s="134">
        <v>45808.0</v>
      </c>
      <c r="C507" s="127" t="s">
        <v>707</v>
      </c>
      <c r="D507" s="127" t="s">
        <v>709</v>
      </c>
      <c r="E507" s="131">
        <v>447204.07</v>
      </c>
      <c r="F507" s="128">
        <v>48.0</v>
      </c>
    </row>
    <row r="508">
      <c r="A508" s="129">
        <v>506.0</v>
      </c>
      <c r="B508" s="134">
        <v>45808.0</v>
      </c>
      <c r="C508" s="127" t="s">
        <v>707</v>
      </c>
      <c r="D508" s="127" t="s">
        <v>710</v>
      </c>
      <c r="E508" s="131">
        <v>186600.0</v>
      </c>
      <c r="F508" s="128">
        <v>48.0</v>
      </c>
    </row>
    <row r="509">
      <c r="A509" s="129">
        <v>507.0</v>
      </c>
      <c r="B509" s="130">
        <v>45822.0</v>
      </c>
      <c r="C509" s="127" t="s">
        <v>707</v>
      </c>
      <c r="D509" s="127" t="s">
        <v>711</v>
      </c>
      <c r="E509" s="131">
        <v>343626.67</v>
      </c>
      <c r="F509" s="128">
        <v>34.0</v>
      </c>
    </row>
    <row r="510">
      <c r="A510" s="129">
        <v>508.0</v>
      </c>
      <c r="B510" s="130">
        <v>45831.0</v>
      </c>
      <c r="C510" s="127" t="s">
        <v>707</v>
      </c>
      <c r="D510" s="127" t="s">
        <v>712</v>
      </c>
      <c r="E510" s="131">
        <v>192100.01</v>
      </c>
      <c r="F510" s="128">
        <v>25.0</v>
      </c>
    </row>
    <row r="511">
      <c r="A511" s="129">
        <v>509.0</v>
      </c>
      <c r="B511" s="130">
        <v>45838.0</v>
      </c>
      <c r="C511" s="127" t="s">
        <v>707</v>
      </c>
      <c r="D511" s="127" t="s">
        <v>713</v>
      </c>
      <c r="E511" s="131">
        <v>288634.24</v>
      </c>
      <c r="F511" s="128">
        <v>18.0</v>
      </c>
    </row>
    <row r="512">
      <c r="A512" s="129">
        <v>510.0</v>
      </c>
      <c r="B512" s="132">
        <v>45845.0</v>
      </c>
      <c r="C512" s="127" t="s">
        <v>707</v>
      </c>
      <c r="D512" s="127" t="s">
        <v>554</v>
      </c>
      <c r="E512" s="131">
        <v>106500.02</v>
      </c>
      <c r="F512" s="128">
        <v>11.0</v>
      </c>
    </row>
    <row r="513">
      <c r="A513" s="129">
        <v>511.0</v>
      </c>
      <c r="B513" s="130">
        <v>45859.0</v>
      </c>
      <c r="C513" s="127" t="s">
        <v>707</v>
      </c>
      <c r="D513" s="127" t="s">
        <v>714</v>
      </c>
      <c r="E513" s="131">
        <v>144375.0</v>
      </c>
      <c r="F513" s="128">
        <v>0.0</v>
      </c>
    </row>
    <row r="514">
      <c r="A514" s="129">
        <v>512.0</v>
      </c>
      <c r="B514" s="130">
        <v>45859.0</v>
      </c>
      <c r="C514" s="127" t="s">
        <v>707</v>
      </c>
      <c r="D514" s="127" t="s">
        <v>715</v>
      </c>
      <c r="E514" s="131">
        <v>174076.95</v>
      </c>
      <c r="F514" s="128">
        <v>0.0</v>
      </c>
    </row>
    <row r="515">
      <c r="A515" s="129">
        <v>513.0</v>
      </c>
      <c r="B515" s="130">
        <v>45868.0</v>
      </c>
      <c r="C515" s="127" t="s">
        <v>707</v>
      </c>
      <c r="D515" s="127" t="s">
        <v>716</v>
      </c>
      <c r="E515" s="131">
        <v>387056.5</v>
      </c>
      <c r="F515" s="128">
        <v>0.0</v>
      </c>
    </row>
    <row r="516">
      <c r="A516" s="129">
        <v>514.0</v>
      </c>
      <c r="B516" s="130">
        <v>45868.0</v>
      </c>
      <c r="C516" s="127" t="s">
        <v>707</v>
      </c>
      <c r="D516" s="127" t="s">
        <v>717</v>
      </c>
      <c r="E516" s="131">
        <v>12000.0</v>
      </c>
      <c r="F516" s="128">
        <v>0.0</v>
      </c>
    </row>
    <row r="517">
      <c r="A517" s="129">
        <v>515.0</v>
      </c>
      <c r="B517" s="132">
        <v>45632.0</v>
      </c>
      <c r="C517" s="127" t="s">
        <v>718</v>
      </c>
      <c r="D517" s="127" t="s">
        <v>719</v>
      </c>
      <c r="E517" s="131">
        <v>15999.98</v>
      </c>
      <c r="F517" s="128">
        <v>237.0</v>
      </c>
    </row>
    <row r="518">
      <c r="A518" s="129">
        <v>516.0</v>
      </c>
      <c r="B518" s="130">
        <v>45608.0</v>
      </c>
      <c r="C518" s="127" t="s">
        <v>718</v>
      </c>
      <c r="D518" s="127" t="s">
        <v>269</v>
      </c>
      <c r="E518" s="131">
        <v>316300.38</v>
      </c>
      <c r="F518" s="128">
        <v>248.0</v>
      </c>
    </row>
    <row r="519">
      <c r="A519" s="129">
        <v>517.0</v>
      </c>
      <c r="B519" s="134">
        <v>45801.0</v>
      </c>
      <c r="C519" s="127" t="s">
        <v>718</v>
      </c>
      <c r="D519" s="127" t="s">
        <v>720</v>
      </c>
      <c r="E519" s="131">
        <v>237000.01</v>
      </c>
      <c r="F519" s="128">
        <v>55.0</v>
      </c>
    </row>
    <row r="520">
      <c r="A520" s="129">
        <v>518.0</v>
      </c>
      <c r="B520" s="134">
        <v>45805.0</v>
      </c>
      <c r="C520" s="127" t="s">
        <v>718</v>
      </c>
      <c r="D520" s="127" t="s">
        <v>721</v>
      </c>
      <c r="E520" s="131">
        <v>107856.0</v>
      </c>
      <c r="F520" s="128">
        <v>51.0</v>
      </c>
    </row>
    <row r="521">
      <c r="A521" s="129">
        <v>519.0</v>
      </c>
      <c r="B521" s="134">
        <v>45805.0</v>
      </c>
      <c r="C521" s="127" t="s">
        <v>718</v>
      </c>
      <c r="D521" s="127" t="s">
        <v>722</v>
      </c>
      <c r="E521" s="131">
        <v>24000.0</v>
      </c>
      <c r="F521" s="128">
        <v>51.0</v>
      </c>
    </row>
    <row r="522">
      <c r="A522" s="129">
        <v>520.0</v>
      </c>
      <c r="B522" s="134">
        <v>45808.0</v>
      </c>
      <c r="C522" s="127" t="s">
        <v>718</v>
      </c>
      <c r="D522" s="127" t="s">
        <v>723</v>
      </c>
      <c r="E522" s="131">
        <v>60000.0</v>
      </c>
      <c r="F522" s="128">
        <v>48.0</v>
      </c>
    </row>
    <row r="523">
      <c r="A523" s="129">
        <v>521.0</v>
      </c>
      <c r="B523" s="130">
        <v>45822.0</v>
      </c>
      <c r="C523" s="127" t="s">
        <v>718</v>
      </c>
      <c r="D523" s="127" t="s">
        <v>724</v>
      </c>
      <c r="E523" s="131">
        <v>323222.66</v>
      </c>
      <c r="F523" s="128">
        <v>34.0</v>
      </c>
    </row>
    <row r="524">
      <c r="A524" s="129">
        <v>522.0</v>
      </c>
      <c r="B524" s="130">
        <v>45833.0</v>
      </c>
      <c r="C524" s="127" t="s">
        <v>718</v>
      </c>
      <c r="D524" s="127" t="s">
        <v>725</v>
      </c>
      <c r="E524" s="131">
        <v>198000.0</v>
      </c>
      <c r="F524" s="128">
        <v>23.0</v>
      </c>
    </row>
    <row r="525">
      <c r="A525" s="129">
        <v>523.0</v>
      </c>
      <c r="B525" s="130">
        <v>45833.0</v>
      </c>
      <c r="C525" s="127" t="s">
        <v>718</v>
      </c>
      <c r="D525" s="127" t="s">
        <v>726</v>
      </c>
      <c r="E525" s="131">
        <v>180000.0</v>
      </c>
      <c r="F525" s="128">
        <v>23.0</v>
      </c>
    </row>
    <row r="526">
      <c r="A526" s="129">
        <v>524.0</v>
      </c>
      <c r="B526" s="130">
        <v>45833.0</v>
      </c>
      <c r="C526" s="127" t="s">
        <v>718</v>
      </c>
      <c r="D526" s="127" t="s">
        <v>481</v>
      </c>
      <c r="E526" s="131">
        <v>36000.0</v>
      </c>
      <c r="F526" s="128">
        <v>23.0</v>
      </c>
    </row>
    <row r="527">
      <c r="A527" s="129">
        <v>525.0</v>
      </c>
      <c r="B527" s="132">
        <v>45847.0</v>
      </c>
      <c r="C527" s="127" t="s">
        <v>718</v>
      </c>
      <c r="D527" s="127" t="s">
        <v>727</v>
      </c>
      <c r="E527" s="131">
        <v>87341.04</v>
      </c>
      <c r="F527" s="128">
        <v>9.0</v>
      </c>
    </row>
    <row r="528">
      <c r="A528" s="129">
        <v>526.0</v>
      </c>
      <c r="B528" s="130">
        <v>45743.0</v>
      </c>
      <c r="C528" s="127" t="s">
        <v>728</v>
      </c>
      <c r="D528" s="127" t="s">
        <v>689</v>
      </c>
      <c r="E528" s="131">
        <v>29700.0</v>
      </c>
      <c r="F528" s="128">
        <v>113.0</v>
      </c>
    </row>
    <row r="529">
      <c r="A529" s="129">
        <v>527.0</v>
      </c>
      <c r="B529" s="132">
        <v>45814.0</v>
      </c>
      <c r="C529" s="127" t="s">
        <v>728</v>
      </c>
      <c r="D529" s="127" t="s">
        <v>729</v>
      </c>
      <c r="E529" s="131">
        <v>127800.0</v>
      </c>
      <c r="F529" s="128">
        <v>42.0</v>
      </c>
    </row>
    <row r="530">
      <c r="A530" s="129">
        <v>528.0</v>
      </c>
      <c r="B530" s="130">
        <v>45829.0</v>
      </c>
      <c r="C530" s="127" t="s">
        <v>728</v>
      </c>
      <c r="D530" s="127" t="s">
        <v>730</v>
      </c>
      <c r="E530" s="131">
        <v>65411.32</v>
      </c>
      <c r="F530" s="128">
        <v>27.0</v>
      </c>
    </row>
    <row r="531">
      <c r="A531" s="129">
        <v>529.0</v>
      </c>
      <c r="B531" s="130">
        <v>45829.0</v>
      </c>
      <c r="C531" s="127" t="s">
        <v>728</v>
      </c>
      <c r="D531" s="127" t="s">
        <v>731</v>
      </c>
      <c r="E531" s="131">
        <v>132000.0</v>
      </c>
      <c r="F531" s="128">
        <v>27.0</v>
      </c>
    </row>
    <row r="532">
      <c r="A532" s="129">
        <v>530.0</v>
      </c>
      <c r="B532" s="130">
        <v>45829.0</v>
      </c>
      <c r="C532" s="127" t="s">
        <v>728</v>
      </c>
      <c r="D532" s="127" t="s">
        <v>732</v>
      </c>
      <c r="E532" s="131">
        <v>36000.0</v>
      </c>
      <c r="F532" s="128">
        <v>27.0</v>
      </c>
    </row>
    <row r="533">
      <c r="A533" s="129">
        <v>531.0</v>
      </c>
      <c r="B533" s="130">
        <v>45855.0</v>
      </c>
      <c r="C533" s="127" t="s">
        <v>728</v>
      </c>
      <c r="D533" s="127" t="s">
        <v>733</v>
      </c>
      <c r="E533" s="131">
        <v>87200.02</v>
      </c>
      <c r="F533" s="128">
        <v>1.0</v>
      </c>
    </row>
    <row r="534">
      <c r="A534" s="129">
        <v>532.0</v>
      </c>
      <c r="B534" s="130">
        <v>45856.0</v>
      </c>
      <c r="C534" s="127" t="s">
        <v>728</v>
      </c>
      <c r="D534" s="127" t="s">
        <v>607</v>
      </c>
      <c r="E534" s="131">
        <v>111982.06</v>
      </c>
      <c r="F534" s="128">
        <v>0.0</v>
      </c>
    </row>
    <row r="535">
      <c r="A535" s="129">
        <v>533.0</v>
      </c>
      <c r="B535" s="130">
        <v>45611.0</v>
      </c>
      <c r="C535" s="127" t="s">
        <v>734</v>
      </c>
      <c r="D535" s="127" t="s">
        <v>735</v>
      </c>
      <c r="E535" s="131">
        <v>404350.08</v>
      </c>
      <c r="F535" s="128">
        <v>238.0</v>
      </c>
    </row>
    <row r="536">
      <c r="A536" s="129">
        <v>534.0</v>
      </c>
      <c r="B536" s="134">
        <v>45798.0</v>
      </c>
      <c r="C536" s="127" t="s">
        <v>734</v>
      </c>
      <c r="D536" s="127" t="s">
        <v>736</v>
      </c>
      <c r="E536" s="131">
        <v>188000.02</v>
      </c>
      <c r="F536" s="128">
        <v>58.0</v>
      </c>
    </row>
    <row r="537">
      <c r="A537" s="129">
        <v>535.0</v>
      </c>
      <c r="B537" s="134">
        <v>45801.0</v>
      </c>
      <c r="C537" s="127" t="s">
        <v>734</v>
      </c>
      <c r="D537" s="127" t="s">
        <v>737</v>
      </c>
      <c r="E537" s="131">
        <v>102600.0</v>
      </c>
      <c r="F537" s="128">
        <v>55.0</v>
      </c>
    </row>
    <row r="538">
      <c r="A538" s="129">
        <v>536.0</v>
      </c>
      <c r="B538" s="134">
        <v>45808.0</v>
      </c>
      <c r="C538" s="127" t="s">
        <v>734</v>
      </c>
      <c r="D538" s="127" t="s">
        <v>738</v>
      </c>
      <c r="E538" s="131">
        <v>42000.0</v>
      </c>
      <c r="F538" s="128">
        <v>48.0</v>
      </c>
    </row>
    <row r="539">
      <c r="A539" s="129">
        <v>537.0</v>
      </c>
      <c r="B539" s="134">
        <v>45808.0</v>
      </c>
      <c r="C539" s="127" t="s">
        <v>734</v>
      </c>
      <c r="D539" s="127" t="s">
        <v>739</v>
      </c>
      <c r="E539" s="131">
        <v>451264.16</v>
      </c>
      <c r="F539" s="128">
        <v>48.0</v>
      </c>
    </row>
    <row r="540">
      <c r="A540" s="129">
        <v>538.0</v>
      </c>
      <c r="B540" s="132">
        <v>45814.0</v>
      </c>
      <c r="C540" s="127" t="s">
        <v>734</v>
      </c>
      <c r="D540" s="127" t="s">
        <v>359</v>
      </c>
      <c r="E540" s="131">
        <v>257200.03</v>
      </c>
      <c r="F540" s="128">
        <v>42.0</v>
      </c>
    </row>
    <row r="541">
      <c r="A541" s="129">
        <v>539.0</v>
      </c>
      <c r="B541" s="132">
        <v>45813.0</v>
      </c>
      <c r="C541" s="127" t="s">
        <v>734</v>
      </c>
      <c r="D541" s="127" t="s">
        <v>740</v>
      </c>
      <c r="E541" s="131">
        <v>78375.0</v>
      </c>
      <c r="F541" s="128">
        <v>43.0</v>
      </c>
    </row>
    <row r="542">
      <c r="A542" s="129">
        <v>540.0</v>
      </c>
      <c r="B542" s="130">
        <v>45822.0</v>
      </c>
      <c r="C542" s="127" t="s">
        <v>734</v>
      </c>
      <c r="D542" s="127" t="s">
        <v>741</v>
      </c>
      <c r="E542" s="131">
        <v>176864.16</v>
      </c>
      <c r="F542" s="128">
        <v>34.0</v>
      </c>
    </row>
    <row r="543">
      <c r="A543" s="129">
        <v>541.0</v>
      </c>
      <c r="B543" s="130">
        <v>45828.0</v>
      </c>
      <c r="C543" s="127" t="s">
        <v>734</v>
      </c>
      <c r="D543" s="127" t="s">
        <v>742</v>
      </c>
      <c r="E543" s="131">
        <v>68600.01</v>
      </c>
      <c r="F543" s="128">
        <v>28.0</v>
      </c>
    </row>
    <row r="544">
      <c r="A544" s="129">
        <v>542.0</v>
      </c>
      <c r="B544" s="132">
        <v>45840.0</v>
      </c>
      <c r="C544" s="127" t="s">
        <v>734</v>
      </c>
      <c r="D544" s="127" t="s">
        <v>743</v>
      </c>
      <c r="E544" s="131">
        <v>302864.16</v>
      </c>
      <c r="F544" s="128">
        <v>16.0</v>
      </c>
    </row>
    <row r="545">
      <c r="A545" s="129">
        <v>543.0</v>
      </c>
      <c r="B545" s="132">
        <v>45840.0</v>
      </c>
      <c r="C545" s="127" t="s">
        <v>734</v>
      </c>
      <c r="D545" s="127" t="s">
        <v>744</v>
      </c>
      <c r="E545" s="131">
        <v>49500.0</v>
      </c>
      <c r="F545" s="128">
        <v>16.0</v>
      </c>
    </row>
    <row r="546">
      <c r="A546" s="129">
        <v>544.0</v>
      </c>
      <c r="B546" s="130">
        <v>45856.0</v>
      </c>
      <c r="C546" s="127" t="s">
        <v>734</v>
      </c>
      <c r="D546" s="127" t="s">
        <v>745</v>
      </c>
      <c r="E546" s="131">
        <v>24750.0</v>
      </c>
      <c r="F546" s="128">
        <v>0.0</v>
      </c>
    </row>
    <row r="547">
      <c r="A547" s="129">
        <v>545.0</v>
      </c>
      <c r="B547" s="130">
        <v>45856.0</v>
      </c>
      <c r="C547" s="127" t="s">
        <v>734</v>
      </c>
      <c r="D547" s="127" t="s">
        <v>746</v>
      </c>
      <c r="E547" s="131">
        <v>339864.16</v>
      </c>
      <c r="F547" s="128">
        <v>0.0</v>
      </c>
    </row>
    <row r="548">
      <c r="A548" s="129">
        <v>546.0</v>
      </c>
      <c r="B548" s="130">
        <v>45864.0</v>
      </c>
      <c r="C548" s="127" t="s">
        <v>734</v>
      </c>
      <c r="D548" s="127" t="s">
        <v>747</v>
      </c>
      <c r="E548" s="131">
        <v>120200.0</v>
      </c>
      <c r="F548" s="128">
        <v>0.0</v>
      </c>
    </row>
    <row r="549">
      <c r="A549" s="129">
        <v>547.0</v>
      </c>
      <c r="B549" s="130">
        <v>45864.0</v>
      </c>
      <c r="C549" s="127" t="s">
        <v>734</v>
      </c>
      <c r="D549" s="127" t="s">
        <v>748</v>
      </c>
      <c r="E549" s="131">
        <v>234334.41</v>
      </c>
      <c r="F549" s="128">
        <v>0.0</v>
      </c>
    </row>
    <row r="550">
      <c r="A550" s="129">
        <v>548.0</v>
      </c>
      <c r="B550" s="130">
        <v>45636.0</v>
      </c>
      <c r="C550" s="127" t="s">
        <v>749</v>
      </c>
      <c r="D550" s="127" t="s">
        <v>750</v>
      </c>
      <c r="E550" s="131">
        <v>80562.52</v>
      </c>
      <c r="F550" s="128">
        <v>220.0</v>
      </c>
    </row>
    <row r="551">
      <c r="A551" s="129">
        <v>549.0</v>
      </c>
      <c r="B551" s="130">
        <v>45757.0</v>
      </c>
      <c r="C551" s="127" t="s">
        <v>749</v>
      </c>
      <c r="D551" s="127" t="s">
        <v>751</v>
      </c>
      <c r="E551" s="131">
        <v>56800.0</v>
      </c>
      <c r="F551" s="128">
        <v>99.0</v>
      </c>
    </row>
    <row r="552">
      <c r="A552" s="129">
        <v>550.0</v>
      </c>
      <c r="B552" s="130">
        <v>45819.0</v>
      </c>
      <c r="C552" s="127" t="s">
        <v>749</v>
      </c>
      <c r="D552" s="127" t="s">
        <v>752</v>
      </c>
      <c r="E552" s="131">
        <v>60000.0</v>
      </c>
      <c r="F552" s="128">
        <v>37.0</v>
      </c>
    </row>
    <row r="553">
      <c r="A553" s="129">
        <v>551.0</v>
      </c>
      <c r="B553" s="130">
        <v>45863.0</v>
      </c>
      <c r="C553" s="127" t="s">
        <v>749</v>
      </c>
      <c r="D553" s="127" t="s">
        <v>753</v>
      </c>
      <c r="E553" s="131">
        <v>38800.01</v>
      </c>
      <c r="F553" s="128">
        <v>0.0</v>
      </c>
    </row>
    <row r="554">
      <c r="A554" s="129">
        <v>552.0</v>
      </c>
      <c r="B554" s="132">
        <v>45842.0</v>
      </c>
      <c r="C554" s="127" t="s">
        <v>754</v>
      </c>
      <c r="D554" s="127" t="s">
        <v>755</v>
      </c>
      <c r="E554" s="131">
        <v>58350.0</v>
      </c>
      <c r="F554" s="128">
        <v>27.0</v>
      </c>
    </row>
    <row r="555">
      <c r="A555" s="129">
        <v>553.0</v>
      </c>
      <c r="B555" s="132">
        <v>45842.0</v>
      </c>
      <c r="C555" s="127" t="s">
        <v>754</v>
      </c>
      <c r="D555" s="127" t="s">
        <v>756</v>
      </c>
      <c r="E555" s="131">
        <v>120000.0</v>
      </c>
      <c r="F555" s="128">
        <v>27.0</v>
      </c>
    </row>
    <row r="556">
      <c r="A556" s="129">
        <v>554.0</v>
      </c>
      <c r="B556" s="130">
        <v>45715.0</v>
      </c>
      <c r="C556" s="127" t="s">
        <v>757</v>
      </c>
      <c r="D556" s="127" t="s">
        <v>758</v>
      </c>
      <c r="E556" s="131">
        <v>7000.0</v>
      </c>
      <c r="F556" s="128">
        <v>148.0</v>
      </c>
    </row>
    <row r="557">
      <c r="A557" s="129">
        <v>555.0</v>
      </c>
      <c r="B557" s="130">
        <v>45560.0</v>
      </c>
      <c r="C557" s="127" t="s">
        <v>759</v>
      </c>
      <c r="D557" s="127" t="s">
        <v>760</v>
      </c>
      <c r="E557" s="131">
        <v>25500.08</v>
      </c>
      <c r="F557" s="128">
        <v>296.0</v>
      </c>
    </row>
    <row r="558">
      <c r="A558" s="129">
        <v>556.0</v>
      </c>
      <c r="B558" s="130">
        <v>45687.0</v>
      </c>
      <c r="C558" s="127" t="s">
        <v>759</v>
      </c>
      <c r="D558" s="127" t="s">
        <v>761</v>
      </c>
      <c r="E558" s="131">
        <v>26900.0</v>
      </c>
      <c r="F558" s="128">
        <v>182.0</v>
      </c>
    </row>
    <row r="559">
      <c r="A559" s="129">
        <v>557.0</v>
      </c>
      <c r="B559" s="134">
        <v>45793.0</v>
      </c>
      <c r="C559" s="127" t="s">
        <v>762</v>
      </c>
      <c r="D559" s="127" t="s">
        <v>763</v>
      </c>
      <c r="E559" s="131">
        <v>79500.01</v>
      </c>
      <c r="F559" s="128">
        <v>63.0</v>
      </c>
    </row>
    <row r="560">
      <c r="A560" s="129">
        <v>558.0</v>
      </c>
      <c r="B560" s="130">
        <v>45828.0</v>
      </c>
      <c r="C560" s="127" t="s">
        <v>762</v>
      </c>
      <c r="D560" s="127" t="s">
        <v>730</v>
      </c>
      <c r="E560" s="131">
        <v>233102.41</v>
      </c>
      <c r="F560" s="128">
        <v>28.0</v>
      </c>
    </row>
    <row r="561">
      <c r="A561" s="129">
        <v>559.0</v>
      </c>
      <c r="B561" s="130">
        <v>45764.0</v>
      </c>
      <c r="C561" s="127" t="s">
        <v>764</v>
      </c>
      <c r="D561" s="127" t="s">
        <v>765</v>
      </c>
      <c r="E561" s="131">
        <v>125779.78</v>
      </c>
      <c r="F561" s="128">
        <v>92.0</v>
      </c>
    </row>
    <row r="562">
      <c r="A562" s="129">
        <v>560.0</v>
      </c>
      <c r="B562" s="133">
        <v>45786.0</v>
      </c>
      <c r="C562" s="127" t="s">
        <v>766</v>
      </c>
      <c r="D562" s="127" t="s">
        <v>767</v>
      </c>
      <c r="E562" s="131">
        <v>195524.6</v>
      </c>
      <c r="F562" s="128">
        <v>70.0</v>
      </c>
    </row>
    <row r="563">
      <c r="A563" s="129">
        <v>561.0</v>
      </c>
      <c r="B563" s="130">
        <v>45820.0</v>
      </c>
      <c r="C563" s="127" t="s">
        <v>766</v>
      </c>
      <c r="D563" s="127" t="s">
        <v>768</v>
      </c>
      <c r="E563" s="131">
        <v>70100.01</v>
      </c>
      <c r="F563" s="128">
        <v>36.0</v>
      </c>
    </row>
    <row r="564">
      <c r="A564" s="129">
        <v>562.0</v>
      </c>
      <c r="B564" s="130">
        <v>45820.0</v>
      </c>
      <c r="C564" s="127" t="s">
        <v>769</v>
      </c>
      <c r="D564" s="127" t="s">
        <v>672</v>
      </c>
      <c r="E564" s="131">
        <v>37400.0</v>
      </c>
      <c r="F564" s="128">
        <v>36.0</v>
      </c>
    </row>
    <row r="565">
      <c r="A565" s="129">
        <v>563.0</v>
      </c>
      <c r="B565" s="130">
        <v>45853.0</v>
      </c>
      <c r="C565" s="127" t="s">
        <v>769</v>
      </c>
      <c r="D565" s="127" t="s">
        <v>770</v>
      </c>
      <c r="E565" s="131">
        <v>138579.79</v>
      </c>
      <c r="F565" s="128">
        <v>3.0</v>
      </c>
    </row>
    <row r="566">
      <c r="A566" s="129">
        <v>564.0</v>
      </c>
      <c r="B566" s="130">
        <v>45821.0</v>
      </c>
      <c r="C566" s="127" t="s">
        <v>771</v>
      </c>
      <c r="D566" s="127" t="s">
        <v>772</v>
      </c>
      <c r="E566" s="131">
        <v>48999.99</v>
      </c>
      <c r="F566" s="128">
        <v>35.0</v>
      </c>
    </row>
    <row r="567">
      <c r="A567" s="129">
        <v>565.0</v>
      </c>
      <c r="B567" s="130">
        <v>45829.0</v>
      </c>
      <c r="C567" s="127" t="s">
        <v>771</v>
      </c>
      <c r="D567" s="127" t="s">
        <v>773</v>
      </c>
      <c r="E567" s="131">
        <v>151302.4</v>
      </c>
      <c r="F567" s="128">
        <v>27.0</v>
      </c>
    </row>
    <row r="568">
      <c r="A568" s="129">
        <v>566.0</v>
      </c>
      <c r="B568" s="130">
        <v>45853.0</v>
      </c>
      <c r="C568" s="127" t="s">
        <v>771</v>
      </c>
      <c r="D568" s="127" t="s">
        <v>774</v>
      </c>
      <c r="E568" s="131">
        <v>173679.8</v>
      </c>
      <c r="F568" s="128">
        <v>3.0</v>
      </c>
    </row>
    <row r="569">
      <c r="A569" s="129">
        <v>567.0</v>
      </c>
      <c r="B569" s="130">
        <v>45742.0</v>
      </c>
      <c r="C569" s="127" t="s">
        <v>775</v>
      </c>
      <c r="D569" s="127" t="s">
        <v>776</v>
      </c>
      <c r="E569" s="131">
        <v>119260.47</v>
      </c>
      <c r="F569" s="128">
        <v>114.0</v>
      </c>
    </row>
    <row r="570">
      <c r="A570" s="129">
        <v>568.0</v>
      </c>
      <c r="B570" s="130">
        <v>45834.0</v>
      </c>
      <c r="C570" s="127" t="s">
        <v>775</v>
      </c>
      <c r="D570" s="127" t="s">
        <v>777</v>
      </c>
      <c r="E570" s="131">
        <v>206291.1</v>
      </c>
      <c r="F570" s="128">
        <v>22.0</v>
      </c>
    </row>
    <row r="571">
      <c r="A571" s="129">
        <v>569.0</v>
      </c>
      <c r="B571" s="130">
        <v>45853.0</v>
      </c>
      <c r="C571" s="127" t="s">
        <v>778</v>
      </c>
      <c r="D571" s="127" t="s">
        <v>779</v>
      </c>
      <c r="E571" s="131">
        <v>190079.8</v>
      </c>
      <c r="F571" s="128">
        <v>3.0</v>
      </c>
    </row>
    <row r="572">
      <c r="A572" s="129">
        <v>570.0</v>
      </c>
      <c r="B572" s="134">
        <v>45793.0</v>
      </c>
      <c r="C572" s="127" t="s">
        <v>780</v>
      </c>
      <c r="D572" s="127" t="s">
        <v>781</v>
      </c>
      <c r="E572" s="131">
        <v>90939.9</v>
      </c>
      <c r="F572" s="128">
        <v>63.0</v>
      </c>
    </row>
    <row r="573">
      <c r="A573" s="129">
        <v>571.0</v>
      </c>
      <c r="B573" s="130">
        <v>45827.0</v>
      </c>
      <c r="C573" s="127" t="s">
        <v>780</v>
      </c>
      <c r="D573" s="127" t="s">
        <v>782</v>
      </c>
      <c r="E573" s="131">
        <v>311175.38</v>
      </c>
      <c r="F573" s="128">
        <v>29.0</v>
      </c>
    </row>
    <row r="574">
      <c r="A574" s="129">
        <v>572.0</v>
      </c>
      <c r="B574" s="130">
        <v>45743.0</v>
      </c>
      <c r="C574" s="127" t="s">
        <v>783</v>
      </c>
      <c r="D574" s="127" t="s">
        <v>784</v>
      </c>
      <c r="E574" s="131">
        <v>93480.01</v>
      </c>
      <c r="F574" s="128">
        <v>113.0</v>
      </c>
    </row>
    <row r="575">
      <c r="A575" s="129">
        <v>573.0</v>
      </c>
      <c r="B575" s="133">
        <v>45780.0</v>
      </c>
      <c r="C575" s="127" t="s">
        <v>783</v>
      </c>
      <c r="D575" s="127" t="s">
        <v>785</v>
      </c>
      <c r="E575" s="131">
        <v>137639.91</v>
      </c>
      <c r="F575" s="128">
        <v>76.0</v>
      </c>
    </row>
    <row r="576">
      <c r="A576" s="129">
        <v>574.0</v>
      </c>
      <c r="B576" s="130">
        <v>45818.0</v>
      </c>
      <c r="C576" s="127" t="s">
        <v>783</v>
      </c>
      <c r="D576" s="127" t="s">
        <v>786</v>
      </c>
      <c r="E576" s="131">
        <v>37400.01</v>
      </c>
      <c r="F576" s="128">
        <v>38.0</v>
      </c>
    </row>
    <row r="577">
      <c r="A577" s="129">
        <v>575.0</v>
      </c>
      <c r="B577" s="130">
        <v>45831.0</v>
      </c>
      <c r="C577" s="127" t="s">
        <v>783</v>
      </c>
      <c r="D577" s="127" t="s">
        <v>787</v>
      </c>
      <c r="E577" s="131">
        <v>64559.85</v>
      </c>
      <c r="F577" s="128">
        <v>25.0</v>
      </c>
    </row>
    <row r="578">
      <c r="A578" s="129">
        <v>576.0</v>
      </c>
      <c r="B578" s="132">
        <v>45695.0</v>
      </c>
      <c r="C578" s="127" t="s">
        <v>788</v>
      </c>
      <c r="D578" s="127" t="s">
        <v>789</v>
      </c>
      <c r="E578" s="131">
        <v>73169.81</v>
      </c>
      <c r="F578" s="128">
        <v>161.0</v>
      </c>
    </row>
    <row r="579">
      <c r="A579" s="129">
        <v>577.0</v>
      </c>
      <c r="B579" s="133">
        <v>45784.0</v>
      </c>
      <c r="C579" s="127" t="s">
        <v>790</v>
      </c>
      <c r="D579" s="127" t="s">
        <v>791</v>
      </c>
      <c r="E579" s="131">
        <v>144154.96</v>
      </c>
      <c r="F579" s="128">
        <v>72.0</v>
      </c>
    </row>
    <row r="580">
      <c r="A580" s="129">
        <v>578.0</v>
      </c>
      <c r="B580" s="130">
        <v>45821.0</v>
      </c>
      <c r="C580" s="127" t="s">
        <v>790</v>
      </c>
      <c r="D580" s="127" t="s">
        <v>792</v>
      </c>
      <c r="E580" s="131">
        <v>150700.01</v>
      </c>
      <c r="F580" s="128">
        <v>35.0</v>
      </c>
    </row>
    <row r="581">
      <c r="A581" s="129">
        <v>579.0</v>
      </c>
      <c r="B581" s="134">
        <v>45792.0</v>
      </c>
      <c r="C581" s="127" t="s">
        <v>793</v>
      </c>
      <c r="D581" s="127" t="s">
        <v>794</v>
      </c>
      <c r="E581" s="131">
        <v>178379.8</v>
      </c>
      <c r="F581" s="128">
        <v>64.0</v>
      </c>
    </row>
    <row r="582">
      <c r="A582" s="129">
        <v>580.0</v>
      </c>
      <c r="B582" s="130">
        <v>45820.0</v>
      </c>
      <c r="C582" s="127" t="s">
        <v>793</v>
      </c>
      <c r="D582" s="127" t="s">
        <v>795</v>
      </c>
      <c r="E582" s="131">
        <v>63000.0</v>
      </c>
      <c r="F582" s="128">
        <v>36.0</v>
      </c>
    </row>
    <row r="583">
      <c r="A583" s="129">
        <v>581.0</v>
      </c>
      <c r="B583" s="133">
        <v>45784.0</v>
      </c>
      <c r="C583" s="127" t="s">
        <v>796</v>
      </c>
      <c r="D583" s="127" t="s">
        <v>797</v>
      </c>
      <c r="E583" s="131">
        <v>265891.11</v>
      </c>
      <c r="F583" s="128">
        <v>56.0</v>
      </c>
    </row>
    <row r="584">
      <c r="A584" s="129">
        <v>582.0</v>
      </c>
      <c r="B584" s="130">
        <v>45828.0</v>
      </c>
      <c r="C584" s="127" t="s">
        <v>796</v>
      </c>
      <c r="D584" s="127" t="s">
        <v>798</v>
      </c>
      <c r="E584" s="131">
        <v>155300.01</v>
      </c>
      <c r="F584" s="128">
        <v>12.0</v>
      </c>
    </row>
    <row r="585">
      <c r="A585" s="129">
        <v>583.0</v>
      </c>
      <c r="B585" s="130">
        <v>45675.0</v>
      </c>
      <c r="C585" s="127" t="s">
        <v>799</v>
      </c>
      <c r="D585" s="127" t="s">
        <v>800</v>
      </c>
      <c r="E585" s="131">
        <v>102800.01</v>
      </c>
      <c r="F585" s="128">
        <v>165.0</v>
      </c>
    </row>
    <row r="586">
      <c r="A586" s="129">
        <v>584.0</v>
      </c>
      <c r="B586" s="130">
        <v>45828.0</v>
      </c>
      <c r="C586" s="127" t="s">
        <v>799</v>
      </c>
      <c r="D586" s="127" t="s">
        <v>801</v>
      </c>
      <c r="E586" s="131">
        <v>323759.87</v>
      </c>
      <c r="F586" s="128">
        <v>28.0</v>
      </c>
    </row>
    <row r="587">
      <c r="A587" s="129">
        <v>585.0</v>
      </c>
      <c r="B587" s="130">
        <v>45853.0</v>
      </c>
      <c r="C587" s="127" t="s">
        <v>799</v>
      </c>
      <c r="D587" s="127" t="s">
        <v>802</v>
      </c>
      <c r="E587" s="131">
        <v>240279.81</v>
      </c>
      <c r="F587" s="128">
        <v>3.0</v>
      </c>
    </row>
    <row r="588">
      <c r="A588" s="129">
        <v>586.0</v>
      </c>
      <c r="B588" s="134">
        <v>45793.0</v>
      </c>
      <c r="C588" s="127" t="s">
        <v>803</v>
      </c>
      <c r="D588" s="127" t="s">
        <v>804</v>
      </c>
      <c r="E588" s="131">
        <v>68739.9</v>
      </c>
      <c r="F588" s="128">
        <v>63.0</v>
      </c>
    </row>
    <row r="589">
      <c r="A589" s="129">
        <v>587.0</v>
      </c>
      <c r="B589" s="130">
        <v>45820.0</v>
      </c>
      <c r="C589" s="127" t="s">
        <v>803</v>
      </c>
      <c r="D589" s="127" t="s">
        <v>805</v>
      </c>
      <c r="E589" s="131">
        <v>65400.0</v>
      </c>
      <c r="F589" s="128">
        <v>36.0</v>
      </c>
    </row>
    <row r="590">
      <c r="A590" s="129">
        <v>588.0</v>
      </c>
      <c r="B590" s="130">
        <v>45853.0</v>
      </c>
      <c r="C590" s="127" t="s">
        <v>803</v>
      </c>
      <c r="D590" s="127" t="s">
        <v>806</v>
      </c>
      <c r="E590" s="131">
        <v>107599.74</v>
      </c>
      <c r="F590" s="128">
        <v>3.0</v>
      </c>
    </row>
    <row r="591">
      <c r="A591" s="129">
        <v>589.0</v>
      </c>
      <c r="B591" s="130">
        <v>45671.0</v>
      </c>
      <c r="C591" s="127" t="s">
        <v>807</v>
      </c>
      <c r="D591" s="127" t="s">
        <v>808</v>
      </c>
      <c r="E591" s="131">
        <v>154200.02</v>
      </c>
      <c r="F591" s="128">
        <v>169.0</v>
      </c>
    </row>
    <row r="592">
      <c r="A592" s="129">
        <v>590.0</v>
      </c>
      <c r="B592" s="130">
        <v>45827.0</v>
      </c>
      <c r="C592" s="127" t="s">
        <v>807</v>
      </c>
      <c r="D592" s="127" t="s">
        <v>809</v>
      </c>
      <c r="E592" s="131">
        <v>217902.41</v>
      </c>
      <c r="F592" s="128">
        <v>29.0</v>
      </c>
    </row>
    <row r="593">
      <c r="A593" s="129">
        <v>591.0</v>
      </c>
      <c r="B593" s="134">
        <v>45793.0</v>
      </c>
      <c r="C593" s="127" t="s">
        <v>810</v>
      </c>
      <c r="D593" s="127" t="s">
        <v>811</v>
      </c>
      <c r="E593" s="131">
        <v>118833.51</v>
      </c>
      <c r="F593" s="128">
        <v>63.0</v>
      </c>
    </row>
    <row r="594">
      <c r="A594" s="129">
        <v>592.0</v>
      </c>
      <c r="B594" s="130">
        <v>45827.0</v>
      </c>
      <c r="C594" s="127" t="s">
        <v>812</v>
      </c>
      <c r="D594" s="127" t="s">
        <v>813</v>
      </c>
      <c r="E594" s="131">
        <v>169400.03</v>
      </c>
      <c r="F594" s="128">
        <v>29.0</v>
      </c>
    </row>
    <row r="595">
      <c r="A595" s="129">
        <v>593.0</v>
      </c>
      <c r="B595" s="130">
        <v>45765.0</v>
      </c>
      <c r="C595" s="127" t="s">
        <v>814</v>
      </c>
      <c r="D595" s="127" t="s">
        <v>815</v>
      </c>
      <c r="E595" s="131">
        <v>130726.56</v>
      </c>
      <c r="F595" s="128">
        <v>91.0</v>
      </c>
    </row>
    <row r="596">
      <c r="A596" s="129">
        <v>594.0</v>
      </c>
      <c r="B596" s="130">
        <v>45835.0</v>
      </c>
      <c r="C596" s="127" t="s">
        <v>814</v>
      </c>
      <c r="D596" s="127" t="s">
        <v>816</v>
      </c>
      <c r="E596" s="131">
        <v>127211.32</v>
      </c>
      <c r="F596" s="128">
        <v>21.0</v>
      </c>
    </row>
    <row r="597">
      <c r="A597" s="129">
        <v>595.0</v>
      </c>
      <c r="B597" s="130">
        <v>45819.0</v>
      </c>
      <c r="C597" s="127" t="s">
        <v>817</v>
      </c>
      <c r="D597" s="127" t="s">
        <v>818</v>
      </c>
      <c r="E597" s="131">
        <v>19530.03</v>
      </c>
      <c r="F597" s="128">
        <v>37.0</v>
      </c>
    </row>
    <row r="598">
      <c r="A598" s="129">
        <v>596.0</v>
      </c>
      <c r="B598" s="130">
        <v>45853.0</v>
      </c>
      <c r="C598" s="127" t="s">
        <v>817</v>
      </c>
      <c r="D598" s="127" t="s">
        <v>819</v>
      </c>
      <c r="E598" s="131">
        <v>69200.01</v>
      </c>
      <c r="F598" s="128">
        <v>3.0</v>
      </c>
    </row>
    <row r="599">
      <c r="A599" s="129">
        <v>597.0</v>
      </c>
      <c r="B599" s="130">
        <v>45853.0</v>
      </c>
      <c r="C599" s="127" t="s">
        <v>817</v>
      </c>
      <c r="D599" s="127" t="s">
        <v>820</v>
      </c>
      <c r="E599" s="131">
        <v>146400.0</v>
      </c>
      <c r="F599" s="128">
        <v>3.0</v>
      </c>
    </row>
    <row r="600">
      <c r="A600" s="129">
        <v>598.0</v>
      </c>
      <c r="B600" s="130">
        <v>45834.0</v>
      </c>
      <c r="C600" s="127" t="s">
        <v>821</v>
      </c>
      <c r="D600" s="127" t="s">
        <v>526</v>
      </c>
      <c r="E600" s="131">
        <v>137100.0</v>
      </c>
      <c r="F600" s="128">
        <v>6.0</v>
      </c>
    </row>
    <row r="601">
      <c r="A601" s="129">
        <v>599.0</v>
      </c>
      <c r="B601" s="130">
        <v>45866.0</v>
      </c>
      <c r="C601" s="127" t="s">
        <v>821</v>
      </c>
      <c r="D601" s="127" t="s">
        <v>822</v>
      </c>
      <c r="E601" s="131">
        <v>154200.0</v>
      </c>
      <c r="F601" s="128">
        <v>0.0</v>
      </c>
    </row>
    <row r="602">
      <c r="A602" s="129">
        <v>600.0</v>
      </c>
      <c r="B602" s="130">
        <v>45866.0</v>
      </c>
      <c r="C602" s="127" t="s">
        <v>821</v>
      </c>
      <c r="D602" s="127" t="s">
        <v>823</v>
      </c>
      <c r="E602" s="131">
        <v>233986.45</v>
      </c>
      <c r="F602" s="128">
        <v>0.0</v>
      </c>
    </row>
    <row r="603">
      <c r="A603" s="129">
        <v>601.0</v>
      </c>
      <c r="B603" s="130">
        <v>45745.0</v>
      </c>
      <c r="C603" s="127" t="s">
        <v>824</v>
      </c>
      <c r="D603" s="127" t="s">
        <v>825</v>
      </c>
      <c r="E603" s="131">
        <v>55570.01</v>
      </c>
      <c r="F603" s="128">
        <v>111.0</v>
      </c>
    </row>
    <row r="604">
      <c r="A604" s="129">
        <v>602.0</v>
      </c>
      <c r="B604" s="130">
        <v>45699.0</v>
      </c>
      <c r="C604" s="127" t="s">
        <v>824</v>
      </c>
      <c r="D604" s="127" t="s">
        <v>826</v>
      </c>
      <c r="E604" s="131">
        <v>37749.65</v>
      </c>
      <c r="F604" s="128">
        <v>157.0</v>
      </c>
    </row>
    <row r="605">
      <c r="A605" s="129">
        <v>603.0</v>
      </c>
      <c r="B605" s="130">
        <v>45857.0</v>
      </c>
      <c r="C605" s="127" t="s">
        <v>824</v>
      </c>
      <c r="D605" s="127" t="s">
        <v>607</v>
      </c>
      <c r="E605" s="131">
        <v>49082.07</v>
      </c>
      <c r="F605" s="128">
        <v>0.0</v>
      </c>
    </row>
    <row r="606">
      <c r="A606" s="129">
        <v>604.0</v>
      </c>
      <c r="B606" s="130">
        <v>45864.0</v>
      </c>
      <c r="C606" s="127" t="s">
        <v>824</v>
      </c>
      <c r="D606" s="127" t="s">
        <v>827</v>
      </c>
      <c r="E606" s="131">
        <v>115622.61</v>
      </c>
      <c r="F606" s="128">
        <v>0.0</v>
      </c>
    </row>
    <row r="607">
      <c r="A607" s="129">
        <v>605.0</v>
      </c>
      <c r="B607" s="130">
        <v>45590.0</v>
      </c>
      <c r="C607" s="127" t="s">
        <v>828</v>
      </c>
      <c r="D607" s="127" t="s">
        <v>829</v>
      </c>
      <c r="E607" s="131">
        <v>162000.01</v>
      </c>
      <c r="F607" s="128">
        <v>266.0</v>
      </c>
    </row>
    <row r="608">
      <c r="A608" s="129">
        <v>606.0</v>
      </c>
      <c r="B608" s="130">
        <v>45616.0</v>
      </c>
      <c r="C608" s="127" t="s">
        <v>828</v>
      </c>
      <c r="D608" s="127" t="s">
        <v>830</v>
      </c>
      <c r="E608" s="131">
        <v>82999.98</v>
      </c>
      <c r="F608" s="128">
        <v>240.0</v>
      </c>
    </row>
    <row r="609">
      <c r="A609" s="129">
        <v>607.0</v>
      </c>
      <c r="B609" s="130">
        <v>45644.0</v>
      </c>
      <c r="C609" s="127" t="s">
        <v>828</v>
      </c>
      <c r="D609" s="127" t="s">
        <v>831</v>
      </c>
      <c r="E609" s="131">
        <v>143999.99</v>
      </c>
      <c r="F609" s="128">
        <v>212.0</v>
      </c>
    </row>
    <row r="610">
      <c r="A610" s="129">
        <v>608.0</v>
      </c>
      <c r="B610" s="130">
        <v>45740.0</v>
      </c>
      <c r="C610" s="127" t="s">
        <v>828</v>
      </c>
      <c r="D610" s="127" t="s">
        <v>832</v>
      </c>
      <c r="E610" s="131">
        <v>224999.99</v>
      </c>
      <c r="F610" s="128">
        <v>116.0</v>
      </c>
    </row>
    <row r="611">
      <c r="A611" s="129">
        <v>609.0</v>
      </c>
      <c r="B611" s="130">
        <v>45761.0</v>
      </c>
      <c r="C611" s="127" t="s">
        <v>828</v>
      </c>
      <c r="D611" s="127" t="s">
        <v>356</v>
      </c>
      <c r="E611" s="131">
        <v>223833.9</v>
      </c>
      <c r="F611" s="128">
        <v>109.0</v>
      </c>
    </row>
    <row r="612">
      <c r="A612" s="129">
        <v>610.0</v>
      </c>
      <c r="B612" s="130">
        <v>45762.0</v>
      </c>
      <c r="C612" s="127" t="s">
        <v>828</v>
      </c>
      <c r="D612" s="127" t="s">
        <v>833</v>
      </c>
      <c r="E612" s="131">
        <v>163056.54</v>
      </c>
      <c r="F612" s="128">
        <v>94.0</v>
      </c>
    </row>
    <row r="613">
      <c r="A613" s="129">
        <v>611.0</v>
      </c>
      <c r="B613" s="134">
        <v>45806.0</v>
      </c>
      <c r="C613" s="127" t="s">
        <v>828</v>
      </c>
      <c r="D613" s="127" t="s">
        <v>834</v>
      </c>
      <c r="E613" s="131">
        <v>125384.65</v>
      </c>
      <c r="F613" s="128">
        <v>50.0</v>
      </c>
    </row>
    <row r="614">
      <c r="A614" s="129">
        <v>612.0</v>
      </c>
      <c r="B614" s="130">
        <v>45822.0</v>
      </c>
      <c r="C614" s="127" t="s">
        <v>828</v>
      </c>
      <c r="D614" s="127" t="s">
        <v>835</v>
      </c>
      <c r="E614" s="131">
        <v>260890.46</v>
      </c>
      <c r="F614" s="128">
        <v>34.0</v>
      </c>
    </row>
    <row r="615">
      <c r="A615" s="129">
        <v>613.0</v>
      </c>
      <c r="B615" s="130">
        <v>45861.0</v>
      </c>
      <c r="C615" s="127" t="s">
        <v>828</v>
      </c>
      <c r="D615" s="127" t="s">
        <v>836</v>
      </c>
      <c r="E615" s="131">
        <v>377659.97</v>
      </c>
      <c r="F615" s="128">
        <v>0.0</v>
      </c>
    </row>
    <row r="616">
      <c r="A616" s="129">
        <v>614.0</v>
      </c>
      <c r="B616" s="130">
        <v>45679.0</v>
      </c>
      <c r="C616" s="127" t="s">
        <v>837</v>
      </c>
      <c r="D616" s="127" t="s">
        <v>838</v>
      </c>
      <c r="E616" s="131">
        <v>169262.33</v>
      </c>
      <c r="F616" s="128">
        <v>177.0</v>
      </c>
    </row>
    <row r="617">
      <c r="A617" s="129">
        <v>615.0</v>
      </c>
      <c r="B617" s="132">
        <v>45810.0</v>
      </c>
      <c r="C617" s="127" t="s">
        <v>837</v>
      </c>
      <c r="D617" s="127" t="s">
        <v>839</v>
      </c>
      <c r="E617" s="131">
        <v>153819.95</v>
      </c>
      <c r="F617" s="128">
        <v>53.0</v>
      </c>
    </row>
    <row r="618">
      <c r="A618" s="129">
        <v>616.0</v>
      </c>
      <c r="B618" s="132">
        <v>45569.0</v>
      </c>
      <c r="C618" s="127" t="s">
        <v>840</v>
      </c>
      <c r="D618" s="127" t="s">
        <v>841</v>
      </c>
      <c r="E618" s="131">
        <v>49579.0</v>
      </c>
      <c r="F618" s="128">
        <v>287.0</v>
      </c>
    </row>
    <row r="619">
      <c r="A619" s="129">
        <v>617.0</v>
      </c>
      <c r="B619" s="130">
        <v>45777.0</v>
      </c>
      <c r="C619" s="127" t="s">
        <v>840</v>
      </c>
      <c r="D619" s="127" t="s">
        <v>842</v>
      </c>
      <c r="E619" s="131">
        <v>60000.0</v>
      </c>
      <c r="F619" s="128">
        <v>79.0</v>
      </c>
    </row>
    <row r="620">
      <c r="A620" s="129">
        <v>618.0</v>
      </c>
      <c r="B620" s="132">
        <v>45568.0</v>
      </c>
      <c r="C620" s="127" t="s">
        <v>843</v>
      </c>
      <c r="D620" s="127" t="s">
        <v>844</v>
      </c>
      <c r="E620" s="131">
        <v>134800.7</v>
      </c>
      <c r="F620" s="128">
        <v>288.0</v>
      </c>
    </row>
    <row r="621">
      <c r="A621" s="129">
        <v>619.0</v>
      </c>
      <c r="B621" s="130">
        <v>45709.0</v>
      </c>
      <c r="C621" s="127" t="s">
        <v>843</v>
      </c>
      <c r="D621" s="127" t="s">
        <v>845</v>
      </c>
      <c r="E621" s="131">
        <v>139999.99</v>
      </c>
      <c r="F621" s="128">
        <v>147.0</v>
      </c>
    </row>
    <row r="622">
      <c r="A622" s="129">
        <v>620.0</v>
      </c>
      <c r="B622" s="130">
        <v>45860.0</v>
      </c>
      <c r="C622" s="127" t="s">
        <v>843</v>
      </c>
      <c r="D622" s="127" t="s">
        <v>160</v>
      </c>
      <c r="E622" s="131">
        <v>54611.31</v>
      </c>
      <c r="F622" s="128">
        <v>0.0</v>
      </c>
    </row>
    <row r="623">
      <c r="A623" s="129">
        <v>621.0</v>
      </c>
      <c r="B623" s="132">
        <v>45810.0</v>
      </c>
      <c r="C623" s="127" t="s">
        <v>846</v>
      </c>
      <c r="D623" s="127" t="s">
        <v>847</v>
      </c>
      <c r="E623" s="131">
        <v>3326.9</v>
      </c>
      <c r="F623" s="128">
        <v>46.0</v>
      </c>
    </row>
    <row r="624">
      <c r="A624" s="129">
        <v>622.0</v>
      </c>
      <c r="B624" s="130">
        <v>45581.0</v>
      </c>
      <c r="C624" s="127" t="s">
        <v>848</v>
      </c>
      <c r="D624" s="127" t="s">
        <v>849</v>
      </c>
      <c r="E624" s="131">
        <v>36000.68</v>
      </c>
      <c r="F624" s="128">
        <v>275.0</v>
      </c>
    </row>
    <row r="625">
      <c r="A625" s="129">
        <v>623.0</v>
      </c>
      <c r="B625" s="130">
        <v>45688.0</v>
      </c>
      <c r="C625" s="127" t="s">
        <v>850</v>
      </c>
      <c r="D625" s="127" t="s">
        <v>844</v>
      </c>
      <c r="E625" s="131">
        <v>66000.0</v>
      </c>
      <c r="F625" s="128">
        <v>168.0</v>
      </c>
    </row>
    <row r="626">
      <c r="A626" s="129">
        <v>624.0</v>
      </c>
      <c r="B626" s="130">
        <v>45576.0</v>
      </c>
      <c r="C626" s="127" t="s">
        <v>850</v>
      </c>
      <c r="D626" s="127" t="s">
        <v>851</v>
      </c>
      <c r="E626" s="131">
        <v>39775.0</v>
      </c>
      <c r="F626" s="128">
        <v>280.0</v>
      </c>
    </row>
    <row r="627">
      <c r="A627" s="129">
        <v>625.0</v>
      </c>
      <c r="B627" s="130">
        <v>45590.0</v>
      </c>
      <c r="C627" s="127" t="s">
        <v>850</v>
      </c>
      <c r="D627" s="127" t="s">
        <v>852</v>
      </c>
      <c r="E627" s="131">
        <v>132840.01</v>
      </c>
      <c r="F627" s="128">
        <v>266.0</v>
      </c>
    </row>
    <row r="628">
      <c r="A628" s="129">
        <v>626.0</v>
      </c>
      <c r="B628" s="130">
        <v>45624.0</v>
      </c>
      <c r="C628" s="127" t="s">
        <v>850</v>
      </c>
      <c r="D628" s="127" t="s">
        <v>192</v>
      </c>
      <c r="E628" s="131">
        <v>205077.51</v>
      </c>
      <c r="F628" s="128">
        <v>232.0</v>
      </c>
    </row>
    <row r="629">
      <c r="A629" s="129">
        <v>627.0</v>
      </c>
      <c r="B629" s="130">
        <v>45639.0</v>
      </c>
      <c r="C629" s="127" t="s">
        <v>850</v>
      </c>
      <c r="D629" s="127" t="s">
        <v>657</v>
      </c>
      <c r="E629" s="131">
        <v>233350.01</v>
      </c>
      <c r="F629" s="128">
        <v>217.0</v>
      </c>
    </row>
    <row r="630">
      <c r="A630" s="129">
        <v>628.0</v>
      </c>
      <c r="B630" s="132">
        <v>45748.0</v>
      </c>
      <c r="C630" s="127" t="s">
        <v>850</v>
      </c>
      <c r="D630" s="127" t="s">
        <v>217</v>
      </c>
      <c r="E630" s="131">
        <v>166320.45</v>
      </c>
      <c r="F630" s="128">
        <v>108.0</v>
      </c>
    </row>
    <row r="631">
      <c r="A631" s="129">
        <v>629.0</v>
      </c>
      <c r="B631" s="132">
        <v>45721.0</v>
      </c>
      <c r="C631" s="127" t="s">
        <v>850</v>
      </c>
      <c r="D631" s="127" t="s">
        <v>853</v>
      </c>
      <c r="E631" s="131">
        <v>98000.0</v>
      </c>
      <c r="F631" s="128">
        <v>135.0</v>
      </c>
    </row>
    <row r="632">
      <c r="A632" s="129">
        <v>630.0</v>
      </c>
      <c r="B632" s="130">
        <v>45827.0</v>
      </c>
      <c r="C632" s="127" t="s">
        <v>850</v>
      </c>
      <c r="D632" s="127" t="s">
        <v>854</v>
      </c>
      <c r="E632" s="131">
        <v>152763.65</v>
      </c>
      <c r="F632" s="128">
        <v>29.0</v>
      </c>
    </row>
    <row r="633">
      <c r="A633" s="129">
        <v>631.0</v>
      </c>
      <c r="B633" s="132">
        <v>45847.0</v>
      </c>
      <c r="C633" s="127" t="s">
        <v>850</v>
      </c>
      <c r="D633" s="127" t="s">
        <v>855</v>
      </c>
      <c r="E633" s="131">
        <v>149164.85</v>
      </c>
      <c r="F633" s="128">
        <v>9.0</v>
      </c>
    </row>
    <row r="634">
      <c r="A634" s="129">
        <v>632.0</v>
      </c>
      <c r="B634" s="132">
        <v>45847.0</v>
      </c>
      <c r="C634" s="127" t="s">
        <v>850</v>
      </c>
      <c r="D634" s="127" t="s">
        <v>856</v>
      </c>
      <c r="E634" s="131">
        <v>120000.0</v>
      </c>
      <c r="F634" s="128">
        <v>9.0</v>
      </c>
    </row>
    <row r="635">
      <c r="A635" s="129">
        <v>633.0</v>
      </c>
      <c r="B635" s="130">
        <v>45866.0</v>
      </c>
      <c r="C635" s="127" t="s">
        <v>850</v>
      </c>
      <c r="D635" s="127" t="s">
        <v>857</v>
      </c>
      <c r="E635" s="131">
        <v>330626.65</v>
      </c>
      <c r="F635" s="128">
        <v>0.0</v>
      </c>
    </row>
    <row r="636">
      <c r="A636" s="129">
        <v>634.0</v>
      </c>
      <c r="B636" s="132">
        <v>45749.0</v>
      </c>
      <c r="C636" s="127" t="s">
        <v>858</v>
      </c>
      <c r="D636" s="127" t="s">
        <v>859</v>
      </c>
      <c r="E636" s="131">
        <v>167700.01</v>
      </c>
      <c r="F636" s="128">
        <v>114.0</v>
      </c>
    </row>
    <row r="637">
      <c r="A637" s="129">
        <v>635.0</v>
      </c>
      <c r="B637" s="132">
        <v>45842.0</v>
      </c>
      <c r="C637" s="127" t="s">
        <v>858</v>
      </c>
      <c r="D637" s="127" t="s">
        <v>860</v>
      </c>
      <c r="E637" s="131">
        <v>379500.37</v>
      </c>
      <c r="F637" s="128">
        <v>21.0</v>
      </c>
    </row>
    <row r="638">
      <c r="A638" s="129">
        <v>636.0</v>
      </c>
      <c r="B638" s="132">
        <v>45842.0</v>
      </c>
      <c r="C638" s="127" t="s">
        <v>858</v>
      </c>
      <c r="D638" s="127" t="s">
        <v>861</v>
      </c>
      <c r="E638" s="131">
        <v>51300.0</v>
      </c>
      <c r="F638" s="128">
        <v>21.0</v>
      </c>
    </row>
    <row r="639">
      <c r="A639" s="129">
        <v>637.0</v>
      </c>
      <c r="B639" s="130">
        <v>45747.0</v>
      </c>
      <c r="C639" s="127" t="s">
        <v>862</v>
      </c>
      <c r="D639" s="127" t="s">
        <v>863</v>
      </c>
      <c r="E639" s="131">
        <v>94200.0</v>
      </c>
      <c r="F639" s="128">
        <v>109.0</v>
      </c>
    </row>
    <row r="640">
      <c r="A640" s="129">
        <v>638.0</v>
      </c>
      <c r="B640" s="132">
        <v>45544.0</v>
      </c>
      <c r="C640" s="127" t="s">
        <v>864</v>
      </c>
      <c r="D640" s="127" t="s">
        <v>865</v>
      </c>
      <c r="E640" s="131">
        <v>95277.25</v>
      </c>
      <c r="F640" s="128">
        <v>312.0</v>
      </c>
    </row>
    <row r="641">
      <c r="A641" s="129">
        <v>639.0</v>
      </c>
      <c r="B641" s="130">
        <v>45703.0</v>
      </c>
      <c r="C641" s="127" t="s">
        <v>864</v>
      </c>
      <c r="D641" s="127" t="s">
        <v>127</v>
      </c>
      <c r="E641" s="131">
        <v>39800.0</v>
      </c>
      <c r="F641" s="128">
        <v>153.0</v>
      </c>
    </row>
    <row r="642">
      <c r="A642" s="129">
        <v>640.0</v>
      </c>
      <c r="B642" s="130">
        <v>45581.0</v>
      </c>
      <c r="C642" s="127" t="s">
        <v>866</v>
      </c>
      <c r="D642" s="127" t="s">
        <v>867</v>
      </c>
      <c r="E642" s="131">
        <v>26002.1</v>
      </c>
      <c r="F642" s="128">
        <v>275.0</v>
      </c>
    </row>
    <row r="643">
      <c r="A643" s="129">
        <v>641.0</v>
      </c>
      <c r="B643" s="130">
        <v>45560.0</v>
      </c>
      <c r="C643" s="127" t="s">
        <v>868</v>
      </c>
      <c r="D643" s="127" t="s">
        <v>869</v>
      </c>
      <c r="E643" s="131">
        <v>96801.6</v>
      </c>
      <c r="F643" s="128">
        <v>296.0</v>
      </c>
    </row>
    <row r="644">
      <c r="A644" s="129">
        <v>642.0</v>
      </c>
      <c r="B644" s="130">
        <v>45834.0</v>
      </c>
      <c r="C644" s="127" t="s">
        <v>868</v>
      </c>
      <c r="D644" s="127" t="s">
        <v>416</v>
      </c>
      <c r="E644" s="131">
        <v>141300.01</v>
      </c>
      <c r="F644" s="128">
        <v>22.0</v>
      </c>
    </row>
    <row r="645">
      <c r="A645" s="129">
        <v>643.0</v>
      </c>
      <c r="B645" s="130">
        <v>45834.0</v>
      </c>
      <c r="C645" s="127" t="s">
        <v>868</v>
      </c>
      <c r="D645" s="127" t="s">
        <v>870</v>
      </c>
      <c r="E645" s="131">
        <v>120000.0</v>
      </c>
      <c r="F645" s="128">
        <v>22.0</v>
      </c>
    </row>
    <row r="646">
      <c r="A646" s="129">
        <v>644.0</v>
      </c>
      <c r="B646" s="130">
        <v>45581.0</v>
      </c>
      <c r="C646" s="127" t="s">
        <v>871</v>
      </c>
      <c r="D646" s="127" t="s">
        <v>872</v>
      </c>
      <c r="E646" s="131">
        <v>130451.25</v>
      </c>
      <c r="F646" s="128">
        <v>275.0</v>
      </c>
    </row>
    <row r="647">
      <c r="A647" s="129">
        <v>645.0</v>
      </c>
      <c r="B647" s="130">
        <v>45581.0</v>
      </c>
      <c r="C647" s="127" t="s">
        <v>873</v>
      </c>
      <c r="D647" s="127" t="s">
        <v>874</v>
      </c>
      <c r="E647" s="131">
        <v>83151.25</v>
      </c>
      <c r="F647" s="128">
        <v>275.0</v>
      </c>
    </row>
    <row r="648">
      <c r="A648" s="129">
        <v>646.0</v>
      </c>
      <c r="B648" s="130">
        <v>45771.0</v>
      </c>
      <c r="C648" s="127" t="s">
        <v>875</v>
      </c>
      <c r="D648" s="127" t="s">
        <v>876</v>
      </c>
      <c r="E648" s="131">
        <v>35000.0</v>
      </c>
      <c r="F648" s="128">
        <v>98.0</v>
      </c>
    </row>
    <row r="649">
      <c r="A649" s="129">
        <v>647.0</v>
      </c>
      <c r="B649" s="130">
        <v>45565.0</v>
      </c>
      <c r="C649" s="127" t="s">
        <v>877</v>
      </c>
      <c r="D649" s="127" t="s">
        <v>878</v>
      </c>
      <c r="E649" s="131">
        <v>48000.9</v>
      </c>
      <c r="F649" s="128">
        <v>291.0</v>
      </c>
    </row>
    <row r="650">
      <c r="A650" s="129">
        <v>648.0</v>
      </c>
      <c r="B650" s="130">
        <v>45645.0</v>
      </c>
      <c r="C650" s="127" t="s">
        <v>877</v>
      </c>
      <c r="D650" s="127" t="s">
        <v>879</v>
      </c>
      <c r="E650" s="131">
        <v>62100.01</v>
      </c>
      <c r="F650" s="128">
        <v>211.0</v>
      </c>
    </row>
    <row r="651">
      <c r="A651" s="129">
        <v>649.0</v>
      </c>
      <c r="B651" s="130">
        <v>45673.0</v>
      </c>
      <c r="C651" s="127" t="s">
        <v>880</v>
      </c>
      <c r="D651" s="127" t="s">
        <v>881</v>
      </c>
      <c r="E651" s="131">
        <v>109937.51</v>
      </c>
      <c r="F651" s="128">
        <v>190.0</v>
      </c>
    </row>
    <row r="652">
      <c r="A652" s="129">
        <v>650.0</v>
      </c>
      <c r="B652" s="130">
        <v>45650.0</v>
      </c>
      <c r="C652" s="127" t="s">
        <v>880</v>
      </c>
      <c r="D652" s="127" t="s">
        <v>882</v>
      </c>
      <c r="E652" s="131">
        <v>77525.02</v>
      </c>
      <c r="F652" s="128">
        <v>206.0</v>
      </c>
    </row>
    <row r="653">
      <c r="A653" s="129">
        <v>651.0</v>
      </c>
      <c r="B653" s="130">
        <v>45698.0</v>
      </c>
      <c r="C653" s="127" t="s">
        <v>880</v>
      </c>
      <c r="D653" s="127" t="s">
        <v>883</v>
      </c>
      <c r="E653" s="131">
        <v>28000.0</v>
      </c>
      <c r="F653" s="128">
        <v>158.0</v>
      </c>
    </row>
    <row r="654">
      <c r="A654" s="129">
        <v>652.0</v>
      </c>
      <c r="B654" s="134">
        <v>45803.0</v>
      </c>
      <c r="C654" s="127" t="s">
        <v>880</v>
      </c>
      <c r="D654" s="127" t="s">
        <v>884</v>
      </c>
      <c r="E654" s="131">
        <v>21000.0</v>
      </c>
      <c r="F654" s="128">
        <v>53.0</v>
      </c>
    </row>
    <row r="655">
      <c r="A655" s="129">
        <v>653.0</v>
      </c>
      <c r="B655" s="134">
        <v>45803.0</v>
      </c>
      <c r="C655" s="127" t="s">
        <v>880</v>
      </c>
      <c r="D655" s="127" t="s">
        <v>885</v>
      </c>
      <c r="E655" s="131">
        <v>87676.57</v>
      </c>
      <c r="F655" s="128">
        <v>53.0</v>
      </c>
    </row>
    <row r="656">
      <c r="A656" s="129">
        <v>654.0</v>
      </c>
      <c r="B656" s="134">
        <v>45804.0</v>
      </c>
      <c r="C656" s="127" t="s">
        <v>880</v>
      </c>
      <c r="D656" s="127" t="s">
        <v>886</v>
      </c>
      <c r="E656" s="131">
        <v>24000.0</v>
      </c>
      <c r="F656" s="128">
        <v>52.0</v>
      </c>
    </row>
    <row r="657">
      <c r="A657" s="129">
        <v>655.0</v>
      </c>
      <c r="B657" s="130">
        <v>45741.0</v>
      </c>
      <c r="C657" s="127" t="s">
        <v>887</v>
      </c>
      <c r="D657" s="127" t="s">
        <v>888</v>
      </c>
      <c r="E657" s="131">
        <v>58600.0</v>
      </c>
      <c r="F657" s="128">
        <v>115.0</v>
      </c>
    </row>
    <row r="658">
      <c r="A658" s="129">
        <v>656.0</v>
      </c>
      <c r="B658" s="130">
        <v>45701.0</v>
      </c>
      <c r="C658" s="127" t="s">
        <v>887</v>
      </c>
      <c r="D658" s="127" t="s">
        <v>889</v>
      </c>
      <c r="E658" s="131">
        <v>81900.01</v>
      </c>
      <c r="F658" s="128">
        <v>155.0</v>
      </c>
    </row>
    <row r="659">
      <c r="A659" s="129">
        <v>657.0</v>
      </c>
      <c r="B659" s="130">
        <v>45869.0</v>
      </c>
      <c r="C659" s="127" t="s">
        <v>887</v>
      </c>
      <c r="D659" s="127" t="s">
        <v>890</v>
      </c>
      <c r="E659" s="131">
        <v>43157.0</v>
      </c>
      <c r="F659" s="128">
        <v>0.0</v>
      </c>
    </row>
    <row r="660">
      <c r="A660" s="129">
        <v>658.0</v>
      </c>
      <c r="B660" s="132">
        <v>45602.0</v>
      </c>
      <c r="C660" s="127" t="s">
        <v>891</v>
      </c>
      <c r="D660" s="127" t="s">
        <v>892</v>
      </c>
      <c r="E660" s="131">
        <v>32000.0</v>
      </c>
      <c r="F660" s="128">
        <v>267.0</v>
      </c>
    </row>
    <row r="661">
      <c r="A661" s="129">
        <v>659.0</v>
      </c>
      <c r="B661" s="130">
        <v>45747.0</v>
      </c>
      <c r="C661" s="127" t="s">
        <v>893</v>
      </c>
      <c r="D661" s="127" t="s">
        <v>894</v>
      </c>
      <c r="E661" s="131">
        <v>128400.0</v>
      </c>
      <c r="F661" s="128">
        <v>109.0</v>
      </c>
    </row>
    <row r="662">
      <c r="A662" s="129">
        <v>660.0</v>
      </c>
      <c r="B662" s="130">
        <v>45747.0</v>
      </c>
      <c r="C662" s="127" t="s">
        <v>893</v>
      </c>
      <c r="D662" s="127" t="s">
        <v>895</v>
      </c>
      <c r="E662" s="131">
        <v>42000.0</v>
      </c>
      <c r="F662" s="128">
        <v>109.0</v>
      </c>
    </row>
    <row r="663">
      <c r="A663" s="129">
        <v>661.0</v>
      </c>
      <c r="B663" s="133">
        <v>45785.0</v>
      </c>
      <c r="C663" s="127" t="s">
        <v>893</v>
      </c>
      <c r="D663" s="127" t="s">
        <v>896</v>
      </c>
      <c r="E663" s="131">
        <v>319949.65</v>
      </c>
      <c r="F663" s="128">
        <v>71.0</v>
      </c>
    </row>
    <row r="664">
      <c r="A664" s="129">
        <v>662.0</v>
      </c>
      <c r="B664" s="134">
        <v>45796.0</v>
      </c>
      <c r="C664" s="127" t="s">
        <v>893</v>
      </c>
      <c r="D664" s="127" t="s">
        <v>897</v>
      </c>
      <c r="E664" s="131">
        <v>393650.62</v>
      </c>
      <c r="F664" s="128">
        <v>60.0</v>
      </c>
    </row>
    <row r="665">
      <c r="A665" s="129">
        <v>663.0</v>
      </c>
      <c r="B665" s="134">
        <v>45796.0</v>
      </c>
      <c r="C665" s="127" t="s">
        <v>893</v>
      </c>
      <c r="D665" s="127" t="s">
        <v>898</v>
      </c>
      <c r="E665" s="131">
        <v>156750.0</v>
      </c>
      <c r="F665" s="128">
        <v>60.0</v>
      </c>
    </row>
    <row r="666">
      <c r="A666" s="129">
        <v>664.0</v>
      </c>
      <c r="B666" s="130">
        <v>45828.0</v>
      </c>
      <c r="C666" s="127" t="s">
        <v>893</v>
      </c>
      <c r="D666" s="127" t="s">
        <v>899</v>
      </c>
      <c r="E666" s="131">
        <v>296405.93</v>
      </c>
      <c r="F666" s="128">
        <v>28.0</v>
      </c>
    </row>
    <row r="667">
      <c r="A667" s="129">
        <v>665.0</v>
      </c>
      <c r="B667" s="132">
        <v>45840.0</v>
      </c>
      <c r="C667" s="127" t="s">
        <v>893</v>
      </c>
      <c r="D667" s="127" t="s">
        <v>900</v>
      </c>
      <c r="E667" s="131">
        <v>120000.0</v>
      </c>
      <c r="F667" s="128">
        <v>16.0</v>
      </c>
    </row>
    <row r="668">
      <c r="A668" s="129">
        <v>666.0</v>
      </c>
      <c r="B668" s="132">
        <v>45841.0</v>
      </c>
      <c r="C668" s="127" t="s">
        <v>893</v>
      </c>
      <c r="D668" s="127" t="s">
        <v>901</v>
      </c>
      <c r="E668" s="131">
        <v>498297.28</v>
      </c>
      <c r="F668" s="128">
        <v>15.0</v>
      </c>
    </row>
    <row r="669">
      <c r="A669" s="129">
        <v>667.0</v>
      </c>
      <c r="B669" s="130">
        <v>45859.0</v>
      </c>
      <c r="C669" s="127" t="s">
        <v>893</v>
      </c>
      <c r="D669" s="127" t="s">
        <v>902</v>
      </c>
      <c r="E669" s="131">
        <v>184777.17</v>
      </c>
      <c r="F669" s="128">
        <v>0.0</v>
      </c>
    </row>
    <row r="670">
      <c r="A670" s="129">
        <v>668.0</v>
      </c>
      <c r="B670" s="132">
        <v>45842.0</v>
      </c>
      <c r="C670" s="127" t="s">
        <v>903</v>
      </c>
      <c r="D670" s="127" t="s">
        <v>904</v>
      </c>
      <c r="E670" s="131">
        <v>192300.0</v>
      </c>
      <c r="F670" s="128">
        <v>27.0</v>
      </c>
    </row>
    <row r="671">
      <c r="A671" s="129">
        <v>669.0</v>
      </c>
      <c r="B671" s="132">
        <v>45842.0</v>
      </c>
      <c r="C671" s="127" t="s">
        <v>903</v>
      </c>
      <c r="D671" s="127" t="s">
        <v>905</v>
      </c>
      <c r="E671" s="131">
        <v>110200.36</v>
      </c>
      <c r="F671" s="128">
        <v>14.0</v>
      </c>
    </row>
    <row r="672">
      <c r="A672" s="129">
        <v>670.0</v>
      </c>
      <c r="B672" s="133">
        <v>45782.0</v>
      </c>
      <c r="C672" s="127" t="s">
        <v>906</v>
      </c>
      <c r="D672" s="127">
        <v>233.0</v>
      </c>
      <c r="E672" s="131">
        <v>204500.0</v>
      </c>
      <c r="F672" s="128">
        <v>67.0</v>
      </c>
    </row>
    <row r="673">
      <c r="A673" s="129">
        <v>671.0</v>
      </c>
      <c r="B673" s="130">
        <v>45743.0</v>
      </c>
      <c r="C673" s="127" t="s">
        <v>906</v>
      </c>
      <c r="D673" s="127" t="s">
        <v>621</v>
      </c>
      <c r="E673" s="131">
        <v>25700.0</v>
      </c>
      <c r="F673" s="128">
        <v>106.0</v>
      </c>
    </row>
    <row r="674">
      <c r="A674" s="129">
        <v>672.0</v>
      </c>
      <c r="B674" s="130">
        <v>45701.0</v>
      </c>
      <c r="C674" s="127" t="s">
        <v>906</v>
      </c>
      <c r="D674" s="127" t="s">
        <v>907</v>
      </c>
      <c r="E674" s="131">
        <v>51400.01</v>
      </c>
      <c r="F674" s="128">
        <v>148.0</v>
      </c>
    </row>
    <row r="675">
      <c r="A675" s="129">
        <v>673.0</v>
      </c>
      <c r="B675" s="132">
        <v>45633.0</v>
      </c>
      <c r="C675" s="127" t="s">
        <v>908</v>
      </c>
      <c r="D675" s="127" t="s">
        <v>909</v>
      </c>
      <c r="E675" s="131">
        <v>52500.0</v>
      </c>
      <c r="F675" s="128">
        <v>223.0</v>
      </c>
    </row>
    <row r="676">
      <c r="A676" s="129">
        <v>674.0</v>
      </c>
      <c r="B676" s="130">
        <v>45848.0</v>
      </c>
      <c r="C676" s="127" t="s">
        <v>908</v>
      </c>
      <c r="D676" s="127" t="s">
        <v>910</v>
      </c>
      <c r="E676" s="131">
        <v>52500.0</v>
      </c>
      <c r="F676" s="128">
        <v>8.0</v>
      </c>
    </row>
    <row r="677">
      <c r="A677" s="129">
        <v>675.0</v>
      </c>
      <c r="B677" s="130">
        <v>45868.0</v>
      </c>
      <c r="C677" s="127" t="s">
        <v>908</v>
      </c>
      <c r="D677" s="127" t="s">
        <v>911</v>
      </c>
      <c r="E677" s="131">
        <v>33926.26</v>
      </c>
      <c r="F677" s="128">
        <v>0.0</v>
      </c>
    </row>
    <row r="678">
      <c r="A678" s="129">
        <v>676.0</v>
      </c>
      <c r="B678" s="130">
        <v>45675.0</v>
      </c>
      <c r="C678" s="127" t="s">
        <v>912</v>
      </c>
      <c r="D678" s="127" t="s">
        <v>913</v>
      </c>
      <c r="E678" s="131">
        <v>53700.0</v>
      </c>
      <c r="F678" s="128">
        <v>188.0</v>
      </c>
    </row>
    <row r="679">
      <c r="A679" s="129">
        <v>677.0</v>
      </c>
      <c r="B679" s="130">
        <v>45679.0</v>
      </c>
      <c r="C679" s="127" t="s">
        <v>912</v>
      </c>
      <c r="D679" s="127" t="s">
        <v>865</v>
      </c>
      <c r="E679" s="131">
        <v>54000.0</v>
      </c>
      <c r="F679" s="128">
        <v>177.0</v>
      </c>
    </row>
    <row r="680">
      <c r="A680" s="129">
        <v>678.0</v>
      </c>
      <c r="B680" s="130">
        <v>45684.0</v>
      </c>
      <c r="C680" s="127" t="s">
        <v>912</v>
      </c>
      <c r="D680" s="127" t="s">
        <v>914</v>
      </c>
      <c r="E680" s="131">
        <v>50050.0</v>
      </c>
      <c r="F680" s="128">
        <v>172.0</v>
      </c>
    </row>
    <row r="681">
      <c r="A681" s="129">
        <v>679.0</v>
      </c>
      <c r="B681" s="130">
        <v>45687.0</v>
      </c>
      <c r="C681" s="127" t="s">
        <v>912</v>
      </c>
      <c r="D681" s="127" t="s">
        <v>869</v>
      </c>
      <c r="E681" s="131">
        <v>54000.0</v>
      </c>
      <c r="F681" s="128">
        <v>169.0</v>
      </c>
    </row>
    <row r="682">
      <c r="A682" s="129">
        <v>680.0</v>
      </c>
      <c r="B682" s="132">
        <v>45568.0</v>
      </c>
      <c r="C682" s="127" t="s">
        <v>912</v>
      </c>
      <c r="D682" s="127" t="s">
        <v>915</v>
      </c>
      <c r="E682" s="131">
        <v>32000.6</v>
      </c>
      <c r="F682" s="128">
        <v>288.0</v>
      </c>
    </row>
    <row r="683">
      <c r="A683" s="129">
        <v>681.0</v>
      </c>
      <c r="B683" s="132">
        <v>45631.0</v>
      </c>
      <c r="C683" s="127" t="s">
        <v>912</v>
      </c>
      <c r="D683" s="127" t="s">
        <v>916</v>
      </c>
      <c r="E683" s="131">
        <v>74200.0</v>
      </c>
      <c r="F683" s="128">
        <v>225.0</v>
      </c>
    </row>
    <row r="684">
      <c r="A684" s="129">
        <v>682.0</v>
      </c>
      <c r="B684" s="130">
        <v>45652.0</v>
      </c>
      <c r="C684" s="127" t="s">
        <v>912</v>
      </c>
      <c r="D684" s="127" t="s">
        <v>917</v>
      </c>
      <c r="E684" s="131">
        <v>45500.0</v>
      </c>
      <c r="F684" s="128">
        <v>204.0</v>
      </c>
    </row>
    <row r="685">
      <c r="A685" s="129">
        <v>683.0</v>
      </c>
      <c r="B685" s="130">
        <v>45657.0</v>
      </c>
      <c r="C685" s="127" t="s">
        <v>912</v>
      </c>
      <c r="D685" s="127" t="s">
        <v>918</v>
      </c>
      <c r="E685" s="131">
        <v>54000.0</v>
      </c>
      <c r="F685" s="128">
        <v>199.0</v>
      </c>
    </row>
    <row r="686">
      <c r="A686" s="129">
        <v>684.0</v>
      </c>
      <c r="B686" s="130">
        <v>45745.0</v>
      </c>
      <c r="C686" s="127" t="s">
        <v>912</v>
      </c>
      <c r="D686" s="127" t="s">
        <v>919</v>
      </c>
      <c r="E686" s="131">
        <v>119025.94</v>
      </c>
      <c r="F686" s="128">
        <v>111.0</v>
      </c>
    </row>
    <row r="687">
      <c r="A687" s="129">
        <v>685.0</v>
      </c>
      <c r="B687" s="132">
        <v>45756.0</v>
      </c>
      <c r="C687" s="127" t="s">
        <v>912</v>
      </c>
      <c r="D687" s="127" t="s">
        <v>920</v>
      </c>
      <c r="E687" s="131">
        <v>46700.0</v>
      </c>
      <c r="F687" s="128">
        <v>100.0</v>
      </c>
    </row>
    <row r="688">
      <c r="A688" s="129">
        <v>686.0</v>
      </c>
      <c r="B688" s="130">
        <v>45818.0</v>
      </c>
      <c r="C688" s="127" t="s">
        <v>912</v>
      </c>
      <c r="D688" s="127" t="s">
        <v>921</v>
      </c>
      <c r="E688" s="131">
        <v>55000.18</v>
      </c>
      <c r="F688" s="128">
        <v>38.0</v>
      </c>
    </row>
    <row r="689">
      <c r="A689" s="129">
        <v>687.0</v>
      </c>
      <c r="B689" s="130">
        <v>45822.0</v>
      </c>
      <c r="C689" s="127" t="s">
        <v>912</v>
      </c>
      <c r="D689" s="127" t="s">
        <v>922</v>
      </c>
      <c r="E689" s="131">
        <v>65222.62</v>
      </c>
      <c r="F689" s="128">
        <v>34.0</v>
      </c>
    </row>
    <row r="690">
      <c r="A690" s="129">
        <v>688.0</v>
      </c>
      <c r="B690" s="130">
        <v>45861.0</v>
      </c>
      <c r="C690" s="127" t="s">
        <v>912</v>
      </c>
      <c r="D690" s="127" t="s">
        <v>29</v>
      </c>
      <c r="E690" s="131">
        <v>7200.0</v>
      </c>
      <c r="F690" s="128">
        <v>0.0</v>
      </c>
    </row>
    <row r="691">
      <c r="A691" s="129">
        <v>689.0</v>
      </c>
      <c r="B691" s="130">
        <v>45861.0</v>
      </c>
      <c r="C691" s="127" t="s">
        <v>912</v>
      </c>
      <c r="D691" s="127" t="s">
        <v>923</v>
      </c>
      <c r="E691" s="131">
        <v>122179.62</v>
      </c>
      <c r="F691" s="128">
        <v>0.0</v>
      </c>
    </row>
    <row r="692">
      <c r="A692" s="129">
        <v>690.0</v>
      </c>
      <c r="B692" s="130">
        <v>45591.0</v>
      </c>
      <c r="C692" s="127" t="s">
        <v>924</v>
      </c>
      <c r="D692" s="127" t="s">
        <v>925</v>
      </c>
      <c r="E692" s="131">
        <v>375000.0</v>
      </c>
      <c r="F692" s="128">
        <v>265.0</v>
      </c>
    </row>
    <row r="693">
      <c r="A693" s="129">
        <v>691.0</v>
      </c>
      <c r="B693" s="130">
        <v>45772.0</v>
      </c>
      <c r="C693" s="127" t="s">
        <v>924</v>
      </c>
      <c r="D693" s="127" t="s">
        <v>926</v>
      </c>
      <c r="E693" s="131">
        <v>523804.5</v>
      </c>
      <c r="F693" s="128">
        <v>84.0</v>
      </c>
    </row>
    <row r="694">
      <c r="A694" s="129">
        <v>692.0</v>
      </c>
      <c r="B694" s="130">
        <v>45853.0</v>
      </c>
      <c r="C694" s="127" t="s">
        <v>927</v>
      </c>
      <c r="D694" s="127" t="s">
        <v>928</v>
      </c>
      <c r="E694" s="131">
        <v>46800.01</v>
      </c>
      <c r="F694" s="128">
        <v>3.0</v>
      </c>
    </row>
    <row r="695">
      <c r="A695" s="129">
        <v>693.0</v>
      </c>
      <c r="B695" s="130">
        <v>45765.0</v>
      </c>
      <c r="C695" s="127" t="s">
        <v>929</v>
      </c>
      <c r="D695" s="127" t="s">
        <v>930</v>
      </c>
      <c r="E695" s="131">
        <v>29200.0</v>
      </c>
      <c r="F695" s="128">
        <v>104.0</v>
      </c>
    </row>
    <row r="696">
      <c r="A696" s="129">
        <v>694.0</v>
      </c>
      <c r="B696" s="130">
        <v>45824.0</v>
      </c>
      <c r="C696" s="127" t="s">
        <v>929</v>
      </c>
      <c r="D696" s="127" t="s">
        <v>931</v>
      </c>
      <c r="E696" s="131">
        <v>24500.0</v>
      </c>
      <c r="F696" s="128">
        <v>25.0</v>
      </c>
    </row>
    <row r="697">
      <c r="A697" s="129">
        <v>695.0</v>
      </c>
      <c r="B697" s="130">
        <v>45595.0</v>
      </c>
      <c r="C697" s="127" t="s">
        <v>932</v>
      </c>
      <c r="D697" s="127" t="s">
        <v>933</v>
      </c>
      <c r="E697" s="131">
        <v>66500.01</v>
      </c>
      <c r="F697" s="128">
        <v>261.0</v>
      </c>
    </row>
    <row r="698">
      <c r="A698" s="129">
        <v>696.0</v>
      </c>
      <c r="B698" s="130">
        <v>45639.0</v>
      </c>
      <c r="C698" s="127" t="s">
        <v>932</v>
      </c>
      <c r="D698" s="127" t="s">
        <v>934</v>
      </c>
      <c r="E698" s="131">
        <v>73499.99</v>
      </c>
      <c r="F698" s="128">
        <v>217.0</v>
      </c>
    </row>
    <row r="699">
      <c r="A699" s="129">
        <v>697.0</v>
      </c>
      <c r="B699" s="132">
        <v>45719.0</v>
      </c>
      <c r="C699" s="127" t="s">
        <v>932</v>
      </c>
      <c r="D699" s="127" t="s">
        <v>935</v>
      </c>
      <c r="E699" s="131">
        <v>73499.99</v>
      </c>
      <c r="F699" s="128">
        <v>137.0</v>
      </c>
    </row>
    <row r="700">
      <c r="A700" s="129">
        <v>698.0</v>
      </c>
      <c r="B700" s="130">
        <v>45827.0</v>
      </c>
      <c r="C700" s="127" t="s">
        <v>932</v>
      </c>
      <c r="D700" s="127" t="s">
        <v>742</v>
      </c>
      <c r="E700" s="131">
        <v>62999.99</v>
      </c>
      <c r="F700" s="128">
        <v>29.0</v>
      </c>
    </row>
    <row r="701">
      <c r="A701" s="129">
        <v>699.0</v>
      </c>
      <c r="B701" s="130">
        <v>45565.0</v>
      </c>
      <c r="C701" s="127" t="s">
        <v>936</v>
      </c>
      <c r="D701" s="127" t="s">
        <v>937</v>
      </c>
      <c r="E701" s="131">
        <v>72101.33</v>
      </c>
      <c r="F701" s="128">
        <v>291.0</v>
      </c>
    </row>
    <row r="702">
      <c r="A702" s="129">
        <v>700.0</v>
      </c>
      <c r="B702" s="130">
        <v>45643.0</v>
      </c>
      <c r="C702" s="127" t="s">
        <v>936</v>
      </c>
      <c r="D702" s="127" t="s">
        <v>938</v>
      </c>
      <c r="E702" s="131">
        <v>115600.01</v>
      </c>
      <c r="F702" s="128">
        <v>213.0</v>
      </c>
    </row>
    <row r="703">
      <c r="A703" s="129">
        <v>701.0</v>
      </c>
      <c r="B703" s="130">
        <v>45497.0</v>
      </c>
      <c r="C703" s="127" t="s">
        <v>939</v>
      </c>
      <c r="D703" s="127" t="s">
        <v>940</v>
      </c>
      <c r="E703" s="131">
        <v>137200.1</v>
      </c>
      <c r="F703" s="128">
        <v>373.0</v>
      </c>
    </row>
    <row r="704">
      <c r="A704" s="129">
        <v>702.0</v>
      </c>
      <c r="B704" s="130">
        <v>45560.0</v>
      </c>
      <c r="C704" s="127" t="s">
        <v>939</v>
      </c>
      <c r="D704" s="127" t="s">
        <v>941</v>
      </c>
      <c r="E704" s="131">
        <v>111500.08</v>
      </c>
      <c r="F704" s="128">
        <v>296.0</v>
      </c>
    </row>
    <row r="705">
      <c r="A705" s="129">
        <v>703.0</v>
      </c>
      <c r="B705" s="132">
        <v>45811.0</v>
      </c>
      <c r="C705" s="127" t="s">
        <v>942</v>
      </c>
      <c r="D705" s="127" t="s">
        <v>660</v>
      </c>
      <c r="E705" s="131">
        <v>57300.0</v>
      </c>
      <c r="F705" s="128">
        <v>38.0</v>
      </c>
    </row>
    <row r="706">
      <c r="A706" s="129">
        <v>704.0</v>
      </c>
      <c r="B706" s="130">
        <v>45834.0</v>
      </c>
      <c r="C706" s="127" t="s">
        <v>942</v>
      </c>
      <c r="D706" s="127" t="s">
        <v>943</v>
      </c>
      <c r="E706" s="131">
        <v>24000.0</v>
      </c>
      <c r="F706" s="128">
        <v>15.0</v>
      </c>
    </row>
    <row r="707">
      <c r="A707" s="129">
        <v>705.0</v>
      </c>
      <c r="B707" s="132">
        <v>45840.0</v>
      </c>
      <c r="C707" s="127" t="s">
        <v>942</v>
      </c>
      <c r="D707" s="127" t="s">
        <v>944</v>
      </c>
      <c r="E707" s="131">
        <v>77000.0</v>
      </c>
      <c r="F707" s="128">
        <v>9.0</v>
      </c>
    </row>
    <row r="708">
      <c r="A708" s="129">
        <v>706.0</v>
      </c>
      <c r="B708" s="132">
        <v>45842.0</v>
      </c>
      <c r="C708" s="127" t="s">
        <v>945</v>
      </c>
      <c r="D708" s="127" t="s">
        <v>946</v>
      </c>
      <c r="E708" s="131">
        <v>154200.0</v>
      </c>
      <c r="F708" s="128">
        <v>27.0</v>
      </c>
    </row>
    <row r="709">
      <c r="A709" s="129">
        <v>707.0</v>
      </c>
      <c r="B709" s="132">
        <v>45842.0</v>
      </c>
      <c r="C709" s="127" t="s">
        <v>945</v>
      </c>
      <c r="D709" s="127" t="s">
        <v>947</v>
      </c>
      <c r="E709" s="131">
        <v>69000.0</v>
      </c>
      <c r="F709" s="128">
        <v>27.0</v>
      </c>
    </row>
    <row r="710">
      <c r="A710" s="129">
        <v>708.0</v>
      </c>
      <c r="B710" s="130">
        <v>45681.0</v>
      </c>
      <c r="C710" s="127" t="s">
        <v>948</v>
      </c>
      <c r="D710" s="127" t="s">
        <v>949</v>
      </c>
      <c r="E710" s="131">
        <v>192800.01</v>
      </c>
      <c r="F710" s="128">
        <v>175.0</v>
      </c>
    </row>
    <row r="711">
      <c r="A711" s="129">
        <v>709.0</v>
      </c>
      <c r="B711" s="130">
        <v>45645.0</v>
      </c>
      <c r="C711" s="127" t="s">
        <v>948</v>
      </c>
      <c r="D711" s="127" t="s">
        <v>248</v>
      </c>
      <c r="E711" s="131">
        <v>96900.01</v>
      </c>
      <c r="F711" s="128">
        <v>211.0</v>
      </c>
    </row>
    <row r="712">
      <c r="A712" s="129">
        <v>710.0</v>
      </c>
      <c r="B712" s="130">
        <v>45701.0</v>
      </c>
      <c r="C712" s="127" t="s">
        <v>948</v>
      </c>
      <c r="D712" s="127" t="s">
        <v>950</v>
      </c>
      <c r="E712" s="131">
        <v>138900.01</v>
      </c>
      <c r="F712" s="128">
        <v>155.0</v>
      </c>
    </row>
    <row r="713">
      <c r="A713" s="129">
        <v>711.0</v>
      </c>
      <c r="B713" s="130">
        <v>45761.0</v>
      </c>
      <c r="C713" s="127" t="s">
        <v>948</v>
      </c>
      <c r="D713" s="127" t="s">
        <v>951</v>
      </c>
      <c r="E713" s="131">
        <v>102737.56</v>
      </c>
      <c r="F713" s="128">
        <v>95.0</v>
      </c>
    </row>
    <row r="714">
      <c r="A714" s="129">
        <v>712.0</v>
      </c>
      <c r="B714" s="132">
        <v>45810.0</v>
      </c>
      <c r="C714" s="127" t="s">
        <v>948</v>
      </c>
      <c r="D714" s="127" t="s">
        <v>952</v>
      </c>
      <c r="E714" s="131">
        <v>201000.0</v>
      </c>
      <c r="F714" s="128">
        <v>46.0</v>
      </c>
    </row>
    <row r="715">
      <c r="A715" s="129">
        <v>713.0</v>
      </c>
      <c r="B715" s="130">
        <v>45866.0</v>
      </c>
      <c r="C715" s="127" t="s">
        <v>948</v>
      </c>
      <c r="D715" s="127" t="s">
        <v>748</v>
      </c>
      <c r="E715" s="131">
        <v>21000.0</v>
      </c>
      <c r="F715" s="128">
        <v>0.0</v>
      </c>
    </row>
    <row r="716">
      <c r="A716" s="129">
        <v>714.0</v>
      </c>
      <c r="B716" s="130">
        <v>45866.0</v>
      </c>
      <c r="C716" s="127" t="s">
        <v>948</v>
      </c>
      <c r="D716" s="127" t="s">
        <v>953</v>
      </c>
      <c r="E716" s="131">
        <v>201722.62</v>
      </c>
      <c r="F716" s="128">
        <v>0.0</v>
      </c>
    </row>
    <row r="717">
      <c r="A717" s="129">
        <v>715.0</v>
      </c>
      <c r="B717" s="130">
        <v>45675.0</v>
      </c>
      <c r="C717" s="127" t="s">
        <v>954</v>
      </c>
      <c r="D717" s="127" t="s">
        <v>955</v>
      </c>
      <c r="E717" s="131">
        <v>60700.0</v>
      </c>
      <c r="F717" s="128">
        <v>181.0</v>
      </c>
    </row>
    <row r="718">
      <c r="A718" s="129">
        <v>716.0</v>
      </c>
      <c r="B718" s="130">
        <v>45687.0</v>
      </c>
      <c r="C718" s="127" t="s">
        <v>954</v>
      </c>
      <c r="D718" s="127" t="s">
        <v>878</v>
      </c>
      <c r="E718" s="131">
        <v>118950.01</v>
      </c>
      <c r="F718" s="128">
        <v>169.0</v>
      </c>
    </row>
    <row r="719">
      <c r="A719" s="129">
        <v>717.0</v>
      </c>
      <c r="B719" s="134">
        <v>45792.0</v>
      </c>
      <c r="C719" s="127" t="s">
        <v>954</v>
      </c>
      <c r="D719" s="127" t="s">
        <v>956</v>
      </c>
      <c r="E719" s="131">
        <v>46800.01</v>
      </c>
      <c r="F719" s="128">
        <v>64.0</v>
      </c>
    </row>
    <row r="720">
      <c r="A720" s="129">
        <v>718.0</v>
      </c>
      <c r="B720" s="134">
        <v>45798.0</v>
      </c>
      <c r="C720" s="127" t="s">
        <v>954</v>
      </c>
      <c r="D720" s="127" t="s">
        <v>957</v>
      </c>
      <c r="E720" s="131">
        <v>5300.02</v>
      </c>
      <c r="F720" s="128">
        <v>58.0</v>
      </c>
    </row>
    <row r="721">
      <c r="A721" s="129">
        <v>719.0</v>
      </c>
      <c r="B721" s="130">
        <v>45687.0</v>
      </c>
      <c r="C721" s="127" t="s">
        <v>958</v>
      </c>
      <c r="D721" s="127" t="s">
        <v>959</v>
      </c>
      <c r="E721" s="131">
        <v>50725.01</v>
      </c>
      <c r="F721" s="128">
        <v>169.0</v>
      </c>
    </row>
    <row r="722">
      <c r="A722" s="129">
        <v>720.0</v>
      </c>
      <c r="B722" s="130">
        <v>45743.0</v>
      </c>
      <c r="C722" s="127" t="s">
        <v>958</v>
      </c>
      <c r="D722" s="127" t="s">
        <v>960</v>
      </c>
      <c r="E722" s="131">
        <v>25700.0</v>
      </c>
      <c r="F722" s="128">
        <v>113.0</v>
      </c>
    </row>
    <row r="723">
      <c r="A723" s="129">
        <v>721.0</v>
      </c>
      <c r="B723" s="132">
        <v>45755.0</v>
      </c>
      <c r="C723" s="127" t="s">
        <v>958</v>
      </c>
      <c r="D723" s="127" t="s">
        <v>961</v>
      </c>
      <c r="E723" s="131">
        <v>46900.01</v>
      </c>
      <c r="F723" s="128">
        <v>101.0</v>
      </c>
    </row>
    <row r="724">
      <c r="A724" s="129">
        <v>722.0</v>
      </c>
      <c r="B724" s="132">
        <v>45755.0</v>
      </c>
      <c r="C724" s="127" t="s">
        <v>958</v>
      </c>
      <c r="D724" s="127" t="s">
        <v>962</v>
      </c>
      <c r="E724" s="131">
        <v>56800.0</v>
      </c>
      <c r="F724" s="128">
        <v>101.0</v>
      </c>
    </row>
    <row r="725">
      <c r="A725" s="129">
        <v>723.0</v>
      </c>
      <c r="B725" s="130">
        <v>45770.0</v>
      </c>
      <c r="C725" s="127" t="s">
        <v>958</v>
      </c>
      <c r="D725" s="127" t="s">
        <v>963</v>
      </c>
      <c r="E725" s="131">
        <v>146100.0</v>
      </c>
      <c r="F725" s="128">
        <v>86.0</v>
      </c>
    </row>
    <row r="726">
      <c r="A726" s="129">
        <v>724.0</v>
      </c>
      <c r="B726" s="130">
        <v>45686.0</v>
      </c>
      <c r="C726" s="127" t="s">
        <v>964</v>
      </c>
      <c r="D726" s="127" t="s">
        <v>344</v>
      </c>
      <c r="E726" s="131">
        <v>31500.0</v>
      </c>
      <c r="F726" s="128">
        <v>177.0</v>
      </c>
    </row>
    <row r="727">
      <c r="A727" s="129">
        <v>725.0</v>
      </c>
      <c r="B727" s="130">
        <v>45853.0</v>
      </c>
      <c r="C727" s="127" t="s">
        <v>965</v>
      </c>
      <c r="D727" s="127" t="s">
        <v>966</v>
      </c>
      <c r="E727" s="131">
        <v>73623.11</v>
      </c>
      <c r="F727" s="128">
        <v>10.0</v>
      </c>
    </row>
    <row r="728">
      <c r="A728" s="129">
        <v>726.0</v>
      </c>
      <c r="B728" s="130">
        <v>45866.0</v>
      </c>
      <c r="C728" s="127" t="s">
        <v>965</v>
      </c>
      <c r="D728" s="127" t="s">
        <v>967</v>
      </c>
      <c r="E728" s="131">
        <v>203293.01</v>
      </c>
      <c r="F728" s="128">
        <v>0.0</v>
      </c>
    </row>
    <row r="729">
      <c r="A729" s="129">
        <v>727.0</v>
      </c>
      <c r="B729" s="132">
        <v>45692.0</v>
      </c>
      <c r="C729" s="127" t="s">
        <v>968</v>
      </c>
      <c r="D729" s="127" t="s">
        <v>969</v>
      </c>
      <c r="E729" s="131">
        <v>42000.0</v>
      </c>
      <c r="F729" s="128">
        <v>164.0</v>
      </c>
    </row>
    <row r="730">
      <c r="A730" s="129">
        <v>728.0</v>
      </c>
      <c r="B730" s="132">
        <v>45840.0</v>
      </c>
      <c r="C730" s="127" t="s">
        <v>968</v>
      </c>
      <c r="D730" s="127" t="s">
        <v>970</v>
      </c>
      <c r="E730" s="131">
        <v>35243.75</v>
      </c>
      <c r="F730" s="128">
        <v>16.0</v>
      </c>
    </row>
    <row r="731">
      <c r="A731" s="129">
        <v>729.0</v>
      </c>
      <c r="B731" s="130">
        <v>45618.0</v>
      </c>
      <c r="C731" s="127" t="s">
        <v>971</v>
      </c>
      <c r="D731" s="127" t="s">
        <v>972</v>
      </c>
      <c r="E731" s="131">
        <v>16360.47</v>
      </c>
      <c r="F731" s="128">
        <v>238.0</v>
      </c>
    </row>
    <row r="732">
      <c r="A732" s="129">
        <v>730.0</v>
      </c>
      <c r="B732" s="130">
        <v>45824.0</v>
      </c>
      <c r="C732" s="127" t="s">
        <v>973</v>
      </c>
      <c r="D732" s="127" t="s">
        <v>922</v>
      </c>
      <c r="E732" s="131">
        <v>180000.0</v>
      </c>
      <c r="F732" s="128">
        <v>32.0</v>
      </c>
    </row>
    <row r="733">
      <c r="A733" s="129">
        <v>731.0</v>
      </c>
      <c r="B733" s="130">
        <v>45824.0</v>
      </c>
      <c r="C733" s="127" t="s">
        <v>973</v>
      </c>
      <c r="D733" s="127" t="s">
        <v>974</v>
      </c>
      <c r="E733" s="131">
        <v>562944.93</v>
      </c>
      <c r="F733" s="128">
        <v>32.0</v>
      </c>
    </row>
    <row r="734">
      <c r="A734" s="129">
        <v>732.0</v>
      </c>
      <c r="B734" s="132">
        <v>45845.0</v>
      </c>
      <c r="C734" s="127" t="s">
        <v>973</v>
      </c>
      <c r="D734" s="127" t="s">
        <v>975</v>
      </c>
      <c r="E734" s="131">
        <v>21000.0</v>
      </c>
      <c r="F734" s="128">
        <v>11.0</v>
      </c>
    </row>
    <row r="735">
      <c r="A735" s="129">
        <v>733.0</v>
      </c>
      <c r="B735" s="132">
        <v>45845.0</v>
      </c>
      <c r="C735" s="127" t="s">
        <v>973</v>
      </c>
      <c r="D735" s="127" t="s">
        <v>756</v>
      </c>
      <c r="E735" s="131">
        <v>126000.01</v>
      </c>
      <c r="F735" s="128">
        <v>11.0</v>
      </c>
    </row>
    <row r="736">
      <c r="A736" s="129">
        <v>734.0</v>
      </c>
      <c r="B736" s="130">
        <v>45636.0</v>
      </c>
      <c r="C736" s="127" t="s">
        <v>976</v>
      </c>
      <c r="D736" s="127" t="s">
        <v>977</v>
      </c>
      <c r="E736" s="131">
        <v>270949.98</v>
      </c>
      <c r="F736" s="128">
        <v>220.0</v>
      </c>
    </row>
    <row r="737">
      <c r="A737" s="129">
        <v>735.0</v>
      </c>
      <c r="B737" s="132">
        <v>45695.0</v>
      </c>
      <c r="C737" s="127" t="s">
        <v>976</v>
      </c>
      <c r="D737" s="127" t="s">
        <v>978</v>
      </c>
      <c r="E737" s="131">
        <v>187900.03</v>
      </c>
      <c r="F737" s="128">
        <v>161.0</v>
      </c>
    </row>
    <row r="738">
      <c r="A738" s="129">
        <v>736.0</v>
      </c>
      <c r="B738" s="134">
        <v>45792.0</v>
      </c>
      <c r="C738" s="127" t="s">
        <v>976</v>
      </c>
      <c r="D738" s="127" t="s">
        <v>979</v>
      </c>
      <c r="E738" s="131">
        <v>124900.01</v>
      </c>
      <c r="F738" s="128">
        <v>64.0</v>
      </c>
    </row>
    <row r="739">
      <c r="A739" s="129">
        <v>737.0</v>
      </c>
      <c r="B739" s="134">
        <v>45799.0</v>
      </c>
      <c r="C739" s="127" t="s">
        <v>976</v>
      </c>
      <c r="D739" s="127" t="s">
        <v>980</v>
      </c>
      <c r="E739" s="131">
        <v>41058.12</v>
      </c>
      <c r="F739" s="128">
        <v>57.0</v>
      </c>
    </row>
    <row r="740">
      <c r="A740" s="129">
        <v>738.0</v>
      </c>
      <c r="B740" s="132">
        <v>45840.0</v>
      </c>
      <c r="C740" s="127" t="s">
        <v>976</v>
      </c>
      <c r="D740" s="127" t="s">
        <v>981</v>
      </c>
      <c r="E740" s="131">
        <v>50400.0</v>
      </c>
      <c r="F740" s="128">
        <v>16.0</v>
      </c>
    </row>
    <row r="741">
      <c r="A741" s="129">
        <v>739.0</v>
      </c>
      <c r="B741" s="130">
        <v>45848.0</v>
      </c>
      <c r="C741" s="127" t="s">
        <v>976</v>
      </c>
      <c r="D741" s="127" t="s">
        <v>605</v>
      </c>
      <c r="E741" s="131">
        <v>82900.01</v>
      </c>
      <c r="F741" s="128">
        <v>8.0</v>
      </c>
    </row>
    <row r="742">
      <c r="A742" s="129">
        <v>740.0</v>
      </c>
      <c r="B742" s="130">
        <v>45853.0</v>
      </c>
      <c r="C742" s="127" t="s">
        <v>976</v>
      </c>
      <c r="D742" s="127" t="s">
        <v>982</v>
      </c>
      <c r="E742" s="131">
        <v>24750.0</v>
      </c>
      <c r="F742" s="128">
        <v>3.0</v>
      </c>
    </row>
    <row r="743">
      <c r="A743" s="129">
        <v>741.0</v>
      </c>
      <c r="B743" s="130">
        <v>45595.0</v>
      </c>
      <c r="C743" s="127" t="s">
        <v>983</v>
      </c>
      <c r="D743" s="127" t="s">
        <v>984</v>
      </c>
      <c r="E743" s="131">
        <v>61200.01</v>
      </c>
      <c r="F743" s="128">
        <v>261.0</v>
      </c>
    </row>
    <row r="744">
      <c r="A744" s="129">
        <v>742.0</v>
      </c>
      <c r="B744" s="130">
        <v>45647.0</v>
      </c>
      <c r="C744" s="127" t="s">
        <v>983</v>
      </c>
      <c r="D744" s="127" t="s">
        <v>985</v>
      </c>
      <c r="E744" s="131">
        <v>102900.02</v>
      </c>
      <c r="F744" s="128">
        <v>209.0</v>
      </c>
    </row>
    <row r="745">
      <c r="A745" s="129">
        <v>743.0</v>
      </c>
      <c r="B745" s="132">
        <v>45840.0</v>
      </c>
      <c r="C745" s="127" t="s">
        <v>983</v>
      </c>
      <c r="D745" s="127" t="s">
        <v>986</v>
      </c>
      <c r="E745" s="131">
        <v>50400.0</v>
      </c>
      <c r="F745" s="128">
        <v>16.0</v>
      </c>
    </row>
    <row r="746">
      <c r="A746" s="129">
        <v>744.0</v>
      </c>
      <c r="B746" s="130">
        <v>45657.0</v>
      </c>
      <c r="C746" s="127" t="s">
        <v>987</v>
      </c>
      <c r="D746" s="127" t="s">
        <v>988</v>
      </c>
      <c r="E746" s="131">
        <v>171600.0</v>
      </c>
      <c r="F746" s="128">
        <v>199.0</v>
      </c>
    </row>
    <row r="747">
      <c r="A747" s="129">
        <v>745.0</v>
      </c>
      <c r="B747" s="132">
        <v>45813.0</v>
      </c>
      <c r="C747" s="127" t="s">
        <v>987</v>
      </c>
      <c r="D747" s="127" t="s">
        <v>989</v>
      </c>
      <c r="E747" s="131">
        <v>50400.0</v>
      </c>
      <c r="F747" s="128">
        <v>43.0</v>
      </c>
    </row>
    <row r="748">
      <c r="A748" s="129">
        <v>746.0</v>
      </c>
      <c r="B748" s="132">
        <v>45840.0</v>
      </c>
      <c r="C748" s="127" t="s">
        <v>987</v>
      </c>
      <c r="D748" s="127" t="s">
        <v>990</v>
      </c>
      <c r="E748" s="131">
        <v>304000.01</v>
      </c>
      <c r="F748" s="128">
        <v>16.0</v>
      </c>
    </row>
    <row r="749">
      <c r="A749" s="129">
        <v>747.0</v>
      </c>
      <c r="B749" s="130">
        <v>45548.0</v>
      </c>
      <c r="C749" s="127" t="s">
        <v>991</v>
      </c>
      <c r="D749" s="127" t="s">
        <v>992</v>
      </c>
      <c r="E749" s="131">
        <v>253137.87</v>
      </c>
      <c r="F749" s="128">
        <v>308.0</v>
      </c>
    </row>
    <row r="750">
      <c r="A750" s="129">
        <v>748.0</v>
      </c>
      <c r="B750" s="130">
        <v>45582.0</v>
      </c>
      <c r="C750" s="127" t="s">
        <v>991</v>
      </c>
      <c r="D750" s="127" t="s">
        <v>993</v>
      </c>
      <c r="E750" s="131">
        <v>119000.01</v>
      </c>
      <c r="F750" s="128">
        <v>274.0</v>
      </c>
    </row>
    <row r="751">
      <c r="A751" s="129">
        <v>749.0</v>
      </c>
      <c r="B751" s="130">
        <v>45590.0</v>
      </c>
      <c r="C751" s="127" t="s">
        <v>991</v>
      </c>
      <c r="D751" s="127" t="s">
        <v>994</v>
      </c>
      <c r="E751" s="131">
        <v>26401.14</v>
      </c>
      <c r="F751" s="128">
        <v>266.0</v>
      </c>
    </row>
    <row r="752">
      <c r="A752" s="129">
        <v>750.0</v>
      </c>
      <c r="B752" s="130">
        <v>45596.0</v>
      </c>
      <c r="C752" s="127" t="s">
        <v>991</v>
      </c>
      <c r="D752" s="127" t="s">
        <v>995</v>
      </c>
      <c r="E752" s="131">
        <v>168600.05</v>
      </c>
      <c r="F752" s="128">
        <v>260.0</v>
      </c>
    </row>
    <row r="753">
      <c r="A753" s="129">
        <v>751.0</v>
      </c>
      <c r="B753" s="130">
        <v>45611.0</v>
      </c>
      <c r="C753" s="127" t="s">
        <v>991</v>
      </c>
      <c r="D753" s="127" t="s">
        <v>996</v>
      </c>
      <c r="E753" s="131">
        <v>79200.0</v>
      </c>
      <c r="F753" s="128">
        <v>259.0</v>
      </c>
    </row>
    <row r="754">
      <c r="A754" s="129">
        <v>752.0</v>
      </c>
      <c r="B754" s="130">
        <v>45624.0</v>
      </c>
      <c r="C754" s="127" t="s">
        <v>991</v>
      </c>
      <c r="D754" s="127" t="s">
        <v>997</v>
      </c>
      <c r="E754" s="131">
        <v>186699.95</v>
      </c>
      <c r="F754" s="128">
        <v>232.0</v>
      </c>
    </row>
    <row r="755">
      <c r="A755" s="129">
        <v>753.0</v>
      </c>
      <c r="B755" s="130">
        <v>45640.0</v>
      </c>
      <c r="C755" s="127" t="s">
        <v>991</v>
      </c>
      <c r="D755" s="127" t="s">
        <v>998</v>
      </c>
      <c r="E755" s="131">
        <v>145700.0</v>
      </c>
      <c r="F755" s="128">
        <v>209.0</v>
      </c>
    </row>
    <row r="756">
      <c r="A756" s="129">
        <v>754.0</v>
      </c>
      <c r="B756" s="132">
        <v>45749.0</v>
      </c>
      <c r="C756" s="127" t="s">
        <v>991</v>
      </c>
      <c r="D756" s="127" t="s">
        <v>999</v>
      </c>
      <c r="E756" s="131">
        <v>85200.0</v>
      </c>
      <c r="F756" s="128">
        <v>107.0</v>
      </c>
    </row>
    <row r="757">
      <c r="A757" s="129">
        <v>755.0</v>
      </c>
      <c r="B757" s="130">
        <v>45707.0</v>
      </c>
      <c r="C757" s="127" t="s">
        <v>991</v>
      </c>
      <c r="D757" s="127" t="s">
        <v>1000</v>
      </c>
      <c r="E757" s="131">
        <v>91624.99</v>
      </c>
      <c r="F757" s="128">
        <v>149.0</v>
      </c>
    </row>
    <row r="758">
      <c r="A758" s="129">
        <v>756.0</v>
      </c>
      <c r="B758" s="133">
        <v>45779.0</v>
      </c>
      <c r="C758" s="127" t="s">
        <v>991</v>
      </c>
      <c r="D758" s="127" t="s">
        <v>1001</v>
      </c>
      <c r="E758" s="131">
        <v>130900.0</v>
      </c>
      <c r="F758" s="128">
        <v>77.0</v>
      </c>
    </row>
    <row r="759">
      <c r="A759" s="129">
        <v>757.0</v>
      </c>
      <c r="B759" s="133">
        <v>45779.0</v>
      </c>
      <c r="C759" s="127" t="s">
        <v>991</v>
      </c>
      <c r="D759" s="127" t="s">
        <v>1002</v>
      </c>
      <c r="E759" s="131">
        <v>30000.0</v>
      </c>
      <c r="F759" s="128">
        <v>77.0</v>
      </c>
    </row>
    <row r="760">
      <c r="A760" s="129">
        <v>758.0</v>
      </c>
      <c r="B760" s="134">
        <v>45801.0</v>
      </c>
      <c r="C760" s="127" t="s">
        <v>991</v>
      </c>
      <c r="D760" s="127" t="s">
        <v>1003</v>
      </c>
      <c r="E760" s="131">
        <v>132000.01</v>
      </c>
      <c r="F760" s="128">
        <v>55.0</v>
      </c>
    </row>
    <row r="761">
      <c r="A761" s="129">
        <v>759.0</v>
      </c>
      <c r="B761" s="130">
        <v>45828.0</v>
      </c>
      <c r="C761" s="127" t="s">
        <v>991</v>
      </c>
      <c r="D761" s="127" t="s">
        <v>553</v>
      </c>
      <c r="E761" s="131">
        <v>174500.03</v>
      </c>
      <c r="F761" s="128">
        <v>28.0</v>
      </c>
    </row>
    <row r="762">
      <c r="A762" s="129">
        <v>760.0</v>
      </c>
      <c r="B762" s="132">
        <v>45659.0</v>
      </c>
      <c r="C762" s="127" t="s">
        <v>1004</v>
      </c>
      <c r="D762" s="127" t="s">
        <v>1005</v>
      </c>
      <c r="E762" s="131">
        <v>140400.01</v>
      </c>
      <c r="F762" s="128">
        <v>197.0</v>
      </c>
    </row>
    <row r="763">
      <c r="A763" s="129">
        <v>761.0</v>
      </c>
      <c r="B763" s="130">
        <v>45548.0</v>
      </c>
      <c r="C763" s="127" t="s">
        <v>1004</v>
      </c>
      <c r="D763" s="127" t="s">
        <v>614</v>
      </c>
      <c r="E763" s="131">
        <v>192984.0</v>
      </c>
      <c r="F763" s="128">
        <v>308.0</v>
      </c>
    </row>
    <row r="764">
      <c r="A764" s="129">
        <v>762.0</v>
      </c>
      <c r="B764" s="130">
        <v>45684.0</v>
      </c>
      <c r="C764" s="127" t="s">
        <v>1004</v>
      </c>
      <c r="D764" s="127" t="s">
        <v>1006</v>
      </c>
      <c r="E764" s="131">
        <v>98599.99</v>
      </c>
      <c r="F764" s="128">
        <v>172.0</v>
      </c>
    </row>
    <row r="765">
      <c r="A765" s="129">
        <v>763.0</v>
      </c>
      <c r="B765" s="130">
        <v>45687.0</v>
      </c>
      <c r="C765" s="127" t="s">
        <v>1004</v>
      </c>
      <c r="D765" s="127" t="s">
        <v>1007</v>
      </c>
      <c r="E765" s="131">
        <v>86400.01</v>
      </c>
      <c r="F765" s="128">
        <v>169.0</v>
      </c>
    </row>
    <row r="766">
      <c r="A766" s="129">
        <v>764.0</v>
      </c>
      <c r="B766" s="130">
        <v>45583.0</v>
      </c>
      <c r="C766" s="127" t="s">
        <v>1004</v>
      </c>
      <c r="D766" s="127" t="s">
        <v>1008</v>
      </c>
      <c r="E766" s="131">
        <v>132000.02</v>
      </c>
      <c r="F766" s="128">
        <v>273.0</v>
      </c>
    </row>
    <row r="767">
      <c r="A767" s="129">
        <v>765.0</v>
      </c>
      <c r="B767" s="130">
        <v>45590.0</v>
      </c>
      <c r="C767" s="127" t="s">
        <v>1004</v>
      </c>
      <c r="D767" s="127" t="s">
        <v>1009</v>
      </c>
      <c r="E767" s="131">
        <v>271399.46</v>
      </c>
      <c r="F767" s="128">
        <v>266.0</v>
      </c>
    </row>
    <row r="768">
      <c r="A768" s="129">
        <v>766.0</v>
      </c>
      <c r="B768" s="130">
        <v>45699.0</v>
      </c>
      <c r="C768" s="127" t="s">
        <v>1004</v>
      </c>
      <c r="D768" s="127" t="s">
        <v>1010</v>
      </c>
      <c r="E768" s="131">
        <v>91000.0</v>
      </c>
      <c r="F768" s="128">
        <v>157.0</v>
      </c>
    </row>
    <row r="769">
      <c r="A769" s="129">
        <v>767.0</v>
      </c>
      <c r="B769" s="132">
        <v>45752.0</v>
      </c>
      <c r="C769" s="127" t="s">
        <v>1004</v>
      </c>
      <c r="D769" s="127" t="s">
        <v>1011</v>
      </c>
      <c r="E769" s="131">
        <v>99316.96</v>
      </c>
      <c r="F769" s="128">
        <v>104.0</v>
      </c>
    </row>
    <row r="770">
      <c r="A770" s="129">
        <v>768.0</v>
      </c>
      <c r="B770" s="130">
        <v>45764.0</v>
      </c>
      <c r="C770" s="127" t="s">
        <v>1004</v>
      </c>
      <c r="D770" s="127" t="s">
        <v>1012</v>
      </c>
      <c r="E770" s="131">
        <v>43039.9</v>
      </c>
      <c r="F770" s="128">
        <v>92.0</v>
      </c>
    </row>
    <row r="771">
      <c r="A771" s="129">
        <v>769.0</v>
      </c>
      <c r="B771" s="133">
        <v>45785.0</v>
      </c>
      <c r="C771" s="127" t="s">
        <v>1004</v>
      </c>
      <c r="D771" s="127" t="s">
        <v>1013</v>
      </c>
      <c r="E771" s="131">
        <v>82600.0</v>
      </c>
      <c r="F771" s="128">
        <v>71.0</v>
      </c>
    </row>
    <row r="772">
      <c r="A772" s="129">
        <v>770.0</v>
      </c>
      <c r="B772" s="134">
        <v>45799.0</v>
      </c>
      <c r="C772" s="127" t="s">
        <v>1004</v>
      </c>
      <c r="D772" s="127" t="s">
        <v>1014</v>
      </c>
      <c r="E772" s="131">
        <v>12375.0</v>
      </c>
      <c r="F772" s="128">
        <v>57.0</v>
      </c>
    </row>
    <row r="773">
      <c r="A773" s="129">
        <v>771.0</v>
      </c>
      <c r="B773" s="134">
        <v>45799.0</v>
      </c>
      <c r="C773" s="127" t="s">
        <v>1004</v>
      </c>
      <c r="D773" s="127" t="s">
        <v>1015</v>
      </c>
      <c r="E773" s="131">
        <v>161679.79</v>
      </c>
      <c r="F773" s="128">
        <v>57.0</v>
      </c>
    </row>
    <row r="774">
      <c r="A774" s="129">
        <v>772.0</v>
      </c>
      <c r="B774" s="130">
        <v>45826.0</v>
      </c>
      <c r="C774" s="127" t="s">
        <v>1004</v>
      </c>
      <c r="D774" s="127" t="s">
        <v>1016</v>
      </c>
      <c r="E774" s="131">
        <v>170922.61</v>
      </c>
      <c r="F774" s="128">
        <v>30.0</v>
      </c>
    </row>
    <row r="775">
      <c r="A775" s="129">
        <v>773.0</v>
      </c>
      <c r="B775" s="130">
        <v>45826.0</v>
      </c>
      <c r="C775" s="127" t="s">
        <v>1004</v>
      </c>
      <c r="D775" s="127" t="s">
        <v>1017</v>
      </c>
      <c r="E775" s="131">
        <v>30000.0</v>
      </c>
      <c r="F775" s="128">
        <v>30.0</v>
      </c>
    </row>
    <row r="776">
      <c r="A776" s="129">
        <v>774.0</v>
      </c>
      <c r="B776" s="132">
        <v>45630.0</v>
      </c>
      <c r="C776" s="127" t="s">
        <v>1018</v>
      </c>
      <c r="D776" s="127" t="s">
        <v>1019</v>
      </c>
      <c r="E776" s="131">
        <v>75500.05</v>
      </c>
      <c r="F776" s="128">
        <v>226.0</v>
      </c>
    </row>
    <row r="777">
      <c r="A777" s="129">
        <v>775.0</v>
      </c>
      <c r="B777" s="134">
        <v>45790.0</v>
      </c>
      <c r="C777" s="127" t="s">
        <v>1018</v>
      </c>
      <c r="D777" s="127" t="s">
        <v>1020</v>
      </c>
      <c r="E777" s="131">
        <v>45153.13</v>
      </c>
      <c r="F777" s="128">
        <v>66.0</v>
      </c>
    </row>
    <row r="778">
      <c r="A778" s="129">
        <v>776.0</v>
      </c>
      <c r="B778" s="134">
        <v>45800.0</v>
      </c>
      <c r="C778" s="127" t="s">
        <v>1018</v>
      </c>
      <c r="D778" s="127" t="s">
        <v>1021</v>
      </c>
      <c r="E778" s="131">
        <v>24686.04</v>
      </c>
      <c r="F778" s="128">
        <v>56.0</v>
      </c>
    </row>
    <row r="779">
      <c r="A779" s="129">
        <v>777.0</v>
      </c>
      <c r="B779" s="134">
        <v>45800.0</v>
      </c>
      <c r="C779" s="127" t="s">
        <v>1018</v>
      </c>
      <c r="D779" s="127" t="s">
        <v>1022</v>
      </c>
      <c r="E779" s="131">
        <v>146487.89</v>
      </c>
      <c r="F779" s="128">
        <v>56.0</v>
      </c>
    </row>
    <row r="780">
      <c r="A780" s="129">
        <v>778.0</v>
      </c>
      <c r="B780" s="130">
        <v>45827.0</v>
      </c>
      <c r="C780" s="127" t="s">
        <v>1018</v>
      </c>
      <c r="D780" s="127" t="s">
        <v>1023</v>
      </c>
      <c r="E780" s="131">
        <v>24750.0</v>
      </c>
      <c r="F780" s="128">
        <v>29.0</v>
      </c>
    </row>
    <row r="781">
      <c r="A781" s="129">
        <v>779.0</v>
      </c>
      <c r="B781" s="130">
        <v>45827.0</v>
      </c>
      <c r="C781" s="127" t="s">
        <v>1018</v>
      </c>
      <c r="D781" s="127" t="s">
        <v>1024</v>
      </c>
      <c r="E781" s="131">
        <v>114222.61</v>
      </c>
      <c r="F781" s="128">
        <v>29.0</v>
      </c>
    </row>
    <row r="782">
      <c r="A782" s="129">
        <v>780.0</v>
      </c>
      <c r="B782" s="130">
        <v>45560.0</v>
      </c>
      <c r="C782" s="127" t="s">
        <v>1025</v>
      </c>
      <c r="D782" s="127" t="s">
        <v>1026</v>
      </c>
      <c r="E782" s="131">
        <v>128501.2</v>
      </c>
      <c r="F782" s="128">
        <v>296.0</v>
      </c>
    </row>
    <row r="783">
      <c r="A783" s="129">
        <v>781.0</v>
      </c>
      <c r="B783" s="132">
        <v>45569.0</v>
      </c>
      <c r="C783" s="127" t="s">
        <v>1025</v>
      </c>
      <c r="D783" s="127" t="s">
        <v>1027</v>
      </c>
      <c r="E783" s="131">
        <v>188676.48</v>
      </c>
      <c r="F783" s="128">
        <v>287.0</v>
      </c>
    </row>
    <row r="784">
      <c r="A784" s="129">
        <v>782.0</v>
      </c>
      <c r="B784" s="130">
        <v>45583.0</v>
      </c>
      <c r="C784" s="127" t="s">
        <v>1025</v>
      </c>
      <c r="D784" s="127" t="s">
        <v>1028</v>
      </c>
      <c r="E784" s="131">
        <v>132000.02</v>
      </c>
      <c r="F784" s="128">
        <v>273.0</v>
      </c>
    </row>
    <row r="785">
      <c r="A785" s="129">
        <v>783.0</v>
      </c>
      <c r="B785" s="130">
        <v>45587.0</v>
      </c>
      <c r="C785" s="127" t="s">
        <v>1025</v>
      </c>
      <c r="D785" s="127" t="s">
        <v>1029</v>
      </c>
      <c r="E785" s="131">
        <v>197802.61</v>
      </c>
      <c r="F785" s="128">
        <v>269.0</v>
      </c>
    </row>
    <row r="786">
      <c r="A786" s="129">
        <v>784.0</v>
      </c>
      <c r="B786" s="130">
        <v>45590.0</v>
      </c>
      <c r="C786" s="127" t="s">
        <v>1025</v>
      </c>
      <c r="D786" s="127" t="s">
        <v>1030</v>
      </c>
      <c r="E786" s="131">
        <v>172800.02</v>
      </c>
      <c r="F786" s="128">
        <v>266.0</v>
      </c>
    </row>
    <row r="787">
      <c r="A787" s="129">
        <v>785.0</v>
      </c>
      <c r="B787" s="130">
        <v>45610.0</v>
      </c>
      <c r="C787" s="127" t="s">
        <v>1025</v>
      </c>
      <c r="D787" s="127" t="s">
        <v>1031</v>
      </c>
      <c r="E787" s="131">
        <v>305300.17</v>
      </c>
      <c r="F787" s="128">
        <v>259.0</v>
      </c>
    </row>
    <row r="788">
      <c r="A788" s="129">
        <v>786.0</v>
      </c>
      <c r="B788" s="130">
        <v>45745.0</v>
      </c>
      <c r="C788" s="127" t="s">
        <v>1025</v>
      </c>
      <c r="D788" s="127" t="s">
        <v>1032</v>
      </c>
      <c r="E788" s="131">
        <v>85200.0</v>
      </c>
      <c r="F788" s="128">
        <v>111.0</v>
      </c>
    </row>
    <row r="789">
      <c r="A789" s="129">
        <v>787.0</v>
      </c>
      <c r="B789" s="130">
        <v>45834.0</v>
      </c>
      <c r="C789" s="127" t="s">
        <v>1025</v>
      </c>
      <c r="D789" s="127" t="s">
        <v>1033</v>
      </c>
      <c r="E789" s="131">
        <v>353881.7</v>
      </c>
      <c r="F789" s="128">
        <v>22.0</v>
      </c>
    </row>
    <row r="790">
      <c r="A790" s="129">
        <v>788.0</v>
      </c>
      <c r="B790" s="130">
        <v>45834.0</v>
      </c>
      <c r="C790" s="127" t="s">
        <v>1025</v>
      </c>
      <c r="D790" s="127" t="s">
        <v>1034</v>
      </c>
      <c r="E790" s="131">
        <v>61875.0</v>
      </c>
      <c r="F790" s="128">
        <v>22.0</v>
      </c>
    </row>
    <row r="791">
      <c r="A791" s="129">
        <v>789.0</v>
      </c>
      <c r="B791" s="130">
        <v>45834.0</v>
      </c>
      <c r="C791" s="127" t="s">
        <v>1025</v>
      </c>
      <c r="D791" s="127" t="s">
        <v>1035</v>
      </c>
      <c r="E791" s="131">
        <v>120000.0</v>
      </c>
      <c r="F791" s="128">
        <v>22.0</v>
      </c>
    </row>
    <row r="792">
      <c r="A792" s="129">
        <v>790.0</v>
      </c>
      <c r="B792" s="132">
        <v>45841.0</v>
      </c>
      <c r="C792" s="127" t="s">
        <v>1025</v>
      </c>
      <c r="D792" s="127" t="s">
        <v>1036</v>
      </c>
      <c r="E792" s="131">
        <v>100800.0</v>
      </c>
      <c r="F792" s="128">
        <v>15.0</v>
      </c>
    </row>
    <row r="793">
      <c r="A793" s="129">
        <v>791.0</v>
      </c>
      <c r="B793" s="130">
        <v>45857.0</v>
      </c>
      <c r="C793" s="127" t="s">
        <v>1025</v>
      </c>
      <c r="D793" s="127" t="s">
        <v>715</v>
      </c>
      <c r="E793" s="131">
        <v>279865.1</v>
      </c>
      <c r="F793" s="128">
        <v>0.0</v>
      </c>
    </row>
    <row r="794">
      <c r="A794" s="129">
        <v>792.0</v>
      </c>
      <c r="B794" s="130">
        <v>45861.0</v>
      </c>
      <c r="C794" s="127" t="s">
        <v>1025</v>
      </c>
      <c r="D794" s="127" t="s">
        <v>20</v>
      </c>
      <c r="E794" s="131">
        <v>157693.31</v>
      </c>
      <c r="F794" s="128">
        <v>0.0</v>
      </c>
    </row>
    <row r="795">
      <c r="A795" s="129">
        <v>793.0</v>
      </c>
      <c r="B795" s="130">
        <v>45687.0</v>
      </c>
      <c r="C795" s="127" t="s">
        <v>1037</v>
      </c>
      <c r="D795" s="127" t="s">
        <v>1026</v>
      </c>
      <c r="E795" s="131">
        <v>86400.01</v>
      </c>
      <c r="F795" s="128">
        <v>169.0</v>
      </c>
    </row>
    <row r="796">
      <c r="A796" s="129">
        <v>794.0</v>
      </c>
      <c r="B796" s="130">
        <v>45590.0</v>
      </c>
      <c r="C796" s="127" t="s">
        <v>1037</v>
      </c>
      <c r="D796" s="127" t="s">
        <v>925</v>
      </c>
      <c r="E796" s="131">
        <v>304200.38</v>
      </c>
      <c r="F796" s="128">
        <v>266.0</v>
      </c>
    </row>
    <row r="797">
      <c r="A797" s="129">
        <v>795.0</v>
      </c>
      <c r="B797" s="132">
        <v>45602.0</v>
      </c>
      <c r="C797" s="127" t="s">
        <v>1037</v>
      </c>
      <c r="D797" s="127" t="s">
        <v>1038</v>
      </c>
      <c r="E797" s="131">
        <v>158700.01</v>
      </c>
      <c r="F797" s="128">
        <v>268.0</v>
      </c>
    </row>
    <row r="798">
      <c r="A798" s="129">
        <v>796.0</v>
      </c>
      <c r="B798" s="130">
        <v>45624.0</v>
      </c>
      <c r="C798" s="127" t="s">
        <v>1037</v>
      </c>
      <c r="D798" s="127" t="s">
        <v>1039</v>
      </c>
      <c r="E798" s="131">
        <v>106400.0</v>
      </c>
      <c r="F798" s="128">
        <v>232.0</v>
      </c>
    </row>
    <row r="799">
      <c r="A799" s="129">
        <v>797.0</v>
      </c>
      <c r="B799" s="130">
        <v>45727.0</v>
      </c>
      <c r="C799" s="127" t="s">
        <v>1037</v>
      </c>
      <c r="D799" s="127" t="s">
        <v>1040</v>
      </c>
      <c r="E799" s="131">
        <v>27000.0</v>
      </c>
      <c r="F799" s="128">
        <v>129.0</v>
      </c>
    </row>
    <row r="800">
      <c r="A800" s="129">
        <v>798.0</v>
      </c>
      <c r="B800" s="130">
        <v>45647.0</v>
      </c>
      <c r="C800" s="127" t="s">
        <v>1037</v>
      </c>
      <c r="D800" s="127" t="s">
        <v>205</v>
      </c>
      <c r="E800" s="131">
        <v>100800.0</v>
      </c>
      <c r="F800" s="128">
        <v>209.0</v>
      </c>
    </row>
    <row r="801">
      <c r="A801" s="129">
        <v>799.0</v>
      </c>
      <c r="B801" s="132">
        <v>45691.0</v>
      </c>
      <c r="C801" s="127" t="s">
        <v>1037</v>
      </c>
      <c r="D801" s="127" t="s">
        <v>1041</v>
      </c>
      <c r="E801" s="131">
        <v>86400.01</v>
      </c>
      <c r="F801" s="128">
        <v>165.0</v>
      </c>
    </row>
    <row r="802">
      <c r="A802" s="129">
        <v>800.0</v>
      </c>
      <c r="B802" s="132">
        <v>45749.0</v>
      </c>
      <c r="C802" s="127" t="s">
        <v>1037</v>
      </c>
      <c r="D802" s="127" t="s">
        <v>1042</v>
      </c>
      <c r="E802" s="131">
        <v>85200.0</v>
      </c>
      <c r="F802" s="128">
        <v>107.0</v>
      </c>
    </row>
    <row r="803">
      <c r="A803" s="129">
        <v>801.0</v>
      </c>
      <c r="B803" s="132">
        <v>45749.0</v>
      </c>
      <c r="C803" s="127" t="s">
        <v>1037</v>
      </c>
      <c r="D803" s="127" t="s">
        <v>1043</v>
      </c>
      <c r="E803" s="131">
        <v>60000.01</v>
      </c>
      <c r="F803" s="128">
        <v>107.0</v>
      </c>
    </row>
    <row r="804">
      <c r="A804" s="129">
        <v>802.0</v>
      </c>
      <c r="B804" s="130">
        <v>45707.0</v>
      </c>
      <c r="C804" s="127" t="s">
        <v>1037</v>
      </c>
      <c r="D804" s="127" t="s">
        <v>1044</v>
      </c>
      <c r="E804" s="131">
        <v>95999.99</v>
      </c>
      <c r="F804" s="128">
        <v>149.0</v>
      </c>
    </row>
    <row r="805">
      <c r="A805" s="129">
        <v>803.0</v>
      </c>
      <c r="B805" s="130">
        <v>45758.0</v>
      </c>
      <c r="C805" s="127" t="s">
        <v>1037</v>
      </c>
      <c r="D805" s="127" t="s">
        <v>1045</v>
      </c>
      <c r="E805" s="131">
        <v>154100.0</v>
      </c>
      <c r="F805" s="128">
        <v>98.0</v>
      </c>
    </row>
    <row r="806">
      <c r="A806" s="129">
        <v>804.0</v>
      </c>
      <c r="B806" s="130">
        <v>45763.0</v>
      </c>
      <c r="C806" s="127" t="s">
        <v>1037</v>
      </c>
      <c r="D806" s="127" t="s">
        <v>1046</v>
      </c>
      <c r="E806" s="131">
        <v>154100.0</v>
      </c>
      <c r="F806" s="128">
        <v>93.0</v>
      </c>
    </row>
    <row r="807">
      <c r="A807" s="129">
        <v>805.0</v>
      </c>
      <c r="B807" s="130">
        <v>45715.0</v>
      </c>
      <c r="C807" s="127" t="s">
        <v>1037</v>
      </c>
      <c r="D807" s="127" t="s">
        <v>599</v>
      </c>
      <c r="E807" s="131">
        <v>169500.03</v>
      </c>
      <c r="F807" s="128">
        <v>141.0</v>
      </c>
    </row>
    <row r="808">
      <c r="A808" s="129">
        <v>806.0</v>
      </c>
      <c r="B808" s="132">
        <v>45813.0</v>
      </c>
      <c r="C808" s="127" t="s">
        <v>1037</v>
      </c>
      <c r="D808" s="127" t="s">
        <v>1047</v>
      </c>
      <c r="E808" s="131">
        <v>126000.0</v>
      </c>
      <c r="F808" s="128">
        <v>43.0</v>
      </c>
    </row>
    <row r="809">
      <c r="A809" s="129">
        <v>807.0</v>
      </c>
      <c r="B809" s="132">
        <v>45813.0</v>
      </c>
      <c r="C809" s="127" t="s">
        <v>1037</v>
      </c>
      <c r="D809" s="127" t="s">
        <v>1048</v>
      </c>
      <c r="E809" s="131">
        <v>156100.04</v>
      </c>
      <c r="F809" s="128">
        <v>43.0</v>
      </c>
    </row>
    <row r="810">
      <c r="A810" s="129">
        <v>808.0</v>
      </c>
      <c r="B810" s="130">
        <v>45853.0</v>
      </c>
      <c r="C810" s="127" t="s">
        <v>1037</v>
      </c>
      <c r="D810" s="127" t="s">
        <v>1049</v>
      </c>
      <c r="E810" s="131">
        <v>52200.01</v>
      </c>
      <c r="F810" s="128">
        <v>3.0</v>
      </c>
    </row>
    <row r="811">
      <c r="A811" s="129">
        <v>809.0</v>
      </c>
      <c r="B811" s="130">
        <v>45853.0</v>
      </c>
      <c r="C811" s="127" t="s">
        <v>1037</v>
      </c>
      <c r="D811" s="127" t="s">
        <v>1050</v>
      </c>
      <c r="E811" s="131">
        <v>166500.0</v>
      </c>
      <c r="F811" s="128">
        <v>3.0</v>
      </c>
    </row>
    <row r="812">
      <c r="A812" s="129">
        <v>810.0</v>
      </c>
      <c r="B812" s="134">
        <v>45793.0</v>
      </c>
      <c r="C812" s="127" t="s">
        <v>1051</v>
      </c>
      <c r="D812" s="127">
        <v>1.0</v>
      </c>
      <c r="E812" s="131">
        <v>2100.0</v>
      </c>
      <c r="F812" s="128">
        <v>63.0</v>
      </c>
    </row>
    <row r="813">
      <c r="A813" s="129">
        <v>811.0</v>
      </c>
      <c r="B813" s="130">
        <v>45672.0</v>
      </c>
      <c r="C813" s="127" t="s">
        <v>1051</v>
      </c>
      <c r="D813" s="127" t="s">
        <v>1052</v>
      </c>
      <c r="E813" s="131">
        <v>147100.01</v>
      </c>
      <c r="F813" s="128">
        <v>177.0</v>
      </c>
    </row>
    <row r="814">
      <c r="A814" s="129">
        <v>812.0</v>
      </c>
      <c r="B814" s="132">
        <v>45544.0</v>
      </c>
      <c r="C814" s="127" t="s">
        <v>1051</v>
      </c>
      <c r="D814" s="127" t="s">
        <v>243</v>
      </c>
      <c r="E814" s="131">
        <v>342326.78</v>
      </c>
      <c r="F814" s="128">
        <v>312.0</v>
      </c>
    </row>
    <row r="815">
      <c r="A815" s="129">
        <v>813.0</v>
      </c>
      <c r="B815" s="130">
        <v>45680.0</v>
      </c>
      <c r="C815" s="127" t="s">
        <v>1051</v>
      </c>
      <c r="D815" s="127" t="s">
        <v>534</v>
      </c>
      <c r="E815" s="131">
        <v>50400.0</v>
      </c>
      <c r="F815" s="128">
        <v>176.0</v>
      </c>
    </row>
    <row r="816">
      <c r="A816" s="129">
        <v>814.0</v>
      </c>
      <c r="B816" s="130">
        <v>45548.0</v>
      </c>
      <c r="C816" s="127" t="s">
        <v>1051</v>
      </c>
      <c r="D816" s="127" t="s">
        <v>1053</v>
      </c>
      <c r="E816" s="131">
        <v>88236.0</v>
      </c>
      <c r="F816" s="128">
        <v>308.0</v>
      </c>
    </row>
    <row r="817">
      <c r="A817" s="129">
        <v>815.0</v>
      </c>
      <c r="B817" s="130">
        <v>45583.0</v>
      </c>
      <c r="C817" s="127" t="s">
        <v>1051</v>
      </c>
      <c r="D817" s="127" t="s">
        <v>1054</v>
      </c>
      <c r="E817" s="131">
        <v>132000.02</v>
      </c>
      <c r="F817" s="128">
        <v>273.0</v>
      </c>
    </row>
    <row r="818">
      <c r="A818" s="129">
        <v>816.0</v>
      </c>
      <c r="B818" s="130">
        <v>45590.0</v>
      </c>
      <c r="C818" s="127" t="s">
        <v>1051</v>
      </c>
      <c r="D818" s="127" t="s">
        <v>1055</v>
      </c>
      <c r="E818" s="131">
        <v>96400.0</v>
      </c>
      <c r="F818" s="128">
        <v>266.0</v>
      </c>
    </row>
    <row r="819">
      <c r="A819" s="129">
        <v>817.0</v>
      </c>
      <c r="B819" s="130">
        <v>45636.0</v>
      </c>
      <c r="C819" s="127" t="s">
        <v>1051</v>
      </c>
      <c r="D819" s="127" t="s">
        <v>1056</v>
      </c>
      <c r="E819" s="131">
        <v>169599.99</v>
      </c>
      <c r="F819" s="128">
        <v>220.0</v>
      </c>
    </row>
    <row r="820">
      <c r="A820" s="129">
        <v>818.0</v>
      </c>
      <c r="B820" s="132">
        <v>45749.0</v>
      </c>
      <c r="C820" s="127" t="s">
        <v>1051</v>
      </c>
      <c r="D820" s="127" t="s">
        <v>597</v>
      </c>
      <c r="E820" s="131">
        <v>85200.0</v>
      </c>
      <c r="F820" s="128">
        <v>107.0</v>
      </c>
    </row>
    <row r="821">
      <c r="A821" s="129">
        <v>819.0</v>
      </c>
      <c r="B821" s="130">
        <v>45772.0</v>
      </c>
      <c r="C821" s="127" t="s">
        <v>1051</v>
      </c>
      <c r="D821" s="127" t="s">
        <v>1057</v>
      </c>
      <c r="E821" s="131">
        <v>88200.0</v>
      </c>
      <c r="F821" s="128">
        <v>84.0</v>
      </c>
    </row>
    <row r="822">
      <c r="A822" s="129">
        <v>820.0</v>
      </c>
      <c r="B822" s="132">
        <v>45813.0</v>
      </c>
      <c r="C822" s="127" t="s">
        <v>1051</v>
      </c>
      <c r="D822" s="127" t="s">
        <v>1058</v>
      </c>
      <c r="E822" s="131">
        <v>124700.01</v>
      </c>
      <c r="F822" s="128">
        <v>43.0</v>
      </c>
    </row>
    <row r="823">
      <c r="A823" s="129">
        <v>821.0</v>
      </c>
      <c r="B823" s="132">
        <v>45813.0</v>
      </c>
      <c r="C823" s="127" t="s">
        <v>1051</v>
      </c>
      <c r="D823" s="127" t="s">
        <v>1059</v>
      </c>
      <c r="E823" s="131">
        <v>30000.0</v>
      </c>
      <c r="F823" s="128">
        <v>43.0</v>
      </c>
    </row>
    <row r="824">
      <c r="A824" s="129">
        <v>822.0</v>
      </c>
      <c r="B824" s="132">
        <v>45841.0</v>
      </c>
      <c r="C824" s="127" t="s">
        <v>1051</v>
      </c>
      <c r="D824" s="127" t="s">
        <v>1060</v>
      </c>
      <c r="E824" s="131">
        <v>16500.0</v>
      </c>
      <c r="F824" s="128">
        <v>15.0</v>
      </c>
    </row>
    <row r="825">
      <c r="A825" s="129">
        <v>823.0</v>
      </c>
      <c r="B825" s="130">
        <v>45673.0</v>
      </c>
      <c r="C825" s="127" t="s">
        <v>1061</v>
      </c>
      <c r="D825" s="127" t="s">
        <v>1062</v>
      </c>
      <c r="E825" s="131">
        <v>98400.04</v>
      </c>
      <c r="F825" s="128">
        <v>190.0</v>
      </c>
    </row>
    <row r="826">
      <c r="A826" s="129">
        <v>824.0</v>
      </c>
      <c r="B826" s="130">
        <v>45673.0</v>
      </c>
      <c r="C826" s="127" t="s">
        <v>1061</v>
      </c>
      <c r="D826" s="127" t="s">
        <v>1063</v>
      </c>
      <c r="E826" s="131">
        <v>100100.0</v>
      </c>
      <c r="F826" s="128">
        <v>190.0</v>
      </c>
    </row>
    <row r="827">
      <c r="A827" s="129">
        <v>825.0</v>
      </c>
      <c r="B827" s="130">
        <v>45643.0</v>
      </c>
      <c r="C827" s="127" t="s">
        <v>1061</v>
      </c>
      <c r="D827" s="127" t="s">
        <v>1064</v>
      </c>
      <c r="E827" s="131">
        <v>228000.08</v>
      </c>
      <c r="F827" s="128">
        <v>213.0</v>
      </c>
    </row>
    <row r="828">
      <c r="A828" s="129">
        <v>826.0</v>
      </c>
      <c r="B828" s="130">
        <v>45653.0</v>
      </c>
      <c r="C828" s="127" t="s">
        <v>1061</v>
      </c>
      <c r="D828" s="127" t="s">
        <v>1065</v>
      </c>
      <c r="E828" s="131">
        <v>308500.03</v>
      </c>
      <c r="F828" s="128">
        <v>203.0</v>
      </c>
    </row>
    <row r="829">
      <c r="A829" s="129">
        <v>827.0</v>
      </c>
      <c r="B829" s="132">
        <v>45756.0</v>
      </c>
      <c r="C829" s="127" t="s">
        <v>1061</v>
      </c>
      <c r="D829" s="127" t="s">
        <v>1000</v>
      </c>
      <c r="E829" s="131">
        <v>113600.0</v>
      </c>
      <c r="F829" s="128">
        <v>100.0</v>
      </c>
    </row>
    <row r="830">
      <c r="A830" s="129">
        <v>828.0</v>
      </c>
      <c r="B830" s="132">
        <v>45756.0</v>
      </c>
      <c r="C830" s="127" t="s">
        <v>1061</v>
      </c>
      <c r="D830" s="127" t="s">
        <v>1044</v>
      </c>
      <c r="E830" s="131">
        <v>290400.04</v>
      </c>
      <c r="F830" s="128">
        <v>100.0</v>
      </c>
    </row>
    <row r="831">
      <c r="A831" s="129">
        <v>829.0</v>
      </c>
      <c r="B831" s="130">
        <v>45777.0</v>
      </c>
      <c r="C831" s="127" t="s">
        <v>1061</v>
      </c>
      <c r="D831" s="127" t="s">
        <v>1066</v>
      </c>
      <c r="E831" s="131">
        <v>2784.16</v>
      </c>
      <c r="F831" s="128">
        <v>79.0</v>
      </c>
    </row>
    <row r="832">
      <c r="A832" s="129">
        <v>830.0</v>
      </c>
      <c r="B832" s="130">
        <v>45866.0</v>
      </c>
      <c r="C832" s="127" t="s">
        <v>1061</v>
      </c>
      <c r="D832" s="127" t="s">
        <v>747</v>
      </c>
      <c r="E832" s="131">
        <v>385500.05</v>
      </c>
      <c r="F832" s="128">
        <v>0.0</v>
      </c>
    </row>
    <row r="833">
      <c r="A833" s="129">
        <v>831.0</v>
      </c>
      <c r="B833" s="130">
        <v>45670.0</v>
      </c>
      <c r="C833" s="127" t="s">
        <v>1067</v>
      </c>
      <c r="D833" s="127" t="s">
        <v>1068</v>
      </c>
      <c r="E833" s="131">
        <v>220900.04</v>
      </c>
      <c r="F833" s="128">
        <v>186.0</v>
      </c>
    </row>
    <row r="834">
      <c r="A834" s="129">
        <v>832.0</v>
      </c>
      <c r="B834" s="130">
        <v>45670.0</v>
      </c>
      <c r="C834" s="127" t="s">
        <v>1067</v>
      </c>
      <c r="D834" s="127" t="s">
        <v>1069</v>
      </c>
      <c r="E834" s="131">
        <v>411400.01</v>
      </c>
      <c r="F834" s="128">
        <v>179.0</v>
      </c>
    </row>
    <row r="835">
      <c r="A835" s="129">
        <v>833.0</v>
      </c>
      <c r="B835" s="130">
        <v>45560.0</v>
      </c>
      <c r="C835" s="127" t="s">
        <v>1067</v>
      </c>
      <c r="D835" s="127" t="s">
        <v>1070</v>
      </c>
      <c r="E835" s="131">
        <v>127402.55</v>
      </c>
      <c r="F835" s="128">
        <v>296.0</v>
      </c>
    </row>
    <row r="836">
      <c r="A836" s="129">
        <v>834.0</v>
      </c>
      <c r="B836" s="130">
        <v>45582.0</v>
      </c>
      <c r="C836" s="127" t="s">
        <v>1067</v>
      </c>
      <c r="D836" s="127" t="s">
        <v>1071</v>
      </c>
      <c r="E836" s="131">
        <v>217804.23</v>
      </c>
      <c r="F836" s="128">
        <v>274.0</v>
      </c>
    </row>
    <row r="837">
      <c r="A837" s="129">
        <v>835.0</v>
      </c>
      <c r="B837" s="130">
        <v>45625.0</v>
      </c>
      <c r="C837" s="127" t="s">
        <v>1067</v>
      </c>
      <c r="D837" s="127" t="s">
        <v>1072</v>
      </c>
      <c r="E837" s="131">
        <v>156700.03</v>
      </c>
      <c r="F837" s="128">
        <v>231.0</v>
      </c>
    </row>
    <row r="838">
      <c r="A838" s="129">
        <v>836.0</v>
      </c>
      <c r="B838" s="130">
        <v>45644.0</v>
      </c>
      <c r="C838" s="127" t="s">
        <v>1067</v>
      </c>
      <c r="D838" s="127" t="s">
        <v>1073</v>
      </c>
      <c r="E838" s="131">
        <v>239600.04</v>
      </c>
      <c r="F838" s="128">
        <v>212.0</v>
      </c>
    </row>
    <row r="839">
      <c r="A839" s="129">
        <v>837.0</v>
      </c>
      <c r="B839" s="130">
        <v>45653.0</v>
      </c>
      <c r="C839" s="127" t="s">
        <v>1067</v>
      </c>
      <c r="D839" s="127" t="s">
        <v>206</v>
      </c>
      <c r="E839" s="131">
        <v>70725.02</v>
      </c>
      <c r="F839" s="128">
        <v>203.0</v>
      </c>
    </row>
    <row r="840">
      <c r="A840" s="129">
        <v>838.0</v>
      </c>
      <c r="B840" s="132">
        <v>45840.0</v>
      </c>
      <c r="C840" s="127" t="s">
        <v>1067</v>
      </c>
      <c r="D840" s="127" t="s">
        <v>684</v>
      </c>
      <c r="E840" s="131">
        <v>201100.05</v>
      </c>
      <c r="F840" s="128">
        <v>16.0</v>
      </c>
    </row>
    <row r="841">
      <c r="A841" s="129">
        <v>839.0</v>
      </c>
      <c r="B841" s="132">
        <v>45693.0</v>
      </c>
      <c r="C841" s="127" t="s">
        <v>1074</v>
      </c>
      <c r="D841" s="127" t="s">
        <v>1032</v>
      </c>
      <c r="E841" s="131">
        <v>56200.01</v>
      </c>
      <c r="F841" s="128">
        <v>163.0</v>
      </c>
    </row>
    <row r="842">
      <c r="A842" s="129">
        <v>840.0</v>
      </c>
      <c r="B842" s="130">
        <v>45716.0</v>
      </c>
      <c r="C842" s="127" t="s">
        <v>1074</v>
      </c>
      <c r="D842" s="127" t="s">
        <v>1075</v>
      </c>
      <c r="E842" s="131">
        <v>89000.0</v>
      </c>
      <c r="F842" s="128">
        <v>140.0</v>
      </c>
    </row>
    <row r="843">
      <c r="A843" s="129">
        <v>841.0</v>
      </c>
      <c r="B843" s="130">
        <v>45764.0</v>
      </c>
      <c r="C843" s="127" t="s">
        <v>1076</v>
      </c>
      <c r="D843" s="127" t="s">
        <v>1075</v>
      </c>
      <c r="E843" s="131">
        <v>4090.17</v>
      </c>
      <c r="F843" s="128">
        <v>92.0</v>
      </c>
    </row>
    <row r="844">
      <c r="A844" s="129">
        <v>842.0</v>
      </c>
      <c r="B844" s="130">
        <v>45775.0</v>
      </c>
      <c r="C844" s="127" t="s">
        <v>1076</v>
      </c>
      <c r="D844" s="127" t="s">
        <v>1077</v>
      </c>
      <c r="E844" s="131">
        <v>42041.85</v>
      </c>
      <c r="F844" s="128">
        <v>81.0</v>
      </c>
    </row>
    <row r="845">
      <c r="A845" s="129">
        <v>843.0</v>
      </c>
      <c r="B845" s="134">
        <v>45789.0</v>
      </c>
      <c r="C845" s="127" t="s">
        <v>1076</v>
      </c>
      <c r="D845" s="127" t="s">
        <v>1078</v>
      </c>
      <c r="E845" s="131">
        <v>7568.24</v>
      </c>
      <c r="F845" s="128">
        <v>67.0</v>
      </c>
    </row>
    <row r="846">
      <c r="A846" s="129">
        <v>844.0</v>
      </c>
      <c r="B846" s="132">
        <v>45813.0</v>
      </c>
      <c r="C846" s="127" t="s">
        <v>1076</v>
      </c>
      <c r="D846" s="127" t="s">
        <v>1079</v>
      </c>
      <c r="E846" s="131">
        <v>120000.0</v>
      </c>
      <c r="F846" s="128">
        <v>43.0</v>
      </c>
    </row>
    <row r="847">
      <c r="A847" s="129">
        <v>845.0</v>
      </c>
      <c r="B847" s="132">
        <v>45813.0</v>
      </c>
      <c r="C847" s="127" t="s">
        <v>1076</v>
      </c>
      <c r="D847" s="127" t="s">
        <v>1080</v>
      </c>
      <c r="E847" s="131">
        <v>272103.85</v>
      </c>
      <c r="F847" s="128">
        <v>43.0</v>
      </c>
    </row>
    <row r="848">
      <c r="A848" s="129">
        <v>846.0</v>
      </c>
      <c r="B848" s="132">
        <v>45839.0</v>
      </c>
      <c r="C848" s="127" t="s">
        <v>1076</v>
      </c>
      <c r="D848" s="127" t="s">
        <v>1081</v>
      </c>
      <c r="E848" s="131">
        <v>722000.0</v>
      </c>
      <c r="F848" s="128">
        <v>17.0</v>
      </c>
    </row>
    <row r="849">
      <c r="A849" s="129">
        <v>847.0</v>
      </c>
      <c r="B849" s="130">
        <v>45856.0</v>
      </c>
      <c r="C849" s="127" t="s">
        <v>1076</v>
      </c>
      <c r="D849" s="127" t="s">
        <v>1082</v>
      </c>
      <c r="E849" s="131">
        <v>287245.26</v>
      </c>
      <c r="F849" s="128">
        <v>0.0</v>
      </c>
    </row>
    <row r="850">
      <c r="A850" s="129">
        <v>848.0</v>
      </c>
      <c r="B850" s="130">
        <v>45675.0</v>
      </c>
      <c r="C850" s="127" t="s">
        <v>1083</v>
      </c>
      <c r="D850" s="127" t="s">
        <v>1084</v>
      </c>
      <c r="E850" s="131">
        <v>355999.92</v>
      </c>
      <c r="F850" s="128">
        <v>181.0</v>
      </c>
    </row>
    <row r="851">
      <c r="A851" s="129">
        <v>849.0</v>
      </c>
      <c r="B851" s="130">
        <v>45643.0</v>
      </c>
      <c r="C851" s="127" t="s">
        <v>1083</v>
      </c>
      <c r="D851" s="127" t="s">
        <v>1085</v>
      </c>
      <c r="E851" s="131">
        <v>538500.07</v>
      </c>
      <c r="F851" s="128">
        <v>213.0</v>
      </c>
    </row>
    <row r="852">
      <c r="A852" s="129">
        <v>850.0</v>
      </c>
      <c r="B852" s="130">
        <v>45643.0</v>
      </c>
      <c r="C852" s="127" t="s">
        <v>1083</v>
      </c>
      <c r="D852" s="127" t="s">
        <v>1086</v>
      </c>
      <c r="E852" s="131">
        <v>200200.03</v>
      </c>
      <c r="F852" s="128">
        <v>213.0</v>
      </c>
    </row>
    <row r="853">
      <c r="A853" s="129">
        <v>851.0</v>
      </c>
      <c r="B853" s="130">
        <v>45862.0</v>
      </c>
      <c r="C853" s="127" t="s">
        <v>1083</v>
      </c>
      <c r="D853" s="127" t="s">
        <v>1087</v>
      </c>
      <c r="E853" s="131">
        <v>688605.19</v>
      </c>
      <c r="F853" s="128">
        <v>0.0</v>
      </c>
    </row>
    <row r="854">
      <c r="A854" s="129">
        <v>852.0</v>
      </c>
      <c r="B854" s="130">
        <v>45667.0</v>
      </c>
      <c r="C854" s="127" t="s">
        <v>1088</v>
      </c>
      <c r="D854" s="127" t="s">
        <v>1089</v>
      </c>
      <c r="E854" s="131">
        <v>37400.01</v>
      </c>
      <c r="F854" s="128">
        <v>189.0</v>
      </c>
    </row>
    <row r="855">
      <c r="A855" s="129">
        <v>853.0</v>
      </c>
      <c r="B855" s="130">
        <v>45671.0</v>
      </c>
      <c r="C855" s="127" t="s">
        <v>1088</v>
      </c>
      <c r="D855" s="127" t="s">
        <v>1090</v>
      </c>
      <c r="E855" s="131">
        <v>209550.01</v>
      </c>
      <c r="F855" s="128">
        <v>185.0</v>
      </c>
    </row>
    <row r="856">
      <c r="A856" s="129">
        <v>854.0</v>
      </c>
      <c r="B856" s="130">
        <v>45588.0</v>
      </c>
      <c r="C856" s="127" t="s">
        <v>1088</v>
      </c>
      <c r="D856" s="127" t="s">
        <v>1091</v>
      </c>
      <c r="E856" s="131">
        <v>302007.92</v>
      </c>
      <c r="F856" s="128">
        <v>268.0</v>
      </c>
    </row>
    <row r="857">
      <c r="A857" s="129">
        <v>855.0</v>
      </c>
      <c r="B857" s="132">
        <v>45632.0</v>
      </c>
      <c r="C857" s="127" t="s">
        <v>1088</v>
      </c>
      <c r="D857" s="127" t="s">
        <v>1092</v>
      </c>
      <c r="E857" s="131">
        <v>308400.04</v>
      </c>
      <c r="F857" s="128">
        <v>224.0</v>
      </c>
    </row>
    <row r="858">
      <c r="A858" s="129">
        <v>856.0</v>
      </c>
      <c r="B858" s="130">
        <v>45645.0</v>
      </c>
      <c r="C858" s="127" t="s">
        <v>1088</v>
      </c>
      <c r="D858" s="127" t="s">
        <v>249</v>
      </c>
      <c r="E858" s="131">
        <v>41000.02</v>
      </c>
      <c r="F858" s="128">
        <v>211.0</v>
      </c>
    </row>
    <row r="859">
      <c r="A859" s="129">
        <v>857.0</v>
      </c>
      <c r="B859" s="130">
        <v>45653.0</v>
      </c>
      <c r="C859" s="127" t="s">
        <v>1088</v>
      </c>
      <c r="D859" s="127" t="s">
        <v>1093</v>
      </c>
      <c r="E859" s="131">
        <v>359900.03</v>
      </c>
      <c r="F859" s="128">
        <v>203.0</v>
      </c>
    </row>
    <row r="860">
      <c r="A860" s="129">
        <v>858.0</v>
      </c>
      <c r="B860" s="132">
        <v>45842.0</v>
      </c>
      <c r="C860" s="127" t="s">
        <v>1088</v>
      </c>
      <c r="D860" s="127" t="s">
        <v>1094</v>
      </c>
      <c r="E860" s="131">
        <v>428600.03</v>
      </c>
      <c r="F860" s="128">
        <v>14.0</v>
      </c>
    </row>
    <row r="861">
      <c r="A861" s="129">
        <v>859.0</v>
      </c>
      <c r="B861" s="132">
        <v>45664.0</v>
      </c>
      <c r="C861" s="127" t="s">
        <v>1095</v>
      </c>
      <c r="D861" s="127" t="s">
        <v>1096</v>
      </c>
      <c r="E861" s="131">
        <v>426500.07</v>
      </c>
      <c r="F861" s="128">
        <v>192.0</v>
      </c>
    </row>
    <row r="862">
      <c r="A862" s="129">
        <v>860.0</v>
      </c>
      <c r="B862" s="132">
        <v>45632.0</v>
      </c>
      <c r="C862" s="127" t="s">
        <v>1095</v>
      </c>
      <c r="D862" s="127" t="s">
        <v>1097</v>
      </c>
      <c r="E862" s="131">
        <v>298000.05</v>
      </c>
      <c r="F862" s="128">
        <v>224.0</v>
      </c>
    </row>
    <row r="863">
      <c r="A863" s="129">
        <v>861.0</v>
      </c>
      <c r="B863" s="130">
        <v>45828.0</v>
      </c>
      <c r="C863" s="127" t="s">
        <v>1095</v>
      </c>
      <c r="D863" s="127" t="s">
        <v>1098</v>
      </c>
      <c r="E863" s="131">
        <v>127039.89</v>
      </c>
      <c r="F863" s="128">
        <v>28.0</v>
      </c>
    </row>
    <row r="864">
      <c r="A864" s="129">
        <v>862.0</v>
      </c>
      <c r="B864" s="130">
        <v>45826.0</v>
      </c>
      <c r="C864" s="127" t="s">
        <v>1095</v>
      </c>
      <c r="D864" s="127" t="s">
        <v>798</v>
      </c>
      <c r="E864" s="131">
        <v>128500.02</v>
      </c>
      <c r="F864" s="128">
        <v>30.0</v>
      </c>
    </row>
    <row r="865">
      <c r="A865" s="129">
        <v>863.0</v>
      </c>
      <c r="B865" s="132">
        <v>45847.0</v>
      </c>
      <c r="C865" s="127" t="s">
        <v>1095</v>
      </c>
      <c r="D865" s="127" t="s">
        <v>1099</v>
      </c>
      <c r="E865" s="131">
        <v>55200.0</v>
      </c>
      <c r="F865" s="128">
        <v>9.0</v>
      </c>
    </row>
    <row r="866">
      <c r="A866" s="129">
        <v>864.0</v>
      </c>
      <c r="B866" s="132">
        <v>45847.0</v>
      </c>
      <c r="C866" s="127" t="s">
        <v>1095</v>
      </c>
      <c r="D866" s="127" t="s">
        <v>1100</v>
      </c>
      <c r="E866" s="131">
        <v>230108.01</v>
      </c>
      <c r="F866" s="128">
        <v>9.0</v>
      </c>
    </row>
    <row r="867">
      <c r="A867" s="129">
        <v>865.0</v>
      </c>
      <c r="B867" s="130">
        <v>45849.0</v>
      </c>
      <c r="C867" s="127" t="s">
        <v>1095</v>
      </c>
      <c r="D867" s="127" t="s">
        <v>1101</v>
      </c>
      <c r="E867" s="131">
        <v>38800.01</v>
      </c>
      <c r="F867" s="128">
        <v>7.0</v>
      </c>
    </row>
    <row r="868">
      <c r="A868" s="129">
        <v>866.0</v>
      </c>
      <c r="B868" s="130">
        <v>45859.0</v>
      </c>
      <c r="C868" s="127" t="s">
        <v>1095</v>
      </c>
      <c r="D868" s="127" t="s">
        <v>1102</v>
      </c>
      <c r="E868" s="131">
        <v>375393.14</v>
      </c>
      <c r="F868" s="128">
        <v>0.0</v>
      </c>
    </row>
    <row r="869">
      <c r="A869" s="129">
        <v>867.0</v>
      </c>
      <c r="B869" s="130">
        <v>45565.0</v>
      </c>
      <c r="C869" s="127" t="s">
        <v>1103</v>
      </c>
      <c r="D869" s="127" t="s">
        <v>1104</v>
      </c>
      <c r="E869" s="131">
        <v>59102.43</v>
      </c>
      <c r="F869" s="128">
        <v>291.0</v>
      </c>
    </row>
    <row r="870">
      <c r="A870" s="129">
        <v>868.0</v>
      </c>
      <c r="B870" s="130">
        <v>45643.0</v>
      </c>
      <c r="C870" s="127" t="s">
        <v>1103</v>
      </c>
      <c r="D870" s="127" t="s">
        <v>1105</v>
      </c>
      <c r="E870" s="131">
        <v>179100.04</v>
      </c>
      <c r="F870" s="128">
        <v>213.0</v>
      </c>
    </row>
    <row r="871">
      <c r="A871" s="129">
        <v>869.0</v>
      </c>
      <c r="B871" s="132">
        <v>45839.0</v>
      </c>
      <c r="C871" s="127" t="s">
        <v>1103</v>
      </c>
      <c r="D871" s="127" t="s">
        <v>1106</v>
      </c>
      <c r="E871" s="131">
        <v>124733.27</v>
      </c>
      <c r="F871" s="128">
        <v>17.0</v>
      </c>
    </row>
    <row r="872">
      <c r="A872" s="129">
        <v>870.0</v>
      </c>
      <c r="B872" s="132">
        <v>45845.0</v>
      </c>
      <c r="C872" s="127" t="s">
        <v>1107</v>
      </c>
      <c r="D872" s="127" t="s">
        <v>1108</v>
      </c>
      <c r="E872" s="131">
        <v>102600.18</v>
      </c>
      <c r="F872" s="128">
        <v>24.0</v>
      </c>
    </row>
    <row r="873">
      <c r="A873" s="129">
        <v>871.0</v>
      </c>
      <c r="B873" s="132">
        <v>45845.0</v>
      </c>
      <c r="C873" s="127" t="s">
        <v>1107</v>
      </c>
      <c r="D873" s="127" t="s">
        <v>905</v>
      </c>
      <c r="E873" s="131">
        <v>111300.0</v>
      </c>
      <c r="F873" s="128">
        <v>24.0</v>
      </c>
    </row>
    <row r="874">
      <c r="A874" s="129">
        <v>872.0</v>
      </c>
      <c r="B874" s="132">
        <v>45845.0</v>
      </c>
      <c r="C874" s="127" t="s">
        <v>1107</v>
      </c>
      <c r="D874" s="127" t="s">
        <v>1109</v>
      </c>
      <c r="E874" s="131">
        <v>56041.04</v>
      </c>
      <c r="F874" s="128">
        <v>24.0</v>
      </c>
    </row>
    <row r="875">
      <c r="A875" s="129">
        <v>873.0</v>
      </c>
      <c r="B875" s="130">
        <v>45866.0</v>
      </c>
      <c r="C875" s="127" t="s">
        <v>1107</v>
      </c>
      <c r="D875" s="127" t="s">
        <v>1110</v>
      </c>
      <c r="E875" s="131">
        <v>98164.0</v>
      </c>
      <c r="F875" s="128">
        <v>0.0</v>
      </c>
    </row>
    <row r="876">
      <c r="A876" s="129">
        <v>874.0</v>
      </c>
      <c r="B876" s="130">
        <v>45866.0</v>
      </c>
      <c r="C876" s="127" t="s">
        <v>1107</v>
      </c>
      <c r="D876" s="127" t="s">
        <v>890</v>
      </c>
      <c r="E876" s="131">
        <v>7200.0</v>
      </c>
      <c r="F876" s="128">
        <v>0.0</v>
      </c>
    </row>
    <row r="877">
      <c r="A877" s="129">
        <v>875.0</v>
      </c>
      <c r="B877" s="130">
        <v>45555.0</v>
      </c>
      <c r="C877" s="127" t="s">
        <v>1111</v>
      </c>
      <c r="D877" s="127" t="s">
        <v>1112</v>
      </c>
      <c r="E877" s="131">
        <v>97866.95</v>
      </c>
      <c r="F877" s="128">
        <v>301.0</v>
      </c>
    </row>
    <row r="878">
      <c r="A878" s="129">
        <v>876.0</v>
      </c>
      <c r="B878" s="132">
        <v>45574.0</v>
      </c>
      <c r="C878" s="127" t="s">
        <v>1111</v>
      </c>
      <c r="D878" s="127" t="s">
        <v>1113</v>
      </c>
      <c r="E878" s="131">
        <v>82412.73</v>
      </c>
      <c r="F878" s="128">
        <v>282.0</v>
      </c>
    </row>
    <row r="879">
      <c r="A879" s="129">
        <v>877.0</v>
      </c>
      <c r="B879" s="130">
        <v>45623.0</v>
      </c>
      <c r="C879" s="127" t="s">
        <v>1111</v>
      </c>
      <c r="D879" s="127" t="s">
        <v>1114</v>
      </c>
      <c r="E879" s="131">
        <v>25200.0</v>
      </c>
      <c r="F879" s="128">
        <v>233.0</v>
      </c>
    </row>
    <row r="880">
      <c r="A880" s="129">
        <v>878.0</v>
      </c>
      <c r="B880" s="132">
        <v>45748.0</v>
      </c>
      <c r="C880" s="127" t="s">
        <v>1111</v>
      </c>
      <c r="D880" s="127" t="s">
        <v>883</v>
      </c>
      <c r="E880" s="131">
        <v>144900.02</v>
      </c>
      <c r="F880" s="128">
        <v>108.0</v>
      </c>
    </row>
    <row r="881">
      <c r="A881" s="129">
        <v>879.0</v>
      </c>
      <c r="B881" s="130">
        <v>45757.0</v>
      </c>
      <c r="C881" s="127" t="s">
        <v>1111</v>
      </c>
      <c r="D881" s="127" t="s">
        <v>1115</v>
      </c>
      <c r="E881" s="131">
        <v>56800.0</v>
      </c>
      <c r="F881" s="128">
        <v>99.0</v>
      </c>
    </row>
    <row r="882">
      <c r="A882" s="129">
        <v>880.0</v>
      </c>
      <c r="B882" s="130">
        <v>45757.0</v>
      </c>
      <c r="C882" s="127" t="s">
        <v>1111</v>
      </c>
      <c r="D882" s="127" t="s">
        <v>1116</v>
      </c>
      <c r="E882" s="131">
        <v>57811.31</v>
      </c>
      <c r="F882" s="128">
        <v>99.0</v>
      </c>
    </row>
    <row r="883">
      <c r="A883" s="129">
        <v>881.0</v>
      </c>
      <c r="B883" s="133">
        <v>45786.0</v>
      </c>
      <c r="C883" s="127" t="s">
        <v>1111</v>
      </c>
      <c r="D883" s="127" t="s">
        <v>1117</v>
      </c>
      <c r="E883" s="131">
        <v>100800.0</v>
      </c>
      <c r="F883" s="128">
        <v>70.0</v>
      </c>
    </row>
    <row r="884">
      <c r="A884" s="129">
        <v>882.0</v>
      </c>
      <c r="B884" s="134">
        <v>45800.0</v>
      </c>
      <c r="C884" s="127" t="s">
        <v>1111</v>
      </c>
      <c r="D884" s="127" t="s">
        <v>1118</v>
      </c>
      <c r="E884" s="131">
        <v>89900.0</v>
      </c>
      <c r="F884" s="128">
        <v>56.0</v>
      </c>
    </row>
    <row r="885">
      <c r="A885" s="129">
        <v>883.0</v>
      </c>
      <c r="B885" s="130">
        <v>45862.0</v>
      </c>
      <c r="C885" s="127" t="s">
        <v>1111</v>
      </c>
      <c r="D885" s="127" t="s">
        <v>430</v>
      </c>
      <c r="E885" s="131">
        <v>202592.52</v>
      </c>
      <c r="F885" s="128">
        <v>0.0</v>
      </c>
    </row>
    <row r="886">
      <c r="A886" s="129">
        <v>884.0</v>
      </c>
      <c r="B886" s="130">
        <v>45862.0</v>
      </c>
      <c r="C886" s="127" t="s">
        <v>1111</v>
      </c>
      <c r="D886" s="127" t="s">
        <v>1119</v>
      </c>
      <c r="E886" s="131">
        <v>27600.0</v>
      </c>
      <c r="F886" s="128">
        <v>0.0</v>
      </c>
    </row>
    <row r="887">
      <c r="A887" s="129">
        <v>885.0</v>
      </c>
      <c r="B887" s="130">
        <v>45565.0</v>
      </c>
      <c r="C887" s="127" t="s">
        <v>1120</v>
      </c>
      <c r="D887" s="127" t="s">
        <v>1121</v>
      </c>
      <c r="E887" s="131">
        <v>93202.5</v>
      </c>
      <c r="F887" s="128">
        <v>305.0</v>
      </c>
    </row>
    <row r="888">
      <c r="A888" s="129">
        <v>886.0</v>
      </c>
      <c r="B888" s="132">
        <v>45631.0</v>
      </c>
      <c r="C888" s="127" t="s">
        <v>1120</v>
      </c>
      <c r="D888" s="127" t="s">
        <v>1122</v>
      </c>
      <c r="E888" s="131">
        <v>50050.0</v>
      </c>
      <c r="F888" s="128">
        <v>239.0</v>
      </c>
    </row>
    <row r="889">
      <c r="A889" s="129">
        <v>887.0</v>
      </c>
      <c r="B889" s="130">
        <v>45657.0</v>
      </c>
      <c r="C889" s="127" t="s">
        <v>1120</v>
      </c>
      <c r="D889" s="127" t="s">
        <v>1123</v>
      </c>
      <c r="E889" s="131">
        <v>95800.01</v>
      </c>
      <c r="F889" s="128">
        <v>213.0</v>
      </c>
    </row>
    <row r="890">
      <c r="A890" s="129">
        <v>888.0</v>
      </c>
      <c r="B890" s="132">
        <v>45721.0</v>
      </c>
      <c r="C890" s="127" t="s">
        <v>1120</v>
      </c>
      <c r="D890" s="127" t="s">
        <v>1124</v>
      </c>
      <c r="E890" s="131">
        <v>135250.01</v>
      </c>
      <c r="F890" s="128">
        <v>135.0</v>
      </c>
    </row>
    <row r="891">
      <c r="A891" s="129">
        <v>889.0</v>
      </c>
      <c r="B891" s="130">
        <v>45743.0</v>
      </c>
      <c r="C891" s="127" t="s">
        <v>1125</v>
      </c>
      <c r="D891" s="127" t="s">
        <v>988</v>
      </c>
      <c r="E891" s="131">
        <v>92400.0</v>
      </c>
      <c r="F891" s="128">
        <v>113.0</v>
      </c>
    </row>
    <row r="892">
      <c r="A892" s="129">
        <v>890.0</v>
      </c>
      <c r="B892" s="130">
        <v>45588.0</v>
      </c>
      <c r="C892" s="127" t="s">
        <v>18</v>
      </c>
      <c r="D892" s="127" t="s">
        <v>1126</v>
      </c>
      <c r="E892" s="131">
        <v>256027.26</v>
      </c>
      <c r="F892" s="128">
        <v>268.0</v>
      </c>
    </row>
    <row r="893">
      <c r="A893" s="129">
        <v>891.0</v>
      </c>
      <c r="B893" s="132">
        <v>45635.0</v>
      </c>
      <c r="C893" s="127" t="s">
        <v>18</v>
      </c>
      <c r="D893" s="127" t="s">
        <v>352</v>
      </c>
      <c r="E893" s="131">
        <v>366324.99</v>
      </c>
      <c r="F893" s="128">
        <v>221.0</v>
      </c>
    </row>
    <row r="894">
      <c r="A894" s="129">
        <v>892.0</v>
      </c>
      <c r="B894" s="130">
        <v>45643.0</v>
      </c>
      <c r="C894" s="127" t="s">
        <v>18</v>
      </c>
      <c r="D894" s="127" t="s">
        <v>204</v>
      </c>
      <c r="E894" s="131">
        <v>232275.01</v>
      </c>
      <c r="F894" s="128">
        <v>213.0</v>
      </c>
    </row>
    <row r="895">
      <c r="A895" s="129">
        <v>893.0</v>
      </c>
      <c r="B895" s="132">
        <v>45693.0</v>
      </c>
      <c r="C895" s="127" t="s">
        <v>18</v>
      </c>
      <c r="D895" s="127" t="s">
        <v>1127</v>
      </c>
      <c r="E895" s="131">
        <v>275450.03</v>
      </c>
      <c r="F895" s="128">
        <v>163.0</v>
      </c>
    </row>
    <row r="896">
      <c r="A896" s="129">
        <v>894.0</v>
      </c>
      <c r="B896" s="130">
        <v>45820.0</v>
      </c>
      <c r="C896" s="127" t="s">
        <v>18</v>
      </c>
      <c r="D896" s="127" t="s">
        <v>1128</v>
      </c>
      <c r="E896" s="131">
        <v>83999.99</v>
      </c>
      <c r="F896" s="128">
        <v>36.0</v>
      </c>
    </row>
    <row r="897">
      <c r="A897" s="129">
        <v>895.0</v>
      </c>
      <c r="B897" s="132">
        <v>45847.0</v>
      </c>
      <c r="C897" s="127" t="s">
        <v>18</v>
      </c>
      <c r="D897" s="127" t="s">
        <v>1129</v>
      </c>
      <c r="E897" s="131">
        <v>549470.4</v>
      </c>
      <c r="F897" s="128">
        <v>9.0</v>
      </c>
    </row>
    <row r="898">
      <c r="A898" s="129">
        <v>896.0</v>
      </c>
      <c r="B898" s="130">
        <v>45860.0</v>
      </c>
      <c r="C898" s="127" t="s">
        <v>18</v>
      </c>
      <c r="D898" s="127" t="s">
        <v>1130</v>
      </c>
      <c r="E898" s="131">
        <v>329993.02</v>
      </c>
      <c r="F898" s="128">
        <v>0.0</v>
      </c>
    </row>
    <row r="899">
      <c r="A899" s="129">
        <v>897.0</v>
      </c>
      <c r="B899" s="130">
        <v>45860.0</v>
      </c>
      <c r="C899" s="127" t="s">
        <v>18</v>
      </c>
      <c r="D899" s="127" t="s">
        <v>1131</v>
      </c>
      <c r="E899" s="131">
        <v>90000.0</v>
      </c>
      <c r="F899" s="128">
        <v>0.0</v>
      </c>
    </row>
    <row r="900">
      <c r="A900" s="129">
        <v>898.0</v>
      </c>
      <c r="B900" s="132">
        <v>45574.0</v>
      </c>
      <c r="C900" s="127" t="s">
        <v>1132</v>
      </c>
      <c r="D900" s="127" t="s">
        <v>1133</v>
      </c>
      <c r="E900" s="131">
        <v>243805.7</v>
      </c>
      <c r="F900" s="128">
        <v>282.0</v>
      </c>
    </row>
    <row r="901">
      <c r="A901" s="129">
        <v>899.0</v>
      </c>
      <c r="B901" s="130">
        <v>45728.0</v>
      </c>
      <c r="C901" s="127" t="s">
        <v>23</v>
      </c>
      <c r="D901" s="127" t="s">
        <v>595</v>
      </c>
      <c r="E901" s="131">
        <v>269070.03</v>
      </c>
      <c r="F901" s="128">
        <v>128.0</v>
      </c>
    </row>
    <row r="902">
      <c r="A902" s="129">
        <v>900.0</v>
      </c>
      <c r="B902" s="132">
        <v>45693.0</v>
      </c>
      <c r="C902" s="127" t="s">
        <v>23</v>
      </c>
      <c r="D902" s="127" t="s">
        <v>143</v>
      </c>
      <c r="E902" s="131">
        <v>220825.01</v>
      </c>
      <c r="F902" s="128">
        <v>163.0</v>
      </c>
    </row>
    <row r="903">
      <c r="A903" s="129">
        <v>901.0</v>
      </c>
      <c r="B903" s="132">
        <v>45756.0</v>
      </c>
      <c r="C903" s="127" t="s">
        <v>23</v>
      </c>
      <c r="D903" s="127" t="s">
        <v>1134</v>
      </c>
      <c r="E903" s="131">
        <v>207988.32</v>
      </c>
      <c r="F903" s="128">
        <v>100.0</v>
      </c>
    </row>
    <row r="904">
      <c r="A904" s="129">
        <v>902.0</v>
      </c>
      <c r="B904" s="130">
        <v>45764.0</v>
      </c>
      <c r="C904" s="127" t="s">
        <v>23</v>
      </c>
      <c r="D904" s="127" t="s">
        <v>1046</v>
      </c>
      <c r="E904" s="131">
        <v>18628.76</v>
      </c>
      <c r="F904" s="128">
        <v>92.0</v>
      </c>
    </row>
    <row r="905">
      <c r="A905" s="129">
        <v>903.0</v>
      </c>
      <c r="B905" s="130">
        <v>45826.0</v>
      </c>
      <c r="C905" s="127" t="s">
        <v>23</v>
      </c>
      <c r="D905" s="127" t="s">
        <v>801</v>
      </c>
      <c r="E905" s="131">
        <v>7927.55</v>
      </c>
      <c r="F905" s="128">
        <v>30.0</v>
      </c>
    </row>
    <row r="906">
      <c r="A906" s="129">
        <v>904.0</v>
      </c>
      <c r="B906" s="130">
        <v>45833.0</v>
      </c>
      <c r="C906" s="127" t="s">
        <v>23</v>
      </c>
      <c r="D906" s="127" t="s">
        <v>1135</v>
      </c>
      <c r="E906" s="131">
        <v>7173.35</v>
      </c>
      <c r="F906" s="128">
        <v>23.0</v>
      </c>
    </row>
    <row r="907">
      <c r="A907" s="129">
        <v>905.0</v>
      </c>
      <c r="B907" s="132">
        <v>45847.0</v>
      </c>
      <c r="C907" s="127" t="s">
        <v>23</v>
      </c>
      <c r="D907" s="127" t="s">
        <v>1136</v>
      </c>
      <c r="E907" s="131">
        <v>454539.86</v>
      </c>
      <c r="F907" s="128">
        <v>9.0</v>
      </c>
    </row>
    <row r="908">
      <c r="A908" s="129">
        <v>906.0</v>
      </c>
      <c r="B908" s="130">
        <v>45849.0</v>
      </c>
      <c r="C908" s="127" t="s">
        <v>23</v>
      </c>
      <c r="D908" s="127" t="s">
        <v>1137</v>
      </c>
      <c r="E908" s="131">
        <v>110700.01</v>
      </c>
      <c r="F908" s="128">
        <v>7.0</v>
      </c>
    </row>
    <row r="909">
      <c r="A909" s="129">
        <v>907.0</v>
      </c>
      <c r="B909" s="130">
        <v>45862.0</v>
      </c>
      <c r="C909" s="127" t="s">
        <v>23</v>
      </c>
      <c r="D909" s="127" t="s">
        <v>1138</v>
      </c>
      <c r="E909" s="131">
        <v>619549.24</v>
      </c>
      <c r="F909" s="128">
        <v>0.0</v>
      </c>
    </row>
    <row r="910">
      <c r="A910" s="129">
        <v>908.0</v>
      </c>
      <c r="B910" s="130">
        <v>45862.0</v>
      </c>
      <c r="C910" s="127" t="s">
        <v>23</v>
      </c>
      <c r="D910" s="127" t="s">
        <v>1139</v>
      </c>
      <c r="E910" s="131">
        <v>122400.0</v>
      </c>
      <c r="F910" s="128">
        <v>0.0</v>
      </c>
    </row>
    <row r="911">
      <c r="A911" s="129">
        <v>909.0</v>
      </c>
      <c r="B911" s="130">
        <v>45624.0</v>
      </c>
      <c r="C911" s="127" t="s">
        <v>1140</v>
      </c>
      <c r="D911" s="127" t="s">
        <v>1141</v>
      </c>
      <c r="E911" s="131">
        <v>104000.0</v>
      </c>
      <c r="F911" s="128">
        <v>232.0</v>
      </c>
    </row>
    <row r="912">
      <c r="A912" s="129">
        <v>910.0</v>
      </c>
      <c r="B912" s="130">
        <v>45652.0</v>
      </c>
      <c r="C912" s="127" t="s">
        <v>1140</v>
      </c>
      <c r="D912" s="127" t="s">
        <v>1142</v>
      </c>
      <c r="E912" s="131">
        <v>75350.01</v>
      </c>
      <c r="F912" s="128">
        <v>204.0</v>
      </c>
    </row>
    <row r="913">
      <c r="A913" s="129">
        <v>911.0</v>
      </c>
      <c r="B913" s="130">
        <v>45857.0</v>
      </c>
      <c r="C913" s="127" t="s">
        <v>1140</v>
      </c>
      <c r="D913" s="127" t="s">
        <v>714</v>
      </c>
      <c r="E913" s="131">
        <v>78135.5</v>
      </c>
      <c r="F913" s="128">
        <v>0.0</v>
      </c>
    </row>
    <row r="914">
      <c r="A914" s="129">
        <v>912.0</v>
      </c>
      <c r="B914" s="130">
        <v>45624.0</v>
      </c>
      <c r="C914" s="127" t="s">
        <v>1143</v>
      </c>
      <c r="D914" s="127" t="s">
        <v>1040</v>
      </c>
      <c r="E914" s="131">
        <v>221800.01</v>
      </c>
      <c r="F914" s="128">
        <v>232.0</v>
      </c>
    </row>
    <row r="915">
      <c r="A915" s="129">
        <v>913.0</v>
      </c>
      <c r="B915" s="130">
        <v>45828.0</v>
      </c>
      <c r="C915" s="127" t="s">
        <v>1143</v>
      </c>
      <c r="D915" s="127" t="s">
        <v>1144</v>
      </c>
      <c r="E915" s="131">
        <v>178200.04</v>
      </c>
      <c r="F915" s="128">
        <v>28.0</v>
      </c>
    </row>
    <row r="916">
      <c r="A916" s="129">
        <v>914.0</v>
      </c>
      <c r="B916" s="134">
        <v>45806.0</v>
      </c>
      <c r="C916" s="127" t="s">
        <v>1145</v>
      </c>
      <c r="D916" s="127" t="s">
        <v>1146</v>
      </c>
      <c r="E916" s="131">
        <v>260500.02</v>
      </c>
      <c r="F916" s="128">
        <v>63.0</v>
      </c>
    </row>
    <row r="917">
      <c r="A917" s="129">
        <v>915.0</v>
      </c>
      <c r="B917" s="134">
        <v>45806.0</v>
      </c>
      <c r="C917" s="127" t="s">
        <v>1145</v>
      </c>
      <c r="D917" s="127" t="s">
        <v>1147</v>
      </c>
      <c r="E917" s="131">
        <v>240000.0</v>
      </c>
      <c r="F917" s="128">
        <v>63.0</v>
      </c>
    </row>
    <row r="918">
      <c r="A918" s="129">
        <v>916.0</v>
      </c>
      <c r="B918" s="130">
        <v>45853.0</v>
      </c>
      <c r="C918" s="127" t="s">
        <v>1145</v>
      </c>
      <c r="D918" s="127" t="s">
        <v>668</v>
      </c>
      <c r="E918" s="131">
        <v>185000.03</v>
      </c>
      <c r="F918" s="128">
        <v>3.0</v>
      </c>
    </row>
    <row r="919">
      <c r="A919" s="129">
        <v>917.0</v>
      </c>
      <c r="B919" s="130">
        <v>45868.0</v>
      </c>
      <c r="C919" s="127" t="s">
        <v>1145</v>
      </c>
      <c r="D919" s="127" t="s">
        <v>1148</v>
      </c>
      <c r="E919" s="131">
        <v>76281.73</v>
      </c>
      <c r="F919" s="128">
        <v>0.0</v>
      </c>
    </row>
    <row r="920">
      <c r="A920" s="129">
        <v>918.0</v>
      </c>
      <c r="B920" s="130">
        <v>45835.0</v>
      </c>
      <c r="C920" s="127" t="s">
        <v>1149</v>
      </c>
      <c r="D920" s="127" t="s">
        <v>1150</v>
      </c>
      <c r="E920" s="131">
        <v>117802.18</v>
      </c>
      <c r="F920" s="128">
        <v>21.0</v>
      </c>
    </row>
    <row r="921">
      <c r="A921" s="129">
        <v>919.0</v>
      </c>
      <c r="B921" s="134">
        <v>45791.0</v>
      </c>
      <c r="C921" s="127" t="s">
        <v>1151</v>
      </c>
      <c r="D921" s="127" t="s">
        <v>1152</v>
      </c>
      <c r="E921" s="131">
        <v>120000.0</v>
      </c>
      <c r="F921" s="128">
        <v>65.0</v>
      </c>
    </row>
    <row r="922">
      <c r="A922" s="129">
        <v>920.0</v>
      </c>
      <c r="B922" s="134">
        <v>45801.0</v>
      </c>
      <c r="C922" s="127" t="s">
        <v>1151</v>
      </c>
      <c r="D922" s="127" t="s">
        <v>1153</v>
      </c>
      <c r="E922" s="131">
        <v>72300.0</v>
      </c>
      <c r="F922" s="128">
        <v>55.0</v>
      </c>
    </row>
    <row r="923">
      <c r="A923" s="129">
        <v>921.0</v>
      </c>
      <c r="B923" s="132">
        <v>45813.0</v>
      </c>
      <c r="C923" s="127" t="s">
        <v>1151</v>
      </c>
      <c r="D923" s="127" t="s">
        <v>1154</v>
      </c>
      <c r="E923" s="131">
        <v>39800.0</v>
      </c>
      <c r="F923" s="128">
        <v>43.0</v>
      </c>
    </row>
    <row r="924">
      <c r="A924" s="129">
        <v>922.0</v>
      </c>
      <c r="B924" s="132">
        <v>45845.0</v>
      </c>
      <c r="C924" s="127" t="s">
        <v>1151</v>
      </c>
      <c r="D924" s="127" t="s">
        <v>1155</v>
      </c>
      <c r="E924" s="131">
        <v>79800.0</v>
      </c>
      <c r="F924" s="128">
        <v>11.0</v>
      </c>
    </row>
    <row r="925">
      <c r="A925" s="129">
        <v>923.0</v>
      </c>
      <c r="B925" s="130">
        <v>45859.0</v>
      </c>
      <c r="C925" s="127" t="s">
        <v>1151</v>
      </c>
      <c r="D925" s="127" t="s">
        <v>1156</v>
      </c>
      <c r="E925" s="131">
        <v>27478.49</v>
      </c>
      <c r="F925" s="128">
        <v>0.0</v>
      </c>
    </row>
    <row r="926">
      <c r="A926" s="129">
        <v>924.0</v>
      </c>
      <c r="B926" s="130">
        <v>45867.0</v>
      </c>
      <c r="C926" s="127" t="s">
        <v>1151</v>
      </c>
      <c r="D926" s="127" t="s">
        <v>1157</v>
      </c>
      <c r="E926" s="131">
        <v>127200.0</v>
      </c>
      <c r="F926" s="128">
        <v>0.0</v>
      </c>
    </row>
    <row r="927">
      <c r="A927" s="129">
        <v>925.0</v>
      </c>
      <c r="B927" s="130">
        <v>45679.0</v>
      </c>
      <c r="C927" s="127" t="s">
        <v>1158</v>
      </c>
      <c r="D927" s="127" t="s">
        <v>1159</v>
      </c>
      <c r="E927" s="131">
        <v>32000.0</v>
      </c>
      <c r="F927" s="128">
        <v>177.0</v>
      </c>
    </row>
    <row r="928">
      <c r="A928" s="129">
        <v>926.0</v>
      </c>
      <c r="B928" s="134">
        <v>45792.0</v>
      </c>
      <c r="C928" s="127" t="s">
        <v>1160</v>
      </c>
      <c r="D928" s="127" t="s">
        <v>1161</v>
      </c>
      <c r="E928" s="131">
        <v>10500.0</v>
      </c>
      <c r="F928" s="128">
        <v>57.0</v>
      </c>
    </row>
    <row r="929">
      <c r="A929" s="129">
        <v>927.0</v>
      </c>
      <c r="B929" s="132">
        <v>45752.0</v>
      </c>
      <c r="C929" s="127" t="s">
        <v>1162</v>
      </c>
      <c r="D929" s="127" t="s">
        <v>163</v>
      </c>
      <c r="E929" s="131">
        <v>25787.51</v>
      </c>
      <c r="F929" s="128">
        <v>111.0</v>
      </c>
    </row>
    <row r="930">
      <c r="A930" s="129">
        <v>928.0</v>
      </c>
      <c r="B930" s="130">
        <v>45769.0</v>
      </c>
      <c r="C930" s="127" t="s">
        <v>1162</v>
      </c>
      <c r="D930" s="127" t="s">
        <v>328</v>
      </c>
      <c r="E930" s="131">
        <v>104212.5</v>
      </c>
      <c r="F930" s="128">
        <v>87.0</v>
      </c>
    </row>
    <row r="931">
      <c r="A931" s="129">
        <v>929.0</v>
      </c>
      <c r="B931" s="133">
        <v>45784.0</v>
      </c>
      <c r="C931" s="127" t="s">
        <v>1162</v>
      </c>
      <c r="D931" s="127" t="s">
        <v>1163</v>
      </c>
      <c r="E931" s="131">
        <v>60000.0</v>
      </c>
      <c r="F931" s="128">
        <v>72.0</v>
      </c>
    </row>
    <row r="932">
      <c r="A932" s="129">
        <v>930.0</v>
      </c>
      <c r="B932" s="133">
        <v>45784.0</v>
      </c>
      <c r="C932" s="127" t="s">
        <v>1162</v>
      </c>
      <c r="D932" s="127" t="s">
        <v>1164</v>
      </c>
      <c r="E932" s="131">
        <v>123652.34</v>
      </c>
      <c r="F932" s="128">
        <v>72.0</v>
      </c>
    </row>
    <row r="933">
      <c r="A933" s="129">
        <v>931.0</v>
      </c>
      <c r="B933" s="134">
        <v>45807.0</v>
      </c>
      <c r="C933" s="127" t="s">
        <v>1162</v>
      </c>
      <c r="D933" s="127" t="s">
        <v>1165</v>
      </c>
      <c r="E933" s="131">
        <v>97082.07</v>
      </c>
      <c r="F933" s="128">
        <v>49.0</v>
      </c>
    </row>
    <row r="934">
      <c r="A934" s="129">
        <v>932.0</v>
      </c>
      <c r="B934" s="130">
        <v>45834.0</v>
      </c>
      <c r="C934" s="127" t="s">
        <v>1162</v>
      </c>
      <c r="D934" s="127" t="s">
        <v>1166</v>
      </c>
      <c r="E934" s="131">
        <v>167393.72</v>
      </c>
      <c r="F934" s="128">
        <v>22.0</v>
      </c>
    </row>
    <row r="935">
      <c r="A935" s="129">
        <v>933.0</v>
      </c>
      <c r="B935" s="130">
        <v>45853.0</v>
      </c>
      <c r="C935" s="127" t="s">
        <v>1162</v>
      </c>
      <c r="D935" s="127" t="s">
        <v>1167</v>
      </c>
      <c r="E935" s="131">
        <v>195573.12</v>
      </c>
      <c r="F935" s="128">
        <v>3.0</v>
      </c>
    </row>
    <row r="936">
      <c r="A936" s="129">
        <v>934.0</v>
      </c>
      <c r="B936" s="130">
        <v>45853.0</v>
      </c>
      <c r="C936" s="127" t="s">
        <v>1162</v>
      </c>
      <c r="D936" s="127" t="s">
        <v>1168</v>
      </c>
      <c r="E936" s="131">
        <v>164604.06</v>
      </c>
      <c r="F936" s="128">
        <v>3.0</v>
      </c>
    </row>
    <row r="937">
      <c r="A937" s="129">
        <v>935.0</v>
      </c>
      <c r="B937" s="130">
        <v>45681.0</v>
      </c>
      <c r="C937" s="127" t="s">
        <v>1169</v>
      </c>
      <c r="D937" s="127" t="s">
        <v>499</v>
      </c>
      <c r="E937" s="131">
        <v>79400.01</v>
      </c>
      <c r="F937" s="128">
        <v>175.0</v>
      </c>
    </row>
    <row r="938">
      <c r="A938" s="129">
        <v>936.0</v>
      </c>
      <c r="B938" s="130">
        <v>45579.0</v>
      </c>
      <c r="C938" s="127" t="s">
        <v>1169</v>
      </c>
      <c r="D938" s="127" t="s">
        <v>1170</v>
      </c>
      <c r="E938" s="131">
        <v>102125.85</v>
      </c>
      <c r="F938" s="128">
        <v>277.0</v>
      </c>
    </row>
    <row r="939">
      <c r="A939" s="129">
        <v>937.0</v>
      </c>
      <c r="B939" s="130">
        <v>45581.0</v>
      </c>
      <c r="C939" s="127" t="s">
        <v>1169</v>
      </c>
      <c r="D939" s="127" t="s">
        <v>1171</v>
      </c>
      <c r="E939" s="131">
        <v>81601.1</v>
      </c>
      <c r="F939" s="128">
        <v>275.0</v>
      </c>
    </row>
    <row r="940">
      <c r="A940" s="129">
        <v>938.0</v>
      </c>
      <c r="B940" s="130">
        <v>45595.0</v>
      </c>
      <c r="C940" s="127" t="s">
        <v>1169</v>
      </c>
      <c r="D940" s="127" t="s">
        <v>1172</v>
      </c>
      <c r="E940" s="131">
        <v>159840.01</v>
      </c>
      <c r="F940" s="128">
        <v>261.0</v>
      </c>
    </row>
    <row r="941">
      <c r="A941" s="129">
        <v>939.0</v>
      </c>
      <c r="B941" s="130">
        <v>45729.0</v>
      </c>
      <c r="C941" s="127" t="s">
        <v>1169</v>
      </c>
      <c r="D941" s="127" t="s">
        <v>1173</v>
      </c>
      <c r="E941" s="131">
        <v>85200.0</v>
      </c>
      <c r="F941" s="128">
        <v>127.0</v>
      </c>
    </row>
    <row r="942">
      <c r="A942" s="129">
        <v>940.0</v>
      </c>
      <c r="B942" s="130">
        <v>45729.0</v>
      </c>
      <c r="C942" s="127" t="s">
        <v>1169</v>
      </c>
      <c r="D942" s="127" t="s">
        <v>1174</v>
      </c>
      <c r="E942" s="131">
        <v>231070.45</v>
      </c>
      <c r="F942" s="128">
        <v>127.0</v>
      </c>
    </row>
    <row r="943">
      <c r="A943" s="129">
        <v>941.0</v>
      </c>
      <c r="B943" s="130">
        <v>45747.0</v>
      </c>
      <c r="C943" s="127" t="s">
        <v>1169</v>
      </c>
      <c r="D943" s="127" t="s">
        <v>1175</v>
      </c>
      <c r="E943" s="131">
        <v>255780.02</v>
      </c>
      <c r="F943" s="128">
        <v>109.0</v>
      </c>
    </row>
    <row r="944">
      <c r="A944" s="129">
        <v>942.0</v>
      </c>
      <c r="B944" s="130">
        <v>45713.0</v>
      </c>
      <c r="C944" s="127" t="s">
        <v>1169</v>
      </c>
      <c r="D944" s="127" t="s">
        <v>1176</v>
      </c>
      <c r="E944" s="131">
        <v>120540.0</v>
      </c>
      <c r="F944" s="128">
        <v>143.0</v>
      </c>
    </row>
    <row r="945">
      <c r="A945" s="129">
        <v>943.0</v>
      </c>
      <c r="B945" s="130">
        <v>45777.0</v>
      </c>
      <c r="C945" s="127" t="s">
        <v>1169</v>
      </c>
      <c r="D945" s="127" t="s">
        <v>1177</v>
      </c>
      <c r="E945" s="131">
        <v>323048.62</v>
      </c>
      <c r="F945" s="128">
        <v>79.0</v>
      </c>
    </row>
    <row r="946">
      <c r="A946" s="129">
        <v>944.0</v>
      </c>
      <c r="B946" s="132">
        <v>45810.0</v>
      </c>
      <c r="C946" s="127" t="s">
        <v>1169</v>
      </c>
      <c r="D946" s="127" t="s">
        <v>1178</v>
      </c>
      <c r="E946" s="131">
        <v>256845.28</v>
      </c>
      <c r="F946" s="128">
        <v>46.0</v>
      </c>
    </row>
    <row r="947">
      <c r="A947" s="129">
        <v>945.0</v>
      </c>
      <c r="B947" s="130">
        <v>45671.0</v>
      </c>
      <c r="C947" s="127" t="s">
        <v>1179</v>
      </c>
      <c r="D947" s="127" t="s">
        <v>1180</v>
      </c>
      <c r="E947" s="131">
        <v>45500.0</v>
      </c>
      <c r="F947" s="128">
        <v>185.0</v>
      </c>
    </row>
    <row r="948">
      <c r="A948" s="129">
        <v>946.0</v>
      </c>
      <c r="B948" s="132">
        <v>45631.0</v>
      </c>
      <c r="C948" s="127" t="s">
        <v>1179</v>
      </c>
      <c r="D948" s="127" t="s">
        <v>272</v>
      </c>
      <c r="E948" s="131">
        <v>35000.0</v>
      </c>
      <c r="F948" s="128">
        <v>225.0</v>
      </c>
    </row>
    <row r="949">
      <c r="A949" s="129">
        <v>947.0</v>
      </c>
      <c r="B949" s="130">
        <v>45713.0</v>
      </c>
      <c r="C949" s="127" t="s">
        <v>1179</v>
      </c>
      <c r="D949" s="127" t="s">
        <v>1181</v>
      </c>
      <c r="E949" s="131">
        <v>45500.0</v>
      </c>
      <c r="F949" s="128">
        <v>143.0</v>
      </c>
    </row>
    <row r="950">
      <c r="A950" s="129">
        <v>948.0</v>
      </c>
      <c r="B950" s="132">
        <v>45543.0</v>
      </c>
      <c r="C950" s="127" t="s">
        <v>1182</v>
      </c>
      <c r="D950" s="127" t="s">
        <v>1183</v>
      </c>
      <c r="E950" s="131">
        <v>32000.6</v>
      </c>
      <c r="F950" s="128">
        <v>313.0</v>
      </c>
    </row>
    <row r="951">
      <c r="A951" s="129">
        <v>949.0</v>
      </c>
      <c r="B951" s="130">
        <v>45673.0</v>
      </c>
      <c r="C951" s="127" t="s">
        <v>1184</v>
      </c>
      <c r="D951" s="127" t="s">
        <v>147</v>
      </c>
      <c r="E951" s="131">
        <v>301787.5</v>
      </c>
      <c r="F951" s="128">
        <v>167.0</v>
      </c>
    </row>
    <row r="952">
      <c r="A952" s="129">
        <v>950.0</v>
      </c>
      <c r="B952" s="130">
        <v>45616.0</v>
      </c>
      <c r="C952" s="127" t="s">
        <v>1185</v>
      </c>
      <c r="D952" s="127" t="s">
        <v>1186</v>
      </c>
      <c r="E952" s="131">
        <v>31499.99</v>
      </c>
      <c r="F952" s="128">
        <v>251.0</v>
      </c>
    </row>
    <row r="953">
      <c r="A953" s="129">
        <v>951.0</v>
      </c>
      <c r="B953" s="130">
        <v>45650.0</v>
      </c>
      <c r="C953" s="127" t="s">
        <v>1185</v>
      </c>
      <c r="D953" s="127" t="s">
        <v>888</v>
      </c>
      <c r="E953" s="131">
        <v>52500.0</v>
      </c>
      <c r="F953" s="128">
        <v>206.0</v>
      </c>
    </row>
    <row r="954">
      <c r="A954" s="129">
        <v>952.0</v>
      </c>
      <c r="B954" s="130">
        <v>45831.0</v>
      </c>
      <c r="C954" s="127" t="s">
        <v>1185</v>
      </c>
      <c r="D954" s="127" t="s">
        <v>1187</v>
      </c>
      <c r="E954" s="131">
        <v>52500.0</v>
      </c>
      <c r="F954" s="128">
        <v>25.0</v>
      </c>
    </row>
    <row r="955">
      <c r="A955" s="129">
        <v>953.0</v>
      </c>
      <c r="B955" s="130">
        <v>45590.0</v>
      </c>
      <c r="C955" s="127" t="s">
        <v>1188</v>
      </c>
      <c r="D955" s="127" t="s">
        <v>1189</v>
      </c>
      <c r="E955" s="131">
        <v>125750.01</v>
      </c>
      <c r="F955" s="128">
        <v>266.0</v>
      </c>
    </row>
    <row r="956">
      <c r="A956" s="129">
        <v>954.0</v>
      </c>
      <c r="B956" s="132">
        <v>45692.0</v>
      </c>
      <c r="C956" s="127" t="s">
        <v>1188</v>
      </c>
      <c r="D956" s="127" t="s">
        <v>784</v>
      </c>
      <c r="E956" s="131">
        <v>128503.35</v>
      </c>
      <c r="F956" s="128">
        <v>164.0</v>
      </c>
    </row>
    <row r="957">
      <c r="A957" s="129">
        <v>955.0</v>
      </c>
      <c r="B957" s="134">
        <v>45800.0</v>
      </c>
      <c r="C957" s="127" t="s">
        <v>1188</v>
      </c>
      <c r="D957" s="127" t="s">
        <v>1190</v>
      </c>
      <c r="E957" s="131">
        <v>120000.0</v>
      </c>
      <c r="F957" s="128">
        <v>56.0</v>
      </c>
    </row>
    <row r="958">
      <c r="A958" s="129">
        <v>956.0</v>
      </c>
      <c r="B958" s="130">
        <v>45853.0</v>
      </c>
      <c r="C958" s="127" t="s">
        <v>1188</v>
      </c>
      <c r="D958" s="127" t="s">
        <v>1191</v>
      </c>
      <c r="E958" s="131">
        <v>199200.02</v>
      </c>
      <c r="F958" s="128">
        <v>3.0</v>
      </c>
    </row>
    <row r="959">
      <c r="A959" s="129">
        <v>957.0</v>
      </c>
      <c r="B959" s="132">
        <v>45811.0</v>
      </c>
      <c r="C959" s="127" t="s">
        <v>1192</v>
      </c>
      <c r="D959" s="127" t="s">
        <v>1193</v>
      </c>
      <c r="E959" s="131">
        <v>52500.0</v>
      </c>
      <c r="F959" s="128">
        <v>58.0</v>
      </c>
    </row>
    <row r="960">
      <c r="A960" s="129">
        <v>958.0</v>
      </c>
      <c r="B960" s="130">
        <v>45820.0</v>
      </c>
      <c r="C960" s="127" t="s">
        <v>1192</v>
      </c>
      <c r="D960" s="127" t="s">
        <v>1194</v>
      </c>
      <c r="E960" s="131">
        <v>27850.09</v>
      </c>
      <c r="F960" s="128">
        <v>49.0</v>
      </c>
    </row>
    <row r="961">
      <c r="A961" s="129">
        <v>959.0</v>
      </c>
      <c r="B961" s="130">
        <v>45773.0</v>
      </c>
      <c r="C961" s="127" t="s">
        <v>1195</v>
      </c>
      <c r="D961" s="127" t="s">
        <v>1196</v>
      </c>
      <c r="E961" s="131">
        <v>87500.0</v>
      </c>
      <c r="F961" s="128">
        <v>76.0</v>
      </c>
    </row>
    <row r="962">
      <c r="A962" s="129">
        <v>960.0</v>
      </c>
      <c r="B962" s="133">
        <v>45785.0</v>
      </c>
      <c r="C962" s="127" t="s">
        <v>1195</v>
      </c>
      <c r="D962" s="127" t="s">
        <v>1197</v>
      </c>
      <c r="E962" s="131">
        <v>43039.9</v>
      </c>
      <c r="F962" s="128">
        <v>64.0</v>
      </c>
    </row>
    <row r="963">
      <c r="A963" s="129">
        <v>961.0</v>
      </c>
      <c r="B963" s="130">
        <v>45733.0</v>
      </c>
      <c r="C963" s="127" t="s">
        <v>1198</v>
      </c>
      <c r="D963" s="127" t="s">
        <v>1199</v>
      </c>
      <c r="E963" s="131">
        <v>107600.02</v>
      </c>
      <c r="F963" s="128">
        <v>123.0</v>
      </c>
    </row>
    <row r="964">
      <c r="A964" s="129">
        <v>962.0</v>
      </c>
      <c r="B964" s="130">
        <v>45762.0</v>
      </c>
      <c r="C964" s="127" t="s">
        <v>1198</v>
      </c>
      <c r="D964" s="127" t="s">
        <v>1200</v>
      </c>
      <c r="E964" s="131">
        <v>88000.02</v>
      </c>
      <c r="F964" s="128">
        <v>94.0</v>
      </c>
    </row>
    <row r="965">
      <c r="A965" s="129">
        <v>963.0</v>
      </c>
      <c r="B965" s="130">
        <v>45775.0</v>
      </c>
      <c r="C965" s="127" t="s">
        <v>1198</v>
      </c>
      <c r="D965" s="127" t="s">
        <v>1201</v>
      </c>
      <c r="E965" s="131">
        <v>55833.5</v>
      </c>
      <c r="F965" s="128">
        <v>81.0</v>
      </c>
    </row>
    <row r="966">
      <c r="A966" s="129">
        <v>964.0</v>
      </c>
      <c r="B966" s="134">
        <v>45793.0</v>
      </c>
      <c r="C966" s="127" t="s">
        <v>1198</v>
      </c>
      <c r="D966" s="127" t="s">
        <v>1202</v>
      </c>
      <c r="E966" s="131">
        <v>42000.01</v>
      </c>
      <c r="F966" s="128">
        <v>63.0</v>
      </c>
    </row>
    <row r="967">
      <c r="A967" s="129">
        <v>965.0</v>
      </c>
      <c r="B967" s="130">
        <v>45835.0</v>
      </c>
      <c r="C967" s="127" t="s">
        <v>1198</v>
      </c>
      <c r="D967" s="127" t="s">
        <v>1203</v>
      </c>
      <c r="E967" s="131">
        <v>78500.0</v>
      </c>
      <c r="F967" s="128">
        <v>21.0</v>
      </c>
    </row>
    <row r="968">
      <c r="A968" s="129">
        <v>966.0</v>
      </c>
      <c r="B968" s="130">
        <v>45859.0</v>
      </c>
      <c r="C968" s="127" t="s">
        <v>1198</v>
      </c>
      <c r="D968" s="127" t="s">
        <v>1204</v>
      </c>
      <c r="E968" s="131">
        <v>66600.02</v>
      </c>
      <c r="F968" s="128">
        <v>0.0</v>
      </c>
    </row>
    <row r="969">
      <c r="A969" s="129">
        <v>967.0</v>
      </c>
      <c r="B969" s="130">
        <v>45734.0</v>
      </c>
      <c r="C969" s="127" t="s">
        <v>1205</v>
      </c>
      <c r="D969" s="127" t="s">
        <v>447</v>
      </c>
      <c r="E969" s="131">
        <v>257900.06</v>
      </c>
      <c r="F969" s="128">
        <v>122.0</v>
      </c>
    </row>
    <row r="970">
      <c r="A970" s="129">
        <v>968.0</v>
      </c>
      <c r="B970" s="130">
        <v>45757.0</v>
      </c>
      <c r="C970" s="127" t="s">
        <v>1205</v>
      </c>
      <c r="D970" s="127" t="s">
        <v>1206</v>
      </c>
      <c r="E970" s="131">
        <v>193400.05</v>
      </c>
      <c r="F970" s="128">
        <v>99.0</v>
      </c>
    </row>
    <row r="971">
      <c r="A971" s="129">
        <v>969.0</v>
      </c>
      <c r="B971" s="130">
        <v>45777.0</v>
      </c>
      <c r="C971" s="127" t="s">
        <v>1205</v>
      </c>
      <c r="D971" s="127" t="s">
        <v>1207</v>
      </c>
      <c r="E971" s="131">
        <v>226800.02</v>
      </c>
      <c r="F971" s="128">
        <v>79.0</v>
      </c>
    </row>
    <row r="972">
      <c r="A972" s="129">
        <v>970.0</v>
      </c>
      <c r="B972" s="134">
        <v>45791.0</v>
      </c>
      <c r="C972" s="127" t="s">
        <v>1205</v>
      </c>
      <c r="D972" s="127" t="s">
        <v>1208</v>
      </c>
      <c r="E972" s="131">
        <v>155800.05</v>
      </c>
      <c r="F972" s="128">
        <v>65.0</v>
      </c>
    </row>
    <row r="973">
      <c r="A973" s="129">
        <v>971.0</v>
      </c>
      <c r="B973" s="132">
        <v>45812.0</v>
      </c>
      <c r="C973" s="127" t="s">
        <v>1205</v>
      </c>
      <c r="D973" s="127" t="s">
        <v>1209</v>
      </c>
      <c r="E973" s="131">
        <v>233100.03</v>
      </c>
      <c r="F973" s="128">
        <v>44.0</v>
      </c>
    </row>
    <row r="974">
      <c r="A974" s="129">
        <v>972.0</v>
      </c>
      <c r="B974" s="130">
        <v>45838.0</v>
      </c>
      <c r="C974" s="127" t="s">
        <v>1205</v>
      </c>
      <c r="D974" s="127" t="s">
        <v>1210</v>
      </c>
      <c r="E974" s="131">
        <v>240700.04</v>
      </c>
      <c r="F974" s="128">
        <v>18.0</v>
      </c>
    </row>
    <row r="975">
      <c r="A975" s="129">
        <v>973.0</v>
      </c>
      <c r="B975" s="130">
        <v>45857.0</v>
      </c>
      <c r="C975" s="127" t="s">
        <v>1205</v>
      </c>
      <c r="D975" s="127" t="s">
        <v>1211</v>
      </c>
      <c r="E975" s="131">
        <v>316400.01</v>
      </c>
      <c r="F975" s="128">
        <v>0.0</v>
      </c>
    </row>
    <row r="976">
      <c r="A976" s="129">
        <v>974.0</v>
      </c>
      <c r="B976" s="130">
        <v>45734.0</v>
      </c>
      <c r="C976" s="127" t="s">
        <v>1212</v>
      </c>
      <c r="D976" s="127" t="s">
        <v>1213</v>
      </c>
      <c r="E976" s="131">
        <v>117200.03</v>
      </c>
      <c r="F976" s="128">
        <v>122.0</v>
      </c>
    </row>
    <row r="977">
      <c r="A977" s="129">
        <v>975.0</v>
      </c>
      <c r="B977" s="130">
        <v>45757.0</v>
      </c>
      <c r="C977" s="127" t="s">
        <v>1212</v>
      </c>
      <c r="D977" s="127" t="s">
        <v>1214</v>
      </c>
      <c r="E977" s="131">
        <v>118400.02</v>
      </c>
      <c r="F977" s="128">
        <v>99.0</v>
      </c>
    </row>
    <row r="978">
      <c r="A978" s="129">
        <v>976.0</v>
      </c>
      <c r="B978" s="130">
        <v>45776.0</v>
      </c>
      <c r="C978" s="127" t="s">
        <v>1212</v>
      </c>
      <c r="D978" s="127" t="s">
        <v>1215</v>
      </c>
      <c r="E978" s="131">
        <v>102800.0</v>
      </c>
      <c r="F978" s="128">
        <v>80.0</v>
      </c>
    </row>
    <row r="979">
      <c r="A979" s="129">
        <v>977.0</v>
      </c>
      <c r="B979" s="134">
        <v>45791.0</v>
      </c>
      <c r="C979" s="127" t="s">
        <v>1212</v>
      </c>
      <c r="D979" s="127" t="s">
        <v>1216</v>
      </c>
      <c r="E979" s="131">
        <v>99700.04</v>
      </c>
      <c r="F979" s="128">
        <v>65.0</v>
      </c>
    </row>
    <row r="980">
      <c r="A980" s="129">
        <v>978.0</v>
      </c>
      <c r="B980" s="130">
        <v>45819.0</v>
      </c>
      <c r="C980" s="127" t="s">
        <v>1212</v>
      </c>
      <c r="D980" s="127" t="s">
        <v>1217</v>
      </c>
      <c r="E980" s="131">
        <v>98100.0</v>
      </c>
      <c r="F980" s="128">
        <v>37.0</v>
      </c>
    </row>
    <row r="981">
      <c r="A981" s="129">
        <v>979.0</v>
      </c>
      <c r="B981" s="130">
        <v>45838.0</v>
      </c>
      <c r="C981" s="127" t="s">
        <v>1212</v>
      </c>
      <c r="D981" s="127" t="s">
        <v>1218</v>
      </c>
      <c r="E981" s="131">
        <v>110000.03</v>
      </c>
      <c r="F981" s="128">
        <v>18.0</v>
      </c>
    </row>
    <row r="982">
      <c r="A982" s="129">
        <v>980.0</v>
      </c>
      <c r="B982" s="130">
        <v>45862.0</v>
      </c>
      <c r="C982" s="127" t="s">
        <v>1212</v>
      </c>
      <c r="D982" s="127" t="s">
        <v>342</v>
      </c>
      <c r="E982" s="131">
        <v>131213.99</v>
      </c>
      <c r="F982" s="128">
        <v>0.0</v>
      </c>
    </row>
    <row r="983">
      <c r="A983" s="129">
        <v>981.0</v>
      </c>
      <c r="B983" s="130">
        <v>45733.0</v>
      </c>
      <c r="C983" s="127" t="s">
        <v>1219</v>
      </c>
      <c r="D983" s="127" t="s">
        <v>1220</v>
      </c>
      <c r="E983" s="131">
        <v>100093.04</v>
      </c>
      <c r="F983" s="128">
        <v>123.0</v>
      </c>
    </row>
    <row r="984">
      <c r="A984" s="129">
        <v>982.0</v>
      </c>
      <c r="B984" s="132">
        <v>45756.0</v>
      </c>
      <c r="C984" s="127" t="s">
        <v>1219</v>
      </c>
      <c r="D984" s="127" t="s">
        <v>1214</v>
      </c>
      <c r="E984" s="131">
        <v>30800.02</v>
      </c>
      <c r="F984" s="128">
        <v>100.0</v>
      </c>
    </row>
    <row r="985">
      <c r="A985" s="129">
        <v>983.0</v>
      </c>
      <c r="B985" s="130">
        <v>45775.0</v>
      </c>
      <c r="C985" s="127" t="s">
        <v>1219</v>
      </c>
      <c r="D985" s="127" t="s">
        <v>1221</v>
      </c>
      <c r="E985" s="131">
        <v>95800.0</v>
      </c>
      <c r="F985" s="128">
        <v>81.0</v>
      </c>
    </row>
    <row r="986">
      <c r="A986" s="129">
        <v>984.0</v>
      </c>
      <c r="B986" s="134">
        <v>45796.0</v>
      </c>
      <c r="C986" s="127" t="s">
        <v>1219</v>
      </c>
      <c r="D986" s="127" t="s">
        <v>1222</v>
      </c>
      <c r="E986" s="131">
        <v>54000.02</v>
      </c>
      <c r="F986" s="128">
        <v>60.0</v>
      </c>
    </row>
    <row r="987">
      <c r="A987" s="129">
        <v>985.0</v>
      </c>
      <c r="B987" s="132">
        <v>45812.0</v>
      </c>
      <c r="C987" s="127" t="s">
        <v>1219</v>
      </c>
      <c r="D987" s="127" t="s">
        <v>1223</v>
      </c>
      <c r="E987" s="131">
        <v>125000.01</v>
      </c>
      <c r="F987" s="128">
        <v>44.0</v>
      </c>
    </row>
    <row r="988">
      <c r="A988" s="129">
        <v>986.0</v>
      </c>
      <c r="B988" s="132">
        <v>45839.0</v>
      </c>
      <c r="C988" s="127" t="s">
        <v>1219</v>
      </c>
      <c r="D988" s="127" t="s">
        <v>1224</v>
      </c>
      <c r="E988" s="131">
        <v>85300.01</v>
      </c>
      <c r="F988" s="128">
        <v>17.0</v>
      </c>
    </row>
    <row r="989">
      <c r="A989" s="129">
        <v>987.0</v>
      </c>
      <c r="B989" s="130">
        <v>45856.0</v>
      </c>
      <c r="C989" s="127" t="s">
        <v>1219</v>
      </c>
      <c r="D989" s="127" t="s">
        <v>1225</v>
      </c>
      <c r="E989" s="131">
        <v>76000.03</v>
      </c>
      <c r="F989" s="128">
        <v>0.0</v>
      </c>
    </row>
    <row r="990">
      <c r="A990" s="129">
        <v>988.0</v>
      </c>
      <c r="B990" s="130">
        <v>45734.0</v>
      </c>
      <c r="C990" s="127" t="s">
        <v>1226</v>
      </c>
      <c r="D990" s="127" t="s">
        <v>316</v>
      </c>
      <c r="E990" s="131">
        <v>117200.03</v>
      </c>
      <c r="F990" s="128">
        <v>122.0</v>
      </c>
    </row>
    <row r="991">
      <c r="A991" s="129">
        <v>989.0</v>
      </c>
      <c r="B991" s="132">
        <v>45756.0</v>
      </c>
      <c r="C991" s="127" t="s">
        <v>1226</v>
      </c>
      <c r="D991" s="127" t="s">
        <v>1227</v>
      </c>
      <c r="E991" s="131">
        <v>39700.0</v>
      </c>
      <c r="F991" s="128">
        <v>100.0</v>
      </c>
    </row>
    <row r="992">
      <c r="A992" s="129">
        <v>990.0</v>
      </c>
      <c r="B992" s="130">
        <v>45773.0</v>
      </c>
      <c r="C992" s="127" t="s">
        <v>1226</v>
      </c>
      <c r="D992" s="127" t="s">
        <v>1228</v>
      </c>
      <c r="E992" s="131">
        <v>123440.0</v>
      </c>
      <c r="F992" s="128">
        <v>83.0</v>
      </c>
    </row>
    <row r="993">
      <c r="A993" s="129">
        <v>991.0</v>
      </c>
      <c r="B993" s="134">
        <v>45790.0</v>
      </c>
      <c r="C993" s="127" t="s">
        <v>1226</v>
      </c>
      <c r="D993" s="127" t="s">
        <v>1229</v>
      </c>
      <c r="E993" s="131">
        <v>106300.02</v>
      </c>
      <c r="F993" s="128">
        <v>66.0</v>
      </c>
    </row>
    <row r="994">
      <c r="A994" s="129">
        <v>992.0</v>
      </c>
      <c r="B994" s="132">
        <v>45811.0</v>
      </c>
      <c r="C994" s="127" t="s">
        <v>1226</v>
      </c>
      <c r="D994" s="127" t="s">
        <v>1230</v>
      </c>
      <c r="E994" s="131">
        <v>164700.01</v>
      </c>
      <c r="F994" s="128">
        <v>45.0</v>
      </c>
    </row>
    <row r="995">
      <c r="A995" s="129">
        <v>993.0</v>
      </c>
      <c r="B995" s="130">
        <v>45838.0</v>
      </c>
      <c r="C995" s="127" t="s">
        <v>1226</v>
      </c>
      <c r="D995" s="127" t="s">
        <v>1231</v>
      </c>
      <c r="E995" s="131">
        <v>143700.01</v>
      </c>
      <c r="F995" s="128">
        <v>18.0</v>
      </c>
    </row>
    <row r="996">
      <c r="A996" s="129">
        <v>994.0</v>
      </c>
      <c r="B996" s="130">
        <v>45859.0</v>
      </c>
      <c r="C996" s="127" t="s">
        <v>1226</v>
      </c>
      <c r="D996" s="127" t="s">
        <v>1211</v>
      </c>
      <c r="E996" s="131">
        <v>184149.5</v>
      </c>
      <c r="F996" s="128">
        <v>0.0</v>
      </c>
    </row>
    <row r="997">
      <c r="A997" s="129">
        <v>995.0</v>
      </c>
      <c r="B997" s="130">
        <v>45586.0</v>
      </c>
      <c r="C997" s="127" t="s">
        <v>1232</v>
      </c>
      <c r="D997" s="127" t="s">
        <v>1233</v>
      </c>
      <c r="E997" s="131">
        <v>99763.52</v>
      </c>
      <c r="F997" s="128">
        <v>270.0</v>
      </c>
    </row>
    <row r="998">
      <c r="A998" s="129">
        <v>996.0</v>
      </c>
      <c r="B998" s="130">
        <v>45650.0</v>
      </c>
      <c r="C998" s="127" t="s">
        <v>1232</v>
      </c>
      <c r="D998" s="127" t="s">
        <v>1234</v>
      </c>
      <c r="E998" s="131">
        <v>67800.0</v>
      </c>
      <c r="F998" s="128">
        <v>206.0</v>
      </c>
    </row>
    <row r="999">
      <c r="A999" s="129">
        <v>997.0</v>
      </c>
      <c r="B999" s="134">
        <v>45804.0</v>
      </c>
      <c r="C999" s="127" t="s">
        <v>1232</v>
      </c>
      <c r="D999" s="127" t="s">
        <v>365</v>
      </c>
      <c r="E999" s="131">
        <v>73500.0</v>
      </c>
      <c r="F999" s="128">
        <v>52.0</v>
      </c>
    </row>
    <row r="1000">
      <c r="A1000" s="129">
        <v>998.0</v>
      </c>
      <c r="B1000" s="130">
        <v>45824.0</v>
      </c>
      <c r="C1000" s="127" t="s">
        <v>1235</v>
      </c>
      <c r="D1000" s="127" t="s">
        <v>1236</v>
      </c>
      <c r="E1000" s="131">
        <v>148168.77</v>
      </c>
      <c r="F1000" s="128">
        <v>32.0</v>
      </c>
    </row>
    <row r="1001">
      <c r="A1001" s="129">
        <v>999.0</v>
      </c>
      <c r="B1001" s="130">
        <v>45838.0</v>
      </c>
      <c r="C1001" s="127" t="s">
        <v>1235</v>
      </c>
      <c r="D1001" s="127" t="s">
        <v>1237</v>
      </c>
      <c r="E1001" s="131">
        <v>121600.01</v>
      </c>
      <c r="F1001" s="128">
        <v>18.0</v>
      </c>
    </row>
    <row r="1002">
      <c r="A1002" s="129">
        <v>1000.0</v>
      </c>
      <c r="B1002" s="132">
        <v>45842.0</v>
      </c>
      <c r="C1002" s="127" t="s">
        <v>1235</v>
      </c>
      <c r="D1002" s="127" t="s">
        <v>1238</v>
      </c>
      <c r="E1002" s="131">
        <v>203613.75</v>
      </c>
      <c r="F1002" s="128">
        <v>14.0</v>
      </c>
    </row>
    <row r="1003">
      <c r="A1003" s="129">
        <v>1001.0</v>
      </c>
      <c r="B1003" s="130">
        <v>45857.0</v>
      </c>
      <c r="C1003" s="127" t="s">
        <v>1235</v>
      </c>
      <c r="D1003" s="127" t="s">
        <v>290</v>
      </c>
      <c r="E1003" s="131">
        <v>265514.37</v>
      </c>
      <c r="F1003" s="128">
        <v>0.0</v>
      </c>
    </row>
    <row r="1004">
      <c r="A1004" s="129">
        <v>1002.0</v>
      </c>
      <c r="B1004" s="132">
        <v>45813.0</v>
      </c>
      <c r="C1004" s="127" t="s">
        <v>1239</v>
      </c>
      <c r="D1004" s="127" t="s">
        <v>579</v>
      </c>
      <c r="E1004" s="131">
        <v>60333.82</v>
      </c>
      <c r="F1004" s="128">
        <v>43.0</v>
      </c>
    </row>
    <row r="1005">
      <c r="A1005" s="129">
        <v>1003.0</v>
      </c>
      <c r="B1005" s="130">
        <v>45826.0</v>
      </c>
      <c r="C1005" s="127" t="s">
        <v>1239</v>
      </c>
      <c r="D1005" s="127" t="s">
        <v>258</v>
      </c>
      <c r="E1005" s="131">
        <v>249429.44</v>
      </c>
      <c r="F1005" s="128">
        <v>30.0</v>
      </c>
    </row>
    <row r="1006">
      <c r="A1006" s="129">
        <v>1004.0</v>
      </c>
      <c r="B1006" s="132">
        <v>45847.0</v>
      </c>
      <c r="C1006" s="127" t="s">
        <v>1239</v>
      </c>
      <c r="D1006" s="127" t="s">
        <v>1240</v>
      </c>
      <c r="E1006" s="131">
        <v>82946.15</v>
      </c>
      <c r="F1006" s="128">
        <v>9.0</v>
      </c>
    </row>
    <row r="1007">
      <c r="A1007" s="129">
        <v>1005.0</v>
      </c>
      <c r="B1007" s="132">
        <v>45847.0</v>
      </c>
      <c r="C1007" s="127" t="s">
        <v>1239</v>
      </c>
      <c r="D1007" s="127" t="s">
        <v>1241</v>
      </c>
      <c r="E1007" s="131">
        <v>109900.02</v>
      </c>
      <c r="F1007" s="128">
        <v>9.0</v>
      </c>
    </row>
    <row r="1008">
      <c r="A1008" s="129">
        <v>1006.0</v>
      </c>
      <c r="B1008" s="130">
        <v>45856.0</v>
      </c>
      <c r="C1008" s="127" t="s">
        <v>1239</v>
      </c>
      <c r="D1008" s="127" t="s">
        <v>1242</v>
      </c>
      <c r="E1008" s="131">
        <v>183660.62</v>
      </c>
      <c r="F1008" s="128">
        <v>0.0</v>
      </c>
    </row>
    <row r="1009">
      <c r="A1009" s="129">
        <v>1007.0</v>
      </c>
      <c r="B1009" s="130">
        <v>45862.0</v>
      </c>
      <c r="C1009" s="127" t="s">
        <v>1239</v>
      </c>
      <c r="D1009" s="127" t="s">
        <v>370</v>
      </c>
      <c r="E1009" s="131">
        <v>48478.49</v>
      </c>
      <c r="F1009" s="128">
        <v>0.0</v>
      </c>
    </row>
    <row r="1010">
      <c r="A1010" s="129">
        <v>1008.0</v>
      </c>
      <c r="B1010" s="132">
        <v>45813.0</v>
      </c>
      <c r="C1010" s="127" t="s">
        <v>1243</v>
      </c>
      <c r="D1010" s="127" t="s">
        <v>1244</v>
      </c>
      <c r="E1010" s="131">
        <v>95800.01</v>
      </c>
      <c r="F1010" s="128">
        <v>43.0</v>
      </c>
    </row>
    <row r="1011">
      <c r="A1011" s="129">
        <v>1009.0</v>
      </c>
      <c r="B1011" s="133">
        <v>45778.0</v>
      </c>
      <c r="C1011" s="127" t="s">
        <v>1245</v>
      </c>
      <c r="D1011" s="127" t="s">
        <v>1246</v>
      </c>
      <c r="E1011" s="131">
        <v>2733.34</v>
      </c>
      <c r="F1011" s="128">
        <v>78.0</v>
      </c>
    </row>
    <row r="1012">
      <c r="A1012" s="129">
        <v>1010.0</v>
      </c>
      <c r="B1012" s="132">
        <v>45845.0</v>
      </c>
      <c r="C1012" s="127" t="s">
        <v>1245</v>
      </c>
      <c r="D1012" s="127" t="s">
        <v>1238</v>
      </c>
      <c r="E1012" s="131">
        <v>102800.01</v>
      </c>
      <c r="F1012" s="128">
        <v>11.0</v>
      </c>
    </row>
    <row r="1013">
      <c r="A1013" s="129">
        <v>1011.0</v>
      </c>
      <c r="B1013" s="134">
        <v>45808.0</v>
      </c>
      <c r="C1013" s="127" t="s">
        <v>1247</v>
      </c>
      <c r="D1013" s="127" t="s">
        <v>1248</v>
      </c>
      <c r="E1013" s="131">
        <v>293700.02</v>
      </c>
      <c r="F1013" s="128">
        <v>48.0</v>
      </c>
    </row>
    <row r="1014">
      <c r="A1014" s="129">
        <v>1012.0</v>
      </c>
      <c r="B1014" s="134">
        <v>45808.0</v>
      </c>
      <c r="C1014" s="127" t="s">
        <v>1247</v>
      </c>
      <c r="D1014" s="127" t="s">
        <v>1249</v>
      </c>
      <c r="E1014" s="131">
        <v>203613.75</v>
      </c>
      <c r="F1014" s="128">
        <v>48.0</v>
      </c>
    </row>
    <row r="1015">
      <c r="A1015" s="129">
        <v>1013.0</v>
      </c>
      <c r="B1015" s="132">
        <v>45847.0</v>
      </c>
      <c r="C1015" s="127" t="s">
        <v>1247</v>
      </c>
      <c r="D1015" s="127" t="s">
        <v>1250</v>
      </c>
      <c r="E1015" s="131">
        <v>417800.03</v>
      </c>
      <c r="F1015" s="128">
        <v>9.0</v>
      </c>
    </row>
    <row r="1016">
      <c r="A1016" s="129">
        <v>1014.0</v>
      </c>
      <c r="B1016" s="132">
        <v>45847.0</v>
      </c>
      <c r="C1016" s="127" t="s">
        <v>1247</v>
      </c>
      <c r="D1016" s="127" t="s">
        <v>1251</v>
      </c>
      <c r="E1016" s="131">
        <v>310739.08</v>
      </c>
      <c r="F1016" s="128">
        <v>9.0</v>
      </c>
    </row>
    <row r="1017">
      <c r="A1017" s="129">
        <v>1015.0</v>
      </c>
      <c r="B1017" s="130">
        <v>45834.0</v>
      </c>
      <c r="C1017" s="127" t="s">
        <v>1252</v>
      </c>
      <c r="D1017" s="127" t="s">
        <v>726</v>
      </c>
      <c r="E1017" s="131">
        <v>303632.48</v>
      </c>
      <c r="F1017" s="128">
        <v>22.0</v>
      </c>
    </row>
    <row r="1018">
      <c r="A1018" s="129">
        <v>1016.0</v>
      </c>
      <c r="B1018" s="130">
        <v>45834.0</v>
      </c>
      <c r="C1018" s="127" t="s">
        <v>1252</v>
      </c>
      <c r="D1018" s="127" t="s">
        <v>1253</v>
      </c>
      <c r="E1018" s="131">
        <v>243000.02</v>
      </c>
      <c r="F1018" s="128">
        <v>22.0</v>
      </c>
    </row>
    <row r="1019">
      <c r="A1019" s="129">
        <v>1017.0</v>
      </c>
      <c r="B1019" s="132">
        <v>45840.0</v>
      </c>
      <c r="C1019" s="127" t="s">
        <v>1252</v>
      </c>
      <c r="D1019" s="127" t="s">
        <v>1254</v>
      </c>
      <c r="E1019" s="131">
        <v>214783.09</v>
      </c>
      <c r="F1019" s="128">
        <v>16.0</v>
      </c>
    </row>
    <row r="1020">
      <c r="A1020" s="129">
        <v>1018.0</v>
      </c>
      <c r="B1020" s="130">
        <v>45853.0</v>
      </c>
      <c r="C1020" s="127" t="s">
        <v>1252</v>
      </c>
      <c r="D1020" s="127" t="s">
        <v>1255</v>
      </c>
      <c r="E1020" s="131">
        <v>86079.79</v>
      </c>
      <c r="F1020" s="128">
        <v>3.0</v>
      </c>
    </row>
    <row r="1021">
      <c r="A1021" s="129">
        <v>1019.0</v>
      </c>
      <c r="B1021" s="130">
        <v>45866.0</v>
      </c>
      <c r="C1021" s="127" t="s">
        <v>1252</v>
      </c>
      <c r="D1021" s="127" t="s">
        <v>1256</v>
      </c>
      <c r="E1021" s="131">
        <v>253297.64</v>
      </c>
      <c r="F1021" s="128">
        <v>0.0</v>
      </c>
    </row>
    <row r="1022">
      <c r="A1022" s="129">
        <v>1020.0</v>
      </c>
      <c r="B1022" s="130">
        <v>45777.0</v>
      </c>
      <c r="C1022" s="127" t="s">
        <v>1257</v>
      </c>
      <c r="D1022" s="127" t="s">
        <v>1258</v>
      </c>
      <c r="E1022" s="131">
        <v>334200.04</v>
      </c>
      <c r="F1022" s="128">
        <v>79.0</v>
      </c>
    </row>
    <row r="1023">
      <c r="A1023" s="129">
        <v>1021.0</v>
      </c>
      <c r="B1023" s="130">
        <v>45528.0</v>
      </c>
      <c r="C1023" s="127" t="s">
        <v>1259</v>
      </c>
      <c r="D1023" s="127" t="s">
        <v>1260</v>
      </c>
      <c r="E1023" s="131">
        <v>53375.9</v>
      </c>
      <c r="F1023" s="128">
        <v>328.0</v>
      </c>
    </row>
    <row r="1024">
      <c r="A1024" s="129">
        <v>1022.0</v>
      </c>
      <c r="B1024" s="132">
        <v>45717.0</v>
      </c>
      <c r="C1024" s="127" t="s">
        <v>1259</v>
      </c>
      <c r="D1024" s="127" t="s">
        <v>1261</v>
      </c>
      <c r="E1024" s="131">
        <v>17500.0</v>
      </c>
      <c r="F1024" s="128">
        <v>132.0</v>
      </c>
    </row>
    <row r="1025">
      <c r="A1025" s="129">
        <v>1023.0</v>
      </c>
      <c r="B1025" s="130">
        <v>45776.0</v>
      </c>
      <c r="C1025" s="127" t="s">
        <v>1259</v>
      </c>
      <c r="D1025" s="127" t="s">
        <v>1262</v>
      </c>
      <c r="E1025" s="131">
        <v>17500.0</v>
      </c>
      <c r="F1025" s="128">
        <v>80.0</v>
      </c>
    </row>
    <row r="1026">
      <c r="A1026" s="129">
        <v>1024.0</v>
      </c>
      <c r="B1026" s="130">
        <v>45831.0</v>
      </c>
      <c r="C1026" s="127" t="s">
        <v>1259</v>
      </c>
      <c r="D1026" s="127" t="s">
        <v>1263</v>
      </c>
      <c r="E1026" s="131">
        <v>28000.0</v>
      </c>
      <c r="F1026" s="128">
        <v>25.0</v>
      </c>
    </row>
    <row r="1027">
      <c r="A1027" s="129">
        <v>1025.0</v>
      </c>
      <c r="B1027" s="130">
        <v>45576.0</v>
      </c>
      <c r="C1027" s="127" t="s">
        <v>1264</v>
      </c>
      <c r="D1027" s="127" t="s">
        <v>1265</v>
      </c>
      <c r="E1027" s="131">
        <v>47801.53</v>
      </c>
      <c r="F1027" s="128">
        <v>280.0</v>
      </c>
    </row>
    <row r="1028">
      <c r="A1028" s="129">
        <v>1026.0</v>
      </c>
      <c r="B1028" s="130">
        <v>45729.0</v>
      </c>
      <c r="C1028" s="127" t="s">
        <v>1264</v>
      </c>
      <c r="D1028" s="127" t="s">
        <v>1266</v>
      </c>
      <c r="E1028" s="131">
        <v>12512.51</v>
      </c>
      <c r="F1028" s="128">
        <v>127.0</v>
      </c>
    </row>
    <row r="1029">
      <c r="A1029" s="129">
        <v>1027.0</v>
      </c>
      <c r="B1029" s="130">
        <v>45715.0</v>
      </c>
      <c r="C1029" s="127" t="s">
        <v>1264</v>
      </c>
      <c r="D1029" s="127" t="s">
        <v>1267</v>
      </c>
      <c r="E1029" s="131">
        <v>16400.01</v>
      </c>
      <c r="F1029" s="128">
        <v>141.0</v>
      </c>
    </row>
    <row r="1030">
      <c r="A1030" s="129">
        <v>1028.0</v>
      </c>
      <c r="B1030" s="133">
        <v>45786.0</v>
      </c>
      <c r="C1030" s="127" t="s">
        <v>1264</v>
      </c>
      <c r="D1030" s="127" t="s">
        <v>1268</v>
      </c>
      <c r="E1030" s="131">
        <v>17500.0</v>
      </c>
      <c r="F1030" s="128">
        <v>70.0</v>
      </c>
    </row>
    <row r="1031">
      <c r="A1031" s="129">
        <v>1029.0</v>
      </c>
      <c r="B1031" s="130">
        <v>45861.0</v>
      </c>
      <c r="C1031" s="127" t="s">
        <v>1264</v>
      </c>
      <c r="D1031" s="127" t="s">
        <v>561</v>
      </c>
      <c r="E1031" s="131">
        <v>71114.0</v>
      </c>
      <c r="F1031" s="128">
        <v>0.0</v>
      </c>
    </row>
    <row r="1032">
      <c r="A1032" s="129">
        <v>1030.0</v>
      </c>
      <c r="B1032" s="130">
        <v>45582.0</v>
      </c>
      <c r="C1032" s="127" t="s">
        <v>1269</v>
      </c>
      <c r="D1032" s="127" t="s">
        <v>1270</v>
      </c>
      <c r="E1032" s="131">
        <v>162652.64</v>
      </c>
      <c r="F1032" s="128">
        <v>274.0</v>
      </c>
    </row>
    <row r="1033">
      <c r="A1033" s="129">
        <v>1031.0</v>
      </c>
      <c r="B1033" s="130">
        <v>45728.0</v>
      </c>
      <c r="C1033" s="127" t="s">
        <v>1271</v>
      </c>
      <c r="D1033" s="127" t="s">
        <v>619</v>
      </c>
      <c r="E1033" s="131">
        <v>75075.0</v>
      </c>
      <c r="F1033" s="128">
        <v>128.0</v>
      </c>
    </row>
    <row r="1034">
      <c r="A1034" s="129">
        <v>1032.0</v>
      </c>
      <c r="B1034" s="132">
        <v>45692.0</v>
      </c>
      <c r="C1034" s="127" t="s">
        <v>1271</v>
      </c>
      <c r="D1034" s="127" t="s">
        <v>1272</v>
      </c>
      <c r="E1034" s="131">
        <v>15376.98</v>
      </c>
      <c r="F1034" s="128">
        <v>164.0</v>
      </c>
    </row>
    <row r="1035">
      <c r="A1035" s="129">
        <v>1033.0</v>
      </c>
      <c r="B1035" s="132">
        <v>45574.0</v>
      </c>
      <c r="C1035" s="127" t="s">
        <v>1273</v>
      </c>
      <c r="D1035" s="127" t="s">
        <v>1274</v>
      </c>
      <c r="E1035" s="131">
        <v>96423.55</v>
      </c>
      <c r="F1035" s="128">
        <v>282.0</v>
      </c>
    </row>
    <row r="1036">
      <c r="A1036" s="129">
        <v>1034.0</v>
      </c>
      <c r="B1036" s="132">
        <v>45840.0</v>
      </c>
      <c r="C1036" s="127" t="s">
        <v>1273</v>
      </c>
      <c r="D1036" s="127" t="s">
        <v>666</v>
      </c>
      <c r="E1036" s="131">
        <v>68900.01</v>
      </c>
      <c r="F1036" s="128">
        <v>16.0</v>
      </c>
    </row>
    <row r="1037">
      <c r="A1037" s="129">
        <v>1035.0</v>
      </c>
      <c r="B1037" s="130">
        <v>45867.0</v>
      </c>
      <c r="C1037" s="127" t="s">
        <v>1273</v>
      </c>
      <c r="D1037" s="127" t="s">
        <v>1275</v>
      </c>
      <c r="E1037" s="131">
        <v>70000.0</v>
      </c>
      <c r="F1037" s="128">
        <v>0.0</v>
      </c>
    </row>
    <row r="1038">
      <c r="A1038" s="129">
        <v>1036.0</v>
      </c>
      <c r="B1038" s="130">
        <v>45826.0</v>
      </c>
      <c r="C1038" s="127" t="s">
        <v>1276</v>
      </c>
      <c r="D1038" s="127" t="s">
        <v>662</v>
      </c>
      <c r="E1038" s="131">
        <v>233958.9</v>
      </c>
      <c r="F1038" s="128">
        <v>30.0</v>
      </c>
    </row>
    <row r="1039">
      <c r="A1039" s="129">
        <v>1037.0</v>
      </c>
      <c r="B1039" s="130">
        <v>45833.0</v>
      </c>
      <c r="C1039" s="127" t="s">
        <v>1276</v>
      </c>
      <c r="D1039" s="127" t="s">
        <v>563</v>
      </c>
      <c r="E1039" s="131">
        <v>157499.99</v>
      </c>
      <c r="F1039" s="128">
        <v>23.0</v>
      </c>
    </row>
    <row r="1040">
      <c r="A1040" s="129">
        <v>1038.0</v>
      </c>
      <c r="B1040" s="132">
        <v>45847.0</v>
      </c>
      <c r="C1040" s="127" t="s">
        <v>1277</v>
      </c>
      <c r="D1040" s="127" t="s">
        <v>1278</v>
      </c>
      <c r="E1040" s="131">
        <v>528262.99</v>
      </c>
      <c r="F1040" s="128">
        <v>9.0</v>
      </c>
    </row>
    <row r="1041">
      <c r="A1041" s="129">
        <v>1039.0</v>
      </c>
      <c r="B1041" s="132">
        <v>45574.0</v>
      </c>
      <c r="C1041" s="127" t="s">
        <v>1279</v>
      </c>
      <c r="D1041" s="127" t="s">
        <v>1280</v>
      </c>
      <c r="E1041" s="131">
        <v>96422.13</v>
      </c>
      <c r="F1041" s="128">
        <v>282.0</v>
      </c>
    </row>
    <row r="1042">
      <c r="A1042" s="129">
        <v>1040.0</v>
      </c>
      <c r="B1042" s="130">
        <v>45856.0</v>
      </c>
      <c r="C1042" s="127" t="s">
        <v>28</v>
      </c>
      <c r="D1042" s="127" t="s">
        <v>1281</v>
      </c>
      <c r="E1042" s="131">
        <v>7200.0</v>
      </c>
      <c r="F1042" s="128">
        <v>13.0</v>
      </c>
    </row>
    <row r="1043">
      <c r="A1043" s="129">
        <v>1041.0</v>
      </c>
      <c r="B1043" s="130">
        <v>45856.0</v>
      </c>
      <c r="C1043" s="127" t="s">
        <v>28</v>
      </c>
      <c r="D1043" s="127" t="s">
        <v>1282</v>
      </c>
      <c r="E1043" s="131">
        <v>9600.01</v>
      </c>
      <c r="F1043" s="128">
        <v>13.0</v>
      </c>
    </row>
    <row r="1044">
      <c r="A1044" s="129">
        <v>1042.0</v>
      </c>
      <c r="B1044" s="130">
        <v>45860.0</v>
      </c>
      <c r="C1044" s="127" t="s">
        <v>28</v>
      </c>
      <c r="D1044" s="127" t="s">
        <v>20</v>
      </c>
      <c r="E1044" s="131">
        <v>81000.0</v>
      </c>
      <c r="F1044" s="128">
        <v>9.0</v>
      </c>
    </row>
    <row r="1045">
      <c r="A1045" s="129">
        <v>1043.0</v>
      </c>
      <c r="B1045" s="130">
        <v>45860.0</v>
      </c>
      <c r="C1045" s="127" t="s">
        <v>28</v>
      </c>
      <c r="D1045" s="127" t="s">
        <v>29</v>
      </c>
      <c r="E1045" s="131">
        <v>54611.31</v>
      </c>
      <c r="F1045" s="128">
        <v>9.0</v>
      </c>
    </row>
    <row r="1046">
      <c r="A1046" s="129">
        <v>1044.0</v>
      </c>
      <c r="B1046" s="134">
        <v>45806.0</v>
      </c>
      <c r="C1046" s="127" t="s">
        <v>1283</v>
      </c>
      <c r="D1046" s="127" t="s">
        <v>1284</v>
      </c>
      <c r="E1046" s="131">
        <v>420000.14</v>
      </c>
      <c r="F1046" s="128">
        <v>50.0</v>
      </c>
    </row>
    <row r="1047">
      <c r="A1047" s="129">
        <v>1045.0</v>
      </c>
      <c r="B1047" s="130">
        <v>45838.0</v>
      </c>
      <c r="C1047" s="127" t="s">
        <v>1283</v>
      </c>
      <c r="D1047" s="127" t="s">
        <v>1285</v>
      </c>
      <c r="E1047" s="131">
        <v>420000.14</v>
      </c>
      <c r="F1047" s="128">
        <v>18.0</v>
      </c>
    </row>
    <row r="1048">
      <c r="A1048" s="129">
        <v>1046.0</v>
      </c>
      <c r="B1048" s="130">
        <v>45735.0</v>
      </c>
      <c r="C1048" s="127" t="s">
        <v>1286</v>
      </c>
      <c r="D1048" s="127" t="s">
        <v>1085</v>
      </c>
      <c r="E1048" s="131">
        <v>97100.01</v>
      </c>
      <c r="F1048" s="128">
        <v>121.0</v>
      </c>
    </row>
    <row r="1049">
      <c r="A1049" s="129">
        <v>1047.0</v>
      </c>
      <c r="B1049" s="130">
        <v>45743.0</v>
      </c>
      <c r="C1049" s="127" t="s">
        <v>1286</v>
      </c>
      <c r="D1049" s="127" t="s">
        <v>1287</v>
      </c>
      <c r="E1049" s="131">
        <v>77100.01</v>
      </c>
      <c r="F1049" s="128">
        <v>113.0</v>
      </c>
    </row>
    <row r="1050">
      <c r="A1050" s="129">
        <v>1048.0</v>
      </c>
      <c r="B1050" s="130">
        <v>45706.0</v>
      </c>
      <c r="C1050" s="127" t="s">
        <v>1286</v>
      </c>
      <c r="D1050" s="127" t="s">
        <v>1288</v>
      </c>
      <c r="E1050" s="131">
        <v>107600.02</v>
      </c>
      <c r="F1050" s="128">
        <v>150.0</v>
      </c>
    </row>
    <row r="1051">
      <c r="A1051" s="129">
        <v>1049.0</v>
      </c>
      <c r="B1051" s="134">
        <v>45789.0</v>
      </c>
      <c r="C1051" s="127" t="s">
        <v>1286</v>
      </c>
      <c r="D1051" s="127" t="s">
        <v>1289</v>
      </c>
      <c r="E1051" s="131">
        <v>52500.0</v>
      </c>
      <c r="F1051" s="128">
        <v>67.0</v>
      </c>
    </row>
    <row r="1052">
      <c r="A1052" s="129">
        <v>1050.0</v>
      </c>
      <c r="B1052" s="132">
        <v>45693.0</v>
      </c>
      <c r="C1052" s="127" t="s">
        <v>1290</v>
      </c>
      <c r="D1052" s="127" t="s">
        <v>1291</v>
      </c>
      <c r="E1052" s="131">
        <v>52499.99</v>
      </c>
      <c r="F1052" s="128">
        <v>163.0</v>
      </c>
    </row>
    <row r="1053">
      <c r="A1053" s="129">
        <v>1051.0</v>
      </c>
      <c r="B1053" s="130">
        <v>45743.0</v>
      </c>
      <c r="C1053" s="127" t="s">
        <v>1292</v>
      </c>
      <c r="D1053" s="127" t="s">
        <v>1293</v>
      </c>
      <c r="E1053" s="131">
        <v>50266.67</v>
      </c>
      <c r="F1053" s="128">
        <v>97.0</v>
      </c>
    </row>
    <row r="1054">
      <c r="A1054" s="129">
        <v>1052.0</v>
      </c>
      <c r="B1054" s="130">
        <v>45743.0</v>
      </c>
      <c r="C1054" s="127" t="s">
        <v>1292</v>
      </c>
      <c r="D1054" s="127" t="s">
        <v>1294</v>
      </c>
      <c r="E1054" s="131">
        <v>4733.0</v>
      </c>
      <c r="F1054" s="128">
        <v>97.0</v>
      </c>
    </row>
    <row r="1055">
      <c r="A1055" s="129">
        <v>1053.0</v>
      </c>
      <c r="B1055" s="130">
        <v>45827.0</v>
      </c>
      <c r="C1055" s="127" t="s">
        <v>1292</v>
      </c>
      <c r="D1055" s="127" t="s">
        <v>549</v>
      </c>
      <c r="E1055" s="131">
        <v>21000.0</v>
      </c>
      <c r="F1055" s="128">
        <v>13.0</v>
      </c>
    </row>
    <row r="1056">
      <c r="A1056" s="129">
        <v>1054.0</v>
      </c>
      <c r="B1056" s="130">
        <v>45832.0</v>
      </c>
      <c r="C1056" s="127" t="s">
        <v>1292</v>
      </c>
      <c r="D1056" s="127" t="s">
        <v>208</v>
      </c>
      <c r="E1056" s="131">
        <v>75651.21</v>
      </c>
      <c r="F1056" s="128">
        <v>8.0</v>
      </c>
    </row>
    <row r="1057">
      <c r="A1057" s="129">
        <v>1055.0</v>
      </c>
      <c r="B1057" s="132">
        <v>45840.0</v>
      </c>
      <c r="C1057" s="127" t="s">
        <v>1292</v>
      </c>
      <c r="D1057" s="127" t="s">
        <v>1295</v>
      </c>
      <c r="E1057" s="131">
        <v>104652.57</v>
      </c>
      <c r="F1057" s="128">
        <v>0.0</v>
      </c>
    </row>
    <row r="1058">
      <c r="A1058" s="129">
        <v>1056.0</v>
      </c>
      <c r="B1058" s="130">
        <v>45856.0</v>
      </c>
      <c r="C1058" s="127" t="s">
        <v>1292</v>
      </c>
      <c r="D1058" s="127" t="s">
        <v>1296</v>
      </c>
      <c r="E1058" s="131">
        <v>10500.0</v>
      </c>
      <c r="F1058" s="128">
        <v>0.0</v>
      </c>
    </row>
    <row r="1059">
      <c r="A1059" s="129">
        <v>1057.0</v>
      </c>
      <c r="B1059" s="130">
        <v>45856.0</v>
      </c>
      <c r="C1059" s="127" t="s">
        <v>1292</v>
      </c>
      <c r="D1059" s="127" t="s">
        <v>1297</v>
      </c>
      <c r="E1059" s="131">
        <v>7200.0</v>
      </c>
      <c r="F1059" s="128">
        <v>0.0</v>
      </c>
    </row>
    <row r="1060">
      <c r="A1060" s="129">
        <v>1058.0</v>
      </c>
      <c r="B1060" s="130">
        <v>45862.0</v>
      </c>
      <c r="C1060" s="127" t="s">
        <v>1292</v>
      </c>
      <c r="D1060" s="127" t="s">
        <v>836</v>
      </c>
      <c r="E1060" s="131">
        <v>137905.29</v>
      </c>
      <c r="F1060" s="128">
        <v>0.0</v>
      </c>
    </row>
    <row r="1061">
      <c r="A1061" s="129">
        <v>1059.0</v>
      </c>
      <c r="B1061" s="130">
        <v>45862.0</v>
      </c>
      <c r="C1061" s="127" t="s">
        <v>1292</v>
      </c>
      <c r="D1061" s="127" t="s">
        <v>296</v>
      </c>
      <c r="E1061" s="131">
        <v>84000.01</v>
      </c>
      <c r="F1061" s="128">
        <v>0.0</v>
      </c>
    </row>
    <row r="1062">
      <c r="A1062" s="129">
        <v>1060.0</v>
      </c>
      <c r="B1062" s="132">
        <v>45842.0</v>
      </c>
      <c r="C1062" s="127" t="s">
        <v>1298</v>
      </c>
      <c r="D1062" s="127" t="s">
        <v>1299</v>
      </c>
      <c r="E1062" s="131">
        <v>40900.01</v>
      </c>
      <c r="F1062" s="128">
        <v>14.0</v>
      </c>
    </row>
    <row r="1063">
      <c r="A1063" s="129">
        <v>1061.0</v>
      </c>
      <c r="B1063" s="130">
        <v>45769.0</v>
      </c>
      <c r="C1063" s="127" t="s">
        <v>1300</v>
      </c>
      <c r="D1063" s="127" t="s">
        <v>1301</v>
      </c>
      <c r="E1063" s="131">
        <v>83999.98</v>
      </c>
      <c r="F1063" s="128">
        <v>100.0</v>
      </c>
    </row>
    <row r="1064">
      <c r="A1064" s="129">
        <v>1062.0</v>
      </c>
      <c r="B1064" s="130">
        <v>45735.0</v>
      </c>
      <c r="C1064" s="127" t="s">
        <v>1302</v>
      </c>
      <c r="D1064" s="127" t="s">
        <v>1105</v>
      </c>
      <c r="E1064" s="131">
        <v>7000.0</v>
      </c>
      <c r="F1064" s="128">
        <v>121.0</v>
      </c>
    </row>
    <row r="1065">
      <c r="A1065" s="129">
        <v>1063.0</v>
      </c>
      <c r="B1065" s="130">
        <v>45712.0</v>
      </c>
      <c r="C1065" s="127" t="s">
        <v>1302</v>
      </c>
      <c r="D1065" s="127" t="s">
        <v>1303</v>
      </c>
      <c r="E1065" s="131">
        <v>14000.0</v>
      </c>
      <c r="F1065" s="128">
        <v>144.0</v>
      </c>
    </row>
    <row r="1066">
      <c r="A1066" s="129">
        <v>1064.0</v>
      </c>
      <c r="B1066" s="130">
        <v>45727.0</v>
      </c>
      <c r="C1066" s="127" t="s">
        <v>1304</v>
      </c>
      <c r="D1066" s="127" t="s">
        <v>1141</v>
      </c>
      <c r="E1066" s="131">
        <v>7000.0</v>
      </c>
      <c r="F1066" s="128">
        <v>142.0</v>
      </c>
    </row>
    <row r="1067">
      <c r="A1067" s="129">
        <v>1065.0</v>
      </c>
      <c r="B1067" s="132">
        <v>45541.0</v>
      </c>
      <c r="C1067" s="127" t="s">
        <v>1305</v>
      </c>
      <c r="D1067" s="127" t="s">
        <v>1306</v>
      </c>
      <c r="E1067" s="131">
        <v>37999.1</v>
      </c>
      <c r="F1067" s="128">
        <v>315.0</v>
      </c>
    </row>
    <row r="1068">
      <c r="A1068" s="129">
        <v>1066.0</v>
      </c>
      <c r="B1068" s="130">
        <v>45686.0</v>
      </c>
      <c r="C1068" s="127" t="s">
        <v>1305</v>
      </c>
      <c r="D1068" s="127" t="s">
        <v>547</v>
      </c>
      <c r="E1068" s="131">
        <v>52499.99</v>
      </c>
      <c r="F1068" s="128">
        <v>177.0</v>
      </c>
    </row>
    <row r="1069">
      <c r="A1069" s="129">
        <v>1067.0</v>
      </c>
      <c r="B1069" s="130">
        <v>45860.0</v>
      </c>
      <c r="C1069" s="127" t="s">
        <v>1305</v>
      </c>
      <c r="D1069" s="127" t="s">
        <v>1307</v>
      </c>
      <c r="E1069" s="131">
        <v>52499.99</v>
      </c>
      <c r="F1069" s="128">
        <v>0.0</v>
      </c>
    </row>
    <row r="1070">
      <c r="A1070" s="129">
        <v>1068.0</v>
      </c>
      <c r="B1070" s="132">
        <v>45721.0</v>
      </c>
      <c r="C1070" s="127" t="s">
        <v>1308</v>
      </c>
      <c r="D1070" s="127" t="s">
        <v>1309</v>
      </c>
      <c r="E1070" s="131">
        <v>128500.02</v>
      </c>
      <c r="F1070" s="128">
        <v>135.0</v>
      </c>
    </row>
    <row r="1071">
      <c r="A1071" s="129">
        <v>1069.0</v>
      </c>
      <c r="B1071" s="132">
        <v>45840.0</v>
      </c>
      <c r="C1071" s="127" t="s">
        <v>1310</v>
      </c>
      <c r="D1071" s="127" t="s">
        <v>1311</v>
      </c>
      <c r="E1071" s="131">
        <v>48999.99</v>
      </c>
      <c r="F1071" s="128">
        <v>16.0</v>
      </c>
    </row>
    <row r="1072">
      <c r="A1072" s="129">
        <v>1070.0</v>
      </c>
      <c r="B1072" s="130">
        <v>45667.0</v>
      </c>
      <c r="C1072" s="127" t="s">
        <v>1312</v>
      </c>
      <c r="D1072" s="127" t="s">
        <v>1313</v>
      </c>
      <c r="E1072" s="131">
        <v>86400.01</v>
      </c>
      <c r="F1072" s="128">
        <v>189.0</v>
      </c>
    </row>
    <row r="1073">
      <c r="A1073" s="129">
        <v>1071.0</v>
      </c>
      <c r="B1073" s="130">
        <v>45744.0</v>
      </c>
      <c r="C1073" s="127" t="s">
        <v>1312</v>
      </c>
      <c r="D1073" s="127" t="s">
        <v>1314</v>
      </c>
      <c r="E1073" s="131">
        <v>59500.0</v>
      </c>
      <c r="F1073" s="128">
        <v>112.0</v>
      </c>
    </row>
    <row r="1074">
      <c r="A1074" s="129">
        <v>1072.0</v>
      </c>
      <c r="B1074" s="130">
        <v>45835.0</v>
      </c>
      <c r="C1074" s="127" t="s">
        <v>1312</v>
      </c>
      <c r="D1074" s="127" t="s">
        <v>1315</v>
      </c>
      <c r="E1074" s="131">
        <v>52500.0</v>
      </c>
      <c r="F1074" s="128">
        <v>21.0</v>
      </c>
    </row>
    <row r="1075">
      <c r="A1075" s="129">
        <v>1073.0</v>
      </c>
      <c r="B1075" s="130">
        <v>45835.0</v>
      </c>
      <c r="C1075" s="127" t="s">
        <v>1312</v>
      </c>
      <c r="D1075" s="127" t="s">
        <v>1316</v>
      </c>
      <c r="E1075" s="131">
        <v>240000.0</v>
      </c>
      <c r="F1075" s="128">
        <v>21.0</v>
      </c>
    </row>
    <row r="1076">
      <c r="A1076" s="129">
        <v>1074.0</v>
      </c>
      <c r="B1076" s="130">
        <v>45565.0</v>
      </c>
      <c r="C1076" s="127" t="s">
        <v>1317</v>
      </c>
      <c r="D1076" s="127" t="s">
        <v>959</v>
      </c>
      <c r="E1076" s="131">
        <v>50601.33</v>
      </c>
      <c r="F1076" s="128">
        <v>291.0</v>
      </c>
    </row>
    <row r="1077">
      <c r="A1077" s="129">
        <v>1075.0</v>
      </c>
      <c r="B1077" s="130">
        <v>45614.0</v>
      </c>
      <c r="C1077" s="127" t="s">
        <v>1317</v>
      </c>
      <c r="D1077" s="127" t="s">
        <v>1318</v>
      </c>
      <c r="E1077" s="131">
        <v>64800.0</v>
      </c>
      <c r="F1077" s="128">
        <v>242.0</v>
      </c>
    </row>
    <row r="1078">
      <c r="A1078" s="129">
        <v>1076.0</v>
      </c>
      <c r="B1078" s="134">
        <v>45803.0</v>
      </c>
      <c r="C1078" s="127" t="s">
        <v>1317</v>
      </c>
      <c r="D1078" s="127" t="s">
        <v>1319</v>
      </c>
      <c r="E1078" s="131">
        <v>60700.0</v>
      </c>
      <c r="F1078" s="128">
        <v>53.0</v>
      </c>
    </row>
    <row r="1079">
      <c r="A1079" s="129">
        <v>1077.0</v>
      </c>
      <c r="B1079" s="132">
        <v>45839.0</v>
      </c>
      <c r="C1079" s="127" t="s">
        <v>1317</v>
      </c>
      <c r="D1079" s="127" t="s">
        <v>1320</v>
      </c>
      <c r="E1079" s="131">
        <v>43200.0</v>
      </c>
      <c r="F1079" s="128">
        <v>17.0</v>
      </c>
    </row>
    <row r="1080">
      <c r="A1080" s="129">
        <v>1078.0</v>
      </c>
      <c r="B1080" s="130">
        <v>45548.0</v>
      </c>
      <c r="C1080" s="127" t="s">
        <v>1321</v>
      </c>
      <c r="D1080" s="127" t="s">
        <v>1089</v>
      </c>
      <c r="E1080" s="131">
        <v>142603.05</v>
      </c>
      <c r="F1080" s="128">
        <v>308.0</v>
      </c>
    </row>
    <row r="1081">
      <c r="A1081" s="129">
        <v>1079.0</v>
      </c>
      <c r="B1081" s="130">
        <v>45590.0</v>
      </c>
      <c r="C1081" s="127" t="s">
        <v>1321</v>
      </c>
      <c r="D1081" s="127" t="s">
        <v>1322</v>
      </c>
      <c r="E1081" s="131">
        <v>186404.23</v>
      </c>
      <c r="F1081" s="128">
        <v>266.0</v>
      </c>
    </row>
    <row r="1082">
      <c r="A1082" s="129">
        <v>1080.0</v>
      </c>
      <c r="B1082" s="130">
        <v>45623.0</v>
      </c>
      <c r="C1082" s="127" t="s">
        <v>1321</v>
      </c>
      <c r="D1082" s="127" t="s">
        <v>656</v>
      </c>
      <c r="E1082" s="131">
        <v>205600.03</v>
      </c>
      <c r="F1082" s="128">
        <v>233.0</v>
      </c>
    </row>
    <row r="1083">
      <c r="A1083" s="129">
        <v>1081.0</v>
      </c>
      <c r="B1083" s="130">
        <v>45652.0</v>
      </c>
      <c r="C1083" s="127" t="s">
        <v>1321</v>
      </c>
      <c r="D1083" s="127" t="s">
        <v>1323</v>
      </c>
      <c r="E1083" s="131">
        <v>205600.03</v>
      </c>
      <c r="F1083" s="128">
        <v>204.0</v>
      </c>
    </row>
    <row r="1084">
      <c r="A1084" s="129">
        <v>1082.0</v>
      </c>
      <c r="B1084" s="130">
        <v>45713.0</v>
      </c>
      <c r="C1084" s="127" t="s">
        <v>1321</v>
      </c>
      <c r="D1084" s="127" t="s">
        <v>1324</v>
      </c>
      <c r="E1084" s="131">
        <v>190400.02</v>
      </c>
      <c r="F1084" s="128">
        <v>143.0</v>
      </c>
    </row>
    <row r="1085">
      <c r="A1085" s="129">
        <v>1083.0</v>
      </c>
      <c r="B1085" s="132">
        <v>45721.0</v>
      </c>
      <c r="C1085" s="127" t="s">
        <v>1321</v>
      </c>
      <c r="D1085" s="127" t="s">
        <v>1325</v>
      </c>
      <c r="E1085" s="131">
        <v>79750.0</v>
      </c>
      <c r="F1085" s="128">
        <v>135.0</v>
      </c>
    </row>
    <row r="1086">
      <c r="A1086" s="129">
        <v>1084.0</v>
      </c>
      <c r="B1086" s="132">
        <v>45841.0</v>
      </c>
      <c r="C1086" s="127" t="s">
        <v>1326</v>
      </c>
      <c r="D1086" s="127" t="s">
        <v>1327</v>
      </c>
      <c r="E1086" s="131">
        <v>22800.0</v>
      </c>
      <c r="F1086" s="128">
        <v>15.0</v>
      </c>
    </row>
    <row r="1087">
      <c r="A1087" s="129">
        <v>1085.0</v>
      </c>
      <c r="B1087" s="130">
        <v>45855.0</v>
      </c>
      <c r="C1087" s="127" t="s">
        <v>1326</v>
      </c>
      <c r="D1087" s="127" t="s">
        <v>1328</v>
      </c>
      <c r="E1087" s="131">
        <v>30000.0</v>
      </c>
      <c r="F1087" s="128">
        <v>1.0</v>
      </c>
    </row>
    <row r="1088">
      <c r="A1088" s="129">
        <v>1086.0</v>
      </c>
      <c r="B1088" s="130">
        <v>45855.0</v>
      </c>
      <c r="C1088" s="127" t="s">
        <v>1326</v>
      </c>
      <c r="D1088" s="127" t="s">
        <v>1329</v>
      </c>
      <c r="E1088" s="131">
        <v>40000.0</v>
      </c>
      <c r="F1088" s="128">
        <v>1.0</v>
      </c>
    </row>
    <row r="1089">
      <c r="A1089" s="129">
        <v>1087.0</v>
      </c>
      <c r="B1089" s="130">
        <v>45868.0</v>
      </c>
      <c r="C1089" s="127" t="s">
        <v>1326</v>
      </c>
      <c r="D1089" s="127" t="s">
        <v>1330</v>
      </c>
      <c r="E1089" s="131">
        <v>91360.03</v>
      </c>
      <c r="F1089" s="128">
        <v>0.0</v>
      </c>
    </row>
    <row r="1090">
      <c r="A1090" s="129">
        <v>1088.0</v>
      </c>
      <c r="B1090" s="134">
        <v>45793.0</v>
      </c>
      <c r="C1090" s="127" t="s">
        <v>1331</v>
      </c>
      <c r="D1090" s="127" t="s">
        <v>1332</v>
      </c>
      <c r="E1090" s="131">
        <v>14964.86</v>
      </c>
      <c r="F1090" s="128">
        <v>63.0</v>
      </c>
    </row>
    <row r="1091">
      <c r="A1091" s="129">
        <v>1089.0</v>
      </c>
      <c r="B1091" s="130">
        <v>45820.0</v>
      </c>
      <c r="C1091" s="127" t="s">
        <v>1331</v>
      </c>
      <c r="D1091" s="127" t="s">
        <v>1333</v>
      </c>
      <c r="E1091" s="131">
        <v>25200.0</v>
      </c>
      <c r="F1091" s="128">
        <v>36.0</v>
      </c>
    </row>
    <row r="1092">
      <c r="A1092" s="129">
        <v>1090.0</v>
      </c>
      <c r="B1092" s="130">
        <v>45820.0</v>
      </c>
      <c r="C1092" s="127" t="s">
        <v>1331</v>
      </c>
      <c r="D1092" s="127" t="s">
        <v>1334</v>
      </c>
      <c r="E1092" s="131">
        <v>60000.0</v>
      </c>
      <c r="F1092" s="128">
        <v>36.0</v>
      </c>
    </row>
    <row r="1093">
      <c r="A1093" s="129">
        <v>1091.0</v>
      </c>
      <c r="B1093" s="132">
        <v>45841.0</v>
      </c>
      <c r="C1093" s="127" t="s">
        <v>1331</v>
      </c>
      <c r="D1093" s="127" t="s">
        <v>282</v>
      </c>
      <c r="E1093" s="131">
        <v>45600.0</v>
      </c>
      <c r="F1093" s="128">
        <v>15.0</v>
      </c>
    </row>
    <row r="1094">
      <c r="A1094" s="129">
        <v>1092.0</v>
      </c>
      <c r="B1094" s="130">
        <v>45855.0</v>
      </c>
      <c r="C1094" s="127" t="s">
        <v>1331</v>
      </c>
      <c r="D1094" s="127" t="s">
        <v>1335</v>
      </c>
      <c r="E1094" s="131">
        <v>73623.11</v>
      </c>
      <c r="F1094" s="128">
        <v>1.0</v>
      </c>
    </row>
    <row r="1095">
      <c r="A1095" s="129">
        <v>1093.0</v>
      </c>
      <c r="B1095" s="130">
        <v>45580.0</v>
      </c>
      <c r="C1095" s="127" t="s">
        <v>1336</v>
      </c>
      <c r="D1095" s="127" t="s">
        <v>1337</v>
      </c>
      <c r="E1095" s="131">
        <v>170764.33</v>
      </c>
      <c r="F1095" s="128">
        <v>276.0</v>
      </c>
    </row>
    <row r="1096">
      <c r="A1096" s="129">
        <v>1094.0</v>
      </c>
      <c r="B1096" s="130">
        <v>45763.0</v>
      </c>
      <c r="C1096" s="127" t="s">
        <v>1336</v>
      </c>
      <c r="D1096" s="127" t="s">
        <v>1338</v>
      </c>
      <c r="E1096" s="131">
        <v>77921.87</v>
      </c>
      <c r="F1096" s="128">
        <v>100.0</v>
      </c>
    </row>
    <row r="1097">
      <c r="A1097" s="129">
        <v>1095.0</v>
      </c>
      <c r="B1097" s="132">
        <v>45813.0</v>
      </c>
      <c r="C1097" s="127" t="s">
        <v>1336</v>
      </c>
      <c r="D1097" s="127" t="s">
        <v>1339</v>
      </c>
      <c r="E1097" s="131">
        <v>68900.01</v>
      </c>
      <c r="F1097" s="128">
        <v>43.0</v>
      </c>
    </row>
    <row r="1098">
      <c r="A1098" s="129">
        <v>1096.0</v>
      </c>
      <c r="B1098" s="132">
        <v>45840.0</v>
      </c>
      <c r="C1098" s="127" t="s">
        <v>1336</v>
      </c>
      <c r="D1098" s="127" t="s">
        <v>1340</v>
      </c>
      <c r="E1098" s="131">
        <v>30000.0</v>
      </c>
      <c r="F1098" s="128">
        <v>16.0</v>
      </c>
    </row>
    <row r="1099">
      <c r="A1099" s="129">
        <v>1097.0</v>
      </c>
      <c r="B1099" s="132">
        <v>45840.0</v>
      </c>
      <c r="C1099" s="127" t="s">
        <v>1336</v>
      </c>
      <c r="D1099" s="127" t="s">
        <v>1341</v>
      </c>
      <c r="E1099" s="131">
        <v>141864.34</v>
      </c>
      <c r="F1099" s="128">
        <v>16.0</v>
      </c>
    </row>
    <row r="1100">
      <c r="A1100" s="129">
        <v>1098.0</v>
      </c>
      <c r="B1100" s="130">
        <v>45868.0</v>
      </c>
      <c r="C1100" s="127" t="s">
        <v>1336</v>
      </c>
      <c r="D1100" s="127" t="s">
        <v>1342</v>
      </c>
      <c r="E1100" s="131">
        <v>130070.35</v>
      </c>
      <c r="F1100" s="128">
        <v>0.0</v>
      </c>
    </row>
    <row r="1101">
      <c r="A1101" s="129">
        <v>1099.0</v>
      </c>
      <c r="B1101" s="132">
        <v>45813.0</v>
      </c>
      <c r="C1101" s="127" t="s">
        <v>1343</v>
      </c>
      <c r="D1101" s="127" t="s">
        <v>1344</v>
      </c>
      <c r="E1101" s="131">
        <v>90000.0</v>
      </c>
      <c r="F1101" s="128">
        <v>43.0</v>
      </c>
    </row>
    <row r="1102">
      <c r="A1102" s="129">
        <v>1100.0</v>
      </c>
      <c r="B1102" s="132">
        <v>45813.0</v>
      </c>
      <c r="C1102" s="127" t="s">
        <v>1343</v>
      </c>
      <c r="D1102" s="127" t="s">
        <v>1345</v>
      </c>
      <c r="E1102" s="131">
        <v>77100.01</v>
      </c>
      <c r="F1102" s="128">
        <v>43.0</v>
      </c>
    </row>
    <row r="1103">
      <c r="A1103" s="129">
        <v>1101.0</v>
      </c>
      <c r="B1103" s="130">
        <v>45868.0</v>
      </c>
      <c r="C1103" s="127" t="s">
        <v>1343</v>
      </c>
      <c r="D1103" s="127" t="s">
        <v>1346</v>
      </c>
      <c r="E1103" s="131">
        <v>62400.0</v>
      </c>
      <c r="F1103" s="128">
        <v>0.0</v>
      </c>
    </row>
    <row r="1104">
      <c r="A1104" s="129">
        <v>1102.0</v>
      </c>
      <c r="B1104" s="130">
        <v>45868.0</v>
      </c>
      <c r="C1104" s="127" t="s">
        <v>1343</v>
      </c>
      <c r="D1104" s="127" t="s">
        <v>1347</v>
      </c>
      <c r="E1104" s="131">
        <v>114000.0</v>
      </c>
      <c r="F1104" s="128">
        <v>0.0</v>
      </c>
    </row>
    <row r="1105">
      <c r="A1105" s="129">
        <v>1103.0</v>
      </c>
      <c r="B1105" s="130">
        <v>45855.0</v>
      </c>
      <c r="C1105" s="127" t="s">
        <v>1348</v>
      </c>
      <c r="D1105" s="127" t="s">
        <v>1349</v>
      </c>
      <c r="E1105" s="131">
        <v>77700.0</v>
      </c>
      <c r="F1105" s="128">
        <v>1.0</v>
      </c>
    </row>
    <row r="1106">
      <c r="A1106" s="129">
        <v>1104.0</v>
      </c>
      <c r="B1106" s="130">
        <v>45855.0</v>
      </c>
      <c r="C1106" s="127" t="s">
        <v>1348</v>
      </c>
      <c r="D1106" s="127" t="s">
        <v>1350</v>
      </c>
      <c r="E1106" s="131">
        <v>12000.0</v>
      </c>
      <c r="F1106" s="128">
        <v>1.0</v>
      </c>
    </row>
    <row r="1107">
      <c r="A1107" s="129">
        <v>1105.0</v>
      </c>
      <c r="B1107" s="130">
        <v>45868.0</v>
      </c>
      <c r="C1107" s="127" t="s">
        <v>1348</v>
      </c>
      <c r="D1107" s="127" t="s">
        <v>1351</v>
      </c>
      <c r="E1107" s="131">
        <v>82114.32</v>
      </c>
      <c r="F1107" s="128">
        <v>0.0</v>
      </c>
    </row>
    <row r="1108">
      <c r="A1108" s="129">
        <v>1106.0</v>
      </c>
      <c r="B1108" s="130">
        <v>45868.0</v>
      </c>
      <c r="C1108" s="127" t="s">
        <v>1348</v>
      </c>
      <c r="D1108" s="127" t="s">
        <v>1352</v>
      </c>
      <c r="E1108" s="131">
        <v>45000.0</v>
      </c>
      <c r="F1108" s="128">
        <v>0.0</v>
      </c>
    </row>
    <row r="1109">
      <c r="A1109" s="129">
        <v>1107.0</v>
      </c>
      <c r="B1109" s="130">
        <v>45868.0</v>
      </c>
      <c r="C1109" s="127" t="s">
        <v>1353</v>
      </c>
      <c r="D1109" s="127" t="s">
        <v>1354</v>
      </c>
      <c r="E1109" s="131">
        <v>91092.81</v>
      </c>
      <c r="F1109" s="128">
        <v>0.0</v>
      </c>
    </row>
    <row r="1110">
      <c r="A1110" s="129">
        <v>1108.0</v>
      </c>
      <c r="B1110" s="130">
        <v>45576.0</v>
      </c>
      <c r="C1110" s="127" t="s">
        <v>1355</v>
      </c>
      <c r="D1110" s="127" t="s">
        <v>1356</v>
      </c>
      <c r="E1110" s="131">
        <v>134671.21</v>
      </c>
      <c r="F1110" s="128">
        <v>280.0</v>
      </c>
    </row>
    <row r="1111">
      <c r="A1111" s="129">
        <v>1109.0</v>
      </c>
      <c r="B1111" s="130">
        <v>45617.0</v>
      </c>
      <c r="C1111" s="127" t="s">
        <v>1355</v>
      </c>
      <c r="D1111" s="127" t="s">
        <v>1357</v>
      </c>
      <c r="E1111" s="131">
        <v>94733.33</v>
      </c>
      <c r="F1111" s="128">
        <v>239.0</v>
      </c>
    </row>
    <row r="1112">
      <c r="A1112" s="129">
        <v>1110.0</v>
      </c>
      <c r="B1112" s="130">
        <v>45763.0</v>
      </c>
      <c r="C1112" s="127" t="s">
        <v>1355</v>
      </c>
      <c r="D1112" s="127" t="s">
        <v>1181</v>
      </c>
      <c r="E1112" s="131">
        <v>132700.01</v>
      </c>
      <c r="F1112" s="128">
        <v>93.0</v>
      </c>
    </row>
    <row r="1113">
      <c r="A1113" s="129">
        <v>1111.0</v>
      </c>
      <c r="B1113" s="134">
        <v>45806.0</v>
      </c>
      <c r="C1113" s="127" t="s">
        <v>1355</v>
      </c>
      <c r="D1113" s="127" t="s">
        <v>1358</v>
      </c>
      <c r="E1113" s="131">
        <v>1458.33</v>
      </c>
      <c r="F1113" s="128">
        <v>50.0</v>
      </c>
    </row>
    <row r="1114">
      <c r="A1114" s="129">
        <v>1112.0</v>
      </c>
      <c r="B1114" s="132">
        <v>45813.0</v>
      </c>
      <c r="C1114" s="127" t="s">
        <v>1359</v>
      </c>
      <c r="D1114" s="127" t="s">
        <v>1360</v>
      </c>
      <c r="E1114" s="131">
        <v>30000.0</v>
      </c>
      <c r="F1114" s="128">
        <v>43.0</v>
      </c>
    </row>
    <row r="1115">
      <c r="A1115" s="129">
        <v>1113.0</v>
      </c>
      <c r="B1115" s="132">
        <v>45813.0</v>
      </c>
      <c r="C1115" s="127" t="s">
        <v>1359</v>
      </c>
      <c r="D1115" s="127" t="s">
        <v>1361</v>
      </c>
      <c r="E1115" s="131">
        <v>37649.98</v>
      </c>
      <c r="F1115" s="128">
        <v>43.0</v>
      </c>
    </row>
    <row r="1116">
      <c r="A1116" s="129">
        <v>1114.0</v>
      </c>
      <c r="B1116" s="132">
        <v>45841.0</v>
      </c>
      <c r="C1116" s="127" t="s">
        <v>1359</v>
      </c>
      <c r="D1116" s="127" t="s">
        <v>1362</v>
      </c>
      <c r="E1116" s="131">
        <v>48200.0</v>
      </c>
      <c r="F1116" s="128">
        <v>15.0</v>
      </c>
    </row>
    <row r="1117">
      <c r="A1117" s="129">
        <v>1115.0</v>
      </c>
      <c r="B1117" s="130">
        <v>45864.0</v>
      </c>
      <c r="C1117" s="127" t="s">
        <v>1359</v>
      </c>
      <c r="D1117" s="127" t="s">
        <v>1363</v>
      </c>
      <c r="E1117" s="131">
        <v>67157.0</v>
      </c>
      <c r="F1117" s="128">
        <v>0.0</v>
      </c>
    </row>
    <row r="1118">
      <c r="A1118" s="129">
        <v>1116.0</v>
      </c>
      <c r="B1118" s="130">
        <v>45864.0</v>
      </c>
      <c r="C1118" s="127" t="s">
        <v>1359</v>
      </c>
      <c r="D1118" s="127" t="s">
        <v>1364</v>
      </c>
      <c r="E1118" s="131">
        <v>12000.0</v>
      </c>
      <c r="F1118" s="128">
        <v>0.0</v>
      </c>
    </row>
    <row r="1119">
      <c r="A1119" s="129">
        <v>1117.0</v>
      </c>
      <c r="B1119" s="130">
        <v>45528.0</v>
      </c>
      <c r="C1119" s="127" t="s">
        <v>1365</v>
      </c>
      <c r="D1119" s="127" t="s">
        <v>420</v>
      </c>
      <c r="E1119" s="131">
        <v>118401.58</v>
      </c>
      <c r="F1119" s="128">
        <v>328.0</v>
      </c>
    </row>
    <row r="1120">
      <c r="A1120" s="129">
        <v>1118.0</v>
      </c>
      <c r="B1120" s="132">
        <v>45543.0</v>
      </c>
      <c r="C1120" s="127" t="s">
        <v>1365</v>
      </c>
      <c r="D1120" s="127" t="s">
        <v>304</v>
      </c>
      <c r="E1120" s="131">
        <v>62601.55</v>
      </c>
      <c r="F1120" s="128">
        <v>313.0</v>
      </c>
    </row>
    <row r="1121">
      <c r="A1121" s="129">
        <v>1119.0</v>
      </c>
      <c r="B1121" s="132">
        <v>45574.0</v>
      </c>
      <c r="C1121" s="127" t="s">
        <v>1365</v>
      </c>
      <c r="D1121" s="127" t="s">
        <v>1366</v>
      </c>
      <c r="E1121" s="131">
        <v>96320.0</v>
      </c>
      <c r="F1121" s="128">
        <v>282.0</v>
      </c>
    </row>
    <row r="1122">
      <c r="A1122" s="129">
        <v>1120.0</v>
      </c>
      <c r="B1122" s="130">
        <v>45590.0</v>
      </c>
      <c r="C1122" s="127" t="s">
        <v>1365</v>
      </c>
      <c r="D1122" s="127" t="s">
        <v>1367</v>
      </c>
      <c r="E1122" s="131">
        <v>4600.0</v>
      </c>
      <c r="F1122" s="128">
        <v>266.0</v>
      </c>
    </row>
    <row r="1123">
      <c r="A1123" s="129">
        <v>1121.0</v>
      </c>
      <c r="B1123" s="133">
        <v>45782.0</v>
      </c>
      <c r="C1123" s="127" t="s">
        <v>1365</v>
      </c>
      <c r="D1123" s="127" t="s">
        <v>1368</v>
      </c>
      <c r="E1123" s="131">
        <v>11838.55</v>
      </c>
      <c r="F1123" s="128">
        <v>74.0</v>
      </c>
    </row>
    <row r="1124">
      <c r="A1124" s="129">
        <v>1122.0</v>
      </c>
      <c r="B1124" s="130">
        <v>45819.0</v>
      </c>
      <c r="C1124" s="127" t="s">
        <v>1365</v>
      </c>
      <c r="D1124" s="127" t="s">
        <v>580</v>
      </c>
      <c r="E1124" s="131">
        <v>103100.19</v>
      </c>
      <c r="F1124" s="128">
        <v>37.0</v>
      </c>
    </row>
    <row r="1125">
      <c r="A1125" s="129">
        <v>1123.0</v>
      </c>
      <c r="B1125" s="132">
        <v>45847.0</v>
      </c>
      <c r="C1125" s="127" t="s">
        <v>1365</v>
      </c>
      <c r="D1125" s="127" t="s">
        <v>1369</v>
      </c>
      <c r="E1125" s="131">
        <v>229435.21</v>
      </c>
      <c r="F1125" s="128">
        <v>9.0</v>
      </c>
    </row>
    <row r="1126">
      <c r="A1126" s="129">
        <v>1124.0</v>
      </c>
      <c r="B1126" s="130">
        <v>45855.0</v>
      </c>
      <c r="C1126" s="127" t="s">
        <v>1370</v>
      </c>
      <c r="D1126" s="127" t="s">
        <v>1371</v>
      </c>
      <c r="E1126" s="131">
        <v>64500.0</v>
      </c>
      <c r="F1126" s="128">
        <v>1.0</v>
      </c>
    </row>
    <row r="1127">
      <c r="A1127" s="129">
        <v>1125.0</v>
      </c>
      <c r="B1127" s="130">
        <v>45855.0</v>
      </c>
      <c r="C1127" s="127" t="s">
        <v>1370</v>
      </c>
      <c r="D1127" s="127" t="s">
        <v>1372</v>
      </c>
      <c r="E1127" s="131">
        <v>12000.0</v>
      </c>
      <c r="F1127" s="128">
        <v>1.0</v>
      </c>
    </row>
    <row r="1128">
      <c r="A1128" s="129">
        <v>1126.0</v>
      </c>
      <c r="B1128" s="132">
        <v>45841.0</v>
      </c>
      <c r="C1128" s="127" t="s">
        <v>1373</v>
      </c>
      <c r="D1128" s="127" t="s">
        <v>1374</v>
      </c>
      <c r="E1128" s="131">
        <v>24000.0</v>
      </c>
      <c r="F1128" s="128">
        <v>15.0</v>
      </c>
    </row>
    <row r="1129">
      <c r="A1129" s="129">
        <v>1127.0</v>
      </c>
      <c r="B1129" s="130">
        <v>45848.0</v>
      </c>
      <c r="C1129" s="127" t="s">
        <v>1373</v>
      </c>
      <c r="D1129" s="127" t="s">
        <v>1375</v>
      </c>
      <c r="E1129" s="131">
        <v>21000.0</v>
      </c>
      <c r="F1129" s="128">
        <v>8.0</v>
      </c>
    </row>
    <row r="1130">
      <c r="A1130" s="129">
        <v>1128.0</v>
      </c>
      <c r="B1130" s="130">
        <v>45868.0</v>
      </c>
      <c r="C1130" s="127" t="s">
        <v>1373</v>
      </c>
      <c r="D1130" s="127" t="s">
        <v>1376</v>
      </c>
      <c r="E1130" s="131">
        <v>55010.29</v>
      </c>
      <c r="F1130" s="128">
        <v>0.0</v>
      </c>
    </row>
    <row r="1131">
      <c r="A1131" s="129">
        <v>1129.0</v>
      </c>
      <c r="B1131" s="130">
        <v>45777.0</v>
      </c>
      <c r="C1131" s="127" t="s">
        <v>1377</v>
      </c>
      <c r="D1131" s="127" t="s">
        <v>1378</v>
      </c>
      <c r="E1131" s="131">
        <v>90000.0</v>
      </c>
      <c r="F1131" s="128">
        <v>79.0</v>
      </c>
    </row>
    <row r="1132">
      <c r="A1132" s="129">
        <v>1130.0</v>
      </c>
      <c r="B1132" s="130">
        <v>45828.0</v>
      </c>
      <c r="C1132" s="127" t="s">
        <v>1377</v>
      </c>
      <c r="D1132" s="127" t="s">
        <v>281</v>
      </c>
      <c r="E1132" s="131">
        <v>90000.0</v>
      </c>
      <c r="F1132" s="128">
        <v>28.0</v>
      </c>
    </row>
    <row r="1133">
      <c r="A1133" s="129">
        <v>1131.0</v>
      </c>
      <c r="B1133" s="130">
        <v>45862.0</v>
      </c>
      <c r="C1133" s="127" t="s">
        <v>1377</v>
      </c>
      <c r="D1133" s="127" t="s">
        <v>1379</v>
      </c>
      <c r="E1133" s="131">
        <v>72568.31</v>
      </c>
      <c r="F1133" s="128">
        <v>0.0</v>
      </c>
    </row>
    <row r="1134">
      <c r="A1134" s="129">
        <v>1132.0</v>
      </c>
      <c r="B1134" s="132">
        <v>45847.0</v>
      </c>
      <c r="C1134" s="127" t="s">
        <v>1380</v>
      </c>
      <c r="D1134" s="127" t="s">
        <v>1381</v>
      </c>
      <c r="E1134" s="131">
        <v>46800.0</v>
      </c>
      <c r="F1134" s="128">
        <v>9.0</v>
      </c>
    </row>
    <row r="1135">
      <c r="A1135" s="129">
        <v>1133.0</v>
      </c>
      <c r="B1135" s="132">
        <v>45664.0</v>
      </c>
      <c r="C1135" s="127" t="s">
        <v>1382</v>
      </c>
      <c r="D1135" s="127" t="s">
        <v>1383</v>
      </c>
      <c r="E1135" s="131">
        <v>17499.99</v>
      </c>
      <c r="F1135" s="128">
        <v>192.0</v>
      </c>
    </row>
    <row r="1136">
      <c r="A1136" s="129">
        <v>1134.0</v>
      </c>
      <c r="B1136" s="132">
        <v>45569.0</v>
      </c>
      <c r="C1136" s="127" t="s">
        <v>1382</v>
      </c>
      <c r="D1136" s="127" t="s">
        <v>1384</v>
      </c>
      <c r="E1136" s="131">
        <v>51195.8</v>
      </c>
      <c r="F1136" s="128">
        <v>287.0</v>
      </c>
    </row>
    <row r="1137">
      <c r="A1137" s="129">
        <v>1135.0</v>
      </c>
      <c r="B1137" s="130">
        <v>45608.0</v>
      </c>
      <c r="C1137" s="127" t="s">
        <v>1382</v>
      </c>
      <c r="D1137" s="127" t="s">
        <v>1385</v>
      </c>
      <c r="E1137" s="131">
        <v>32000.0</v>
      </c>
      <c r="F1137" s="128">
        <v>261.0</v>
      </c>
    </row>
    <row r="1138">
      <c r="A1138" s="129">
        <v>1136.0</v>
      </c>
      <c r="B1138" s="132">
        <v>45842.0</v>
      </c>
      <c r="C1138" s="127" t="s">
        <v>1386</v>
      </c>
      <c r="D1138" s="127" t="s">
        <v>1387</v>
      </c>
      <c r="E1138" s="131">
        <v>100782.16</v>
      </c>
      <c r="F1138" s="128">
        <v>14.0</v>
      </c>
    </row>
    <row r="1139">
      <c r="A1139" s="129">
        <v>1137.0</v>
      </c>
      <c r="B1139" s="130">
        <v>45735.0</v>
      </c>
      <c r="C1139" s="127" t="s">
        <v>1388</v>
      </c>
      <c r="D1139" s="127" t="s">
        <v>1389</v>
      </c>
      <c r="E1139" s="131">
        <v>85200.0</v>
      </c>
      <c r="F1139" s="128">
        <v>121.0</v>
      </c>
    </row>
    <row r="1140">
      <c r="A1140" s="129">
        <v>1138.0</v>
      </c>
      <c r="B1140" s="130">
        <v>45735.0</v>
      </c>
      <c r="C1140" s="127" t="s">
        <v>1388</v>
      </c>
      <c r="D1140" s="127" t="s">
        <v>1390</v>
      </c>
      <c r="E1140" s="131">
        <v>35000.0</v>
      </c>
      <c r="F1140" s="128">
        <v>121.0</v>
      </c>
    </row>
    <row r="1141">
      <c r="A1141" s="129">
        <v>1139.0</v>
      </c>
      <c r="B1141" s="132">
        <v>45696.0</v>
      </c>
      <c r="C1141" s="127" t="s">
        <v>1388</v>
      </c>
      <c r="D1141" s="127" t="s">
        <v>229</v>
      </c>
      <c r="E1141" s="131">
        <v>52500.0</v>
      </c>
      <c r="F1141" s="128">
        <v>160.0</v>
      </c>
    </row>
    <row r="1142">
      <c r="A1142" s="129">
        <v>1140.0</v>
      </c>
      <c r="B1142" s="130">
        <v>45831.0</v>
      </c>
      <c r="C1142" s="127" t="s">
        <v>1388</v>
      </c>
      <c r="D1142" s="127" t="s">
        <v>1391</v>
      </c>
      <c r="E1142" s="131">
        <v>90000.0</v>
      </c>
      <c r="F1142" s="128">
        <v>25.0</v>
      </c>
    </row>
    <row r="1143">
      <c r="A1143" s="129">
        <v>1141.0</v>
      </c>
      <c r="B1143" s="130">
        <v>45832.0</v>
      </c>
      <c r="C1143" s="127" t="s">
        <v>1392</v>
      </c>
      <c r="D1143" s="127" t="s">
        <v>523</v>
      </c>
      <c r="E1143" s="131">
        <v>199600.01</v>
      </c>
      <c r="F1143" s="128">
        <v>24.0</v>
      </c>
    </row>
    <row r="1144">
      <c r="A1144" s="129">
        <v>1142.0</v>
      </c>
      <c r="B1144" s="130">
        <v>45868.0</v>
      </c>
      <c r="C1144" s="127" t="s">
        <v>1392</v>
      </c>
      <c r="D1144" s="127" t="s">
        <v>1393</v>
      </c>
      <c r="E1144" s="131">
        <v>68400.0</v>
      </c>
      <c r="F1144" s="128">
        <v>0.0</v>
      </c>
    </row>
    <row r="1145">
      <c r="A1145" s="129">
        <v>1143.0</v>
      </c>
      <c r="B1145" s="130">
        <v>45853.0</v>
      </c>
      <c r="C1145" s="127" t="s">
        <v>1394</v>
      </c>
      <c r="D1145" s="127" t="s">
        <v>1395</v>
      </c>
      <c r="E1145" s="131">
        <v>82700.01</v>
      </c>
      <c r="F1145" s="128">
        <v>3.0</v>
      </c>
    </row>
    <row r="1146">
      <c r="A1146" s="129">
        <v>1144.0</v>
      </c>
      <c r="B1146" s="130">
        <v>45853.0</v>
      </c>
      <c r="C1146" s="127" t="s">
        <v>1394</v>
      </c>
      <c r="D1146" s="127" t="s">
        <v>1396</v>
      </c>
      <c r="E1146" s="131">
        <v>100300.0</v>
      </c>
      <c r="F1146" s="128">
        <v>3.0</v>
      </c>
    </row>
    <row r="1147">
      <c r="A1147" s="129">
        <v>1145.0</v>
      </c>
      <c r="B1147" s="130">
        <v>45777.0</v>
      </c>
      <c r="C1147" s="127" t="s">
        <v>1397</v>
      </c>
      <c r="D1147" s="127" t="s">
        <v>1246</v>
      </c>
      <c r="E1147" s="131">
        <v>876000.09</v>
      </c>
      <c r="F1147" s="128">
        <v>79.0</v>
      </c>
    </row>
    <row r="1148">
      <c r="A1148" s="129">
        <v>1146.0</v>
      </c>
      <c r="B1148" s="132">
        <v>45815.0</v>
      </c>
      <c r="C1148" s="127" t="s">
        <v>1397</v>
      </c>
      <c r="D1148" s="127" t="s">
        <v>921</v>
      </c>
      <c r="E1148" s="131">
        <v>607500.08</v>
      </c>
      <c r="F1148" s="128">
        <v>41.0</v>
      </c>
    </row>
    <row r="1149">
      <c r="A1149" s="129">
        <v>1147.0</v>
      </c>
      <c r="B1149" s="130">
        <v>45625.0</v>
      </c>
      <c r="C1149" s="127" t="s">
        <v>1398</v>
      </c>
      <c r="D1149" s="127" t="s">
        <v>1399</v>
      </c>
      <c r="E1149" s="131">
        <v>8200.0</v>
      </c>
      <c r="F1149" s="128">
        <v>231.0</v>
      </c>
    </row>
    <row r="1150">
      <c r="A1150" s="129">
        <v>1148.0</v>
      </c>
      <c r="B1150" s="130">
        <v>45645.0</v>
      </c>
      <c r="C1150" s="127" t="s">
        <v>1398</v>
      </c>
      <c r="D1150" s="127" t="s">
        <v>1400</v>
      </c>
      <c r="E1150" s="131">
        <v>45999.98</v>
      </c>
      <c r="F1150" s="128">
        <v>211.0</v>
      </c>
    </row>
    <row r="1151">
      <c r="A1151" s="129">
        <v>1149.0</v>
      </c>
      <c r="B1151" s="134">
        <v>45801.0</v>
      </c>
      <c r="C1151" s="127" t="s">
        <v>1398</v>
      </c>
      <c r="D1151" s="127" t="s">
        <v>1401</v>
      </c>
      <c r="E1151" s="131">
        <v>284900.03</v>
      </c>
      <c r="F1151" s="128">
        <v>55.0</v>
      </c>
    </row>
    <row r="1152">
      <c r="A1152" s="129">
        <v>1150.0</v>
      </c>
      <c r="B1152" s="130">
        <v>45838.0</v>
      </c>
      <c r="C1152" s="127" t="s">
        <v>1398</v>
      </c>
      <c r="D1152" s="127" t="s">
        <v>1402</v>
      </c>
      <c r="E1152" s="131">
        <v>251000.02</v>
      </c>
      <c r="F1152" s="128">
        <v>18.0</v>
      </c>
    </row>
    <row r="1153">
      <c r="A1153" s="129">
        <v>1151.0</v>
      </c>
      <c r="B1153" s="130">
        <v>45551.0</v>
      </c>
      <c r="C1153" s="127" t="s">
        <v>1403</v>
      </c>
      <c r="D1153" s="127" t="s">
        <v>1404</v>
      </c>
      <c r="E1153" s="131">
        <v>51000.15</v>
      </c>
      <c r="F1153" s="128">
        <v>305.0</v>
      </c>
    </row>
    <row r="1154">
      <c r="A1154" s="129">
        <v>1152.0</v>
      </c>
      <c r="B1154" s="130">
        <v>45762.0</v>
      </c>
      <c r="C1154" s="127" t="s">
        <v>1403</v>
      </c>
      <c r="D1154" s="127" t="s">
        <v>1405</v>
      </c>
      <c r="E1154" s="131">
        <v>61900.01</v>
      </c>
      <c r="F1154" s="128">
        <v>94.0</v>
      </c>
    </row>
    <row r="1155">
      <c r="A1155" s="129">
        <v>1153.0</v>
      </c>
      <c r="B1155" s="130">
        <v>45819.0</v>
      </c>
      <c r="C1155" s="127" t="s">
        <v>1403</v>
      </c>
      <c r="D1155" s="127" t="s">
        <v>1194</v>
      </c>
      <c r="E1155" s="131">
        <v>47900.0</v>
      </c>
      <c r="F1155" s="128">
        <v>37.0</v>
      </c>
    </row>
    <row r="1156">
      <c r="A1156" s="129">
        <v>1154.0</v>
      </c>
      <c r="B1156" s="130">
        <v>45853.0</v>
      </c>
      <c r="C1156" s="127" t="s">
        <v>1403</v>
      </c>
      <c r="D1156" s="127" t="s">
        <v>1406</v>
      </c>
      <c r="E1156" s="131">
        <v>43200.0</v>
      </c>
      <c r="F1156" s="128">
        <v>3.0</v>
      </c>
    </row>
    <row r="1157">
      <c r="A1157" s="129">
        <v>1155.0</v>
      </c>
      <c r="B1157" s="130">
        <v>45868.0</v>
      </c>
      <c r="C1157" s="127" t="s">
        <v>1403</v>
      </c>
      <c r="D1157" s="127" t="s">
        <v>1407</v>
      </c>
      <c r="E1157" s="131">
        <v>51357.01</v>
      </c>
      <c r="F1157" s="128">
        <v>0.0</v>
      </c>
    </row>
    <row r="1158">
      <c r="A1158" s="129">
        <v>1156.0</v>
      </c>
      <c r="B1158" s="130">
        <v>45868.0</v>
      </c>
      <c r="C1158" s="127" t="s">
        <v>1403</v>
      </c>
      <c r="D1158" s="127" t="s">
        <v>1351</v>
      </c>
      <c r="E1158" s="131">
        <v>120000.0</v>
      </c>
      <c r="F1158" s="128">
        <v>0.0</v>
      </c>
    </row>
    <row r="1159">
      <c r="A1159" s="129">
        <v>1157.0</v>
      </c>
      <c r="B1159" s="130">
        <v>45547.0</v>
      </c>
      <c r="C1159" s="127" t="s">
        <v>1408</v>
      </c>
      <c r="D1159" s="127" t="s">
        <v>1409</v>
      </c>
      <c r="E1159" s="131">
        <v>9281.76</v>
      </c>
      <c r="F1159" s="128">
        <v>309.0</v>
      </c>
    </row>
    <row r="1160">
      <c r="A1160" s="129">
        <v>1158.0</v>
      </c>
      <c r="B1160" s="132">
        <v>45574.0</v>
      </c>
      <c r="C1160" s="127" t="s">
        <v>1408</v>
      </c>
      <c r="D1160" s="127" t="s">
        <v>1410</v>
      </c>
      <c r="E1160" s="131">
        <v>77202.2</v>
      </c>
      <c r="F1160" s="128">
        <v>282.0</v>
      </c>
    </row>
    <row r="1161">
      <c r="A1161" s="129">
        <v>1159.0</v>
      </c>
      <c r="B1161" s="130">
        <v>45822.0</v>
      </c>
      <c r="C1161" s="127" t="s">
        <v>1408</v>
      </c>
      <c r="D1161" s="127" t="s">
        <v>1236</v>
      </c>
      <c r="E1161" s="131">
        <v>51400.01</v>
      </c>
      <c r="F1161" s="128">
        <v>34.0</v>
      </c>
    </row>
    <row r="1162">
      <c r="A1162" s="129">
        <v>1160.0</v>
      </c>
      <c r="B1162" s="130">
        <v>45853.0</v>
      </c>
      <c r="C1162" s="127" t="s">
        <v>1408</v>
      </c>
      <c r="D1162" s="127" t="s">
        <v>1411</v>
      </c>
      <c r="E1162" s="131">
        <v>59600.01</v>
      </c>
      <c r="F1162" s="128">
        <v>3.0</v>
      </c>
    </row>
    <row r="1163">
      <c r="A1163" s="129">
        <v>1161.0</v>
      </c>
      <c r="B1163" s="130">
        <v>45868.0</v>
      </c>
      <c r="C1163" s="127" t="s">
        <v>1408</v>
      </c>
      <c r="D1163" s="127" t="s">
        <v>1412</v>
      </c>
      <c r="E1163" s="131">
        <v>44357.0</v>
      </c>
      <c r="F1163" s="128">
        <v>0.0</v>
      </c>
    </row>
    <row r="1164">
      <c r="A1164" s="129">
        <v>1162.0</v>
      </c>
      <c r="B1164" s="130">
        <v>45743.0</v>
      </c>
      <c r="C1164" s="127" t="s">
        <v>1413</v>
      </c>
      <c r="D1164" s="127" t="s">
        <v>184</v>
      </c>
      <c r="E1164" s="131">
        <v>10500.0</v>
      </c>
      <c r="F1164" s="128">
        <v>113.0</v>
      </c>
    </row>
    <row r="1165">
      <c r="A1165" s="129">
        <v>1163.0</v>
      </c>
      <c r="B1165" s="130">
        <v>45827.0</v>
      </c>
      <c r="C1165" s="127" t="s">
        <v>1414</v>
      </c>
      <c r="D1165" s="127" t="s">
        <v>1415</v>
      </c>
      <c r="E1165" s="131">
        <v>35000.0</v>
      </c>
      <c r="F1165" s="128">
        <v>13.0</v>
      </c>
    </row>
    <row r="1166">
      <c r="A1166" s="129">
        <v>1164.0</v>
      </c>
      <c r="B1166" s="130">
        <v>45856.0</v>
      </c>
      <c r="C1166" s="127" t="s">
        <v>1414</v>
      </c>
      <c r="D1166" s="127" t="s">
        <v>1416</v>
      </c>
      <c r="E1166" s="131">
        <v>66582.07</v>
      </c>
      <c r="F1166" s="128">
        <v>0.0</v>
      </c>
    </row>
    <row r="1167">
      <c r="A1167" s="129">
        <v>1165.0</v>
      </c>
      <c r="B1167" s="132">
        <v>45754.0</v>
      </c>
      <c r="C1167" s="127" t="s">
        <v>1417</v>
      </c>
      <c r="D1167" s="127" t="s">
        <v>1418</v>
      </c>
      <c r="E1167" s="131">
        <v>35000.0</v>
      </c>
      <c r="F1167" s="128">
        <v>102.0</v>
      </c>
    </row>
    <row r="1168">
      <c r="A1168" s="129">
        <v>1166.0</v>
      </c>
      <c r="B1168" s="130">
        <v>45828.0</v>
      </c>
      <c r="C1168" s="127" t="s">
        <v>1417</v>
      </c>
      <c r="D1168" s="127" t="s">
        <v>854</v>
      </c>
      <c r="E1168" s="131">
        <v>56000.0</v>
      </c>
      <c r="F1168" s="128">
        <v>28.0</v>
      </c>
    </row>
    <row r="1169">
      <c r="A1169" s="129">
        <v>1167.0</v>
      </c>
      <c r="B1169" s="132">
        <v>45839.0</v>
      </c>
      <c r="C1169" s="127" t="s">
        <v>1417</v>
      </c>
      <c r="D1169" s="127" t="s">
        <v>1419</v>
      </c>
      <c r="E1169" s="131">
        <v>56000.0</v>
      </c>
      <c r="F1169" s="128">
        <v>17.0</v>
      </c>
    </row>
    <row r="1170">
      <c r="A1170" s="129">
        <v>1168.0</v>
      </c>
      <c r="B1170" s="130">
        <v>45856.0</v>
      </c>
      <c r="C1170" s="127" t="s">
        <v>1417</v>
      </c>
      <c r="D1170" s="127" t="s">
        <v>1420</v>
      </c>
      <c r="E1170" s="131">
        <v>56000.0</v>
      </c>
      <c r="F1170" s="128">
        <v>0.0</v>
      </c>
    </row>
    <row r="1171">
      <c r="A1171" s="129">
        <v>1169.0</v>
      </c>
      <c r="B1171" s="134">
        <v>45808.0</v>
      </c>
      <c r="C1171" s="127" t="s">
        <v>1421</v>
      </c>
      <c r="D1171" s="127" t="s">
        <v>1422</v>
      </c>
      <c r="E1171" s="131">
        <v>52500.0</v>
      </c>
      <c r="F1171" s="128">
        <v>48.0</v>
      </c>
    </row>
    <row r="1172">
      <c r="A1172" s="129">
        <v>1170.0</v>
      </c>
      <c r="B1172" s="130">
        <v>45701.0</v>
      </c>
      <c r="C1172" s="127" t="s">
        <v>1423</v>
      </c>
      <c r="D1172" s="127" t="s">
        <v>1424</v>
      </c>
      <c r="E1172" s="131">
        <v>17500.0</v>
      </c>
      <c r="F1172" s="128">
        <v>169.0</v>
      </c>
    </row>
    <row r="1173">
      <c r="A1173" s="129">
        <v>1171.0</v>
      </c>
      <c r="B1173" s="130">
        <v>45764.0</v>
      </c>
      <c r="C1173" s="127" t="s">
        <v>1423</v>
      </c>
      <c r="D1173" s="127" t="s">
        <v>1425</v>
      </c>
      <c r="E1173" s="131">
        <v>10500.0</v>
      </c>
      <c r="F1173" s="128">
        <v>106.0</v>
      </c>
    </row>
    <row r="1174">
      <c r="A1174" s="129">
        <v>1172.0</v>
      </c>
      <c r="B1174" s="134">
        <v>45792.0</v>
      </c>
      <c r="C1174" s="127" t="s">
        <v>1423</v>
      </c>
      <c r="D1174" s="127" t="s">
        <v>1426</v>
      </c>
      <c r="E1174" s="131">
        <v>47953.13</v>
      </c>
      <c r="F1174" s="128">
        <v>71.0</v>
      </c>
    </row>
    <row r="1175">
      <c r="A1175" s="129">
        <v>1173.0</v>
      </c>
      <c r="B1175" s="130">
        <v>45715.0</v>
      </c>
      <c r="C1175" s="127" t="s">
        <v>1427</v>
      </c>
      <c r="D1175" s="127" t="s">
        <v>1428</v>
      </c>
      <c r="E1175" s="131">
        <v>13480.04</v>
      </c>
      <c r="F1175" s="128">
        <v>141.0</v>
      </c>
    </row>
    <row r="1176">
      <c r="A1176" s="129">
        <v>1174.0</v>
      </c>
      <c r="B1176" s="130">
        <v>45764.0</v>
      </c>
      <c r="C1176" s="127" t="s">
        <v>1427</v>
      </c>
      <c r="D1176" s="127" t="s">
        <v>1429</v>
      </c>
      <c r="E1176" s="131">
        <v>50039.91</v>
      </c>
      <c r="F1176" s="128">
        <v>106.0</v>
      </c>
    </row>
    <row r="1177">
      <c r="A1177" s="129">
        <v>1175.0</v>
      </c>
      <c r="B1177" s="132">
        <v>45842.0</v>
      </c>
      <c r="C1177" s="127" t="s">
        <v>1427</v>
      </c>
      <c r="D1177" s="127" t="s">
        <v>1430</v>
      </c>
      <c r="E1177" s="131">
        <v>34200.0</v>
      </c>
      <c r="F1177" s="128">
        <v>14.0</v>
      </c>
    </row>
    <row r="1178">
      <c r="A1178" s="129">
        <v>1176.0</v>
      </c>
      <c r="B1178" s="135">
        <v>45842.0</v>
      </c>
      <c r="C1178" s="136" t="s">
        <v>1427</v>
      </c>
      <c r="D1178" s="136" t="s">
        <v>1431</v>
      </c>
      <c r="E1178" s="137">
        <v>29500.0</v>
      </c>
      <c r="F1178" s="138">
        <v>14.0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</sheetData>
  <drawing r:id="rId2"/>
</worksheet>
</file>