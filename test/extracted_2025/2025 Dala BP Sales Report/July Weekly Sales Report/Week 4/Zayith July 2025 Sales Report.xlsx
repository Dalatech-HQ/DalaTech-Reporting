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Data'!$A$3:$G$890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<sst xmlns="http://schemas.openxmlformats.org/spreadsheetml/2006/main" count="4506" uniqueCount="296">
  <si>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</si>
  <si>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</si>
  <si>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</si>
  <si>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</si>
  <si>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</si>
  <si>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</si>
  <si>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</si>
  <si>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</si>
  <si>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</si>
  <si>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</si>
  <si>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</si>
  <si>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</si>
  <si>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</si>
  <si>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</si>
  <si>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</si>
  <si>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High Protien Sweetend Greek Yoghurt (6x)</t>
  </si>
  <si>
    <t>Zayith Food Company</t>
  </si>
  <si>
    <t>Purchase Inv-Dala</t>
  </si>
  <si>
    <t>250ml Strawberry Yoghurt (12x)</t>
  </si>
  <si>
    <t>Greenell Supermarket, Osapa</t>
  </si>
  <si>
    <t>Sales</t>
  </si>
  <si>
    <t>DT:001673</t>
  </si>
  <si>
    <t>1 ltr High Protien Unsweetend Greek Yoghurt (6x)</t>
  </si>
  <si>
    <t>250ml Vanilla Yoghurt (12x)</t>
  </si>
  <si>
    <t>1 ltr Low Fat Sweetend Greek Yoghurt (6x)</t>
  </si>
  <si>
    <t>500ml High Protien Sweetend Greek Yoghurt (12x)</t>
  </si>
  <si>
    <t>1 ltr Low Fat Unsweetend Greek Yoghurt (6x)</t>
  </si>
  <si>
    <t>500ml Low Fat Sweetend Greek Yoghurt (12x)</t>
  </si>
  <si>
    <t>500ml Strawberry Yoghurt (12x)</t>
  </si>
  <si>
    <t>Prince Ebeano, ONIRU</t>
  </si>
  <si>
    <t>DT:001676</t>
  </si>
  <si>
    <t>500ml Low Fat Unsweetend Greek Yoghurt (12x)</t>
  </si>
  <si>
    <t>Rance Supermarket, Sangotedo</t>
  </si>
  <si>
    <t>DT:001670</t>
  </si>
  <si>
    <t>Better Mart Supermartket, Ajah</t>
  </si>
  <si>
    <t>DT:001689</t>
  </si>
  <si>
    <t>Buymore Supermarket, ABULEGBA</t>
  </si>
  <si>
    <t>DT:001691</t>
  </si>
  <si>
    <t>Buymore Supermarket, IKEJA</t>
  </si>
  <si>
    <t>DT:001704</t>
  </si>
  <si>
    <t>500ml High Protien Unsweetend Greek Yoghurt (12x)</t>
  </si>
  <si>
    <t>De Royal Prince, GBAGADA</t>
  </si>
  <si>
    <t>DT:001703</t>
  </si>
  <si>
    <t>Integral Mart</t>
  </si>
  <si>
    <t>DT:001696</t>
  </si>
  <si>
    <t>Jendol Supermarket, U-TURN</t>
  </si>
  <si>
    <t>DT:001680</t>
  </si>
  <si>
    <t>500ml Vanilla Yoghurt (12x)</t>
  </si>
  <si>
    <t>KD (Kitchen Delight) Supermarket</t>
  </si>
  <si>
    <t>DT:001679</t>
  </si>
  <si>
    <t>Sundry Markets Square, OKOTA</t>
  </si>
  <si>
    <t>DT:001690</t>
  </si>
  <si>
    <t>Surplus Supermarket</t>
  </si>
  <si>
    <t>DT:001695</t>
  </si>
  <si>
    <t>Texon Supermarket, OGUDU</t>
  </si>
  <si>
    <t>DT:001699</t>
  </si>
  <si>
    <t>Twins Faja Supermarket, IGBESA</t>
  </si>
  <si>
    <t>DT:001692</t>
  </si>
  <si>
    <t>Twins Faja Supermarket, IKOTUN Road</t>
  </si>
  <si>
    <t>DT:001694</t>
  </si>
  <si>
    <t>Emmatos Superstore, Kola</t>
  </si>
  <si>
    <t>DT:001708</t>
  </si>
  <si>
    <t>Jendol Supermarket, EGBEDA</t>
  </si>
  <si>
    <t>DT:001710</t>
  </si>
  <si>
    <t>Jendol Supermarket, IPAJA</t>
  </si>
  <si>
    <t>DT:001709</t>
  </si>
  <si>
    <t>Mitch &amp; Good Supermarket</t>
  </si>
  <si>
    <t>DT:001707</t>
  </si>
  <si>
    <t>Compramart Supermarket, ORCHID Rd.</t>
  </si>
  <si>
    <t>DT:001731</t>
  </si>
  <si>
    <t>Excel Plus Supermarket, Orchid Rd.</t>
  </si>
  <si>
    <t>DT:001739</t>
  </si>
  <si>
    <t>Sundry Market Square, FESTAC</t>
  </si>
  <si>
    <t>DT:001737</t>
  </si>
  <si>
    <t>Priviledge Superstore</t>
  </si>
  <si>
    <t>DT:001756</t>
  </si>
  <si>
    <t>Blenco Supermarket, ILASAN-CHISCO</t>
  </si>
  <si>
    <t>DT:001757</t>
  </si>
  <si>
    <t>DT:001769</t>
  </si>
  <si>
    <t>Jendol Supermarket, AJAH</t>
  </si>
  <si>
    <t>DT:001760</t>
  </si>
  <si>
    <t>Jendol supermarket, OJUORE</t>
  </si>
  <si>
    <t>DT:001774</t>
  </si>
  <si>
    <t>Life Back Pharmacy &amp; stores</t>
  </si>
  <si>
    <t>DT:001765</t>
  </si>
  <si>
    <t>Prince Ebeano, OLOGOLO</t>
  </si>
  <si>
    <t>DT:001761</t>
  </si>
  <si>
    <t>Renees Supermarket, FREEDOM WAY</t>
  </si>
  <si>
    <t>DT:001759</t>
  </si>
  <si>
    <t>Renees Supermarket, LEKKI CENTRAL MOSQUE</t>
  </si>
  <si>
    <t>DT:001762</t>
  </si>
  <si>
    <t>Sundry Market Square, GBAGADA</t>
  </si>
  <si>
    <t>DT:001770</t>
  </si>
  <si>
    <t>Sundry Market Square, Otta</t>
  </si>
  <si>
    <t>DT:001776</t>
  </si>
  <si>
    <t>Supersaver, OSAPA</t>
  </si>
  <si>
    <t>DT:001766</t>
  </si>
  <si>
    <t>Twins Faja Supermarket, Lekki</t>
  </si>
  <si>
    <t>DT:001763</t>
  </si>
  <si>
    <t>CMART Supermarket, LEKKI</t>
  </si>
  <si>
    <t>DT:001792</t>
  </si>
  <si>
    <t>Individual</t>
  </si>
  <si>
    <t>DT:001794</t>
  </si>
  <si>
    <t>De Royal Prince, ISHERI</t>
  </si>
  <si>
    <t>DT:001820</t>
  </si>
  <si>
    <t>DT:001805</t>
  </si>
  <si>
    <t>Justrite, CASSO</t>
  </si>
  <si>
    <t>DT:001807</t>
  </si>
  <si>
    <t>Justrite, DOPEMU</t>
  </si>
  <si>
    <t>DT:001803</t>
  </si>
  <si>
    <t>Justrite, EKORO</t>
  </si>
  <si>
    <t>DT:001823</t>
  </si>
  <si>
    <t>Justrite, IKORODU OGOLONTO</t>
  </si>
  <si>
    <t>DT:001814</t>
  </si>
  <si>
    <t>Justrite, IPAJA AYOBO</t>
  </si>
  <si>
    <t>DT:001815</t>
  </si>
  <si>
    <t>Pennymart Express, PALACEWAY OKOTA</t>
  </si>
  <si>
    <t>DT:001802</t>
  </si>
  <si>
    <t>Shop 'N' Save Supermarket</t>
  </si>
  <si>
    <t>DT:001799</t>
  </si>
  <si>
    <t>DT:001798</t>
  </si>
  <si>
    <t>Twins Faja Supermarket, EGBEDA</t>
  </si>
  <si>
    <t>DT:001828</t>
  </si>
  <si>
    <t>Alvira Mart</t>
  </si>
  <si>
    <t>DT:001850</t>
  </si>
  <si>
    <t>CMART Supermarket, ONIRU</t>
  </si>
  <si>
    <t>DT:001844</t>
  </si>
  <si>
    <t>DT:001853</t>
  </si>
  <si>
    <t>DT:001847</t>
  </si>
  <si>
    <t>Jendol Supermarket, ONIBUKUN</t>
  </si>
  <si>
    <t>DT:001859</t>
  </si>
  <si>
    <t>DT:001855</t>
  </si>
  <si>
    <t>Prince Ebeano, JAKANDE</t>
  </si>
  <si>
    <t>DT:001848</t>
  </si>
  <si>
    <t>DT:001845</t>
  </si>
  <si>
    <t>Xtrarite Supermarket</t>
  </si>
  <si>
    <t>DT:001840</t>
  </si>
  <si>
    <t>DT:001861</t>
  </si>
  <si>
    <t>DT:001862</t>
  </si>
  <si>
    <t>Prime Mart Superstores, IPAJA</t>
  </si>
  <si>
    <t>DT:001869</t>
  </si>
  <si>
    <t>DT:001863</t>
  </si>
  <si>
    <t>Buymore Supermarket, ISHERI</t>
  </si>
  <si>
    <t>DT:001872</t>
  </si>
  <si>
    <t>DT:001871</t>
  </si>
  <si>
    <t>Jendol Supermarket, OJODU</t>
  </si>
  <si>
    <t>DT:001875</t>
  </si>
  <si>
    <t>DT:001877</t>
  </si>
  <si>
    <t>DT:001879</t>
  </si>
  <si>
    <t>DT:001881</t>
  </si>
  <si>
    <t>De Royal Prince, AKUTE</t>
  </si>
  <si>
    <t>DT:001893</t>
  </si>
  <si>
    <t>Kortsy</t>
  </si>
  <si>
    <t>DT:001890</t>
  </si>
  <si>
    <t>DT:001886</t>
  </si>
  <si>
    <t>DT:001888</t>
  </si>
  <si>
    <t>DT:001892</t>
  </si>
  <si>
    <t>DT:001905</t>
  </si>
  <si>
    <t>DT:001907</t>
  </si>
  <si>
    <t>DT:001904</t>
  </si>
  <si>
    <t>DT:001906</t>
  </si>
  <si>
    <t>DT:001901</t>
  </si>
  <si>
    <t>DT:001900</t>
  </si>
  <si>
    <t>Kelmas Place Restaurant</t>
  </si>
  <si>
    <t>DT:001903</t>
  </si>
  <si>
    <t>MQ Supermarket</t>
  </si>
  <si>
    <t>DT:001899</t>
  </si>
  <si>
    <t>DT:001894</t>
  </si>
  <si>
    <t>DT:001896</t>
  </si>
  <si>
    <t>DT:001920</t>
  </si>
  <si>
    <t>DT:001923</t>
  </si>
  <si>
    <t>Goodiss Supermarket, IKEJA</t>
  </si>
  <si>
    <t>DT:001909</t>
  </si>
  <si>
    <t>Home Affairs Supermarket, OGUDU (135)</t>
  </si>
  <si>
    <t>DT:001913</t>
  </si>
  <si>
    <t>Prince Ebeano, LEKKI</t>
  </si>
  <si>
    <t>DT:001916</t>
  </si>
  <si>
    <t>DT:001919</t>
  </si>
  <si>
    <t>DT:001915</t>
  </si>
  <si>
    <t>DT:001918</t>
  </si>
  <si>
    <t>DT:001908</t>
  </si>
  <si>
    <t>DT:001911</t>
  </si>
  <si>
    <t>UBA Pharmacy and Supermarket, ELEGANZA</t>
  </si>
  <si>
    <t>DT:001921</t>
  </si>
  <si>
    <t>DT:001928</t>
  </si>
  <si>
    <t>Eleyor Shopping Mall, ALAGBON OWODE</t>
  </si>
  <si>
    <t>DT:001929</t>
  </si>
  <si>
    <t>Eleyor Shopping Mall, OWODE</t>
  </si>
  <si>
    <t>DT:001927</t>
  </si>
  <si>
    <t>DT:001932</t>
  </si>
  <si>
    <t>DT:001935</t>
  </si>
  <si>
    <t>Jendol Supermarket, IGANDO</t>
  </si>
  <si>
    <t>DT:001937</t>
  </si>
  <si>
    <t>DT:001943</t>
  </si>
  <si>
    <t>DT:001944</t>
  </si>
  <si>
    <t>DT:001953</t>
  </si>
  <si>
    <t>DT:001955</t>
  </si>
  <si>
    <t>DT:001954</t>
  </si>
  <si>
    <t>Katta Supermarket</t>
  </si>
  <si>
    <t>DT:001958</t>
  </si>
  <si>
    <t>DT:001961</t>
  </si>
  <si>
    <t>Ozzy Supermarket, mobile road</t>
  </si>
  <si>
    <t>DT:001952</t>
  </si>
  <si>
    <t>Compramart Supermarket, MOBILE Rd.</t>
  </si>
  <si>
    <t>DT:001950</t>
  </si>
  <si>
    <t>DT:001966</t>
  </si>
  <si>
    <t>Prime Mart Superstores, CEMENT</t>
  </si>
  <si>
    <t>DT:001971</t>
  </si>
  <si>
    <t>DT:001973</t>
  </si>
  <si>
    <t>Twins Faja Supermarket, ABARENJE</t>
  </si>
  <si>
    <t>DT:001979</t>
  </si>
  <si>
    <t>DT:001986</t>
  </si>
  <si>
    <t>Reno Supermarket, ISHERI</t>
  </si>
  <si>
    <t>DT:001977</t>
  </si>
  <si>
    <t>Twins Faja Supermarket, OROPO</t>
  </si>
  <si>
    <t>DT:001980</t>
  </si>
  <si>
    <t>Twins Faja Supermarket, IJEGUN Isolo Rd.</t>
  </si>
  <si>
    <t>DT:001976</t>
  </si>
  <si>
    <t>Twins Faja Supermarket, IJEGUN Prince B. Stop</t>
  </si>
  <si>
    <t>DT:001985</t>
  </si>
  <si>
    <t>DT:001995</t>
  </si>
  <si>
    <t>DT:001999</t>
  </si>
  <si>
    <t>DT:001997</t>
  </si>
  <si>
    <t>DT:001993</t>
  </si>
  <si>
    <t>DT:001998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</si>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</sst>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2" fontId="8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8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8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3" fillId="0" fontId="8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5" fillId="0" fontId="3" numFmtId="4" xfId="0" applyAlignment="1" applyBorder="1" applyFont="1" applyNumberFormat="1">
      <alignment horizontal="right" readingOrder="0" shrinkToFit="0" vertical="top" wrapText="0"/>
    </xf>
    <xf borderId="3" fillId="0" fontId="8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2" fontId="8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5" fillId="0" fontId="3" numFmtId="0" xfId="0" applyAlignment="1" applyBorder="1" applyFont="1">
      <alignment readingOrder="0" vertical="top"/>
    </xf>
    <xf borderId="0" fillId="0" fontId="9" numFmtId="16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4" fillId="0" fontId="10" numFmtId="0" xfId="0" applyAlignment="1" applyBorder="1" applyFont="1">
      <alignment shrinkToFit="0" vertical="top" wrapText="0"/>
    </xf>
    <xf borderId="0" fillId="0" fontId="10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2" numFmtId="0" xfId="0" applyAlignment="1" applyFont="1">
      <alignment horizontal="right" shrinkToFit="0" vertical="top" wrapText="0"/>
    </xf>
    <xf borderId="5" fillId="0" fontId="9" numFmtId="164" xfId="0" applyAlignment="1" applyBorder="1" applyFont="1" applyNumberFormat="1">
      <alignment horizontal="right" readingOrder="0" shrinkToFit="0" vertical="top" wrapText="0"/>
    </xf>
    <xf borderId="5" fillId="0" fontId="9" numFmtId="0" xfId="0" applyAlignment="1" applyBorder="1" applyFont="1">
      <alignment readingOrder="0" vertical="top"/>
    </xf>
    <xf borderId="5" fillId="0" fontId="9" numFmtId="0" xfId="0" applyAlignment="1" applyBorder="1" applyFont="1">
      <alignment horizontal="right" readingOrder="0" shrinkToFit="0" vertical="top" wrapText="0"/>
    </xf>
    <xf borderId="6" fillId="0" fontId="10" numFmtId="0" xfId="0" applyAlignment="1" applyBorder="1" applyFont="1">
      <alignment shrinkToFit="0" vertical="top" wrapText="0"/>
    </xf>
    <xf borderId="5" fillId="0" fontId="10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0" xfId="0" applyFont="1"/>
    <xf borderId="0" fillId="0" fontId="13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10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8" fillId="2" fontId="1" numFmtId="10" xfId="0" applyAlignment="1" applyBorder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10" numFmtId="0" xfId="0" applyAlignment="1" applyBorder="1" applyFont="1">
      <alignment readingOrder="0" shrinkToFit="0" vertical="bottom" wrapText="0"/>
    </xf>
    <xf borderId="11" fillId="3" fontId="10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3" fillId="3" fontId="13" numFmtId="4" xfId="0" applyAlignment="1" applyBorder="1" applyFont="1" applyNumberFormat="1">
      <alignment horizontal="right" vertical="bottom"/>
    </xf>
    <xf borderId="8" fillId="3" fontId="10" numFmtId="0" xfId="0" applyAlignment="1" applyBorder="1" applyFont="1">
      <alignment readingOrder="0" shrinkToFit="0" vertical="bottom" wrapText="0"/>
    </xf>
    <xf borderId="9" fillId="3" fontId="10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7" fillId="4" fontId="1" numFmtId="10" xfId="0" applyAlignment="1" applyBorder="1" applyFont="1" applyNumberFormat="1">
      <alignment horizontal="right" readingOrder="0" shrinkToFit="0" vertical="bottom" wrapText="0"/>
    </xf>
    <xf borderId="8" fillId="4" fontId="1" numFmtId="10" xfId="0" applyAlignment="1" applyBorder="1" applyFont="1" applyNumberFormat="1">
      <alignment horizontal="right"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0" fillId="4" fontId="14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351" sheet="Raw Data"/>
  </cacheSource>
  <cacheFields>
    <cacheField name="item name" numFmtId="0">
      <sharedItems>
        <s v="250ml Strawberry Yoghurt (12x)"/>
        <s v="250ml Vanilla Yoghurt (12x)"/>
        <s v="500ml High Protien Sweetend Greek Yoghurt (12x)"/>
        <s v="500ml Low Fat Sweetend Greek Yoghurt (12x)"/>
        <s v="500ml Strawberry Yoghurt (12x)"/>
        <s v="500ml High Protien Unsweetend Greek Yoghurt (12x)"/>
        <s v="500ml Low Fat Unsweetend Greek Yoghurt (12x)"/>
        <s v="1 ltr High Protien Sweetend Greek Yoghurt (6x)"/>
        <s v="1 ltr High Protien Unsweetend Greek Yoghurt (6x)"/>
        <s v="1 ltr Low Fat Sweetend Greek Yoghurt (6x)"/>
        <s v="1 ltr Low Fat Unsweetend Greek Yoghurt (6x)"/>
        <s v="500ml Vanilla Yoghurt (12x)"/>
      </sharedItems>
    </cacheField>
    <cacheField name="Date" numFmtId="164">
      <sharedItems containsSemiMixedTypes="0" containsDate="1" containsString="0">
        <d v="2025-07-01T00:00:00Z"/>
        <d v="2025-07-02T00:00:00Z"/>
        <d v="2025-07-03T00:00:00Z"/>
        <d v="2025-07-04T00:00:00Z"/>
        <d v="2025-07-07T00:00:00Z"/>
        <d v="2025-07-09T00:00:00Z"/>
        <d v="2025-07-11T00:00:00Z"/>
        <d v="2025-07-12T00:00:00Z"/>
        <d v="2025-07-15T00:00:00Z"/>
        <d v="2025-07-17T00:00:00Z"/>
        <d v="2025-07-18T00:00:00Z"/>
        <d v="2025-07-19T00:00:00Z"/>
        <d v="2025-07-21T00:00:00Z"/>
        <d v="2025-07-22T00:00:00Z"/>
        <d v="2025-07-23T00:00:00Z"/>
        <d v="2025-07-24T00:00:00Z"/>
        <d v="2025-07-25T00:00:00Z"/>
        <d v="2025-07-26T00:00:00Z"/>
        <d v="2025-07-28T00:00:00Z"/>
        <d v="2025-07-29T00:00:00Z"/>
        <d v="2025-07-30T00:00:00Z"/>
      </sharedItems>
    </cacheField>
    <cacheField name="Particulars" numFmtId="0">
      <sharedItems>
        <s v="Greenell Supermarket, Osapa"/>
        <s v="Prince Ebeano, ONIRU"/>
        <s v="Rance Supermarket, Sangotedo"/>
        <s v="Better Mart Supermartket, Ajah"/>
        <s v="Buymore Supermarket, ABULEGBA"/>
        <s v="Buymore Supermarket, IKEJA"/>
        <s v="De Royal Prince, GBAGADA"/>
        <s v="Integral Mart"/>
        <s v="Jendol Supermarket, U-TURN"/>
        <s v="KD (Kitchen Delight) Supermarket"/>
        <s v="Sundry Markets Square, OKOTA"/>
        <s v="Surplus Supermarket"/>
        <s v="Texon Supermarket, OGUDU"/>
        <s v="Twins Faja Supermarket, IGBESA"/>
        <s v="Twins Faja Supermarket, IKOTUN Road"/>
        <s v="Emmatos Superstore, Kola"/>
        <s v="Jendol Supermarket, EGBEDA"/>
        <s v="Jendol Supermarket, IPAJA"/>
        <s v="Mitch &amp; Good Supermarket"/>
        <s v="Compramart Supermarket, ORCHID Rd."/>
        <s v="Excel Plus Supermarket, Orchid Rd."/>
        <s v="Sundry Market Square, FESTAC"/>
        <s v="Priviledge Superstore"/>
        <s v="Blenco Supermarket, ILASAN-CHISCO"/>
        <s v="Jendol Supermarket, AJAH"/>
        <s v="Jendol supermarket, OJUORE"/>
        <s v="Life Back Pharmacy &amp; stores"/>
        <s v="Prince Ebeano, OLOGOLO"/>
        <s v="Renees Supermarket, FREEDOM WAY"/>
        <s v="Renees Supermarket, LEKKI CENTRAL MOSQUE"/>
        <s v="Sundry Market Square, GBAGADA"/>
        <s v="Sundry Market Square, Otta"/>
        <s v="Supersaver, OSAPA"/>
        <s v="Twins Faja Supermarket, Lekki"/>
        <s v="CMART Supermarket, LEKKI"/>
        <s v="Individual"/>
        <s v="De Royal Prince, ISHERI"/>
        <s v="Justrite, CASSO"/>
        <s v="Justrite, DOPEMU"/>
        <s v="Justrite, EKORO"/>
        <s v="Justrite, IKORODU OGOLONTO"/>
        <s v="Justrite, IPAJA AYOBO"/>
        <s v="Pennymart Express, PALACEWAY OKOTA"/>
        <s v="Shop 'N' Save Supermarket"/>
        <s v="Twins Faja Supermarket, EGBEDA"/>
        <s v="Alvira Mart"/>
        <s v="CMART Supermarket, ONIRU"/>
        <s v="Jendol Supermarket, ONIBUKUN"/>
        <s v="Prince Ebeano, JAKANDE"/>
        <s v="Xtrarite Supermarket"/>
        <s v="Prime Mart Superstores, IPAJA"/>
        <s v="Buymore Supermarket, ISHERI"/>
        <s v="Jendol Supermarket, OJODU"/>
        <s v="De Royal Prince, AKUTE"/>
        <s v="Kortsy"/>
        <s v="Kelmas Place Restaurant"/>
        <s v="MQ Supermarket"/>
        <s v="Goodiss Supermarket, IKEJA"/>
        <s v="Home Affairs Supermarket, OGUDU (135)"/>
        <s v="Prince Ebeano, LEKKI"/>
        <s v="UBA Pharmacy and Supermarket, ELEGANZA"/>
        <s v="Eleyor Shopping Mall, ALAGBON OWODE"/>
        <s v="Eleyor Shopping Mall, OWODE"/>
        <s v="Jendol Supermarket, IGANDO"/>
        <s v="Katta Supermarket"/>
        <s v="Ozzy Supermarket, mobile road"/>
        <s v="Compramart Supermarket, MOBILE Rd."/>
        <s v="Prime Mart Superstores, CEMENT"/>
        <s v="Twins Faja Supermarket, ABARENJE"/>
        <s v="Reno Supermarket, ISHERI"/>
        <s v="Twins Faja Supermarket, OROPO"/>
      </sharedItems>
    </cacheField>
    <cacheField name="Vch Type" numFmtId="0">
      <sharedItems>
        <s v="Sales"/>
      </sharedItems>
    </cacheField>
    <cacheField name="Vch No." numFmtId="0">
      <sharedItems>
        <s v="DT:001673"/>
        <s v="DT:001676"/>
        <s v="DT:001670"/>
        <s v="DT:001689"/>
        <s v="DT:001691"/>
        <s v="DT:001704"/>
        <s v="DT:001703"/>
        <s v="DT:001696"/>
        <s v="DT:001680"/>
        <s v="DT:001679"/>
        <s v="DT:001690"/>
        <s v="DT:001695"/>
        <s v="DT:001699"/>
        <s v="DT:001692"/>
        <s v="DT:001694"/>
        <s v="DT:001708"/>
        <s v="DT:001710"/>
        <s v="DT:001709"/>
        <s v="DT:001707"/>
        <s v="DT:001731"/>
        <s v="DT:001739"/>
        <s v="DT:001737"/>
        <s v="DT:001756"/>
        <s v="DT:001757"/>
        <s v="DT:001769"/>
        <s v="DT:001760"/>
        <s v="DT:001774"/>
        <s v="DT:001765"/>
        <s v="DT:001761"/>
        <s v="DT:001759"/>
        <s v="DT:001762"/>
        <s v="DT:001770"/>
        <s v="DT:001776"/>
        <s v="DT:001766"/>
        <s v="DT:001763"/>
        <s v="DT:001792"/>
        <s v="DT:001794"/>
        <s v="DT:001820"/>
        <s v="DT:001805"/>
        <s v="DT:001807"/>
        <s v="DT:001803"/>
        <s v="DT:001823"/>
        <s v="DT:001814"/>
        <s v="DT:001815"/>
        <s v="DT:001802"/>
        <s v="DT:001799"/>
        <s v="DT:001798"/>
        <s v="DT:001828"/>
        <s v="DT:001850"/>
        <s v="DT:001844"/>
        <s v="DT:001853"/>
        <s v="DT:001847"/>
        <s v="DT:001859"/>
        <s v="DT:001855"/>
        <s v="DT:001848"/>
        <s v="DT:001845"/>
        <s v="DT:001840"/>
        <s v="DT:001861"/>
        <s v="DT:001862"/>
        <s v="DT:001869"/>
        <s v="DT:001863"/>
        <s v="DT:001872"/>
        <s v="DT:001871"/>
        <s v="DT:001875"/>
        <s v="DT:001877"/>
        <s v="DT:001879"/>
        <s v="DT:001881"/>
        <s v="DT:001893"/>
        <s v="DT:001890"/>
        <s v="DT:001886"/>
        <s v="DT:001888"/>
        <s v="DT:001892"/>
        <s v="DT:001905"/>
        <s v="DT:001907"/>
        <s v="DT:001904"/>
        <s v="DT:001906"/>
        <s v="DT:001901"/>
        <s v="DT:001900"/>
        <s v="DT:001903"/>
        <s v="DT:001899"/>
        <s v="DT:001894"/>
        <s v="DT:001896"/>
        <s v="DT:001920"/>
        <s v="DT:001923"/>
        <s v="DT:001909"/>
        <s v="DT:001913"/>
        <s v="DT:001916"/>
        <s v="DT:001919"/>
        <s v="DT:001915"/>
        <s v="DT:001918"/>
        <s v="DT:001908"/>
        <s v="DT:001911"/>
        <s v="DT:001921"/>
        <s v="DT:001928"/>
        <s v="DT:001929"/>
        <s v="DT:001927"/>
        <s v="DT:001932"/>
        <s v="DT:001935"/>
        <s v="DT:001937"/>
        <s v="DT:001943"/>
        <s v="DT:001944"/>
        <s v="DT:001953"/>
        <s v="DT:001955"/>
        <s v="DT:001954"/>
        <s v="DT:001958"/>
        <s v="DT:001961"/>
        <s v="DT:001952"/>
        <s v="DT:001950"/>
        <s v="DT:001966"/>
        <s v="DT:001971"/>
        <s v="DT:001973"/>
        <s v="DT:001979"/>
        <s v="DT:001986"/>
        <s v="DT:001977"/>
        <s v="DT:001980"/>
      </sharedItems>
    </cacheField>
    <cacheField name="Quantity" numFmtId="0">
      <sharedItems containsSemiMixedTypes="0" containsString="0" containsNumber="1">
        <n v="2.0"/>
        <n v="1.0"/>
        <n v="0.5"/>
        <n v="3.0"/>
        <n v="5.0"/>
      </sharedItems>
    </cacheField>
    <cacheField name="Value" numFmtId="4">
      <sharedItems containsSemiMixedTypes="0" containsString="0" containsNumber="1">
        <n v="37122.1"/>
        <n v="18561.05"/>
        <n v="45657.74"/>
        <n v="40037.11"/>
        <n v="60672.2"/>
        <n v="30336.1"/>
        <n v="15168.05"/>
        <n v="19954.0"/>
        <n v="22828.87"/>
        <n v="20018.56"/>
        <n v="42241.34"/>
        <n v="36105.91"/>
        <n v="59862.0"/>
        <n v="21120.67"/>
        <n v="80074.22"/>
        <n v="18052.96"/>
        <n v="91315.48"/>
        <n v="55683.15"/>
        <n v="9280.53"/>
        <n v="84482.68"/>
        <n v="72211.82"/>
        <n v="151680.5"/>
        <n v="32611.31"/>
        <n v="49082.0"/>
        <n v="30226.1"/>
        <n v="60672.02"/>
        <n v="16305.66"/>
      </sharedItems>
    </cacheField>
    <cacheField name="Total Value" numFmtId="0">
      <sharedItems containsSemiMixedTypes="0" containsString="0" containsNumber="1">
        <n v="202050.2"/>
        <n v="116030.95000000001"/>
        <n v="15168.05"/>
        <n v="35122.05"/>
        <n v="60825.78999999999"/>
        <n v="120881.46"/>
        <n v="303215.13999999996"/>
        <n v="55076.05"/>
        <n v="91315.48"/>
        <n v="37996.92"/>
        <n v="199798.21999999997"/>
        <n v="85630.29999999999"/>
        <n v="37122.1"/>
        <n v="22828.87"/>
        <n v="45657.74"/>
        <n v="383160.24999999994"/>
        <n v="20018.56"/>
        <n v="181415.11"/>
        <n v="189408.14"/>
        <n v="57140.66"/>
        <n v="155592.39"/>
        <n v="111334.04"/>
        <n v="202891.16999999998"/>
        <n v="128437.57999999999"/>
        <n v="253153.36"/>
        <n v="77159.20999999999"/>
        <n v="289059.61"/>
        <n v="309081.8499999999"/>
        <n v="64218.8"/>
        <n v="187035.74"/>
        <n v="18561.05"/>
        <n v="131352.6"/>
        <n v="80074.22"/>
        <n v="100092.78"/>
        <n v="68486.61"/>
        <n v="140633.12"/>
        <n v="372529.76999999996"/>
        <n v="164042.1"/>
        <n v="170847.09000000003"/>
        <n v="186870.97999999998"/>
        <n v="246990.11"/>
        <n v="103399.12999999999"/>
        <n v="228635.05000000002"/>
        <n v="75993.84"/>
        <n v="30336.1"/>
        <n v="151987.68"/>
        <n v="40037.11"/>
        <n v="29299.090000000004"/>
        <n v="106329.94"/>
        <n v="60672.2"/>
        <n v="273332.07999999996"/>
        <n v="55683.149999999994"/>
        <n v="91008.29999999999"/>
        <n v="117196.31999999999"/>
        <n v="91161.89"/>
        <n v="45504.149999999994"/>
        <n v="156694.5"/>
        <n v="136819.62999999998"/>
        <n v="273890.81999999995"/>
        <n v="272577.0"/>
        <n v="65222.62"/>
        <n v="32611.31"/>
        <n v="98822.71"/>
        <n v="121651.58"/>
        <n v="70373.22"/>
        <n v="235625.71000000002"/>
        <n v="189109.78"/>
        <n v="98164.0"/>
        <n v="106219.94"/>
        <n v="192024.79"/>
        <n v="359802.37"/>
        <n v="78269.06"/>
        <n v="223129.28999999998"/>
        <n v="53427.759999999995"/>
        <n v="34866.71"/>
        <n v="51172.36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001" sheet="Raw Data"/>
  </cacheSource>
  <cacheFields>
    <cacheField name="item name" numFmtId="0">
      <sharedItems containsBlank="1">
        <s v="250ml Strawberry Yoghurt (12x)"/>
        <s v="250ml Vanilla Yoghurt (12x)"/>
        <s v="500ml High Protien Sweetend Greek Yoghurt (12x)"/>
        <s v="500ml Low Fat Sweetend Greek Yoghurt (12x)"/>
        <s v="500ml Strawberry Yoghurt (12x)"/>
        <s v="500ml High Protien Unsweetend Greek Yoghurt (12x)"/>
        <s v="500ml Low Fat Unsweetend Greek Yoghurt (12x)"/>
        <s v="1 ltr High Protien Sweetend Greek Yoghurt (6x)"/>
        <s v="1 ltr High Protien Unsweetend Greek Yoghurt (6x)"/>
        <s v="1 ltr Low Fat Sweetend Greek Yoghurt (6x)"/>
        <s v="1 ltr Low Fat Unsweetend Greek Yoghurt (6x)"/>
        <s v="500ml Vanilla Yoghurt (12x)"/>
        <m/>
      </sharedItems>
    </cacheField>
    <cacheField name="Date" numFmtId="164">
      <sharedItems containsDate="1" containsString="0" containsBlank="1">
        <d v="2025-07-01T00:00:00Z"/>
        <d v="2025-07-02T00:00:00Z"/>
        <d v="2025-07-03T00:00:00Z"/>
        <d v="2025-07-04T00:00:00Z"/>
        <d v="2025-07-07T00:00:00Z"/>
        <d v="2025-07-09T00:00:00Z"/>
        <d v="2025-07-11T00:00:00Z"/>
        <d v="2025-07-12T00:00:00Z"/>
        <d v="2025-07-15T00:00:00Z"/>
        <d v="2025-07-17T00:00:00Z"/>
        <d v="2025-07-18T00:00:00Z"/>
        <d v="2025-07-19T00:00:00Z"/>
        <d v="2025-07-21T00:00:00Z"/>
        <d v="2025-07-22T00:00:00Z"/>
        <d v="2025-07-23T00:00:00Z"/>
        <d v="2025-07-24T00:00:00Z"/>
        <d v="2025-07-25T00:00:00Z"/>
        <d v="2025-07-26T00:00:00Z"/>
        <d v="2025-07-28T00:00:00Z"/>
        <d v="2025-07-29T00:00:00Z"/>
        <d v="2025-07-30T00:00:00Z"/>
        <d v="2025-07-31T00:00:00Z"/>
        <m/>
      </sharedItems>
    </cacheField>
    <cacheField name="Particulars" numFmtId="0">
      <sharedItems containsBlank="1">
        <s v="Greenell Supermarket, Osapa"/>
        <s v="Prince Ebeano, ONIRU"/>
        <s v="Rance Supermarket, Sangotedo"/>
        <s v="Better Mart Supermartket, Ajah"/>
        <s v="Buymore Supermarket, ABULEGBA"/>
        <s v="Buymore Supermarket, IKEJA"/>
        <s v="De Royal Prince, GBAGADA"/>
        <s v="Integral Mart"/>
        <s v="Jendol Supermarket, U-TURN"/>
        <s v="KD (Kitchen Delight) Supermarket"/>
        <s v="Sundry Markets Square, OKOTA"/>
        <s v="Surplus Supermarket"/>
        <s v="Texon Supermarket, OGUDU"/>
        <s v="Twins Faja Supermarket, IGBESA"/>
        <s v="Twins Faja Supermarket, IKOTUN Road"/>
        <s v="Emmatos Superstore, Kola"/>
        <s v="Jendol Supermarket, EGBEDA"/>
        <s v="Jendol Supermarket, IPAJA"/>
        <s v="Mitch &amp; Good Supermarket"/>
        <s v="Compramart Supermarket, ORCHID Rd."/>
        <s v="Excel Plus Supermarket, Orchid Rd."/>
        <s v="Sundry Market Square, FESTAC"/>
        <s v="Priviledge Superstore"/>
        <s v="Blenco Supermarket, ILASAN-CHISCO"/>
        <s v="Jendol Supermarket, AJAH"/>
        <s v="Jendol supermarket, OJUORE"/>
        <s v="Life Back Pharmacy &amp; stores"/>
        <s v="Prince Ebeano, OLOGOLO"/>
        <s v="Renees Supermarket, FREEDOM WAY"/>
        <s v="Renees Supermarket, LEKKI CENTRAL MOSQUE"/>
        <s v="Sundry Market Square, GBAGADA"/>
        <s v="Sundry Market Square, Otta"/>
        <s v="Supersaver, OSAPA"/>
        <s v="Twins Faja Supermarket, Lekki"/>
        <s v="CMART Supermarket, LEKKI"/>
        <s v="Individual"/>
        <s v="De Royal Prince, ISHERI"/>
        <s v="Justrite, CASSO"/>
        <s v="Justrite, DOPEMU"/>
        <s v="Justrite, EKORO"/>
        <s v="Justrite, IKORODU OGOLONTO"/>
        <s v="Justrite, IPAJA AYOBO"/>
        <s v="Pennymart Express, PALACEWAY OKOTA"/>
        <s v="Shop 'N' Save Supermarket"/>
        <s v="Twins Faja Supermarket, EGBEDA"/>
        <s v="Alvira Mart"/>
        <s v="CMART Supermarket, ONIRU"/>
        <s v="Jendol Supermarket, ONIBUKUN"/>
        <s v="Prince Ebeano, JAKANDE"/>
        <s v="Xtrarite Supermarket"/>
        <s v="Prime Mart Superstores, IPAJA"/>
        <s v="Buymore Supermarket, ISHERI"/>
        <s v="Jendol Supermarket, OJODU"/>
        <s v="De Royal Prince, AKUTE"/>
        <s v="Kortsy"/>
        <s v="Kelmas Place Restaurant"/>
        <s v="MQ Supermarket"/>
        <s v="Goodiss Supermarket, IKEJA"/>
        <s v="Home Affairs Supermarket, OGUDU (135)"/>
        <s v="Prince Ebeano, LEKKI"/>
        <s v="UBA Pharmacy and Supermarket, ELEGANZA"/>
        <s v="Eleyor Shopping Mall, ALAGBON OWODE"/>
        <s v="Eleyor Shopping Mall, OWODE"/>
        <s v="Jendol Supermarket, IGANDO"/>
        <s v="Katta Supermarket"/>
        <s v="Ozzy Supermarket, mobile road"/>
        <s v="Compramart Supermarket, MOBILE Rd."/>
        <s v="Prime Mart Superstores, CEMENT"/>
        <s v="Twins Faja Supermarket, ABARENJE"/>
        <s v="Reno Supermarket, ISHERI"/>
        <s v="Twins Faja Supermarket, OROPO"/>
        <s v="Twins Faja Supermarket, IJEGUN Isolo Rd."/>
        <s v="Twins Faja Supermarket, IJEGUN Prince B. Stop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673"/>
        <s v="DT:001676"/>
        <s v="DT:001670"/>
        <s v="DT:001689"/>
        <s v="DT:001691"/>
        <s v="DT:001704"/>
        <s v="DT:001703"/>
        <s v="DT:001696"/>
        <s v="DT:001680"/>
        <s v="DT:001679"/>
        <s v="DT:001690"/>
        <s v="DT:001695"/>
        <s v="DT:001699"/>
        <s v="DT:001692"/>
        <s v="DT:001694"/>
        <s v="DT:001708"/>
        <s v="DT:001710"/>
        <s v="DT:001709"/>
        <s v="DT:001707"/>
        <s v="DT:001731"/>
        <s v="DT:001739"/>
        <s v="DT:001737"/>
        <s v="DT:001756"/>
        <s v="DT:001757"/>
        <s v="DT:001769"/>
        <s v="DT:001760"/>
        <s v="DT:001774"/>
        <s v="DT:001765"/>
        <s v="DT:001761"/>
        <s v="DT:001759"/>
        <s v="DT:001762"/>
        <s v="DT:001770"/>
        <s v="DT:001776"/>
        <s v="DT:001766"/>
        <s v="DT:001763"/>
        <s v="DT:001792"/>
        <s v="DT:001794"/>
        <s v="DT:001820"/>
        <s v="DT:001805"/>
        <s v="DT:001807"/>
        <s v="DT:001803"/>
        <s v="DT:001823"/>
        <s v="DT:001814"/>
        <s v="DT:001815"/>
        <s v="DT:001802"/>
        <s v="DT:001799"/>
        <s v="DT:001798"/>
        <s v="DT:001828"/>
        <s v="DT:001850"/>
        <s v="DT:001844"/>
        <s v="DT:001853"/>
        <s v="DT:001847"/>
        <s v="DT:001859"/>
        <s v="DT:001855"/>
        <s v="DT:001848"/>
        <s v="DT:001845"/>
        <s v="DT:001840"/>
        <s v="DT:001861"/>
        <s v="DT:001862"/>
        <s v="DT:001869"/>
        <s v="DT:001863"/>
        <s v="DT:001872"/>
        <s v="DT:001871"/>
        <s v="DT:001875"/>
        <s v="DT:001877"/>
        <s v="DT:001879"/>
        <s v="DT:001881"/>
        <s v="DT:001893"/>
        <s v="DT:001890"/>
        <s v="DT:001886"/>
        <s v="DT:001888"/>
        <s v="DT:001892"/>
        <s v="DT:001905"/>
        <s v="DT:001907"/>
        <s v="DT:001904"/>
        <s v="DT:001906"/>
        <s v="DT:001901"/>
        <s v="DT:001900"/>
        <s v="DT:001903"/>
        <s v="DT:001899"/>
        <s v="DT:001894"/>
        <s v="DT:001896"/>
        <s v="DT:001920"/>
        <s v="DT:001923"/>
        <s v="DT:001909"/>
        <s v="DT:001913"/>
        <s v="DT:001916"/>
        <s v="DT:001919"/>
        <s v="DT:001915"/>
        <s v="DT:001918"/>
        <s v="DT:001908"/>
        <s v="DT:001911"/>
        <s v="DT:001921"/>
        <s v="DT:001928"/>
        <s v="DT:001929"/>
        <s v="DT:001927"/>
        <s v="DT:001932"/>
        <s v="DT:001935"/>
        <s v="DT:001937"/>
        <s v="DT:001943"/>
        <s v="DT:001944"/>
        <s v="DT:001953"/>
        <s v="DT:001955"/>
        <s v="DT:001954"/>
        <s v="DT:001958"/>
        <s v="DT:001961"/>
        <s v="DT:001952"/>
        <s v="DT:001950"/>
        <s v="DT:001966"/>
        <s v="DT:001971"/>
        <s v="DT:001973"/>
        <s v="DT:001979"/>
        <s v="DT:001986"/>
        <s v="DT:001977"/>
        <s v="DT:001980"/>
        <s v="DT:001976"/>
        <s v="DT:001985"/>
        <s v="DT:001995"/>
        <s v="DT:001999"/>
        <s v="DT:001997"/>
        <s v="DT:001993"/>
        <s v="DT:001998"/>
        <m/>
      </sharedItems>
    </cacheField>
    <cacheField name="Quantity" numFmtId="0">
      <sharedItems containsString="0" containsBlank="1" containsNumber="1">
        <n v="2.0"/>
        <n v="1.0"/>
        <n v="0.5"/>
        <n v="3.0"/>
        <n v="5.0"/>
        <m/>
      </sharedItems>
    </cacheField>
    <cacheField name="Value" numFmtId="4">
      <sharedItems containsString="0" containsBlank="1" containsNumber="1">
        <n v="37122.1"/>
        <n v="18561.05"/>
        <n v="45657.74"/>
        <n v="40037.11"/>
        <n v="60672.2"/>
        <n v="30336.1"/>
        <n v="15168.05"/>
        <n v="19954.0"/>
        <n v="22828.87"/>
        <n v="20018.56"/>
        <n v="42241.34"/>
        <n v="36105.91"/>
        <n v="59862.0"/>
        <n v="21120.67"/>
        <n v="80074.22"/>
        <n v="18052.96"/>
        <n v="91315.48"/>
        <n v="55683.15"/>
        <n v="9280.53"/>
        <n v="84482.68"/>
        <n v="72211.82"/>
        <n v="151680.5"/>
        <n v="32611.31"/>
        <n v="49082.0"/>
        <n v="30226.1"/>
        <n v="60672.02"/>
        <n v="16305.6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7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Vanilla Yoghurt (12x)"/>
        <s v="500ml Low Fat Sweetend Greek Yoghurt (12x)"/>
        <s v="500ml Low Fat Unsweetend Greek Yoghurt (12x)"/>
        <s v="250ml Strawberry Yoghurt (12x)"/>
        <s v="500ml High Protien Sweetend Greek Yoghurt (12x)"/>
        <s v="500ml High Protien Unsweetend Greek Yoghurt (12x)"/>
        <s v="500ml Strawberry Yoghurt (12x)"/>
        <s v="500ml Vanilla Yoghurt (12x)"/>
        <m/>
      </sharedItems>
    </cacheField>
    <cacheField name="Date" numFmtId="164">
      <sharedItems containsDate="1" containsString="0" containsBlank="1">
        <d v="2025-07-01T00:00:00Z"/>
        <d v="2025-07-08T00:00:00Z"/>
        <d v="2025-07-15T00:00:00Z"/>
        <d v="2025-07-21T00:00:00Z"/>
        <d v="2025-07-23T00:00:00Z"/>
        <d v="2025-07-25T00:00:00Z"/>
        <d v="2025-07-29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66.0"/>
        <n v="2071.0"/>
        <n v="2074.0"/>
        <n v="2080.0"/>
        <n v="2081.0"/>
        <n v="2084.0"/>
        <n v="2088.0"/>
        <m/>
      </sharedItems>
    </cacheField>
    <cacheField name="Quantity" numFmtId="0">
      <sharedItems containsString="0" containsBlank="1" containsNumber="1" containsInteger="1">
        <n v="2.0"/>
        <n v="5.0"/>
        <n v="10.0"/>
        <n v="15.0"/>
        <n v="3.0"/>
        <n v="1.0"/>
        <n v="20.0"/>
        <n v="9.0"/>
        <m/>
      </sharedItems>
    </cacheField>
    <cacheField name="Value" numFmtId="4">
      <sharedItems containsString="0" containsBlank="1" containsNumber="1">
        <n v="84482.68"/>
        <n v="72211.82"/>
        <n v="92805.25"/>
        <n v="200185.55"/>
        <n v="185610.5"/>
        <n v="684866.1"/>
        <n v="456577.4"/>
        <n v="600556.65"/>
        <n v="400371.1"/>
        <n v="211206.7"/>
        <n v="126724.02"/>
        <n v="180529.55"/>
        <n v="228288.7"/>
        <n v="45657.74"/>
        <n v="606722.0"/>
        <n v="108317.73"/>
        <n v="410919.66"/>
        <n v="303361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18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te" axis="axisRow" compact="0" numFmtId="164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name="Particulars" axis="axisRow" compact="0" outline="0" multipleItemSelectionAllowed="1" showAll="0" sortType="ascending" defaultSubtotal="0">
      <items>
        <item x="45"/>
        <item x="3"/>
        <item x="23"/>
        <item x="4"/>
        <item x="5"/>
        <item x="51"/>
        <item x="34"/>
        <item x="46"/>
        <item x="66"/>
        <item x="19"/>
        <item x="53"/>
        <item x="6"/>
        <item x="36"/>
        <item x="61"/>
        <item x="62"/>
        <item x="15"/>
        <item x="20"/>
        <item x="57"/>
        <item x="0"/>
        <item x="58"/>
        <item x="35"/>
        <item x="7"/>
        <item x="24"/>
        <item x="16"/>
        <item x="63"/>
        <item x="17"/>
        <item x="52"/>
        <item x="25"/>
        <item x="47"/>
        <item x="8"/>
        <item x="37"/>
        <item x="38"/>
        <item x="39"/>
        <item x="40"/>
        <item x="41"/>
        <item x="64"/>
        <item x="9"/>
        <item x="55"/>
        <item x="54"/>
        <item x="26"/>
        <item x="18"/>
        <item x="56"/>
        <item x="65"/>
        <item x="42"/>
        <item x="67"/>
        <item x="50"/>
        <item x="48"/>
        <item x="59"/>
        <item x="27"/>
        <item x="1"/>
        <item x="22"/>
        <item x="2"/>
        <item x="28"/>
        <item x="29"/>
        <item x="69"/>
        <item x="43"/>
        <item x="21"/>
        <item x="30"/>
        <item x="31"/>
        <item x="10"/>
        <item x="32"/>
        <item x="11"/>
        <item x="12"/>
        <item x="68"/>
        <item x="44"/>
        <item x="13"/>
        <item x="14"/>
        <item x="33"/>
        <item x="70"/>
        <item x="60"/>
        <item x="49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  <item x="9"/>
        <item x="8"/>
        <item x="3"/>
        <item x="10"/>
        <item x="4"/>
        <item x="13"/>
        <item x="14"/>
        <item x="11"/>
        <item x="7"/>
        <item x="12"/>
        <item x="6"/>
        <item x="5"/>
        <item x="18"/>
        <item x="15"/>
        <item x="17"/>
        <item x="16"/>
        <item x="19"/>
        <item x="21"/>
        <item x="20"/>
        <item x="22"/>
        <item x="23"/>
        <item x="29"/>
        <item x="25"/>
        <item x="28"/>
        <item x="30"/>
        <item x="34"/>
        <item x="27"/>
        <item x="33"/>
        <item x="24"/>
        <item x="31"/>
        <item x="26"/>
        <item x="32"/>
        <item x="35"/>
        <item x="36"/>
        <item x="46"/>
        <item x="45"/>
        <item x="44"/>
        <item x="40"/>
        <item x="38"/>
        <item x="39"/>
        <item x="42"/>
        <item x="43"/>
        <item x="37"/>
        <item x="41"/>
        <item x="47"/>
        <item x="56"/>
        <item x="49"/>
        <item x="55"/>
        <item x="51"/>
        <item x="54"/>
        <item x="48"/>
        <item x="50"/>
        <item x="53"/>
        <item x="52"/>
        <item x="57"/>
        <item x="58"/>
        <item x="60"/>
        <item x="59"/>
        <item x="62"/>
        <item x="61"/>
        <item x="63"/>
        <item x="64"/>
        <item x="65"/>
        <item x="66"/>
        <item x="69"/>
        <item x="70"/>
        <item x="68"/>
        <item x="71"/>
        <item x="67"/>
        <item x="80"/>
        <item x="81"/>
        <item x="79"/>
        <item x="77"/>
        <item x="76"/>
        <item x="78"/>
        <item x="74"/>
        <item x="72"/>
        <item x="75"/>
        <item x="73"/>
        <item x="90"/>
        <item x="84"/>
        <item x="91"/>
        <item x="85"/>
        <item x="88"/>
        <item x="86"/>
        <item x="89"/>
        <item x="87"/>
        <item x="82"/>
        <item x="92"/>
        <item x="83"/>
        <item x="95"/>
        <item x="93"/>
        <item x="94"/>
        <item x="96"/>
        <item x="97"/>
        <item x="98"/>
        <item x="99"/>
        <item x="100"/>
        <item x="107"/>
        <item x="106"/>
        <item x="101"/>
        <item x="103"/>
        <item x="102"/>
        <item x="104"/>
        <item x="105"/>
        <item x="108"/>
        <item x="109"/>
        <item x="110"/>
        <item x="113"/>
        <item x="111"/>
        <item x="114"/>
        <item x="112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otal Value" axis="axisRow" compact="0" outline="0" multipleItemSelectionAllowed="1" showAll="0" sortType="ascending">
      <items>
        <item x="2"/>
        <item x="30"/>
        <item x="16"/>
        <item x="13"/>
        <item x="47"/>
        <item x="44"/>
        <item x="61"/>
        <item x="74"/>
        <item x="3"/>
        <item x="12"/>
        <item x="9"/>
        <item x="46"/>
        <item x="55"/>
        <item x="14"/>
        <item x="75"/>
        <item x="73"/>
        <item x="7"/>
        <item x="51"/>
        <item x="19"/>
        <item x="49"/>
        <item x="4"/>
        <item x="28"/>
        <item x="60"/>
        <item x="34"/>
        <item x="64"/>
        <item x="43"/>
        <item x="25"/>
        <item x="71"/>
        <item x="32"/>
        <item x="11"/>
        <item x="52"/>
        <item x="54"/>
        <item x="8"/>
        <item x="67"/>
        <item x="62"/>
        <item x="33"/>
        <item x="41"/>
        <item x="68"/>
        <item x="48"/>
        <item x="21"/>
        <item x="1"/>
        <item x="53"/>
        <item x="5"/>
        <item x="63"/>
        <item x="23"/>
        <item x="31"/>
        <item x="57"/>
        <item x="35"/>
        <item x="45"/>
        <item x="20"/>
        <item x="56"/>
        <item x="37"/>
        <item x="38"/>
        <item x="17"/>
        <item x="39"/>
        <item x="29"/>
        <item x="66"/>
        <item x="18"/>
        <item x="69"/>
        <item x="10"/>
        <item x="0"/>
        <item x="22"/>
        <item x="72"/>
        <item x="42"/>
        <item x="65"/>
        <item x="40"/>
        <item x="24"/>
        <item x="59"/>
        <item x="50"/>
        <item x="58"/>
        <item x="26"/>
        <item x="6"/>
        <item x="27"/>
        <item x="70"/>
        <item x="36"/>
        <item x="15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90" firstHeaderRow="0" firstDataRow="6" firstDataCol="0"/>
  <pivotFields>
    <pivotField name="item name" axis="axisRow" compact="0" outline="0" multipleItemSelectionAllowed="1" showAll="0" sortType="ascending" defaultSubtotal="0">
      <items>
        <item x="12"/>
        <item x="7"/>
        <item x="8"/>
        <item x="9"/>
        <item x="10"/>
        <item x="0"/>
        <item x="1"/>
        <item x="2"/>
        <item x="5"/>
        <item x="3"/>
        <item x="6"/>
        <item x="4"/>
        <item x="11"/>
      </items>
    </pivotField>
    <pivotField name="Date" axis="axisRow" compact="0" numFmtId="164" outline="0" multipleItemSelectionAllowed="1" showAll="0" sortType="ascending" defaultSubtotal="0">
      <items>
        <item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name="Particulars" axis="axisRow" compact="0" outline="0" multipleItemSelectionAllowed="1" showAll="0" sortType="ascending" defaultSubtotal="0">
      <items>
        <item x="73"/>
        <item x="45"/>
        <item x="3"/>
        <item x="23"/>
        <item x="4"/>
        <item x="5"/>
        <item x="51"/>
        <item x="34"/>
        <item x="46"/>
        <item x="66"/>
        <item x="19"/>
        <item x="53"/>
        <item x="6"/>
        <item x="36"/>
        <item x="61"/>
        <item x="62"/>
        <item x="15"/>
        <item x="20"/>
        <item x="57"/>
        <item x="0"/>
        <item x="58"/>
        <item x="35"/>
        <item x="7"/>
        <item x="24"/>
        <item x="16"/>
        <item x="63"/>
        <item x="17"/>
        <item x="52"/>
        <item x="25"/>
        <item x="47"/>
        <item x="8"/>
        <item x="37"/>
        <item x="38"/>
        <item x="39"/>
        <item x="40"/>
        <item x="41"/>
        <item x="64"/>
        <item x="9"/>
        <item x="55"/>
        <item x="54"/>
        <item x="26"/>
        <item x="18"/>
        <item x="56"/>
        <item x="65"/>
        <item x="42"/>
        <item x="67"/>
        <item x="50"/>
        <item x="48"/>
        <item x="59"/>
        <item x="27"/>
        <item x="1"/>
        <item x="22"/>
        <item x="2"/>
        <item x="28"/>
        <item x="29"/>
        <item x="69"/>
        <item x="43"/>
        <item x="21"/>
        <item x="30"/>
        <item x="31"/>
        <item x="10"/>
        <item x="32"/>
        <item x="11"/>
        <item x="12"/>
        <item x="68"/>
        <item x="44"/>
        <item x="13"/>
        <item x="71"/>
        <item x="72"/>
        <item x="14"/>
        <item x="33"/>
        <item x="70"/>
        <item x="60"/>
        <item x="4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22"/>
        <item x="2"/>
        <item x="0"/>
        <item x="1"/>
        <item x="9"/>
        <item x="8"/>
        <item x="3"/>
        <item x="10"/>
        <item x="4"/>
        <item x="13"/>
        <item x="14"/>
        <item x="11"/>
        <item x="7"/>
        <item x="12"/>
        <item x="6"/>
        <item x="5"/>
        <item x="18"/>
        <item x="15"/>
        <item x="17"/>
        <item x="16"/>
        <item x="19"/>
        <item x="21"/>
        <item x="20"/>
        <item x="22"/>
        <item x="23"/>
        <item x="29"/>
        <item x="25"/>
        <item x="28"/>
        <item x="30"/>
        <item x="34"/>
        <item x="27"/>
        <item x="33"/>
        <item x="24"/>
        <item x="31"/>
        <item x="26"/>
        <item x="32"/>
        <item x="35"/>
        <item x="36"/>
        <item x="46"/>
        <item x="45"/>
        <item x="44"/>
        <item x="40"/>
        <item x="38"/>
        <item x="39"/>
        <item x="42"/>
        <item x="43"/>
        <item x="37"/>
        <item x="41"/>
        <item x="47"/>
        <item x="56"/>
        <item x="49"/>
        <item x="55"/>
        <item x="51"/>
        <item x="54"/>
        <item x="48"/>
        <item x="50"/>
        <item x="53"/>
        <item x="52"/>
        <item x="57"/>
        <item x="58"/>
        <item x="60"/>
        <item x="59"/>
        <item x="62"/>
        <item x="61"/>
        <item x="63"/>
        <item x="64"/>
        <item x="65"/>
        <item x="66"/>
        <item x="69"/>
        <item x="70"/>
        <item x="68"/>
        <item x="71"/>
        <item x="67"/>
        <item x="80"/>
        <item x="81"/>
        <item x="79"/>
        <item x="77"/>
        <item x="76"/>
        <item x="78"/>
        <item x="74"/>
        <item x="72"/>
        <item x="75"/>
        <item x="73"/>
        <item x="90"/>
        <item x="84"/>
        <item x="91"/>
        <item x="85"/>
        <item x="88"/>
        <item x="86"/>
        <item x="89"/>
        <item x="87"/>
        <item x="82"/>
        <item x="92"/>
        <item x="83"/>
        <item x="95"/>
        <item x="93"/>
        <item x="94"/>
        <item x="96"/>
        <item x="97"/>
        <item x="98"/>
        <item x="99"/>
        <item x="100"/>
        <item x="107"/>
        <item x="106"/>
        <item x="101"/>
        <item x="103"/>
        <item x="102"/>
        <item x="104"/>
        <item x="105"/>
        <item x="108"/>
        <item x="109"/>
        <item x="110"/>
        <item x="115"/>
        <item x="113"/>
        <item x="111"/>
        <item x="114"/>
        <item x="116"/>
        <item x="112"/>
        <item x="120"/>
        <item x="117"/>
        <item x="119"/>
        <item x="121"/>
        <item x="118"/>
      </items>
    </pivotField>
    <pivotField name="Quantity" axis="axisRow" compact="0" outline="0" multipleItemSelectionAllowed="1" showAll="0" sortType="ascending" defaultSubtotal="0">
      <items>
        <item x="5"/>
        <item x="2"/>
        <item x="1"/>
        <item x="0"/>
        <item x="3"/>
        <item x="4"/>
      </items>
    </pivotField>
    <pivotField name="Value" axis="axisRow" compact="0" numFmtId="4" outline="0" multipleItemSelectionAllowed="1" showAll="0" sortType="ascending">
      <items>
        <item x="27"/>
        <item x="18"/>
        <item x="6"/>
        <item x="26"/>
        <item x="15"/>
        <item x="1"/>
        <item x="7"/>
        <item x="9"/>
        <item x="13"/>
        <item x="8"/>
        <item x="24"/>
        <item x="5"/>
        <item x="22"/>
        <item x="11"/>
        <item x="0"/>
        <item x="3"/>
        <item x="10"/>
        <item x="2"/>
        <item x="23"/>
        <item x="17"/>
        <item x="12"/>
        <item x="25"/>
        <item x="4"/>
        <item x="20"/>
        <item x="14"/>
        <item x="19"/>
        <item x="16"/>
        <item x="2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65" firstHeaderRow="0" firstDataRow="6" firstDataCol="0"/>
  <pivotFields>
    <pivotField name="item name" axis="axisRow" compact="0" outline="0" multipleItemSelectionAllowed="1" showAll="0" sortType="ascending" defaultSubtotal="0">
      <items>
        <item x="12"/>
        <item x="0"/>
        <item x="1"/>
        <item x="2"/>
        <item x="3"/>
        <item x="7"/>
        <item x="4"/>
        <item x="8"/>
        <item x="9"/>
        <item x="5"/>
        <item x="6"/>
        <item x="10"/>
        <item x="11"/>
      </items>
    </pivotField>
    <pivotField name="Date" axis="axisRow" compact="0" numFmtId="164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Quantity" axis="axisRow" compact="0" outline="0" multipleItemSelectionAllowed="1" showAll="0" sortType="ascending" defaultSubtotal="0">
      <items>
        <item x="8"/>
        <item x="5"/>
        <item x="0"/>
        <item x="4"/>
        <item x="1"/>
        <item x="7"/>
        <item x="2"/>
        <item x="3"/>
        <item x="6"/>
      </items>
    </pivotField>
    <pivotField name="Value" axis="axisRow" compact="0" numFmtId="4" outline="0" multipleItemSelectionAllowed="1" showAll="0" sortType="ascending">
      <items>
        <item x="18"/>
        <item x="13"/>
        <item x="1"/>
        <item x="0"/>
        <item x="2"/>
        <item x="15"/>
        <item x="10"/>
        <item x="11"/>
        <item x="4"/>
        <item x="3"/>
        <item x="9"/>
        <item x="12"/>
        <item x="17"/>
        <item x="8"/>
        <item x="16"/>
        <item x="6"/>
        <item x="7"/>
        <item x="14"/>
        <item x="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1003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7</v>
      </c>
      <c r="B3" s="12" t="s">
        <v>8</v>
      </c>
      <c r="C3" s="13" t="s">
        <v>9</v>
      </c>
      <c r="D3" s="14" t="s">
        <v>10</v>
      </c>
      <c r="E3" s="12" t="s">
        <v>11</v>
      </c>
      <c r="F3" s="15" t="s">
        <v>12</v>
      </c>
      <c r="G3" s="15" t="s">
        <v>13</v>
      </c>
      <c r="I3" s="16" t="s">
        <v>7</v>
      </c>
      <c r="J3" s="17" t="s">
        <v>8</v>
      </c>
      <c r="K3" s="18" t="s">
        <v>9</v>
      </c>
      <c r="L3" s="19" t="s">
        <v>10</v>
      </c>
      <c r="M3" s="17" t="s">
        <v>11</v>
      </c>
      <c r="N3" s="20" t="s">
        <v>12</v>
      </c>
      <c r="O3" s="20" t="s">
        <v>13</v>
      </c>
      <c r="P3" s="21" t="s">
        <v>14</v>
      </c>
      <c r="R3" s="1" t="s">
        <v>7</v>
      </c>
      <c r="S3" s="12" t="s">
        <v>8</v>
      </c>
      <c r="T3" s="13" t="s">
        <v>9</v>
      </c>
      <c r="U3" s="14" t="s">
        <v>10</v>
      </c>
      <c r="V3" s="12" t="s">
        <v>11</v>
      </c>
      <c r="W3" s="15" t="s">
        <v>12</v>
      </c>
      <c r="X3" s="15" t="s">
        <v>13</v>
      </c>
      <c r="Z3" s="1" t="s">
        <v>7</v>
      </c>
      <c r="AA3" s="12" t="s">
        <v>8</v>
      </c>
      <c r="AB3" s="13" t="s">
        <v>9</v>
      </c>
      <c r="AC3" s="14" t="s">
        <v>10</v>
      </c>
      <c r="AD3" s="12" t="s">
        <v>11</v>
      </c>
      <c r="AE3" s="15" t="s">
        <v>12</v>
      </c>
      <c r="AF3" s="15" t="s">
        <v>13</v>
      </c>
      <c r="AG3" s="1"/>
      <c r="AH3" s="1" t="s">
        <v>7</v>
      </c>
      <c r="AI3" s="12" t="s">
        <v>8</v>
      </c>
      <c r="AJ3" s="13" t="s">
        <v>9</v>
      </c>
      <c r="AK3" s="14" t="s">
        <v>10</v>
      </c>
      <c r="AL3" s="12" t="s">
        <v>11</v>
      </c>
      <c r="AM3" s="15" t="s">
        <v>12</v>
      </c>
      <c r="AN3" s="15" t="s">
        <v>13</v>
      </c>
      <c r="AO3" s="5"/>
      <c r="AP3" s="1" t="s">
        <v>7</v>
      </c>
      <c r="AQ3" s="12" t="s">
        <v>8</v>
      </c>
      <c r="AR3" s="13" t="s">
        <v>9</v>
      </c>
      <c r="AS3" s="14" t="s">
        <v>10</v>
      </c>
      <c r="AT3" s="12" t="s">
        <v>11</v>
      </c>
      <c r="AU3" s="15" t="s">
        <v>12</v>
      </c>
      <c r="AV3" s="15" t="s">
        <v>13</v>
      </c>
      <c r="AW3" s="5"/>
      <c r="AX3" s="5">
        <f t="array" ref="AX3">counta(unique(C:C))-3</f>
        <v>72</v>
      </c>
    </row>
    <row r="4" ht="22.5" customHeight="1">
      <c r="A4" s="22" t="s">
        <v>15</v>
      </c>
      <c r="B4" s="23">
        <v>45839.0</v>
      </c>
      <c r="C4" s="24" t="s">
        <v>16</v>
      </c>
      <c r="D4" s="24" t="s">
        <v>17</v>
      </c>
      <c r="E4" s="25">
        <v>2066.0</v>
      </c>
      <c r="F4" s="25">
        <v>2.0</v>
      </c>
      <c r="G4" s="26">
        <v>84482.68</v>
      </c>
      <c r="I4" s="27" t="s">
        <v>18</v>
      </c>
      <c r="J4" s="28">
        <v>45839.0</v>
      </c>
      <c r="K4" s="29" t="s">
        <v>19</v>
      </c>
      <c r="L4" s="30" t="s">
        <v>20</v>
      </c>
      <c r="M4" s="31" t="s">
        <v>21</v>
      </c>
      <c r="N4" s="32">
        <v>2.0</v>
      </c>
      <c r="O4" s="33">
        <v>37122.1</v>
      </c>
      <c r="P4" s="34">
        <f t="shared" ref="P4:P518" si="1">sumif(M:M,M4,O:O)</f>
        <v>202050.2</v>
      </c>
      <c r="R4" s="35"/>
      <c r="S4" s="36"/>
      <c r="T4" s="37"/>
      <c r="U4" s="37"/>
      <c r="V4" s="2"/>
      <c r="W4" s="38"/>
      <c r="X4" s="39"/>
      <c r="Z4" s="35"/>
      <c r="AA4" s="36"/>
      <c r="AB4" s="37"/>
      <c r="AC4" s="37"/>
      <c r="AD4" s="2"/>
      <c r="AE4" s="38"/>
      <c r="AF4" s="39"/>
      <c r="AG4" s="40"/>
      <c r="AH4" s="35"/>
      <c r="AI4" s="36"/>
      <c r="AJ4" s="37"/>
      <c r="AK4" s="37"/>
      <c r="AL4" s="2"/>
      <c r="AM4" s="38"/>
      <c r="AN4" s="39"/>
      <c r="AP4" s="22" t="s">
        <v>15</v>
      </c>
      <c r="AQ4" s="23">
        <v>45839.0</v>
      </c>
      <c r="AR4" s="24" t="s">
        <v>16</v>
      </c>
      <c r="AS4" s="24" t="s">
        <v>17</v>
      </c>
      <c r="AT4" s="25">
        <v>2066.0</v>
      </c>
      <c r="AU4" s="25">
        <v>2.0</v>
      </c>
      <c r="AV4" s="26">
        <v>84482.68</v>
      </c>
    </row>
    <row r="5" ht="17.25" customHeight="1">
      <c r="A5" s="22" t="s">
        <v>22</v>
      </c>
      <c r="B5" s="23">
        <v>45839.0</v>
      </c>
      <c r="C5" s="24" t="s">
        <v>16</v>
      </c>
      <c r="D5" s="24" t="s">
        <v>17</v>
      </c>
      <c r="E5" s="25">
        <v>2066.0</v>
      </c>
      <c r="F5" s="25">
        <v>2.0</v>
      </c>
      <c r="G5" s="26">
        <v>84482.68</v>
      </c>
      <c r="I5" s="27" t="s">
        <v>23</v>
      </c>
      <c r="J5" s="28">
        <v>45839.0</v>
      </c>
      <c r="K5" s="29" t="s">
        <v>19</v>
      </c>
      <c r="L5" s="30" t="s">
        <v>20</v>
      </c>
      <c r="M5" s="31" t="s">
        <v>21</v>
      </c>
      <c r="N5" s="32">
        <v>1.0</v>
      </c>
      <c r="O5" s="33">
        <v>18561.05</v>
      </c>
      <c r="P5" s="34">
        <f t="shared" si="1"/>
        <v>202050.2</v>
      </c>
      <c r="R5" s="35"/>
      <c r="S5" s="36"/>
      <c r="T5" s="37"/>
      <c r="U5" s="37"/>
      <c r="V5" s="2"/>
      <c r="W5" s="38"/>
      <c r="X5" s="39"/>
      <c r="Z5" s="35"/>
      <c r="AA5" s="36"/>
      <c r="AB5" s="37"/>
      <c r="AC5" s="37"/>
      <c r="AD5" s="2"/>
      <c r="AE5" s="38"/>
      <c r="AF5" s="39"/>
      <c r="AG5" s="40"/>
      <c r="AH5" s="35"/>
      <c r="AI5" s="36"/>
      <c r="AJ5" s="37"/>
      <c r="AK5" s="37"/>
      <c r="AL5" s="2"/>
      <c r="AM5" s="38"/>
      <c r="AN5" s="39"/>
      <c r="AP5" s="22" t="s">
        <v>22</v>
      </c>
      <c r="AQ5" s="23">
        <v>45839.0</v>
      </c>
      <c r="AR5" s="24" t="s">
        <v>16</v>
      </c>
      <c r="AS5" s="24" t="s">
        <v>17</v>
      </c>
      <c r="AT5" s="25">
        <v>2066.0</v>
      </c>
      <c r="AU5" s="25">
        <v>2.0</v>
      </c>
      <c r="AV5" s="26">
        <v>84482.68</v>
      </c>
    </row>
    <row r="6" ht="22.5" customHeight="1">
      <c r="A6" s="22" t="s">
        <v>24</v>
      </c>
      <c r="B6" s="23">
        <v>45839.0</v>
      </c>
      <c r="C6" s="24" t="s">
        <v>16</v>
      </c>
      <c r="D6" s="24" t="s">
        <v>17</v>
      </c>
      <c r="E6" s="25">
        <v>2066.0</v>
      </c>
      <c r="F6" s="25">
        <v>2.0</v>
      </c>
      <c r="G6" s="26">
        <v>72211.82</v>
      </c>
      <c r="I6" s="27" t="s">
        <v>25</v>
      </c>
      <c r="J6" s="28">
        <v>45839.0</v>
      </c>
      <c r="K6" s="29" t="s">
        <v>19</v>
      </c>
      <c r="L6" s="30" t="s">
        <v>20</v>
      </c>
      <c r="M6" s="31" t="s">
        <v>21</v>
      </c>
      <c r="N6" s="32">
        <v>1.0</v>
      </c>
      <c r="O6" s="33">
        <v>45657.74</v>
      </c>
      <c r="P6" s="34">
        <f t="shared" si="1"/>
        <v>202050.2</v>
      </c>
      <c r="R6" s="35"/>
      <c r="S6" s="36"/>
      <c r="T6" s="37"/>
      <c r="U6" s="37"/>
      <c r="V6" s="2"/>
      <c r="W6" s="38"/>
      <c r="X6" s="39"/>
      <c r="Z6" s="35"/>
      <c r="AA6" s="36"/>
      <c r="AB6" s="37"/>
      <c r="AC6" s="37"/>
      <c r="AD6" s="2"/>
      <c r="AE6" s="38"/>
      <c r="AF6" s="39"/>
      <c r="AG6" s="40"/>
      <c r="AH6" s="35"/>
      <c r="AI6" s="36"/>
      <c r="AJ6" s="37"/>
      <c r="AK6" s="37"/>
      <c r="AL6" s="2"/>
      <c r="AM6" s="38"/>
      <c r="AN6" s="39"/>
      <c r="AP6" s="22" t="s">
        <v>24</v>
      </c>
      <c r="AQ6" s="23">
        <v>45839.0</v>
      </c>
      <c r="AR6" s="24" t="s">
        <v>16</v>
      </c>
      <c r="AS6" s="24" t="s">
        <v>17</v>
      </c>
      <c r="AT6" s="25">
        <v>2066.0</v>
      </c>
      <c r="AU6" s="25">
        <v>2.0</v>
      </c>
      <c r="AV6" s="26">
        <v>72211.82</v>
      </c>
    </row>
    <row r="7" ht="22.5" customHeight="1">
      <c r="A7" s="22" t="s">
        <v>26</v>
      </c>
      <c r="B7" s="23">
        <v>45839.0</v>
      </c>
      <c r="C7" s="24" t="s">
        <v>16</v>
      </c>
      <c r="D7" s="24" t="s">
        <v>17</v>
      </c>
      <c r="E7" s="25">
        <v>2066.0</v>
      </c>
      <c r="F7" s="25">
        <v>2.0</v>
      </c>
      <c r="G7" s="26">
        <v>72211.82</v>
      </c>
      <c r="I7" s="27" t="s">
        <v>27</v>
      </c>
      <c r="J7" s="28">
        <v>45839.0</v>
      </c>
      <c r="K7" s="29" t="s">
        <v>19</v>
      </c>
      <c r="L7" s="30" t="s">
        <v>20</v>
      </c>
      <c r="M7" s="31" t="s">
        <v>21</v>
      </c>
      <c r="N7" s="32">
        <v>1.0</v>
      </c>
      <c r="O7" s="33">
        <v>40037.11</v>
      </c>
      <c r="P7" s="34">
        <f t="shared" si="1"/>
        <v>202050.2</v>
      </c>
      <c r="R7" s="35"/>
      <c r="S7" s="36"/>
      <c r="T7" s="37"/>
      <c r="U7" s="37"/>
      <c r="V7" s="2"/>
      <c r="W7" s="38"/>
      <c r="X7" s="39"/>
      <c r="Z7" s="35"/>
      <c r="AA7" s="36"/>
      <c r="AB7" s="37"/>
      <c r="AC7" s="37"/>
      <c r="AD7" s="2"/>
      <c r="AE7" s="38"/>
      <c r="AF7" s="39"/>
      <c r="AG7" s="40"/>
      <c r="AH7" s="35"/>
      <c r="AI7" s="36"/>
      <c r="AJ7" s="37"/>
      <c r="AK7" s="37"/>
      <c r="AL7" s="2"/>
      <c r="AM7" s="38"/>
      <c r="AN7" s="39"/>
      <c r="AP7" s="22" t="s">
        <v>26</v>
      </c>
      <c r="AQ7" s="23">
        <v>45839.0</v>
      </c>
      <c r="AR7" s="24" t="s">
        <v>16</v>
      </c>
      <c r="AS7" s="24" t="s">
        <v>17</v>
      </c>
      <c r="AT7" s="25">
        <v>2066.0</v>
      </c>
      <c r="AU7" s="25">
        <v>2.0</v>
      </c>
      <c r="AV7" s="26">
        <v>72211.82</v>
      </c>
    </row>
    <row r="8" ht="22.5" customHeight="1">
      <c r="A8" s="22" t="s">
        <v>23</v>
      </c>
      <c r="B8" s="23">
        <v>45839.0</v>
      </c>
      <c r="C8" s="24" t="s">
        <v>16</v>
      </c>
      <c r="D8" s="24" t="s">
        <v>17</v>
      </c>
      <c r="E8" s="25">
        <v>2066.0</v>
      </c>
      <c r="F8" s="25">
        <v>5.0</v>
      </c>
      <c r="G8" s="26">
        <v>92805.25</v>
      </c>
      <c r="I8" s="27" t="s">
        <v>28</v>
      </c>
      <c r="J8" s="28">
        <v>45839.0</v>
      </c>
      <c r="K8" s="29" t="s">
        <v>19</v>
      </c>
      <c r="L8" s="30" t="s">
        <v>20</v>
      </c>
      <c r="M8" s="31" t="s">
        <v>21</v>
      </c>
      <c r="N8" s="32">
        <v>2.0</v>
      </c>
      <c r="O8" s="33">
        <v>60672.2</v>
      </c>
      <c r="P8" s="34">
        <f t="shared" si="1"/>
        <v>202050.2</v>
      </c>
      <c r="R8" s="35"/>
      <c r="S8" s="36"/>
      <c r="T8" s="37"/>
      <c r="U8" s="37"/>
      <c r="V8" s="2"/>
      <c r="W8" s="38"/>
      <c r="X8" s="39"/>
      <c r="Z8" s="35"/>
      <c r="AA8" s="36"/>
      <c r="AB8" s="37"/>
      <c r="AC8" s="37"/>
      <c r="AD8" s="2"/>
      <c r="AE8" s="38"/>
      <c r="AF8" s="39"/>
      <c r="AG8" s="40"/>
      <c r="AH8" s="35"/>
      <c r="AI8" s="36"/>
      <c r="AJ8" s="37"/>
      <c r="AK8" s="37"/>
      <c r="AL8" s="2"/>
      <c r="AM8" s="38"/>
      <c r="AN8" s="39"/>
      <c r="AP8" s="22" t="s">
        <v>23</v>
      </c>
      <c r="AQ8" s="23">
        <v>45839.0</v>
      </c>
      <c r="AR8" s="24" t="s">
        <v>16</v>
      </c>
      <c r="AS8" s="24" t="s">
        <v>17</v>
      </c>
      <c r="AT8" s="25">
        <v>2066.0</v>
      </c>
      <c r="AU8" s="25">
        <v>5.0</v>
      </c>
      <c r="AV8" s="26">
        <v>92805.25</v>
      </c>
    </row>
    <row r="9" ht="22.5" customHeight="1">
      <c r="A9" s="22" t="s">
        <v>27</v>
      </c>
      <c r="B9" s="23">
        <v>45839.0</v>
      </c>
      <c r="C9" s="24" t="s">
        <v>16</v>
      </c>
      <c r="D9" s="24" t="s">
        <v>17</v>
      </c>
      <c r="E9" s="25">
        <v>2066.0</v>
      </c>
      <c r="F9" s="25">
        <v>5.0</v>
      </c>
      <c r="G9" s="26">
        <v>200185.55</v>
      </c>
      <c r="I9" s="27" t="s">
        <v>25</v>
      </c>
      <c r="J9" s="28">
        <v>45839.0</v>
      </c>
      <c r="K9" s="29" t="s">
        <v>29</v>
      </c>
      <c r="L9" s="30" t="s">
        <v>20</v>
      </c>
      <c r="M9" s="31" t="s">
        <v>30</v>
      </c>
      <c r="N9" s="32">
        <v>1.0</v>
      </c>
      <c r="O9" s="33">
        <v>45657.74</v>
      </c>
      <c r="P9" s="34">
        <f t="shared" si="1"/>
        <v>116030.95</v>
      </c>
      <c r="R9" s="35"/>
      <c r="S9" s="36"/>
      <c r="T9" s="37"/>
      <c r="U9" s="37"/>
      <c r="V9" s="2"/>
      <c r="W9" s="38"/>
      <c r="X9" s="39"/>
      <c r="Z9" s="35"/>
      <c r="AA9" s="36"/>
      <c r="AB9" s="37"/>
      <c r="AC9" s="37"/>
      <c r="AD9" s="2"/>
      <c r="AE9" s="38"/>
      <c r="AF9" s="39"/>
      <c r="AG9" s="40"/>
      <c r="AH9" s="35"/>
      <c r="AI9" s="36"/>
      <c r="AJ9" s="37"/>
      <c r="AK9" s="37"/>
      <c r="AL9" s="2"/>
      <c r="AM9" s="38"/>
      <c r="AN9" s="39"/>
      <c r="AP9" s="22" t="s">
        <v>27</v>
      </c>
      <c r="AQ9" s="23">
        <v>45839.0</v>
      </c>
      <c r="AR9" s="24" t="s">
        <v>16</v>
      </c>
      <c r="AS9" s="24" t="s">
        <v>17</v>
      </c>
      <c r="AT9" s="25">
        <v>2066.0</v>
      </c>
      <c r="AU9" s="25">
        <v>5.0</v>
      </c>
      <c r="AV9" s="26">
        <v>200185.55</v>
      </c>
    </row>
    <row r="10" ht="22.5" customHeight="1">
      <c r="A10" s="22" t="s">
        <v>31</v>
      </c>
      <c r="B10" s="23">
        <v>45839.0</v>
      </c>
      <c r="C10" s="24" t="s">
        <v>16</v>
      </c>
      <c r="D10" s="24" t="s">
        <v>17</v>
      </c>
      <c r="E10" s="25">
        <v>2066.0</v>
      </c>
      <c r="F10" s="25">
        <v>5.0</v>
      </c>
      <c r="G10" s="26">
        <v>200185.55</v>
      </c>
      <c r="I10" s="27" t="s">
        <v>27</v>
      </c>
      <c r="J10" s="28">
        <v>45839.0</v>
      </c>
      <c r="K10" s="29" t="s">
        <v>29</v>
      </c>
      <c r="L10" s="30" t="s">
        <v>20</v>
      </c>
      <c r="M10" s="31" t="s">
        <v>30</v>
      </c>
      <c r="N10" s="32">
        <v>1.0</v>
      </c>
      <c r="O10" s="33">
        <v>40037.11</v>
      </c>
      <c r="P10" s="34">
        <f t="shared" si="1"/>
        <v>116030.95</v>
      </c>
      <c r="R10" s="35"/>
      <c r="S10" s="36"/>
      <c r="T10" s="41"/>
      <c r="U10" s="37"/>
      <c r="V10" s="2"/>
      <c r="W10" s="38"/>
      <c r="X10" s="39"/>
      <c r="Z10" s="35"/>
      <c r="AA10" s="36"/>
      <c r="AB10" s="37"/>
      <c r="AC10" s="37"/>
      <c r="AD10" s="2"/>
      <c r="AE10" s="38"/>
      <c r="AF10" s="39"/>
      <c r="AH10" s="35"/>
      <c r="AI10" s="36"/>
      <c r="AJ10" s="37"/>
      <c r="AK10" s="37"/>
      <c r="AL10" s="2"/>
      <c r="AM10" s="38"/>
      <c r="AN10" s="39"/>
      <c r="AP10" s="22" t="s">
        <v>31</v>
      </c>
      <c r="AQ10" s="23">
        <v>45839.0</v>
      </c>
      <c r="AR10" s="24" t="s">
        <v>16</v>
      </c>
      <c r="AS10" s="24" t="s">
        <v>17</v>
      </c>
      <c r="AT10" s="25">
        <v>2066.0</v>
      </c>
      <c r="AU10" s="25">
        <v>5.0</v>
      </c>
      <c r="AV10" s="26">
        <v>200185.55</v>
      </c>
    </row>
    <row r="11" ht="22.5" customHeight="1">
      <c r="A11" s="22" t="s">
        <v>15</v>
      </c>
      <c r="B11" s="23">
        <v>45846.0</v>
      </c>
      <c r="C11" s="24" t="s">
        <v>16</v>
      </c>
      <c r="D11" s="24" t="s">
        <v>17</v>
      </c>
      <c r="E11" s="25">
        <v>2071.0</v>
      </c>
      <c r="F11" s="25">
        <v>2.0</v>
      </c>
      <c r="G11" s="26">
        <v>84482.68</v>
      </c>
      <c r="I11" s="27" t="s">
        <v>28</v>
      </c>
      <c r="J11" s="28">
        <v>45839.0</v>
      </c>
      <c r="K11" s="29" t="s">
        <v>29</v>
      </c>
      <c r="L11" s="30" t="s">
        <v>20</v>
      </c>
      <c r="M11" s="31" t="s">
        <v>30</v>
      </c>
      <c r="N11" s="32">
        <v>1.0</v>
      </c>
      <c r="O11" s="33">
        <v>30336.1</v>
      </c>
      <c r="P11" s="34">
        <f t="shared" si="1"/>
        <v>116030.95</v>
      </c>
      <c r="R11" s="35"/>
      <c r="S11" s="36"/>
      <c r="T11" s="37"/>
      <c r="U11" s="37"/>
      <c r="V11" s="2"/>
      <c r="W11" s="38"/>
      <c r="X11" s="39"/>
      <c r="Z11" s="35"/>
      <c r="AA11" s="36"/>
      <c r="AB11" s="37"/>
      <c r="AC11" s="37"/>
      <c r="AD11" s="2"/>
      <c r="AE11" s="38"/>
      <c r="AF11" s="39"/>
      <c r="AH11" s="35"/>
      <c r="AI11" s="36"/>
      <c r="AJ11" s="37"/>
      <c r="AK11" s="37"/>
      <c r="AL11" s="2"/>
      <c r="AM11" s="38"/>
      <c r="AN11" s="39"/>
      <c r="AP11" s="22" t="s">
        <v>15</v>
      </c>
      <c r="AQ11" s="23">
        <v>45846.0</v>
      </c>
      <c r="AR11" s="24" t="s">
        <v>16</v>
      </c>
      <c r="AS11" s="24" t="s">
        <v>17</v>
      </c>
      <c r="AT11" s="25">
        <v>2071.0</v>
      </c>
      <c r="AU11" s="25">
        <v>2.0</v>
      </c>
      <c r="AV11" s="26">
        <v>84482.68</v>
      </c>
    </row>
    <row r="12" ht="22.5" customHeight="1">
      <c r="A12" s="22" t="s">
        <v>22</v>
      </c>
      <c r="B12" s="23">
        <v>45846.0</v>
      </c>
      <c r="C12" s="24" t="s">
        <v>16</v>
      </c>
      <c r="D12" s="24" t="s">
        <v>17</v>
      </c>
      <c r="E12" s="25">
        <v>2071.0</v>
      </c>
      <c r="F12" s="25">
        <v>2.0</v>
      </c>
      <c r="G12" s="26">
        <v>84482.68</v>
      </c>
      <c r="I12" s="27" t="s">
        <v>28</v>
      </c>
      <c r="J12" s="28">
        <v>45839.0</v>
      </c>
      <c r="K12" s="30" t="s">
        <v>32</v>
      </c>
      <c r="L12" s="30" t="s">
        <v>20</v>
      </c>
      <c r="M12" s="31" t="s">
        <v>33</v>
      </c>
      <c r="N12" s="32">
        <v>0.5</v>
      </c>
      <c r="O12" s="33">
        <v>15168.05</v>
      </c>
      <c r="P12" s="34">
        <f t="shared" si="1"/>
        <v>15168.05</v>
      </c>
      <c r="R12" s="35"/>
      <c r="S12" s="36"/>
      <c r="T12" s="37"/>
      <c r="U12" s="37"/>
      <c r="V12" s="2"/>
      <c r="W12" s="38"/>
      <c r="X12" s="39"/>
      <c r="Z12" s="35"/>
      <c r="AA12" s="36"/>
      <c r="AB12" s="37"/>
      <c r="AC12" s="37"/>
      <c r="AD12" s="2"/>
      <c r="AE12" s="38"/>
      <c r="AF12" s="39"/>
      <c r="AP12" s="22" t="s">
        <v>22</v>
      </c>
      <c r="AQ12" s="23">
        <v>45846.0</v>
      </c>
      <c r="AR12" s="24" t="s">
        <v>16</v>
      </c>
      <c r="AS12" s="24" t="s">
        <v>17</v>
      </c>
      <c r="AT12" s="25">
        <v>2071.0</v>
      </c>
      <c r="AU12" s="25">
        <v>2.0</v>
      </c>
      <c r="AV12" s="26">
        <v>84482.68</v>
      </c>
    </row>
    <row r="13" ht="22.5" customHeight="1">
      <c r="A13" s="22" t="s">
        <v>24</v>
      </c>
      <c r="B13" s="23">
        <v>45846.0</v>
      </c>
      <c r="C13" s="24" t="s">
        <v>16</v>
      </c>
      <c r="D13" s="24" t="s">
        <v>17</v>
      </c>
      <c r="E13" s="25">
        <v>2071.0</v>
      </c>
      <c r="F13" s="25">
        <v>2.0</v>
      </c>
      <c r="G13" s="26">
        <v>72211.82</v>
      </c>
      <c r="I13" s="27" t="s">
        <v>23</v>
      </c>
      <c r="J13" s="28">
        <v>45840.0</v>
      </c>
      <c r="K13" s="29" t="s">
        <v>34</v>
      </c>
      <c r="L13" s="30" t="s">
        <v>20</v>
      </c>
      <c r="M13" s="31" t="s">
        <v>35</v>
      </c>
      <c r="N13" s="32">
        <v>1.0</v>
      </c>
      <c r="O13" s="33">
        <v>19954.0</v>
      </c>
      <c r="P13" s="34">
        <f t="shared" si="1"/>
        <v>35122.05</v>
      </c>
      <c r="R13" s="35"/>
      <c r="S13" s="36"/>
      <c r="T13" s="41"/>
      <c r="U13" s="37"/>
      <c r="V13" s="2"/>
      <c r="W13" s="38"/>
      <c r="X13" s="39"/>
      <c r="Z13" s="35"/>
      <c r="AA13" s="36"/>
      <c r="AB13" s="37"/>
      <c r="AC13" s="37"/>
      <c r="AD13" s="2"/>
      <c r="AE13" s="38"/>
      <c r="AF13" s="39"/>
      <c r="AP13" s="22" t="s">
        <v>24</v>
      </c>
      <c r="AQ13" s="23">
        <v>45846.0</v>
      </c>
      <c r="AR13" s="24" t="s">
        <v>16</v>
      </c>
      <c r="AS13" s="24" t="s">
        <v>17</v>
      </c>
      <c r="AT13" s="25">
        <v>2071.0</v>
      </c>
      <c r="AU13" s="25">
        <v>2.0</v>
      </c>
      <c r="AV13" s="26">
        <v>72211.82</v>
      </c>
    </row>
    <row r="14" ht="22.5" customHeight="1">
      <c r="A14" s="22" t="s">
        <v>26</v>
      </c>
      <c r="B14" s="23">
        <v>45846.0</v>
      </c>
      <c r="C14" s="24" t="s">
        <v>16</v>
      </c>
      <c r="D14" s="24" t="s">
        <v>17</v>
      </c>
      <c r="E14" s="25">
        <v>2071.0</v>
      </c>
      <c r="F14" s="25">
        <v>2.0</v>
      </c>
      <c r="G14" s="26">
        <v>72211.82</v>
      </c>
      <c r="I14" s="27" t="s">
        <v>28</v>
      </c>
      <c r="J14" s="28">
        <v>45840.0</v>
      </c>
      <c r="K14" s="29" t="s">
        <v>34</v>
      </c>
      <c r="L14" s="30" t="s">
        <v>20</v>
      </c>
      <c r="M14" s="31" t="s">
        <v>35</v>
      </c>
      <c r="N14" s="32">
        <v>0.5</v>
      </c>
      <c r="O14" s="33">
        <v>15168.05</v>
      </c>
      <c r="P14" s="34">
        <f t="shared" si="1"/>
        <v>35122.05</v>
      </c>
      <c r="R14" s="35"/>
      <c r="S14" s="36"/>
      <c r="T14" s="37"/>
      <c r="U14" s="37"/>
      <c r="V14" s="2"/>
      <c r="W14" s="38"/>
      <c r="X14" s="39"/>
      <c r="Z14" s="35"/>
      <c r="AA14" s="36"/>
      <c r="AB14" s="37"/>
      <c r="AC14" s="37"/>
      <c r="AD14" s="2"/>
      <c r="AE14" s="38"/>
      <c r="AF14" s="39"/>
      <c r="AP14" s="22" t="s">
        <v>26</v>
      </c>
      <c r="AQ14" s="23">
        <v>45846.0</v>
      </c>
      <c r="AR14" s="24" t="s">
        <v>16</v>
      </c>
      <c r="AS14" s="24" t="s">
        <v>17</v>
      </c>
      <c r="AT14" s="25">
        <v>2071.0</v>
      </c>
      <c r="AU14" s="25">
        <v>2.0</v>
      </c>
      <c r="AV14" s="26">
        <v>72211.82</v>
      </c>
    </row>
    <row r="15" ht="22.5" customHeight="1">
      <c r="A15" s="22" t="s">
        <v>18</v>
      </c>
      <c r="B15" s="23">
        <v>45846.0</v>
      </c>
      <c r="C15" s="24" t="s">
        <v>16</v>
      </c>
      <c r="D15" s="24" t="s">
        <v>17</v>
      </c>
      <c r="E15" s="25">
        <v>2071.0</v>
      </c>
      <c r="F15" s="25">
        <v>10.0</v>
      </c>
      <c r="G15" s="26">
        <v>185610.5</v>
      </c>
      <c r="I15" s="27" t="s">
        <v>25</v>
      </c>
      <c r="J15" s="28">
        <v>45840.0</v>
      </c>
      <c r="K15" s="30" t="s">
        <v>36</v>
      </c>
      <c r="L15" s="30" t="s">
        <v>20</v>
      </c>
      <c r="M15" s="31" t="s">
        <v>37</v>
      </c>
      <c r="N15" s="32">
        <v>1.0</v>
      </c>
      <c r="O15" s="33">
        <v>45657.74</v>
      </c>
      <c r="P15" s="34">
        <f t="shared" si="1"/>
        <v>60825.79</v>
      </c>
      <c r="R15" s="35"/>
      <c r="S15" s="36"/>
      <c r="T15" s="37"/>
      <c r="U15" s="37"/>
      <c r="V15" s="2"/>
      <c r="W15" s="38"/>
      <c r="X15" s="39"/>
      <c r="Z15" s="35"/>
      <c r="AA15" s="36"/>
      <c r="AB15" s="37"/>
      <c r="AC15" s="37"/>
      <c r="AD15" s="2"/>
      <c r="AE15" s="38"/>
      <c r="AF15" s="39"/>
      <c r="AP15" s="22" t="s">
        <v>18</v>
      </c>
      <c r="AQ15" s="23">
        <v>45846.0</v>
      </c>
      <c r="AR15" s="24" t="s">
        <v>16</v>
      </c>
      <c r="AS15" s="24" t="s">
        <v>17</v>
      </c>
      <c r="AT15" s="25">
        <v>2071.0</v>
      </c>
      <c r="AU15" s="25">
        <v>10.0</v>
      </c>
      <c r="AV15" s="26">
        <v>185610.5</v>
      </c>
    </row>
    <row r="16" ht="22.5" customHeight="1">
      <c r="A16" s="22" t="s">
        <v>23</v>
      </c>
      <c r="B16" s="23">
        <v>45846.0</v>
      </c>
      <c r="C16" s="24" t="s">
        <v>16</v>
      </c>
      <c r="D16" s="24" t="s">
        <v>17</v>
      </c>
      <c r="E16" s="25">
        <v>2071.0</v>
      </c>
      <c r="F16" s="25">
        <v>10.0</v>
      </c>
      <c r="G16" s="26">
        <v>185610.5</v>
      </c>
      <c r="I16" s="27" t="s">
        <v>28</v>
      </c>
      <c r="J16" s="28">
        <v>45840.0</v>
      </c>
      <c r="K16" s="30" t="s">
        <v>36</v>
      </c>
      <c r="L16" s="30" t="s">
        <v>20</v>
      </c>
      <c r="M16" s="31" t="s">
        <v>37</v>
      </c>
      <c r="N16" s="32">
        <v>0.5</v>
      </c>
      <c r="O16" s="33">
        <v>15168.05</v>
      </c>
      <c r="P16" s="34">
        <f t="shared" si="1"/>
        <v>60825.79</v>
      </c>
      <c r="R16" s="35"/>
      <c r="S16" s="36"/>
      <c r="T16" s="37"/>
      <c r="U16" s="37"/>
      <c r="V16" s="2"/>
      <c r="W16" s="38"/>
      <c r="X16" s="39"/>
      <c r="Z16" s="35"/>
      <c r="AA16" s="36"/>
      <c r="AB16" s="37"/>
      <c r="AC16" s="37"/>
      <c r="AD16" s="2"/>
      <c r="AE16" s="38"/>
      <c r="AF16" s="39"/>
      <c r="AP16" s="22" t="s">
        <v>23</v>
      </c>
      <c r="AQ16" s="23">
        <v>45846.0</v>
      </c>
      <c r="AR16" s="24" t="s">
        <v>16</v>
      </c>
      <c r="AS16" s="24" t="s">
        <v>17</v>
      </c>
      <c r="AT16" s="25">
        <v>2071.0</v>
      </c>
      <c r="AU16" s="25">
        <v>10.0</v>
      </c>
      <c r="AV16" s="26">
        <v>185610.5</v>
      </c>
    </row>
    <row r="17" ht="22.5" customHeight="1">
      <c r="A17" s="22" t="s">
        <v>25</v>
      </c>
      <c r="B17" s="23">
        <v>45846.0</v>
      </c>
      <c r="C17" s="24" t="s">
        <v>16</v>
      </c>
      <c r="D17" s="24" t="s">
        <v>17</v>
      </c>
      <c r="E17" s="25">
        <v>2071.0</v>
      </c>
      <c r="F17" s="25">
        <v>15.0</v>
      </c>
      <c r="G17" s="26">
        <v>684866.1</v>
      </c>
      <c r="I17" s="27" t="s">
        <v>25</v>
      </c>
      <c r="J17" s="28">
        <v>45840.0</v>
      </c>
      <c r="K17" s="29" t="s">
        <v>38</v>
      </c>
      <c r="L17" s="30" t="s">
        <v>20</v>
      </c>
      <c r="M17" s="31" t="s">
        <v>39</v>
      </c>
      <c r="N17" s="32">
        <v>0.5</v>
      </c>
      <c r="O17" s="33">
        <v>22828.87</v>
      </c>
      <c r="P17" s="34">
        <f t="shared" si="1"/>
        <v>120881.46</v>
      </c>
      <c r="R17" s="35"/>
      <c r="S17" s="36"/>
      <c r="T17" s="37"/>
      <c r="U17" s="37"/>
      <c r="V17" s="2"/>
      <c r="W17" s="38"/>
      <c r="X17" s="39"/>
      <c r="Z17" s="35"/>
      <c r="AA17" s="36"/>
      <c r="AB17" s="37"/>
      <c r="AC17" s="37"/>
      <c r="AD17" s="2"/>
      <c r="AE17" s="38"/>
      <c r="AF17" s="39"/>
      <c r="AP17" s="22" t="s">
        <v>25</v>
      </c>
      <c r="AQ17" s="23">
        <v>45846.0</v>
      </c>
      <c r="AR17" s="24" t="s">
        <v>16</v>
      </c>
      <c r="AS17" s="24" t="s">
        <v>17</v>
      </c>
      <c r="AT17" s="25">
        <v>2071.0</v>
      </c>
      <c r="AU17" s="25">
        <v>15.0</v>
      </c>
      <c r="AV17" s="26">
        <v>684866.1</v>
      </c>
    </row>
    <row r="18" ht="22.5" customHeight="1">
      <c r="A18" s="22" t="s">
        <v>40</v>
      </c>
      <c r="B18" s="23">
        <v>45846.0</v>
      </c>
      <c r="C18" s="24" t="s">
        <v>16</v>
      </c>
      <c r="D18" s="24" t="s">
        <v>17</v>
      </c>
      <c r="E18" s="25">
        <v>2071.0</v>
      </c>
      <c r="F18" s="25">
        <v>10.0</v>
      </c>
      <c r="G18" s="26">
        <v>456577.4</v>
      </c>
      <c r="I18" s="27" t="s">
        <v>40</v>
      </c>
      <c r="J18" s="28">
        <v>45840.0</v>
      </c>
      <c r="K18" s="29" t="s">
        <v>38</v>
      </c>
      <c r="L18" s="30" t="s">
        <v>20</v>
      </c>
      <c r="M18" s="31" t="s">
        <v>39</v>
      </c>
      <c r="N18" s="32">
        <v>0.5</v>
      </c>
      <c r="O18" s="33">
        <v>22828.87</v>
      </c>
      <c r="P18" s="34">
        <f t="shared" si="1"/>
        <v>120881.46</v>
      </c>
      <c r="R18" s="35"/>
      <c r="S18" s="36"/>
      <c r="T18" s="37"/>
      <c r="U18" s="37"/>
      <c r="V18" s="2"/>
      <c r="W18" s="38"/>
      <c r="X18" s="39"/>
      <c r="Z18" s="35"/>
      <c r="AA18" s="36"/>
      <c r="AB18" s="37"/>
      <c r="AC18" s="37"/>
      <c r="AD18" s="2"/>
      <c r="AE18" s="38"/>
      <c r="AF18" s="39"/>
      <c r="AP18" s="22" t="s">
        <v>40</v>
      </c>
      <c r="AQ18" s="23">
        <v>45846.0</v>
      </c>
      <c r="AR18" s="24" t="s">
        <v>16</v>
      </c>
      <c r="AS18" s="24" t="s">
        <v>17</v>
      </c>
      <c r="AT18" s="25">
        <v>2071.0</v>
      </c>
      <c r="AU18" s="25">
        <v>10.0</v>
      </c>
      <c r="AV18" s="26">
        <v>456577.4</v>
      </c>
    </row>
    <row r="19" ht="22.5" customHeight="1">
      <c r="A19" s="22" t="s">
        <v>27</v>
      </c>
      <c r="B19" s="23">
        <v>45846.0</v>
      </c>
      <c r="C19" s="24" t="s">
        <v>16</v>
      </c>
      <c r="D19" s="24" t="s">
        <v>17</v>
      </c>
      <c r="E19" s="25">
        <v>2071.0</v>
      </c>
      <c r="F19" s="25">
        <v>15.0</v>
      </c>
      <c r="G19" s="26">
        <v>600556.65</v>
      </c>
      <c r="I19" s="27" t="s">
        <v>27</v>
      </c>
      <c r="J19" s="28">
        <v>45840.0</v>
      </c>
      <c r="K19" s="29" t="s">
        <v>38</v>
      </c>
      <c r="L19" s="30" t="s">
        <v>20</v>
      </c>
      <c r="M19" s="31" t="s">
        <v>39</v>
      </c>
      <c r="N19" s="32">
        <v>1.0</v>
      </c>
      <c r="O19" s="33">
        <v>40037.11</v>
      </c>
      <c r="P19" s="34">
        <f t="shared" si="1"/>
        <v>120881.46</v>
      </c>
      <c r="R19" s="35"/>
      <c r="S19" s="36"/>
      <c r="T19" s="37"/>
      <c r="U19" s="37"/>
      <c r="V19" s="2"/>
      <c r="W19" s="38"/>
      <c r="X19" s="39"/>
      <c r="Z19" s="35"/>
      <c r="AA19" s="36"/>
      <c r="AB19" s="37"/>
      <c r="AC19" s="37"/>
      <c r="AD19" s="2"/>
      <c r="AE19" s="38"/>
      <c r="AF19" s="39"/>
      <c r="AP19" s="22" t="s">
        <v>27</v>
      </c>
      <c r="AQ19" s="23">
        <v>45846.0</v>
      </c>
      <c r="AR19" s="24" t="s">
        <v>16</v>
      </c>
      <c r="AS19" s="24" t="s">
        <v>17</v>
      </c>
      <c r="AT19" s="25">
        <v>2071.0</v>
      </c>
      <c r="AU19" s="25">
        <v>15.0</v>
      </c>
      <c r="AV19" s="26">
        <v>600556.65</v>
      </c>
    </row>
    <row r="20" ht="22.5" customHeight="1">
      <c r="A20" s="22" t="s">
        <v>31</v>
      </c>
      <c r="B20" s="23">
        <v>45846.0</v>
      </c>
      <c r="C20" s="24" t="s">
        <v>16</v>
      </c>
      <c r="D20" s="24" t="s">
        <v>17</v>
      </c>
      <c r="E20" s="25">
        <v>2071.0</v>
      </c>
      <c r="F20" s="25">
        <v>10.0</v>
      </c>
      <c r="G20" s="26">
        <v>400371.1</v>
      </c>
      <c r="I20" s="27" t="s">
        <v>31</v>
      </c>
      <c r="J20" s="28">
        <v>45840.0</v>
      </c>
      <c r="K20" s="29" t="s">
        <v>38</v>
      </c>
      <c r="L20" s="30" t="s">
        <v>20</v>
      </c>
      <c r="M20" s="31" t="s">
        <v>39</v>
      </c>
      <c r="N20" s="32">
        <v>0.5</v>
      </c>
      <c r="O20" s="33">
        <v>20018.56</v>
      </c>
      <c r="P20" s="34">
        <f t="shared" si="1"/>
        <v>120881.46</v>
      </c>
      <c r="R20" s="35"/>
      <c r="S20" s="36"/>
      <c r="T20" s="37"/>
      <c r="U20" s="37"/>
      <c r="V20" s="2"/>
      <c r="W20" s="38"/>
      <c r="X20" s="39"/>
      <c r="Z20" s="35"/>
      <c r="AA20" s="36"/>
      <c r="AB20" s="37"/>
      <c r="AC20" s="37"/>
      <c r="AD20" s="2"/>
      <c r="AE20" s="38"/>
      <c r="AF20" s="39"/>
      <c r="AP20" s="22" t="s">
        <v>31</v>
      </c>
      <c r="AQ20" s="23">
        <v>45846.0</v>
      </c>
      <c r="AR20" s="24" t="s">
        <v>16</v>
      </c>
      <c r="AS20" s="24" t="s">
        <v>17</v>
      </c>
      <c r="AT20" s="25">
        <v>2071.0</v>
      </c>
      <c r="AU20" s="25">
        <v>10.0</v>
      </c>
      <c r="AV20" s="26">
        <v>400371.1</v>
      </c>
    </row>
    <row r="21" ht="22.5" customHeight="1">
      <c r="A21" s="22" t="s">
        <v>15</v>
      </c>
      <c r="B21" s="23">
        <v>45853.0</v>
      </c>
      <c r="C21" s="24" t="s">
        <v>16</v>
      </c>
      <c r="D21" s="24" t="s">
        <v>17</v>
      </c>
      <c r="E21" s="25">
        <v>2074.0</v>
      </c>
      <c r="F21" s="25">
        <v>5.0</v>
      </c>
      <c r="G21" s="26">
        <v>211206.7</v>
      </c>
      <c r="I21" s="27" t="s">
        <v>28</v>
      </c>
      <c r="J21" s="28">
        <v>45840.0</v>
      </c>
      <c r="K21" s="29" t="s">
        <v>38</v>
      </c>
      <c r="L21" s="30" t="s">
        <v>20</v>
      </c>
      <c r="M21" s="31" t="s">
        <v>39</v>
      </c>
      <c r="N21" s="32">
        <v>0.5</v>
      </c>
      <c r="O21" s="33">
        <v>15168.05</v>
      </c>
      <c r="P21" s="34">
        <f t="shared" si="1"/>
        <v>120881.46</v>
      </c>
      <c r="R21" s="35"/>
      <c r="S21" s="36"/>
      <c r="T21" s="37"/>
      <c r="U21" s="37"/>
      <c r="V21" s="2"/>
      <c r="W21" s="38"/>
      <c r="X21" s="39"/>
      <c r="Z21" s="35"/>
      <c r="AA21" s="36"/>
      <c r="AB21" s="37"/>
      <c r="AC21" s="37"/>
      <c r="AD21" s="2"/>
      <c r="AE21" s="38"/>
      <c r="AF21" s="39"/>
      <c r="AP21" s="22" t="s">
        <v>15</v>
      </c>
      <c r="AQ21" s="23">
        <v>45853.0</v>
      </c>
      <c r="AR21" s="24" t="s">
        <v>16</v>
      </c>
      <c r="AS21" s="24" t="s">
        <v>17</v>
      </c>
      <c r="AT21" s="25">
        <v>2074.0</v>
      </c>
      <c r="AU21" s="25">
        <v>5.0</v>
      </c>
      <c r="AV21" s="26">
        <v>211206.7</v>
      </c>
    </row>
    <row r="22" ht="22.5" customHeight="1">
      <c r="A22" s="22" t="s">
        <v>22</v>
      </c>
      <c r="B22" s="23">
        <v>45853.0</v>
      </c>
      <c r="C22" s="24" t="s">
        <v>16</v>
      </c>
      <c r="D22" s="24" t="s">
        <v>17</v>
      </c>
      <c r="E22" s="25">
        <v>2074.0</v>
      </c>
      <c r="F22" s="25">
        <v>3.0</v>
      </c>
      <c r="G22" s="26">
        <v>126724.02</v>
      </c>
      <c r="I22" s="27" t="s">
        <v>15</v>
      </c>
      <c r="J22" s="28">
        <v>45840.0</v>
      </c>
      <c r="K22" s="29" t="s">
        <v>41</v>
      </c>
      <c r="L22" s="30" t="s">
        <v>20</v>
      </c>
      <c r="M22" s="31" t="s">
        <v>42</v>
      </c>
      <c r="N22" s="32">
        <v>1.0</v>
      </c>
      <c r="O22" s="33">
        <v>42241.34</v>
      </c>
      <c r="P22" s="34">
        <f t="shared" si="1"/>
        <v>303215.14</v>
      </c>
      <c r="R22" s="35"/>
      <c r="S22" s="36"/>
      <c r="T22" s="37"/>
      <c r="U22" s="37"/>
      <c r="V22" s="2"/>
      <c r="W22" s="38"/>
      <c r="X22" s="39"/>
      <c r="Z22" s="35"/>
      <c r="AA22" s="36"/>
      <c r="AB22" s="37"/>
      <c r="AC22" s="37"/>
      <c r="AD22" s="2"/>
      <c r="AE22" s="38"/>
      <c r="AF22" s="39"/>
      <c r="AP22" s="22" t="s">
        <v>22</v>
      </c>
      <c r="AQ22" s="23">
        <v>45853.0</v>
      </c>
      <c r="AR22" s="24" t="s">
        <v>16</v>
      </c>
      <c r="AS22" s="24" t="s">
        <v>17</v>
      </c>
      <c r="AT22" s="25">
        <v>2074.0</v>
      </c>
      <c r="AU22" s="25">
        <v>3.0</v>
      </c>
      <c r="AV22" s="26">
        <v>126724.02</v>
      </c>
    </row>
    <row r="23" ht="22.5" customHeight="1">
      <c r="A23" s="22" t="s">
        <v>24</v>
      </c>
      <c r="B23" s="23">
        <v>45853.0</v>
      </c>
      <c r="C23" s="24" t="s">
        <v>16</v>
      </c>
      <c r="D23" s="24" t="s">
        <v>17</v>
      </c>
      <c r="E23" s="25">
        <v>2074.0</v>
      </c>
      <c r="F23" s="25">
        <v>5.0</v>
      </c>
      <c r="G23" s="26">
        <v>180529.55</v>
      </c>
      <c r="I23" s="27" t="s">
        <v>22</v>
      </c>
      <c r="J23" s="28">
        <v>45840.0</v>
      </c>
      <c r="K23" s="29" t="s">
        <v>41</v>
      </c>
      <c r="L23" s="30" t="s">
        <v>20</v>
      </c>
      <c r="M23" s="31" t="s">
        <v>42</v>
      </c>
      <c r="N23" s="32">
        <v>1.0</v>
      </c>
      <c r="O23" s="33">
        <v>42241.34</v>
      </c>
      <c r="P23" s="34">
        <f t="shared" si="1"/>
        <v>303215.14</v>
      </c>
      <c r="R23" s="35"/>
      <c r="S23" s="36"/>
      <c r="T23" s="41"/>
      <c r="U23" s="37"/>
      <c r="V23" s="2"/>
      <c r="W23" s="38"/>
      <c r="X23" s="39"/>
      <c r="Z23" s="35"/>
      <c r="AA23" s="36"/>
      <c r="AB23" s="37"/>
      <c r="AC23" s="37"/>
      <c r="AD23" s="2"/>
      <c r="AE23" s="38"/>
      <c r="AF23" s="39"/>
      <c r="AP23" s="22" t="s">
        <v>24</v>
      </c>
      <c r="AQ23" s="23">
        <v>45853.0</v>
      </c>
      <c r="AR23" s="24" t="s">
        <v>16</v>
      </c>
      <c r="AS23" s="24" t="s">
        <v>17</v>
      </c>
      <c r="AT23" s="25">
        <v>2074.0</v>
      </c>
      <c r="AU23" s="25">
        <v>5.0</v>
      </c>
      <c r="AV23" s="26">
        <v>180529.55</v>
      </c>
    </row>
    <row r="24" ht="22.5" customHeight="1">
      <c r="A24" s="22" t="s">
        <v>26</v>
      </c>
      <c r="B24" s="23">
        <v>45853.0</v>
      </c>
      <c r="C24" s="24" t="s">
        <v>16</v>
      </c>
      <c r="D24" s="24" t="s">
        <v>17</v>
      </c>
      <c r="E24" s="25">
        <v>2074.0</v>
      </c>
      <c r="F24" s="25">
        <v>5.0</v>
      </c>
      <c r="G24" s="26">
        <v>180529.55</v>
      </c>
      <c r="I24" s="27" t="s">
        <v>24</v>
      </c>
      <c r="J24" s="28">
        <v>45840.0</v>
      </c>
      <c r="K24" s="29" t="s">
        <v>41</v>
      </c>
      <c r="L24" s="30" t="s">
        <v>20</v>
      </c>
      <c r="M24" s="31" t="s">
        <v>42</v>
      </c>
      <c r="N24" s="32">
        <v>1.0</v>
      </c>
      <c r="O24" s="33">
        <v>36105.91</v>
      </c>
      <c r="P24" s="34">
        <f t="shared" si="1"/>
        <v>303215.14</v>
      </c>
      <c r="R24" s="35"/>
      <c r="S24" s="36"/>
      <c r="T24" s="37"/>
      <c r="U24" s="37"/>
      <c r="V24" s="2"/>
      <c r="W24" s="38"/>
      <c r="X24" s="39"/>
      <c r="Z24" s="35"/>
      <c r="AA24" s="36"/>
      <c r="AB24" s="37"/>
      <c r="AC24" s="37"/>
      <c r="AD24" s="2"/>
      <c r="AE24" s="38"/>
      <c r="AF24" s="39"/>
      <c r="AP24" s="22" t="s">
        <v>26</v>
      </c>
      <c r="AQ24" s="23">
        <v>45853.0</v>
      </c>
      <c r="AR24" s="24" t="s">
        <v>16</v>
      </c>
      <c r="AS24" s="24" t="s">
        <v>17</v>
      </c>
      <c r="AT24" s="25">
        <v>2074.0</v>
      </c>
      <c r="AU24" s="25">
        <v>5.0</v>
      </c>
      <c r="AV24" s="26">
        <v>180529.55</v>
      </c>
    </row>
    <row r="25" ht="22.5" customHeight="1">
      <c r="A25" s="22" t="s">
        <v>25</v>
      </c>
      <c r="B25" s="23">
        <v>45853.0</v>
      </c>
      <c r="C25" s="24" t="s">
        <v>16</v>
      </c>
      <c r="D25" s="24" t="s">
        <v>17</v>
      </c>
      <c r="E25" s="25">
        <v>2074.0</v>
      </c>
      <c r="F25" s="25">
        <v>10.0</v>
      </c>
      <c r="G25" s="26">
        <v>456577.4</v>
      </c>
      <c r="I25" s="27" t="s">
        <v>26</v>
      </c>
      <c r="J25" s="28">
        <v>45840.0</v>
      </c>
      <c r="K25" s="29" t="s">
        <v>41</v>
      </c>
      <c r="L25" s="30" t="s">
        <v>20</v>
      </c>
      <c r="M25" s="31" t="s">
        <v>42</v>
      </c>
      <c r="N25" s="32">
        <v>1.0</v>
      </c>
      <c r="O25" s="33">
        <v>36105.91</v>
      </c>
      <c r="P25" s="34">
        <f t="shared" si="1"/>
        <v>303215.14</v>
      </c>
      <c r="R25" s="35"/>
      <c r="S25" s="36"/>
      <c r="T25" s="37"/>
      <c r="U25" s="37"/>
      <c r="V25" s="2"/>
      <c r="W25" s="38"/>
      <c r="X25" s="39"/>
      <c r="Z25" s="35"/>
      <c r="AA25" s="36"/>
      <c r="AB25" s="37"/>
      <c r="AC25" s="37"/>
      <c r="AD25" s="2"/>
      <c r="AE25" s="38"/>
      <c r="AF25" s="39"/>
      <c r="AP25" s="22" t="s">
        <v>25</v>
      </c>
      <c r="AQ25" s="23">
        <v>45853.0</v>
      </c>
      <c r="AR25" s="24" t="s">
        <v>16</v>
      </c>
      <c r="AS25" s="24" t="s">
        <v>17</v>
      </c>
      <c r="AT25" s="25">
        <v>2074.0</v>
      </c>
      <c r="AU25" s="25">
        <v>10.0</v>
      </c>
      <c r="AV25" s="26">
        <v>456577.4</v>
      </c>
    </row>
    <row r="26" ht="22.5" customHeight="1">
      <c r="A26" s="22" t="s">
        <v>40</v>
      </c>
      <c r="B26" s="23">
        <v>45853.0</v>
      </c>
      <c r="C26" s="24" t="s">
        <v>16</v>
      </c>
      <c r="D26" s="24" t="s">
        <v>17</v>
      </c>
      <c r="E26" s="25">
        <v>2074.0</v>
      </c>
      <c r="F26" s="25">
        <v>10.0</v>
      </c>
      <c r="G26" s="26">
        <v>456577.4</v>
      </c>
      <c r="I26" s="27" t="s">
        <v>25</v>
      </c>
      <c r="J26" s="28">
        <v>45840.0</v>
      </c>
      <c r="K26" s="29" t="s">
        <v>41</v>
      </c>
      <c r="L26" s="30" t="s">
        <v>20</v>
      </c>
      <c r="M26" s="31" t="s">
        <v>42</v>
      </c>
      <c r="N26" s="32">
        <v>1.0</v>
      </c>
      <c r="O26" s="33">
        <v>45657.74</v>
      </c>
      <c r="P26" s="34">
        <f t="shared" si="1"/>
        <v>303215.14</v>
      </c>
      <c r="R26" s="35"/>
      <c r="S26" s="36"/>
      <c r="T26" s="41"/>
      <c r="U26" s="37"/>
      <c r="V26" s="2"/>
      <c r="W26" s="38"/>
      <c r="X26" s="39"/>
      <c r="Z26" s="35"/>
      <c r="AA26" s="36"/>
      <c r="AB26" s="37"/>
      <c r="AC26" s="37"/>
      <c r="AD26" s="2"/>
      <c r="AE26" s="38"/>
      <c r="AF26" s="39"/>
      <c r="AP26" s="22" t="s">
        <v>40</v>
      </c>
      <c r="AQ26" s="23">
        <v>45853.0</v>
      </c>
      <c r="AR26" s="24" t="s">
        <v>16</v>
      </c>
      <c r="AS26" s="24" t="s">
        <v>17</v>
      </c>
      <c r="AT26" s="25">
        <v>2074.0</v>
      </c>
      <c r="AU26" s="25">
        <v>10.0</v>
      </c>
      <c r="AV26" s="26">
        <v>456577.4</v>
      </c>
    </row>
    <row r="27" ht="22.5" customHeight="1">
      <c r="A27" s="22" t="s">
        <v>27</v>
      </c>
      <c r="B27" s="23">
        <v>45853.0</v>
      </c>
      <c r="C27" s="24" t="s">
        <v>16</v>
      </c>
      <c r="D27" s="24" t="s">
        <v>17</v>
      </c>
      <c r="E27" s="25">
        <v>2074.0</v>
      </c>
      <c r="F27" s="25">
        <v>10.0</v>
      </c>
      <c r="G27" s="26">
        <v>400371.1</v>
      </c>
      <c r="I27" s="27" t="s">
        <v>40</v>
      </c>
      <c r="J27" s="28">
        <v>45840.0</v>
      </c>
      <c r="K27" s="29" t="s">
        <v>41</v>
      </c>
      <c r="L27" s="30" t="s">
        <v>20</v>
      </c>
      <c r="M27" s="31" t="s">
        <v>42</v>
      </c>
      <c r="N27" s="32">
        <v>1.0</v>
      </c>
      <c r="O27" s="33">
        <v>45657.74</v>
      </c>
      <c r="P27" s="34">
        <f t="shared" si="1"/>
        <v>303215.14</v>
      </c>
      <c r="R27" s="35"/>
      <c r="S27" s="36"/>
      <c r="T27" s="37"/>
      <c r="U27" s="37"/>
      <c r="V27" s="2"/>
      <c r="W27" s="38"/>
      <c r="X27" s="39"/>
      <c r="Z27" s="35"/>
      <c r="AA27" s="36"/>
      <c r="AB27" s="37"/>
      <c r="AC27" s="37"/>
      <c r="AD27" s="2"/>
      <c r="AE27" s="38"/>
      <c r="AF27" s="39"/>
      <c r="AP27" s="22" t="s">
        <v>27</v>
      </c>
      <c r="AQ27" s="23">
        <v>45853.0</v>
      </c>
      <c r="AR27" s="24" t="s">
        <v>16</v>
      </c>
      <c r="AS27" s="24" t="s">
        <v>17</v>
      </c>
      <c r="AT27" s="25">
        <v>2074.0</v>
      </c>
      <c r="AU27" s="25">
        <v>10.0</v>
      </c>
      <c r="AV27" s="26">
        <v>400371.1</v>
      </c>
    </row>
    <row r="28" ht="22.5" customHeight="1">
      <c r="A28" s="22" t="s">
        <v>31</v>
      </c>
      <c r="B28" s="23">
        <v>45853.0</v>
      </c>
      <c r="C28" s="24" t="s">
        <v>16</v>
      </c>
      <c r="D28" s="24" t="s">
        <v>17</v>
      </c>
      <c r="E28" s="25">
        <v>2074.0</v>
      </c>
      <c r="F28" s="25">
        <v>10.0</v>
      </c>
      <c r="G28" s="26">
        <v>400371.1</v>
      </c>
      <c r="I28" s="27" t="s">
        <v>27</v>
      </c>
      <c r="J28" s="28">
        <v>45840.0</v>
      </c>
      <c r="K28" s="29" t="s">
        <v>41</v>
      </c>
      <c r="L28" s="30" t="s">
        <v>20</v>
      </c>
      <c r="M28" s="31" t="s">
        <v>42</v>
      </c>
      <c r="N28" s="32">
        <v>1.0</v>
      </c>
      <c r="O28" s="33">
        <v>40037.11</v>
      </c>
      <c r="P28" s="34">
        <f t="shared" si="1"/>
        <v>303215.14</v>
      </c>
      <c r="R28" s="35"/>
      <c r="S28" s="36"/>
      <c r="T28" s="37"/>
      <c r="U28" s="37"/>
      <c r="V28" s="2"/>
      <c r="W28" s="38"/>
      <c r="X28" s="39"/>
      <c r="Z28" s="35"/>
      <c r="AA28" s="36"/>
      <c r="AB28" s="37"/>
      <c r="AC28" s="37"/>
      <c r="AD28" s="2"/>
      <c r="AE28" s="38"/>
      <c r="AF28" s="39"/>
      <c r="AP28" s="22" t="s">
        <v>31</v>
      </c>
      <c r="AQ28" s="23">
        <v>45853.0</v>
      </c>
      <c r="AR28" s="24" t="s">
        <v>16</v>
      </c>
      <c r="AS28" s="24" t="s">
        <v>17</v>
      </c>
      <c r="AT28" s="25">
        <v>2074.0</v>
      </c>
      <c r="AU28" s="25">
        <v>10.0</v>
      </c>
      <c r="AV28" s="26">
        <v>400371.1</v>
      </c>
    </row>
    <row r="29" ht="22.5" customHeight="1">
      <c r="A29" s="22" t="s">
        <v>18</v>
      </c>
      <c r="B29" s="23">
        <v>45859.0</v>
      </c>
      <c r="C29" s="24" t="s">
        <v>16</v>
      </c>
      <c r="D29" s="24" t="s">
        <v>17</v>
      </c>
      <c r="E29" s="25">
        <v>2080.0</v>
      </c>
      <c r="F29" s="25">
        <v>10.0</v>
      </c>
      <c r="G29" s="26">
        <v>185610.5</v>
      </c>
      <c r="I29" s="27" t="s">
        <v>28</v>
      </c>
      <c r="J29" s="28">
        <v>45840.0</v>
      </c>
      <c r="K29" s="29" t="s">
        <v>41</v>
      </c>
      <c r="L29" s="30" t="s">
        <v>20</v>
      </c>
      <c r="M29" s="31" t="s">
        <v>42</v>
      </c>
      <c r="N29" s="32">
        <v>0.5</v>
      </c>
      <c r="O29" s="33">
        <v>15168.05</v>
      </c>
      <c r="P29" s="34">
        <f t="shared" si="1"/>
        <v>303215.14</v>
      </c>
      <c r="R29" s="35"/>
      <c r="S29" s="36"/>
      <c r="T29" s="37"/>
      <c r="U29" s="37"/>
      <c r="V29" s="2"/>
      <c r="W29" s="38"/>
      <c r="X29" s="39"/>
      <c r="Z29" s="35"/>
      <c r="AA29" s="36"/>
      <c r="AB29" s="37"/>
      <c r="AC29" s="37"/>
      <c r="AD29" s="2"/>
      <c r="AE29" s="38"/>
      <c r="AF29" s="39"/>
      <c r="AP29" s="22" t="s">
        <v>18</v>
      </c>
      <c r="AQ29" s="23">
        <v>45859.0</v>
      </c>
      <c r="AR29" s="24" t="s">
        <v>16</v>
      </c>
      <c r="AS29" s="24" t="s">
        <v>17</v>
      </c>
      <c r="AT29" s="25">
        <v>2080.0</v>
      </c>
      <c r="AU29" s="25">
        <v>10.0</v>
      </c>
      <c r="AV29" s="26">
        <v>185610.5</v>
      </c>
    </row>
    <row r="30" ht="22.5" customHeight="1">
      <c r="A30" s="22" t="s">
        <v>23</v>
      </c>
      <c r="B30" s="23">
        <v>45859.0</v>
      </c>
      <c r="C30" s="24" t="s">
        <v>16</v>
      </c>
      <c r="D30" s="24" t="s">
        <v>17</v>
      </c>
      <c r="E30" s="25">
        <v>2080.0</v>
      </c>
      <c r="F30" s="25">
        <v>10.0</v>
      </c>
      <c r="G30" s="26">
        <v>185610.5</v>
      </c>
      <c r="I30" s="27" t="s">
        <v>18</v>
      </c>
      <c r="J30" s="28">
        <v>45840.0</v>
      </c>
      <c r="K30" s="30" t="s">
        <v>43</v>
      </c>
      <c r="L30" s="30" t="s">
        <v>20</v>
      </c>
      <c r="M30" s="31" t="s">
        <v>44</v>
      </c>
      <c r="N30" s="32">
        <v>1.0</v>
      </c>
      <c r="O30" s="33">
        <v>19954.0</v>
      </c>
      <c r="P30" s="34">
        <f t="shared" si="1"/>
        <v>55076.05</v>
      </c>
      <c r="R30" s="35"/>
      <c r="S30" s="36"/>
      <c r="T30" s="37"/>
      <c r="U30" s="37"/>
      <c r="V30" s="2"/>
      <c r="W30" s="38"/>
      <c r="X30" s="39"/>
      <c r="Z30" s="35"/>
      <c r="AA30" s="36"/>
      <c r="AB30" s="37"/>
      <c r="AC30" s="37"/>
      <c r="AD30" s="2"/>
      <c r="AE30" s="38"/>
      <c r="AF30" s="39"/>
      <c r="AP30" s="22" t="s">
        <v>23</v>
      </c>
      <c r="AQ30" s="23">
        <v>45859.0</v>
      </c>
      <c r="AR30" s="24" t="s">
        <v>16</v>
      </c>
      <c r="AS30" s="24" t="s">
        <v>17</v>
      </c>
      <c r="AT30" s="25">
        <v>2080.0</v>
      </c>
      <c r="AU30" s="25">
        <v>10.0</v>
      </c>
      <c r="AV30" s="26">
        <v>185610.5</v>
      </c>
    </row>
    <row r="31" ht="22.5" customHeight="1">
      <c r="A31" s="22" t="s">
        <v>27</v>
      </c>
      <c r="B31" s="23">
        <v>45859.0</v>
      </c>
      <c r="C31" s="24" t="s">
        <v>16</v>
      </c>
      <c r="D31" s="24" t="s">
        <v>17</v>
      </c>
      <c r="E31" s="25">
        <v>2080.0</v>
      </c>
      <c r="F31" s="25">
        <v>5.0</v>
      </c>
      <c r="G31" s="26">
        <v>200185.55</v>
      </c>
      <c r="I31" s="27" t="s">
        <v>23</v>
      </c>
      <c r="J31" s="28">
        <v>45840.0</v>
      </c>
      <c r="K31" s="30" t="s">
        <v>43</v>
      </c>
      <c r="L31" s="30" t="s">
        <v>20</v>
      </c>
      <c r="M31" s="31" t="s">
        <v>44</v>
      </c>
      <c r="N31" s="32">
        <v>1.0</v>
      </c>
      <c r="O31" s="33">
        <v>19954.0</v>
      </c>
      <c r="P31" s="34">
        <f t="shared" si="1"/>
        <v>55076.05</v>
      </c>
      <c r="R31" s="35"/>
      <c r="S31" s="36"/>
      <c r="T31" s="37"/>
      <c r="U31" s="37"/>
      <c r="V31" s="2"/>
      <c r="W31" s="38"/>
      <c r="X31" s="39"/>
      <c r="Z31" s="35"/>
      <c r="AA31" s="36"/>
      <c r="AB31" s="37"/>
      <c r="AC31" s="37"/>
      <c r="AD31" s="2"/>
      <c r="AE31" s="38"/>
      <c r="AF31" s="39"/>
      <c r="AP31" s="22" t="s">
        <v>27</v>
      </c>
      <c r="AQ31" s="23">
        <v>45859.0</v>
      </c>
      <c r="AR31" s="24" t="s">
        <v>16</v>
      </c>
      <c r="AS31" s="24" t="s">
        <v>17</v>
      </c>
      <c r="AT31" s="25">
        <v>2080.0</v>
      </c>
      <c r="AU31" s="25">
        <v>5.0</v>
      </c>
      <c r="AV31" s="26">
        <v>200185.55</v>
      </c>
    </row>
    <row r="32" ht="22.5" customHeight="1">
      <c r="A32" s="42" t="s">
        <v>25</v>
      </c>
      <c r="B32" s="43">
        <v>45859.0</v>
      </c>
      <c r="C32" s="44" t="s">
        <v>16</v>
      </c>
      <c r="D32" s="44" t="s">
        <v>17</v>
      </c>
      <c r="E32" s="45">
        <v>2080.0</v>
      </c>
      <c r="F32" s="45">
        <v>5.0</v>
      </c>
      <c r="G32" s="46">
        <v>228288.7</v>
      </c>
      <c r="I32" s="27" t="s">
        <v>31</v>
      </c>
      <c r="J32" s="28">
        <v>45840.0</v>
      </c>
      <c r="K32" s="30" t="s">
        <v>43</v>
      </c>
      <c r="L32" s="30" t="s">
        <v>20</v>
      </c>
      <c r="M32" s="31" t="s">
        <v>44</v>
      </c>
      <c r="N32" s="32">
        <v>0.5</v>
      </c>
      <c r="O32" s="33">
        <v>15168.05</v>
      </c>
      <c r="P32" s="34">
        <f t="shared" si="1"/>
        <v>55076.05</v>
      </c>
      <c r="R32" s="35"/>
      <c r="S32" s="36"/>
      <c r="T32" s="37"/>
      <c r="U32" s="37"/>
      <c r="V32" s="2"/>
      <c r="W32" s="38"/>
      <c r="X32" s="39"/>
      <c r="Z32" s="35"/>
      <c r="AA32" s="36"/>
      <c r="AB32" s="37"/>
      <c r="AC32" s="37"/>
      <c r="AD32" s="2"/>
      <c r="AE32" s="38"/>
      <c r="AF32" s="39"/>
      <c r="AP32" s="42" t="s">
        <v>25</v>
      </c>
      <c r="AQ32" s="43">
        <v>45859.0</v>
      </c>
      <c r="AR32" s="44" t="s">
        <v>16</v>
      </c>
      <c r="AS32" s="44" t="s">
        <v>17</v>
      </c>
      <c r="AT32" s="45">
        <v>2080.0</v>
      </c>
      <c r="AU32" s="45">
        <v>5.0</v>
      </c>
      <c r="AV32" s="46">
        <v>228288.7</v>
      </c>
    </row>
    <row r="33" ht="22.5" customHeight="1">
      <c r="A33" s="22" t="s">
        <v>40</v>
      </c>
      <c r="B33" s="23">
        <v>45859.0</v>
      </c>
      <c r="C33" s="24" t="s">
        <v>16</v>
      </c>
      <c r="D33" s="24" t="s">
        <v>17</v>
      </c>
      <c r="E33" s="25">
        <v>2080.0</v>
      </c>
      <c r="F33" s="25">
        <v>1.0</v>
      </c>
      <c r="G33" s="26">
        <v>45657.74</v>
      </c>
      <c r="I33" s="27" t="s">
        <v>25</v>
      </c>
      <c r="J33" s="28">
        <v>45840.0</v>
      </c>
      <c r="K33" s="29" t="s">
        <v>45</v>
      </c>
      <c r="L33" s="30" t="s">
        <v>20</v>
      </c>
      <c r="M33" s="31" t="s">
        <v>46</v>
      </c>
      <c r="N33" s="32">
        <v>1.0</v>
      </c>
      <c r="O33" s="33">
        <v>45657.74</v>
      </c>
      <c r="P33" s="34">
        <f t="shared" si="1"/>
        <v>91315.48</v>
      </c>
      <c r="R33" s="35"/>
      <c r="S33" s="36"/>
      <c r="T33" s="37"/>
      <c r="U33" s="37"/>
      <c r="V33" s="2"/>
      <c r="W33" s="38"/>
      <c r="X33" s="39"/>
      <c r="Z33" s="35"/>
      <c r="AA33" s="36"/>
      <c r="AB33" s="37"/>
      <c r="AC33" s="37"/>
      <c r="AD33" s="2"/>
      <c r="AE33" s="38"/>
      <c r="AF33" s="39"/>
      <c r="AP33" s="22" t="s">
        <v>40</v>
      </c>
      <c r="AQ33" s="23">
        <v>45859.0</v>
      </c>
      <c r="AR33" s="24" t="s">
        <v>16</v>
      </c>
      <c r="AS33" s="24" t="s">
        <v>17</v>
      </c>
      <c r="AT33" s="25">
        <v>2080.0</v>
      </c>
      <c r="AU33" s="25">
        <v>1.0</v>
      </c>
      <c r="AV33" s="26">
        <v>45657.74</v>
      </c>
    </row>
    <row r="34" ht="22.5" customHeight="1">
      <c r="A34" s="22" t="s">
        <v>28</v>
      </c>
      <c r="B34" s="23">
        <v>45859.0</v>
      </c>
      <c r="C34" s="24" t="s">
        <v>16</v>
      </c>
      <c r="D34" s="24" t="s">
        <v>17</v>
      </c>
      <c r="E34" s="25">
        <v>2080.0</v>
      </c>
      <c r="F34" s="25">
        <v>20.0</v>
      </c>
      <c r="G34" s="26">
        <v>606722.0</v>
      </c>
      <c r="I34" s="27" t="s">
        <v>40</v>
      </c>
      <c r="J34" s="28">
        <v>45840.0</v>
      </c>
      <c r="K34" s="29" t="s">
        <v>45</v>
      </c>
      <c r="L34" s="30" t="s">
        <v>20</v>
      </c>
      <c r="M34" s="31" t="s">
        <v>46</v>
      </c>
      <c r="N34" s="32">
        <v>1.0</v>
      </c>
      <c r="O34" s="33">
        <v>45657.74</v>
      </c>
      <c r="P34" s="34">
        <f t="shared" si="1"/>
        <v>91315.48</v>
      </c>
      <c r="R34" s="35"/>
      <c r="S34" s="36"/>
      <c r="T34" s="37"/>
      <c r="U34" s="37"/>
      <c r="V34" s="2"/>
      <c r="W34" s="38"/>
      <c r="X34" s="39"/>
      <c r="Z34" s="35"/>
      <c r="AA34" s="36"/>
      <c r="AB34" s="37"/>
      <c r="AC34" s="37"/>
      <c r="AD34" s="2"/>
      <c r="AE34" s="38"/>
      <c r="AF34" s="39"/>
      <c r="AP34" s="22" t="s">
        <v>28</v>
      </c>
      <c r="AQ34" s="23">
        <v>45859.0</v>
      </c>
      <c r="AR34" s="24" t="s">
        <v>16</v>
      </c>
      <c r="AS34" s="24" t="s">
        <v>17</v>
      </c>
      <c r="AT34" s="25">
        <v>2080.0</v>
      </c>
      <c r="AU34" s="25">
        <v>20.0</v>
      </c>
      <c r="AV34" s="26">
        <v>606722.0</v>
      </c>
    </row>
    <row r="35" ht="22.5" customHeight="1">
      <c r="A35" s="22" t="s">
        <v>47</v>
      </c>
      <c r="B35" s="23">
        <v>45859.0</v>
      </c>
      <c r="C35" s="24" t="s">
        <v>16</v>
      </c>
      <c r="D35" s="24" t="s">
        <v>17</v>
      </c>
      <c r="E35" s="25">
        <v>2080.0</v>
      </c>
      <c r="F35" s="25">
        <v>20.0</v>
      </c>
      <c r="G35" s="26">
        <v>606722.0</v>
      </c>
      <c r="I35" s="27" t="s">
        <v>25</v>
      </c>
      <c r="J35" s="28">
        <v>45840.0</v>
      </c>
      <c r="K35" s="29" t="s">
        <v>48</v>
      </c>
      <c r="L35" s="30" t="s">
        <v>20</v>
      </c>
      <c r="M35" s="31" t="s">
        <v>49</v>
      </c>
      <c r="N35" s="32">
        <v>0.5</v>
      </c>
      <c r="O35" s="33">
        <v>22828.87</v>
      </c>
      <c r="P35" s="34">
        <f t="shared" si="1"/>
        <v>37996.92</v>
      </c>
      <c r="R35" s="35"/>
      <c r="S35" s="36"/>
      <c r="T35" s="37"/>
      <c r="U35" s="37"/>
      <c r="V35" s="2"/>
      <c r="W35" s="38"/>
      <c r="X35" s="39"/>
      <c r="Z35" s="35"/>
      <c r="AA35" s="36"/>
      <c r="AB35" s="37"/>
      <c r="AC35" s="37"/>
      <c r="AD35" s="2"/>
      <c r="AE35" s="38"/>
      <c r="AF35" s="39"/>
      <c r="AP35" s="22" t="s">
        <v>47</v>
      </c>
      <c r="AQ35" s="23">
        <v>45859.0</v>
      </c>
      <c r="AR35" s="24" t="s">
        <v>16</v>
      </c>
      <c r="AS35" s="24" t="s">
        <v>17</v>
      </c>
      <c r="AT35" s="25">
        <v>2080.0</v>
      </c>
      <c r="AU35" s="25">
        <v>20.0</v>
      </c>
      <c r="AV35" s="26">
        <v>606722.0</v>
      </c>
    </row>
    <row r="36" ht="22.5" customHeight="1">
      <c r="A36" s="22" t="s">
        <v>15</v>
      </c>
      <c r="B36" s="23">
        <v>45861.0</v>
      </c>
      <c r="C36" s="24" t="s">
        <v>16</v>
      </c>
      <c r="D36" s="24" t="s">
        <v>17</v>
      </c>
      <c r="E36" s="25">
        <v>2081.0</v>
      </c>
      <c r="F36" s="25">
        <v>5.0</v>
      </c>
      <c r="G36" s="26">
        <v>211206.7</v>
      </c>
      <c r="I36" s="27" t="s">
        <v>28</v>
      </c>
      <c r="J36" s="28">
        <v>45840.0</v>
      </c>
      <c r="K36" s="29" t="s">
        <v>48</v>
      </c>
      <c r="L36" s="30" t="s">
        <v>20</v>
      </c>
      <c r="M36" s="31" t="s">
        <v>49</v>
      </c>
      <c r="N36" s="32">
        <v>0.5</v>
      </c>
      <c r="O36" s="33">
        <v>15168.05</v>
      </c>
      <c r="P36" s="34">
        <f t="shared" si="1"/>
        <v>37996.92</v>
      </c>
      <c r="R36" s="35"/>
      <c r="S36" s="36"/>
      <c r="T36" s="37"/>
      <c r="U36" s="37"/>
      <c r="V36" s="2"/>
      <c r="W36" s="38"/>
      <c r="X36" s="39"/>
      <c r="AP36" s="22" t="s">
        <v>15</v>
      </c>
      <c r="AQ36" s="23">
        <v>45861.0</v>
      </c>
      <c r="AR36" s="24" t="s">
        <v>16</v>
      </c>
      <c r="AS36" s="24" t="s">
        <v>17</v>
      </c>
      <c r="AT36" s="25">
        <v>2081.0</v>
      </c>
      <c r="AU36" s="25">
        <v>5.0</v>
      </c>
      <c r="AV36" s="26">
        <v>211206.7</v>
      </c>
    </row>
    <row r="37" ht="22.5" customHeight="1">
      <c r="A37" s="22" t="s">
        <v>22</v>
      </c>
      <c r="B37" s="23">
        <v>45861.0</v>
      </c>
      <c r="C37" s="24" t="s">
        <v>16</v>
      </c>
      <c r="D37" s="24" t="s">
        <v>17</v>
      </c>
      <c r="E37" s="25">
        <v>2081.0</v>
      </c>
      <c r="F37" s="25">
        <v>3.0</v>
      </c>
      <c r="G37" s="26">
        <v>126724.02</v>
      </c>
      <c r="I37" s="27" t="s">
        <v>18</v>
      </c>
      <c r="J37" s="28">
        <v>45840.0</v>
      </c>
      <c r="K37" s="29" t="s">
        <v>50</v>
      </c>
      <c r="L37" s="30" t="s">
        <v>20</v>
      </c>
      <c r="M37" s="31" t="s">
        <v>51</v>
      </c>
      <c r="N37" s="32">
        <v>3.0</v>
      </c>
      <c r="O37" s="33">
        <v>59862.0</v>
      </c>
      <c r="P37" s="34">
        <f t="shared" si="1"/>
        <v>199798.22</v>
      </c>
      <c r="R37" s="35"/>
      <c r="S37" s="36"/>
      <c r="T37" s="37"/>
      <c r="U37" s="37"/>
      <c r="V37" s="2"/>
      <c r="W37" s="38"/>
      <c r="X37" s="47"/>
      <c r="AP37" s="22" t="s">
        <v>22</v>
      </c>
      <c r="AQ37" s="23">
        <v>45861.0</v>
      </c>
      <c r="AR37" s="24" t="s">
        <v>16</v>
      </c>
      <c r="AS37" s="24" t="s">
        <v>17</v>
      </c>
      <c r="AT37" s="25">
        <v>2081.0</v>
      </c>
      <c r="AU37" s="25">
        <v>3.0</v>
      </c>
      <c r="AV37" s="26">
        <v>126724.02</v>
      </c>
    </row>
    <row r="38" ht="22.5" customHeight="1">
      <c r="A38" s="22" t="s">
        <v>24</v>
      </c>
      <c r="B38" s="23">
        <v>45861.0</v>
      </c>
      <c r="C38" s="24" t="s">
        <v>16</v>
      </c>
      <c r="D38" s="24" t="s">
        <v>17</v>
      </c>
      <c r="E38" s="25">
        <v>2081.0</v>
      </c>
      <c r="F38" s="25">
        <v>5.0</v>
      </c>
      <c r="G38" s="26">
        <v>180529.55</v>
      </c>
      <c r="I38" s="27" t="s">
        <v>23</v>
      </c>
      <c r="J38" s="28">
        <v>45840.0</v>
      </c>
      <c r="K38" s="29" t="s">
        <v>50</v>
      </c>
      <c r="L38" s="30" t="s">
        <v>20</v>
      </c>
      <c r="M38" s="31" t="s">
        <v>51</v>
      </c>
      <c r="N38" s="32">
        <v>3.0</v>
      </c>
      <c r="O38" s="33">
        <v>59862.0</v>
      </c>
      <c r="P38" s="34">
        <f t="shared" si="1"/>
        <v>199798.22</v>
      </c>
      <c r="R38" s="35"/>
      <c r="S38" s="36"/>
      <c r="T38" s="41"/>
      <c r="U38" s="37"/>
      <c r="V38" s="2"/>
      <c r="W38" s="38"/>
      <c r="X38" s="47"/>
      <c r="AP38" s="22" t="s">
        <v>24</v>
      </c>
      <c r="AQ38" s="23">
        <v>45861.0</v>
      </c>
      <c r="AR38" s="24" t="s">
        <v>16</v>
      </c>
      <c r="AS38" s="24" t="s">
        <v>17</v>
      </c>
      <c r="AT38" s="25">
        <v>2081.0</v>
      </c>
      <c r="AU38" s="25">
        <v>5.0</v>
      </c>
      <c r="AV38" s="26">
        <v>180529.55</v>
      </c>
    </row>
    <row r="39" ht="22.5" customHeight="1">
      <c r="A39" s="22" t="s">
        <v>26</v>
      </c>
      <c r="B39" s="23">
        <v>45861.0</v>
      </c>
      <c r="C39" s="24" t="s">
        <v>16</v>
      </c>
      <c r="D39" s="24" t="s">
        <v>17</v>
      </c>
      <c r="E39" s="25">
        <v>2081.0</v>
      </c>
      <c r="F39" s="25">
        <v>3.0</v>
      </c>
      <c r="G39" s="26">
        <v>108317.73</v>
      </c>
      <c r="I39" s="27" t="s">
        <v>27</v>
      </c>
      <c r="J39" s="28">
        <v>45840.0</v>
      </c>
      <c r="K39" s="29" t="s">
        <v>50</v>
      </c>
      <c r="L39" s="30" t="s">
        <v>20</v>
      </c>
      <c r="M39" s="31" t="s">
        <v>51</v>
      </c>
      <c r="N39" s="32">
        <v>1.0</v>
      </c>
      <c r="O39" s="33">
        <v>40037.11</v>
      </c>
      <c r="P39" s="34">
        <f t="shared" si="1"/>
        <v>199798.22</v>
      </c>
      <c r="R39" s="35"/>
      <c r="S39" s="36"/>
      <c r="T39" s="37"/>
      <c r="U39" s="37"/>
      <c r="V39" s="2"/>
      <c r="W39" s="38"/>
      <c r="X39" s="47"/>
      <c r="AP39" s="22" t="s">
        <v>26</v>
      </c>
      <c r="AQ39" s="23">
        <v>45861.0</v>
      </c>
      <c r="AR39" s="24" t="s">
        <v>16</v>
      </c>
      <c r="AS39" s="24" t="s">
        <v>17</v>
      </c>
      <c r="AT39" s="25">
        <v>2081.0</v>
      </c>
      <c r="AU39" s="25">
        <v>3.0</v>
      </c>
      <c r="AV39" s="26">
        <v>108317.73</v>
      </c>
    </row>
    <row r="40" ht="22.5" customHeight="1">
      <c r="A40" s="42" t="s">
        <v>25</v>
      </c>
      <c r="B40" s="43">
        <v>45861.0</v>
      </c>
      <c r="C40" s="44" t="s">
        <v>16</v>
      </c>
      <c r="D40" s="44" t="s">
        <v>17</v>
      </c>
      <c r="E40" s="45">
        <v>2081.0</v>
      </c>
      <c r="F40" s="45">
        <v>10.0</v>
      </c>
      <c r="G40" s="46">
        <v>456577.4</v>
      </c>
      <c r="I40" s="27" t="s">
        <v>31</v>
      </c>
      <c r="J40" s="28">
        <v>45840.0</v>
      </c>
      <c r="K40" s="29" t="s">
        <v>50</v>
      </c>
      <c r="L40" s="30" t="s">
        <v>20</v>
      </c>
      <c r="M40" s="31" t="s">
        <v>51</v>
      </c>
      <c r="N40" s="32">
        <v>1.0</v>
      </c>
      <c r="O40" s="33">
        <v>40037.11</v>
      </c>
      <c r="P40" s="34">
        <f t="shared" si="1"/>
        <v>199798.22</v>
      </c>
      <c r="R40" s="35"/>
      <c r="S40" s="36"/>
      <c r="T40" s="37"/>
      <c r="U40" s="37"/>
      <c r="V40" s="2"/>
      <c r="W40" s="38"/>
      <c r="X40" s="47"/>
      <c r="AP40" s="42" t="s">
        <v>25</v>
      </c>
      <c r="AQ40" s="43">
        <v>45861.0</v>
      </c>
      <c r="AR40" s="44" t="s">
        <v>16</v>
      </c>
      <c r="AS40" s="44" t="s">
        <v>17</v>
      </c>
      <c r="AT40" s="45">
        <v>2081.0</v>
      </c>
      <c r="AU40" s="45">
        <v>10.0</v>
      </c>
      <c r="AV40" s="46">
        <v>456577.4</v>
      </c>
    </row>
    <row r="41" ht="22.5" customHeight="1">
      <c r="A41" s="22" t="s">
        <v>40</v>
      </c>
      <c r="B41" s="23">
        <v>45861.0</v>
      </c>
      <c r="C41" s="24" t="s">
        <v>16</v>
      </c>
      <c r="D41" s="24" t="s">
        <v>17</v>
      </c>
      <c r="E41" s="25">
        <v>2081.0</v>
      </c>
      <c r="F41" s="25">
        <v>9.0</v>
      </c>
      <c r="G41" s="26">
        <v>410919.66</v>
      </c>
      <c r="I41" s="27" t="s">
        <v>28</v>
      </c>
      <c r="J41" s="28">
        <v>45840.0</v>
      </c>
      <c r="K41" s="30" t="s">
        <v>52</v>
      </c>
      <c r="L41" s="30" t="s">
        <v>20</v>
      </c>
      <c r="M41" s="31" t="s">
        <v>53</v>
      </c>
      <c r="N41" s="32">
        <v>0.5</v>
      </c>
      <c r="O41" s="33">
        <v>15168.05</v>
      </c>
      <c r="P41" s="34">
        <f t="shared" si="1"/>
        <v>15168.05</v>
      </c>
      <c r="R41" s="35"/>
      <c r="S41" s="36"/>
      <c r="T41" s="37"/>
      <c r="U41" s="37"/>
      <c r="V41" s="2"/>
      <c r="W41" s="38"/>
      <c r="X41" s="47"/>
      <c r="AP41" s="22" t="s">
        <v>40</v>
      </c>
      <c r="AQ41" s="23">
        <v>45861.0</v>
      </c>
      <c r="AR41" s="24" t="s">
        <v>16</v>
      </c>
      <c r="AS41" s="24" t="s">
        <v>17</v>
      </c>
      <c r="AT41" s="25">
        <v>2081.0</v>
      </c>
      <c r="AU41" s="25">
        <v>9.0</v>
      </c>
      <c r="AV41" s="26">
        <v>410919.66</v>
      </c>
    </row>
    <row r="42" ht="22.5" customHeight="1">
      <c r="A42" s="22" t="s">
        <v>18</v>
      </c>
      <c r="B42" s="23">
        <v>45863.0</v>
      </c>
      <c r="C42" s="24" t="s">
        <v>16</v>
      </c>
      <c r="D42" s="24" t="s">
        <v>17</v>
      </c>
      <c r="E42" s="25">
        <v>2084.0</v>
      </c>
      <c r="F42" s="25">
        <v>5.0</v>
      </c>
      <c r="G42" s="26">
        <v>92805.25</v>
      </c>
      <c r="I42" s="27" t="s">
        <v>23</v>
      </c>
      <c r="J42" s="28">
        <v>45840.0</v>
      </c>
      <c r="K42" s="30" t="s">
        <v>54</v>
      </c>
      <c r="L42" s="30" t="s">
        <v>20</v>
      </c>
      <c r="M42" s="31" t="s">
        <v>55</v>
      </c>
      <c r="N42" s="32">
        <v>1.0</v>
      </c>
      <c r="O42" s="33">
        <v>19954.0</v>
      </c>
      <c r="P42" s="34">
        <f t="shared" si="1"/>
        <v>85630.3</v>
      </c>
      <c r="R42" s="35"/>
      <c r="S42" s="36"/>
      <c r="T42" s="41"/>
      <c r="U42" s="37"/>
      <c r="V42" s="2"/>
      <c r="W42" s="38"/>
      <c r="X42" s="47"/>
      <c r="AP42" s="22" t="s">
        <v>18</v>
      </c>
      <c r="AQ42" s="23">
        <v>45863.0</v>
      </c>
      <c r="AR42" s="24" t="s">
        <v>16</v>
      </c>
      <c r="AS42" s="24" t="s">
        <v>17</v>
      </c>
      <c r="AT42" s="25">
        <v>2084.0</v>
      </c>
      <c r="AU42" s="25">
        <v>5.0</v>
      </c>
      <c r="AV42" s="26">
        <v>92805.25</v>
      </c>
    </row>
    <row r="43" ht="22.5" customHeight="1">
      <c r="A43" s="42" t="s">
        <v>23</v>
      </c>
      <c r="B43" s="43">
        <v>45863.0</v>
      </c>
      <c r="C43" s="44" t="s">
        <v>16</v>
      </c>
      <c r="D43" s="44" t="s">
        <v>17</v>
      </c>
      <c r="E43" s="45">
        <v>2084.0</v>
      </c>
      <c r="F43" s="45">
        <v>5.0</v>
      </c>
      <c r="G43" s="46">
        <v>92805.25</v>
      </c>
      <c r="I43" s="27" t="s">
        <v>25</v>
      </c>
      <c r="J43" s="28">
        <v>45840.0</v>
      </c>
      <c r="K43" s="30" t="s">
        <v>54</v>
      </c>
      <c r="L43" s="30" t="s">
        <v>20</v>
      </c>
      <c r="M43" s="31" t="s">
        <v>55</v>
      </c>
      <c r="N43" s="32">
        <v>0.5</v>
      </c>
      <c r="O43" s="33">
        <v>22828.87</v>
      </c>
      <c r="P43" s="34">
        <f t="shared" si="1"/>
        <v>85630.3</v>
      </c>
      <c r="R43" s="35"/>
      <c r="S43" s="36"/>
      <c r="T43" s="37"/>
      <c r="U43" s="37"/>
      <c r="V43" s="2"/>
      <c r="W43" s="38"/>
      <c r="X43" s="47"/>
      <c r="AP43" s="42" t="s">
        <v>23</v>
      </c>
      <c r="AQ43" s="43">
        <v>45863.0</v>
      </c>
      <c r="AR43" s="44" t="s">
        <v>16</v>
      </c>
      <c r="AS43" s="44" t="s">
        <v>17</v>
      </c>
      <c r="AT43" s="45">
        <v>2084.0</v>
      </c>
      <c r="AU43" s="45">
        <v>5.0</v>
      </c>
      <c r="AV43" s="46">
        <v>92805.25</v>
      </c>
    </row>
    <row r="44" ht="22.5" customHeight="1">
      <c r="A44" s="22" t="s">
        <v>25</v>
      </c>
      <c r="B44" s="23">
        <v>45863.0</v>
      </c>
      <c r="C44" s="24" t="s">
        <v>16</v>
      </c>
      <c r="D44" s="24" t="s">
        <v>17</v>
      </c>
      <c r="E44" s="25">
        <v>2084.0</v>
      </c>
      <c r="F44" s="25">
        <v>5.0</v>
      </c>
      <c r="G44" s="26">
        <v>228288.7</v>
      </c>
      <c r="I44" s="27" t="s">
        <v>40</v>
      </c>
      <c r="J44" s="28">
        <v>45840.0</v>
      </c>
      <c r="K44" s="30" t="s">
        <v>54</v>
      </c>
      <c r="L44" s="30" t="s">
        <v>20</v>
      </c>
      <c r="M44" s="31" t="s">
        <v>55</v>
      </c>
      <c r="N44" s="32">
        <v>0.5</v>
      </c>
      <c r="O44" s="33">
        <v>22828.87</v>
      </c>
      <c r="P44" s="34">
        <f t="shared" si="1"/>
        <v>85630.3</v>
      </c>
      <c r="R44" s="40"/>
      <c r="S44" s="48"/>
      <c r="T44" s="49"/>
      <c r="U44" s="49"/>
      <c r="V44" s="50"/>
      <c r="W44" s="51"/>
      <c r="X44" s="52"/>
      <c r="AP44" s="22" t="s">
        <v>25</v>
      </c>
      <c r="AQ44" s="23">
        <v>45863.0</v>
      </c>
      <c r="AR44" s="24" t="s">
        <v>16</v>
      </c>
      <c r="AS44" s="24" t="s">
        <v>17</v>
      </c>
      <c r="AT44" s="25">
        <v>2084.0</v>
      </c>
      <c r="AU44" s="25">
        <v>5.0</v>
      </c>
      <c r="AV44" s="26">
        <v>228288.7</v>
      </c>
    </row>
    <row r="45" ht="22.5" customHeight="1">
      <c r="A45" s="42" t="s">
        <v>40</v>
      </c>
      <c r="B45" s="43">
        <v>45863.0</v>
      </c>
      <c r="C45" s="44" t="s">
        <v>16</v>
      </c>
      <c r="D45" s="44" t="s">
        <v>17</v>
      </c>
      <c r="E45" s="45">
        <v>2084.0</v>
      </c>
      <c r="F45" s="45">
        <v>5.0</v>
      </c>
      <c r="G45" s="46">
        <v>228288.7</v>
      </c>
      <c r="I45" s="27" t="s">
        <v>31</v>
      </c>
      <c r="J45" s="28">
        <v>45840.0</v>
      </c>
      <c r="K45" s="30" t="s">
        <v>54</v>
      </c>
      <c r="L45" s="30" t="s">
        <v>20</v>
      </c>
      <c r="M45" s="31" t="s">
        <v>55</v>
      </c>
      <c r="N45" s="32">
        <v>0.5</v>
      </c>
      <c r="O45" s="33">
        <v>20018.56</v>
      </c>
      <c r="P45" s="34">
        <f t="shared" si="1"/>
        <v>85630.3</v>
      </c>
      <c r="R45" s="35"/>
      <c r="S45" s="36"/>
      <c r="T45" s="37"/>
      <c r="U45" s="37"/>
      <c r="V45" s="2"/>
      <c r="W45" s="2"/>
      <c r="X45" s="47"/>
      <c r="AP45" s="42" t="s">
        <v>40</v>
      </c>
      <c r="AQ45" s="43">
        <v>45863.0</v>
      </c>
      <c r="AR45" s="44" t="s">
        <v>16</v>
      </c>
      <c r="AS45" s="44" t="s">
        <v>17</v>
      </c>
      <c r="AT45" s="45">
        <v>2084.0</v>
      </c>
      <c r="AU45" s="45">
        <v>5.0</v>
      </c>
      <c r="AV45" s="46">
        <v>228288.7</v>
      </c>
    </row>
    <row r="46" ht="22.5" customHeight="1">
      <c r="A46" s="22" t="s">
        <v>28</v>
      </c>
      <c r="B46" s="23">
        <v>45863.0</v>
      </c>
      <c r="C46" s="24" t="s">
        <v>16</v>
      </c>
      <c r="D46" s="24" t="s">
        <v>17</v>
      </c>
      <c r="E46" s="25">
        <v>2084.0</v>
      </c>
      <c r="F46" s="25">
        <v>20.0</v>
      </c>
      <c r="G46" s="26">
        <v>606722.0</v>
      </c>
      <c r="I46" s="27" t="s">
        <v>18</v>
      </c>
      <c r="J46" s="28">
        <v>45840.0</v>
      </c>
      <c r="K46" s="29" t="s">
        <v>56</v>
      </c>
      <c r="L46" s="30" t="s">
        <v>20</v>
      </c>
      <c r="M46" s="31" t="s">
        <v>57</v>
      </c>
      <c r="N46" s="32">
        <v>1.0</v>
      </c>
      <c r="O46" s="33">
        <v>18561.05</v>
      </c>
      <c r="P46" s="34">
        <f t="shared" si="1"/>
        <v>37122.1</v>
      </c>
      <c r="AP46" s="22" t="s">
        <v>28</v>
      </c>
      <c r="AQ46" s="23">
        <v>45863.0</v>
      </c>
      <c r="AR46" s="24" t="s">
        <v>16</v>
      </c>
      <c r="AS46" s="24" t="s">
        <v>17</v>
      </c>
      <c r="AT46" s="25">
        <v>2084.0</v>
      </c>
      <c r="AU46" s="25">
        <v>20.0</v>
      </c>
      <c r="AV46" s="26">
        <v>606722.0</v>
      </c>
    </row>
    <row r="47" ht="22.5" customHeight="1">
      <c r="A47" s="42" t="s">
        <v>47</v>
      </c>
      <c r="B47" s="43">
        <v>45863.0</v>
      </c>
      <c r="C47" s="44" t="s">
        <v>16</v>
      </c>
      <c r="D47" s="44" t="s">
        <v>17</v>
      </c>
      <c r="E47" s="45">
        <v>2084.0</v>
      </c>
      <c r="F47" s="45">
        <v>20.0</v>
      </c>
      <c r="G47" s="46">
        <v>606722.0</v>
      </c>
      <c r="I47" s="27" t="s">
        <v>23</v>
      </c>
      <c r="J47" s="28">
        <v>45840.0</v>
      </c>
      <c r="K47" s="29" t="s">
        <v>56</v>
      </c>
      <c r="L47" s="30" t="s">
        <v>20</v>
      </c>
      <c r="M47" s="31" t="s">
        <v>57</v>
      </c>
      <c r="N47" s="32">
        <v>1.0</v>
      </c>
      <c r="O47" s="33">
        <v>18561.05</v>
      </c>
      <c r="P47" s="34">
        <f t="shared" si="1"/>
        <v>37122.1</v>
      </c>
      <c r="AP47" s="42" t="s">
        <v>47</v>
      </c>
      <c r="AQ47" s="43">
        <v>45863.0</v>
      </c>
      <c r="AR47" s="44" t="s">
        <v>16</v>
      </c>
      <c r="AS47" s="44" t="s">
        <v>17</v>
      </c>
      <c r="AT47" s="45">
        <v>2084.0</v>
      </c>
      <c r="AU47" s="45">
        <v>20.0</v>
      </c>
      <c r="AV47" s="46">
        <v>606722.0</v>
      </c>
    </row>
    <row r="48" ht="22.5" customHeight="1">
      <c r="A48" s="42" t="s">
        <v>23</v>
      </c>
      <c r="B48" s="43">
        <v>45867.0</v>
      </c>
      <c r="C48" s="44" t="s">
        <v>16</v>
      </c>
      <c r="D48" s="44" t="s">
        <v>17</v>
      </c>
      <c r="E48" s="45">
        <v>2088.0</v>
      </c>
      <c r="F48" s="45">
        <v>10.0</v>
      </c>
      <c r="G48" s="46">
        <v>185610.5</v>
      </c>
      <c r="I48" s="27" t="s">
        <v>18</v>
      </c>
      <c r="J48" s="28">
        <v>45840.0</v>
      </c>
      <c r="K48" s="30" t="s">
        <v>58</v>
      </c>
      <c r="L48" s="30" t="s">
        <v>20</v>
      </c>
      <c r="M48" s="31" t="s">
        <v>59</v>
      </c>
      <c r="N48" s="32">
        <v>1.0</v>
      </c>
      <c r="O48" s="33">
        <v>18561.05</v>
      </c>
      <c r="P48" s="34">
        <f t="shared" si="1"/>
        <v>37122.1</v>
      </c>
      <c r="AP48" s="42" t="s">
        <v>23</v>
      </c>
      <c r="AQ48" s="43">
        <v>45867.0</v>
      </c>
      <c r="AR48" s="44" t="s">
        <v>16</v>
      </c>
      <c r="AS48" s="44" t="s">
        <v>17</v>
      </c>
      <c r="AT48" s="45">
        <v>2088.0</v>
      </c>
      <c r="AU48" s="45">
        <v>10.0</v>
      </c>
      <c r="AV48" s="46">
        <v>185610.5</v>
      </c>
    </row>
    <row r="49" ht="22.5" customHeight="1">
      <c r="A49" s="22" t="s">
        <v>25</v>
      </c>
      <c r="B49" s="23">
        <v>45867.0</v>
      </c>
      <c r="C49" s="24" t="s">
        <v>16</v>
      </c>
      <c r="D49" s="24" t="s">
        <v>17</v>
      </c>
      <c r="E49" s="25">
        <v>2088.0</v>
      </c>
      <c r="F49" s="25">
        <v>10.0</v>
      </c>
      <c r="G49" s="26">
        <v>456577.4</v>
      </c>
      <c r="I49" s="27" t="s">
        <v>23</v>
      </c>
      <c r="J49" s="28">
        <v>45840.0</v>
      </c>
      <c r="K49" s="30" t="s">
        <v>58</v>
      </c>
      <c r="L49" s="30" t="s">
        <v>20</v>
      </c>
      <c r="M49" s="31" t="s">
        <v>59</v>
      </c>
      <c r="N49" s="32">
        <v>1.0</v>
      </c>
      <c r="O49" s="33">
        <v>18561.05</v>
      </c>
      <c r="P49" s="34">
        <f t="shared" si="1"/>
        <v>37122.1</v>
      </c>
      <c r="AP49" s="22" t="s">
        <v>25</v>
      </c>
      <c r="AQ49" s="23">
        <v>45867.0</v>
      </c>
      <c r="AR49" s="24" t="s">
        <v>16</v>
      </c>
      <c r="AS49" s="24" t="s">
        <v>17</v>
      </c>
      <c r="AT49" s="25">
        <v>2088.0</v>
      </c>
      <c r="AU49" s="25">
        <v>10.0</v>
      </c>
      <c r="AV49" s="26">
        <v>456577.4</v>
      </c>
    </row>
    <row r="50" ht="22.5" customHeight="1">
      <c r="A50" s="42" t="s">
        <v>40</v>
      </c>
      <c r="B50" s="43">
        <v>45867.0</v>
      </c>
      <c r="C50" s="44" t="s">
        <v>16</v>
      </c>
      <c r="D50" s="44" t="s">
        <v>17</v>
      </c>
      <c r="E50" s="45">
        <v>2088.0</v>
      </c>
      <c r="F50" s="45">
        <v>5.0</v>
      </c>
      <c r="G50" s="46">
        <v>228288.7</v>
      </c>
      <c r="I50" s="27" t="s">
        <v>25</v>
      </c>
      <c r="J50" s="28">
        <v>45841.0</v>
      </c>
      <c r="K50" s="30" t="s">
        <v>60</v>
      </c>
      <c r="L50" s="30" t="s">
        <v>20</v>
      </c>
      <c r="M50" s="31" t="s">
        <v>61</v>
      </c>
      <c r="N50" s="32">
        <v>0.5</v>
      </c>
      <c r="O50" s="33">
        <v>22828.87</v>
      </c>
      <c r="P50" s="34">
        <f t="shared" si="1"/>
        <v>22828.87</v>
      </c>
      <c r="AP50" s="42" t="s">
        <v>40</v>
      </c>
      <c r="AQ50" s="43">
        <v>45867.0</v>
      </c>
      <c r="AR50" s="44" t="s">
        <v>16</v>
      </c>
      <c r="AS50" s="44" t="s">
        <v>17</v>
      </c>
      <c r="AT50" s="45">
        <v>2088.0</v>
      </c>
      <c r="AU50" s="45">
        <v>5.0</v>
      </c>
      <c r="AV50" s="46">
        <v>228288.7</v>
      </c>
    </row>
    <row r="51" ht="22.5" customHeight="1">
      <c r="A51" s="22" t="s">
        <v>27</v>
      </c>
      <c r="B51" s="23">
        <v>45867.0</v>
      </c>
      <c r="C51" s="24" t="s">
        <v>16</v>
      </c>
      <c r="D51" s="24" t="s">
        <v>17</v>
      </c>
      <c r="E51" s="25">
        <v>2088.0</v>
      </c>
      <c r="F51" s="25">
        <v>10.0</v>
      </c>
      <c r="G51" s="26">
        <v>400371.1</v>
      </c>
      <c r="I51" s="27" t="s">
        <v>25</v>
      </c>
      <c r="J51" s="28">
        <v>45841.0</v>
      </c>
      <c r="K51" s="29" t="s">
        <v>62</v>
      </c>
      <c r="L51" s="30" t="s">
        <v>20</v>
      </c>
      <c r="M51" s="31" t="s">
        <v>63</v>
      </c>
      <c r="N51" s="32">
        <v>1.0</v>
      </c>
      <c r="O51" s="33">
        <v>45657.74</v>
      </c>
      <c r="P51" s="34">
        <f t="shared" si="1"/>
        <v>45657.74</v>
      </c>
      <c r="AP51" s="22" t="s">
        <v>27</v>
      </c>
      <c r="AQ51" s="23">
        <v>45867.0</v>
      </c>
      <c r="AR51" s="24" t="s">
        <v>16</v>
      </c>
      <c r="AS51" s="24" t="s">
        <v>17</v>
      </c>
      <c r="AT51" s="25">
        <v>2088.0</v>
      </c>
      <c r="AU51" s="25">
        <v>10.0</v>
      </c>
      <c r="AV51" s="26">
        <v>400371.1</v>
      </c>
    </row>
    <row r="52" ht="22.5" customHeight="1">
      <c r="A52" s="22" t="s">
        <v>31</v>
      </c>
      <c r="B52" s="23">
        <v>45867.0</v>
      </c>
      <c r="C52" s="24" t="s">
        <v>16</v>
      </c>
      <c r="D52" s="24" t="s">
        <v>17</v>
      </c>
      <c r="E52" s="25">
        <v>2088.0</v>
      </c>
      <c r="F52" s="25">
        <v>5.0</v>
      </c>
      <c r="G52" s="26">
        <v>200185.55</v>
      </c>
      <c r="I52" s="27" t="s">
        <v>25</v>
      </c>
      <c r="J52" s="28">
        <v>45841.0</v>
      </c>
      <c r="K52" s="29" t="s">
        <v>64</v>
      </c>
      <c r="L52" s="30" t="s">
        <v>20</v>
      </c>
      <c r="M52" s="31" t="s">
        <v>65</v>
      </c>
      <c r="N52" s="32">
        <v>1.0</v>
      </c>
      <c r="O52" s="33">
        <v>45657.74</v>
      </c>
      <c r="P52" s="34">
        <f t="shared" si="1"/>
        <v>45657.74</v>
      </c>
      <c r="AP52" s="22" t="s">
        <v>31</v>
      </c>
      <c r="AQ52" s="23">
        <v>45867.0</v>
      </c>
      <c r="AR52" s="24" t="s">
        <v>16</v>
      </c>
      <c r="AS52" s="24" t="s">
        <v>17</v>
      </c>
      <c r="AT52" s="25">
        <v>2088.0</v>
      </c>
      <c r="AU52" s="25">
        <v>5.0</v>
      </c>
      <c r="AV52" s="26">
        <v>200185.55</v>
      </c>
    </row>
    <row r="53" ht="22.5" customHeight="1">
      <c r="A53" s="22" t="s">
        <v>28</v>
      </c>
      <c r="B53" s="23">
        <v>45867.0</v>
      </c>
      <c r="C53" s="24" t="s">
        <v>16</v>
      </c>
      <c r="D53" s="24" t="s">
        <v>17</v>
      </c>
      <c r="E53" s="25">
        <v>2088.0</v>
      </c>
      <c r="F53" s="25">
        <v>10.0</v>
      </c>
      <c r="G53" s="26">
        <v>303361.0</v>
      </c>
      <c r="I53" s="27" t="s">
        <v>15</v>
      </c>
      <c r="J53" s="28">
        <v>45841.0</v>
      </c>
      <c r="K53" s="30" t="s">
        <v>66</v>
      </c>
      <c r="L53" s="30" t="s">
        <v>20</v>
      </c>
      <c r="M53" s="31" t="s">
        <v>67</v>
      </c>
      <c r="N53" s="32">
        <v>1.0</v>
      </c>
      <c r="O53" s="33">
        <v>42241.34</v>
      </c>
      <c r="P53" s="34">
        <f t="shared" si="1"/>
        <v>383160.25</v>
      </c>
      <c r="AP53" s="22" t="s">
        <v>28</v>
      </c>
      <c r="AQ53" s="23">
        <v>45867.0</v>
      </c>
      <c r="AR53" s="24" t="s">
        <v>16</v>
      </c>
      <c r="AS53" s="24" t="s">
        <v>17</v>
      </c>
      <c r="AT53" s="25">
        <v>2088.0</v>
      </c>
      <c r="AU53" s="25">
        <v>10.0</v>
      </c>
      <c r="AV53" s="26">
        <v>303361.0</v>
      </c>
    </row>
    <row r="54" ht="22.5" customHeight="1">
      <c r="A54" s="22" t="s">
        <v>18</v>
      </c>
      <c r="B54" s="23">
        <v>45839.0</v>
      </c>
      <c r="C54" s="53" t="s">
        <v>19</v>
      </c>
      <c r="D54" s="24" t="s">
        <v>20</v>
      </c>
      <c r="E54" s="25" t="s">
        <v>21</v>
      </c>
      <c r="F54" s="25">
        <v>2.0</v>
      </c>
      <c r="G54" s="26">
        <v>37122.1</v>
      </c>
      <c r="I54" s="27" t="s">
        <v>22</v>
      </c>
      <c r="J54" s="28">
        <v>45841.0</v>
      </c>
      <c r="K54" s="30" t="s">
        <v>66</v>
      </c>
      <c r="L54" s="30" t="s">
        <v>20</v>
      </c>
      <c r="M54" s="31" t="s">
        <v>67</v>
      </c>
      <c r="N54" s="32">
        <v>1.0</v>
      </c>
      <c r="O54" s="33">
        <v>42241.34</v>
      </c>
      <c r="P54" s="34">
        <f t="shared" si="1"/>
        <v>383160.25</v>
      </c>
      <c r="AP54" s="35"/>
      <c r="AQ54" s="36"/>
      <c r="AR54" s="37"/>
      <c r="AS54" s="37"/>
      <c r="AT54" s="2"/>
      <c r="AU54" s="38"/>
      <c r="AV54" s="39"/>
    </row>
    <row r="55" ht="22.5" customHeight="1">
      <c r="A55" s="22" t="s">
        <v>23</v>
      </c>
      <c r="B55" s="23">
        <v>45839.0</v>
      </c>
      <c r="C55" s="53" t="s">
        <v>19</v>
      </c>
      <c r="D55" s="24" t="s">
        <v>20</v>
      </c>
      <c r="E55" s="25" t="s">
        <v>21</v>
      </c>
      <c r="F55" s="25">
        <v>1.0</v>
      </c>
      <c r="G55" s="26">
        <v>18561.05</v>
      </c>
      <c r="I55" s="27" t="s">
        <v>24</v>
      </c>
      <c r="J55" s="28">
        <v>45841.0</v>
      </c>
      <c r="K55" s="30" t="s">
        <v>66</v>
      </c>
      <c r="L55" s="30" t="s">
        <v>20</v>
      </c>
      <c r="M55" s="31" t="s">
        <v>67</v>
      </c>
      <c r="N55" s="32">
        <v>1.0</v>
      </c>
      <c r="O55" s="33">
        <v>36105.91</v>
      </c>
      <c r="P55" s="34">
        <f t="shared" si="1"/>
        <v>383160.25</v>
      </c>
      <c r="AP55" s="35"/>
      <c r="AQ55" s="36"/>
      <c r="AR55" s="37"/>
      <c r="AS55" s="37"/>
      <c r="AT55" s="2"/>
      <c r="AU55" s="38"/>
      <c r="AV55" s="39"/>
    </row>
    <row r="56" ht="22.5" customHeight="1">
      <c r="A56" s="22" t="s">
        <v>25</v>
      </c>
      <c r="B56" s="23">
        <v>45839.0</v>
      </c>
      <c r="C56" s="53" t="s">
        <v>19</v>
      </c>
      <c r="D56" s="24" t="s">
        <v>20</v>
      </c>
      <c r="E56" s="25" t="s">
        <v>21</v>
      </c>
      <c r="F56" s="25">
        <v>1.0</v>
      </c>
      <c r="G56" s="26">
        <v>45657.74</v>
      </c>
      <c r="I56" s="27" t="s">
        <v>26</v>
      </c>
      <c r="J56" s="28">
        <v>45841.0</v>
      </c>
      <c r="K56" s="30" t="s">
        <v>66</v>
      </c>
      <c r="L56" s="30" t="s">
        <v>20</v>
      </c>
      <c r="M56" s="31" t="s">
        <v>67</v>
      </c>
      <c r="N56" s="32">
        <v>1.0</v>
      </c>
      <c r="O56" s="33">
        <v>36105.91</v>
      </c>
      <c r="P56" s="34">
        <f t="shared" si="1"/>
        <v>383160.25</v>
      </c>
      <c r="AP56" s="35"/>
      <c r="AQ56" s="36"/>
      <c r="AR56" s="37"/>
      <c r="AS56" s="37"/>
      <c r="AT56" s="2"/>
      <c r="AU56" s="38"/>
      <c r="AV56" s="39"/>
    </row>
    <row r="57" ht="22.5" customHeight="1">
      <c r="A57" s="22" t="s">
        <v>27</v>
      </c>
      <c r="B57" s="23">
        <v>45839.0</v>
      </c>
      <c r="C57" s="53" t="s">
        <v>19</v>
      </c>
      <c r="D57" s="24" t="s">
        <v>20</v>
      </c>
      <c r="E57" s="25" t="s">
        <v>21</v>
      </c>
      <c r="F57" s="25">
        <v>1.0</v>
      </c>
      <c r="G57" s="26">
        <v>40037.11</v>
      </c>
      <c r="I57" s="27" t="s">
        <v>18</v>
      </c>
      <c r="J57" s="28">
        <v>45841.0</v>
      </c>
      <c r="K57" s="30" t="s">
        <v>66</v>
      </c>
      <c r="L57" s="30" t="s">
        <v>20</v>
      </c>
      <c r="M57" s="31" t="s">
        <v>67</v>
      </c>
      <c r="N57" s="32">
        <v>1.0</v>
      </c>
      <c r="O57" s="33">
        <v>19954.0</v>
      </c>
      <c r="P57" s="34">
        <f t="shared" si="1"/>
        <v>383160.25</v>
      </c>
      <c r="AP57" s="35"/>
      <c r="AQ57" s="36"/>
      <c r="AR57" s="37"/>
      <c r="AS57" s="37"/>
      <c r="AT57" s="2"/>
      <c r="AU57" s="38"/>
      <c r="AV57" s="39"/>
    </row>
    <row r="58" ht="22.5" customHeight="1">
      <c r="A58" s="22" t="s">
        <v>28</v>
      </c>
      <c r="B58" s="23">
        <v>45839.0</v>
      </c>
      <c r="C58" s="53" t="s">
        <v>19</v>
      </c>
      <c r="D58" s="24" t="s">
        <v>20</v>
      </c>
      <c r="E58" s="25" t="s">
        <v>21</v>
      </c>
      <c r="F58" s="25">
        <v>2.0</v>
      </c>
      <c r="G58" s="26">
        <v>60672.2</v>
      </c>
      <c r="I58" s="27" t="s">
        <v>23</v>
      </c>
      <c r="J58" s="28">
        <v>45841.0</v>
      </c>
      <c r="K58" s="30" t="s">
        <v>66</v>
      </c>
      <c r="L58" s="30" t="s">
        <v>20</v>
      </c>
      <c r="M58" s="31" t="s">
        <v>67</v>
      </c>
      <c r="N58" s="32">
        <v>1.0</v>
      </c>
      <c r="O58" s="33">
        <v>19954.0</v>
      </c>
      <c r="P58" s="34">
        <f t="shared" si="1"/>
        <v>383160.25</v>
      </c>
      <c r="AP58" s="35"/>
      <c r="AQ58" s="36"/>
      <c r="AR58" s="37"/>
      <c r="AS58" s="37"/>
      <c r="AT58" s="2"/>
      <c r="AU58" s="38"/>
      <c r="AV58" s="39"/>
    </row>
    <row r="59" ht="22.5" customHeight="1">
      <c r="A59" s="22" t="s">
        <v>25</v>
      </c>
      <c r="B59" s="23">
        <v>45839.0</v>
      </c>
      <c r="C59" s="53" t="s">
        <v>29</v>
      </c>
      <c r="D59" s="24" t="s">
        <v>20</v>
      </c>
      <c r="E59" s="25" t="s">
        <v>30</v>
      </c>
      <c r="F59" s="25">
        <v>1.0</v>
      </c>
      <c r="G59" s="26">
        <v>45657.74</v>
      </c>
      <c r="I59" s="27" t="s">
        <v>25</v>
      </c>
      <c r="J59" s="28">
        <v>45841.0</v>
      </c>
      <c r="K59" s="30" t="s">
        <v>66</v>
      </c>
      <c r="L59" s="30" t="s">
        <v>20</v>
      </c>
      <c r="M59" s="31" t="s">
        <v>67</v>
      </c>
      <c r="N59" s="32">
        <v>1.0</v>
      </c>
      <c r="O59" s="33">
        <v>45657.74</v>
      </c>
      <c r="P59" s="34">
        <f t="shared" si="1"/>
        <v>383160.25</v>
      </c>
      <c r="AP59" s="35"/>
      <c r="AQ59" s="36"/>
      <c r="AR59" s="37"/>
      <c r="AS59" s="37"/>
      <c r="AT59" s="2"/>
      <c r="AU59" s="38"/>
      <c r="AV59" s="39"/>
    </row>
    <row r="60" ht="22.5" customHeight="1">
      <c r="A60" s="22" t="s">
        <v>27</v>
      </c>
      <c r="B60" s="23">
        <v>45839.0</v>
      </c>
      <c r="C60" s="53" t="s">
        <v>29</v>
      </c>
      <c r="D60" s="24" t="s">
        <v>20</v>
      </c>
      <c r="E60" s="25" t="s">
        <v>30</v>
      </c>
      <c r="F60" s="25">
        <v>1.0</v>
      </c>
      <c r="G60" s="26">
        <v>40037.11</v>
      </c>
      <c r="I60" s="27" t="s">
        <v>40</v>
      </c>
      <c r="J60" s="28">
        <v>45841.0</v>
      </c>
      <c r="K60" s="30" t="s">
        <v>66</v>
      </c>
      <c r="L60" s="30" t="s">
        <v>20</v>
      </c>
      <c r="M60" s="31" t="s">
        <v>67</v>
      </c>
      <c r="N60" s="32">
        <v>1.0</v>
      </c>
      <c r="O60" s="33">
        <v>45657.74</v>
      </c>
      <c r="P60" s="34">
        <f t="shared" si="1"/>
        <v>383160.25</v>
      </c>
      <c r="AP60" s="35"/>
      <c r="AQ60" s="36"/>
      <c r="AR60" s="37"/>
      <c r="AS60" s="37"/>
      <c r="AT60" s="2"/>
      <c r="AU60" s="38"/>
      <c r="AV60" s="39"/>
    </row>
    <row r="61" ht="22.5" customHeight="1">
      <c r="A61" s="22" t="s">
        <v>28</v>
      </c>
      <c r="B61" s="23">
        <v>45839.0</v>
      </c>
      <c r="C61" s="53" t="s">
        <v>29</v>
      </c>
      <c r="D61" s="24" t="s">
        <v>20</v>
      </c>
      <c r="E61" s="25" t="s">
        <v>30</v>
      </c>
      <c r="F61" s="25">
        <v>1.0</v>
      </c>
      <c r="G61" s="26">
        <v>30336.1</v>
      </c>
      <c r="I61" s="27" t="s">
        <v>27</v>
      </c>
      <c r="J61" s="28">
        <v>45841.0</v>
      </c>
      <c r="K61" s="30" t="s">
        <v>66</v>
      </c>
      <c r="L61" s="30" t="s">
        <v>20</v>
      </c>
      <c r="M61" s="31" t="s">
        <v>67</v>
      </c>
      <c r="N61" s="32">
        <v>1.0</v>
      </c>
      <c r="O61" s="33">
        <v>40037.11</v>
      </c>
      <c r="P61" s="34">
        <f t="shared" si="1"/>
        <v>383160.25</v>
      </c>
      <c r="AP61" s="35"/>
      <c r="AQ61" s="36"/>
      <c r="AR61" s="37"/>
      <c r="AS61" s="37"/>
      <c r="AT61" s="2"/>
      <c r="AU61" s="38"/>
      <c r="AV61" s="39"/>
    </row>
    <row r="62" ht="22.5" customHeight="1">
      <c r="A62" s="22" t="s">
        <v>28</v>
      </c>
      <c r="B62" s="23">
        <v>45839.0</v>
      </c>
      <c r="C62" s="24" t="s">
        <v>32</v>
      </c>
      <c r="D62" s="24" t="s">
        <v>20</v>
      </c>
      <c r="E62" s="25" t="s">
        <v>33</v>
      </c>
      <c r="F62" s="25">
        <v>0.5</v>
      </c>
      <c r="G62" s="26">
        <v>15168.05</v>
      </c>
      <c r="I62" s="27" t="s">
        <v>31</v>
      </c>
      <c r="J62" s="28">
        <v>45841.0</v>
      </c>
      <c r="K62" s="30" t="s">
        <v>66</v>
      </c>
      <c r="L62" s="30" t="s">
        <v>20</v>
      </c>
      <c r="M62" s="31" t="s">
        <v>67</v>
      </c>
      <c r="N62" s="32">
        <v>1.0</v>
      </c>
      <c r="O62" s="33">
        <v>40037.11</v>
      </c>
      <c r="P62" s="34">
        <f t="shared" si="1"/>
        <v>383160.25</v>
      </c>
      <c r="AP62" s="35"/>
      <c r="AQ62" s="36"/>
      <c r="AR62" s="37"/>
      <c r="AS62" s="37"/>
      <c r="AT62" s="2"/>
      <c r="AU62" s="38"/>
      <c r="AV62" s="39"/>
    </row>
    <row r="63" ht="22.5" customHeight="1">
      <c r="A63" s="22" t="s">
        <v>23</v>
      </c>
      <c r="B63" s="23">
        <v>45840.0</v>
      </c>
      <c r="C63" s="53" t="s">
        <v>34</v>
      </c>
      <c r="D63" s="24" t="s">
        <v>20</v>
      </c>
      <c r="E63" s="25" t="s">
        <v>35</v>
      </c>
      <c r="F63" s="25">
        <v>1.0</v>
      </c>
      <c r="G63" s="26">
        <v>19954.0</v>
      </c>
      <c r="I63" s="27" t="s">
        <v>28</v>
      </c>
      <c r="J63" s="28">
        <v>45841.0</v>
      </c>
      <c r="K63" s="30" t="s">
        <v>66</v>
      </c>
      <c r="L63" s="30" t="s">
        <v>20</v>
      </c>
      <c r="M63" s="31" t="s">
        <v>67</v>
      </c>
      <c r="N63" s="32">
        <v>0.5</v>
      </c>
      <c r="O63" s="33">
        <v>15168.05</v>
      </c>
      <c r="P63" s="34">
        <f t="shared" si="1"/>
        <v>383160.25</v>
      </c>
      <c r="AP63" s="35"/>
      <c r="AQ63" s="36"/>
      <c r="AR63" s="37"/>
      <c r="AS63" s="37"/>
      <c r="AT63" s="2"/>
      <c r="AU63" s="38"/>
      <c r="AV63" s="39"/>
    </row>
    <row r="64" ht="22.5" customHeight="1">
      <c r="A64" s="22" t="s">
        <v>28</v>
      </c>
      <c r="B64" s="23">
        <v>45840.0</v>
      </c>
      <c r="C64" s="53" t="s">
        <v>34</v>
      </c>
      <c r="D64" s="24" t="s">
        <v>20</v>
      </c>
      <c r="E64" s="25" t="s">
        <v>35</v>
      </c>
      <c r="F64" s="25">
        <v>0.5</v>
      </c>
      <c r="G64" s="26">
        <v>15168.05</v>
      </c>
      <c r="I64" s="27" t="s">
        <v>27</v>
      </c>
      <c r="J64" s="28">
        <v>45842.0</v>
      </c>
      <c r="K64" s="30" t="s">
        <v>68</v>
      </c>
      <c r="L64" s="30" t="s">
        <v>20</v>
      </c>
      <c r="M64" s="31" t="s">
        <v>69</v>
      </c>
      <c r="N64" s="32">
        <v>0.5</v>
      </c>
      <c r="O64" s="33">
        <v>20018.56</v>
      </c>
      <c r="P64" s="34">
        <f t="shared" si="1"/>
        <v>20018.56</v>
      </c>
      <c r="AP64" s="35"/>
      <c r="AQ64" s="36"/>
      <c r="AR64" s="37"/>
      <c r="AS64" s="37"/>
      <c r="AT64" s="2"/>
      <c r="AU64" s="38"/>
      <c r="AV64" s="39"/>
    </row>
    <row r="65" ht="22.5" customHeight="1">
      <c r="A65" s="22" t="s">
        <v>25</v>
      </c>
      <c r="B65" s="23">
        <v>45840.0</v>
      </c>
      <c r="C65" s="24" t="s">
        <v>36</v>
      </c>
      <c r="D65" s="24" t="s">
        <v>20</v>
      </c>
      <c r="E65" s="25" t="s">
        <v>37</v>
      </c>
      <c r="F65" s="25">
        <v>1.0</v>
      </c>
      <c r="G65" s="26">
        <v>45657.74</v>
      </c>
      <c r="I65" s="27" t="s">
        <v>18</v>
      </c>
      <c r="J65" s="28">
        <v>45842.0</v>
      </c>
      <c r="K65" s="30" t="s">
        <v>70</v>
      </c>
      <c r="L65" s="30" t="s">
        <v>20</v>
      </c>
      <c r="M65" s="31" t="s">
        <v>71</v>
      </c>
      <c r="N65" s="32">
        <v>1.0</v>
      </c>
      <c r="O65" s="33">
        <v>18561.05</v>
      </c>
      <c r="P65" s="34">
        <f t="shared" si="1"/>
        <v>181415.11</v>
      </c>
      <c r="AP65" s="35"/>
      <c r="AQ65" s="36"/>
      <c r="AR65" s="37"/>
      <c r="AS65" s="37"/>
      <c r="AT65" s="2"/>
      <c r="AU65" s="38"/>
      <c r="AV65" s="39"/>
    </row>
    <row r="66" ht="22.5" customHeight="1">
      <c r="A66" s="22" t="s">
        <v>28</v>
      </c>
      <c r="B66" s="23">
        <v>45840.0</v>
      </c>
      <c r="C66" s="24" t="s">
        <v>36</v>
      </c>
      <c r="D66" s="24" t="s">
        <v>20</v>
      </c>
      <c r="E66" s="25" t="s">
        <v>37</v>
      </c>
      <c r="F66" s="25">
        <v>0.5</v>
      </c>
      <c r="G66" s="26">
        <v>15168.05</v>
      </c>
      <c r="I66" s="27" t="s">
        <v>23</v>
      </c>
      <c r="J66" s="28">
        <v>45842.0</v>
      </c>
      <c r="K66" s="30" t="s">
        <v>70</v>
      </c>
      <c r="L66" s="30" t="s">
        <v>20</v>
      </c>
      <c r="M66" s="31" t="s">
        <v>71</v>
      </c>
      <c r="N66" s="32">
        <v>2.0</v>
      </c>
      <c r="O66" s="33">
        <v>37122.1</v>
      </c>
      <c r="P66" s="34">
        <f t="shared" si="1"/>
        <v>181415.11</v>
      </c>
      <c r="AP66" s="35"/>
      <c r="AQ66" s="36"/>
      <c r="AR66" s="37"/>
      <c r="AS66" s="37"/>
      <c r="AT66" s="2"/>
      <c r="AU66" s="38"/>
      <c r="AV66" s="39"/>
    </row>
    <row r="67" ht="22.5" customHeight="1">
      <c r="A67" s="22" t="s">
        <v>25</v>
      </c>
      <c r="B67" s="23">
        <v>45840.0</v>
      </c>
      <c r="C67" s="53" t="s">
        <v>38</v>
      </c>
      <c r="D67" s="24" t="s">
        <v>20</v>
      </c>
      <c r="E67" s="25" t="s">
        <v>39</v>
      </c>
      <c r="F67" s="25">
        <v>0.5</v>
      </c>
      <c r="G67" s="26">
        <v>22828.87</v>
      </c>
      <c r="I67" s="27" t="s">
        <v>25</v>
      </c>
      <c r="J67" s="28">
        <v>45842.0</v>
      </c>
      <c r="K67" s="30" t="s">
        <v>70</v>
      </c>
      <c r="L67" s="30" t="s">
        <v>20</v>
      </c>
      <c r="M67" s="31" t="s">
        <v>71</v>
      </c>
      <c r="N67" s="32">
        <v>1.0</v>
      </c>
      <c r="O67" s="33">
        <v>45657.74</v>
      </c>
      <c r="P67" s="34">
        <f t="shared" si="1"/>
        <v>181415.11</v>
      </c>
      <c r="AP67" s="35"/>
      <c r="AQ67" s="36"/>
      <c r="AR67" s="37"/>
      <c r="AS67" s="37"/>
      <c r="AT67" s="2"/>
      <c r="AU67" s="38"/>
      <c r="AV67" s="39"/>
    </row>
    <row r="68" ht="22.5" customHeight="1">
      <c r="A68" s="22" t="s">
        <v>40</v>
      </c>
      <c r="B68" s="23">
        <v>45840.0</v>
      </c>
      <c r="C68" s="53" t="s">
        <v>38</v>
      </c>
      <c r="D68" s="24" t="s">
        <v>20</v>
      </c>
      <c r="E68" s="25" t="s">
        <v>39</v>
      </c>
      <c r="F68" s="25">
        <v>0.5</v>
      </c>
      <c r="G68" s="26">
        <v>22828.87</v>
      </c>
      <c r="I68" s="27" t="s">
        <v>27</v>
      </c>
      <c r="J68" s="28">
        <v>45842.0</v>
      </c>
      <c r="K68" s="30" t="s">
        <v>70</v>
      </c>
      <c r="L68" s="30" t="s">
        <v>20</v>
      </c>
      <c r="M68" s="31" t="s">
        <v>71</v>
      </c>
      <c r="N68" s="32">
        <v>1.0</v>
      </c>
      <c r="O68" s="33">
        <v>40037.11</v>
      </c>
      <c r="P68" s="34">
        <f t="shared" si="1"/>
        <v>181415.11</v>
      </c>
      <c r="AP68" s="35"/>
      <c r="AQ68" s="36"/>
      <c r="AR68" s="37"/>
      <c r="AS68" s="37"/>
      <c r="AT68" s="2"/>
      <c r="AU68" s="38"/>
      <c r="AV68" s="39"/>
    </row>
    <row r="69" ht="22.5" customHeight="1">
      <c r="A69" s="22" t="s">
        <v>27</v>
      </c>
      <c r="B69" s="23">
        <v>45840.0</v>
      </c>
      <c r="C69" s="53" t="s">
        <v>38</v>
      </c>
      <c r="D69" s="24" t="s">
        <v>20</v>
      </c>
      <c r="E69" s="25" t="s">
        <v>39</v>
      </c>
      <c r="F69" s="25">
        <v>1.0</v>
      </c>
      <c r="G69" s="26">
        <v>40037.11</v>
      </c>
      <c r="I69" s="27" t="s">
        <v>31</v>
      </c>
      <c r="J69" s="28">
        <v>45842.0</v>
      </c>
      <c r="K69" s="30" t="s">
        <v>70</v>
      </c>
      <c r="L69" s="30" t="s">
        <v>20</v>
      </c>
      <c r="M69" s="31" t="s">
        <v>71</v>
      </c>
      <c r="N69" s="32">
        <v>1.0</v>
      </c>
      <c r="O69" s="33">
        <v>40037.11</v>
      </c>
      <c r="P69" s="34">
        <f t="shared" si="1"/>
        <v>181415.11</v>
      </c>
      <c r="AP69" s="35"/>
      <c r="AQ69" s="36"/>
      <c r="AR69" s="37"/>
      <c r="AS69" s="37"/>
      <c r="AT69" s="2"/>
      <c r="AU69" s="38"/>
      <c r="AV69" s="39"/>
    </row>
    <row r="70" ht="22.5" customHeight="1">
      <c r="A70" s="22" t="s">
        <v>31</v>
      </c>
      <c r="B70" s="23">
        <v>45840.0</v>
      </c>
      <c r="C70" s="53" t="s">
        <v>38</v>
      </c>
      <c r="D70" s="24" t="s">
        <v>20</v>
      </c>
      <c r="E70" s="25" t="s">
        <v>39</v>
      </c>
      <c r="F70" s="25">
        <v>0.5</v>
      </c>
      <c r="G70" s="26">
        <v>20018.56</v>
      </c>
      <c r="I70" s="27" t="s">
        <v>24</v>
      </c>
      <c r="J70" s="28">
        <v>45842.0</v>
      </c>
      <c r="K70" s="29" t="s">
        <v>72</v>
      </c>
      <c r="L70" s="30" t="s">
        <v>20</v>
      </c>
      <c r="M70" s="31" t="s">
        <v>73</v>
      </c>
      <c r="N70" s="32">
        <v>1.0</v>
      </c>
      <c r="O70" s="33">
        <v>36105.91</v>
      </c>
      <c r="P70" s="34">
        <f t="shared" si="1"/>
        <v>189408.14</v>
      </c>
      <c r="AP70" s="35"/>
      <c r="AQ70" s="36"/>
      <c r="AR70" s="37"/>
      <c r="AS70" s="37"/>
      <c r="AT70" s="2"/>
      <c r="AU70" s="38"/>
      <c r="AV70" s="39"/>
    </row>
    <row r="71" ht="22.5" customHeight="1">
      <c r="A71" s="22" t="s">
        <v>28</v>
      </c>
      <c r="B71" s="23">
        <v>45840.0</v>
      </c>
      <c r="C71" s="53" t="s">
        <v>38</v>
      </c>
      <c r="D71" s="24" t="s">
        <v>20</v>
      </c>
      <c r="E71" s="25" t="s">
        <v>39</v>
      </c>
      <c r="F71" s="25">
        <v>0.5</v>
      </c>
      <c r="G71" s="26">
        <v>15168.05</v>
      </c>
      <c r="I71" s="27" t="s">
        <v>26</v>
      </c>
      <c r="J71" s="28">
        <v>45842.0</v>
      </c>
      <c r="K71" s="29" t="s">
        <v>72</v>
      </c>
      <c r="L71" s="30" t="s">
        <v>20</v>
      </c>
      <c r="M71" s="31" t="s">
        <v>73</v>
      </c>
      <c r="N71" s="32">
        <v>1.0</v>
      </c>
      <c r="O71" s="33">
        <v>36105.91</v>
      </c>
      <c r="P71" s="34">
        <f t="shared" si="1"/>
        <v>189408.14</v>
      </c>
      <c r="AP71" s="35"/>
      <c r="AQ71" s="36"/>
      <c r="AR71" s="37"/>
      <c r="AS71" s="37"/>
      <c r="AT71" s="2"/>
      <c r="AU71" s="38"/>
      <c r="AV71" s="39"/>
    </row>
    <row r="72" ht="22.5" customHeight="1">
      <c r="A72" s="22" t="s">
        <v>15</v>
      </c>
      <c r="B72" s="23">
        <v>45840.0</v>
      </c>
      <c r="C72" s="53" t="s">
        <v>41</v>
      </c>
      <c r="D72" s="24" t="s">
        <v>20</v>
      </c>
      <c r="E72" s="25" t="s">
        <v>42</v>
      </c>
      <c r="F72" s="25">
        <v>1.0</v>
      </c>
      <c r="G72" s="26">
        <v>42241.34</v>
      </c>
      <c r="I72" s="27" t="s">
        <v>18</v>
      </c>
      <c r="J72" s="28">
        <v>45842.0</v>
      </c>
      <c r="K72" s="29" t="s">
        <v>72</v>
      </c>
      <c r="L72" s="30" t="s">
        <v>20</v>
      </c>
      <c r="M72" s="31" t="s">
        <v>73</v>
      </c>
      <c r="N72" s="32">
        <v>1.0</v>
      </c>
      <c r="O72" s="33">
        <v>18561.05</v>
      </c>
      <c r="P72" s="34">
        <f t="shared" si="1"/>
        <v>189408.14</v>
      </c>
      <c r="AP72" s="35"/>
      <c r="AQ72" s="36"/>
      <c r="AR72" s="37"/>
      <c r="AS72" s="37"/>
      <c r="AT72" s="2"/>
      <c r="AU72" s="38"/>
      <c r="AV72" s="39"/>
    </row>
    <row r="73" ht="22.5" customHeight="1">
      <c r="A73" s="22" t="s">
        <v>22</v>
      </c>
      <c r="B73" s="23">
        <v>45840.0</v>
      </c>
      <c r="C73" s="53" t="s">
        <v>41</v>
      </c>
      <c r="D73" s="24" t="s">
        <v>20</v>
      </c>
      <c r="E73" s="25" t="s">
        <v>42</v>
      </c>
      <c r="F73" s="25">
        <v>1.0</v>
      </c>
      <c r="G73" s="26">
        <v>42241.34</v>
      </c>
      <c r="I73" s="27" t="s">
        <v>23</v>
      </c>
      <c r="J73" s="28">
        <v>45842.0</v>
      </c>
      <c r="K73" s="29" t="s">
        <v>72</v>
      </c>
      <c r="L73" s="30" t="s">
        <v>20</v>
      </c>
      <c r="M73" s="31" t="s">
        <v>73</v>
      </c>
      <c r="N73" s="32">
        <v>1.0</v>
      </c>
      <c r="O73" s="33">
        <v>18561.05</v>
      </c>
      <c r="P73" s="34">
        <f t="shared" si="1"/>
        <v>189408.14</v>
      </c>
      <c r="AP73" s="35"/>
      <c r="AQ73" s="36"/>
      <c r="AR73" s="37"/>
      <c r="AS73" s="37"/>
      <c r="AT73" s="2"/>
      <c r="AU73" s="38"/>
      <c r="AV73" s="39"/>
    </row>
    <row r="74" ht="22.5" customHeight="1">
      <c r="A74" s="22" t="s">
        <v>24</v>
      </c>
      <c r="B74" s="23">
        <v>45840.0</v>
      </c>
      <c r="C74" s="53" t="s">
        <v>41</v>
      </c>
      <c r="D74" s="24" t="s">
        <v>20</v>
      </c>
      <c r="E74" s="25" t="s">
        <v>42</v>
      </c>
      <c r="F74" s="25">
        <v>1.0</v>
      </c>
      <c r="G74" s="26">
        <v>36105.91</v>
      </c>
      <c r="I74" s="27" t="s">
        <v>27</v>
      </c>
      <c r="J74" s="28">
        <v>45842.0</v>
      </c>
      <c r="K74" s="29" t="s">
        <v>72</v>
      </c>
      <c r="L74" s="30" t="s">
        <v>20</v>
      </c>
      <c r="M74" s="31" t="s">
        <v>73</v>
      </c>
      <c r="N74" s="32">
        <v>1.0</v>
      </c>
      <c r="O74" s="33">
        <v>40037.11</v>
      </c>
      <c r="P74" s="34">
        <f t="shared" si="1"/>
        <v>189408.14</v>
      </c>
      <c r="AP74" s="35"/>
      <c r="AQ74" s="48"/>
      <c r="AR74" s="49"/>
      <c r="AS74" s="49"/>
      <c r="AT74" s="50"/>
      <c r="AU74" s="51"/>
      <c r="AV74" s="54"/>
    </row>
    <row r="75" ht="22.5" customHeight="1">
      <c r="A75" s="22" t="s">
        <v>26</v>
      </c>
      <c r="B75" s="23">
        <v>45840.0</v>
      </c>
      <c r="C75" s="53" t="s">
        <v>41</v>
      </c>
      <c r="D75" s="24" t="s">
        <v>20</v>
      </c>
      <c r="E75" s="25" t="s">
        <v>42</v>
      </c>
      <c r="F75" s="25">
        <v>1.0</v>
      </c>
      <c r="G75" s="26">
        <v>36105.91</v>
      </c>
      <c r="I75" s="27" t="s">
        <v>31</v>
      </c>
      <c r="J75" s="28">
        <v>45842.0</v>
      </c>
      <c r="K75" s="29" t="s">
        <v>72</v>
      </c>
      <c r="L75" s="30" t="s">
        <v>20</v>
      </c>
      <c r="M75" s="31" t="s">
        <v>73</v>
      </c>
      <c r="N75" s="32">
        <v>1.0</v>
      </c>
      <c r="O75" s="33">
        <v>40037.11</v>
      </c>
      <c r="P75" s="34">
        <f t="shared" si="1"/>
        <v>189408.14</v>
      </c>
      <c r="AP75" s="35"/>
      <c r="AQ75" s="36"/>
      <c r="AR75" s="37"/>
      <c r="AS75" s="37"/>
      <c r="AT75" s="2"/>
      <c r="AU75" s="38"/>
      <c r="AV75" s="39"/>
    </row>
    <row r="76" ht="22.5" customHeight="1">
      <c r="A76" s="22" t="s">
        <v>25</v>
      </c>
      <c r="B76" s="23">
        <v>45840.0</v>
      </c>
      <c r="C76" s="53" t="s">
        <v>41</v>
      </c>
      <c r="D76" s="24" t="s">
        <v>20</v>
      </c>
      <c r="E76" s="25" t="s">
        <v>42</v>
      </c>
      <c r="F76" s="25">
        <v>1.0</v>
      </c>
      <c r="G76" s="26">
        <v>45657.74</v>
      </c>
      <c r="I76" s="27" t="s">
        <v>25</v>
      </c>
      <c r="J76" s="28">
        <v>45845.0</v>
      </c>
      <c r="K76" s="30" t="s">
        <v>74</v>
      </c>
      <c r="L76" s="30" t="s">
        <v>20</v>
      </c>
      <c r="M76" s="31" t="s">
        <v>75</v>
      </c>
      <c r="N76" s="32">
        <v>0.5</v>
      </c>
      <c r="O76" s="33">
        <v>22828.87</v>
      </c>
      <c r="P76" s="34">
        <f t="shared" si="1"/>
        <v>22828.87</v>
      </c>
      <c r="AP76" s="35"/>
      <c r="AQ76" s="36"/>
      <c r="AR76" s="37"/>
      <c r="AS76" s="37"/>
      <c r="AT76" s="2"/>
      <c r="AU76" s="38"/>
      <c r="AV76" s="39"/>
    </row>
    <row r="77" ht="22.5" customHeight="1">
      <c r="A77" s="22" t="s">
        <v>40</v>
      </c>
      <c r="B77" s="23">
        <v>45840.0</v>
      </c>
      <c r="C77" s="53" t="s">
        <v>41</v>
      </c>
      <c r="D77" s="24" t="s">
        <v>20</v>
      </c>
      <c r="E77" s="25" t="s">
        <v>42</v>
      </c>
      <c r="F77" s="25">
        <v>1.0</v>
      </c>
      <c r="G77" s="26">
        <v>45657.74</v>
      </c>
      <c r="I77" s="27" t="s">
        <v>23</v>
      </c>
      <c r="J77" s="28">
        <v>45847.0</v>
      </c>
      <c r="K77" s="29" t="s">
        <v>76</v>
      </c>
      <c r="L77" s="30" t="s">
        <v>20</v>
      </c>
      <c r="M77" s="31" t="s">
        <v>77</v>
      </c>
      <c r="N77" s="32">
        <v>2.0</v>
      </c>
      <c r="O77" s="33">
        <v>37122.1</v>
      </c>
      <c r="P77" s="34">
        <f t="shared" si="1"/>
        <v>57140.66</v>
      </c>
      <c r="AP77" s="35"/>
      <c r="AQ77" s="36"/>
      <c r="AR77" s="37"/>
      <c r="AS77" s="37"/>
      <c r="AT77" s="2"/>
      <c r="AU77" s="38"/>
      <c r="AV77" s="39"/>
    </row>
    <row r="78" ht="22.5" customHeight="1">
      <c r="A78" s="22" t="s">
        <v>27</v>
      </c>
      <c r="B78" s="23">
        <v>45840.0</v>
      </c>
      <c r="C78" s="53" t="s">
        <v>41</v>
      </c>
      <c r="D78" s="24" t="s">
        <v>20</v>
      </c>
      <c r="E78" s="25" t="s">
        <v>42</v>
      </c>
      <c r="F78" s="25">
        <v>1.0</v>
      </c>
      <c r="G78" s="26">
        <v>40037.11</v>
      </c>
      <c r="I78" s="27" t="s">
        <v>27</v>
      </c>
      <c r="J78" s="28">
        <v>45847.0</v>
      </c>
      <c r="K78" s="29" t="s">
        <v>76</v>
      </c>
      <c r="L78" s="30" t="s">
        <v>20</v>
      </c>
      <c r="M78" s="31" t="s">
        <v>77</v>
      </c>
      <c r="N78" s="32">
        <v>0.5</v>
      </c>
      <c r="O78" s="33">
        <v>20018.56</v>
      </c>
      <c r="P78" s="34">
        <f t="shared" si="1"/>
        <v>57140.66</v>
      </c>
      <c r="AP78" s="35"/>
      <c r="AQ78" s="36"/>
      <c r="AR78" s="37"/>
      <c r="AS78" s="37"/>
      <c r="AT78" s="2"/>
      <c r="AU78" s="38"/>
      <c r="AV78" s="39"/>
    </row>
    <row r="79" ht="22.5" customHeight="1">
      <c r="A79" s="22" t="s">
        <v>28</v>
      </c>
      <c r="B79" s="23">
        <v>45840.0</v>
      </c>
      <c r="C79" s="53" t="s">
        <v>41</v>
      </c>
      <c r="D79" s="24" t="s">
        <v>20</v>
      </c>
      <c r="E79" s="25" t="s">
        <v>42</v>
      </c>
      <c r="F79" s="25">
        <v>0.5</v>
      </c>
      <c r="G79" s="26">
        <v>15168.05</v>
      </c>
      <c r="I79" s="27" t="s">
        <v>15</v>
      </c>
      <c r="J79" s="28">
        <v>45847.0</v>
      </c>
      <c r="K79" s="29" t="s">
        <v>41</v>
      </c>
      <c r="L79" s="30" t="s">
        <v>20</v>
      </c>
      <c r="M79" s="31" t="s">
        <v>78</v>
      </c>
      <c r="N79" s="32">
        <v>1.0</v>
      </c>
      <c r="O79" s="33">
        <v>42241.34</v>
      </c>
      <c r="P79" s="34">
        <f t="shared" si="1"/>
        <v>155592.39</v>
      </c>
      <c r="AP79" s="35"/>
      <c r="AQ79" s="36"/>
      <c r="AR79" s="37"/>
      <c r="AS79" s="37"/>
      <c r="AT79" s="2"/>
      <c r="AU79" s="38"/>
      <c r="AV79" s="39"/>
    </row>
    <row r="80" ht="22.5" customHeight="1">
      <c r="A80" s="22" t="s">
        <v>18</v>
      </c>
      <c r="B80" s="23">
        <v>45840.0</v>
      </c>
      <c r="C80" s="24" t="s">
        <v>43</v>
      </c>
      <c r="D80" s="24" t="s">
        <v>20</v>
      </c>
      <c r="E80" s="25" t="s">
        <v>44</v>
      </c>
      <c r="F80" s="25">
        <v>1.0</v>
      </c>
      <c r="G80" s="26">
        <v>19954.0</v>
      </c>
      <c r="I80" s="27" t="s">
        <v>22</v>
      </c>
      <c r="J80" s="28">
        <v>45847.0</v>
      </c>
      <c r="K80" s="29" t="s">
        <v>41</v>
      </c>
      <c r="L80" s="30" t="s">
        <v>20</v>
      </c>
      <c r="M80" s="31" t="s">
        <v>78</v>
      </c>
      <c r="N80" s="32">
        <v>0.5</v>
      </c>
      <c r="O80" s="33">
        <v>21120.67</v>
      </c>
      <c r="P80" s="34">
        <f t="shared" si="1"/>
        <v>155592.39</v>
      </c>
      <c r="AP80" s="35"/>
      <c r="AQ80" s="36"/>
      <c r="AR80" s="37"/>
      <c r="AS80" s="37"/>
      <c r="AT80" s="2"/>
      <c r="AU80" s="38"/>
      <c r="AV80" s="39"/>
    </row>
    <row r="81" ht="22.5" customHeight="1">
      <c r="A81" s="22" t="s">
        <v>23</v>
      </c>
      <c r="B81" s="23">
        <v>45840.0</v>
      </c>
      <c r="C81" s="24" t="s">
        <v>43</v>
      </c>
      <c r="D81" s="24" t="s">
        <v>20</v>
      </c>
      <c r="E81" s="25" t="s">
        <v>44</v>
      </c>
      <c r="F81" s="25">
        <v>1.0</v>
      </c>
      <c r="G81" s="26">
        <v>19954.0</v>
      </c>
      <c r="I81" s="27" t="s">
        <v>24</v>
      </c>
      <c r="J81" s="28">
        <v>45847.0</v>
      </c>
      <c r="K81" s="29" t="s">
        <v>41</v>
      </c>
      <c r="L81" s="30" t="s">
        <v>20</v>
      </c>
      <c r="M81" s="31" t="s">
        <v>78</v>
      </c>
      <c r="N81" s="32">
        <v>1.0</v>
      </c>
      <c r="O81" s="33">
        <v>36105.91</v>
      </c>
      <c r="P81" s="34">
        <f t="shared" si="1"/>
        <v>155592.39</v>
      </c>
      <c r="AP81" s="35"/>
      <c r="AQ81" s="36"/>
      <c r="AR81" s="37"/>
      <c r="AS81" s="37"/>
      <c r="AT81" s="2"/>
      <c r="AU81" s="38"/>
      <c r="AV81" s="39"/>
    </row>
    <row r="82" ht="22.5" customHeight="1">
      <c r="A82" s="22" t="s">
        <v>31</v>
      </c>
      <c r="B82" s="23">
        <v>45840.0</v>
      </c>
      <c r="C82" s="24" t="s">
        <v>43</v>
      </c>
      <c r="D82" s="24" t="s">
        <v>20</v>
      </c>
      <c r="E82" s="25" t="s">
        <v>44</v>
      </c>
      <c r="F82" s="25">
        <v>0.5</v>
      </c>
      <c r="G82" s="26">
        <v>15168.05</v>
      </c>
      <c r="I82" s="27" t="s">
        <v>26</v>
      </c>
      <c r="J82" s="28">
        <v>45847.0</v>
      </c>
      <c r="K82" s="29" t="s">
        <v>41</v>
      </c>
      <c r="L82" s="30" t="s">
        <v>20</v>
      </c>
      <c r="M82" s="31" t="s">
        <v>78</v>
      </c>
      <c r="N82" s="32">
        <v>1.0</v>
      </c>
      <c r="O82" s="33">
        <v>36105.91</v>
      </c>
      <c r="P82" s="34">
        <f t="shared" si="1"/>
        <v>155592.39</v>
      </c>
      <c r="AP82" s="35"/>
      <c r="AQ82" s="36"/>
      <c r="AR82" s="37"/>
      <c r="AS82" s="37"/>
      <c r="AT82" s="2"/>
      <c r="AU82" s="38"/>
      <c r="AV82" s="39"/>
    </row>
    <row r="83" ht="22.5" customHeight="1">
      <c r="A83" s="22" t="s">
        <v>25</v>
      </c>
      <c r="B83" s="23">
        <v>45840.0</v>
      </c>
      <c r="C83" s="53" t="s">
        <v>45</v>
      </c>
      <c r="D83" s="24" t="s">
        <v>20</v>
      </c>
      <c r="E83" s="25" t="s">
        <v>46</v>
      </c>
      <c r="F83" s="25">
        <v>1.0</v>
      </c>
      <c r="G83" s="26">
        <v>45657.74</v>
      </c>
      <c r="I83" s="27" t="s">
        <v>27</v>
      </c>
      <c r="J83" s="28">
        <v>45847.0</v>
      </c>
      <c r="K83" s="29" t="s">
        <v>41</v>
      </c>
      <c r="L83" s="30" t="s">
        <v>20</v>
      </c>
      <c r="M83" s="31" t="s">
        <v>78</v>
      </c>
      <c r="N83" s="32">
        <v>0.5</v>
      </c>
      <c r="O83" s="33">
        <v>20018.56</v>
      </c>
      <c r="P83" s="34">
        <f t="shared" si="1"/>
        <v>155592.39</v>
      </c>
      <c r="AP83" s="35"/>
      <c r="AQ83" s="36"/>
      <c r="AR83" s="37"/>
      <c r="AS83" s="37"/>
      <c r="AT83" s="2"/>
      <c r="AU83" s="38"/>
      <c r="AV83" s="39"/>
    </row>
    <row r="84" ht="22.5" customHeight="1">
      <c r="A84" s="22" t="s">
        <v>40</v>
      </c>
      <c r="B84" s="23">
        <v>45840.0</v>
      </c>
      <c r="C84" s="53" t="s">
        <v>45</v>
      </c>
      <c r="D84" s="24" t="s">
        <v>20</v>
      </c>
      <c r="E84" s="25" t="s">
        <v>46</v>
      </c>
      <c r="F84" s="25">
        <v>1.0</v>
      </c>
      <c r="G84" s="26">
        <v>45657.74</v>
      </c>
      <c r="I84" s="27" t="s">
        <v>25</v>
      </c>
      <c r="J84" s="28">
        <v>45847.0</v>
      </c>
      <c r="K84" s="29" t="s">
        <v>79</v>
      </c>
      <c r="L84" s="30" t="s">
        <v>20</v>
      </c>
      <c r="M84" s="31" t="s">
        <v>80</v>
      </c>
      <c r="N84" s="32">
        <v>1.0</v>
      </c>
      <c r="O84" s="33">
        <v>45657.74</v>
      </c>
      <c r="P84" s="34">
        <f t="shared" si="1"/>
        <v>111334.04</v>
      </c>
      <c r="AP84" s="35"/>
      <c r="AQ84" s="36"/>
      <c r="AR84" s="37"/>
      <c r="AS84" s="37"/>
      <c r="AT84" s="2"/>
      <c r="AU84" s="38"/>
      <c r="AV84" s="39"/>
    </row>
    <row r="85" ht="22.5" customHeight="1">
      <c r="A85" s="22" t="s">
        <v>25</v>
      </c>
      <c r="B85" s="23">
        <v>45840.0</v>
      </c>
      <c r="C85" s="53" t="s">
        <v>48</v>
      </c>
      <c r="D85" s="24" t="s">
        <v>20</v>
      </c>
      <c r="E85" s="25" t="s">
        <v>49</v>
      </c>
      <c r="F85" s="25">
        <v>0.5</v>
      </c>
      <c r="G85" s="26">
        <v>22828.87</v>
      </c>
      <c r="I85" s="27" t="s">
        <v>40</v>
      </c>
      <c r="J85" s="28">
        <v>45847.0</v>
      </c>
      <c r="K85" s="29" t="s">
        <v>79</v>
      </c>
      <c r="L85" s="30" t="s">
        <v>20</v>
      </c>
      <c r="M85" s="31" t="s">
        <v>80</v>
      </c>
      <c r="N85" s="32">
        <v>1.0</v>
      </c>
      <c r="O85" s="33">
        <v>45657.74</v>
      </c>
      <c r="P85" s="34">
        <f t="shared" si="1"/>
        <v>111334.04</v>
      </c>
      <c r="AP85" s="35"/>
      <c r="AQ85" s="36"/>
      <c r="AR85" s="37"/>
      <c r="AS85" s="37"/>
      <c r="AT85" s="2"/>
      <c r="AU85" s="38"/>
      <c r="AV85" s="39"/>
    </row>
    <row r="86" ht="22.5" customHeight="1">
      <c r="A86" s="22" t="s">
        <v>28</v>
      </c>
      <c r="B86" s="23">
        <v>45840.0</v>
      </c>
      <c r="C86" s="53" t="s">
        <v>48</v>
      </c>
      <c r="D86" s="24" t="s">
        <v>20</v>
      </c>
      <c r="E86" s="25" t="s">
        <v>49</v>
      </c>
      <c r="F86" s="25">
        <v>0.5</v>
      </c>
      <c r="G86" s="26">
        <v>15168.05</v>
      </c>
      <c r="I86" s="27" t="s">
        <v>27</v>
      </c>
      <c r="J86" s="28">
        <v>45847.0</v>
      </c>
      <c r="K86" s="29" t="s">
        <v>79</v>
      </c>
      <c r="L86" s="30" t="s">
        <v>20</v>
      </c>
      <c r="M86" s="31" t="s">
        <v>80</v>
      </c>
      <c r="N86" s="32">
        <v>0.5</v>
      </c>
      <c r="O86" s="33">
        <v>20018.56</v>
      </c>
      <c r="P86" s="34">
        <f t="shared" si="1"/>
        <v>111334.04</v>
      </c>
      <c r="AP86" s="35"/>
      <c r="AQ86" s="36"/>
      <c r="AR86" s="37"/>
      <c r="AS86" s="37"/>
      <c r="AT86" s="2"/>
      <c r="AU86" s="38"/>
      <c r="AV86" s="39"/>
    </row>
    <row r="87" ht="22.5" customHeight="1">
      <c r="A87" s="22" t="s">
        <v>18</v>
      </c>
      <c r="B87" s="23">
        <v>45840.0</v>
      </c>
      <c r="C87" s="53" t="s">
        <v>50</v>
      </c>
      <c r="D87" s="24" t="s">
        <v>20</v>
      </c>
      <c r="E87" s="25" t="s">
        <v>51</v>
      </c>
      <c r="F87" s="25">
        <v>3.0</v>
      </c>
      <c r="G87" s="26">
        <v>59862.0</v>
      </c>
      <c r="I87" s="27" t="s">
        <v>25</v>
      </c>
      <c r="J87" s="28">
        <v>45847.0</v>
      </c>
      <c r="K87" s="29" t="s">
        <v>81</v>
      </c>
      <c r="L87" s="30" t="s">
        <v>20</v>
      </c>
      <c r="M87" s="31" t="s">
        <v>82</v>
      </c>
      <c r="N87" s="32">
        <v>0.5</v>
      </c>
      <c r="O87" s="33">
        <v>22828.87</v>
      </c>
      <c r="P87" s="34">
        <f t="shared" si="1"/>
        <v>22828.87</v>
      </c>
      <c r="AP87" s="35"/>
      <c r="AQ87" s="36"/>
      <c r="AR87" s="37"/>
      <c r="AS87" s="37"/>
      <c r="AT87" s="2"/>
      <c r="AU87" s="38"/>
      <c r="AV87" s="39"/>
    </row>
    <row r="88" ht="22.5" customHeight="1">
      <c r="A88" s="22" t="s">
        <v>23</v>
      </c>
      <c r="B88" s="23">
        <v>45840.0</v>
      </c>
      <c r="C88" s="53" t="s">
        <v>50</v>
      </c>
      <c r="D88" s="24" t="s">
        <v>20</v>
      </c>
      <c r="E88" s="25" t="s">
        <v>51</v>
      </c>
      <c r="F88" s="25">
        <v>3.0</v>
      </c>
      <c r="G88" s="26">
        <v>59862.0</v>
      </c>
      <c r="I88" s="27" t="s">
        <v>25</v>
      </c>
      <c r="J88" s="28">
        <v>45847.0</v>
      </c>
      <c r="K88" s="29" t="s">
        <v>83</v>
      </c>
      <c r="L88" s="30" t="s">
        <v>20</v>
      </c>
      <c r="M88" s="31" t="s">
        <v>84</v>
      </c>
      <c r="N88" s="32">
        <v>1.0</v>
      </c>
      <c r="O88" s="33">
        <v>45657.74</v>
      </c>
      <c r="P88" s="34">
        <f t="shared" si="1"/>
        <v>91315.48</v>
      </c>
      <c r="AP88" s="35"/>
      <c r="AQ88" s="36"/>
      <c r="AR88" s="37"/>
      <c r="AS88" s="37"/>
      <c r="AT88" s="2"/>
      <c r="AU88" s="38"/>
      <c r="AV88" s="39"/>
    </row>
    <row r="89" ht="22.5" customHeight="1">
      <c r="A89" s="22" t="s">
        <v>27</v>
      </c>
      <c r="B89" s="23">
        <v>45840.0</v>
      </c>
      <c r="C89" s="53" t="s">
        <v>50</v>
      </c>
      <c r="D89" s="24" t="s">
        <v>20</v>
      </c>
      <c r="E89" s="25" t="s">
        <v>51</v>
      </c>
      <c r="F89" s="25">
        <v>1.0</v>
      </c>
      <c r="G89" s="26">
        <v>40037.11</v>
      </c>
      <c r="I89" s="27" t="s">
        <v>40</v>
      </c>
      <c r="J89" s="28">
        <v>45847.0</v>
      </c>
      <c r="K89" s="29" t="s">
        <v>83</v>
      </c>
      <c r="L89" s="30" t="s">
        <v>20</v>
      </c>
      <c r="M89" s="31" t="s">
        <v>84</v>
      </c>
      <c r="N89" s="32">
        <v>1.0</v>
      </c>
      <c r="O89" s="33">
        <v>45657.74</v>
      </c>
      <c r="P89" s="34">
        <f t="shared" si="1"/>
        <v>91315.48</v>
      </c>
      <c r="AP89" s="35"/>
      <c r="AQ89" s="36"/>
      <c r="AR89" s="37"/>
      <c r="AS89" s="37"/>
      <c r="AT89" s="2"/>
      <c r="AU89" s="38"/>
      <c r="AV89" s="39"/>
    </row>
    <row r="90" ht="22.5" customHeight="1">
      <c r="A90" s="22" t="s">
        <v>31</v>
      </c>
      <c r="B90" s="23">
        <v>45840.0</v>
      </c>
      <c r="C90" s="53" t="s">
        <v>50</v>
      </c>
      <c r="D90" s="24" t="s">
        <v>20</v>
      </c>
      <c r="E90" s="25" t="s">
        <v>51</v>
      </c>
      <c r="F90" s="25">
        <v>1.0</v>
      </c>
      <c r="G90" s="26">
        <v>40037.11</v>
      </c>
      <c r="I90" s="27" t="s">
        <v>23</v>
      </c>
      <c r="J90" s="28">
        <v>45847.0</v>
      </c>
      <c r="K90" s="29" t="s">
        <v>85</v>
      </c>
      <c r="L90" s="30" t="s">
        <v>20</v>
      </c>
      <c r="M90" s="31" t="s">
        <v>86</v>
      </c>
      <c r="N90" s="32">
        <v>2.0</v>
      </c>
      <c r="O90" s="33">
        <v>37122.1</v>
      </c>
      <c r="P90" s="34">
        <f t="shared" si="1"/>
        <v>202891.17</v>
      </c>
      <c r="AP90" s="35"/>
      <c r="AQ90" s="36"/>
      <c r="AR90" s="37"/>
      <c r="AS90" s="37"/>
      <c r="AT90" s="2"/>
      <c r="AU90" s="38"/>
      <c r="AV90" s="39"/>
    </row>
    <row r="91" ht="22.5" customHeight="1">
      <c r="A91" s="22" t="s">
        <v>28</v>
      </c>
      <c r="B91" s="23">
        <v>45840.0</v>
      </c>
      <c r="C91" s="24" t="s">
        <v>52</v>
      </c>
      <c r="D91" s="24" t="s">
        <v>20</v>
      </c>
      <c r="E91" s="25" t="s">
        <v>53</v>
      </c>
      <c r="F91" s="25">
        <v>0.5</v>
      </c>
      <c r="G91" s="26">
        <v>15168.05</v>
      </c>
      <c r="I91" s="27" t="s">
        <v>25</v>
      </c>
      <c r="J91" s="28">
        <v>45847.0</v>
      </c>
      <c r="K91" s="29" t="s">
        <v>85</v>
      </c>
      <c r="L91" s="30" t="s">
        <v>20</v>
      </c>
      <c r="M91" s="31" t="s">
        <v>86</v>
      </c>
      <c r="N91" s="32">
        <v>1.0</v>
      </c>
      <c r="O91" s="33">
        <v>45657.74</v>
      </c>
      <c r="P91" s="34">
        <f t="shared" si="1"/>
        <v>202891.17</v>
      </c>
      <c r="AP91" s="35"/>
      <c r="AQ91" s="36"/>
      <c r="AR91" s="37"/>
      <c r="AS91" s="37"/>
      <c r="AT91" s="2"/>
      <c r="AU91" s="38"/>
      <c r="AV91" s="39"/>
    </row>
    <row r="92" ht="22.5" customHeight="1">
      <c r="A92" s="22" t="s">
        <v>23</v>
      </c>
      <c r="B92" s="23">
        <v>45840.0</v>
      </c>
      <c r="C92" s="24" t="s">
        <v>54</v>
      </c>
      <c r="D92" s="24" t="s">
        <v>20</v>
      </c>
      <c r="E92" s="25" t="s">
        <v>55</v>
      </c>
      <c r="F92" s="25">
        <v>1.0</v>
      </c>
      <c r="G92" s="26">
        <v>19954.0</v>
      </c>
      <c r="I92" s="27" t="s">
        <v>27</v>
      </c>
      <c r="J92" s="28">
        <v>45847.0</v>
      </c>
      <c r="K92" s="29" t="s">
        <v>85</v>
      </c>
      <c r="L92" s="30" t="s">
        <v>20</v>
      </c>
      <c r="M92" s="31" t="s">
        <v>86</v>
      </c>
      <c r="N92" s="32">
        <v>2.0</v>
      </c>
      <c r="O92" s="33">
        <v>80074.22</v>
      </c>
      <c r="P92" s="34">
        <f t="shared" si="1"/>
        <v>202891.17</v>
      </c>
      <c r="AP92" s="35"/>
      <c r="AQ92" s="36"/>
      <c r="AR92" s="37"/>
      <c r="AS92" s="37"/>
      <c r="AT92" s="2"/>
      <c r="AU92" s="38"/>
      <c r="AV92" s="39"/>
    </row>
    <row r="93" ht="22.5" customHeight="1">
      <c r="A93" s="22" t="s">
        <v>25</v>
      </c>
      <c r="B93" s="23">
        <v>45840.0</v>
      </c>
      <c r="C93" s="24" t="s">
        <v>54</v>
      </c>
      <c r="D93" s="24" t="s">
        <v>20</v>
      </c>
      <c r="E93" s="25" t="s">
        <v>55</v>
      </c>
      <c r="F93" s="25">
        <v>0.5</v>
      </c>
      <c r="G93" s="26">
        <v>22828.87</v>
      </c>
      <c r="I93" s="27" t="s">
        <v>31</v>
      </c>
      <c r="J93" s="28">
        <v>45847.0</v>
      </c>
      <c r="K93" s="29" t="s">
        <v>85</v>
      </c>
      <c r="L93" s="30" t="s">
        <v>20</v>
      </c>
      <c r="M93" s="31" t="s">
        <v>86</v>
      </c>
      <c r="N93" s="32">
        <v>1.0</v>
      </c>
      <c r="O93" s="33">
        <v>40037.11</v>
      </c>
      <c r="P93" s="34">
        <f t="shared" si="1"/>
        <v>202891.17</v>
      </c>
      <c r="AP93" s="35"/>
      <c r="AQ93" s="36"/>
      <c r="AR93" s="37"/>
      <c r="AS93" s="37"/>
      <c r="AT93" s="2"/>
      <c r="AU93" s="38"/>
      <c r="AV93" s="39"/>
    </row>
    <row r="94" ht="22.5" customHeight="1">
      <c r="A94" s="22" t="s">
        <v>40</v>
      </c>
      <c r="B94" s="23">
        <v>45840.0</v>
      </c>
      <c r="C94" s="24" t="s">
        <v>54</v>
      </c>
      <c r="D94" s="24" t="s">
        <v>20</v>
      </c>
      <c r="E94" s="25" t="s">
        <v>55</v>
      </c>
      <c r="F94" s="25">
        <v>0.5</v>
      </c>
      <c r="G94" s="26">
        <v>22828.87</v>
      </c>
      <c r="I94" s="27" t="s">
        <v>18</v>
      </c>
      <c r="J94" s="28">
        <v>45847.0</v>
      </c>
      <c r="K94" s="29" t="s">
        <v>87</v>
      </c>
      <c r="L94" s="30" t="s">
        <v>20</v>
      </c>
      <c r="M94" s="31" t="s">
        <v>88</v>
      </c>
      <c r="N94" s="32">
        <v>1.0</v>
      </c>
      <c r="O94" s="33">
        <v>18561.05</v>
      </c>
      <c r="P94" s="34">
        <f t="shared" si="1"/>
        <v>128437.58</v>
      </c>
      <c r="AP94" s="35"/>
      <c r="AQ94" s="36"/>
      <c r="AR94" s="37"/>
      <c r="AS94" s="37"/>
      <c r="AT94" s="2"/>
      <c r="AU94" s="38"/>
      <c r="AV94" s="39"/>
    </row>
    <row r="95" ht="22.5" customHeight="1">
      <c r="A95" s="22" t="s">
        <v>31</v>
      </c>
      <c r="B95" s="23">
        <v>45840.0</v>
      </c>
      <c r="C95" s="24" t="s">
        <v>54</v>
      </c>
      <c r="D95" s="24" t="s">
        <v>20</v>
      </c>
      <c r="E95" s="25" t="s">
        <v>55</v>
      </c>
      <c r="F95" s="25">
        <v>0.5</v>
      </c>
      <c r="G95" s="26">
        <v>20018.56</v>
      </c>
      <c r="I95" s="27" t="s">
        <v>23</v>
      </c>
      <c r="J95" s="28">
        <v>45847.0</v>
      </c>
      <c r="K95" s="29" t="s">
        <v>87</v>
      </c>
      <c r="L95" s="30" t="s">
        <v>20</v>
      </c>
      <c r="M95" s="31" t="s">
        <v>88</v>
      </c>
      <c r="N95" s="32">
        <v>1.0</v>
      </c>
      <c r="O95" s="33">
        <v>18561.05</v>
      </c>
      <c r="P95" s="34">
        <f t="shared" si="1"/>
        <v>128437.58</v>
      </c>
      <c r="AP95" s="35"/>
      <c r="AQ95" s="36"/>
      <c r="AR95" s="37"/>
      <c r="AS95" s="37"/>
      <c r="AT95" s="2"/>
      <c r="AU95" s="38"/>
      <c r="AV95" s="39"/>
    </row>
    <row r="96" ht="22.5" customHeight="1">
      <c r="A96" s="22" t="s">
        <v>18</v>
      </c>
      <c r="B96" s="23">
        <v>45840.0</v>
      </c>
      <c r="C96" s="53" t="s">
        <v>56</v>
      </c>
      <c r="D96" s="24" t="s">
        <v>20</v>
      </c>
      <c r="E96" s="25" t="s">
        <v>57</v>
      </c>
      <c r="F96" s="25">
        <v>1.0</v>
      </c>
      <c r="G96" s="26">
        <v>18561.05</v>
      </c>
      <c r="I96" s="27" t="s">
        <v>25</v>
      </c>
      <c r="J96" s="28">
        <v>45847.0</v>
      </c>
      <c r="K96" s="29" t="s">
        <v>87</v>
      </c>
      <c r="L96" s="30" t="s">
        <v>20</v>
      </c>
      <c r="M96" s="31" t="s">
        <v>88</v>
      </c>
      <c r="N96" s="32">
        <v>1.0</v>
      </c>
      <c r="O96" s="33">
        <v>45657.74</v>
      </c>
      <c r="P96" s="34">
        <f t="shared" si="1"/>
        <v>128437.58</v>
      </c>
      <c r="AP96" s="35"/>
      <c r="AQ96" s="36"/>
      <c r="AR96" s="37"/>
      <c r="AS96" s="37"/>
      <c r="AT96" s="2"/>
      <c r="AU96" s="38"/>
      <c r="AV96" s="39"/>
    </row>
    <row r="97" ht="22.5" customHeight="1">
      <c r="A97" s="22" t="s">
        <v>23</v>
      </c>
      <c r="B97" s="23">
        <v>45840.0</v>
      </c>
      <c r="C97" s="53" t="s">
        <v>56</v>
      </c>
      <c r="D97" s="24" t="s">
        <v>20</v>
      </c>
      <c r="E97" s="25" t="s">
        <v>57</v>
      </c>
      <c r="F97" s="25">
        <v>1.0</v>
      </c>
      <c r="G97" s="26">
        <v>18561.05</v>
      </c>
      <c r="I97" s="27" t="s">
        <v>40</v>
      </c>
      <c r="J97" s="28">
        <v>45847.0</v>
      </c>
      <c r="K97" s="29" t="s">
        <v>87</v>
      </c>
      <c r="L97" s="30" t="s">
        <v>20</v>
      </c>
      <c r="M97" s="31" t="s">
        <v>88</v>
      </c>
      <c r="N97" s="32">
        <v>1.0</v>
      </c>
      <c r="O97" s="33">
        <v>45657.74</v>
      </c>
      <c r="P97" s="34">
        <f t="shared" si="1"/>
        <v>128437.58</v>
      </c>
      <c r="AP97" s="35"/>
      <c r="AQ97" s="36"/>
      <c r="AR97" s="37"/>
      <c r="AS97" s="37"/>
      <c r="AT97" s="2"/>
      <c r="AU97" s="38"/>
      <c r="AV97" s="39"/>
    </row>
    <row r="98" ht="22.5" customHeight="1">
      <c r="A98" s="22" t="s">
        <v>18</v>
      </c>
      <c r="B98" s="23">
        <v>45840.0</v>
      </c>
      <c r="C98" s="24" t="s">
        <v>58</v>
      </c>
      <c r="D98" s="24" t="s">
        <v>20</v>
      </c>
      <c r="E98" s="25" t="s">
        <v>59</v>
      </c>
      <c r="F98" s="25">
        <v>1.0</v>
      </c>
      <c r="G98" s="26">
        <v>18561.05</v>
      </c>
      <c r="I98" s="27" t="s">
        <v>24</v>
      </c>
      <c r="J98" s="28">
        <v>45847.0</v>
      </c>
      <c r="K98" s="29" t="s">
        <v>89</v>
      </c>
      <c r="L98" s="30" t="s">
        <v>20</v>
      </c>
      <c r="M98" s="31" t="s">
        <v>90</v>
      </c>
      <c r="N98" s="32">
        <v>0.5</v>
      </c>
      <c r="O98" s="33">
        <v>18052.96</v>
      </c>
      <c r="P98" s="34">
        <f t="shared" si="1"/>
        <v>253153.36</v>
      </c>
      <c r="AP98" s="35"/>
      <c r="AQ98" s="36"/>
      <c r="AR98" s="37"/>
      <c r="AS98" s="37"/>
      <c r="AT98" s="2"/>
      <c r="AU98" s="38"/>
      <c r="AV98" s="39"/>
    </row>
    <row r="99" ht="22.5" customHeight="1">
      <c r="A99" s="22" t="s">
        <v>23</v>
      </c>
      <c r="B99" s="23">
        <v>45840.0</v>
      </c>
      <c r="C99" s="24" t="s">
        <v>58</v>
      </c>
      <c r="D99" s="24" t="s">
        <v>20</v>
      </c>
      <c r="E99" s="25" t="s">
        <v>59</v>
      </c>
      <c r="F99" s="25">
        <v>1.0</v>
      </c>
      <c r="G99" s="26">
        <v>18561.05</v>
      </c>
      <c r="I99" s="27" t="s">
        <v>26</v>
      </c>
      <c r="J99" s="28">
        <v>45847.0</v>
      </c>
      <c r="K99" s="29" t="s">
        <v>89</v>
      </c>
      <c r="L99" s="30" t="s">
        <v>20</v>
      </c>
      <c r="M99" s="31" t="s">
        <v>90</v>
      </c>
      <c r="N99" s="32">
        <v>0.5</v>
      </c>
      <c r="O99" s="33">
        <v>18052.96</v>
      </c>
      <c r="P99" s="34">
        <f t="shared" si="1"/>
        <v>253153.36</v>
      </c>
      <c r="AP99" s="35"/>
      <c r="AQ99" s="36"/>
      <c r="AR99" s="37"/>
      <c r="AS99" s="37"/>
      <c r="AT99" s="2"/>
      <c r="AU99" s="38"/>
      <c r="AV99" s="39"/>
    </row>
    <row r="100" ht="22.5" customHeight="1">
      <c r="A100" s="22" t="s">
        <v>25</v>
      </c>
      <c r="B100" s="23">
        <v>45841.0</v>
      </c>
      <c r="C100" s="24" t="s">
        <v>60</v>
      </c>
      <c r="D100" s="24" t="s">
        <v>20</v>
      </c>
      <c r="E100" s="25" t="s">
        <v>61</v>
      </c>
      <c r="F100" s="25">
        <v>0.5</v>
      </c>
      <c r="G100" s="26">
        <v>22828.87</v>
      </c>
      <c r="I100" s="27" t="s">
        <v>25</v>
      </c>
      <c r="J100" s="28">
        <v>45847.0</v>
      </c>
      <c r="K100" s="29" t="s">
        <v>89</v>
      </c>
      <c r="L100" s="30" t="s">
        <v>20</v>
      </c>
      <c r="M100" s="31" t="s">
        <v>90</v>
      </c>
      <c r="N100" s="32">
        <v>2.0</v>
      </c>
      <c r="O100" s="33">
        <v>91315.48</v>
      </c>
      <c r="P100" s="34">
        <f t="shared" si="1"/>
        <v>253153.36</v>
      </c>
      <c r="AP100" s="35"/>
      <c r="AQ100" s="36"/>
      <c r="AR100" s="37"/>
      <c r="AS100" s="37"/>
      <c r="AT100" s="2"/>
      <c r="AU100" s="38"/>
      <c r="AV100" s="39"/>
    </row>
    <row r="101" ht="22.5" customHeight="1">
      <c r="A101" s="22" t="s">
        <v>25</v>
      </c>
      <c r="B101" s="23">
        <v>45841.0</v>
      </c>
      <c r="C101" s="53" t="s">
        <v>62</v>
      </c>
      <c r="D101" s="24" t="s">
        <v>20</v>
      </c>
      <c r="E101" s="25" t="s">
        <v>63</v>
      </c>
      <c r="F101" s="25">
        <v>1.0</v>
      </c>
      <c r="G101" s="26">
        <v>45657.74</v>
      </c>
      <c r="I101" s="27" t="s">
        <v>40</v>
      </c>
      <c r="J101" s="28">
        <v>45847.0</v>
      </c>
      <c r="K101" s="29" t="s">
        <v>89</v>
      </c>
      <c r="L101" s="30" t="s">
        <v>20</v>
      </c>
      <c r="M101" s="31" t="s">
        <v>90</v>
      </c>
      <c r="N101" s="32">
        <v>1.0</v>
      </c>
      <c r="O101" s="33">
        <v>45657.74</v>
      </c>
      <c r="P101" s="34">
        <f t="shared" si="1"/>
        <v>253153.36</v>
      </c>
      <c r="AP101" s="35"/>
      <c r="AQ101" s="36"/>
      <c r="AR101" s="37"/>
      <c r="AS101" s="37"/>
      <c r="AT101" s="2"/>
      <c r="AU101" s="38"/>
      <c r="AV101" s="39"/>
    </row>
    <row r="102" ht="22.5" customHeight="1">
      <c r="A102" s="22" t="s">
        <v>25</v>
      </c>
      <c r="B102" s="23">
        <v>45841.0</v>
      </c>
      <c r="C102" s="53" t="s">
        <v>64</v>
      </c>
      <c r="D102" s="24" t="s">
        <v>20</v>
      </c>
      <c r="E102" s="25" t="s">
        <v>65</v>
      </c>
      <c r="F102" s="25">
        <v>1.0</v>
      </c>
      <c r="G102" s="26">
        <v>45657.74</v>
      </c>
      <c r="I102" s="27" t="s">
        <v>27</v>
      </c>
      <c r="J102" s="28">
        <v>45847.0</v>
      </c>
      <c r="K102" s="29" t="s">
        <v>89</v>
      </c>
      <c r="L102" s="30" t="s">
        <v>20</v>
      </c>
      <c r="M102" s="31" t="s">
        <v>90</v>
      </c>
      <c r="N102" s="32">
        <v>1.0</v>
      </c>
      <c r="O102" s="33">
        <v>40037.11</v>
      </c>
      <c r="P102" s="34">
        <f t="shared" si="1"/>
        <v>253153.36</v>
      </c>
      <c r="AP102" s="35"/>
      <c r="AQ102" s="36"/>
      <c r="AR102" s="37"/>
      <c r="AS102" s="37"/>
      <c r="AT102" s="2"/>
      <c r="AU102" s="38"/>
      <c r="AV102" s="39"/>
    </row>
    <row r="103" ht="22.5" customHeight="1">
      <c r="A103" s="22" t="s">
        <v>15</v>
      </c>
      <c r="B103" s="23">
        <v>45841.0</v>
      </c>
      <c r="C103" s="24" t="s">
        <v>66</v>
      </c>
      <c r="D103" s="24" t="s">
        <v>20</v>
      </c>
      <c r="E103" s="25" t="s">
        <v>67</v>
      </c>
      <c r="F103" s="25">
        <v>1.0</v>
      </c>
      <c r="G103" s="26">
        <v>42241.34</v>
      </c>
      <c r="I103" s="27" t="s">
        <v>31</v>
      </c>
      <c r="J103" s="28">
        <v>45847.0</v>
      </c>
      <c r="K103" s="29" t="s">
        <v>89</v>
      </c>
      <c r="L103" s="30" t="s">
        <v>20</v>
      </c>
      <c r="M103" s="31" t="s">
        <v>90</v>
      </c>
      <c r="N103" s="32">
        <v>1.0</v>
      </c>
      <c r="O103" s="33">
        <v>40037.11</v>
      </c>
      <c r="P103" s="34">
        <f t="shared" si="1"/>
        <v>253153.36</v>
      </c>
      <c r="AP103" s="35"/>
      <c r="AQ103" s="36"/>
      <c r="AR103" s="37"/>
      <c r="AS103" s="37"/>
      <c r="AT103" s="2"/>
      <c r="AU103" s="38"/>
      <c r="AV103" s="39"/>
    </row>
    <row r="104" ht="22.5" customHeight="1">
      <c r="A104" s="22" t="s">
        <v>22</v>
      </c>
      <c r="B104" s="23">
        <v>45841.0</v>
      </c>
      <c r="C104" s="24" t="s">
        <v>66</v>
      </c>
      <c r="D104" s="24" t="s">
        <v>20</v>
      </c>
      <c r="E104" s="25" t="s">
        <v>67</v>
      </c>
      <c r="F104" s="25">
        <v>1.0</v>
      </c>
      <c r="G104" s="26">
        <v>42241.34</v>
      </c>
      <c r="I104" s="27" t="s">
        <v>18</v>
      </c>
      <c r="J104" s="28">
        <v>45847.0</v>
      </c>
      <c r="K104" s="29" t="s">
        <v>91</v>
      </c>
      <c r="L104" s="30" t="s">
        <v>20</v>
      </c>
      <c r="M104" s="31" t="s">
        <v>92</v>
      </c>
      <c r="N104" s="32">
        <v>1.0</v>
      </c>
      <c r="O104" s="33">
        <v>18561.05</v>
      </c>
      <c r="P104" s="34">
        <f t="shared" si="1"/>
        <v>77159.21</v>
      </c>
      <c r="AP104" s="35"/>
      <c r="AQ104" s="36"/>
      <c r="AR104" s="37"/>
      <c r="AS104" s="37"/>
      <c r="AT104" s="2"/>
      <c r="AU104" s="38"/>
      <c r="AV104" s="39"/>
    </row>
    <row r="105" ht="22.5" customHeight="1">
      <c r="A105" s="22" t="s">
        <v>24</v>
      </c>
      <c r="B105" s="23">
        <v>45841.0</v>
      </c>
      <c r="C105" s="24" t="s">
        <v>66</v>
      </c>
      <c r="D105" s="24" t="s">
        <v>20</v>
      </c>
      <c r="E105" s="25" t="s">
        <v>67</v>
      </c>
      <c r="F105" s="25">
        <v>1.0</v>
      </c>
      <c r="G105" s="26">
        <v>36105.91</v>
      </c>
      <c r="I105" s="27" t="s">
        <v>23</v>
      </c>
      <c r="J105" s="28">
        <v>45847.0</v>
      </c>
      <c r="K105" s="29" t="s">
        <v>91</v>
      </c>
      <c r="L105" s="30" t="s">
        <v>20</v>
      </c>
      <c r="M105" s="31" t="s">
        <v>92</v>
      </c>
      <c r="N105" s="32">
        <v>1.0</v>
      </c>
      <c r="O105" s="33">
        <v>18561.05</v>
      </c>
      <c r="P105" s="34">
        <f t="shared" si="1"/>
        <v>77159.21</v>
      </c>
      <c r="AP105" s="35"/>
      <c r="AQ105" s="36"/>
      <c r="AR105" s="37"/>
      <c r="AS105" s="37"/>
      <c r="AT105" s="2"/>
      <c r="AU105" s="38"/>
      <c r="AV105" s="39"/>
    </row>
    <row r="106" ht="22.5" customHeight="1">
      <c r="A106" s="22" t="s">
        <v>26</v>
      </c>
      <c r="B106" s="23">
        <v>45841.0</v>
      </c>
      <c r="C106" s="24" t="s">
        <v>66</v>
      </c>
      <c r="D106" s="24" t="s">
        <v>20</v>
      </c>
      <c r="E106" s="25" t="s">
        <v>67</v>
      </c>
      <c r="F106" s="25">
        <v>1.0</v>
      </c>
      <c r="G106" s="26">
        <v>36105.91</v>
      </c>
      <c r="I106" s="27" t="s">
        <v>27</v>
      </c>
      <c r="J106" s="28">
        <v>45847.0</v>
      </c>
      <c r="K106" s="29" t="s">
        <v>91</v>
      </c>
      <c r="L106" s="30" t="s">
        <v>20</v>
      </c>
      <c r="M106" s="31" t="s">
        <v>92</v>
      </c>
      <c r="N106" s="32">
        <v>1.0</v>
      </c>
      <c r="O106" s="33">
        <v>40037.11</v>
      </c>
      <c r="P106" s="34">
        <f t="shared" si="1"/>
        <v>77159.21</v>
      </c>
      <c r="AP106" s="35"/>
      <c r="AQ106" s="36"/>
      <c r="AR106" s="37"/>
      <c r="AS106" s="37"/>
      <c r="AT106" s="2"/>
      <c r="AU106" s="38"/>
      <c r="AV106" s="39"/>
    </row>
    <row r="107" ht="22.5" customHeight="1">
      <c r="A107" s="22" t="s">
        <v>18</v>
      </c>
      <c r="B107" s="23">
        <v>45841.0</v>
      </c>
      <c r="C107" s="24" t="s">
        <v>66</v>
      </c>
      <c r="D107" s="24" t="s">
        <v>20</v>
      </c>
      <c r="E107" s="25" t="s">
        <v>67</v>
      </c>
      <c r="F107" s="25">
        <v>1.0</v>
      </c>
      <c r="G107" s="26">
        <v>19954.0</v>
      </c>
      <c r="I107" s="27" t="s">
        <v>24</v>
      </c>
      <c r="J107" s="28">
        <v>45847.0</v>
      </c>
      <c r="K107" s="29" t="s">
        <v>93</v>
      </c>
      <c r="L107" s="30" t="s">
        <v>20</v>
      </c>
      <c r="M107" s="31" t="s">
        <v>94</v>
      </c>
      <c r="N107" s="32">
        <v>0.5</v>
      </c>
      <c r="O107" s="33">
        <v>18052.96</v>
      </c>
      <c r="P107" s="34">
        <f t="shared" si="1"/>
        <v>289059.61</v>
      </c>
      <c r="AP107" s="35"/>
      <c r="AQ107" s="36"/>
      <c r="AR107" s="37"/>
      <c r="AS107" s="37"/>
      <c r="AT107" s="2"/>
      <c r="AU107" s="38"/>
      <c r="AV107" s="39"/>
    </row>
    <row r="108" ht="22.5" customHeight="1">
      <c r="A108" s="22" t="s">
        <v>23</v>
      </c>
      <c r="B108" s="23">
        <v>45841.0</v>
      </c>
      <c r="C108" s="24" t="s">
        <v>66</v>
      </c>
      <c r="D108" s="24" t="s">
        <v>20</v>
      </c>
      <c r="E108" s="25" t="s">
        <v>67</v>
      </c>
      <c r="F108" s="25">
        <v>1.0</v>
      </c>
      <c r="G108" s="26">
        <v>19954.0</v>
      </c>
      <c r="I108" s="27" t="s">
        <v>26</v>
      </c>
      <c r="J108" s="28">
        <v>45847.0</v>
      </c>
      <c r="K108" s="29" t="s">
        <v>93</v>
      </c>
      <c r="L108" s="30" t="s">
        <v>20</v>
      </c>
      <c r="M108" s="31" t="s">
        <v>94</v>
      </c>
      <c r="N108" s="32">
        <v>0.5</v>
      </c>
      <c r="O108" s="33">
        <v>18052.96</v>
      </c>
      <c r="P108" s="34">
        <f t="shared" si="1"/>
        <v>289059.61</v>
      </c>
      <c r="AP108" s="35"/>
      <c r="AQ108" s="36"/>
      <c r="AR108" s="37"/>
      <c r="AS108" s="37"/>
      <c r="AT108" s="2"/>
      <c r="AU108" s="38"/>
      <c r="AV108" s="39"/>
    </row>
    <row r="109" ht="22.5" customHeight="1">
      <c r="A109" s="22" t="s">
        <v>25</v>
      </c>
      <c r="B109" s="23">
        <v>45841.0</v>
      </c>
      <c r="C109" s="24" t="s">
        <v>66</v>
      </c>
      <c r="D109" s="24" t="s">
        <v>20</v>
      </c>
      <c r="E109" s="25" t="s">
        <v>67</v>
      </c>
      <c r="F109" s="25">
        <v>1.0</v>
      </c>
      <c r="G109" s="26">
        <v>45657.74</v>
      </c>
      <c r="I109" s="27" t="s">
        <v>18</v>
      </c>
      <c r="J109" s="28">
        <v>45847.0</v>
      </c>
      <c r="K109" s="29" t="s">
        <v>93</v>
      </c>
      <c r="L109" s="30" t="s">
        <v>20</v>
      </c>
      <c r="M109" s="31" t="s">
        <v>94</v>
      </c>
      <c r="N109" s="32">
        <v>3.0</v>
      </c>
      <c r="O109" s="33">
        <v>55683.15</v>
      </c>
      <c r="P109" s="34">
        <f t="shared" si="1"/>
        <v>289059.61</v>
      </c>
      <c r="AP109" s="35"/>
      <c r="AQ109" s="36"/>
      <c r="AR109" s="37"/>
      <c r="AS109" s="37"/>
      <c r="AT109" s="2"/>
      <c r="AU109" s="38"/>
      <c r="AV109" s="39"/>
    </row>
    <row r="110" ht="22.5" customHeight="1">
      <c r="A110" s="22" t="s">
        <v>40</v>
      </c>
      <c r="B110" s="23">
        <v>45841.0</v>
      </c>
      <c r="C110" s="24" t="s">
        <v>66</v>
      </c>
      <c r="D110" s="24" t="s">
        <v>20</v>
      </c>
      <c r="E110" s="25" t="s">
        <v>67</v>
      </c>
      <c r="F110" s="25">
        <v>1.0</v>
      </c>
      <c r="G110" s="26">
        <v>45657.74</v>
      </c>
      <c r="I110" s="27" t="s">
        <v>23</v>
      </c>
      <c r="J110" s="28">
        <v>45847.0</v>
      </c>
      <c r="K110" s="29" t="s">
        <v>93</v>
      </c>
      <c r="L110" s="30" t="s">
        <v>20</v>
      </c>
      <c r="M110" s="31" t="s">
        <v>94</v>
      </c>
      <c r="N110" s="32">
        <v>2.0</v>
      </c>
      <c r="O110" s="33">
        <v>37122.1</v>
      </c>
      <c r="P110" s="34">
        <f t="shared" si="1"/>
        <v>289059.61</v>
      </c>
      <c r="AP110" s="35"/>
      <c r="AQ110" s="36"/>
      <c r="AR110" s="37"/>
      <c r="AS110" s="37"/>
      <c r="AT110" s="2"/>
      <c r="AU110" s="38"/>
      <c r="AV110" s="39"/>
    </row>
    <row r="111" ht="22.5" customHeight="1">
      <c r="A111" s="22" t="s">
        <v>27</v>
      </c>
      <c r="B111" s="23">
        <v>45841.0</v>
      </c>
      <c r="C111" s="24" t="s">
        <v>66</v>
      </c>
      <c r="D111" s="24" t="s">
        <v>20</v>
      </c>
      <c r="E111" s="25" t="s">
        <v>67</v>
      </c>
      <c r="F111" s="25">
        <v>1.0</v>
      </c>
      <c r="G111" s="26">
        <v>40037.11</v>
      </c>
      <c r="I111" s="27" t="s">
        <v>27</v>
      </c>
      <c r="J111" s="28">
        <v>45847.0</v>
      </c>
      <c r="K111" s="29" t="s">
        <v>93</v>
      </c>
      <c r="L111" s="30" t="s">
        <v>20</v>
      </c>
      <c r="M111" s="31" t="s">
        <v>94</v>
      </c>
      <c r="N111" s="32">
        <v>2.0</v>
      </c>
      <c r="O111" s="33">
        <v>80074.22</v>
      </c>
      <c r="P111" s="34">
        <f t="shared" si="1"/>
        <v>289059.61</v>
      </c>
      <c r="AP111" s="35"/>
      <c r="AQ111" s="36"/>
      <c r="AR111" s="37"/>
      <c r="AS111" s="37"/>
      <c r="AT111" s="2"/>
      <c r="AU111" s="38"/>
      <c r="AV111" s="39"/>
    </row>
    <row r="112" ht="22.5" customHeight="1">
      <c r="A112" s="22" t="s">
        <v>31</v>
      </c>
      <c r="B112" s="23">
        <v>45841.0</v>
      </c>
      <c r="C112" s="24" t="s">
        <v>66</v>
      </c>
      <c r="D112" s="24" t="s">
        <v>20</v>
      </c>
      <c r="E112" s="25" t="s">
        <v>67</v>
      </c>
      <c r="F112" s="25">
        <v>1.0</v>
      </c>
      <c r="G112" s="26">
        <v>40037.11</v>
      </c>
      <c r="I112" s="27" t="s">
        <v>31</v>
      </c>
      <c r="J112" s="28">
        <v>45847.0</v>
      </c>
      <c r="K112" s="29" t="s">
        <v>93</v>
      </c>
      <c r="L112" s="30" t="s">
        <v>20</v>
      </c>
      <c r="M112" s="31" t="s">
        <v>94</v>
      </c>
      <c r="N112" s="32">
        <v>2.0</v>
      </c>
      <c r="O112" s="33">
        <v>80074.22</v>
      </c>
      <c r="P112" s="34">
        <f t="shared" si="1"/>
        <v>289059.61</v>
      </c>
      <c r="AP112" s="35"/>
      <c r="AQ112" s="36"/>
      <c r="AR112" s="37"/>
      <c r="AS112" s="37"/>
      <c r="AT112" s="2"/>
      <c r="AU112" s="38"/>
      <c r="AV112" s="39"/>
    </row>
    <row r="113" ht="22.5" customHeight="1">
      <c r="A113" s="22" t="s">
        <v>28</v>
      </c>
      <c r="B113" s="23">
        <v>45841.0</v>
      </c>
      <c r="C113" s="24" t="s">
        <v>66</v>
      </c>
      <c r="D113" s="24" t="s">
        <v>20</v>
      </c>
      <c r="E113" s="25" t="s">
        <v>67</v>
      </c>
      <c r="F113" s="25">
        <v>0.5</v>
      </c>
      <c r="G113" s="26">
        <v>15168.05</v>
      </c>
      <c r="I113" s="27" t="s">
        <v>15</v>
      </c>
      <c r="J113" s="28">
        <v>45847.0</v>
      </c>
      <c r="K113" s="29" t="s">
        <v>95</v>
      </c>
      <c r="L113" s="30" t="s">
        <v>20</v>
      </c>
      <c r="M113" s="31" t="s">
        <v>96</v>
      </c>
      <c r="N113" s="32">
        <v>1.0</v>
      </c>
      <c r="O113" s="33">
        <v>42241.34</v>
      </c>
      <c r="P113" s="34">
        <f t="shared" si="1"/>
        <v>309081.85</v>
      </c>
      <c r="AP113" s="35"/>
      <c r="AQ113" s="36"/>
      <c r="AR113" s="37"/>
      <c r="AS113" s="37"/>
      <c r="AT113" s="2"/>
      <c r="AU113" s="38"/>
      <c r="AV113" s="39"/>
    </row>
    <row r="114" ht="22.5" customHeight="1">
      <c r="A114" s="22" t="s">
        <v>27</v>
      </c>
      <c r="B114" s="23">
        <v>45842.0</v>
      </c>
      <c r="C114" s="24" t="s">
        <v>68</v>
      </c>
      <c r="D114" s="24" t="s">
        <v>20</v>
      </c>
      <c r="E114" s="25" t="s">
        <v>69</v>
      </c>
      <c r="F114" s="25">
        <v>0.5</v>
      </c>
      <c r="G114" s="26">
        <v>20018.56</v>
      </c>
      <c r="I114" s="27" t="s">
        <v>22</v>
      </c>
      <c r="J114" s="28">
        <v>45847.0</v>
      </c>
      <c r="K114" s="29" t="s">
        <v>95</v>
      </c>
      <c r="L114" s="30" t="s">
        <v>20</v>
      </c>
      <c r="M114" s="31" t="s">
        <v>96</v>
      </c>
      <c r="N114" s="32">
        <v>1.0</v>
      </c>
      <c r="O114" s="33">
        <v>42241.34</v>
      </c>
      <c r="P114" s="34">
        <f t="shared" si="1"/>
        <v>309081.85</v>
      </c>
      <c r="AP114" s="35"/>
      <c r="AQ114" s="36"/>
      <c r="AR114" s="37"/>
      <c r="AS114" s="37"/>
      <c r="AT114" s="2"/>
      <c r="AU114" s="38"/>
      <c r="AV114" s="39"/>
    </row>
    <row r="115" ht="22.5" customHeight="1">
      <c r="A115" s="22" t="s">
        <v>18</v>
      </c>
      <c r="B115" s="23">
        <v>45842.0</v>
      </c>
      <c r="C115" s="24" t="s">
        <v>70</v>
      </c>
      <c r="D115" s="24" t="s">
        <v>20</v>
      </c>
      <c r="E115" s="25" t="s">
        <v>71</v>
      </c>
      <c r="F115" s="25">
        <v>1.0</v>
      </c>
      <c r="G115" s="26">
        <v>18561.05</v>
      </c>
      <c r="I115" s="27" t="s">
        <v>24</v>
      </c>
      <c r="J115" s="28">
        <v>45847.0</v>
      </c>
      <c r="K115" s="29" t="s">
        <v>95</v>
      </c>
      <c r="L115" s="30" t="s">
        <v>20</v>
      </c>
      <c r="M115" s="31" t="s">
        <v>96</v>
      </c>
      <c r="N115" s="32">
        <v>0.5</v>
      </c>
      <c r="O115" s="33">
        <v>18052.96</v>
      </c>
      <c r="P115" s="34">
        <f t="shared" si="1"/>
        <v>309081.85</v>
      </c>
      <c r="AP115" s="35"/>
      <c r="AQ115" s="36"/>
      <c r="AR115" s="37"/>
      <c r="AS115" s="37"/>
      <c r="AT115" s="2"/>
      <c r="AU115" s="38"/>
      <c r="AV115" s="39"/>
    </row>
    <row r="116" ht="22.5" customHeight="1">
      <c r="A116" s="22" t="s">
        <v>23</v>
      </c>
      <c r="B116" s="23">
        <v>45842.0</v>
      </c>
      <c r="C116" s="24" t="s">
        <v>70</v>
      </c>
      <c r="D116" s="24" t="s">
        <v>20</v>
      </c>
      <c r="E116" s="25" t="s">
        <v>71</v>
      </c>
      <c r="F116" s="25">
        <v>2.0</v>
      </c>
      <c r="G116" s="26">
        <v>37122.1</v>
      </c>
      <c r="I116" s="27" t="s">
        <v>26</v>
      </c>
      <c r="J116" s="28">
        <v>45847.0</v>
      </c>
      <c r="K116" s="29" t="s">
        <v>95</v>
      </c>
      <c r="L116" s="30" t="s">
        <v>20</v>
      </c>
      <c r="M116" s="31" t="s">
        <v>96</v>
      </c>
      <c r="N116" s="32">
        <v>0.5</v>
      </c>
      <c r="O116" s="33">
        <v>18052.96</v>
      </c>
      <c r="P116" s="34">
        <f t="shared" si="1"/>
        <v>309081.85</v>
      </c>
      <c r="AP116" s="35"/>
      <c r="AQ116" s="36"/>
      <c r="AR116" s="37"/>
      <c r="AS116" s="37"/>
      <c r="AT116" s="2"/>
      <c r="AU116" s="38"/>
      <c r="AV116" s="39"/>
    </row>
    <row r="117" ht="22.5" customHeight="1">
      <c r="A117" s="22" t="s">
        <v>25</v>
      </c>
      <c r="B117" s="23">
        <v>45842.0</v>
      </c>
      <c r="C117" s="24" t="s">
        <v>70</v>
      </c>
      <c r="D117" s="24" t="s">
        <v>20</v>
      </c>
      <c r="E117" s="25" t="s">
        <v>71</v>
      </c>
      <c r="F117" s="25">
        <v>1.0</v>
      </c>
      <c r="G117" s="26">
        <v>45657.74</v>
      </c>
      <c r="I117" s="27" t="s">
        <v>18</v>
      </c>
      <c r="J117" s="28">
        <v>45847.0</v>
      </c>
      <c r="K117" s="29" t="s">
        <v>95</v>
      </c>
      <c r="L117" s="30" t="s">
        <v>20</v>
      </c>
      <c r="M117" s="31" t="s">
        <v>96</v>
      </c>
      <c r="N117" s="32">
        <v>1.0</v>
      </c>
      <c r="O117" s="33">
        <v>18561.05</v>
      </c>
      <c r="P117" s="34">
        <f t="shared" si="1"/>
        <v>309081.85</v>
      </c>
      <c r="AP117" s="35"/>
      <c r="AQ117" s="36"/>
      <c r="AR117" s="37"/>
      <c r="AS117" s="37"/>
      <c r="AT117" s="2"/>
      <c r="AU117" s="38"/>
      <c r="AV117" s="39"/>
    </row>
    <row r="118" ht="22.5" customHeight="1">
      <c r="A118" s="22" t="s">
        <v>27</v>
      </c>
      <c r="B118" s="23">
        <v>45842.0</v>
      </c>
      <c r="C118" s="24" t="s">
        <v>70</v>
      </c>
      <c r="D118" s="24" t="s">
        <v>20</v>
      </c>
      <c r="E118" s="25" t="s">
        <v>71</v>
      </c>
      <c r="F118" s="25">
        <v>1.0</v>
      </c>
      <c r="G118" s="26">
        <v>40037.11</v>
      </c>
      <c r="I118" s="27" t="s">
        <v>23</v>
      </c>
      <c r="J118" s="28">
        <v>45847.0</v>
      </c>
      <c r="K118" s="29" t="s">
        <v>95</v>
      </c>
      <c r="L118" s="30" t="s">
        <v>20</v>
      </c>
      <c r="M118" s="31" t="s">
        <v>96</v>
      </c>
      <c r="N118" s="32">
        <v>1.0</v>
      </c>
      <c r="O118" s="33">
        <v>18561.05</v>
      </c>
      <c r="P118" s="34">
        <f t="shared" si="1"/>
        <v>309081.85</v>
      </c>
      <c r="AP118" s="35"/>
      <c r="AQ118" s="48"/>
      <c r="AR118" s="49"/>
      <c r="AS118" s="49"/>
      <c r="AT118" s="50"/>
      <c r="AU118" s="51"/>
      <c r="AV118" s="54"/>
    </row>
    <row r="119" ht="22.5" customHeight="1">
      <c r="A119" s="22" t="s">
        <v>31</v>
      </c>
      <c r="B119" s="23">
        <v>45842.0</v>
      </c>
      <c r="C119" s="24" t="s">
        <v>70</v>
      </c>
      <c r="D119" s="24" t="s">
        <v>20</v>
      </c>
      <c r="E119" s="25" t="s">
        <v>71</v>
      </c>
      <c r="F119" s="25">
        <v>1.0</v>
      </c>
      <c r="G119" s="26">
        <v>40037.11</v>
      </c>
      <c r="I119" s="27" t="s">
        <v>25</v>
      </c>
      <c r="J119" s="28">
        <v>45847.0</v>
      </c>
      <c r="K119" s="29" t="s">
        <v>95</v>
      </c>
      <c r="L119" s="30" t="s">
        <v>20</v>
      </c>
      <c r="M119" s="31" t="s">
        <v>96</v>
      </c>
      <c r="N119" s="32">
        <v>1.0</v>
      </c>
      <c r="O119" s="33">
        <v>45657.74</v>
      </c>
      <c r="P119" s="34">
        <f t="shared" si="1"/>
        <v>309081.85</v>
      </c>
      <c r="AP119" s="35"/>
      <c r="AQ119" s="36"/>
      <c r="AR119" s="37"/>
      <c r="AS119" s="37"/>
      <c r="AT119" s="2"/>
      <c r="AU119" s="38"/>
      <c r="AV119" s="39"/>
    </row>
    <row r="120" ht="22.5" customHeight="1">
      <c r="A120" s="22" t="s">
        <v>24</v>
      </c>
      <c r="B120" s="23">
        <v>45842.0</v>
      </c>
      <c r="C120" s="53" t="s">
        <v>72</v>
      </c>
      <c r="D120" s="24" t="s">
        <v>20</v>
      </c>
      <c r="E120" s="25" t="s">
        <v>73</v>
      </c>
      <c r="F120" s="25">
        <v>1.0</v>
      </c>
      <c r="G120" s="26">
        <v>36105.91</v>
      </c>
      <c r="I120" s="27" t="s">
        <v>40</v>
      </c>
      <c r="J120" s="28">
        <v>45847.0</v>
      </c>
      <c r="K120" s="29" t="s">
        <v>95</v>
      </c>
      <c r="L120" s="30" t="s">
        <v>20</v>
      </c>
      <c r="M120" s="31" t="s">
        <v>96</v>
      </c>
      <c r="N120" s="32">
        <v>1.0</v>
      </c>
      <c r="O120" s="33">
        <v>45657.74</v>
      </c>
      <c r="P120" s="34">
        <f t="shared" si="1"/>
        <v>309081.85</v>
      </c>
      <c r="AP120" s="35"/>
      <c r="AQ120" s="36"/>
      <c r="AR120" s="37"/>
      <c r="AS120" s="37"/>
      <c r="AT120" s="2"/>
      <c r="AU120" s="38"/>
      <c r="AV120" s="39"/>
    </row>
    <row r="121" ht="22.5" customHeight="1">
      <c r="A121" s="22" t="s">
        <v>26</v>
      </c>
      <c r="B121" s="23">
        <v>45842.0</v>
      </c>
      <c r="C121" s="53" t="s">
        <v>72</v>
      </c>
      <c r="D121" s="24" t="s">
        <v>20</v>
      </c>
      <c r="E121" s="25" t="s">
        <v>73</v>
      </c>
      <c r="F121" s="25">
        <v>1.0</v>
      </c>
      <c r="G121" s="26">
        <v>36105.91</v>
      </c>
      <c r="I121" s="27" t="s">
        <v>27</v>
      </c>
      <c r="J121" s="28">
        <v>45847.0</v>
      </c>
      <c r="K121" s="29" t="s">
        <v>95</v>
      </c>
      <c r="L121" s="30" t="s">
        <v>20</v>
      </c>
      <c r="M121" s="31" t="s">
        <v>96</v>
      </c>
      <c r="N121" s="32">
        <v>1.0</v>
      </c>
      <c r="O121" s="33">
        <v>40037.11</v>
      </c>
      <c r="P121" s="34">
        <f t="shared" si="1"/>
        <v>309081.85</v>
      </c>
      <c r="AP121" s="35"/>
      <c r="AQ121" s="36"/>
      <c r="AR121" s="37"/>
      <c r="AS121" s="37"/>
      <c r="AT121" s="2"/>
      <c r="AU121" s="38"/>
      <c r="AV121" s="39"/>
    </row>
    <row r="122" ht="22.5" customHeight="1">
      <c r="A122" s="22" t="s">
        <v>18</v>
      </c>
      <c r="B122" s="23">
        <v>45842.0</v>
      </c>
      <c r="C122" s="53" t="s">
        <v>72</v>
      </c>
      <c r="D122" s="24" t="s">
        <v>20</v>
      </c>
      <c r="E122" s="25" t="s">
        <v>73</v>
      </c>
      <c r="F122" s="25">
        <v>1.0</v>
      </c>
      <c r="G122" s="26">
        <v>18561.05</v>
      </c>
      <c r="I122" s="27" t="s">
        <v>31</v>
      </c>
      <c r="J122" s="28">
        <v>45847.0</v>
      </c>
      <c r="K122" s="29" t="s">
        <v>95</v>
      </c>
      <c r="L122" s="30" t="s">
        <v>20</v>
      </c>
      <c r="M122" s="31" t="s">
        <v>96</v>
      </c>
      <c r="N122" s="32">
        <v>0.5</v>
      </c>
      <c r="O122" s="33">
        <v>20018.56</v>
      </c>
      <c r="P122" s="34">
        <f t="shared" si="1"/>
        <v>309081.85</v>
      </c>
      <c r="AP122" s="35"/>
      <c r="AQ122" s="36"/>
      <c r="AR122" s="37"/>
      <c r="AS122" s="37"/>
      <c r="AT122" s="2"/>
      <c r="AU122" s="38"/>
      <c r="AV122" s="39"/>
    </row>
    <row r="123" ht="22.5" customHeight="1">
      <c r="A123" s="22" t="s">
        <v>23</v>
      </c>
      <c r="B123" s="23">
        <v>45842.0</v>
      </c>
      <c r="C123" s="53" t="s">
        <v>72</v>
      </c>
      <c r="D123" s="24" t="s">
        <v>20</v>
      </c>
      <c r="E123" s="25" t="s">
        <v>73</v>
      </c>
      <c r="F123" s="25">
        <v>1.0</v>
      </c>
      <c r="G123" s="26">
        <v>18561.05</v>
      </c>
      <c r="I123" s="27" t="s">
        <v>18</v>
      </c>
      <c r="J123" s="28">
        <v>45847.0</v>
      </c>
      <c r="K123" s="29" t="s">
        <v>97</v>
      </c>
      <c r="L123" s="30" t="s">
        <v>20</v>
      </c>
      <c r="M123" s="31" t="s">
        <v>98</v>
      </c>
      <c r="N123" s="32">
        <v>0.5</v>
      </c>
      <c r="O123" s="33">
        <v>9280.53</v>
      </c>
      <c r="P123" s="34">
        <f t="shared" si="1"/>
        <v>64218.8</v>
      </c>
      <c r="AP123" s="35"/>
      <c r="AQ123" s="36"/>
      <c r="AR123" s="37"/>
      <c r="AS123" s="37"/>
      <c r="AT123" s="2"/>
      <c r="AU123" s="38"/>
      <c r="AV123" s="39"/>
    </row>
    <row r="124" ht="22.5" customHeight="1">
      <c r="A124" s="22" t="s">
        <v>27</v>
      </c>
      <c r="B124" s="23">
        <v>45842.0</v>
      </c>
      <c r="C124" s="53" t="s">
        <v>72</v>
      </c>
      <c r="D124" s="24" t="s">
        <v>20</v>
      </c>
      <c r="E124" s="25" t="s">
        <v>73</v>
      </c>
      <c r="F124" s="25">
        <v>1.0</v>
      </c>
      <c r="G124" s="26">
        <v>40037.11</v>
      </c>
      <c r="I124" s="27" t="s">
        <v>23</v>
      </c>
      <c r="J124" s="28">
        <v>45847.0</v>
      </c>
      <c r="K124" s="29" t="s">
        <v>97</v>
      </c>
      <c r="L124" s="30" t="s">
        <v>20</v>
      </c>
      <c r="M124" s="31" t="s">
        <v>98</v>
      </c>
      <c r="N124" s="32">
        <v>0.5</v>
      </c>
      <c r="O124" s="33">
        <v>9280.53</v>
      </c>
      <c r="P124" s="34">
        <f t="shared" si="1"/>
        <v>64218.8</v>
      </c>
      <c r="AP124" s="35"/>
      <c r="AQ124" s="36"/>
      <c r="AR124" s="37"/>
      <c r="AS124" s="37"/>
      <c r="AT124" s="2"/>
      <c r="AU124" s="38"/>
      <c r="AV124" s="39"/>
    </row>
    <row r="125" ht="22.5" customHeight="1">
      <c r="A125" s="22" t="s">
        <v>31</v>
      </c>
      <c r="B125" s="23">
        <v>45842.0</v>
      </c>
      <c r="C125" s="53" t="s">
        <v>72</v>
      </c>
      <c r="D125" s="24" t="s">
        <v>20</v>
      </c>
      <c r="E125" s="25" t="s">
        <v>73</v>
      </c>
      <c r="F125" s="25">
        <v>1.0</v>
      </c>
      <c r="G125" s="26">
        <v>40037.11</v>
      </c>
      <c r="I125" s="27" t="s">
        <v>25</v>
      </c>
      <c r="J125" s="28">
        <v>45847.0</v>
      </c>
      <c r="K125" s="29" t="s">
        <v>97</v>
      </c>
      <c r="L125" s="30" t="s">
        <v>20</v>
      </c>
      <c r="M125" s="31" t="s">
        <v>98</v>
      </c>
      <c r="N125" s="32">
        <v>0.5</v>
      </c>
      <c r="O125" s="33">
        <v>22828.87</v>
      </c>
      <c r="P125" s="34">
        <f t="shared" si="1"/>
        <v>64218.8</v>
      </c>
      <c r="AP125" s="35"/>
      <c r="AQ125" s="36"/>
      <c r="AR125" s="37"/>
      <c r="AS125" s="37"/>
      <c r="AT125" s="2"/>
      <c r="AU125" s="38"/>
      <c r="AV125" s="39"/>
    </row>
    <row r="126" ht="22.5" customHeight="1">
      <c r="A126" s="22" t="s">
        <v>25</v>
      </c>
      <c r="B126" s="23">
        <v>45845.0</v>
      </c>
      <c r="C126" s="24" t="s">
        <v>74</v>
      </c>
      <c r="D126" s="24" t="s">
        <v>20</v>
      </c>
      <c r="E126" s="25" t="s">
        <v>75</v>
      </c>
      <c r="F126" s="25">
        <v>0.5</v>
      </c>
      <c r="G126" s="26">
        <v>22828.87</v>
      </c>
      <c r="I126" s="27" t="s">
        <v>40</v>
      </c>
      <c r="J126" s="28">
        <v>45847.0</v>
      </c>
      <c r="K126" s="29" t="s">
        <v>97</v>
      </c>
      <c r="L126" s="30" t="s">
        <v>20</v>
      </c>
      <c r="M126" s="31" t="s">
        <v>98</v>
      </c>
      <c r="N126" s="32">
        <v>0.5</v>
      </c>
      <c r="O126" s="33">
        <v>22828.87</v>
      </c>
      <c r="P126" s="34">
        <f t="shared" si="1"/>
        <v>64218.8</v>
      </c>
      <c r="AP126" s="35"/>
      <c r="AQ126" s="36"/>
      <c r="AR126" s="37"/>
      <c r="AS126" s="37"/>
      <c r="AT126" s="2"/>
      <c r="AU126" s="38"/>
      <c r="AV126" s="39"/>
    </row>
    <row r="127" ht="22.5" customHeight="1">
      <c r="A127" s="22" t="s">
        <v>23</v>
      </c>
      <c r="B127" s="23">
        <v>45847.0</v>
      </c>
      <c r="C127" s="53" t="s">
        <v>76</v>
      </c>
      <c r="D127" s="24" t="s">
        <v>20</v>
      </c>
      <c r="E127" s="25" t="s">
        <v>77</v>
      </c>
      <c r="F127" s="25">
        <v>2.0</v>
      </c>
      <c r="G127" s="26">
        <v>37122.1</v>
      </c>
      <c r="I127" s="27" t="s">
        <v>18</v>
      </c>
      <c r="J127" s="28">
        <v>45849.0</v>
      </c>
      <c r="K127" s="30" t="s">
        <v>99</v>
      </c>
      <c r="L127" s="30" t="s">
        <v>20</v>
      </c>
      <c r="M127" s="31" t="s">
        <v>100</v>
      </c>
      <c r="N127" s="32">
        <v>1.0</v>
      </c>
      <c r="O127" s="33">
        <v>18561.05</v>
      </c>
      <c r="P127" s="34">
        <f t="shared" si="1"/>
        <v>187035.74</v>
      </c>
      <c r="AP127" s="35"/>
      <c r="AQ127" s="36"/>
      <c r="AR127" s="37"/>
      <c r="AS127" s="37"/>
      <c r="AT127" s="2"/>
      <c r="AU127" s="38"/>
      <c r="AV127" s="39"/>
    </row>
    <row r="128" ht="22.5" customHeight="1">
      <c r="A128" s="22" t="s">
        <v>27</v>
      </c>
      <c r="B128" s="23">
        <v>45847.0</v>
      </c>
      <c r="C128" s="53" t="s">
        <v>76</v>
      </c>
      <c r="D128" s="24" t="s">
        <v>20</v>
      </c>
      <c r="E128" s="25" t="s">
        <v>77</v>
      </c>
      <c r="F128" s="25">
        <v>0.5</v>
      </c>
      <c r="G128" s="26">
        <v>20018.56</v>
      </c>
      <c r="I128" s="27" t="s">
        <v>23</v>
      </c>
      <c r="J128" s="28">
        <v>45849.0</v>
      </c>
      <c r="K128" s="30" t="s">
        <v>99</v>
      </c>
      <c r="L128" s="30" t="s">
        <v>20</v>
      </c>
      <c r="M128" s="31" t="s">
        <v>100</v>
      </c>
      <c r="N128" s="32">
        <v>2.0</v>
      </c>
      <c r="O128" s="33">
        <v>37122.1</v>
      </c>
      <c r="P128" s="34">
        <f t="shared" si="1"/>
        <v>187035.74</v>
      </c>
      <c r="AP128" s="35"/>
      <c r="AQ128" s="36"/>
      <c r="AR128" s="37"/>
      <c r="AS128" s="37"/>
      <c r="AT128" s="2"/>
      <c r="AU128" s="38"/>
      <c r="AV128" s="39"/>
    </row>
    <row r="129" ht="22.5" customHeight="1">
      <c r="A129" s="22" t="s">
        <v>15</v>
      </c>
      <c r="B129" s="23">
        <v>45847.0</v>
      </c>
      <c r="C129" s="53" t="s">
        <v>41</v>
      </c>
      <c r="D129" s="24" t="s">
        <v>20</v>
      </c>
      <c r="E129" s="25" t="s">
        <v>78</v>
      </c>
      <c r="F129" s="25">
        <v>1.0</v>
      </c>
      <c r="G129" s="26">
        <v>42241.34</v>
      </c>
      <c r="I129" s="27" t="s">
        <v>25</v>
      </c>
      <c r="J129" s="28">
        <v>45849.0</v>
      </c>
      <c r="K129" s="30" t="s">
        <v>99</v>
      </c>
      <c r="L129" s="30" t="s">
        <v>20</v>
      </c>
      <c r="M129" s="31" t="s">
        <v>100</v>
      </c>
      <c r="N129" s="32">
        <v>1.0</v>
      </c>
      <c r="O129" s="33">
        <v>45657.74</v>
      </c>
      <c r="P129" s="34">
        <f t="shared" si="1"/>
        <v>187035.74</v>
      </c>
      <c r="AP129" s="35"/>
      <c r="AQ129" s="36"/>
      <c r="AR129" s="37"/>
      <c r="AS129" s="37"/>
      <c r="AT129" s="2"/>
      <c r="AU129" s="38"/>
      <c r="AV129" s="39"/>
    </row>
    <row r="130" ht="22.5" customHeight="1">
      <c r="A130" s="22" t="s">
        <v>22</v>
      </c>
      <c r="B130" s="23">
        <v>45847.0</v>
      </c>
      <c r="C130" s="53" t="s">
        <v>41</v>
      </c>
      <c r="D130" s="24" t="s">
        <v>20</v>
      </c>
      <c r="E130" s="25" t="s">
        <v>78</v>
      </c>
      <c r="F130" s="25">
        <v>0.5</v>
      </c>
      <c r="G130" s="26">
        <v>21120.67</v>
      </c>
      <c r="I130" s="27" t="s">
        <v>40</v>
      </c>
      <c r="J130" s="28">
        <v>45849.0</v>
      </c>
      <c r="K130" s="30" t="s">
        <v>99</v>
      </c>
      <c r="L130" s="30" t="s">
        <v>20</v>
      </c>
      <c r="M130" s="31" t="s">
        <v>100</v>
      </c>
      <c r="N130" s="32">
        <v>1.0</v>
      </c>
      <c r="O130" s="33">
        <v>45657.74</v>
      </c>
      <c r="P130" s="34">
        <f t="shared" si="1"/>
        <v>187035.74</v>
      </c>
      <c r="AP130" s="35"/>
      <c r="AQ130" s="36"/>
      <c r="AR130" s="37"/>
      <c r="AS130" s="37"/>
      <c r="AT130" s="2"/>
      <c r="AU130" s="38"/>
      <c r="AV130" s="39"/>
    </row>
    <row r="131" ht="22.5" customHeight="1">
      <c r="A131" s="22" t="s">
        <v>24</v>
      </c>
      <c r="B131" s="23">
        <v>45847.0</v>
      </c>
      <c r="C131" s="53" t="s">
        <v>41</v>
      </c>
      <c r="D131" s="24" t="s">
        <v>20</v>
      </c>
      <c r="E131" s="25" t="s">
        <v>78</v>
      </c>
      <c r="F131" s="25">
        <v>1.0</v>
      </c>
      <c r="G131" s="26">
        <v>36105.91</v>
      </c>
      <c r="I131" s="27" t="s">
        <v>31</v>
      </c>
      <c r="J131" s="28">
        <v>45849.0</v>
      </c>
      <c r="K131" s="30" t="s">
        <v>99</v>
      </c>
      <c r="L131" s="30" t="s">
        <v>20</v>
      </c>
      <c r="M131" s="31" t="s">
        <v>100</v>
      </c>
      <c r="N131" s="32">
        <v>1.0</v>
      </c>
      <c r="O131" s="33">
        <v>40037.11</v>
      </c>
      <c r="P131" s="34">
        <f t="shared" si="1"/>
        <v>187035.74</v>
      </c>
      <c r="AP131" s="35"/>
      <c r="AQ131" s="36"/>
      <c r="AR131" s="37"/>
      <c r="AS131" s="37"/>
      <c r="AT131" s="2"/>
      <c r="AU131" s="38"/>
      <c r="AV131" s="39"/>
    </row>
    <row r="132" ht="22.5" customHeight="1">
      <c r="A132" s="22" t="s">
        <v>26</v>
      </c>
      <c r="B132" s="23">
        <v>45847.0</v>
      </c>
      <c r="C132" s="53" t="s">
        <v>41</v>
      </c>
      <c r="D132" s="24" t="s">
        <v>20</v>
      </c>
      <c r="E132" s="25" t="s">
        <v>78</v>
      </c>
      <c r="F132" s="25">
        <v>1.0</v>
      </c>
      <c r="G132" s="26">
        <v>36105.91</v>
      </c>
      <c r="I132" s="27" t="s">
        <v>18</v>
      </c>
      <c r="J132" s="28">
        <v>45850.0</v>
      </c>
      <c r="K132" s="30" t="s">
        <v>101</v>
      </c>
      <c r="L132" s="30" t="s">
        <v>20</v>
      </c>
      <c r="M132" s="31" t="s">
        <v>102</v>
      </c>
      <c r="N132" s="32">
        <v>1.0</v>
      </c>
      <c r="O132" s="33">
        <v>18561.05</v>
      </c>
      <c r="P132" s="34">
        <f t="shared" si="1"/>
        <v>18561.05</v>
      </c>
      <c r="AP132" s="35"/>
      <c r="AQ132" s="36"/>
      <c r="AR132" s="37"/>
      <c r="AS132" s="37"/>
      <c r="AT132" s="2"/>
      <c r="AU132" s="38"/>
      <c r="AV132" s="39"/>
    </row>
    <row r="133" ht="22.5" customHeight="1">
      <c r="A133" s="22" t="s">
        <v>27</v>
      </c>
      <c r="B133" s="23">
        <v>45847.0</v>
      </c>
      <c r="C133" s="53" t="s">
        <v>41</v>
      </c>
      <c r="D133" s="24" t="s">
        <v>20</v>
      </c>
      <c r="E133" s="25" t="s">
        <v>78</v>
      </c>
      <c r="F133" s="25">
        <v>0.5</v>
      </c>
      <c r="G133" s="26">
        <v>20018.56</v>
      </c>
      <c r="I133" s="27" t="s">
        <v>25</v>
      </c>
      <c r="J133" s="28">
        <v>45853.0</v>
      </c>
      <c r="K133" s="29" t="s">
        <v>103</v>
      </c>
      <c r="L133" s="30" t="s">
        <v>20</v>
      </c>
      <c r="M133" s="31" t="s">
        <v>104</v>
      </c>
      <c r="N133" s="32">
        <v>1.0</v>
      </c>
      <c r="O133" s="33">
        <v>45657.74</v>
      </c>
      <c r="P133" s="34">
        <f t="shared" si="1"/>
        <v>131352.6</v>
      </c>
      <c r="AP133" s="35"/>
      <c r="AQ133" s="36"/>
      <c r="AR133" s="37"/>
      <c r="AS133" s="37"/>
      <c r="AT133" s="2"/>
      <c r="AU133" s="38"/>
      <c r="AV133" s="39"/>
    </row>
    <row r="134" ht="22.5" customHeight="1">
      <c r="A134" s="22" t="s">
        <v>25</v>
      </c>
      <c r="B134" s="23">
        <v>45847.0</v>
      </c>
      <c r="C134" s="53" t="s">
        <v>79</v>
      </c>
      <c r="D134" s="24" t="s">
        <v>20</v>
      </c>
      <c r="E134" s="25" t="s">
        <v>80</v>
      </c>
      <c r="F134" s="25">
        <v>1.0</v>
      </c>
      <c r="G134" s="26">
        <v>45657.74</v>
      </c>
      <c r="I134" s="27" t="s">
        <v>40</v>
      </c>
      <c r="J134" s="28">
        <v>45853.0</v>
      </c>
      <c r="K134" s="29" t="s">
        <v>103</v>
      </c>
      <c r="L134" s="30" t="s">
        <v>20</v>
      </c>
      <c r="M134" s="31" t="s">
        <v>104</v>
      </c>
      <c r="N134" s="32">
        <v>1.0</v>
      </c>
      <c r="O134" s="33">
        <v>45657.74</v>
      </c>
      <c r="P134" s="34">
        <f t="shared" si="1"/>
        <v>131352.6</v>
      </c>
      <c r="AP134" s="35"/>
      <c r="AQ134" s="36"/>
      <c r="AR134" s="37"/>
      <c r="AS134" s="37"/>
      <c r="AT134" s="2"/>
      <c r="AU134" s="38"/>
      <c r="AV134" s="39"/>
    </row>
    <row r="135" ht="22.5" customHeight="1">
      <c r="A135" s="22" t="s">
        <v>40</v>
      </c>
      <c r="B135" s="23">
        <v>45847.0</v>
      </c>
      <c r="C135" s="53" t="s">
        <v>79</v>
      </c>
      <c r="D135" s="24" t="s">
        <v>20</v>
      </c>
      <c r="E135" s="25" t="s">
        <v>80</v>
      </c>
      <c r="F135" s="25">
        <v>1.0</v>
      </c>
      <c r="G135" s="26">
        <v>45657.74</v>
      </c>
      <c r="I135" s="27" t="s">
        <v>27</v>
      </c>
      <c r="J135" s="28">
        <v>45853.0</v>
      </c>
      <c r="K135" s="29" t="s">
        <v>103</v>
      </c>
      <c r="L135" s="30" t="s">
        <v>20</v>
      </c>
      <c r="M135" s="31" t="s">
        <v>104</v>
      </c>
      <c r="N135" s="32">
        <v>0.5</v>
      </c>
      <c r="O135" s="33">
        <v>20018.56</v>
      </c>
      <c r="P135" s="34">
        <f t="shared" si="1"/>
        <v>131352.6</v>
      </c>
      <c r="AP135" s="35"/>
      <c r="AQ135" s="36"/>
      <c r="AR135" s="37"/>
      <c r="AS135" s="37"/>
      <c r="AT135" s="2"/>
      <c r="AU135" s="38"/>
      <c r="AV135" s="39"/>
    </row>
    <row r="136" ht="22.5" customHeight="1">
      <c r="A136" s="22" t="s">
        <v>27</v>
      </c>
      <c r="B136" s="23">
        <v>45847.0</v>
      </c>
      <c r="C136" s="53" t="s">
        <v>79</v>
      </c>
      <c r="D136" s="24" t="s">
        <v>20</v>
      </c>
      <c r="E136" s="25" t="s">
        <v>80</v>
      </c>
      <c r="F136" s="25">
        <v>0.5</v>
      </c>
      <c r="G136" s="26">
        <v>20018.56</v>
      </c>
      <c r="I136" s="27" t="s">
        <v>31</v>
      </c>
      <c r="J136" s="28">
        <v>45853.0</v>
      </c>
      <c r="K136" s="29" t="s">
        <v>103</v>
      </c>
      <c r="L136" s="30" t="s">
        <v>20</v>
      </c>
      <c r="M136" s="31" t="s">
        <v>104</v>
      </c>
      <c r="N136" s="32">
        <v>0.5</v>
      </c>
      <c r="O136" s="33">
        <v>20018.56</v>
      </c>
      <c r="P136" s="34">
        <f t="shared" si="1"/>
        <v>131352.6</v>
      </c>
      <c r="AP136" s="35"/>
      <c r="AQ136" s="36"/>
      <c r="AR136" s="37"/>
      <c r="AS136" s="37"/>
      <c r="AT136" s="2"/>
      <c r="AU136" s="38"/>
      <c r="AV136" s="39"/>
    </row>
    <row r="137" ht="22.5" customHeight="1">
      <c r="A137" s="22" t="s">
        <v>25</v>
      </c>
      <c r="B137" s="23">
        <v>45847.0</v>
      </c>
      <c r="C137" s="53" t="s">
        <v>81</v>
      </c>
      <c r="D137" s="24" t="s">
        <v>20</v>
      </c>
      <c r="E137" s="25" t="s">
        <v>82</v>
      </c>
      <c r="F137" s="25">
        <v>0.5</v>
      </c>
      <c r="G137" s="26">
        <v>22828.87</v>
      </c>
      <c r="I137" s="27" t="s">
        <v>25</v>
      </c>
      <c r="J137" s="28">
        <v>45853.0</v>
      </c>
      <c r="K137" s="29" t="s">
        <v>62</v>
      </c>
      <c r="L137" s="30" t="s">
        <v>20</v>
      </c>
      <c r="M137" s="31" t="s">
        <v>105</v>
      </c>
      <c r="N137" s="32">
        <v>1.0</v>
      </c>
      <c r="O137" s="33">
        <v>45657.74</v>
      </c>
      <c r="P137" s="34">
        <f t="shared" si="1"/>
        <v>91315.48</v>
      </c>
      <c r="AP137" s="35"/>
      <c r="AQ137" s="36"/>
      <c r="AR137" s="37"/>
      <c r="AS137" s="37"/>
      <c r="AT137" s="2"/>
      <c r="AU137" s="38"/>
      <c r="AV137" s="39"/>
    </row>
    <row r="138" ht="22.5" customHeight="1">
      <c r="A138" s="22" t="s">
        <v>25</v>
      </c>
      <c r="B138" s="23">
        <v>45847.0</v>
      </c>
      <c r="C138" s="53" t="s">
        <v>83</v>
      </c>
      <c r="D138" s="24" t="s">
        <v>20</v>
      </c>
      <c r="E138" s="25" t="s">
        <v>84</v>
      </c>
      <c r="F138" s="25">
        <v>1.0</v>
      </c>
      <c r="G138" s="26">
        <v>45657.74</v>
      </c>
      <c r="I138" s="27" t="s">
        <v>40</v>
      </c>
      <c r="J138" s="28">
        <v>45853.0</v>
      </c>
      <c r="K138" s="29" t="s">
        <v>62</v>
      </c>
      <c r="L138" s="30" t="s">
        <v>20</v>
      </c>
      <c r="M138" s="31" t="s">
        <v>105</v>
      </c>
      <c r="N138" s="32">
        <v>1.0</v>
      </c>
      <c r="O138" s="33">
        <v>45657.74</v>
      </c>
      <c r="P138" s="34">
        <f t="shared" si="1"/>
        <v>91315.48</v>
      </c>
      <c r="AP138" s="35"/>
      <c r="AQ138" s="36"/>
      <c r="AR138" s="37"/>
      <c r="AS138" s="37"/>
      <c r="AT138" s="2"/>
      <c r="AU138" s="38"/>
      <c r="AV138" s="39"/>
    </row>
    <row r="139" ht="22.5" customHeight="1">
      <c r="A139" s="22" t="s">
        <v>40</v>
      </c>
      <c r="B139" s="23">
        <v>45847.0</v>
      </c>
      <c r="C139" s="53" t="s">
        <v>83</v>
      </c>
      <c r="D139" s="24" t="s">
        <v>20</v>
      </c>
      <c r="E139" s="25" t="s">
        <v>84</v>
      </c>
      <c r="F139" s="25">
        <v>1.0</v>
      </c>
      <c r="G139" s="26">
        <v>45657.74</v>
      </c>
      <c r="I139" s="27" t="s">
        <v>27</v>
      </c>
      <c r="J139" s="28">
        <v>45853.0</v>
      </c>
      <c r="K139" s="29" t="s">
        <v>106</v>
      </c>
      <c r="L139" s="30" t="s">
        <v>20</v>
      </c>
      <c r="M139" s="31" t="s">
        <v>107</v>
      </c>
      <c r="N139" s="32">
        <v>1.0</v>
      </c>
      <c r="O139" s="33">
        <v>40037.11</v>
      </c>
      <c r="P139" s="34">
        <f t="shared" si="1"/>
        <v>80074.22</v>
      </c>
      <c r="AP139" s="35"/>
      <c r="AQ139" s="36"/>
      <c r="AR139" s="37"/>
      <c r="AS139" s="37"/>
      <c r="AT139" s="2"/>
      <c r="AU139" s="38"/>
      <c r="AV139" s="39"/>
    </row>
    <row r="140" ht="22.5" customHeight="1">
      <c r="A140" s="22" t="s">
        <v>23</v>
      </c>
      <c r="B140" s="23">
        <v>45847.0</v>
      </c>
      <c r="C140" s="53" t="s">
        <v>85</v>
      </c>
      <c r="D140" s="24" t="s">
        <v>20</v>
      </c>
      <c r="E140" s="25" t="s">
        <v>86</v>
      </c>
      <c r="F140" s="25">
        <v>2.0</v>
      </c>
      <c r="G140" s="26">
        <v>37122.1</v>
      </c>
      <c r="I140" s="27" t="s">
        <v>31</v>
      </c>
      <c r="J140" s="28">
        <v>45853.0</v>
      </c>
      <c r="K140" s="29" t="s">
        <v>106</v>
      </c>
      <c r="L140" s="30" t="s">
        <v>20</v>
      </c>
      <c r="M140" s="31" t="s">
        <v>107</v>
      </c>
      <c r="N140" s="32">
        <v>1.0</v>
      </c>
      <c r="O140" s="33">
        <v>40037.11</v>
      </c>
      <c r="P140" s="34">
        <f t="shared" si="1"/>
        <v>80074.22</v>
      </c>
      <c r="AP140" s="35"/>
      <c r="AQ140" s="36"/>
      <c r="AR140" s="37"/>
      <c r="AS140" s="37"/>
      <c r="AT140" s="2"/>
      <c r="AU140" s="38"/>
      <c r="AV140" s="39"/>
    </row>
    <row r="141" ht="22.5" customHeight="1">
      <c r="A141" s="22" t="s">
        <v>25</v>
      </c>
      <c r="B141" s="23">
        <v>45847.0</v>
      </c>
      <c r="C141" s="53" t="s">
        <v>85</v>
      </c>
      <c r="D141" s="24" t="s">
        <v>20</v>
      </c>
      <c r="E141" s="25" t="s">
        <v>86</v>
      </c>
      <c r="F141" s="25">
        <v>1.0</v>
      </c>
      <c r="G141" s="26">
        <v>45657.74</v>
      </c>
      <c r="I141" s="27" t="s">
        <v>27</v>
      </c>
      <c r="J141" s="28">
        <v>45853.0</v>
      </c>
      <c r="K141" s="29" t="s">
        <v>108</v>
      </c>
      <c r="L141" s="30" t="s">
        <v>20</v>
      </c>
      <c r="M141" s="31" t="s">
        <v>109</v>
      </c>
      <c r="N141" s="32">
        <v>1.0</v>
      </c>
      <c r="O141" s="33">
        <v>40037.11</v>
      </c>
      <c r="P141" s="34">
        <f t="shared" si="1"/>
        <v>80074.22</v>
      </c>
      <c r="AP141" s="35"/>
      <c r="AQ141" s="36"/>
      <c r="AR141" s="37"/>
      <c r="AS141" s="37"/>
      <c r="AT141" s="2"/>
      <c r="AU141" s="38"/>
      <c r="AV141" s="39"/>
    </row>
    <row r="142" ht="22.5" customHeight="1">
      <c r="A142" s="22" t="s">
        <v>27</v>
      </c>
      <c r="B142" s="23">
        <v>45847.0</v>
      </c>
      <c r="C142" s="53" t="s">
        <v>85</v>
      </c>
      <c r="D142" s="24" t="s">
        <v>20</v>
      </c>
      <c r="E142" s="25" t="s">
        <v>86</v>
      </c>
      <c r="F142" s="25">
        <v>2.0</v>
      </c>
      <c r="G142" s="26">
        <v>80074.22</v>
      </c>
      <c r="I142" s="27" t="s">
        <v>31</v>
      </c>
      <c r="J142" s="28">
        <v>45853.0</v>
      </c>
      <c r="K142" s="29" t="s">
        <v>108</v>
      </c>
      <c r="L142" s="30" t="s">
        <v>20</v>
      </c>
      <c r="M142" s="31" t="s">
        <v>109</v>
      </c>
      <c r="N142" s="32">
        <v>1.0</v>
      </c>
      <c r="O142" s="33">
        <v>40037.11</v>
      </c>
      <c r="P142" s="34">
        <f t="shared" si="1"/>
        <v>80074.22</v>
      </c>
      <c r="AP142" s="35"/>
      <c r="AQ142" s="36"/>
      <c r="AR142" s="37"/>
      <c r="AS142" s="37"/>
      <c r="AT142" s="2"/>
      <c r="AU142" s="38"/>
      <c r="AV142" s="39"/>
    </row>
    <row r="143" ht="22.5" customHeight="1">
      <c r="A143" s="22" t="s">
        <v>31</v>
      </c>
      <c r="B143" s="23">
        <v>45847.0</v>
      </c>
      <c r="C143" s="53" t="s">
        <v>85</v>
      </c>
      <c r="D143" s="24" t="s">
        <v>20</v>
      </c>
      <c r="E143" s="25" t="s">
        <v>86</v>
      </c>
      <c r="F143" s="25">
        <v>1.0</v>
      </c>
      <c r="G143" s="26">
        <v>40037.11</v>
      </c>
      <c r="I143" s="27" t="s">
        <v>27</v>
      </c>
      <c r="J143" s="28">
        <v>45853.0</v>
      </c>
      <c r="K143" s="30" t="s">
        <v>110</v>
      </c>
      <c r="L143" s="30" t="s">
        <v>20</v>
      </c>
      <c r="M143" s="31" t="s">
        <v>111</v>
      </c>
      <c r="N143" s="32">
        <v>1.0</v>
      </c>
      <c r="O143" s="33">
        <v>40037.11</v>
      </c>
      <c r="P143" s="34">
        <f t="shared" si="1"/>
        <v>80074.22</v>
      </c>
      <c r="AP143" s="35"/>
      <c r="AQ143" s="36"/>
      <c r="AR143" s="37"/>
      <c r="AS143" s="37"/>
      <c r="AT143" s="2"/>
      <c r="AU143" s="38"/>
      <c r="AV143" s="39"/>
    </row>
    <row r="144" ht="22.5" customHeight="1">
      <c r="A144" s="22" t="s">
        <v>18</v>
      </c>
      <c r="B144" s="23">
        <v>45847.0</v>
      </c>
      <c r="C144" s="53" t="s">
        <v>87</v>
      </c>
      <c r="D144" s="24" t="s">
        <v>20</v>
      </c>
      <c r="E144" s="25" t="s">
        <v>88</v>
      </c>
      <c r="F144" s="25">
        <v>1.0</v>
      </c>
      <c r="G144" s="26">
        <v>18561.05</v>
      </c>
      <c r="I144" s="27" t="s">
        <v>31</v>
      </c>
      <c r="J144" s="28">
        <v>45853.0</v>
      </c>
      <c r="K144" s="30" t="s">
        <v>110</v>
      </c>
      <c r="L144" s="30" t="s">
        <v>20</v>
      </c>
      <c r="M144" s="31" t="s">
        <v>111</v>
      </c>
      <c r="N144" s="32">
        <v>1.0</v>
      </c>
      <c r="O144" s="33">
        <v>40037.11</v>
      </c>
      <c r="P144" s="34">
        <f t="shared" si="1"/>
        <v>80074.22</v>
      </c>
      <c r="AP144" s="35"/>
      <c r="AQ144" s="36"/>
      <c r="AR144" s="37"/>
      <c r="AS144" s="37"/>
      <c r="AT144" s="2"/>
      <c r="AU144" s="38"/>
      <c r="AV144" s="39"/>
    </row>
    <row r="145" ht="22.5" customHeight="1">
      <c r="A145" s="22" t="s">
        <v>23</v>
      </c>
      <c r="B145" s="23">
        <v>45847.0</v>
      </c>
      <c r="C145" s="53" t="s">
        <v>87</v>
      </c>
      <c r="D145" s="24" t="s">
        <v>20</v>
      </c>
      <c r="E145" s="25" t="s">
        <v>88</v>
      </c>
      <c r="F145" s="25">
        <v>1.0</v>
      </c>
      <c r="G145" s="26">
        <v>18561.05</v>
      </c>
      <c r="I145" s="27" t="s">
        <v>27</v>
      </c>
      <c r="J145" s="28">
        <v>45853.0</v>
      </c>
      <c r="K145" s="30" t="s">
        <v>112</v>
      </c>
      <c r="L145" s="30" t="s">
        <v>20</v>
      </c>
      <c r="M145" s="31" t="s">
        <v>113</v>
      </c>
      <c r="N145" s="32">
        <v>1.0</v>
      </c>
      <c r="O145" s="33">
        <v>40037.11</v>
      </c>
      <c r="P145" s="34">
        <f t="shared" si="1"/>
        <v>80074.22</v>
      </c>
      <c r="AP145" s="35"/>
      <c r="AQ145" s="36"/>
      <c r="AR145" s="37"/>
      <c r="AS145" s="37"/>
      <c r="AT145" s="2"/>
      <c r="AU145" s="38"/>
      <c r="AV145" s="39"/>
    </row>
    <row r="146" ht="22.5" customHeight="1">
      <c r="A146" s="22" t="s">
        <v>25</v>
      </c>
      <c r="B146" s="23">
        <v>45847.0</v>
      </c>
      <c r="C146" s="53" t="s">
        <v>87</v>
      </c>
      <c r="D146" s="24" t="s">
        <v>20</v>
      </c>
      <c r="E146" s="25" t="s">
        <v>88</v>
      </c>
      <c r="F146" s="25">
        <v>1.0</v>
      </c>
      <c r="G146" s="26">
        <v>45657.74</v>
      </c>
      <c r="I146" s="27" t="s">
        <v>31</v>
      </c>
      <c r="J146" s="28">
        <v>45853.0</v>
      </c>
      <c r="K146" s="30" t="s">
        <v>112</v>
      </c>
      <c r="L146" s="30" t="s">
        <v>20</v>
      </c>
      <c r="M146" s="31" t="s">
        <v>113</v>
      </c>
      <c r="N146" s="32">
        <v>1.0</v>
      </c>
      <c r="O146" s="33">
        <v>40037.11</v>
      </c>
      <c r="P146" s="34">
        <f t="shared" si="1"/>
        <v>80074.22</v>
      </c>
      <c r="AP146" s="35"/>
      <c r="AQ146" s="36"/>
      <c r="AR146" s="37"/>
      <c r="AS146" s="37"/>
      <c r="AT146" s="2"/>
      <c r="AU146" s="38"/>
      <c r="AV146" s="39"/>
    </row>
    <row r="147" ht="22.5" customHeight="1">
      <c r="A147" s="22" t="s">
        <v>40</v>
      </c>
      <c r="B147" s="23">
        <v>45847.0</v>
      </c>
      <c r="C147" s="53" t="s">
        <v>87</v>
      </c>
      <c r="D147" s="24" t="s">
        <v>20</v>
      </c>
      <c r="E147" s="25" t="s">
        <v>88</v>
      </c>
      <c r="F147" s="25">
        <v>1.0</v>
      </c>
      <c r="G147" s="26">
        <v>45657.74</v>
      </c>
      <c r="I147" s="27" t="s">
        <v>27</v>
      </c>
      <c r="J147" s="28">
        <v>45853.0</v>
      </c>
      <c r="K147" s="29" t="s">
        <v>114</v>
      </c>
      <c r="L147" s="30" t="s">
        <v>20</v>
      </c>
      <c r="M147" s="31" t="s">
        <v>115</v>
      </c>
      <c r="N147" s="32">
        <v>2.0</v>
      </c>
      <c r="O147" s="33">
        <v>80074.22</v>
      </c>
      <c r="P147" s="34">
        <f t="shared" si="1"/>
        <v>100092.78</v>
      </c>
      <c r="AP147" s="35"/>
      <c r="AQ147" s="36"/>
      <c r="AR147" s="37"/>
      <c r="AS147" s="37"/>
      <c r="AT147" s="2"/>
      <c r="AU147" s="38"/>
      <c r="AV147" s="39"/>
    </row>
    <row r="148" ht="22.5" customHeight="1">
      <c r="A148" s="22" t="s">
        <v>24</v>
      </c>
      <c r="B148" s="23">
        <v>45847.0</v>
      </c>
      <c r="C148" s="53" t="s">
        <v>89</v>
      </c>
      <c r="D148" s="24" t="s">
        <v>20</v>
      </c>
      <c r="E148" s="25" t="s">
        <v>90</v>
      </c>
      <c r="F148" s="25">
        <v>0.5</v>
      </c>
      <c r="G148" s="26">
        <v>18052.96</v>
      </c>
      <c r="I148" s="27" t="s">
        <v>31</v>
      </c>
      <c r="J148" s="28">
        <v>45853.0</v>
      </c>
      <c r="K148" s="29" t="s">
        <v>114</v>
      </c>
      <c r="L148" s="30" t="s">
        <v>20</v>
      </c>
      <c r="M148" s="31" t="s">
        <v>115</v>
      </c>
      <c r="N148" s="32">
        <v>0.5</v>
      </c>
      <c r="O148" s="33">
        <v>20018.56</v>
      </c>
      <c r="P148" s="34">
        <f t="shared" si="1"/>
        <v>100092.78</v>
      </c>
      <c r="AP148" s="35"/>
      <c r="AQ148" s="36"/>
      <c r="AR148" s="37"/>
      <c r="AS148" s="37"/>
      <c r="AT148" s="2"/>
      <c r="AU148" s="38"/>
      <c r="AV148" s="39"/>
    </row>
    <row r="149" ht="22.5" customHeight="1">
      <c r="A149" s="22" t="s">
        <v>26</v>
      </c>
      <c r="B149" s="23">
        <v>45847.0</v>
      </c>
      <c r="C149" s="53" t="s">
        <v>89</v>
      </c>
      <c r="D149" s="24" t="s">
        <v>20</v>
      </c>
      <c r="E149" s="25" t="s">
        <v>90</v>
      </c>
      <c r="F149" s="25">
        <v>0.5</v>
      </c>
      <c r="G149" s="26">
        <v>18052.96</v>
      </c>
      <c r="I149" s="27" t="s">
        <v>25</v>
      </c>
      <c r="J149" s="28">
        <v>45853.0</v>
      </c>
      <c r="K149" s="30" t="s">
        <v>116</v>
      </c>
      <c r="L149" s="30" t="s">
        <v>20</v>
      </c>
      <c r="M149" s="31" t="s">
        <v>117</v>
      </c>
      <c r="N149" s="32">
        <v>1.0</v>
      </c>
      <c r="O149" s="33">
        <v>45657.74</v>
      </c>
      <c r="P149" s="34">
        <f t="shared" si="1"/>
        <v>68486.61</v>
      </c>
      <c r="AP149" s="35"/>
      <c r="AQ149" s="36"/>
      <c r="AR149" s="37"/>
      <c r="AS149" s="37"/>
      <c r="AT149" s="2"/>
      <c r="AU149" s="38"/>
      <c r="AV149" s="39"/>
    </row>
    <row r="150" ht="22.5" customHeight="1">
      <c r="A150" s="22" t="s">
        <v>25</v>
      </c>
      <c r="B150" s="23">
        <v>45847.0</v>
      </c>
      <c r="C150" s="53" t="s">
        <v>89</v>
      </c>
      <c r="D150" s="24" t="s">
        <v>20</v>
      </c>
      <c r="E150" s="25" t="s">
        <v>90</v>
      </c>
      <c r="F150" s="25">
        <v>2.0</v>
      </c>
      <c r="G150" s="26">
        <v>91315.48</v>
      </c>
      <c r="I150" s="27" t="s">
        <v>40</v>
      </c>
      <c r="J150" s="28">
        <v>45853.0</v>
      </c>
      <c r="K150" s="30" t="s">
        <v>116</v>
      </c>
      <c r="L150" s="30" t="s">
        <v>20</v>
      </c>
      <c r="M150" s="31" t="s">
        <v>117</v>
      </c>
      <c r="N150" s="32">
        <v>0.5</v>
      </c>
      <c r="O150" s="33">
        <v>22828.87</v>
      </c>
      <c r="P150" s="34">
        <f t="shared" si="1"/>
        <v>68486.61</v>
      </c>
      <c r="AP150" s="35"/>
      <c r="AQ150" s="36"/>
      <c r="AR150" s="37"/>
      <c r="AS150" s="37"/>
      <c r="AT150" s="2"/>
      <c r="AU150" s="38"/>
      <c r="AV150" s="39"/>
    </row>
    <row r="151" ht="22.5" customHeight="1">
      <c r="A151" s="22" t="s">
        <v>40</v>
      </c>
      <c r="B151" s="23">
        <v>45847.0</v>
      </c>
      <c r="C151" s="53" t="s">
        <v>89</v>
      </c>
      <c r="D151" s="24" t="s">
        <v>20</v>
      </c>
      <c r="E151" s="25" t="s">
        <v>90</v>
      </c>
      <c r="F151" s="25">
        <v>1.0</v>
      </c>
      <c r="G151" s="26">
        <v>45657.74</v>
      </c>
      <c r="I151" s="27" t="s">
        <v>25</v>
      </c>
      <c r="J151" s="28">
        <v>45853.0</v>
      </c>
      <c r="K151" s="30" t="s">
        <v>118</v>
      </c>
      <c r="L151" s="30" t="s">
        <v>20</v>
      </c>
      <c r="M151" s="31" t="s">
        <v>119</v>
      </c>
      <c r="N151" s="32">
        <v>1.0</v>
      </c>
      <c r="O151" s="33">
        <v>45657.74</v>
      </c>
      <c r="P151" s="34">
        <f t="shared" si="1"/>
        <v>68486.61</v>
      </c>
      <c r="AP151" s="35"/>
      <c r="AQ151" s="36"/>
      <c r="AR151" s="37"/>
      <c r="AS151" s="37"/>
      <c r="AT151" s="2"/>
      <c r="AU151" s="38"/>
      <c r="AV151" s="39"/>
    </row>
    <row r="152" ht="22.5" customHeight="1">
      <c r="A152" s="22" t="s">
        <v>27</v>
      </c>
      <c r="B152" s="23">
        <v>45847.0</v>
      </c>
      <c r="C152" s="53" t="s">
        <v>89</v>
      </c>
      <c r="D152" s="24" t="s">
        <v>20</v>
      </c>
      <c r="E152" s="25" t="s">
        <v>90</v>
      </c>
      <c r="F152" s="25">
        <v>1.0</v>
      </c>
      <c r="G152" s="26">
        <v>40037.11</v>
      </c>
      <c r="I152" s="27" t="s">
        <v>40</v>
      </c>
      <c r="J152" s="28">
        <v>45853.0</v>
      </c>
      <c r="K152" s="30" t="s">
        <v>118</v>
      </c>
      <c r="L152" s="30" t="s">
        <v>20</v>
      </c>
      <c r="M152" s="31" t="s">
        <v>119</v>
      </c>
      <c r="N152" s="32">
        <v>0.5</v>
      </c>
      <c r="O152" s="33">
        <v>22828.87</v>
      </c>
      <c r="P152" s="34">
        <f t="shared" si="1"/>
        <v>68486.61</v>
      </c>
      <c r="AP152" s="35"/>
      <c r="AQ152" s="36"/>
      <c r="AR152" s="37"/>
      <c r="AS152" s="37"/>
      <c r="AT152" s="2"/>
      <c r="AU152" s="38"/>
      <c r="AV152" s="39"/>
    </row>
    <row r="153" ht="22.5" customHeight="1">
      <c r="A153" s="22" t="s">
        <v>31</v>
      </c>
      <c r="B153" s="23">
        <v>45847.0</v>
      </c>
      <c r="C153" s="53" t="s">
        <v>89</v>
      </c>
      <c r="D153" s="24" t="s">
        <v>20</v>
      </c>
      <c r="E153" s="25" t="s">
        <v>90</v>
      </c>
      <c r="F153" s="25">
        <v>1.0</v>
      </c>
      <c r="G153" s="26">
        <v>40037.11</v>
      </c>
      <c r="I153" s="27" t="s">
        <v>27</v>
      </c>
      <c r="J153" s="28">
        <v>45853.0</v>
      </c>
      <c r="K153" s="29" t="s">
        <v>50</v>
      </c>
      <c r="L153" s="30" t="s">
        <v>20</v>
      </c>
      <c r="M153" s="31" t="s">
        <v>120</v>
      </c>
      <c r="N153" s="32">
        <v>1.0</v>
      </c>
      <c r="O153" s="33">
        <v>40037.11</v>
      </c>
      <c r="P153" s="34">
        <f t="shared" si="1"/>
        <v>80074.22</v>
      </c>
      <c r="AP153" s="35"/>
      <c r="AQ153" s="36"/>
      <c r="AR153" s="37"/>
      <c r="AS153" s="37"/>
      <c r="AT153" s="2"/>
      <c r="AU153" s="38"/>
      <c r="AV153" s="39"/>
    </row>
    <row r="154" ht="22.5" customHeight="1">
      <c r="A154" s="22" t="s">
        <v>18</v>
      </c>
      <c r="B154" s="23">
        <v>45847.0</v>
      </c>
      <c r="C154" s="53" t="s">
        <v>91</v>
      </c>
      <c r="D154" s="24" t="s">
        <v>20</v>
      </c>
      <c r="E154" s="25" t="s">
        <v>92</v>
      </c>
      <c r="F154" s="25">
        <v>1.0</v>
      </c>
      <c r="G154" s="26">
        <v>18561.05</v>
      </c>
      <c r="I154" s="27" t="s">
        <v>31</v>
      </c>
      <c r="J154" s="28">
        <v>45853.0</v>
      </c>
      <c r="K154" s="29" t="s">
        <v>50</v>
      </c>
      <c r="L154" s="30" t="s">
        <v>20</v>
      </c>
      <c r="M154" s="31" t="s">
        <v>120</v>
      </c>
      <c r="N154" s="32">
        <v>1.0</v>
      </c>
      <c r="O154" s="33">
        <v>40037.11</v>
      </c>
      <c r="P154" s="34">
        <f t="shared" si="1"/>
        <v>80074.22</v>
      </c>
      <c r="AP154" s="35"/>
      <c r="AQ154" s="36"/>
      <c r="AR154" s="37"/>
      <c r="AS154" s="37"/>
      <c r="AT154" s="2"/>
      <c r="AU154" s="38"/>
      <c r="AV154" s="39"/>
    </row>
    <row r="155" ht="22.5" customHeight="1">
      <c r="A155" s="22" t="s">
        <v>23</v>
      </c>
      <c r="B155" s="23">
        <v>45847.0</v>
      </c>
      <c r="C155" s="53" t="s">
        <v>91</v>
      </c>
      <c r="D155" s="24" t="s">
        <v>20</v>
      </c>
      <c r="E155" s="25" t="s">
        <v>92</v>
      </c>
      <c r="F155" s="25">
        <v>1.0</v>
      </c>
      <c r="G155" s="26">
        <v>18561.05</v>
      </c>
      <c r="I155" s="27" t="s">
        <v>25</v>
      </c>
      <c r="J155" s="28">
        <v>45855.0</v>
      </c>
      <c r="K155" s="29" t="s">
        <v>121</v>
      </c>
      <c r="L155" s="30" t="s">
        <v>20</v>
      </c>
      <c r="M155" s="31" t="s">
        <v>122</v>
      </c>
      <c r="N155" s="32">
        <v>1.0</v>
      </c>
      <c r="O155" s="33">
        <v>45657.74</v>
      </c>
      <c r="P155" s="34">
        <f t="shared" si="1"/>
        <v>68486.61</v>
      </c>
      <c r="AP155" s="35"/>
      <c r="AQ155" s="36"/>
      <c r="AR155" s="37"/>
      <c r="AS155" s="37"/>
      <c r="AT155" s="2"/>
      <c r="AU155" s="2"/>
      <c r="AV155" s="39"/>
    </row>
    <row r="156" ht="22.5" customHeight="1">
      <c r="A156" s="22" t="s">
        <v>27</v>
      </c>
      <c r="B156" s="23">
        <v>45847.0</v>
      </c>
      <c r="C156" s="53" t="s">
        <v>91</v>
      </c>
      <c r="D156" s="24" t="s">
        <v>20</v>
      </c>
      <c r="E156" s="25" t="s">
        <v>92</v>
      </c>
      <c r="F156" s="25">
        <v>1.0</v>
      </c>
      <c r="G156" s="26">
        <v>40037.11</v>
      </c>
      <c r="I156" s="27" t="s">
        <v>40</v>
      </c>
      <c r="J156" s="28">
        <v>45855.0</v>
      </c>
      <c r="K156" s="29" t="s">
        <v>121</v>
      </c>
      <c r="L156" s="30" t="s">
        <v>20</v>
      </c>
      <c r="M156" s="31" t="s">
        <v>122</v>
      </c>
      <c r="N156" s="32">
        <v>0.5</v>
      </c>
      <c r="O156" s="33">
        <v>22828.87</v>
      </c>
      <c r="P156" s="34">
        <f t="shared" si="1"/>
        <v>68486.61</v>
      </c>
      <c r="AP156" s="40"/>
      <c r="AQ156" s="48"/>
      <c r="AR156" s="49"/>
      <c r="AS156" s="49"/>
      <c r="AT156" s="50"/>
      <c r="AU156" s="51"/>
      <c r="AV156" s="54"/>
    </row>
    <row r="157" ht="22.5" customHeight="1">
      <c r="A157" s="22" t="s">
        <v>24</v>
      </c>
      <c r="B157" s="23">
        <v>45847.0</v>
      </c>
      <c r="C157" s="53" t="s">
        <v>93</v>
      </c>
      <c r="D157" s="24" t="s">
        <v>20</v>
      </c>
      <c r="E157" s="25" t="s">
        <v>94</v>
      </c>
      <c r="F157" s="25">
        <v>0.5</v>
      </c>
      <c r="G157" s="26">
        <v>18052.96</v>
      </c>
      <c r="I157" s="55" t="s">
        <v>25</v>
      </c>
      <c r="J157" s="56">
        <v>45856.0</v>
      </c>
      <c r="K157" s="57" t="s">
        <v>123</v>
      </c>
      <c r="L157" s="57" t="s">
        <v>20</v>
      </c>
      <c r="M157" s="58" t="s">
        <v>124</v>
      </c>
      <c r="N157" s="59">
        <v>1.0</v>
      </c>
      <c r="O157" s="60">
        <v>45657.74</v>
      </c>
      <c r="P157" s="34">
        <f t="shared" si="1"/>
        <v>45657.74</v>
      </c>
      <c r="AP157" s="35"/>
      <c r="AQ157" s="36"/>
      <c r="AR157" s="37"/>
      <c r="AS157" s="37"/>
      <c r="AT157" s="2"/>
      <c r="AU157" s="38"/>
      <c r="AV157" s="39"/>
    </row>
    <row r="158" ht="22.5" customHeight="1">
      <c r="A158" s="22" t="s">
        <v>26</v>
      </c>
      <c r="B158" s="23">
        <v>45847.0</v>
      </c>
      <c r="C158" s="53" t="s">
        <v>93</v>
      </c>
      <c r="D158" s="24" t="s">
        <v>20</v>
      </c>
      <c r="E158" s="25" t="s">
        <v>94</v>
      </c>
      <c r="F158" s="25">
        <v>0.5</v>
      </c>
      <c r="G158" s="26">
        <v>18052.96</v>
      </c>
      <c r="I158" s="27" t="s">
        <v>18</v>
      </c>
      <c r="J158" s="28">
        <v>45856.0</v>
      </c>
      <c r="K158" s="30" t="s">
        <v>125</v>
      </c>
      <c r="L158" s="30" t="s">
        <v>20</v>
      </c>
      <c r="M158" s="31" t="s">
        <v>126</v>
      </c>
      <c r="N158" s="32">
        <v>0.5</v>
      </c>
      <c r="O158" s="33">
        <v>9280.53</v>
      </c>
      <c r="P158" s="34">
        <f t="shared" si="1"/>
        <v>140633.12</v>
      </c>
      <c r="AP158" s="35"/>
      <c r="AQ158" s="36"/>
      <c r="AR158" s="37"/>
      <c r="AS158" s="37"/>
      <c r="AT158" s="2"/>
      <c r="AU158" s="38"/>
      <c r="AV158" s="39"/>
    </row>
    <row r="159" ht="22.5" customHeight="1">
      <c r="A159" s="22" t="s">
        <v>18</v>
      </c>
      <c r="B159" s="23">
        <v>45847.0</v>
      </c>
      <c r="C159" s="53" t="s">
        <v>93</v>
      </c>
      <c r="D159" s="24" t="s">
        <v>20</v>
      </c>
      <c r="E159" s="25" t="s">
        <v>94</v>
      </c>
      <c r="F159" s="25">
        <v>3.0</v>
      </c>
      <c r="G159" s="26">
        <v>55683.15</v>
      </c>
      <c r="I159" s="27" t="s">
        <v>31</v>
      </c>
      <c r="J159" s="28">
        <v>45856.0</v>
      </c>
      <c r="K159" s="30" t="s">
        <v>125</v>
      </c>
      <c r="L159" s="30" t="s">
        <v>20</v>
      </c>
      <c r="M159" s="31" t="s">
        <v>126</v>
      </c>
      <c r="N159" s="32">
        <v>1.0</v>
      </c>
      <c r="O159" s="33">
        <v>40037.11</v>
      </c>
      <c r="P159" s="34">
        <f t="shared" si="1"/>
        <v>140633.12</v>
      </c>
      <c r="AP159" s="35"/>
      <c r="AQ159" s="36"/>
      <c r="AR159" s="37"/>
      <c r="AS159" s="37"/>
      <c r="AT159" s="2"/>
      <c r="AU159" s="38"/>
      <c r="AV159" s="39"/>
    </row>
    <row r="160" ht="22.5" customHeight="1">
      <c r="A160" s="22" t="s">
        <v>23</v>
      </c>
      <c r="B160" s="23">
        <v>45847.0</v>
      </c>
      <c r="C160" s="53" t="s">
        <v>93</v>
      </c>
      <c r="D160" s="24" t="s">
        <v>20</v>
      </c>
      <c r="E160" s="25" t="s">
        <v>94</v>
      </c>
      <c r="F160" s="25">
        <v>2.0</v>
      </c>
      <c r="G160" s="26">
        <v>37122.1</v>
      </c>
      <c r="I160" s="55" t="s">
        <v>25</v>
      </c>
      <c r="J160" s="56">
        <v>45856.0</v>
      </c>
      <c r="K160" s="57" t="s">
        <v>125</v>
      </c>
      <c r="L160" s="57" t="s">
        <v>20</v>
      </c>
      <c r="M160" s="58" t="s">
        <v>126</v>
      </c>
      <c r="N160" s="59">
        <v>1.0</v>
      </c>
      <c r="O160" s="60">
        <v>45657.74</v>
      </c>
      <c r="P160" s="34">
        <f t="shared" si="1"/>
        <v>140633.12</v>
      </c>
    </row>
    <row r="161" ht="22.5" customHeight="1">
      <c r="A161" s="22" t="s">
        <v>27</v>
      </c>
      <c r="B161" s="23">
        <v>45847.0</v>
      </c>
      <c r="C161" s="53" t="s">
        <v>93</v>
      </c>
      <c r="D161" s="24" t="s">
        <v>20</v>
      </c>
      <c r="E161" s="25" t="s">
        <v>94</v>
      </c>
      <c r="F161" s="25">
        <v>2.0</v>
      </c>
      <c r="G161" s="26">
        <v>80074.22</v>
      </c>
      <c r="I161" s="27" t="s">
        <v>40</v>
      </c>
      <c r="J161" s="28">
        <v>45856.0</v>
      </c>
      <c r="K161" s="30" t="s">
        <v>125</v>
      </c>
      <c r="L161" s="30" t="s">
        <v>20</v>
      </c>
      <c r="M161" s="31" t="s">
        <v>126</v>
      </c>
      <c r="N161" s="32">
        <v>1.0</v>
      </c>
      <c r="O161" s="33">
        <v>45657.74</v>
      </c>
      <c r="P161" s="34">
        <f t="shared" si="1"/>
        <v>140633.12</v>
      </c>
    </row>
    <row r="162" ht="22.5" customHeight="1">
      <c r="A162" s="22" t="s">
        <v>31</v>
      </c>
      <c r="B162" s="23">
        <v>45847.0</v>
      </c>
      <c r="C162" s="53" t="s">
        <v>93</v>
      </c>
      <c r="D162" s="24" t="s">
        <v>20</v>
      </c>
      <c r="E162" s="25" t="s">
        <v>94</v>
      </c>
      <c r="F162" s="25">
        <v>2.0</v>
      </c>
      <c r="G162" s="26">
        <v>80074.22</v>
      </c>
      <c r="I162" s="27" t="s">
        <v>15</v>
      </c>
      <c r="J162" s="28">
        <v>45856.0</v>
      </c>
      <c r="K162" s="30" t="s">
        <v>41</v>
      </c>
      <c r="L162" s="30" t="s">
        <v>20</v>
      </c>
      <c r="M162" s="31" t="s">
        <v>127</v>
      </c>
      <c r="N162" s="32">
        <v>2.0</v>
      </c>
      <c r="O162" s="33">
        <v>84482.68</v>
      </c>
      <c r="P162" s="34">
        <f t="shared" si="1"/>
        <v>372529.77</v>
      </c>
    </row>
    <row r="163" ht="22.5" customHeight="1">
      <c r="A163" s="22" t="s">
        <v>15</v>
      </c>
      <c r="B163" s="23">
        <v>45847.0</v>
      </c>
      <c r="C163" s="53" t="s">
        <v>95</v>
      </c>
      <c r="D163" s="24" t="s">
        <v>20</v>
      </c>
      <c r="E163" s="25" t="s">
        <v>96</v>
      </c>
      <c r="F163" s="25">
        <v>1.0</v>
      </c>
      <c r="G163" s="26">
        <v>42241.34</v>
      </c>
      <c r="I163" s="27" t="s">
        <v>22</v>
      </c>
      <c r="J163" s="28">
        <v>45856.0</v>
      </c>
      <c r="K163" s="30" t="s">
        <v>41</v>
      </c>
      <c r="L163" s="30" t="s">
        <v>20</v>
      </c>
      <c r="M163" s="31" t="s">
        <v>127</v>
      </c>
      <c r="N163" s="32">
        <v>2.0</v>
      </c>
      <c r="O163" s="33">
        <v>84482.68</v>
      </c>
      <c r="P163" s="34">
        <f t="shared" si="1"/>
        <v>372529.77</v>
      </c>
    </row>
    <row r="164" ht="22.5" customHeight="1">
      <c r="A164" s="22" t="s">
        <v>22</v>
      </c>
      <c r="B164" s="23">
        <v>45847.0</v>
      </c>
      <c r="C164" s="53" t="s">
        <v>95</v>
      </c>
      <c r="D164" s="24" t="s">
        <v>20</v>
      </c>
      <c r="E164" s="25" t="s">
        <v>96</v>
      </c>
      <c r="F164" s="25">
        <v>1.0</v>
      </c>
      <c r="G164" s="26">
        <v>42241.34</v>
      </c>
      <c r="I164" s="27" t="s">
        <v>24</v>
      </c>
      <c r="J164" s="28">
        <v>45856.0</v>
      </c>
      <c r="K164" s="30" t="s">
        <v>41</v>
      </c>
      <c r="L164" s="30" t="s">
        <v>20</v>
      </c>
      <c r="M164" s="31" t="s">
        <v>127</v>
      </c>
      <c r="N164" s="32">
        <v>1.0</v>
      </c>
      <c r="O164" s="33">
        <v>36105.91</v>
      </c>
      <c r="P164" s="34">
        <f t="shared" si="1"/>
        <v>372529.77</v>
      </c>
    </row>
    <row r="165" ht="22.5" customHeight="1">
      <c r="A165" s="22" t="s">
        <v>24</v>
      </c>
      <c r="B165" s="23">
        <v>45847.0</v>
      </c>
      <c r="C165" s="53" t="s">
        <v>95</v>
      </c>
      <c r="D165" s="24" t="s">
        <v>20</v>
      </c>
      <c r="E165" s="25" t="s">
        <v>96</v>
      </c>
      <c r="F165" s="25">
        <v>0.5</v>
      </c>
      <c r="G165" s="26">
        <v>18052.96</v>
      </c>
      <c r="I165" s="27" t="s">
        <v>26</v>
      </c>
      <c r="J165" s="28">
        <v>45856.0</v>
      </c>
      <c r="K165" s="30" t="s">
        <v>41</v>
      </c>
      <c r="L165" s="30" t="s">
        <v>20</v>
      </c>
      <c r="M165" s="31" t="s">
        <v>127</v>
      </c>
      <c r="N165" s="32">
        <v>1.0</v>
      </c>
      <c r="O165" s="33">
        <v>36105.91</v>
      </c>
      <c r="P165" s="34">
        <f t="shared" si="1"/>
        <v>372529.77</v>
      </c>
    </row>
    <row r="166" ht="22.5" customHeight="1">
      <c r="A166" s="22" t="s">
        <v>26</v>
      </c>
      <c r="B166" s="23">
        <v>45847.0</v>
      </c>
      <c r="C166" s="53" t="s">
        <v>95</v>
      </c>
      <c r="D166" s="24" t="s">
        <v>20</v>
      </c>
      <c r="E166" s="25" t="s">
        <v>96</v>
      </c>
      <c r="F166" s="25">
        <v>0.5</v>
      </c>
      <c r="G166" s="26">
        <v>18052.96</v>
      </c>
      <c r="I166" s="27" t="s">
        <v>27</v>
      </c>
      <c r="J166" s="28">
        <v>45856.0</v>
      </c>
      <c r="K166" s="30" t="s">
        <v>41</v>
      </c>
      <c r="L166" s="30" t="s">
        <v>20</v>
      </c>
      <c r="M166" s="31" t="s">
        <v>127</v>
      </c>
      <c r="N166" s="32">
        <v>1.0</v>
      </c>
      <c r="O166" s="33">
        <v>40037.11</v>
      </c>
      <c r="P166" s="34">
        <f t="shared" si="1"/>
        <v>372529.77</v>
      </c>
    </row>
    <row r="167" ht="22.5" customHeight="1">
      <c r="A167" s="22" t="s">
        <v>18</v>
      </c>
      <c r="B167" s="23">
        <v>45847.0</v>
      </c>
      <c r="C167" s="53" t="s">
        <v>95</v>
      </c>
      <c r="D167" s="24" t="s">
        <v>20</v>
      </c>
      <c r="E167" s="25" t="s">
        <v>96</v>
      </c>
      <c r="F167" s="25">
        <v>1.0</v>
      </c>
      <c r="G167" s="26">
        <v>18561.05</v>
      </c>
      <c r="I167" s="55" t="s">
        <v>25</v>
      </c>
      <c r="J167" s="56">
        <v>45856.0</v>
      </c>
      <c r="K167" s="57" t="s">
        <v>41</v>
      </c>
      <c r="L167" s="57" t="s">
        <v>20</v>
      </c>
      <c r="M167" s="58" t="s">
        <v>127</v>
      </c>
      <c r="N167" s="59">
        <v>1.0</v>
      </c>
      <c r="O167" s="60">
        <v>45657.74</v>
      </c>
      <c r="P167" s="34">
        <f t="shared" si="1"/>
        <v>372529.77</v>
      </c>
    </row>
    <row r="168" ht="22.5" customHeight="1">
      <c r="A168" s="22" t="s">
        <v>23</v>
      </c>
      <c r="B168" s="23">
        <v>45847.0</v>
      </c>
      <c r="C168" s="53" t="s">
        <v>95</v>
      </c>
      <c r="D168" s="24" t="s">
        <v>20</v>
      </c>
      <c r="E168" s="25" t="s">
        <v>96</v>
      </c>
      <c r="F168" s="25">
        <v>1.0</v>
      </c>
      <c r="G168" s="26">
        <v>18561.05</v>
      </c>
      <c r="I168" s="27" t="s">
        <v>40</v>
      </c>
      <c r="J168" s="28">
        <v>45856.0</v>
      </c>
      <c r="K168" s="30" t="s">
        <v>41</v>
      </c>
      <c r="L168" s="30" t="s">
        <v>20</v>
      </c>
      <c r="M168" s="31" t="s">
        <v>127</v>
      </c>
      <c r="N168" s="32">
        <v>1.0</v>
      </c>
      <c r="O168" s="33">
        <v>45657.74</v>
      </c>
      <c r="P168" s="34">
        <f t="shared" si="1"/>
        <v>372529.77</v>
      </c>
    </row>
    <row r="169" ht="22.5" customHeight="1">
      <c r="A169" s="22" t="s">
        <v>25</v>
      </c>
      <c r="B169" s="23">
        <v>45847.0</v>
      </c>
      <c r="C169" s="53" t="s">
        <v>95</v>
      </c>
      <c r="D169" s="24" t="s">
        <v>20</v>
      </c>
      <c r="E169" s="25" t="s">
        <v>96</v>
      </c>
      <c r="F169" s="25">
        <v>1.0</v>
      </c>
      <c r="G169" s="26">
        <v>45657.74</v>
      </c>
      <c r="I169" s="55" t="s">
        <v>25</v>
      </c>
      <c r="J169" s="56">
        <v>45856.0</v>
      </c>
      <c r="K169" s="57" t="s">
        <v>60</v>
      </c>
      <c r="L169" s="57" t="s">
        <v>20</v>
      </c>
      <c r="M169" s="58" t="s">
        <v>128</v>
      </c>
      <c r="N169" s="59">
        <v>0.5</v>
      </c>
      <c r="O169" s="60">
        <v>22828.87</v>
      </c>
      <c r="P169" s="34">
        <f t="shared" si="1"/>
        <v>45657.74</v>
      </c>
    </row>
    <row r="170" ht="22.5" customHeight="1">
      <c r="A170" s="22" t="s">
        <v>40</v>
      </c>
      <c r="B170" s="23">
        <v>45847.0</v>
      </c>
      <c r="C170" s="53" t="s">
        <v>95</v>
      </c>
      <c r="D170" s="24" t="s">
        <v>20</v>
      </c>
      <c r="E170" s="25" t="s">
        <v>96</v>
      </c>
      <c r="F170" s="25">
        <v>1.0</v>
      </c>
      <c r="G170" s="26">
        <v>45657.74</v>
      </c>
      <c r="I170" s="27" t="s">
        <v>40</v>
      </c>
      <c r="J170" s="28">
        <v>45856.0</v>
      </c>
      <c r="K170" s="30" t="s">
        <v>60</v>
      </c>
      <c r="L170" s="30" t="s">
        <v>20</v>
      </c>
      <c r="M170" s="31" t="s">
        <v>128</v>
      </c>
      <c r="N170" s="32">
        <v>0.5</v>
      </c>
      <c r="O170" s="33">
        <v>22828.87</v>
      </c>
      <c r="P170" s="34">
        <f t="shared" si="1"/>
        <v>45657.74</v>
      </c>
    </row>
    <row r="171" ht="22.5" customHeight="1">
      <c r="A171" s="22" t="s">
        <v>27</v>
      </c>
      <c r="B171" s="23">
        <v>45847.0</v>
      </c>
      <c r="C171" s="53" t="s">
        <v>95</v>
      </c>
      <c r="D171" s="24" t="s">
        <v>20</v>
      </c>
      <c r="E171" s="25" t="s">
        <v>96</v>
      </c>
      <c r="F171" s="25">
        <v>1.0</v>
      </c>
      <c r="G171" s="26">
        <v>40037.11</v>
      </c>
      <c r="I171" s="55" t="s">
        <v>25</v>
      </c>
      <c r="J171" s="56">
        <v>45856.0</v>
      </c>
      <c r="K171" s="57" t="s">
        <v>129</v>
      </c>
      <c r="L171" s="57" t="s">
        <v>20</v>
      </c>
      <c r="M171" s="58" t="s">
        <v>130</v>
      </c>
      <c r="N171" s="59">
        <v>0.5</v>
      </c>
      <c r="O171" s="60">
        <v>22828.87</v>
      </c>
      <c r="P171" s="34">
        <f t="shared" si="1"/>
        <v>45657.74</v>
      </c>
    </row>
    <row r="172" ht="22.5" customHeight="1">
      <c r="A172" s="22" t="s">
        <v>31</v>
      </c>
      <c r="B172" s="23">
        <v>45847.0</v>
      </c>
      <c r="C172" s="53" t="s">
        <v>95</v>
      </c>
      <c r="D172" s="24" t="s">
        <v>20</v>
      </c>
      <c r="E172" s="25" t="s">
        <v>96</v>
      </c>
      <c r="F172" s="25">
        <v>0.5</v>
      </c>
      <c r="G172" s="26">
        <v>20018.56</v>
      </c>
      <c r="I172" s="27" t="s">
        <v>40</v>
      </c>
      <c r="J172" s="28">
        <v>45856.0</v>
      </c>
      <c r="K172" s="30" t="s">
        <v>129</v>
      </c>
      <c r="L172" s="30" t="s">
        <v>20</v>
      </c>
      <c r="M172" s="31" t="s">
        <v>130</v>
      </c>
      <c r="N172" s="32">
        <v>0.5</v>
      </c>
      <c r="O172" s="33">
        <v>22828.87</v>
      </c>
      <c r="P172" s="34">
        <f t="shared" si="1"/>
        <v>45657.74</v>
      </c>
    </row>
    <row r="173" ht="22.5" customHeight="1">
      <c r="A173" s="22" t="s">
        <v>18</v>
      </c>
      <c r="B173" s="23">
        <v>45847.0</v>
      </c>
      <c r="C173" s="53" t="s">
        <v>97</v>
      </c>
      <c r="D173" s="24" t="s">
        <v>20</v>
      </c>
      <c r="E173" s="25" t="s">
        <v>98</v>
      </c>
      <c r="F173" s="25">
        <v>0.5</v>
      </c>
      <c r="G173" s="26">
        <v>9280.53</v>
      </c>
      <c r="I173" s="55" t="s">
        <v>25</v>
      </c>
      <c r="J173" s="56">
        <v>45856.0</v>
      </c>
      <c r="K173" s="57" t="s">
        <v>45</v>
      </c>
      <c r="L173" s="57" t="s">
        <v>20</v>
      </c>
      <c r="M173" s="58" t="s">
        <v>131</v>
      </c>
      <c r="N173" s="59">
        <v>1.0</v>
      </c>
      <c r="O173" s="60">
        <v>45657.74</v>
      </c>
      <c r="P173" s="34">
        <f t="shared" si="1"/>
        <v>91315.48</v>
      </c>
    </row>
    <row r="174" ht="22.5" customHeight="1">
      <c r="A174" s="22" t="s">
        <v>23</v>
      </c>
      <c r="B174" s="23">
        <v>45847.0</v>
      </c>
      <c r="C174" s="53" t="s">
        <v>97</v>
      </c>
      <c r="D174" s="24" t="s">
        <v>20</v>
      </c>
      <c r="E174" s="25" t="s">
        <v>98</v>
      </c>
      <c r="F174" s="25">
        <v>0.5</v>
      </c>
      <c r="G174" s="26">
        <v>9280.53</v>
      </c>
      <c r="I174" s="27" t="s">
        <v>40</v>
      </c>
      <c r="J174" s="28">
        <v>45856.0</v>
      </c>
      <c r="K174" s="30" t="s">
        <v>45</v>
      </c>
      <c r="L174" s="30" t="s">
        <v>20</v>
      </c>
      <c r="M174" s="31" t="s">
        <v>131</v>
      </c>
      <c r="N174" s="32">
        <v>1.0</v>
      </c>
      <c r="O174" s="33">
        <v>45657.74</v>
      </c>
      <c r="P174" s="34">
        <f t="shared" si="1"/>
        <v>91315.48</v>
      </c>
    </row>
    <row r="175" ht="22.5" customHeight="1">
      <c r="A175" s="22" t="s">
        <v>25</v>
      </c>
      <c r="B175" s="23">
        <v>45847.0</v>
      </c>
      <c r="C175" s="53" t="s">
        <v>97</v>
      </c>
      <c r="D175" s="24" t="s">
        <v>20</v>
      </c>
      <c r="E175" s="25" t="s">
        <v>98</v>
      </c>
      <c r="F175" s="25">
        <v>0.5</v>
      </c>
      <c r="G175" s="26">
        <v>22828.87</v>
      </c>
      <c r="I175" s="27" t="s">
        <v>15</v>
      </c>
      <c r="J175" s="28">
        <v>45856.0</v>
      </c>
      <c r="K175" s="30" t="s">
        <v>132</v>
      </c>
      <c r="L175" s="30" t="s">
        <v>20</v>
      </c>
      <c r="M175" s="31" t="s">
        <v>133</v>
      </c>
      <c r="N175" s="32">
        <v>1.0</v>
      </c>
      <c r="O175" s="33">
        <v>42241.34</v>
      </c>
      <c r="P175" s="34">
        <f t="shared" si="1"/>
        <v>164042.1</v>
      </c>
    </row>
    <row r="176" ht="22.5" customHeight="1">
      <c r="A176" s="22" t="s">
        <v>40</v>
      </c>
      <c r="B176" s="23">
        <v>45847.0</v>
      </c>
      <c r="C176" s="53" t="s">
        <v>97</v>
      </c>
      <c r="D176" s="24" t="s">
        <v>20</v>
      </c>
      <c r="E176" s="25" t="s">
        <v>98</v>
      </c>
      <c r="F176" s="25">
        <v>0.5</v>
      </c>
      <c r="G176" s="26">
        <v>22828.87</v>
      </c>
      <c r="I176" s="27" t="s">
        <v>24</v>
      </c>
      <c r="J176" s="28">
        <v>45856.0</v>
      </c>
      <c r="K176" s="30" t="s">
        <v>132</v>
      </c>
      <c r="L176" s="30" t="s">
        <v>20</v>
      </c>
      <c r="M176" s="31" t="s">
        <v>133</v>
      </c>
      <c r="N176" s="32">
        <v>1.0</v>
      </c>
      <c r="O176" s="33">
        <v>36105.91</v>
      </c>
      <c r="P176" s="34">
        <f t="shared" si="1"/>
        <v>164042.1</v>
      </c>
    </row>
    <row r="177" ht="22.5" customHeight="1">
      <c r="A177" s="22" t="s">
        <v>18</v>
      </c>
      <c r="B177" s="23">
        <v>45849.0</v>
      </c>
      <c r="C177" s="24" t="s">
        <v>99</v>
      </c>
      <c r="D177" s="24" t="s">
        <v>20</v>
      </c>
      <c r="E177" s="25" t="s">
        <v>100</v>
      </c>
      <c r="F177" s="25">
        <v>1.0</v>
      </c>
      <c r="G177" s="26">
        <v>18561.05</v>
      </c>
      <c r="I177" s="27" t="s">
        <v>27</v>
      </c>
      <c r="J177" s="28">
        <v>45856.0</v>
      </c>
      <c r="K177" s="30" t="s">
        <v>132</v>
      </c>
      <c r="L177" s="30" t="s">
        <v>20</v>
      </c>
      <c r="M177" s="31" t="s">
        <v>133</v>
      </c>
      <c r="N177" s="32">
        <v>1.0</v>
      </c>
      <c r="O177" s="33">
        <v>40037.11</v>
      </c>
      <c r="P177" s="34">
        <f t="shared" si="1"/>
        <v>164042.1</v>
      </c>
    </row>
    <row r="178" ht="22.5" customHeight="1">
      <c r="A178" s="22" t="s">
        <v>23</v>
      </c>
      <c r="B178" s="23">
        <v>45849.0</v>
      </c>
      <c r="C178" s="24" t="s">
        <v>99</v>
      </c>
      <c r="D178" s="24" t="s">
        <v>20</v>
      </c>
      <c r="E178" s="25" t="s">
        <v>100</v>
      </c>
      <c r="F178" s="25">
        <v>2.0</v>
      </c>
      <c r="G178" s="26">
        <v>37122.1</v>
      </c>
      <c r="I178" s="55" t="s">
        <v>25</v>
      </c>
      <c r="J178" s="56">
        <v>45856.0</v>
      </c>
      <c r="K178" s="57" t="s">
        <v>132</v>
      </c>
      <c r="L178" s="57" t="s">
        <v>20</v>
      </c>
      <c r="M178" s="58" t="s">
        <v>133</v>
      </c>
      <c r="N178" s="59">
        <v>1.0</v>
      </c>
      <c r="O178" s="60">
        <v>45657.74</v>
      </c>
      <c r="P178" s="34">
        <f t="shared" si="1"/>
        <v>164042.1</v>
      </c>
    </row>
    <row r="179" ht="22.5" customHeight="1">
      <c r="A179" s="22" t="s">
        <v>25</v>
      </c>
      <c r="B179" s="23">
        <v>45849.0</v>
      </c>
      <c r="C179" s="24" t="s">
        <v>99</v>
      </c>
      <c r="D179" s="24" t="s">
        <v>20</v>
      </c>
      <c r="E179" s="25" t="s">
        <v>100</v>
      </c>
      <c r="F179" s="25">
        <v>1.0</v>
      </c>
      <c r="G179" s="26">
        <v>45657.74</v>
      </c>
      <c r="I179" s="27" t="s">
        <v>24</v>
      </c>
      <c r="J179" s="28">
        <v>45856.0</v>
      </c>
      <c r="K179" s="30" t="s">
        <v>91</v>
      </c>
      <c r="L179" s="30" t="s">
        <v>20</v>
      </c>
      <c r="M179" s="31" t="s">
        <v>134</v>
      </c>
      <c r="N179" s="32">
        <v>1.0</v>
      </c>
      <c r="O179" s="33">
        <v>36105.91</v>
      </c>
      <c r="P179" s="34">
        <f t="shared" si="1"/>
        <v>170847.09</v>
      </c>
    </row>
    <row r="180" ht="22.5" customHeight="1">
      <c r="A180" s="22" t="s">
        <v>40</v>
      </c>
      <c r="B180" s="23">
        <v>45849.0</v>
      </c>
      <c r="C180" s="24" t="s">
        <v>99</v>
      </c>
      <c r="D180" s="24" t="s">
        <v>20</v>
      </c>
      <c r="E180" s="25" t="s">
        <v>100</v>
      </c>
      <c r="F180" s="25">
        <v>1.0</v>
      </c>
      <c r="G180" s="26">
        <v>45657.74</v>
      </c>
      <c r="I180" s="27" t="s">
        <v>26</v>
      </c>
      <c r="J180" s="28">
        <v>45856.0</v>
      </c>
      <c r="K180" s="30" t="s">
        <v>91</v>
      </c>
      <c r="L180" s="30" t="s">
        <v>20</v>
      </c>
      <c r="M180" s="31" t="s">
        <v>134</v>
      </c>
      <c r="N180" s="32">
        <v>1.0</v>
      </c>
      <c r="O180" s="33">
        <v>36105.91</v>
      </c>
      <c r="P180" s="34">
        <f t="shared" si="1"/>
        <v>170847.09</v>
      </c>
    </row>
    <row r="181" ht="22.5" customHeight="1">
      <c r="A181" s="22" t="s">
        <v>31</v>
      </c>
      <c r="B181" s="23">
        <v>45849.0</v>
      </c>
      <c r="C181" s="24" t="s">
        <v>99</v>
      </c>
      <c r="D181" s="24" t="s">
        <v>20</v>
      </c>
      <c r="E181" s="25" t="s">
        <v>100</v>
      </c>
      <c r="F181" s="25">
        <v>1.0</v>
      </c>
      <c r="G181" s="26">
        <v>40037.11</v>
      </c>
      <c r="I181" s="27" t="s">
        <v>18</v>
      </c>
      <c r="J181" s="28">
        <v>45856.0</v>
      </c>
      <c r="K181" s="30" t="s">
        <v>91</v>
      </c>
      <c r="L181" s="30" t="s">
        <v>20</v>
      </c>
      <c r="M181" s="31" t="s">
        <v>134</v>
      </c>
      <c r="N181" s="32">
        <v>1.0</v>
      </c>
      <c r="O181" s="33">
        <v>18561.05</v>
      </c>
      <c r="P181" s="34">
        <f t="shared" si="1"/>
        <v>170847.09</v>
      </c>
    </row>
    <row r="182" ht="22.5" customHeight="1">
      <c r="A182" s="22" t="s">
        <v>18</v>
      </c>
      <c r="B182" s="23">
        <v>45850.0</v>
      </c>
      <c r="C182" s="24" t="s">
        <v>101</v>
      </c>
      <c r="D182" s="24" t="s">
        <v>20</v>
      </c>
      <c r="E182" s="25" t="s">
        <v>102</v>
      </c>
      <c r="F182" s="25">
        <v>1.0</v>
      </c>
      <c r="G182" s="26">
        <v>18561.05</v>
      </c>
      <c r="I182" s="27" t="s">
        <v>27</v>
      </c>
      <c r="J182" s="28">
        <v>45856.0</v>
      </c>
      <c r="K182" s="30" t="s">
        <v>91</v>
      </c>
      <c r="L182" s="30" t="s">
        <v>20</v>
      </c>
      <c r="M182" s="31" t="s">
        <v>134</v>
      </c>
      <c r="N182" s="32">
        <v>1.0</v>
      </c>
      <c r="O182" s="33">
        <v>40037.11</v>
      </c>
      <c r="P182" s="34">
        <f t="shared" si="1"/>
        <v>170847.09</v>
      </c>
    </row>
    <row r="183" ht="22.5" customHeight="1">
      <c r="A183" s="22" t="s">
        <v>25</v>
      </c>
      <c r="B183" s="23">
        <v>45853.0</v>
      </c>
      <c r="C183" s="53" t="s">
        <v>103</v>
      </c>
      <c r="D183" s="24" t="s">
        <v>20</v>
      </c>
      <c r="E183" s="25" t="s">
        <v>104</v>
      </c>
      <c r="F183" s="25">
        <v>1.0</v>
      </c>
      <c r="G183" s="26">
        <v>45657.74</v>
      </c>
      <c r="I183" s="27" t="s">
        <v>31</v>
      </c>
      <c r="J183" s="28">
        <v>45856.0</v>
      </c>
      <c r="K183" s="30" t="s">
        <v>91</v>
      </c>
      <c r="L183" s="30" t="s">
        <v>20</v>
      </c>
      <c r="M183" s="31" t="s">
        <v>134</v>
      </c>
      <c r="N183" s="32">
        <v>1.0</v>
      </c>
      <c r="O183" s="33">
        <v>40037.11</v>
      </c>
      <c r="P183" s="34">
        <f t="shared" si="1"/>
        <v>170847.09</v>
      </c>
    </row>
    <row r="184" ht="22.5" customHeight="1">
      <c r="A184" s="22" t="s">
        <v>40</v>
      </c>
      <c r="B184" s="23">
        <v>45853.0</v>
      </c>
      <c r="C184" s="53" t="s">
        <v>103</v>
      </c>
      <c r="D184" s="24" t="s">
        <v>20</v>
      </c>
      <c r="E184" s="25" t="s">
        <v>104</v>
      </c>
      <c r="F184" s="25">
        <v>1.0</v>
      </c>
      <c r="G184" s="26">
        <v>45657.74</v>
      </c>
      <c r="I184" s="55" t="s">
        <v>25</v>
      </c>
      <c r="J184" s="56">
        <v>45856.0</v>
      </c>
      <c r="K184" s="57" t="s">
        <v>135</v>
      </c>
      <c r="L184" s="57" t="s">
        <v>20</v>
      </c>
      <c r="M184" s="58" t="s">
        <v>136</v>
      </c>
      <c r="N184" s="59">
        <v>0.5</v>
      </c>
      <c r="O184" s="60">
        <v>22828.87</v>
      </c>
      <c r="P184" s="34">
        <f t="shared" si="1"/>
        <v>45657.74</v>
      </c>
    </row>
    <row r="185" ht="22.5" customHeight="1">
      <c r="A185" s="22" t="s">
        <v>27</v>
      </c>
      <c r="B185" s="23">
        <v>45853.0</v>
      </c>
      <c r="C185" s="53" t="s">
        <v>103</v>
      </c>
      <c r="D185" s="24" t="s">
        <v>20</v>
      </c>
      <c r="E185" s="25" t="s">
        <v>104</v>
      </c>
      <c r="F185" s="25">
        <v>0.5</v>
      </c>
      <c r="G185" s="26">
        <v>20018.56</v>
      </c>
      <c r="I185" s="27" t="s">
        <v>40</v>
      </c>
      <c r="J185" s="28">
        <v>45856.0</v>
      </c>
      <c r="K185" s="30" t="s">
        <v>135</v>
      </c>
      <c r="L185" s="30" t="s">
        <v>20</v>
      </c>
      <c r="M185" s="31" t="s">
        <v>136</v>
      </c>
      <c r="N185" s="32">
        <v>0.5</v>
      </c>
      <c r="O185" s="33">
        <v>22828.87</v>
      </c>
      <c r="P185" s="34">
        <f t="shared" si="1"/>
        <v>45657.74</v>
      </c>
    </row>
    <row r="186" ht="22.5" customHeight="1">
      <c r="A186" s="22" t="s">
        <v>31</v>
      </c>
      <c r="B186" s="23">
        <v>45853.0</v>
      </c>
      <c r="C186" s="53" t="s">
        <v>103</v>
      </c>
      <c r="D186" s="24" t="s">
        <v>20</v>
      </c>
      <c r="E186" s="25" t="s">
        <v>104</v>
      </c>
      <c r="F186" s="25">
        <v>0.5</v>
      </c>
      <c r="G186" s="26">
        <v>20018.56</v>
      </c>
      <c r="I186" s="55" t="s">
        <v>25</v>
      </c>
      <c r="J186" s="56">
        <v>45857.0</v>
      </c>
      <c r="K186" s="57" t="s">
        <v>64</v>
      </c>
      <c r="L186" s="57" t="s">
        <v>20</v>
      </c>
      <c r="M186" s="58" t="s">
        <v>137</v>
      </c>
      <c r="N186" s="59">
        <v>1.0</v>
      </c>
      <c r="O186" s="60">
        <v>45657.74</v>
      </c>
      <c r="P186" s="34">
        <f t="shared" si="1"/>
        <v>91315.48</v>
      </c>
    </row>
    <row r="187" ht="22.5" customHeight="1">
      <c r="A187" s="22" t="s">
        <v>25</v>
      </c>
      <c r="B187" s="23">
        <v>45853.0</v>
      </c>
      <c r="C187" s="53" t="s">
        <v>62</v>
      </c>
      <c r="D187" s="24" t="s">
        <v>20</v>
      </c>
      <c r="E187" s="25" t="s">
        <v>105</v>
      </c>
      <c r="F187" s="25">
        <v>1.0</v>
      </c>
      <c r="G187" s="26">
        <v>45657.74</v>
      </c>
      <c r="I187" s="27" t="s">
        <v>40</v>
      </c>
      <c r="J187" s="28">
        <v>45857.0</v>
      </c>
      <c r="K187" s="30" t="s">
        <v>64</v>
      </c>
      <c r="L187" s="30" t="s">
        <v>20</v>
      </c>
      <c r="M187" s="31" t="s">
        <v>137</v>
      </c>
      <c r="N187" s="32">
        <v>1.0</v>
      </c>
      <c r="O187" s="33">
        <v>45657.74</v>
      </c>
      <c r="P187" s="34">
        <f t="shared" si="1"/>
        <v>91315.48</v>
      </c>
    </row>
    <row r="188" ht="22.5" customHeight="1">
      <c r="A188" s="22" t="s">
        <v>40</v>
      </c>
      <c r="B188" s="23">
        <v>45853.0</v>
      </c>
      <c r="C188" s="53" t="s">
        <v>62</v>
      </c>
      <c r="D188" s="24" t="s">
        <v>20</v>
      </c>
      <c r="E188" s="25" t="s">
        <v>105</v>
      </c>
      <c r="F188" s="25">
        <v>1.0</v>
      </c>
      <c r="G188" s="26">
        <v>45657.74</v>
      </c>
      <c r="I188" s="55" t="s">
        <v>25</v>
      </c>
      <c r="J188" s="56">
        <v>45857.0</v>
      </c>
      <c r="K188" s="57" t="s">
        <v>48</v>
      </c>
      <c r="L188" s="57" t="s">
        <v>20</v>
      </c>
      <c r="M188" s="58" t="s">
        <v>138</v>
      </c>
      <c r="N188" s="59">
        <v>1.0</v>
      </c>
      <c r="O188" s="60">
        <v>45657.74</v>
      </c>
      <c r="P188" s="34">
        <f t="shared" si="1"/>
        <v>45657.74</v>
      </c>
    </row>
    <row r="189" ht="22.5" customHeight="1">
      <c r="A189" s="22" t="s">
        <v>27</v>
      </c>
      <c r="B189" s="23">
        <v>45853.0</v>
      </c>
      <c r="C189" s="53" t="s">
        <v>106</v>
      </c>
      <c r="D189" s="24" t="s">
        <v>20</v>
      </c>
      <c r="E189" s="25" t="s">
        <v>107</v>
      </c>
      <c r="F189" s="25">
        <v>1.0</v>
      </c>
      <c r="G189" s="26">
        <v>40037.11</v>
      </c>
      <c r="I189" s="55" t="s">
        <v>25</v>
      </c>
      <c r="J189" s="56">
        <v>45857.0</v>
      </c>
      <c r="K189" s="57" t="s">
        <v>139</v>
      </c>
      <c r="L189" s="57" t="s">
        <v>20</v>
      </c>
      <c r="M189" s="58" t="s">
        <v>140</v>
      </c>
      <c r="N189" s="59">
        <v>1.0</v>
      </c>
      <c r="O189" s="60">
        <v>45657.74</v>
      </c>
      <c r="P189" s="34">
        <f t="shared" si="1"/>
        <v>186870.98</v>
      </c>
    </row>
    <row r="190" ht="22.5" customHeight="1">
      <c r="A190" s="22" t="s">
        <v>31</v>
      </c>
      <c r="B190" s="23">
        <v>45853.0</v>
      </c>
      <c r="C190" s="53" t="s">
        <v>106</v>
      </c>
      <c r="D190" s="24" t="s">
        <v>20</v>
      </c>
      <c r="E190" s="25" t="s">
        <v>107</v>
      </c>
      <c r="F190" s="25">
        <v>1.0</v>
      </c>
      <c r="G190" s="26">
        <v>40037.11</v>
      </c>
      <c r="I190" s="27" t="s">
        <v>40</v>
      </c>
      <c r="J190" s="28">
        <v>45857.0</v>
      </c>
      <c r="K190" s="30" t="s">
        <v>139</v>
      </c>
      <c r="L190" s="30" t="s">
        <v>20</v>
      </c>
      <c r="M190" s="31" t="s">
        <v>140</v>
      </c>
      <c r="N190" s="32">
        <v>0.5</v>
      </c>
      <c r="O190" s="33">
        <v>22828.87</v>
      </c>
      <c r="P190" s="34">
        <f t="shared" si="1"/>
        <v>186870.98</v>
      </c>
    </row>
    <row r="191" ht="22.5" customHeight="1">
      <c r="A191" s="22" t="s">
        <v>27</v>
      </c>
      <c r="B191" s="23">
        <v>45853.0</v>
      </c>
      <c r="C191" s="53" t="s">
        <v>108</v>
      </c>
      <c r="D191" s="24" t="s">
        <v>20</v>
      </c>
      <c r="E191" s="25" t="s">
        <v>109</v>
      </c>
      <c r="F191" s="25">
        <v>1.0</v>
      </c>
      <c r="G191" s="26">
        <v>40037.11</v>
      </c>
      <c r="I191" s="27" t="s">
        <v>24</v>
      </c>
      <c r="J191" s="28">
        <v>45857.0</v>
      </c>
      <c r="K191" s="30" t="s">
        <v>72</v>
      </c>
      <c r="L191" s="30" t="s">
        <v>20</v>
      </c>
      <c r="M191" s="31" t="s">
        <v>141</v>
      </c>
      <c r="N191" s="32">
        <v>2.0</v>
      </c>
      <c r="O191" s="33">
        <v>72211.82</v>
      </c>
      <c r="P191" s="34">
        <f t="shared" si="1"/>
        <v>246990.11</v>
      </c>
    </row>
    <row r="192" ht="22.5" customHeight="1">
      <c r="A192" s="22" t="s">
        <v>31</v>
      </c>
      <c r="B192" s="23">
        <v>45853.0</v>
      </c>
      <c r="C192" s="53" t="s">
        <v>108</v>
      </c>
      <c r="D192" s="24" t="s">
        <v>20</v>
      </c>
      <c r="E192" s="25" t="s">
        <v>109</v>
      </c>
      <c r="F192" s="25">
        <v>1.0</v>
      </c>
      <c r="G192" s="26">
        <v>40037.11</v>
      </c>
      <c r="I192" s="27" t="s">
        <v>26</v>
      </c>
      <c r="J192" s="28">
        <v>45857.0</v>
      </c>
      <c r="K192" s="30" t="s">
        <v>72</v>
      </c>
      <c r="L192" s="30" t="s">
        <v>20</v>
      </c>
      <c r="M192" s="31" t="s">
        <v>141</v>
      </c>
      <c r="N192" s="32">
        <v>1.0</v>
      </c>
      <c r="O192" s="33">
        <v>36105.91</v>
      </c>
      <c r="P192" s="34">
        <f t="shared" si="1"/>
        <v>246990.11</v>
      </c>
    </row>
    <row r="193" ht="22.5" customHeight="1">
      <c r="A193" s="22" t="s">
        <v>27</v>
      </c>
      <c r="B193" s="23">
        <v>45853.0</v>
      </c>
      <c r="C193" s="24" t="s">
        <v>110</v>
      </c>
      <c r="D193" s="24" t="s">
        <v>20</v>
      </c>
      <c r="E193" s="25" t="s">
        <v>111</v>
      </c>
      <c r="F193" s="25">
        <v>1.0</v>
      </c>
      <c r="G193" s="26">
        <v>40037.11</v>
      </c>
      <c r="I193" s="27" t="s">
        <v>18</v>
      </c>
      <c r="J193" s="28">
        <v>45857.0</v>
      </c>
      <c r="K193" s="30" t="s">
        <v>72</v>
      </c>
      <c r="L193" s="30" t="s">
        <v>20</v>
      </c>
      <c r="M193" s="31" t="s">
        <v>141</v>
      </c>
      <c r="N193" s="32">
        <v>1.0</v>
      </c>
      <c r="O193" s="33">
        <v>18561.05</v>
      </c>
      <c r="P193" s="34">
        <f t="shared" si="1"/>
        <v>246990.11</v>
      </c>
    </row>
    <row r="194" ht="22.5" customHeight="1">
      <c r="A194" s="22" t="s">
        <v>31</v>
      </c>
      <c r="B194" s="23">
        <v>45853.0</v>
      </c>
      <c r="C194" s="24" t="s">
        <v>110</v>
      </c>
      <c r="D194" s="24" t="s">
        <v>20</v>
      </c>
      <c r="E194" s="25" t="s">
        <v>111</v>
      </c>
      <c r="F194" s="25">
        <v>1.0</v>
      </c>
      <c r="G194" s="26">
        <v>40037.11</v>
      </c>
      <c r="I194" s="27" t="s">
        <v>27</v>
      </c>
      <c r="J194" s="28">
        <v>45857.0</v>
      </c>
      <c r="K194" s="30" t="s">
        <v>72</v>
      </c>
      <c r="L194" s="30" t="s">
        <v>20</v>
      </c>
      <c r="M194" s="31" t="s">
        <v>141</v>
      </c>
      <c r="N194" s="32">
        <v>2.0</v>
      </c>
      <c r="O194" s="33">
        <v>80074.22</v>
      </c>
      <c r="P194" s="34">
        <f t="shared" si="1"/>
        <v>246990.11</v>
      </c>
    </row>
    <row r="195" ht="22.5" customHeight="1">
      <c r="A195" s="22" t="s">
        <v>27</v>
      </c>
      <c r="B195" s="23">
        <v>45853.0</v>
      </c>
      <c r="C195" s="24" t="s">
        <v>112</v>
      </c>
      <c r="D195" s="24" t="s">
        <v>20</v>
      </c>
      <c r="E195" s="25" t="s">
        <v>113</v>
      </c>
      <c r="F195" s="25">
        <v>1.0</v>
      </c>
      <c r="G195" s="26">
        <v>40037.11</v>
      </c>
      <c r="I195" s="27" t="s">
        <v>31</v>
      </c>
      <c r="J195" s="28">
        <v>45857.0</v>
      </c>
      <c r="K195" s="30" t="s">
        <v>72</v>
      </c>
      <c r="L195" s="30" t="s">
        <v>20</v>
      </c>
      <c r="M195" s="31" t="s">
        <v>141</v>
      </c>
      <c r="N195" s="32">
        <v>1.0</v>
      </c>
      <c r="O195" s="33">
        <v>40037.11</v>
      </c>
      <c r="P195" s="34">
        <f t="shared" si="1"/>
        <v>246990.11</v>
      </c>
    </row>
    <row r="196" ht="22.5" customHeight="1">
      <c r="A196" s="22" t="s">
        <v>31</v>
      </c>
      <c r="B196" s="23">
        <v>45853.0</v>
      </c>
      <c r="C196" s="24" t="s">
        <v>112</v>
      </c>
      <c r="D196" s="24" t="s">
        <v>20</v>
      </c>
      <c r="E196" s="25" t="s">
        <v>113</v>
      </c>
      <c r="F196" s="25">
        <v>1.0</v>
      </c>
      <c r="G196" s="26">
        <v>40037.11</v>
      </c>
      <c r="I196" s="27" t="s">
        <v>40</v>
      </c>
      <c r="J196" s="28">
        <v>45859.0</v>
      </c>
      <c r="K196" s="30" t="s">
        <v>142</v>
      </c>
      <c r="L196" s="30" t="s">
        <v>20</v>
      </c>
      <c r="M196" s="31" t="s">
        <v>143</v>
      </c>
      <c r="N196" s="32">
        <v>0.5</v>
      </c>
      <c r="O196" s="33">
        <v>22828.87</v>
      </c>
      <c r="P196" s="34">
        <f t="shared" si="1"/>
        <v>22828.87</v>
      </c>
    </row>
    <row r="197" ht="22.5" customHeight="1">
      <c r="A197" s="22" t="s">
        <v>27</v>
      </c>
      <c r="B197" s="23">
        <v>45853.0</v>
      </c>
      <c r="C197" s="53" t="s">
        <v>114</v>
      </c>
      <c r="D197" s="24" t="s">
        <v>20</v>
      </c>
      <c r="E197" s="25" t="s">
        <v>115</v>
      </c>
      <c r="F197" s="25">
        <v>2.0</v>
      </c>
      <c r="G197" s="26">
        <v>80074.22</v>
      </c>
      <c r="I197" s="27" t="s">
        <v>15</v>
      </c>
      <c r="J197" s="28">
        <v>45859.0</v>
      </c>
      <c r="K197" s="30" t="s">
        <v>103</v>
      </c>
      <c r="L197" s="30" t="s">
        <v>20</v>
      </c>
      <c r="M197" s="31" t="s">
        <v>140</v>
      </c>
      <c r="N197" s="32">
        <v>1.0</v>
      </c>
      <c r="O197" s="33">
        <v>42241.34</v>
      </c>
      <c r="P197" s="34">
        <f t="shared" si="1"/>
        <v>186870.98</v>
      </c>
    </row>
    <row r="198" ht="22.5" customHeight="1">
      <c r="A198" s="22" t="s">
        <v>31</v>
      </c>
      <c r="B198" s="23">
        <v>45853.0</v>
      </c>
      <c r="C198" s="53" t="s">
        <v>114</v>
      </c>
      <c r="D198" s="24" t="s">
        <v>20</v>
      </c>
      <c r="E198" s="25" t="s">
        <v>115</v>
      </c>
      <c r="F198" s="25">
        <v>0.5</v>
      </c>
      <c r="G198" s="26">
        <v>20018.56</v>
      </c>
      <c r="I198" s="27" t="s">
        <v>26</v>
      </c>
      <c r="J198" s="28">
        <v>45859.0</v>
      </c>
      <c r="K198" s="30" t="s">
        <v>103</v>
      </c>
      <c r="L198" s="30" t="s">
        <v>20</v>
      </c>
      <c r="M198" s="31" t="s">
        <v>140</v>
      </c>
      <c r="N198" s="32">
        <v>1.0</v>
      </c>
      <c r="O198" s="33">
        <v>36105.91</v>
      </c>
      <c r="P198" s="34">
        <f t="shared" si="1"/>
        <v>186870.98</v>
      </c>
    </row>
    <row r="199" ht="22.5" customHeight="1">
      <c r="A199" s="22" t="s">
        <v>25</v>
      </c>
      <c r="B199" s="23">
        <v>45853.0</v>
      </c>
      <c r="C199" s="24" t="s">
        <v>116</v>
      </c>
      <c r="D199" s="24" t="s">
        <v>20</v>
      </c>
      <c r="E199" s="25" t="s">
        <v>117</v>
      </c>
      <c r="F199" s="25">
        <v>1.0</v>
      </c>
      <c r="G199" s="26">
        <v>45657.74</v>
      </c>
      <c r="I199" s="27" t="s">
        <v>27</v>
      </c>
      <c r="J199" s="28">
        <v>45859.0</v>
      </c>
      <c r="K199" s="30" t="s">
        <v>103</v>
      </c>
      <c r="L199" s="30" t="s">
        <v>20</v>
      </c>
      <c r="M199" s="31" t="s">
        <v>140</v>
      </c>
      <c r="N199" s="32">
        <v>0.5</v>
      </c>
      <c r="O199" s="33">
        <v>20018.56</v>
      </c>
      <c r="P199" s="34">
        <f t="shared" si="1"/>
        <v>186870.98</v>
      </c>
    </row>
    <row r="200" ht="22.5" customHeight="1">
      <c r="A200" s="22" t="s">
        <v>40</v>
      </c>
      <c r="B200" s="23">
        <v>45853.0</v>
      </c>
      <c r="C200" s="24" t="s">
        <v>116</v>
      </c>
      <c r="D200" s="24" t="s">
        <v>20</v>
      </c>
      <c r="E200" s="25" t="s">
        <v>117</v>
      </c>
      <c r="F200" s="25">
        <v>0.5</v>
      </c>
      <c r="G200" s="26">
        <v>22828.87</v>
      </c>
      <c r="I200" s="27" t="s">
        <v>31</v>
      </c>
      <c r="J200" s="28">
        <v>45859.0</v>
      </c>
      <c r="K200" s="30" t="s">
        <v>103</v>
      </c>
      <c r="L200" s="30" t="s">
        <v>20</v>
      </c>
      <c r="M200" s="31" t="s">
        <v>140</v>
      </c>
      <c r="N200" s="32">
        <v>0.5</v>
      </c>
      <c r="O200" s="33">
        <v>20018.56</v>
      </c>
      <c r="P200" s="34">
        <f t="shared" si="1"/>
        <v>186870.98</v>
      </c>
    </row>
    <row r="201" ht="22.5" customHeight="1">
      <c r="A201" s="22" t="s">
        <v>25</v>
      </c>
      <c r="B201" s="23">
        <v>45853.0</v>
      </c>
      <c r="C201" s="24" t="s">
        <v>118</v>
      </c>
      <c r="D201" s="24" t="s">
        <v>20</v>
      </c>
      <c r="E201" s="25" t="s">
        <v>119</v>
      </c>
      <c r="F201" s="25">
        <v>1.0</v>
      </c>
      <c r="G201" s="26">
        <v>45657.74</v>
      </c>
      <c r="I201" s="27" t="s">
        <v>40</v>
      </c>
      <c r="J201" s="28">
        <v>45859.0</v>
      </c>
      <c r="K201" s="30" t="s">
        <v>103</v>
      </c>
      <c r="L201" s="30" t="s">
        <v>20</v>
      </c>
      <c r="M201" s="31" t="s">
        <v>144</v>
      </c>
      <c r="N201" s="32">
        <v>1.0</v>
      </c>
      <c r="O201" s="33">
        <v>45657.74</v>
      </c>
      <c r="P201" s="34">
        <f t="shared" si="1"/>
        <v>45657.74</v>
      </c>
    </row>
    <row r="202" ht="22.5" customHeight="1">
      <c r="A202" s="22" t="s">
        <v>40</v>
      </c>
      <c r="B202" s="23">
        <v>45853.0</v>
      </c>
      <c r="C202" s="24" t="s">
        <v>118</v>
      </c>
      <c r="D202" s="24" t="s">
        <v>20</v>
      </c>
      <c r="E202" s="25" t="s">
        <v>119</v>
      </c>
      <c r="F202" s="25">
        <v>0.5</v>
      </c>
      <c r="G202" s="26">
        <v>22828.87</v>
      </c>
      <c r="I202" s="27" t="s">
        <v>27</v>
      </c>
      <c r="J202" s="28">
        <v>45859.0</v>
      </c>
      <c r="K202" s="30" t="s">
        <v>145</v>
      </c>
      <c r="L202" s="30" t="s">
        <v>20</v>
      </c>
      <c r="M202" s="31" t="s">
        <v>146</v>
      </c>
      <c r="N202" s="32">
        <v>0.5</v>
      </c>
      <c r="O202" s="33">
        <v>20018.56</v>
      </c>
      <c r="P202" s="34">
        <f t="shared" si="1"/>
        <v>20018.56</v>
      </c>
    </row>
    <row r="203" ht="22.5" customHeight="1">
      <c r="A203" s="22" t="s">
        <v>27</v>
      </c>
      <c r="B203" s="23">
        <v>45853.0</v>
      </c>
      <c r="C203" s="53" t="s">
        <v>50</v>
      </c>
      <c r="D203" s="24" t="s">
        <v>20</v>
      </c>
      <c r="E203" s="25" t="s">
        <v>120</v>
      </c>
      <c r="F203" s="25">
        <v>1.0</v>
      </c>
      <c r="G203" s="26">
        <v>40037.11</v>
      </c>
      <c r="I203" s="27" t="s">
        <v>15</v>
      </c>
      <c r="J203" s="28">
        <v>45859.0</v>
      </c>
      <c r="K203" s="30" t="s">
        <v>66</v>
      </c>
      <c r="L203" s="30" t="s">
        <v>20</v>
      </c>
      <c r="M203" s="31" t="s">
        <v>147</v>
      </c>
      <c r="N203" s="32">
        <v>1.0</v>
      </c>
      <c r="O203" s="33">
        <v>42241.34</v>
      </c>
      <c r="P203" s="34">
        <f t="shared" si="1"/>
        <v>103399.13</v>
      </c>
    </row>
    <row r="204" ht="22.5" customHeight="1">
      <c r="A204" s="22" t="s">
        <v>31</v>
      </c>
      <c r="B204" s="23">
        <v>45853.0</v>
      </c>
      <c r="C204" s="53" t="s">
        <v>50</v>
      </c>
      <c r="D204" s="24" t="s">
        <v>20</v>
      </c>
      <c r="E204" s="25" t="s">
        <v>120</v>
      </c>
      <c r="F204" s="25">
        <v>1.0</v>
      </c>
      <c r="G204" s="26">
        <v>40037.11</v>
      </c>
      <c r="I204" s="27" t="s">
        <v>22</v>
      </c>
      <c r="J204" s="28">
        <v>45859.0</v>
      </c>
      <c r="K204" s="30" t="s">
        <v>66</v>
      </c>
      <c r="L204" s="30" t="s">
        <v>20</v>
      </c>
      <c r="M204" s="31" t="s">
        <v>147</v>
      </c>
      <c r="N204" s="32">
        <v>0.5</v>
      </c>
      <c r="O204" s="33">
        <v>21120.67</v>
      </c>
      <c r="P204" s="34">
        <f t="shared" si="1"/>
        <v>103399.13</v>
      </c>
    </row>
    <row r="205" ht="22.5" customHeight="1">
      <c r="A205" s="22" t="s">
        <v>25</v>
      </c>
      <c r="B205" s="23">
        <v>45855.0</v>
      </c>
      <c r="C205" s="53" t="s">
        <v>121</v>
      </c>
      <c r="D205" s="24" t="s">
        <v>20</v>
      </c>
      <c r="E205" s="25" t="s">
        <v>122</v>
      </c>
      <c r="F205" s="25">
        <v>1.0</v>
      </c>
      <c r="G205" s="26">
        <v>45657.74</v>
      </c>
      <c r="I205" s="27" t="s">
        <v>27</v>
      </c>
      <c r="J205" s="28">
        <v>45859.0</v>
      </c>
      <c r="K205" s="30" t="s">
        <v>66</v>
      </c>
      <c r="L205" s="30" t="s">
        <v>20</v>
      </c>
      <c r="M205" s="31" t="s">
        <v>147</v>
      </c>
      <c r="N205" s="32">
        <v>0.5</v>
      </c>
      <c r="O205" s="33">
        <v>20018.56</v>
      </c>
      <c r="P205" s="34">
        <f t="shared" si="1"/>
        <v>103399.13</v>
      </c>
    </row>
    <row r="206" ht="22.5" customHeight="1">
      <c r="A206" s="22" t="s">
        <v>40</v>
      </c>
      <c r="B206" s="23">
        <v>45855.0</v>
      </c>
      <c r="C206" s="53" t="s">
        <v>121</v>
      </c>
      <c r="D206" s="24" t="s">
        <v>20</v>
      </c>
      <c r="E206" s="25" t="s">
        <v>122</v>
      </c>
      <c r="F206" s="25">
        <v>0.5</v>
      </c>
      <c r="G206" s="26">
        <v>22828.87</v>
      </c>
      <c r="I206" s="27" t="s">
        <v>31</v>
      </c>
      <c r="J206" s="28">
        <v>45859.0</v>
      </c>
      <c r="K206" s="30" t="s">
        <v>66</v>
      </c>
      <c r="L206" s="30" t="s">
        <v>20</v>
      </c>
      <c r="M206" s="31" t="s">
        <v>147</v>
      </c>
      <c r="N206" s="32">
        <v>0.5</v>
      </c>
      <c r="O206" s="33">
        <v>20018.56</v>
      </c>
      <c r="P206" s="34">
        <f t="shared" si="1"/>
        <v>103399.13</v>
      </c>
    </row>
    <row r="207" ht="22.5" customHeight="1">
      <c r="A207" s="42" t="s">
        <v>25</v>
      </c>
      <c r="B207" s="43">
        <v>45856.0</v>
      </c>
      <c r="C207" s="44" t="s">
        <v>123</v>
      </c>
      <c r="D207" s="44" t="s">
        <v>20</v>
      </c>
      <c r="E207" s="45" t="s">
        <v>124</v>
      </c>
      <c r="F207" s="45">
        <v>1.0</v>
      </c>
      <c r="G207" s="46">
        <v>45657.74</v>
      </c>
      <c r="I207" s="55" t="s">
        <v>25</v>
      </c>
      <c r="J207" s="56">
        <v>45859.0</v>
      </c>
      <c r="K207" s="57" t="s">
        <v>66</v>
      </c>
      <c r="L207" s="57" t="s">
        <v>20</v>
      </c>
      <c r="M207" s="58" t="s">
        <v>148</v>
      </c>
      <c r="N207" s="59">
        <v>0.5</v>
      </c>
      <c r="O207" s="60">
        <v>22828.87</v>
      </c>
      <c r="P207" s="34">
        <f t="shared" si="1"/>
        <v>228635.05</v>
      </c>
    </row>
    <row r="208" ht="22.5" customHeight="1">
      <c r="A208" s="22" t="s">
        <v>18</v>
      </c>
      <c r="B208" s="23">
        <v>45856.0</v>
      </c>
      <c r="C208" s="24" t="s">
        <v>125</v>
      </c>
      <c r="D208" s="24" t="s">
        <v>20</v>
      </c>
      <c r="E208" s="25" t="s">
        <v>126</v>
      </c>
      <c r="F208" s="25">
        <v>0.5</v>
      </c>
      <c r="G208" s="26">
        <v>9280.53</v>
      </c>
      <c r="I208" s="27" t="s">
        <v>40</v>
      </c>
      <c r="J208" s="28">
        <v>45859.0</v>
      </c>
      <c r="K208" s="30" t="s">
        <v>66</v>
      </c>
      <c r="L208" s="30" t="s">
        <v>20</v>
      </c>
      <c r="M208" s="31" t="s">
        <v>148</v>
      </c>
      <c r="N208" s="32">
        <v>1.0</v>
      </c>
      <c r="O208" s="33">
        <v>45657.74</v>
      </c>
      <c r="P208" s="34">
        <f t="shared" si="1"/>
        <v>228635.05</v>
      </c>
    </row>
    <row r="209" ht="22.5" customHeight="1">
      <c r="A209" s="22" t="s">
        <v>31</v>
      </c>
      <c r="B209" s="23">
        <v>45856.0</v>
      </c>
      <c r="C209" s="24" t="s">
        <v>125</v>
      </c>
      <c r="D209" s="24" t="s">
        <v>20</v>
      </c>
      <c r="E209" s="25" t="s">
        <v>126</v>
      </c>
      <c r="F209" s="25">
        <v>1.0</v>
      </c>
      <c r="G209" s="26">
        <v>40037.11</v>
      </c>
      <c r="I209" s="27" t="s">
        <v>27</v>
      </c>
      <c r="J209" s="28">
        <v>45859.0</v>
      </c>
      <c r="K209" s="30" t="s">
        <v>85</v>
      </c>
      <c r="L209" s="30" t="s">
        <v>20</v>
      </c>
      <c r="M209" s="31" t="s">
        <v>148</v>
      </c>
      <c r="N209" s="32">
        <v>2.0</v>
      </c>
      <c r="O209" s="33">
        <v>80074.22</v>
      </c>
      <c r="P209" s="34">
        <f t="shared" si="1"/>
        <v>228635.05</v>
      </c>
    </row>
    <row r="210" ht="22.5" customHeight="1">
      <c r="A210" s="42" t="s">
        <v>25</v>
      </c>
      <c r="B210" s="43">
        <v>45856.0</v>
      </c>
      <c r="C210" s="44" t="s">
        <v>125</v>
      </c>
      <c r="D210" s="44" t="s">
        <v>20</v>
      </c>
      <c r="E210" s="45" t="s">
        <v>126</v>
      </c>
      <c r="F210" s="45">
        <v>1.0</v>
      </c>
      <c r="G210" s="46">
        <v>45657.74</v>
      </c>
      <c r="I210" s="27" t="s">
        <v>31</v>
      </c>
      <c r="J210" s="28">
        <v>45859.0</v>
      </c>
      <c r="K210" s="30" t="s">
        <v>85</v>
      </c>
      <c r="L210" s="30" t="s">
        <v>20</v>
      </c>
      <c r="M210" s="31" t="s">
        <v>148</v>
      </c>
      <c r="N210" s="32">
        <v>2.0</v>
      </c>
      <c r="O210" s="33">
        <v>80074.22</v>
      </c>
      <c r="P210" s="34">
        <f t="shared" si="1"/>
        <v>228635.05</v>
      </c>
    </row>
    <row r="211" ht="22.5" customHeight="1">
      <c r="A211" s="22" t="s">
        <v>40</v>
      </c>
      <c r="B211" s="23">
        <v>45856.0</v>
      </c>
      <c r="C211" s="24" t="s">
        <v>125</v>
      </c>
      <c r="D211" s="24" t="s">
        <v>20</v>
      </c>
      <c r="E211" s="25" t="s">
        <v>126</v>
      </c>
      <c r="F211" s="25">
        <v>1.0</v>
      </c>
      <c r="G211" s="26">
        <v>45657.74</v>
      </c>
      <c r="I211" s="55" t="s">
        <v>25</v>
      </c>
      <c r="J211" s="56">
        <v>45859.0</v>
      </c>
      <c r="K211" s="57" t="s">
        <v>85</v>
      </c>
      <c r="L211" s="57" t="s">
        <v>20</v>
      </c>
      <c r="M211" s="58" t="s">
        <v>149</v>
      </c>
      <c r="N211" s="59">
        <v>0.5</v>
      </c>
      <c r="O211" s="60">
        <v>22828.87</v>
      </c>
      <c r="P211" s="34">
        <f t="shared" si="1"/>
        <v>22828.87</v>
      </c>
    </row>
    <row r="212" ht="22.5" customHeight="1">
      <c r="A212" s="22" t="s">
        <v>15</v>
      </c>
      <c r="B212" s="23">
        <v>45856.0</v>
      </c>
      <c r="C212" s="24" t="s">
        <v>41</v>
      </c>
      <c r="D212" s="24" t="s">
        <v>20</v>
      </c>
      <c r="E212" s="25" t="s">
        <v>127</v>
      </c>
      <c r="F212" s="25">
        <v>2.0</v>
      </c>
      <c r="G212" s="26">
        <v>84482.68</v>
      </c>
      <c r="I212" s="55" t="s">
        <v>25</v>
      </c>
      <c r="J212" s="56">
        <v>45860.0</v>
      </c>
      <c r="K212" s="57" t="s">
        <v>150</v>
      </c>
      <c r="L212" s="57" t="s">
        <v>20</v>
      </c>
      <c r="M212" s="58" t="s">
        <v>151</v>
      </c>
      <c r="N212" s="59">
        <v>1.0</v>
      </c>
      <c r="O212" s="60">
        <v>45657.74</v>
      </c>
      <c r="P212" s="34">
        <f t="shared" si="1"/>
        <v>75993.84</v>
      </c>
    </row>
    <row r="213" ht="22.5" customHeight="1">
      <c r="A213" s="22" t="s">
        <v>22</v>
      </c>
      <c r="B213" s="23">
        <v>45856.0</v>
      </c>
      <c r="C213" s="24" t="s">
        <v>41</v>
      </c>
      <c r="D213" s="24" t="s">
        <v>20</v>
      </c>
      <c r="E213" s="25" t="s">
        <v>127</v>
      </c>
      <c r="F213" s="25">
        <v>2.0</v>
      </c>
      <c r="G213" s="26">
        <v>84482.68</v>
      </c>
      <c r="I213" s="27" t="s">
        <v>28</v>
      </c>
      <c r="J213" s="28">
        <v>45860.0</v>
      </c>
      <c r="K213" s="30" t="s">
        <v>150</v>
      </c>
      <c r="L213" s="30" t="s">
        <v>20</v>
      </c>
      <c r="M213" s="31" t="s">
        <v>151</v>
      </c>
      <c r="N213" s="32">
        <v>1.0</v>
      </c>
      <c r="O213" s="33">
        <v>30336.1</v>
      </c>
      <c r="P213" s="34">
        <f t="shared" si="1"/>
        <v>75993.84</v>
      </c>
    </row>
    <row r="214" ht="22.5" customHeight="1">
      <c r="A214" s="22" t="s">
        <v>24</v>
      </c>
      <c r="B214" s="23">
        <v>45856.0</v>
      </c>
      <c r="C214" s="24" t="s">
        <v>41</v>
      </c>
      <c r="D214" s="24" t="s">
        <v>20</v>
      </c>
      <c r="E214" s="25" t="s">
        <v>127</v>
      </c>
      <c r="F214" s="25">
        <v>1.0</v>
      </c>
      <c r="G214" s="26">
        <v>36105.91</v>
      </c>
      <c r="I214" s="27" t="s">
        <v>47</v>
      </c>
      <c r="J214" s="28">
        <v>45860.0</v>
      </c>
      <c r="K214" s="30" t="s">
        <v>152</v>
      </c>
      <c r="L214" s="30" t="s">
        <v>20</v>
      </c>
      <c r="M214" s="31" t="s">
        <v>153</v>
      </c>
      <c r="N214" s="32">
        <v>1.0</v>
      </c>
      <c r="O214" s="33">
        <v>30336.1</v>
      </c>
      <c r="P214" s="34">
        <f t="shared" si="1"/>
        <v>30336.1</v>
      </c>
    </row>
    <row r="215" ht="22.5" customHeight="1">
      <c r="A215" s="22" t="s">
        <v>26</v>
      </c>
      <c r="B215" s="23">
        <v>45856.0</v>
      </c>
      <c r="C215" s="24" t="s">
        <v>41</v>
      </c>
      <c r="D215" s="24" t="s">
        <v>20</v>
      </c>
      <c r="E215" s="25" t="s">
        <v>127</v>
      </c>
      <c r="F215" s="25">
        <v>1.0</v>
      </c>
      <c r="G215" s="26">
        <v>36105.91</v>
      </c>
      <c r="I215" s="27" t="s">
        <v>18</v>
      </c>
      <c r="J215" s="28">
        <v>45860.0</v>
      </c>
      <c r="K215" s="30" t="s">
        <v>87</v>
      </c>
      <c r="L215" s="30" t="s">
        <v>20</v>
      </c>
      <c r="M215" s="31" t="s">
        <v>154</v>
      </c>
      <c r="N215" s="32">
        <v>1.0</v>
      </c>
      <c r="O215" s="33">
        <v>18561.05</v>
      </c>
      <c r="P215" s="34">
        <f t="shared" si="1"/>
        <v>37122.1</v>
      </c>
    </row>
    <row r="216" ht="22.5" customHeight="1">
      <c r="A216" s="22" t="s">
        <v>27</v>
      </c>
      <c r="B216" s="23">
        <v>45856.0</v>
      </c>
      <c r="C216" s="24" t="s">
        <v>41</v>
      </c>
      <c r="D216" s="24" t="s">
        <v>20</v>
      </c>
      <c r="E216" s="25" t="s">
        <v>127</v>
      </c>
      <c r="F216" s="25">
        <v>1.0</v>
      </c>
      <c r="G216" s="26">
        <v>40037.11</v>
      </c>
      <c r="I216" s="27" t="s">
        <v>23</v>
      </c>
      <c r="J216" s="28">
        <v>45860.0</v>
      </c>
      <c r="K216" s="30" t="s">
        <v>87</v>
      </c>
      <c r="L216" s="30" t="s">
        <v>20</v>
      </c>
      <c r="M216" s="31" t="s">
        <v>154</v>
      </c>
      <c r="N216" s="32">
        <v>1.0</v>
      </c>
      <c r="O216" s="33">
        <v>18561.05</v>
      </c>
      <c r="P216" s="34">
        <f t="shared" si="1"/>
        <v>37122.1</v>
      </c>
    </row>
    <row r="217" ht="22.5" customHeight="1">
      <c r="A217" s="42" t="s">
        <v>25</v>
      </c>
      <c r="B217" s="43">
        <v>45856.0</v>
      </c>
      <c r="C217" s="44" t="s">
        <v>41</v>
      </c>
      <c r="D217" s="44" t="s">
        <v>20</v>
      </c>
      <c r="E217" s="45" t="s">
        <v>127</v>
      </c>
      <c r="F217" s="45">
        <v>1.0</v>
      </c>
      <c r="G217" s="46">
        <v>45657.74</v>
      </c>
      <c r="I217" s="55" t="s">
        <v>25</v>
      </c>
      <c r="J217" s="56">
        <v>45860.0</v>
      </c>
      <c r="K217" s="57" t="s">
        <v>87</v>
      </c>
      <c r="L217" s="57" t="s">
        <v>20</v>
      </c>
      <c r="M217" s="58" t="s">
        <v>155</v>
      </c>
      <c r="N217" s="59">
        <v>1.0</v>
      </c>
      <c r="O217" s="60">
        <v>45657.74</v>
      </c>
      <c r="P217" s="34">
        <f t="shared" si="1"/>
        <v>151987.68</v>
      </c>
    </row>
    <row r="218" ht="22.5" customHeight="1">
      <c r="A218" s="22" t="s">
        <v>40</v>
      </c>
      <c r="B218" s="23">
        <v>45856.0</v>
      </c>
      <c r="C218" s="24" t="s">
        <v>41</v>
      </c>
      <c r="D218" s="24" t="s">
        <v>20</v>
      </c>
      <c r="E218" s="25" t="s">
        <v>127</v>
      </c>
      <c r="F218" s="25">
        <v>1.0</v>
      </c>
      <c r="G218" s="26">
        <v>45657.74</v>
      </c>
      <c r="I218" s="27" t="s">
        <v>40</v>
      </c>
      <c r="J218" s="28">
        <v>45860.0</v>
      </c>
      <c r="K218" s="30" t="s">
        <v>87</v>
      </c>
      <c r="L218" s="30" t="s">
        <v>20</v>
      </c>
      <c r="M218" s="31" t="s">
        <v>155</v>
      </c>
      <c r="N218" s="32">
        <v>1.0</v>
      </c>
      <c r="O218" s="33">
        <v>45657.74</v>
      </c>
      <c r="P218" s="34">
        <f t="shared" si="1"/>
        <v>151987.68</v>
      </c>
    </row>
    <row r="219" ht="22.5" customHeight="1">
      <c r="A219" s="42" t="s">
        <v>25</v>
      </c>
      <c r="B219" s="43">
        <v>45856.0</v>
      </c>
      <c r="C219" s="44" t="s">
        <v>60</v>
      </c>
      <c r="D219" s="44" t="s">
        <v>20</v>
      </c>
      <c r="E219" s="45" t="s">
        <v>128</v>
      </c>
      <c r="F219" s="45">
        <v>0.5</v>
      </c>
      <c r="G219" s="46">
        <v>22828.87</v>
      </c>
      <c r="I219" s="27" t="s">
        <v>28</v>
      </c>
      <c r="J219" s="28">
        <v>45860.0</v>
      </c>
      <c r="K219" s="30" t="s">
        <v>87</v>
      </c>
      <c r="L219" s="30" t="s">
        <v>20</v>
      </c>
      <c r="M219" s="31" t="s">
        <v>155</v>
      </c>
      <c r="N219" s="32">
        <v>1.0</v>
      </c>
      <c r="O219" s="33">
        <v>30336.1</v>
      </c>
      <c r="P219" s="34">
        <f t="shared" si="1"/>
        <v>151987.68</v>
      </c>
    </row>
    <row r="220" ht="22.5" customHeight="1">
      <c r="A220" s="22" t="s">
        <v>40</v>
      </c>
      <c r="B220" s="23">
        <v>45856.0</v>
      </c>
      <c r="C220" s="24" t="s">
        <v>60</v>
      </c>
      <c r="D220" s="24" t="s">
        <v>20</v>
      </c>
      <c r="E220" s="25" t="s">
        <v>128</v>
      </c>
      <c r="F220" s="25">
        <v>0.5</v>
      </c>
      <c r="G220" s="26">
        <v>22828.87</v>
      </c>
      <c r="I220" s="27" t="s">
        <v>47</v>
      </c>
      <c r="J220" s="28">
        <v>45860.0</v>
      </c>
      <c r="K220" s="30" t="s">
        <v>87</v>
      </c>
      <c r="L220" s="30" t="s">
        <v>20</v>
      </c>
      <c r="M220" s="31" t="s">
        <v>155</v>
      </c>
      <c r="N220" s="32">
        <v>1.0</v>
      </c>
      <c r="O220" s="33">
        <v>30336.1</v>
      </c>
      <c r="P220" s="34">
        <f t="shared" si="1"/>
        <v>151987.68</v>
      </c>
    </row>
    <row r="221" ht="22.5" customHeight="1">
      <c r="A221" s="42" t="s">
        <v>25</v>
      </c>
      <c r="B221" s="43">
        <v>45856.0</v>
      </c>
      <c r="C221" s="44" t="s">
        <v>129</v>
      </c>
      <c r="D221" s="44" t="s">
        <v>20</v>
      </c>
      <c r="E221" s="45" t="s">
        <v>130</v>
      </c>
      <c r="F221" s="45">
        <v>0.5</v>
      </c>
      <c r="G221" s="46">
        <v>22828.87</v>
      </c>
      <c r="I221" s="27" t="s">
        <v>28</v>
      </c>
      <c r="J221" s="28">
        <v>45860.0</v>
      </c>
      <c r="K221" s="30" t="s">
        <v>52</v>
      </c>
      <c r="L221" s="30" t="s">
        <v>20</v>
      </c>
      <c r="M221" s="31" t="s">
        <v>156</v>
      </c>
      <c r="N221" s="32">
        <v>1.0</v>
      </c>
      <c r="O221" s="33">
        <v>30336.1</v>
      </c>
      <c r="P221" s="34">
        <f t="shared" si="1"/>
        <v>30336.1</v>
      </c>
    </row>
    <row r="222" ht="22.5" customHeight="1">
      <c r="A222" s="22" t="s">
        <v>40</v>
      </c>
      <c r="B222" s="23">
        <v>45856.0</v>
      </c>
      <c r="C222" s="24" t="s">
        <v>129</v>
      </c>
      <c r="D222" s="24" t="s">
        <v>20</v>
      </c>
      <c r="E222" s="25" t="s">
        <v>130</v>
      </c>
      <c r="F222" s="25">
        <v>0.5</v>
      </c>
      <c r="G222" s="26">
        <v>22828.87</v>
      </c>
      <c r="I222" s="27" t="s">
        <v>27</v>
      </c>
      <c r="J222" s="28">
        <v>45861.0</v>
      </c>
      <c r="K222" s="30" t="s">
        <v>103</v>
      </c>
      <c r="L222" s="30" t="s">
        <v>20</v>
      </c>
      <c r="M222" s="31" t="s">
        <v>157</v>
      </c>
      <c r="N222" s="32">
        <v>1.0</v>
      </c>
      <c r="O222" s="33">
        <v>40037.11</v>
      </c>
      <c r="P222" s="34">
        <f t="shared" si="1"/>
        <v>40037.11</v>
      </c>
    </row>
    <row r="223" ht="22.5" customHeight="1">
      <c r="A223" s="42" t="s">
        <v>25</v>
      </c>
      <c r="B223" s="43">
        <v>45856.0</v>
      </c>
      <c r="C223" s="44" t="s">
        <v>45</v>
      </c>
      <c r="D223" s="44" t="s">
        <v>20</v>
      </c>
      <c r="E223" s="45" t="s">
        <v>131</v>
      </c>
      <c r="F223" s="45">
        <v>1.0</v>
      </c>
      <c r="G223" s="46">
        <v>45657.74</v>
      </c>
      <c r="I223" s="55" t="s">
        <v>25</v>
      </c>
      <c r="J223" s="56">
        <v>45861.0</v>
      </c>
      <c r="K223" s="57" t="s">
        <v>103</v>
      </c>
      <c r="L223" s="57" t="s">
        <v>20</v>
      </c>
      <c r="M223" s="58" t="s">
        <v>158</v>
      </c>
      <c r="N223" s="59">
        <v>2.0</v>
      </c>
      <c r="O223" s="60">
        <v>91315.48</v>
      </c>
      <c r="P223" s="34">
        <f t="shared" si="1"/>
        <v>151987.68</v>
      </c>
    </row>
    <row r="224" ht="22.5" customHeight="1">
      <c r="A224" s="22" t="s">
        <v>40</v>
      </c>
      <c r="B224" s="23">
        <v>45856.0</v>
      </c>
      <c r="C224" s="24" t="s">
        <v>45</v>
      </c>
      <c r="D224" s="24" t="s">
        <v>20</v>
      </c>
      <c r="E224" s="25" t="s">
        <v>131</v>
      </c>
      <c r="F224" s="25">
        <v>1.0</v>
      </c>
      <c r="G224" s="26">
        <v>45657.74</v>
      </c>
      <c r="I224" s="27" t="s">
        <v>28</v>
      </c>
      <c r="J224" s="28">
        <v>45861.0</v>
      </c>
      <c r="K224" s="30" t="s">
        <v>103</v>
      </c>
      <c r="L224" s="30" t="s">
        <v>20</v>
      </c>
      <c r="M224" s="31" t="s">
        <v>158</v>
      </c>
      <c r="N224" s="32">
        <v>1.0</v>
      </c>
      <c r="O224" s="33">
        <v>30336.1</v>
      </c>
      <c r="P224" s="34">
        <f t="shared" si="1"/>
        <v>151987.68</v>
      </c>
    </row>
    <row r="225" ht="22.5" customHeight="1">
      <c r="A225" s="22" t="s">
        <v>15</v>
      </c>
      <c r="B225" s="23">
        <v>45856.0</v>
      </c>
      <c r="C225" s="24" t="s">
        <v>132</v>
      </c>
      <c r="D225" s="24" t="s">
        <v>20</v>
      </c>
      <c r="E225" s="25" t="s">
        <v>133</v>
      </c>
      <c r="F225" s="25">
        <v>1.0</v>
      </c>
      <c r="G225" s="26">
        <v>42241.34</v>
      </c>
      <c r="I225" s="27" t="s">
        <v>47</v>
      </c>
      <c r="J225" s="28">
        <v>45861.0</v>
      </c>
      <c r="K225" s="30" t="s">
        <v>103</v>
      </c>
      <c r="L225" s="30" t="s">
        <v>20</v>
      </c>
      <c r="M225" s="31" t="s">
        <v>158</v>
      </c>
      <c r="N225" s="32">
        <v>1.0</v>
      </c>
      <c r="O225" s="33">
        <v>30336.1</v>
      </c>
      <c r="P225" s="34">
        <f t="shared" si="1"/>
        <v>151987.68</v>
      </c>
    </row>
    <row r="226" ht="22.5" customHeight="1">
      <c r="A226" s="22" t="s">
        <v>24</v>
      </c>
      <c r="B226" s="23">
        <v>45856.0</v>
      </c>
      <c r="C226" s="24" t="s">
        <v>132</v>
      </c>
      <c r="D226" s="24" t="s">
        <v>20</v>
      </c>
      <c r="E226" s="25" t="s">
        <v>133</v>
      </c>
      <c r="F226" s="25">
        <v>1.0</v>
      </c>
      <c r="G226" s="26">
        <v>36105.91</v>
      </c>
      <c r="I226" s="27" t="s">
        <v>18</v>
      </c>
      <c r="J226" s="28">
        <v>45861.0</v>
      </c>
      <c r="K226" s="30" t="s">
        <v>60</v>
      </c>
      <c r="L226" s="30" t="s">
        <v>20</v>
      </c>
      <c r="M226" s="31" t="s">
        <v>159</v>
      </c>
      <c r="N226" s="32">
        <v>0.5</v>
      </c>
      <c r="O226" s="33">
        <v>9280.53</v>
      </c>
      <c r="P226" s="34">
        <f t="shared" si="1"/>
        <v>29299.09</v>
      </c>
    </row>
    <row r="227" ht="22.5" customHeight="1">
      <c r="A227" s="22" t="s">
        <v>27</v>
      </c>
      <c r="B227" s="23">
        <v>45856.0</v>
      </c>
      <c r="C227" s="24" t="s">
        <v>132</v>
      </c>
      <c r="D227" s="24" t="s">
        <v>20</v>
      </c>
      <c r="E227" s="25" t="s">
        <v>133</v>
      </c>
      <c r="F227" s="25">
        <v>1.0</v>
      </c>
      <c r="G227" s="26">
        <v>40037.11</v>
      </c>
      <c r="I227" s="27" t="s">
        <v>27</v>
      </c>
      <c r="J227" s="28">
        <v>45861.0</v>
      </c>
      <c r="K227" s="30" t="s">
        <v>60</v>
      </c>
      <c r="L227" s="30" t="s">
        <v>20</v>
      </c>
      <c r="M227" s="31" t="s">
        <v>159</v>
      </c>
      <c r="N227" s="32">
        <v>0.5</v>
      </c>
      <c r="O227" s="33">
        <v>20018.56</v>
      </c>
      <c r="P227" s="34">
        <f t="shared" si="1"/>
        <v>29299.09</v>
      </c>
    </row>
    <row r="228" ht="22.5" customHeight="1">
      <c r="A228" s="42" t="s">
        <v>25</v>
      </c>
      <c r="B228" s="43">
        <v>45856.0</v>
      </c>
      <c r="C228" s="44" t="s">
        <v>132</v>
      </c>
      <c r="D228" s="44" t="s">
        <v>20</v>
      </c>
      <c r="E228" s="45" t="s">
        <v>133</v>
      </c>
      <c r="F228" s="45">
        <v>1.0</v>
      </c>
      <c r="G228" s="46">
        <v>45657.74</v>
      </c>
      <c r="I228" s="27" t="s">
        <v>47</v>
      </c>
      <c r="J228" s="28">
        <v>45861.0</v>
      </c>
      <c r="K228" s="30" t="s">
        <v>60</v>
      </c>
      <c r="L228" s="30" t="s">
        <v>20</v>
      </c>
      <c r="M228" s="31" t="s">
        <v>160</v>
      </c>
      <c r="N228" s="32">
        <v>0.5</v>
      </c>
      <c r="O228" s="33">
        <v>15168.05</v>
      </c>
      <c r="P228" s="34">
        <f t="shared" si="1"/>
        <v>15168.05</v>
      </c>
    </row>
    <row r="229" ht="22.5" customHeight="1">
      <c r="A229" s="22" t="s">
        <v>24</v>
      </c>
      <c r="B229" s="23">
        <v>45856.0</v>
      </c>
      <c r="C229" s="24" t="s">
        <v>91</v>
      </c>
      <c r="D229" s="24" t="s">
        <v>20</v>
      </c>
      <c r="E229" s="25" t="s">
        <v>134</v>
      </c>
      <c r="F229" s="25">
        <v>1.0</v>
      </c>
      <c r="G229" s="26">
        <v>36105.91</v>
      </c>
      <c r="I229" s="55" t="s">
        <v>25</v>
      </c>
      <c r="J229" s="56">
        <v>45861.0</v>
      </c>
      <c r="K229" s="57" t="s">
        <v>101</v>
      </c>
      <c r="L229" s="57" t="s">
        <v>20</v>
      </c>
      <c r="M229" s="58" t="s">
        <v>161</v>
      </c>
      <c r="N229" s="59">
        <v>1.0</v>
      </c>
      <c r="O229" s="60">
        <v>45657.74</v>
      </c>
      <c r="P229" s="34">
        <f t="shared" si="1"/>
        <v>106329.94</v>
      </c>
    </row>
    <row r="230" ht="22.5" customHeight="1">
      <c r="A230" s="22" t="s">
        <v>26</v>
      </c>
      <c r="B230" s="23">
        <v>45856.0</v>
      </c>
      <c r="C230" s="24" t="s">
        <v>91</v>
      </c>
      <c r="D230" s="24" t="s">
        <v>20</v>
      </c>
      <c r="E230" s="25" t="s">
        <v>134</v>
      </c>
      <c r="F230" s="25">
        <v>1.0</v>
      </c>
      <c r="G230" s="26">
        <v>36105.91</v>
      </c>
      <c r="I230" s="27" t="s">
        <v>28</v>
      </c>
      <c r="J230" s="28">
        <v>45861.0</v>
      </c>
      <c r="K230" s="30" t="s">
        <v>101</v>
      </c>
      <c r="L230" s="30" t="s">
        <v>20</v>
      </c>
      <c r="M230" s="31" t="s">
        <v>161</v>
      </c>
      <c r="N230" s="32">
        <v>1.0</v>
      </c>
      <c r="O230" s="33">
        <v>30336.1</v>
      </c>
      <c r="P230" s="34">
        <f t="shared" si="1"/>
        <v>106329.94</v>
      </c>
    </row>
    <row r="231" ht="22.5" customHeight="1">
      <c r="A231" s="22" t="s">
        <v>18</v>
      </c>
      <c r="B231" s="23">
        <v>45856.0</v>
      </c>
      <c r="C231" s="24" t="s">
        <v>91</v>
      </c>
      <c r="D231" s="24" t="s">
        <v>20</v>
      </c>
      <c r="E231" s="25" t="s">
        <v>134</v>
      </c>
      <c r="F231" s="25">
        <v>1.0</v>
      </c>
      <c r="G231" s="26">
        <v>18561.05</v>
      </c>
      <c r="I231" s="27" t="s">
        <v>47</v>
      </c>
      <c r="J231" s="28">
        <v>45861.0</v>
      </c>
      <c r="K231" s="30" t="s">
        <v>101</v>
      </c>
      <c r="L231" s="30" t="s">
        <v>20</v>
      </c>
      <c r="M231" s="31" t="s">
        <v>161</v>
      </c>
      <c r="N231" s="32">
        <v>1.0</v>
      </c>
      <c r="O231" s="33">
        <v>30336.1</v>
      </c>
      <c r="P231" s="34">
        <f t="shared" si="1"/>
        <v>106329.94</v>
      </c>
    </row>
    <row r="232" ht="22.5" customHeight="1">
      <c r="A232" s="22" t="s">
        <v>27</v>
      </c>
      <c r="B232" s="23">
        <v>45856.0</v>
      </c>
      <c r="C232" s="24" t="s">
        <v>91</v>
      </c>
      <c r="D232" s="24" t="s">
        <v>20</v>
      </c>
      <c r="E232" s="25" t="s">
        <v>134</v>
      </c>
      <c r="F232" s="25">
        <v>1.0</v>
      </c>
      <c r="G232" s="26">
        <v>40037.11</v>
      </c>
      <c r="I232" s="27" t="s">
        <v>28</v>
      </c>
      <c r="J232" s="28">
        <v>45861.0</v>
      </c>
      <c r="K232" s="30" t="s">
        <v>43</v>
      </c>
      <c r="L232" s="30" t="s">
        <v>20</v>
      </c>
      <c r="M232" s="31" t="s">
        <v>162</v>
      </c>
      <c r="N232" s="32">
        <v>1.0</v>
      </c>
      <c r="O232" s="33">
        <v>30336.1</v>
      </c>
      <c r="P232" s="34">
        <f t="shared" si="1"/>
        <v>60672.2</v>
      </c>
    </row>
    <row r="233" ht="22.5" customHeight="1">
      <c r="A233" s="22" t="s">
        <v>31</v>
      </c>
      <c r="B233" s="23">
        <v>45856.0</v>
      </c>
      <c r="C233" s="24" t="s">
        <v>91</v>
      </c>
      <c r="D233" s="24" t="s">
        <v>20</v>
      </c>
      <c r="E233" s="25" t="s">
        <v>134</v>
      </c>
      <c r="F233" s="25">
        <v>1.0</v>
      </c>
      <c r="G233" s="26">
        <v>40037.11</v>
      </c>
      <c r="I233" s="27" t="s">
        <v>47</v>
      </c>
      <c r="J233" s="28">
        <v>45861.0</v>
      </c>
      <c r="K233" s="30" t="s">
        <v>43</v>
      </c>
      <c r="L233" s="30" t="s">
        <v>20</v>
      </c>
      <c r="M233" s="31" t="s">
        <v>162</v>
      </c>
      <c r="N233" s="32">
        <v>1.0</v>
      </c>
      <c r="O233" s="33">
        <v>30336.1</v>
      </c>
      <c r="P233" s="34">
        <f t="shared" si="1"/>
        <v>60672.2</v>
      </c>
    </row>
    <row r="234" ht="22.5" customHeight="1">
      <c r="A234" s="42" t="s">
        <v>25</v>
      </c>
      <c r="B234" s="43">
        <v>45856.0</v>
      </c>
      <c r="C234" s="44" t="s">
        <v>135</v>
      </c>
      <c r="D234" s="44" t="s">
        <v>20</v>
      </c>
      <c r="E234" s="45" t="s">
        <v>136</v>
      </c>
      <c r="F234" s="45">
        <v>0.5</v>
      </c>
      <c r="G234" s="46">
        <v>22828.87</v>
      </c>
      <c r="I234" s="55" t="s">
        <v>25</v>
      </c>
      <c r="J234" s="56">
        <v>45861.0</v>
      </c>
      <c r="K234" s="57" t="s">
        <v>163</v>
      </c>
      <c r="L234" s="57" t="s">
        <v>20</v>
      </c>
      <c r="M234" s="58" t="s">
        <v>164</v>
      </c>
      <c r="N234" s="59">
        <v>1.0</v>
      </c>
      <c r="O234" s="60">
        <v>45657.74</v>
      </c>
      <c r="P234" s="34">
        <f t="shared" si="1"/>
        <v>273332.08</v>
      </c>
    </row>
    <row r="235" ht="22.5" customHeight="1">
      <c r="A235" s="22" t="s">
        <v>40</v>
      </c>
      <c r="B235" s="23">
        <v>45856.0</v>
      </c>
      <c r="C235" s="24" t="s">
        <v>135</v>
      </c>
      <c r="D235" s="24" t="s">
        <v>20</v>
      </c>
      <c r="E235" s="25" t="s">
        <v>136</v>
      </c>
      <c r="F235" s="25">
        <v>0.5</v>
      </c>
      <c r="G235" s="26">
        <v>22828.87</v>
      </c>
      <c r="I235" s="27" t="s">
        <v>40</v>
      </c>
      <c r="J235" s="28">
        <v>45861.0</v>
      </c>
      <c r="K235" s="30" t="s">
        <v>163</v>
      </c>
      <c r="L235" s="30" t="s">
        <v>20</v>
      </c>
      <c r="M235" s="31" t="s">
        <v>164</v>
      </c>
      <c r="N235" s="32">
        <v>1.0</v>
      </c>
      <c r="O235" s="33">
        <v>45657.74</v>
      </c>
      <c r="P235" s="34">
        <f t="shared" si="1"/>
        <v>273332.08</v>
      </c>
    </row>
    <row r="236" ht="22.5" customHeight="1">
      <c r="A236" s="42" t="s">
        <v>25</v>
      </c>
      <c r="B236" s="43">
        <v>45857.0</v>
      </c>
      <c r="C236" s="44" t="s">
        <v>64</v>
      </c>
      <c r="D236" s="44" t="s">
        <v>20</v>
      </c>
      <c r="E236" s="45" t="s">
        <v>137</v>
      </c>
      <c r="F236" s="45">
        <v>1.0</v>
      </c>
      <c r="G236" s="46">
        <v>45657.74</v>
      </c>
      <c r="I236" s="27" t="s">
        <v>28</v>
      </c>
      <c r="J236" s="28">
        <v>45861.0</v>
      </c>
      <c r="K236" s="30" t="s">
        <v>163</v>
      </c>
      <c r="L236" s="30" t="s">
        <v>20</v>
      </c>
      <c r="M236" s="31" t="s">
        <v>164</v>
      </c>
      <c r="N236" s="32">
        <v>1.0</v>
      </c>
      <c r="O236" s="33">
        <v>30336.1</v>
      </c>
      <c r="P236" s="34">
        <f t="shared" si="1"/>
        <v>273332.08</v>
      </c>
    </row>
    <row r="237" ht="22.5" customHeight="1">
      <c r="A237" s="22" t="s">
        <v>40</v>
      </c>
      <c r="B237" s="23">
        <v>45857.0</v>
      </c>
      <c r="C237" s="24" t="s">
        <v>64</v>
      </c>
      <c r="D237" s="24" t="s">
        <v>20</v>
      </c>
      <c r="E237" s="25" t="s">
        <v>137</v>
      </c>
      <c r="F237" s="25">
        <v>1.0</v>
      </c>
      <c r="G237" s="26">
        <v>45657.74</v>
      </c>
      <c r="I237" s="27" t="s">
        <v>47</v>
      </c>
      <c r="J237" s="28">
        <v>45861.0</v>
      </c>
      <c r="K237" s="30" t="s">
        <v>163</v>
      </c>
      <c r="L237" s="30" t="s">
        <v>20</v>
      </c>
      <c r="M237" s="31" t="s">
        <v>164</v>
      </c>
      <c r="N237" s="32">
        <v>5.0</v>
      </c>
      <c r="O237" s="33">
        <v>151680.5</v>
      </c>
      <c r="P237" s="34">
        <f t="shared" si="1"/>
        <v>273332.08</v>
      </c>
    </row>
    <row r="238" ht="22.5" customHeight="1">
      <c r="A238" s="42" t="s">
        <v>25</v>
      </c>
      <c r="B238" s="43">
        <v>45857.0</v>
      </c>
      <c r="C238" s="44" t="s">
        <v>48</v>
      </c>
      <c r="D238" s="44" t="s">
        <v>20</v>
      </c>
      <c r="E238" s="45" t="s">
        <v>138</v>
      </c>
      <c r="F238" s="45">
        <v>1.0</v>
      </c>
      <c r="G238" s="46">
        <v>45657.74</v>
      </c>
      <c r="I238" s="27" t="s">
        <v>28</v>
      </c>
      <c r="J238" s="28">
        <v>45861.0</v>
      </c>
      <c r="K238" s="30" t="s">
        <v>165</v>
      </c>
      <c r="L238" s="30" t="s">
        <v>20</v>
      </c>
      <c r="M238" s="31" t="s">
        <v>166</v>
      </c>
      <c r="N238" s="32">
        <v>1.0</v>
      </c>
      <c r="O238" s="33">
        <v>30336.1</v>
      </c>
      <c r="P238" s="34">
        <f t="shared" si="1"/>
        <v>60672.2</v>
      </c>
    </row>
    <row r="239" ht="22.5" customHeight="1">
      <c r="A239" s="42" t="s">
        <v>25</v>
      </c>
      <c r="B239" s="43">
        <v>45857.0</v>
      </c>
      <c r="C239" s="44" t="s">
        <v>139</v>
      </c>
      <c r="D239" s="44" t="s">
        <v>20</v>
      </c>
      <c r="E239" s="45" t="s">
        <v>140</v>
      </c>
      <c r="F239" s="45">
        <v>1.0</v>
      </c>
      <c r="G239" s="46">
        <v>45657.74</v>
      </c>
      <c r="I239" s="27" t="s">
        <v>47</v>
      </c>
      <c r="J239" s="28">
        <v>45861.0</v>
      </c>
      <c r="K239" s="30" t="s">
        <v>165</v>
      </c>
      <c r="L239" s="30" t="s">
        <v>20</v>
      </c>
      <c r="M239" s="31" t="s">
        <v>166</v>
      </c>
      <c r="N239" s="32">
        <v>1.0</v>
      </c>
      <c r="O239" s="33">
        <v>30336.1</v>
      </c>
      <c r="P239" s="34">
        <f t="shared" si="1"/>
        <v>60672.2</v>
      </c>
    </row>
    <row r="240" ht="22.5" customHeight="1">
      <c r="A240" s="22" t="s">
        <v>40</v>
      </c>
      <c r="B240" s="23">
        <v>45857.0</v>
      </c>
      <c r="C240" s="24" t="s">
        <v>139</v>
      </c>
      <c r="D240" s="24" t="s">
        <v>20</v>
      </c>
      <c r="E240" s="25" t="s">
        <v>140</v>
      </c>
      <c r="F240" s="25">
        <v>0.5</v>
      </c>
      <c r="G240" s="26">
        <v>22828.87</v>
      </c>
      <c r="I240" s="27" t="s">
        <v>18</v>
      </c>
      <c r="J240" s="28">
        <v>45861.0</v>
      </c>
      <c r="K240" s="30" t="s">
        <v>139</v>
      </c>
      <c r="L240" s="30" t="s">
        <v>20</v>
      </c>
      <c r="M240" s="31" t="s">
        <v>167</v>
      </c>
      <c r="N240" s="32">
        <v>1.0</v>
      </c>
      <c r="O240" s="33">
        <v>18561.05</v>
      </c>
      <c r="P240" s="34">
        <f t="shared" si="1"/>
        <v>55683.15</v>
      </c>
    </row>
    <row r="241" ht="22.5" customHeight="1">
      <c r="A241" s="22" t="s">
        <v>24</v>
      </c>
      <c r="B241" s="23">
        <v>45857.0</v>
      </c>
      <c r="C241" s="24" t="s">
        <v>72</v>
      </c>
      <c r="D241" s="24" t="s">
        <v>20</v>
      </c>
      <c r="E241" s="25" t="s">
        <v>141</v>
      </c>
      <c r="F241" s="25">
        <v>2.0</v>
      </c>
      <c r="G241" s="26">
        <v>72211.82</v>
      </c>
      <c r="I241" s="27" t="s">
        <v>23</v>
      </c>
      <c r="J241" s="28">
        <v>45861.0</v>
      </c>
      <c r="K241" s="30" t="s">
        <v>139</v>
      </c>
      <c r="L241" s="30" t="s">
        <v>20</v>
      </c>
      <c r="M241" s="31" t="s">
        <v>167</v>
      </c>
      <c r="N241" s="32">
        <v>2.0</v>
      </c>
      <c r="O241" s="33">
        <v>37122.1</v>
      </c>
      <c r="P241" s="34">
        <f t="shared" si="1"/>
        <v>55683.15</v>
      </c>
    </row>
    <row r="242" ht="22.5" customHeight="1">
      <c r="A242" s="22" t="s">
        <v>26</v>
      </c>
      <c r="B242" s="23">
        <v>45857.0</v>
      </c>
      <c r="C242" s="24" t="s">
        <v>72</v>
      </c>
      <c r="D242" s="24" t="s">
        <v>20</v>
      </c>
      <c r="E242" s="25" t="s">
        <v>141</v>
      </c>
      <c r="F242" s="25">
        <v>1.0</v>
      </c>
      <c r="G242" s="26">
        <v>36105.91</v>
      </c>
      <c r="I242" s="27" t="s">
        <v>28</v>
      </c>
      <c r="J242" s="28">
        <v>45861.0</v>
      </c>
      <c r="K242" s="30" t="s">
        <v>139</v>
      </c>
      <c r="L242" s="30" t="s">
        <v>20</v>
      </c>
      <c r="M242" s="31" t="s">
        <v>168</v>
      </c>
      <c r="N242" s="32">
        <v>1.0</v>
      </c>
      <c r="O242" s="33">
        <v>30336.1</v>
      </c>
      <c r="P242" s="34">
        <f t="shared" si="1"/>
        <v>91008.3</v>
      </c>
    </row>
    <row r="243" ht="22.5" customHeight="1">
      <c r="A243" s="22" t="s">
        <v>18</v>
      </c>
      <c r="B243" s="23">
        <v>45857.0</v>
      </c>
      <c r="C243" s="24" t="s">
        <v>72</v>
      </c>
      <c r="D243" s="24" t="s">
        <v>20</v>
      </c>
      <c r="E243" s="25" t="s">
        <v>141</v>
      </c>
      <c r="F243" s="25">
        <v>1.0</v>
      </c>
      <c r="G243" s="26">
        <v>18561.05</v>
      </c>
      <c r="I243" s="27" t="s">
        <v>47</v>
      </c>
      <c r="J243" s="28">
        <v>45861.0</v>
      </c>
      <c r="K243" s="30" t="s">
        <v>139</v>
      </c>
      <c r="L243" s="30" t="s">
        <v>20</v>
      </c>
      <c r="M243" s="31" t="s">
        <v>168</v>
      </c>
      <c r="N243" s="32">
        <v>2.0</v>
      </c>
      <c r="O243" s="33">
        <v>60672.2</v>
      </c>
      <c r="P243" s="34">
        <f t="shared" si="1"/>
        <v>91008.3</v>
      </c>
    </row>
    <row r="244" ht="22.5" customHeight="1">
      <c r="A244" s="22" t="s">
        <v>27</v>
      </c>
      <c r="B244" s="23">
        <v>45857.0</v>
      </c>
      <c r="C244" s="24" t="s">
        <v>72</v>
      </c>
      <c r="D244" s="24" t="s">
        <v>20</v>
      </c>
      <c r="E244" s="25" t="s">
        <v>141</v>
      </c>
      <c r="F244" s="25">
        <v>2.0</v>
      </c>
      <c r="G244" s="26">
        <v>80074.22</v>
      </c>
      <c r="I244" s="27" t="s">
        <v>18</v>
      </c>
      <c r="J244" s="28">
        <v>45862.0</v>
      </c>
      <c r="K244" s="30" t="s">
        <v>76</v>
      </c>
      <c r="L244" s="30" t="s">
        <v>20</v>
      </c>
      <c r="M244" s="31" t="s">
        <v>169</v>
      </c>
      <c r="N244" s="32">
        <v>1.0</v>
      </c>
      <c r="O244" s="33">
        <v>18561.05</v>
      </c>
      <c r="P244" s="34">
        <f t="shared" si="1"/>
        <v>117196.32</v>
      </c>
    </row>
    <row r="245" ht="22.5" customHeight="1">
      <c r="A245" s="22" t="s">
        <v>31</v>
      </c>
      <c r="B245" s="23">
        <v>45857.0</v>
      </c>
      <c r="C245" s="24" t="s">
        <v>72</v>
      </c>
      <c r="D245" s="24" t="s">
        <v>20</v>
      </c>
      <c r="E245" s="25" t="s">
        <v>141</v>
      </c>
      <c r="F245" s="25">
        <v>1.0</v>
      </c>
      <c r="G245" s="26">
        <v>40037.11</v>
      </c>
      <c r="I245" s="27" t="s">
        <v>23</v>
      </c>
      <c r="J245" s="28">
        <v>45862.0</v>
      </c>
      <c r="K245" s="30" t="s">
        <v>76</v>
      </c>
      <c r="L245" s="30" t="s">
        <v>20</v>
      </c>
      <c r="M245" s="31" t="s">
        <v>169</v>
      </c>
      <c r="N245" s="32">
        <v>1.0</v>
      </c>
      <c r="O245" s="33">
        <v>18561.05</v>
      </c>
      <c r="P245" s="34">
        <f t="shared" si="1"/>
        <v>117196.32</v>
      </c>
    </row>
    <row r="246" ht="22.5" customHeight="1">
      <c r="A246" s="22" t="s">
        <v>40</v>
      </c>
      <c r="B246" s="23">
        <v>45859.0</v>
      </c>
      <c r="C246" s="24" t="s">
        <v>142</v>
      </c>
      <c r="D246" s="24" t="s">
        <v>20</v>
      </c>
      <c r="E246" s="25" t="s">
        <v>143</v>
      </c>
      <c r="F246" s="25">
        <v>0.5</v>
      </c>
      <c r="G246" s="26">
        <v>22828.87</v>
      </c>
      <c r="I246" s="27" t="s">
        <v>27</v>
      </c>
      <c r="J246" s="28">
        <v>45862.0</v>
      </c>
      <c r="K246" s="30" t="s">
        <v>76</v>
      </c>
      <c r="L246" s="30" t="s">
        <v>20</v>
      </c>
      <c r="M246" s="31" t="s">
        <v>169</v>
      </c>
      <c r="N246" s="32">
        <v>1.0</v>
      </c>
      <c r="O246" s="33">
        <v>40037.11</v>
      </c>
      <c r="P246" s="34">
        <f t="shared" si="1"/>
        <v>117196.32</v>
      </c>
    </row>
    <row r="247" ht="22.5" customHeight="1">
      <c r="A247" s="22" t="s">
        <v>15</v>
      </c>
      <c r="B247" s="23">
        <v>45859.0</v>
      </c>
      <c r="C247" s="24" t="s">
        <v>103</v>
      </c>
      <c r="D247" s="24" t="s">
        <v>20</v>
      </c>
      <c r="E247" s="25" t="s">
        <v>140</v>
      </c>
      <c r="F247" s="25">
        <v>1.0</v>
      </c>
      <c r="G247" s="26">
        <v>42241.34</v>
      </c>
      <c r="I247" s="27" t="s">
        <v>31</v>
      </c>
      <c r="J247" s="28">
        <v>45862.0</v>
      </c>
      <c r="K247" s="30" t="s">
        <v>76</v>
      </c>
      <c r="L247" s="30" t="s">
        <v>20</v>
      </c>
      <c r="M247" s="31" t="s">
        <v>169</v>
      </c>
      <c r="N247" s="32">
        <v>1.0</v>
      </c>
      <c r="O247" s="33">
        <v>40037.11</v>
      </c>
      <c r="P247" s="34">
        <f t="shared" si="1"/>
        <v>117196.32</v>
      </c>
    </row>
    <row r="248" ht="22.5" customHeight="1">
      <c r="A248" s="22" t="s">
        <v>26</v>
      </c>
      <c r="B248" s="23">
        <v>45859.0</v>
      </c>
      <c r="C248" s="24" t="s">
        <v>103</v>
      </c>
      <c r="D248" s="24" t="s">
        <v>20</v>
      </c>
      <c r="E248" s="25" t="s">
        <v>140</v>
      </c>
      <c r="F248" s="25">
        <v>1.0</v>
      </c>
      <c r="G248" s="26">
        <v>36105.91</v>
      </c>
      <c r="I248" s="27" t="s">
        <v>40</v>
      </c>
      <c r="J248" s="28">
        <v>45862.0</v>
      </c>
      <c r="K248" s="30" t="s">
        <v>76</v>
      </c>
      <c r="L248" s="30" t="s">
        <v>20</v>
      </c>
      <c r="M248" s="31" t="s">
        <v>170</v>
      </c>
      <c r="N248" s="32">
        <v>1.0</v>
      </c>
      <c r="O248" s="33">
        <v>45657.74</v>
      </c>
      <c r="P248" s="34">
        <f t="shared" si="1"/>
        <v>91161.89</v>
      </c>
    </row>
    <row r="249" ht="22.5" customHeight="1">
      <c r="A249" s="22" t="s">
        <v>27</v>
      </c>
      <c r="B249" s="23">
        <v>45859.0</v>
      </c>
      <c r="C249" s="24" t="s">
        <v>103</v>
      </c>
      <c r="D249" s="24" t="s">
        <v>20</v>
      </c>
      <c r="E249" s="25" t="s">
        <v>140</v>
      </c>
      <c r="F249" s="25">
        <v>0.5</v>
      </c>
      <c r="G249" s="26">
        <v>20018.56</v>
      </c>
      <c r="I249" s="27" t="s">
        <v>28</v>
      </c>
      <c r="J249" s="28">
        <v>45862.0</v>
      </c>
      <c r="K249" s="30" t="s">
        <v>76</v>
      </c>
      <c r="L249" s="30" t="s">
        <v>20</v>
      </c>
      <c r="M249" s="31" t="s">
        <v>170</v>
      </c>
      <c r="N249" s="32">
        <v>1.0</v>
      </c>
      <c r="O249" s="33">
        <v>30336.1</v>
      </c>
      <c r="P249" s="34">
        <f t="shared" si="1"/>
        <v>91161.89</v>
      </c>
    </row>
    <row r="250" ht="22.5" customHeight="1">
      <c r="A250" s="22" t="s">
        <v>31</v>
      </c>
      <c r="B250" s="23">
        <v>45859.0</v>
      </c>
      <c r="C250" s="24" t="s">
        <v>103</v>
      </c>
      <c r="D250" s="24" t="s">
        <v>20</v>
      </c>
      <c r="E250" s="25" t="s">
        <v>140</v>
      </c>
      <c r="F250" s="25">
        <v>0.5</v>
      </c>
      <c r="G250" s="26">
        <v>20018.56</v>
      </c>
      <c r="I250" s="27" t="s">
        <v>47</v>
      </c>
      <c r="J250" s="28">
        <v>45862.0</v>
      </c>
      <c r="K250" s="30" t="s">
        <v>76</v>
      </c>
      <c r="L250" s="30" t="s">
        <v>20</v>
      </c>
      <c r="M250" s="31" t="s">
        <v>170</v>
      </c>
      <c r="N250" s="32">
        <v>0.5</v>
      </c>
      <c r="O250" s="33">
        <v>15168.05</v>
      </c>
      <c r="P250" s="34">
        <f t="shared" si="1"/>
        <v>91161.89</v>
      </c>
    </row>
    <row r="251" ht="22.5" customHeight="1">
      <c r="A251" s="22" t="s">
        <v>40</v>
      </c>
      <c r="B251" s="23">
        <v>45859.0</v>
      </c>
      <c r="C251" s="24" t="s">
        <v>103</v>
      </c>
      <c r="D251" s="24" t="s">
        <v>20</v>
      </c>
      <c r="E251" s="25" t="s">
        <v>144</v>
      </c>
      <c r="F251" s="25">
        <v>1.0</v>
      </c>
      <c r="G251" s="26">
        <v>45657.74</v>
      </c>
      <c r="I251" s="27" t="s">
        <v>28</v>
      </c>
      <c r="J251" s="28">
        <v>45862.0</v>
      </c>
      <c r="K251" s="30" t="s">
        <v>171</v>
      </c>
      <c r="L251" s="30" t="s">
        <v>20</v>
      </c>
      <c r="M251" s="31" t="s">
        <v>172</v>
      </c>
      <c r="N251" s="32">
        <v>1.0</v>
      </c>
      <c r="O251" s="33">
        <v>30336.1</v>
      </c>
      <c r="P251" s="34">
        <f t="shared" si="1"/>
        <v>45504.15</v>
      </c>
    </row>
    <row r="252" ht="22.5" customHeight="1">
      <c r="A252" s="22" t="s">
        <v>27</v>
      </c>
      <c r="B252" s="23">
        <v>45859.0</v>
      </c>
      <c r="C252" s="24" t="s">
        <v>145</v>
      </c>
      <c r="D252" s="24" t="s">
        <v>20</v>
      </c>
      <c r="E252" s="25" t="s">
        <v>146</v>
      </c>
      <c r="F252" s="25">
        <v>0.5</v>
      </c>
      <c r="G252" s="26">
        <v>20018.56</v>
      </c>
      <c r="I252" s="27" t="s">
        <v>47</v>
      </c>
      <c r="J252" s="28">
        <v>45862.0</v>
      </c>
      <c r="K252" s="30" t="s">
        <v>171</v>
      </c>
      <c r="L252" s="30" t="s">
        <v>20</v>
      </c>
      <c r="M252" s="31" t="s">
        <v>172</v>
      </c>
      <c r="N252" s="32">
        <v>0.5</v>
      </c>
      <c r="O252" s="33">
        <v>15168.05</v>
      </c>
      <c r="P252" s="34">
        <f t="shared" si="1"/>
        <v>45504.15</v>
      </c>
    </row>
    <row r="253" ht="22.5" customHeight="1">
      <c r="A253" s="22" t="s">
        <v>15</v>
      </c>
      <c r="B253" s="23">
        <v>45859.0</v>
      </c>
      <c r="C253" s="24" t="s">
        <v>66</v>
      </c>
      <c r="D253" s="24" t="s">
        <v>20</v>
      </c>
      <c r="E253" s="25" t="s">
        <v>147</v>
      </c>
      <c r="F253" s="25">
        <v>1.0</v>
      </c>
      <c r="G253" s="26">
        <v>42241.34</v>
      </c>
      <c r="I253" s="27" t="s">
        <v>28</v>
      </c>
      <c r="J253" s="28">
        <v>45862.0</v>
      </c>
      <c r="K253" s="30" t="s">
        <v>173</v>
      </c>
      <c r="L253" s="30" t="s">
        <v>20</v>
      </c>
      <c r="M253" s="31" t="s">
        <v>174</v>
      </c>
      <c r="N253" s="32">
        <v>1.0</v>
      </c>
      <c r="O253" s="33">
        <v>30336.1</v>
      </c>
      <c r="P253" s="34">
        <f t="shared" si="1"/>
        <v>45504.15</v>
      </c>
    </row>
    <row r="254" ht="22.5" customHeight="1">
      <c r="A254" s="22" t="s">
        <v>22</v>
      </c>
      <c r="B254" s="23">
        <v>45859.0</v>
      </c>
      <c r="C254" s="24" t="s">
        <v>66</v>
      </c>
      <c r="D254" s="24" t="s">
        <v>20</v>
      </c>
      <c r="E254" s="25" t="s">
        <v>147</v>
      </c>
      <c r="F254" s="25">
        <v>0.5</v>
      </c>
      <c r="G254" s="26">
        <v>21120.67</v>
      </c>
      <c r="I254" s="27" t="s">
        <v>47</v>
      </c>
      <c r="J254" s="28">
        <v>45862.0</v>
      </c>
      <c r="K254" s="30" t="s">
        <v>173</v>
      </c>
      <c r="L254" s="30" t="s">
        <v>20</v>
      </c>
      <c r="M254" s="31" t="s">
        <v>174</v>
      </c>
      <c r="N254" s="32">
        <v>0.5</v>
      </c>
      <c r="O254" s="33">
        <v>15168.05</v>
      </c>
      <c r="P254" s="34">
        <f t="shared" si="1"/>
        <v>45504.15</v>
      </c>
    </row>
    <row r="255" ht="22.5" customHeight="1">
      <c r="A255" s="22" t="s">
        <v>27</v>
      </c>
      <c r="B255" s="23">
        <v>45859.0</v>
      </c>
      <c r="C255" s="24" t="s">
        <v>66</v>
      </c>
      <c r="D255" s="24" t="s">
        <v>20</v>
      </c>
      <c r="E255" s="25" t="s">
        <v>147</v>
      </c>
      <c r="F255" s="25">
        <v>0.5</v>
      </c>
      <c r="G255" s="26">
        <v>20018.56</v>
      </c>
      <c r="I255" s="27" t="s">
        <v>15</v>
      </c>
      <c r="J255" s="28">
        <v>45862.0</v>
      </c>
      <c r="K255" s="30" t="s">
        <v>175</v>
      </c>
      <c r="L255" s="30" t="s">
        <v>20</v>
      </c>
      <c r="M255" s="31" t="s">
        <v>176</v>
      </c>
      <c r="N255" s="32">
        <v>1.0</v>
      </c>
      <c r="O255" s="33">
        <v>42241.34</v>
      </c>
      <c r="P255" s="34">
        <f t="shared" si="1"/>
        <v>156694.5</v>
      </c>
    </row>
    <row r="256" ht="22.5" customHeight="1">
      <c r="A256" s="22" t="s">
        <v>31</v>
      </c>
      <c r="B256" s="23">
        <v>45859.0</v>
      </c>
      <c r="C256" s="24" t="s">
        <v>66</v>
      </c>
      <c r="D256" s="24" t="s">
        <v>20</v>
      </c>
      <c r="E256" s="25" t="s">
        <v>147</v>
      </c>
      <c r="F256" s="25">
        <v>0.5</v>
      </c>
      <c r="G256" s="26">
        <v>20018.56</v>
      </c>
      <c r="I256" s="27" t="s">
        <v>22</v>
      </c>
      <c r="J256" s="28">
        <v>45862.0</v>
      </c>
      <c r="K256" s="30" t="s">
        <v>175</v>
      </c>
      <c r="L256" s="30" t="s">
        <v>20</v>
      </c>
      <c r="M256" s="31" t="s">
        <v>176</v>
      </c>
      <c r="N256" s="32">
        <v>1.0</v>
      </c>
      <c r="O256" s="33">
        <v>42241.34</v>
      </c>
      <c r="P256" s="34">
        <f t="shared" si="1"/>
        <v>156694.5</v>
      </c>
    </row>
    <row r="257" ht="22.5" customHeight="1">
      <c r="A257" s="42" t="s">
        <v>25</v>
      </c>
      <c r="B257" s="43">
        <v>45859.0</v>
      </c>
      <c r="C257" s="44" t="s">
        <v>66</v>
      </c>
      <c r="D257" s="44" t="s">
        <v>20</v>
      </c>
      <c r="E257" s="45" t="s">
        <v>148</v>
      </c>
      <c r="F257" s="45">
        <v>0.5</v>
      </c>
      <c r="G257" s="46">
        <v>22828.87</v>
      </c>
      <c r="I257" s="27" t="s">
        <v>24</v>
      </c>
      <c r="J257" s="28">
        <v>45862.0</v>
      </c>
      <c r="K257" s="30" t="s">
        <v>175</v>
      </c>
      <c r="L257" s="30" t="s">
        <v>20</v>
      </c>
      <c r="M257" s="31" t="s">
        <v>176</v>
      </c>
      <c r="N257" s="32">
        <v>1.0</v>
      </c>
      <c r="O257" s="33">
        <v>36105.91</v>
      </c>
      <c r="P257" s="34">
        <f t="shared" si="1"/>
        <v>156694.5</v>
      </c>
    </row>
    <row r="258" ht="22.5" customHeight="1">
      <c r="A258" s="22" t="s">
        <v>40</v>
      </c>
      <c r="B258" s="23">
        <v>45859.0</v>
      </c>
      <c r="C258" s="24" t="s">
        <v>66</v>
      </c>
      <c r="D258" s="24" t="s">
        <v>20</v>
      </c>
      <c r="E258" s="25" t="s">
        <v>148</v>
      </c>
      <c r="F258" s="25">
        <v>1.0</v>
      </c>
      <c r="G258" s="26">
        <v>45657.74</v>
      </c>
      <c r="I258" s="27" t="s">
        <v>26</v>
      </c>
      <c r="J258" s="28">
        <v>45862.0</v>
      </c>
      <c r="K258" s="30" t="s">
        <v>175</v>
      </c>
      <c r="L258" s="30" t="s">
        <v>20</v>
      </c>
      <c r="M258" s="31" t="s">
        <v>176</v>
      </c>
      <c r="N258" s="32">
        <v>1.0</v>
      </c>
      <c r="O258" s="33">
        <v>36105.91</v>
      </c>
      <c r="P258" s="34">
        <f t="shared" si="1"/>
        <v>156694.5</v>
      </c>
    </row>
    <row r="259" ht="22.5" customHeight="1">
      <c r="A259" s="22" t="s">
        <v>27</v>
      </c>
      <c r="B259" s="23">
        <v>45859.0</v>
      </c>
      <c r="C259" s="24" t="s">
        <v>85</v>
      </c>
      <c r="D259" s="24" t="s">
        <v>20</v>
      </c>
      <c r="E259" s="25" t="s">
        <v>148</v>
      </c>
      <c r="F259" s="25">
        <v>2.0</v>
      </c>
      <c r="G259" s="26">
        <v>80074.22</v>
      </c>
      <c r="I259" s="55" t="s">
        <v>25</v>
      </c>
      <c r="J259" s="56">
        <v>45862.0</v>
      </c>
      <c r="K259" s="57" t="s">
        <v>175</v>
      </c>
      <c r="L259" s="57" t="s">
        <v>20</v>
      </c>
      <c r="M259" s="58" t="s">
        <v>177</v>
      </c>
      <c r="N259" s="59">
        <v>1.0</v>
      </c>
      <c r="O259" s="60">
        <v>45657.74</v>
      </c>
      <c r="P259" s="34">
        <f t="shared" si="1"/>
        <v>136819.63</v>
      </c>
    </row>
    <row r="260" ht="22.5" customHeight="1">
      <c r="A260" s="22" t="s">
        <v>31</v>
      </c>
      <c r="B260" s="23">
        <v>45859.0</v>
      </c>
      <c r="C260" s="24" t="s">
        <v>85</v>
      </c>
      <c r="D260" s="24" t="s">
        <v>20</v>
      </c>
      <c r="E260" s="25" t="s">
        <v>148</v>
      </c>
      <c r="F260" s="25">
        <v>2.0</v>
      </c>
      <c r="G260" s="26">
        <v>80074.22</v>
      </c>
      <c r="I260" s="27" t="s">
        <v>40</v>
      </c>
      <c r="J260" s="28">
        <v>45862.0</v>
      </c>
      <c r="K260" s="30" t="s">
        <v>175</v>
      </c>
      <c r="L260" s="30" t="s">
        <v>20</v>
      </c>
      <c r="M260" s="31" t="s">
        <v>177</v>
      </c>
      <c r="N260" s="32">
        <v>1.0</v>
      </c>
      <c r="O260" s="33">
        <v>45657.74</v>
      </c>
      <c r="P260" s="34">
        <f t="shared" si="1"/>
        <v>136819.63</v>
      </c>
    </row>
    <row r="261" ht="22.5" customHeight="1">
      <c r="A261" s="42" t="s">
        <v>25</v>
      </c>
      <c r="B261" s="43">
        <v>45859.0</v>
      </c>
      <c r="C261" s="44" t="s">
        <v>85</v>
      </c>
      <c r="D261" s="44" t="s">
        <v>20</v>
      </c>
      <c r="E261" s="45" t="s">
        <v>149</v>
      </c>
      <c r="F261" s="45">
        <v>0.5</v>
      </c>
      <c r="G261" s="46">
        <v>22828.87</v>
      </c>
      <c r="I261" s="27" t="s">
        <v>28</v>
      </c>
      <c r="J261" s="28">
        <v>45862.0</v>
      </c>
      <c r="K261" s="30" t="s">
        <v>175</v>
      </c>
      <c r="L261" s="30" t="s">
        <v>20</v>
      </c>
      <c r="M261" s="31" t="s">
        <v>177</v>
      </c>
      <c r="N261" s="32">
        <v>1.0</v>
      </c>
      <c r="O261" s="33">
        <v>30336.1</v>
      </c>
      <c r="P261" s="34">
        <f t="shared" si="1"/>
        <v>136819.63</v>
      </c>
    </row>
    <row r="262" ht="22.5" customHeight="1">
      <c r="A262" s="42" t="s">
        <v>25</v>
      </c>
      <c r="B262" s="43">
        <v>45860.0</v>
      </c>
      <c r="C262" s="44" t="s">
        <v>150</v>
      </c>
      <c r="D262" s="44" t="s">
        <v>20</v>
      </c>
      <c r="E262" s="45" t="s">
        <v>151</v>
      </c>
      <c r="F262" s="45">
        <v>1.0</v>
      </c>
      <c r="G262" s="46">
        <v>45657.74</v>
      </c>
      <c r="I262" s="27" t="s">
        <v>47</v>
      </c>
      <c r="J262" s="28">
        <v>45862.0</v>
      </c>
      <c r="K262" s="30" t="s">
        <v>175</v>
      </c>
      <c r="L262" s="30" t="s">
        <v>20</v>
      </c>
      <c r="M262" s="31" t="s">
        <v>177</v>
      </c>
      <c r="N262" s="32">
        <v>0.5</v>
      </c>
      <c r="O262" s="33">
        <v>15168.05</v>
      </c>
      <c r="P262" s="34">
        <f t="shared" si="1"/>
        <v>136819.63</v>
      </c>
    </row>
    <row r="263" ht="22.5" customHeight="1">
      <c r="A263" s="22" t="s">
        <v>28</v>
      </c>
      <c r="B263" s="23">
        <v>45860.0</v>
      </c>
      <c r="C263" s="24" t="s">
        <v>150</v>
      </c>
      <c r="D263" s="24" t="s">
        <v>20</v>
      </c>
      <c r="E263" s="25" t="s">
        <v>151</v>
      </c>
      <c r="F263" s="25">
        <v>1.0</v>
      </c>
      <c r="G263" s="26">
        <v>30336.1</v>
      </c>
      <c r="I263" s="27" t="s">
        <v>15</v>
      </c>
      <c r="J263" s="28">
        <v>45862.0</v>
      </c>
      <c r="K263" s="30" t="s">
        <v>89</v>
      </c>
      <c r="L263" s="30" t="s">
        <v>20</v>
      </c>
      <c r="M263" s="31" t="s">
        <v>178</v>
      </c>
      <c r="N263" s="32">
        <v>1.0</v>
      </c>
      <c r="O263" s="33">
        <v>42241.34</v>
      </c>
      <c r="P263" s="34">
        <f t="shared" si="1"/>
        <v>273890.82</v>
      </c>
    </row>
    <row r="264" ht="22.5" customHeight="1">
      <c r="A264" s="22" t="s">
        <v>47</v>
      </c>
      <c r="B264" s="23">
        <v>45860.0</v>
      </c>
      <c r="C264" s="24" t="s">
        <v>152</v>
      </c>
      <c r="D264" s="24" t="s">
        <v>20</v>
      </c>
      <c r="E264" s="25" t="s">
        <v>153</v>
      </c>
      <c r="F264" s="25">
        <v>1.0</v>
      </c>
      <c r="G264" s="26">
        <v>30336.1</v>
      </c>
      <c r="I264" s="27" t="s">
        <v>22</v>
      </c>
      <c r="J264" s="28">
        <v>45862.0</v>
      </c>
      <c r="K264" s="30" t="s">
        <v>89</v>
      </c>
      <c r="L264" s="30" t="s">
        <v>20</v>
      </c>
      <c r="M264" s="31" t="s">
        <v>178</v>
      </c>
      <c r="N264" s="32">
        <v>1.0</v>
      </c>
      <c r="O264" s="33">
        <v>42241.34</v>
      </c>
      <c r="P264" s="34">
        <f t="shared" si="1"/>
        <v>273890.82</v>
      </c>
    </row>
    <row r="265" ht="22.5" customHeight="1">
      <c r="A265" s="22" t="s">
        <v>18</v>
      </c>
      <c r="B265" s="23">
        <v>45860.0</v>
      </c>
      <c r="C265" s="24" t="s">
        <v>87</v>
      </c>
      <c r="D265" s="24" t="s">
        <v>20</v>
      </c>
      <c r="E265" s="25" t="s">
        <v>154</v>
      </c>
      <c r="F265" s="25">
        <v>1.0</v>
      </c>
      <c r="G265" s="26">
        <v>18561.05</v>
      </c>
      <c r="I265" s="27" t="s">
        <v>24</v>
      </c>
      <c r="J265" s="28">
        <v>45862.0</v>
      </c>
      <c r="K265" s="30" t="s">
        <v>89</v>
      </c>
      <c r="L265" s="30" t="s">
        <v>20</v>
      </c>
      <c r="M265" s="31" t="s">
        <v>178</v>
      </c>
      <c r="N265" s="32">
        <v>1.0</v>
      </c>
      <c r="O265" s="33">
        <v>36105.91</v>
      </c>
      <c r="P265" s="34">
        <f t="shared" si="1"/>
        <v>273890.82</v>
      </c>
    </row>
    <row r="266" ht="22.5" customHeight="1">
      <c r="A266" s="22" t="s">
        <v>23</v>
      </c>
      <c r="B266" s="23">
        <v>45860.0</v>
      </c>
      <c r="C266" s="24" t="s">
        <v>87</v>
      </c>
      <c r="D266" s="24" t="s">
        <v>20</v>
      </c>
      <c r="E266" s="25" t="s">
        <v>154</v>
      </c>
      <c r="F266" s="25">
        <v>1.0</v>
      </c>
      <c r="G266" s="26">
        <v>18561.05</v>
      </c>
      <c r="I266" s="27" t="s">
        <v>26</v>
      </c>
      <c r="J266" s="28">
        <v>45862.0</v>
      </c>
      <c r="K266" s="30" t="s">
        <v>89</v>
      </c>
      <c r="L266" s="30" t="s">
        <v>20</v>
      </c>
      <c r="M266" s="31" t="s">
        <v>178</v>
      </c>
      <c r="N266" s="32">
        <v>1.0</v>
      </c>
      <c r="O266" s="33">
        <v>36105.91</v>
      </c>
      <c r="P266" s="34">
        <f t="shared" si="1"/>
        <v>273890.82</v>
      </c>
    </row>
    <row r="267" ht="22.5" customHeight="1">
      <c r="A267" s="42" t="s">
        <v>25</v>
      </c>
      <c r="B267" s="43">
        <v>45860.0</v>
      </c>
      <c r="C267" s="44" t="s">
        <v>87</v>
      </c>
      <c r="D267" s="44" t="s">
        <v>20</v>
      </c>
      <c r="E267" s="45" t="s">
        <v>155</v>
      </c>
      <c r="F267" s="45">
        <v>1.0</v>
      </c>
      <c r="G267" s="46">
        <v>45657.74</v>
      </c>
      <c r="I267" s="27" t="s">
        <v>18</v>
      </c>
      <c r="J267" s="28">
        <v>45862.0</v>
      </c>
      <c r="K267" s="30" t="s">
        <v>89</v>
      </c>
      <c r="L267" s="30" t="s">
        <v>20</v>
      </c>
      <c r="M267" s="31" t="s">
        <v>178</v>
      </c>
      <c r="N267" s="32">
        <v>1.0</v>
      </c>
      <c r="O267" s="33">
        <v>18561.05</v>
      </c>
      <c r="P267" s="34">
        <f t="shared" si="1"/>
        <v>273890.82</v>
      </c>
    </row>
    <row r="268" ht="22.5" customHeight="1">
      <c r="A268" s="22" t="s">
        <v>40</v>
      </c>
      <c r="B268" s="23">
        <v>45860.0</v>
      </c>
      <c r="C268" s="24" t="s">
        <v>87</v>
      </c>
      <c r="D268" s="24" t="s">
        <v>20</v>
      </c>
      <c r="E268" s="25" t="s">
        <v>155</v>
      </c>
      <c r="F268" s="25">
        <v>1.0</v>
      </c>
      <c r="G268" s="26">
        <v>45657.74</v>
      </c>
      <c r="I268" s="27" t="s">
        <v>23</v>
      </c>
      <c r="J268" s="28">
        <v>45862.0</v>
      </c>
      <c r="K268" s="30" t="s">
        <v>89</v>
      </c>
      <c r="L268" s="30" t="s">
        <v>20</v>
      </c>
      <c r="M268" s="31" t="s">
        <v>178</v>
      </c>
      <c r="N268" s="32">
        <v>1.0</v>
      </c>
      <c r="O268" s="33">
        <v>18561.05</v>
      </c>
      <c r="P268" s="34">
        <f t="shared" si="1"/>
        <v>273890.82</v>
      </c>
    </row>
    <row r="269" ht="22.5" customHeight="1">
      <c r="A269" s="22" t="s">
        <v>28</v>
      </c>
      <c r="B269" s="23">
        <v>45860.0</v>
      </c>
      <c r="C269" s="24" t="s">
        <v>87</v>
      </c>
      <c r="D269" s="24" t="s">
        <v>20</v>
      </c>
      <c r="E269" s="25" t="s">
        <v>155</v>
      </c>
      <c r="F269" s="25">
        <v>1.0</v>
      </c>
      <c r="G269" s="26">
        <v>30336.1</v>
      </c>
      <c r="I269" s="27" t="s">
        <v>27</v>
      </c>
      <c r="J269" s="28">
        <v>45862.0</v>
      </c>
      <c r="K269" s="30" t="s">
        <v>89</v>
      </c>
      <c r="L269" s="30" t="s">
        <v>20</v>
      </c>
      <c r="M269" s="31" t="s">
        <v>178</v>
      </c>
      <c r="N269" s="32">
        <v>1.0</v>
      </c>
      <c r="O269" s="33">
        <v>40037.11</v>
      </c>
      <c r="P269" s="34">
        <f t="shared" si="1"/>
        <v>273890.82</v>
      </c>
    </row>
    <row r="270" ht="22.5" customHeight="1">
      <c r="A270" s="22" t="s">
        <v>47</v>
      </c>
      <c r="B270" s="23">
        <v>45860.0</v>
      </c>
      <c r="C270" s="24" t="s">
        <v>87</v>
      </c>
      <c r="D270" s="24" t="s">
        <v>20</v>
      </c>
      <c r="E270" s="25" t="s">
        <v>155</v>
      </c>
      <c r="F270" s="25">
        <v>1.0</v>
      </c>
      <c r="G270" s="26">
        <v>30336.1</v>
      </c>
      <c r="I270" s="27" t="s">
        <v>31</v>
      </c>
      <c r="J270" s="28">
        <v>45862.0</v>
      </c>
      <c r="K270" s="30" t="s">
        <v>89</v>
      </c>
      <c r="L270" s="30" t="s">
        <v>20</v>
      </c>
      <c r="M270" s="31" t="s">
        <v>178</v>
      </c>
      <c r="N270" s="32">
        <v>1.0</v>
      </c>
      <c r="O270" s="33">
        <v>40037.11</v>
      </c>
      <c r="P270" s="34">
        <f t="shared" si="1"/>
        <v>273890.82</v>
      </c>
    </row>
    <row r="271" ht="22.5" customHeight="1">
      <c r="A271" s="22" t="s">
        <v>28</v>
      </c>
      <c r="B271" s="23">
        <v>45860.0</v>
      </c>
      <c r="C271" s="24" t="s">
        <v>52</v>
      </c>
      <c r="D271" s="24" t="s">
        <v>20</v>
      </c>
      <c r="E271" s="25" t="s">
        <v>156</v>
      </c>
      <c r="F271" s="25">
        <v>1.0</v>
      </c>
      <c r="G271" s="26">
        <v>30336.1</v>
      </c>
      <c r="I271" s="55" t="s">
        <v>25</v>
      </c>
      <c r="J271" s="56">
        <v>45862.0</v>
      </c>
      <c r="K271" s="57" t="s">
        <v>89</v>
      </c>
      <c r="L271" s="57" t="s">
        <v>20</v>
      </c>
      <c r="M271" s="58" t="s">
        <v>179</v>
      </c>
      <c r="N271" s="59">
        <v>2.0</v>
      </c>
      <c r="O271" s="60">
        <v>91315.48</v>
      </c>
      <c r="P271" s="34">
        <f t="shared" si="1"/>
        <v>136819.63</v>
      </c>
    </row>
    <row r="272" ht="22.5" customHeight="1">
      <c r="A272" s="22" t="s">
        <v>27</v>
      </c>
      <c r="B272" s="23">
        <v>45861.0</v>
      </c>
      <c r="C272" s="24" t="s">
        <v>103</v>
      </c>
      <c r="D272" s="24" t="s">
        <v>20</v>
      </c>
      <c r="E272" s="25" t="s">
        <v>157</v>
      </c>
      <c r="F272" s="25">
        <v>1.0</v>
      </c>
      <c r="G272" s="26">
        <v>40037.11</v>
      </c>
      <c r="I272" s="27" t="s">
        <v>28</v>
      </c>
      <c r="J272" s="28">
        <v>45862.0</v>
      </c>
      <c r="K272" s="30" t="s">
        <v>89</v>
      </c>
      <c r="L272" s="30" t="s">
        <v>20</v>
      </c>
      <c r="M272" s="31" t="s">
        <v>179</v>
      </c>
      <c r="N272" s="32">
        <v>1.0</v>
      </c>
      <c r="O272" s="33">
        <v>30336.1</v>
      </c>
      <c r="P272" s="34">
        <f t="shared" si="1"/>
        <v>136819.63</v>
      </c>
    </row>
    <row r="273" ht="22.5" customHeight="1">
      <c r="A273" s="42" t="s">
        <v>25</v>
      </c>
      <c r="B273" s="43">
        <v>45861.0</v>
      </c>
      <c r="C273" s="44" t="s">
        <v>103</v>
      </c>
      <c r="D273" s="44" t="s">
        <v>20</v>
      </c>
      <c r="E273" s="45" t="s">
        <v>158</v>
      </c>
      <c r="F273" s="45">
        <v>2.0</v>
      </c>
      <c r="G273" s="46">
        <v>91315.48</v>
      </c>
      <c r="I273" s="27" t="s">
        <v>47</v>
      </c>
      <c r="J273" s="28">
        <v>45862.0</v>
      </c>
      <c r="K273" s="30" t="s">
        <v>89</v>
      </c>
      <c r="L273" s="30" t="s">
        <v>20</v>
      </c>
      <c r="M273" s="31" t="s">
        <v>179</v>
      </c>
      <c r="N273" s="32">
        <v>0.5</v>
      </c>
      <c r="O273" s="33">
        <v>15168.05</v>
      </c>
      <c r="P273" s="34">
        <f t="shared" si="1"/>
        <v>136819.63</v>
      </c>
    </row>
    <row r="274" ht="22.5" customHeight="1">
      <c r="A274" s="22" t="s">
        <v>28</v>
      </c>
      <c r="B274" s="23">
        <v>45861.0</v>
      </c>
      <c r="C274" s="24" t="s">
        <v>103</v>
      </c>
      <c r="D274" s="24" t="s">
        <v>20</v>
      </c>
      <c r="E274" s="25" t="s">
        <v>158</v>
      </c>
      <c r="F274" s="25">
        <v>1.0</v>
      </c>
      <c r="G274" s="26">
        <v>30336.1</v>
      </c>
      <c r="I274" s="27" t="s">
        <v>18</v>
      </c>
      <c r="J274" s="28">
        <v>45862.0</v>
      </c>
      <c r="K274" s="30" t="s">
        <v>54</v>
      </c>
      <c r="L274" s="30" t="s">
        <v>20</v>
      </c>
      <c r="M274" s="31" t="s">
        <v>180</v>
      </c>
      <c r="N274" s="32">
        <v>1.0</v>
      </c>
      <c r="O274" s="33">
        <v>18561.05</v>
      </c>
      <c r="P274" s="34">
        <f t="shared" si="1"/>
        <v>37122.1</v>
      </c>
    </row>
    <row r="275" ht="22.5" customHeight="1">
      <c r="A275" s="22" t="s">
        <v>47</v>
      </c>
      <c r="B275" s="23">
        <v>45861.0</v>
      </c>
      <c r="C275" s="24" t="s">
        <v>103</v>
      </c>
      <c r="D275" s="24" t="s">
        <v>20</v>
      </c>
      <c r="E275" s="25" t="s">
        <v>158</v>
      </c>
      <c r="F275" s="25">
        <v>1.0</v>
      </c>
      <c r="G275" s="26">
        <v>30336.1</v>
      </c>
      <c r="I275" s="27" t="s">
        <v>23</v>
      </c>
      <c r="J275" s="28">
        <v>45862.0</v>
      </c>
      <c r="K275" s="30" t="s">
        <v>54</v>
      </c>
      <c r="L275" s="30" t="s">
        <v>20</v>
      </c>
      <c r="M275" s="31" t="s">
        <v>180</v>
      </c>
      <c r="N275" s="32">
        <v>1.0</v>
      </c>
      <c r="O275" s="33">
        <v>18561.05</v>
      </c>
      <c r="P275" s="34">
        <f t="shared" si="1"/>
        <v>37122.1</v>
      </c>
    </row>
    <row r="276" ht="22.5" customHeight="1">
      <c r="A276" s="22" t="s">
        <v>18</v>
      </c>
      <c r="B276" s="23">
        <v>45861.0</v>
      </c>
      <c r="C276" s="24" t="s">
        <v>60</v>
      </c>
      <c r="D276" s="24" t="s">
        <v>20</v>
      </c>
      <c r="E276" s="25" t="s">
        <v>159</v>
      </c>
      <c r="F276" s="25">
        <v>0.5</v>
      </c>
      <c r="G276" s="26">
        <v>9280.53</v>
      </c>
      <c r="I276" s="55" t="s">
        <v>25</v>
      </c>
      <c r="J276" s="56">
        <v>45862.0</v>
      </c>
      <c r="K276" s="57" t="s">
        <v>54</v>
      </c>
      <c r="L276" s="57" t="s">
        <v>20</v>
      </c>
      <c r="M276" s="58" t="s">
        <v>181</v>
      </c>
      <c r="N276" s="59">
        <v>1.0</v>
      </c>
      <c r="O276" s="60">
        <v>45657.74</v>
      </c>
      <c r="P276" s="34">
        <f t="shared" si="1"/>
        <v>91161.89</v>
      </c>
    </row>
    <row r="277" ht="22.5" customHeight="1">
      <c r="A277" s="22" t="s">
        <v>27</v>
      </c>
      <c r="B277" s="23">
        <v>45861.0</v>
      </c>
      <c r="C277" s="24" t="s">
        <v>60</v>
      </c>
      <c r="D277" s="24" t="s">
        <v>20</v>
      </c>
      <c r="E277" s="25" t="s">
        <v>159</v>
      </c>
      <c r="F277" s="25">
        <v>0.5</v>
      </c>
      <c r="G277" s="26">
        <v>20018.56</v>
      </c>
      <c r="I277" s="27" t="s">
        <v>28</v>
      </c>
      <c r="J277" s="28">
        <v>45862.0</v>
      </c>
      <c r="K277" s="30" t="s">
        <v>54</v>
      </c>
      <c r="L277" s="30" t="s">
        <v>20</v>
      </c>
      <c r="M277" s="31" t="s">
        <v>181</v>
      </c>
      <c r="N277" s="32">
        <v>1.0</v>
      </c>
      <c r="O277" s="33">
        <v>30336.1</v>
      </c>
      <c r="P277" s="34">
        <f t="shared" si="1"/>
        <v>91161.89</v>
      </c>
    </row>
    <row r="278" ht="22.5" customHeight="1">
      <c r="A278" s="22" t="s">
        <v>47</v>
      </c>
      <c r="B278" s="23">
        <v>45861.0</v>
      </c>
      <c r="C278" s="24" t="s">
        <v>60</v>
      </c>
      <c r="D278" s="24" t="s">
        <v>20</v>
      </c>
      <c r="E278" s="25" t="s">
        <v>160</v>
      </c>
      <c r="F278" s="25">
        <v>0.5</v>
      </c>
      <c r="G278" s="26">
        <v>15168.05</v>
      </c>
      <c r="I278" s="27" t="s">
        <v>47</v>
      </c>
      <c r="J278" s="28">
        <v>45862.0</v>
      </c>
      <c r="K278" s="30" t="s">
        <v>54</v>
      </c>
      <c r="L278" s="30" t="s">
        <v>20</v>
      </c>
      <c r="M278" s="31" t="s">
        <v>181</v>
      </c>
      <c r="N278" s="32">
        <v>0.5</v>
      </c>
      <c r="O278" s="33">
        <v>15168.05</v>
      </c>
      <c r="P278" s="34">
        <f t="shared" si="1"/>
        <v>91161.89</v>
      </c>
    </row>
    <row r="279" ht="22.5" customHeight="1">
      <c r="A279" s="42" t="s">
        <v>25</v>
      </c>
      <c r="B279" s="43">
        <v>45861.0</v>
      </c>
      <c r="C279" s="44" t="s">
        <v>101</v>
      </c>
      <c r="D279" s="44" t="s">
        <v>20</v>
      </c>
      <c r="E279" s="45" t="s">
        <v>161</v>
      </c>
      <c r="F279" s="45">
        <v>1.0</v>
      </c>
      <c r="G279" s="46">
        <v>45657.74</v>
      </c>
      <c r="I279" s="27" t="s">
        <v>28</v>
      </c>
      <c r="J279" s="28">
        <v>45862.0</v>
      </c>
      <c r="K279" s="30" t="s">
        <v>182</v>
      </c>
      <c r="L279" s="30" t="s">
        <v>20</v>
      </c>
      <c r="M279" s="31" t="s">
        <v>183</v>
      </c>
      <c r="N279" s="32">
        <v>0.5</v>
      </c>
      <c r="O279" s="33">
        <v>15168.05</v>
      </c>
      <c r="P279" s="34">
        <f t="shared" si="1"/>
        <v>30336.1</v>
      </c>
    </row>
    <row r="280" ht="22.5" customHeight="1">
      <c r="A280" s="22" t="s">
        <v>28</v>
      </c>
      <c r="B280" s="23">
        <v>45861.0</v>
      </c>
      <c r="C280" s="24" t="s">
        <v>101</v>
      </c>
      <c r="D280" s="24" t="s">
        <v>20</v>
      </c>
      <c r="E280" s="25" t="s">
        <v>161</v>
      </c>
      <c r="F280" s="25">
        <v>1.0</v>
      </c>
      <c r="G280" s="26">
        <v>30336.1</v>
      </c>
      <c r="I280" s="27" t="s">
        <v>47</v>
      </c>
      <c r="J280" s="28">
        <v>45862.0</v>
      </c>
      <c r="K280" s="30" t="s">
        <v>182</v>
      </c>
      <c r="L280" s="30" t="s">
        <v>20</v>
      </c>
      <c r="M280" s="31" t="s">
        <v>183</v>
      </c>
      <c r="N280" s="32">
        <v>0.5</v>
      </c>
      <c r="O280" s="33">
        <v>15168.05</v>
      </c>
      <c r="P280" s="34">
        <f t="shared" si="1"/>
        <v>30336.1</v>
      </c>
    </row>
    <row r="281" ht="22.5" customHeight="1">
      <c r="A281" s="22" t="s">
        <v>47</v>
      </c>
      <c r="B281" s="23">
        <v>45861.0</v>
      </c>
      <c r="C281" s="24" t="s">
        <v>101</v>
      </c>
      <c r="D281" s="24" t="s">
        <v>20</v>
      </c>
      <c r="E281" s="25" t="s">
        <v>161</v>
      </c>
      <c r="F281" s="25">
        <v>1.0</v>
      </c>
      <c r="G281" s="26">
        <v>30336.1</v>
      </c>
      <c r="I281" s="27" t="s">
        <v>18</v>
      </c>
      <c r="J281" s="28">
        <v>45863.0</v>
      </c>
      <c r="K281" s="30" t="s">
        <v>70</v>
      </c>
      <c r="L281" s="30" t="s">
        <v>20</v>
      </c>
      <c r="M281" s="31" t="s">
        <v>184</v>
      </c>
      <c r="N281" s="32">
        <v>1.0</v>
      </c>
      <c r="O281" s="33">
        <v>18561.05</v>
      </c>
      <c r="P281" s="34">
        <f t="shared" si="1"/>
        <v>272577</v>
      </c>
    </row>
    <row r="282" ht="22.5" customHeight="1">
      <c r="A282" s="22" t="s">
        <v>28</v>
      </c>
      <c r="B282" s="23">
        <v>45861.0</v>
      </c>
      <c r="C282" s="24" t="s">
        <v>43</v>
      </c>
      <c r="D282" s="24" t="s">
        <v>20</v>
      </c>
      <c r="E282" s="25" t="s">
        <v>162</v>
      </c>
      <c r="F282" s="25">
        <v>1.0</v>
      </c>
      <c r="G282" s="26">
        <v>30336.1</v>
      </c>
      <c r="I282" s="55" t="s">
        <v>23</v>
      </c>
      <c r="J282" s="56">
        <v>45863.0</v>
      </c>
      <c r="K282" s="57" t="s">
        <v>70</v>
      </c>
      <c r="L282" s="57" t="s">
        <v>20</v>
      </c>
      <c r="M282" s="58" t="s">
        <v>184</v>
      </c>
      <c r="N282" s="59">
        <v>2.0</v>
      </c>
      <c r="O282" s="60">
        <v>37122.1</v>
      </c>
      <c r="P282" s="34">
        <f t="shared" si="1"/>
        <v>272577</v>
      </c>
    </row>
    <row r="283" ht="22.5" customHeight="1">
      <c r="A283" s="22" t="s">
        <v>47</v>
      </c>
      <c r="B283" s="23">
        <v>45861.0</v>
      </c>
      <c r="C283" s="24" t="s">
        <v>43</v>
      </c>
      <c r="D283" s="24" t="s">
        <v>20</v>
      </c>
      <c r="E283" s="25" t="s">
        <v>162</v>
      </c>
      <c r="F283" s="25">
        <v>1.0</v>
      </c>
      <c r="G283" s="26">
        <v>30336.1</v>
      </c>
      <c r="I283" s="27" t="s">
        <v>25</v>
      </c>
      <c r="J283" s="28">
        <v>45863.0</v>
      </c>
      <c r="K283" s="30" t="s">
        <v>70</v>
      </c>
      <c r="L283" s="30" t="s">
        <v>20</v>
      </c>
      <c r="M283" s="31" t="s">
        <v>184</v>
      </c>
      <c r="N283" s="32">
        <v>1.0</v>
      </c>
      <c r="O283" s="33">
        <v>45657.74</v>
      </c>
      <c r="P283" s="34">
        <f t="shared" si="1"/>
        <v>272577</v>
      </c>
    </row>
    <row r="284" ht="22.5" customHeight="1">
      <c r="A284" s="42" t="s">
        <v>25</v>
      </c>
      <c r="B284" s="43">
        <v>45861.0</v>
      </c>
      <c r="C284" s="44" t="s">
        <v>163</v>
      </c>
      <c r="D284" s="44" t="s">
        <v>20</v>
      </c>
      <c r="E284" s="45" t="s">
        <v>164</v>
      </c>
      <c r="F284" s="45">
        <v>1.0</v>
      </c>
      <c r="G284" s="46">
        <v>45657.74</v>
      </c>
      <c r="I284" s="55" t="s">
        <v>40</v>
      </c>
      <c r="J284" s="56">
        <v>45863.0</v>
      </c>
      <c r="K284" s="57" t="s">
        <v>70</v>
      </c>
      <c r="L284" s="57" t="s">
        <v>20</v>
      </c>
      <c r="M284" s="58" t="s">
        <v>184</v>
      </c>
      <c r="N284" s="59">
        <v>1.0</v>
      </c>
      <c r="O284" s="60">
        <v>45657.74</v>
      </c>
      <c r="P284" s="34">
        <f t="shared" si="1"/>
        <v>272577</v>
      </c>
    </row>
    <row r="285" ht="22.5" customHeight="1">
      <c r="A285" s="22" t="s">
        <v>40</v>
      </c>
      <c r="B285" s="23">
        <v>45861.0</v>
      </c>
      <c r="C285" s="24" t="s">
        <v>163</v>
      </c>
      <c r="D285" s="24" t="s">
        <v>20</v>
      </c>
      <c r="E285" s="25" t="s">
        <v>164</v>
      </c>
      <c r="F285" s="25">
        <v>1.0</v>
      </c>
      <c r="G285" s="26">
        <v>45657.74</v>
      </c>
      <c r="I285" s="27" t="s">
        <v>27</v>
      </c>
      <c r="J285" s="28">
        <v>45863.0</v>
      </c>
      <c r="K285" s="30" t="s">
        <v>70</v>
      </c>
      <c r="L285" s="30" t="s">
        <v>20</v>
      </c>
      <c r="M285" s="31" t="s">
        <v>184</v>
      </c>
      <c r="N285" s="32">
        <v>1.0</v>
      </c>
      <c r="O285" s="33">
        <v>40037.11</v>
      </c>
      <c r="P285" s="34">
        <f t="shared" si="1"/>
        <v>272577</v>
      </c>
    </row>
    <row r="286" ht="22.5" customHeight="1">
      <c r="A286" s="22" t="s">
        <v>28</v>
      </c>
      <c r="B286" s="23">
        <v>45861.0</v>
      </c>
      <c r="C286" s="24" t="s">
        <v>163</v>
      </c>
      <c r="D286" s="24" t="s">
        <v>20</v>
      </c>
      <c r="E286" s="25" t="s">
        <v>164</v>
      </c>
      <c r="F286" s="25">
        <v>1.0</v>
      </c>
      <c r="G286" s="26">
        <v>30336.1</v>
      </c>
      <c r="I286" s="27" t="s">
        <v>31</v>
      </c>
      <c r="J286" s="28">
        <v>45863.0</v>
      </c>
      <c r="K286" s="30" t="s">
        <v>70</v>
      </c>
      <c r="L286" s="30" t="s">
        <v>20</v>
      </c>
      <c r="M286" s="31" t="s">
        <v>184</v>
      </c>
      <c r="N286" s="32">
        <v>1.0</v>
      </c>
      <c r="O286" s="33">
        <v>40037.11</v>
      </c>
      <c r="P286" s="34">
        <f t="shared" si="1"/>
        <v>272577</v>
      </c>
    </row>
    <row r="287" ht="22.5" customHeight="1">
      <c r="A287" s="22" t="s">
        <v>47</v>
      </c>
      <c r="B287" s="23">
        <v>45861.0</v>
      </c>
      <c r="C287" s="24" t="s">
        <v>163</v>
      </c>
      <c r="D287" s="24" t="s">
        <v>20</v>
      </c>
      <c r="E287" s="25" t="s">
        <v>164</v>
      </c>
      <c r="F287" s="25">
        <v>5.0</v>
      </c>
      <c r="G287" s="26">
        <v>151680.5</v>
      </c>
      <c r="I287" s="27" t="s">
        <v>28</v>
      </c>
      <c r="J287" s="28">
        <v>45863.0</v>
      </c>
      <c r="K287" s="30" t="s">
        <v>70</v>
      </c>
      <c r="L287" s="30" t="s">
        <v>20</v>
      </c>
      <c r="M287" s="31" t="s">
        <v>184</v>
      </c>
      <c r="N287" s="32">
        <v>1.0</v>
      </c>
      <c r="O287" s="33">
        <v>30336.1</v>
      </c>
      <c r="P287" s="34">
        <f t="shared" si="1"/>
        <v>272577</v>
      </c>
    </row>
    <row r="288" ht="22.5" customHeight="1">
      <c r="A288" s="22" t="s">
        <v>28</v>
      </c>
      <c r="B288" s="23">
        <v>45861.0</v>
      </c>
      <c r="C288" s="24" t="s">
        <v>165</v>
      </c>
      <c r="D288" s="24" t="s">
        <v>20</v>
      </c>
      <c r="E288" s="25" t="s">
        <v>166</v>
      </c>
      <c r="F288" s="25">
        <v>1.0</v>
      </c>
      <c r="G288" s="26">
        <v>30336.1</v>
      </c>
      <c r="I288" s="27" t="s">
        <v>28</v>
      </c>
      <c r="J288" s="28">
        <v>45863.0</v>
      </c>
      <c r="K288" s="30" t="s">
        <v>185</v>
      </c>
      <c r="L288" s="30" t="s">
        <v>20</v>
      </c>
      <c r="M288" s="31" t="s">
        <v>186</v>
      </c>
      <c r="N288" s="32">
        <v>1.0</v>
      </c>
      <c r="O288" s="33">
        <v>32611.31</v>
      </c>
      <c r="P288" s="34">
        <f t="shared" si="1"/>
        <v>65222.62</v>
      </c>
    </row>
    <row r="289" ht="22.5" customHeight="1">
      <c r="A289" s="22" t="s">
        <v>47</v>
      </c>
      <c r="B289" s="23">
        <v>45861.0</v>
      </c>
      <c r="C289" s="24" t="s">
        <v>165</v>
      </c>
      <c r="D289" s="24" t="s">
        <v>20</v>
      </c>
      <c r="E289" s="25" t="s">
        <v>166</v>
      </c>
      <c r="F289" s="25">
        <v>1.0</v>
      </c>
      <c r="G289" s="26">
        <v>30336.1</v>
      </c>
      <c r="I289" s="55" t="s">
        <v>47</v>
      </c>
      <c r="J289" s="56">
        <v>45863.0</v>
      </c>
      <c r="K289" s="57" t="s">
        <v>187</v>
      </c>
      <c r="L289" s="57" t="s">
        <v>20</v>
      </c>
      <c r="M289" s="58" t="s">
        <v>188</v>
      </c>
      <c r="N289" s="59">
        <v>1.0</v>
      </c>
      <c r="O289" s="60">
        <v>32611.31</v>
      </c>
      <c r="P289" s="34">
        <f t="shared" si="1"/>
        <v>32611.31</v>
      </c>
    </row>
    <row r="290" ht="22.5" customHeight="1">
      <c r="A290" s="22" t="s">
        <v>18</v>
      </c>
      <c r="B290" s="23">
        <v>45861.0</v>
      </c>
      <c r="C290" s="24" t="s">
        <v>139</v>
      </c>
      <c r="D290" s="24" t="s">
        <v>20</v>
      </c>
      <c r="E290" s="25" t="s">
        <v>167</v>
      </c>
      <c r="F290" s="25">
        <v>1.0</v>
      </c>
      <c r="G290" s="26">
        <v>18561.05</v>
      </c>
      <c r="I290" s="55" t="s">
        <v>47</v>
      </c>
      <c r="J290" s="56">
        <v>45863.0</v>
      </c>
      <c r="K290" s="57" t="s">
        <v>70</v>
      </c>
      <c r="L290" s="57" t="s">
        <v>20</v>
      </c>
      <c r="M290" s="58" t="s">
        <v>184</v>
      </c>
      <c r="N290" s="59">
        <v>0.5</v>
      </c>
      <c r="O290" s="60">
        <v>15168.05</v>
      </c>
      <c r="P290" s="34">
        <f t="shared" si="1"/>
        <v>272577</v>
      </c>
    </row>
    <row r="291" ht="22.5" customHeight="1">
      <c r="A291" s="22" t="s">
        <v>23</v>
      </c>
      <c r="B291" s="23">
        <v>45861.0</v>
      </c>
      <c r="C291" s="24" t="s">
        <v>139</v>
      </c>
      <c r="D291" s="24" t="s">
        <v>20</v>
      </c>
      <c r="E291" s="25" t="s">
        <v>167</v>
      </c>
      <c r="F291" s="25">
        <v>2.0</v>
      </c>
      <c r="G291" s="26">
        <v>37122.1</v>
      </c>
      <c r="I291" s="55" t="s">
        <v>47</v>
      </c>
      <c r="J291" s="56">
        <v>45863.0</v>
      </c>
      <c r="K291" s="57" t="s">
        <v>185</v>
      </c>
      <c r="L291" s="57" t="s">
        <v>20</v>
      </c>
      <c r="M291" s="58" t="s">
        <v>186</v>
      </c>
      <c r="N291" s="59">
        <v>1.0</v>
      </c>
      <c r="O291" s="60">
        <v>32611.31</v>
      </c>
      <c r="P291" s="34">
        <f t="shared" si="1"/>
        <v>65222.62</v>
      </c>
    </row>
    <row r="292" ht="22.5" customHeight="1">
      <c r="A292" s="22" t="s">
        <v>28</v>
      </c>
      <c r="B292" s="23">
        <v>45861.0</v>
      </c>
      <c r="C292" s="24" t="s">
        <v>139</v>
      </c>
      <c r="D292" s="24" t="s">
        <v>20</v>
      </c>
      <c r="E292" s="25" t="s">
        <v>168</v>
      </c>
      <c r="F292" s="25">
        <v>1.0</v>
      </c>
      <c r="G292" s="26">
        <v>30336.1</v>
      </c>
      <c r="I292" s="27" t="s">
        <v>25</v>
      </c>
      <c r="J292" s="28">
        <v>45864.0</v>
      </c>
      <c r="K292" s="30" t="s">
        <v>45</v>
      </c>
      <c r="L292" s="30" t="s">
        <v>20</v>
      </c>
      <c r="M292" s="31" t="s">
        <v>189</v>
      </c>
      <c r="N292" s="32">
        <v>1.0</v>
      </c>
      <c r="O292" s="33">
        <v>45657.74</v>
      </c>
      <c r="P292" s="34">
        <f t="shared" si="1"/>
        <v>98822.71</v>
      </c>
    </row>
    <row r="293" ht="22.5" customHeight="1">
      <c r="A293" s="22" t="s">
        <v>47</v>
      </c>
      <c r="B293" s="23">
        <v>45861.0</v>
      </c>
      <c r="C293" s="24" t="s">
        <v>139</v>
      </c>
      <c r="D293" s="24" t="s">
        <v>20</v>
      </c>
      <c r="E293" s="25" t="s">
        <v>168</v>
      </c>
      <c r="F293" s="25">
        <v>2.0</v>
      </c>
      <c r="G293" s="26">
        <v>60672.2</v>
      </c>
      <c r="I293" s="27" t="s">
        <v>25</v>
      </c>
      <c r="J293" s="28">
        <v>45864.0</v>
      </c>
      <c r="K293" s="30" t="s">
        <v>62</v>
      </c>
      <c r="L293" s="30" t="s">
        <v>20</v>
      </c>
      <c r="M293" s="31" t="s">
        <v>190</v>
      </c>
      <c r="N293" s="32">
        <v>1.0</v>
      </c>
      <c r="O293" s="33">
        <v>45657.74</v>
      </c>
      <c r="P293" s="34">
        <f t="shared" si="1"/>
        <v>121651.58</v>
      </c>
    </row>
    <row r="294" ht="22.5" customHeight="1">
      <c r="A294" s="22" t="s">
        <v>18</v>
      </c>
      <c r="B294" s="23">
        <v>45862.0</v>
      </c>
      <c r="C294" s="24" t="s">
        <v>76</v>
      </c>
      <c r="D294" s="24" t="s">
        <v>20</v>
      </c>
      <c r="E294" s="25" t="s">
        <v>169</v>
      </c>
      <c r="F294" s="25">
        <v>1.0</v>
      </c>
      <c r="G294" s="26">
        <v>18561.05</v>
      </c>
      <c r="I294" s="55" t="s">
        <v>40</v>
      </c>
      <c r="J294" s="56">
        <v>45864.0</v>
      </c>
      <c r="K294" s="57" t="s">
        <v>45</v>
      </c>
      <c r="L294" s="57" t="s">
        <v>20</v>
      </c>
      <c r="M294" s="58" t="s">
        <v>189</v>
      </c>
      <c r="N294" s="59">
        <v>0.5</v>
      </c>
      <c r="O294" s="60">
        <v>22828.87</v>
      </c>
      <c r="P294" s="34">
        <f t="shared" si="1"/>
        <v>98822.71</v>
      </c>
    </row>
    <row r="295" ht="22.5" customHeight="1">
      <c r="A295" s="22" t="s">
        <v>23</v>
      </c>
      <c r="B295" s="23">
        <v>45862.0</v>
      </c>
      <c r="C295" s="24" t="s">
        <v>76</v>
      </c>
      <c r="D295" s="24" t="s">
        <v>20</v>
      </c>
      <c r="E295" s="25" t="s">
        <v>169</v>
      </c>
      <c r="F295" s="25">
        <v>1.0</v>
      </c>
      <c r="G295" s="26">
        <v>18561.05</v>
      </c>
      <c r="I295" s="55" t="s">
        <v>40</v>
      </c>
      <c r="J295" s="56">
        <v>45864.0</v>
      </c>
      <c r="K295" s="57" t="s">
        <v>62</v>
      </c>
      <c r="L295" s="57" t="s">
        <v>20</v>
      </c>
      <c r="M295" s="58" t="s">
        <v>190</v>
      </c>
      <c r="N295" s="59">
        <v>1.0</v>
      </c>
      <c r="O295" s="60">
        <v>45657.74</v>
      </c>
      <c r="P295" s="34">
        <f t="shared" si="1"/>
        <v>121651.58</v>
      </c>
    </row>
    <row r="296" ht="22.5" customHeight="1">
      <c r="A296" s="22" t="s">
        <v>27</v>
      </c>
      <c r="B296" s="23">
        <v>45862.0</v>
      </c>
      <c r="C296" s="24" t="s">
        <v>76</v>
      </c>
      <c r="D296" s="24" t="s">
        <v>20</v>
      </c>
      <c r="E296" s="25" t="s">
        <v>169</v>
      </c>
      <c r="F296" s="25">
        <v>1.0</v>
      </c>
      <c r="G296" s="26">
        <v>40037.11</v>
      </c>
      <c r="I296" s="27" t="s">
        <v>27</v>
      </c>
      <c r="J296" s="28">
        <v>45864.0</v>
      </c>
      <c r="K296" s="30" t="s">
        <v>191</v>
      </c>
      <c r="L296" s="30" t="s">
        <v>20</v>
      </c>
      <c r="M296" s="31" t="s">
        <v>192</v>
      </c>
      <c r="N296" s="32">
        <v>0.5</v>
      </c>
      <c r="O296" s="33">
        <v>20018.56</v>
      </c>
      <c r="P296" s="34">
        <f t="shared" si="1"/>
        <v>70373.22</v>
      </c>
    </row>
    <row r="297" ht="22.5" customHeight="1">
      <c r="A297" s="22" t="s">
        <v>31</v>
      </c>
      <c r="B297" s="23">
        <v>45862.0</v>
      </c>
      <c r="C297" s="24" t="s">
        <v>76</v>
      </c>
      <c r="D297" s="24" t="s">
        <v>20</v>
      </c>
      <c r="E297" s="25" t="s">
        <v>169</v>
      </c>
      <c r="F297" s="25">
        <v>1.0</v>
      </c>
      <c r="G297" s="26">
        <v>40037.11</v>
      </c>
      <c r="I297" s="27" t="s">
        <v>31</v>
      </c>
      <c r="J297" s="28">
        <v>45864.0</v>
      </c>
      <c r="K297" s="30" t="s">
        <v>191</v>
      </c>
      <c r="L297" s="30" t="s">
        <v>20</v>
      </c>
      <c r="M297" s="31" t="s">
        <v>192</v>
      </c>
      <c r="N297" s="32">
        <v>0.5</v>
      </c>
      <c r="O297" s="33">
        <v>20018.56</v>
      </c>
      <c r="P297" s="34">
        <f t="shared" si="1"/>
        <v>70373.22</v>
      </c>
    </row>
    <row r="298" ht="22.5" customHeight="1">
      <c r="A298" s="22" t="s">
        <v>40</v>
      </c>
      <c r="B298" s="23">
        <v>45862.0</v>
      </c>
      <c r="C298" s="24" t="s">
        <v>76</v>
      </c>
      <c r="D298" s="24" t="s">
        <v>20</v>
      </c>
      <c r="E298" s="25" t="s">
        <v>170</v>
      </c>
      <c r="F298" s="25">
        <v>1.0</v>
      </c>
      <c r="G298" s="26">
        <v>45657.74</v>
      </c>
      <c r="I298" s="27" t="s">
        <v>28</v>
      </c>
      <c r="J298" s="28">
        <v>45864.0</v>
      </c>
      <c r="K298" s="30" t="s">
        <v>45</v>
      </c>
      <c r="L298" s="30" t="s">
        <v>20</v>
      </c>
      <c r="M298" s="31" t="s">
        <v>189</v>
      </c>
      <c r="N298" s="32">
        <v>0.5</v>
      </c>
      <c r="O298" s="33">
        <v>15168.05</v>
      </c>
      <c r="P298" s="34">
        <f t="shared" si="1"/>
        <v>98822.71</v>
      </c>
    </row>
    <row r="299" ht="22.5" customHeight="1">
      <c r="A299" s="22" t="s">
        <v>28</v>
      </c>
      <c r="B299" s="23">
        <v>45862.0</v>
      </c>
      <c r="C299" s="24" t="s">
        <v>76</v>
      </c>
      <c r="D299" s="24" t="s">
        <v>20</v>
      </c>
      <c r="E299" s="25" t="s">
        <v>170</v>
      </c>
      <c r="F299" s="25">
        <v>1.0</v>
      </c>
      <c r="G299" s="26">
        <v>30336.1</v>
      </c>
      <c r="I299" s="27" t="s">
        <v>28</v>
      </c>
      <c r="J299" s="28">
        <v>45864.0</v>
      </c>
      <c r="K299" s="30" t="s">
        <v>62</v>
      </c>
      <c r="L299" s="30" t="s">
        <v>20</v>
      </c>
      <c r="M299" s="31" t="s">
        <v>190</v>
      </c>
      <c r="N299" s="32">
        <v>0.5</v>
      </c>
      <c r="O299" s="33">
        <v>15168.05</v>
      </c>
      <c r="P299" s="34">
        <f t="shared" si="1"/>
        <v>121651.58</v>
      </c>
    </row>
    <row r="300" ht="22.5" customHeight="1">
      <c r="A300" s="22" t="s">
        <v>47</v>
      </c>
      <c r="B300" s="23">
        <v>45862.0</v>
      </c>
      <c r="C300" s="24" t="s">
        <v>76</v>
      </c>
      <c r="D300" s="24" t="s">
        <v>20</v>
      </c>
      <c r="E300" s="25" t="s">
        <v>170</v>
      </c>
      <c r="F300" s="25">
        <v>0.5</v>
      </c>
      <c r="G300" s="26">
        <v>15168.05</v>
      </c>
      <c r="I300" s="27" t="s">
        <v>28</v>
      </c>
      <c r="J300" s="28">
        <v>45864.0</v>
      </c>
      <c r="K300" s="30" t="s">
        <v>48</v>
      </c>
      <c r="L300" s="30" t="s">
        <v>20</v>
      </c>
      <c r="M300" s="31" t="s">
        <v>193</v>
      </c>
      <c r="N300" s="32">
        <v>1.0</v>
      </c>
      <c r="O300" s="33">
        <v>30336.1</v>
      </c>
      <c r="P300" s="34">
        <f t="shared" si="1"/>
        <v>60672.2</v>
      </c>
    </row>
    <row r="301" ht="22.5" customHeight="1">
      <c r="A301" s="22" t="s">
        <v>28</v>
      </c>
      <c r="B301" s="23">
        <v>45862.0</v>
      </c>
      <c r="C301" s="24" t="s">
        <v>171</v>
      </c>
      <c r="D301" s="24" t="s">
        <v>20</v>
      </c>
      <c r="E301" s="25" t="s">
        <v>172</v>
      </c>
      <c r="F301" s="25">
        <v>1.0</v>
      </c>
      <c r="G301" s="26">
        <v>30336.1</v>
      </c>
      <c r="I301" s="27" t="s">
        <v>28</v>
      </c>
      <c r="J301" s="28">
        <v>45864.0</v>
      </c>
      <c r="K301" s="30" t="s">
        <v>64</v>
      </c>
      <c r="L301" s="30" t="s">
        <v>20</v>
      </c>
      <c r="M301" s="31" t="s">
        <v>194</v>
      </c>
      <c r="N301" s="32">
        <v>1.0</v>
      </c>
      <c r="O301" s="33">
        <v>30336.1</v>
      </c>
      <c r="P301" s="34">
        <f t="shared" si="1"/>
        <v>60672.2</v>
      </c>
    </row>
    <row r="302" ht="22.5" customHeight="1">
      <c r="A302" s="22" t="s">
        <v>47</v>
      </c>
      <c r="B302" s="23">
        <v>45862.0</v>
      </c>
      <c r="C302" s="24" t="s">
        <v>171</v>
      </c>
      <c r="D302" s="24" t="s">
        <v>20</v>
      </c>
      <c r="E302" s="25" t="s">
        <v>172</v>
      </c>
      <c r="F302" s="25">
        <v>0.5</v>
      </c>
      <c r="G302" s="26">
        <v>15168.05</v>
      </c>
      <c r="I302" s="55" t="s">
        <v>47</v>
      </c>
      <c r="J302" s="56">
        <v>45864.0</v>
      </c>
      <c r="K302" s="57" t="s">
        <v>45</v>
      </c>
      <c r="L302" s="57" t="s">
        <v>20</v>
      </c>
      <c r="M302" s="58" t="s">
        <v>189</v>
      </c>
      <c r="N302" s="59">
        <v>0.5</v>
      </c>
      <c r="O302" s="60">
        <v>15168.05</v>
      </c>
      <c r="P302" s="34">
        <f t="shared" si="1"/>
        <v>98822.71</v>
      </c>
    </row>
    <row r="303" ht="22.5" customHeight="1">
      <c r="A303" s="22" t="s">
        <v>28</v>
      </c>
      <c r="B303" s="23">
        <v>45862.0</v>
      </c>
      <c r="C303" s="24" t="s">
        <v>173</v>
      </c>
      <c r="D303" s="24" t="s">
        <v>20</v>
      </c>
      <c r="E303" s="25" t="s">
        <v>174</v>
      </c>
      <c r="F303" s="25">
        <v>1.0</v>
      </c>
      <c r="G303" s="26">
        <v>30336.1</v>
      </c>
      <c r="I303" s="55" t="s">
        <v>47</v>
      </c>
      <c r="J303" s="56">
        <v>45864.0</v>
      </c>
      <c r="K303" s="57" t="s">
        <v>62</v>
      </c>
      <c r="L303" s="57" t="s">
        <v>20</v>
      </c>
      <c r="M303" s="58" t="s">
        <v>190</v>
      </c>
      <c r="N303" s="59">
        <v>0.5</v>
      </c>
      <c r="O303" s="60">
        <v>15168.05</v>
      </c>
      <c r="P303" s="34">
        <f t="shared" si="1"/>
        <v>121651.58</v>
      </c>
    </row>
    <row r="304" ht="22.5" customHeight="1">
      <c r="A304" s="22" t="s">
        <v>47</v>
      </c>
      <c r="B304" s="23">
        <v>45862.0</v>
      </c>
      <c r="C304" s="24" t="s">
        <v>173</v>
      </c>
      <c r="D304" s="24" t="s">
        <v>20</v>
      </c>
      <c r="E304" s="25" t="s">
        <v>174</v>
      </c>
      <c r="F304" s="25">
        <v>0.5</v>
      </c>
      <c r="G304" s="26">
        <v>15168.05</v>
      </c>
      <c r="I304" s="55" t="s">
        <v>47</v>
      </c>
      <c r="J304" s="56">
        <v>45864.0</v>
      </c>
      <c r="K304" s="57" t="s">
        <v>191</v>
      </c>
      <c r="L304" s="57" t="s">
        <v>20</v>
      </c>
      <c r="M304" s="58" t="s">
        <v>192</v>
      </c>
      <c r="N304" s="59">
        <v>1.0</v>
      </c>
      <c r="O304" s="60">
        <v>30336.1</v>
      </c>
      <c r="P304" s="34">
        <f t="shared" si="1"/>
        <v>70373.22</v>
      </c>
    </row>
    <row r="305" ht="22.5" customHeight="1">
      <c r="A305" s="22" t="s">
        <v>15</v>
      </c>
      <c r="B305" s="23">
        <v>45862.0</v>
      </c>
      <c r="C305" s="24" t="s">
        <v>175</v>
      </c>
      <c r="D305" s="24" t="s">
        <v>20</v>
      </c>
      <c r="E305" s="25" t="s">
        <v>176</v>
      </c>
      <c r="F305" s="25">
        <v>1.0</v>
      </c>
      <c r="G305" s="26">
        <v>42241.34</v>
      </c>
      <c r="I305" s="55" t="s">
        <v>47</v>
      </c>
      <c r="J305" s="56">
        <v>45864.0</v>
      </c>
      <c r="K305" s="57" t="s">
        <v>48</v>
      </c>
      <c r="L305" s="57" t="s">
        <v>20</v>
      </c>
      <c r="M305" s="58" t="s">
        <v>193</v>
      </c>
      <c r="N305" s="59">
        <v>1.0</v>
      </c>
      <c r="O305" s="60">
        <v>30336.1</v>
      </c>
      <c r="P305" s="34">
        <f t="shared" si="1"/>
        <v>60672.2</v>
      </c>
    </row>
    <row r="306" ht="22.5" customHeight="1">
      <c r="A306" s="22" t="s">
        <v>22</v>
      </c>
      <c r="B306" s="23">
        <v>45862.0</v>
      </c>
      <c r="C306" s="24" t="s">
        <v>175</v>
      </c>
      <c r="D306" s="24" t="s">
        <v>20</v>
      </c>
      <c r="E306" s="25" t="s">
        <v>176</v>
      </c>
      <c r="F306" s="25">
        <v>1.0</v>
      </c>
      <c r="G306" s="26">
        <v>42241.34</v>
      </c>
      <c r="I306" s="55" t="s">
        <v>47</v>
      </c>
      <c r="J306" s="56">
        <v>45864.0</v>
      </c>
      <c r="K306" s="57" t="s">
        <v>64</v>
      </c>
      <c r="L306" s="57" t="s">
        <v>20</v>
      </c>
      <c r="M306" s="58" t="s">
        <v>194</v>
      </c>
      <c r="N306" s="59">
        <v>1.0</v>
      </c>
      <c r="O306" s="60">
        <v>30336.1</v>
      </c>
      <c r="P306" s="34">
        <f t="shared" si="1"/>
        <v>60672.2</v>
      </c>
    </row>
    <row r="307" ht="22.5" customHeight="1">
      <c r="A307" s="22" t="s">
        <v>24</v>
      </c>
      <c r="B307" s="23">
        <v>45862.0</v>
      </c>
      <c r="C307" s="24" t="s">
        <v>175</v>
      </c>
      <c r="D307" s="24" t="s">
        <v>20</v>
      </c>
      <c r="E307" s="25" t="s">
        <v>176</v>
      </c>
      <c r="F307" s="25">
        <v>1.0</v>
      </c>
      <c r="G307" s="26">
        <v>36105.91</v>
      </c>
      <c r="I307" s="27" t="s">
        <v>18</v>
      </c>
      <c r="J307" s="28">
        <v>45866.0</v>
      </c>
      <c r="K307" s="30" t="s">
        <v>50</v>
      </c>
      <c r="L307" s="30" t="s">
        <v>20</v>
      </c>
      <c r="M307" s="31" t="s">
        <v>195</v>
      </c>
      <c r="N307" s="32">
        <v>2.0</v>
      </c>
      <c r="O307" s="33">
        <v>37122.1</v>
      </c>
      <c r="P307" s="34">
        <f t="shared" si="1"/>
        <v>235625.71</v>
      </c>
    </row>
    <row r="308" ht="22.5" customHeight="1">
      <c r="A308" s="22" t="s">
        <v>26</v>
      </c>
      <c r="B308" s="23">
        <v>45862.0</v>
      </c>
      <c r="C308" s="24" t="s">
        <v>175</v>
      </c>
      <c r="D308" s="24" t="s">
        <v>20</v>
      </c>
      <c r="E308" s="25" t="s">
        <v>176</v>
      </c>
      <c r="F308" s="25">
        <v>1.0</v>
      </c>
      <c r="G308" s="26">
        <v>36105.91</v>
      </c>
      <c r="I308" s="27" t="s">
        <v>18</v>
      </c>
      <c r="J308" s="28">
        <v>45866.0</v>
      </c>
      <c r="K308" s="30" t="s">
        <v>116</v>
      </c>
      <c r="L308" s="30" t="s">
        <v>20</v>
      </c>
      <c r="M308" s="31" t="s">
        <v>196</v>
      </c>
      <c r="N308" s="32">
        <v>1.0</v>
      </c>
      <c r="O308" s="33">
        <v>18561.05</v>
      </c>
      <c r="P308" s="34">
        <f t="shared" si="1"/>
        <v>189109.78</v>
      </c>
    </row>
    <row r="309" ht="22.5" customHeight="1">
      <c r="A309" s="42" t="s">
        <v>25</v>
      </c>
      <c r="B309" s="43">
        <v>45862.0</v>
      </c>
      <c r="C309" s="44" t="s">
        <v>175</v>
      </c>
      <c r="D309" s="44" t="s">
        <v>20</v>
      </c>
      <c r="E309" s="45" t="s">
        <v>177</v>
      </c>
      <c r="F309" s="45">
        <v>1.0</v>
      </c>
      <c r="G309" s="46">
        <v>45657.74</v>
      </c>
      <c r="I309" s="55" t="s">
        <v>23</v>
      </c>
      <c r="J309" s="56">
        <v>45866.0</v>
      </c>
      <c r="K309" s="57" t="s">
        <v>50</v>
      </c>
      <c r="L309" s="57" t="s">
        <v>20</v>
      </c>
      <c r="M309" s="58" t="s">
        <v>195</v>
      </c>
      <c r="N309" s="59">
        <v>2.0</v>
      </c>
      <c r="O309" s="60">
        <v>37122.1</v>
      </c>
      <c r="P309" s="34">
        <f t="shared" si="1"/>
        <v>235625.71</v>
      </c>
    </row>
    <row r="310" ht="22.5" customHeight="1">
      <c r="A310" s="22" t="s">
        <v>40</v>
      </c>
      <c r="B310" s="23">
        <v>45862.0</v>
      </c>
      <c r="C310" s="24" t="s">
        <v>175</v>
      </c>
      <c r="D310" s="24" t="s">
        <v>20</v>
      </c>
      <c r="E310" s="25" t="s">
        <v>177</v>
      </c>
      <c r="F310" s="25">
        <v>1.0</v>
      </c>
      <c r="G310" s="26">
        <v>45657.74</v>
      </c>
      <c r="I310" s="55" t="s">
        <v>23</v>
      </c>
      <c r="J310" s="56">
        <v>45866.0</v>
      </c>
      <c r="K310" s="57" t="s">
        <v>116</v>
      </c>
      <c r="L310" s="57" t="s">
        <v>20</v>
      </c>
      <c r="M310" s="58" t="s">
        <v>196</v>
      </c>
      <c r="N310" s="59">
        <v>1.0</v>
      </c>
      <c r="O310" s="60">
        <v>18561.05</v>
      </c>
      <c r="P310" s="34">
        <f t="shared" si="1"/>
        <v>189109.78</v>
      </c>
    </row>
    <row r="311" ht="22.5" customHeight="1">
      <c r="A311" s="22" t="s">
        <v>28</v>
      </c>
      <c r="B311" s="23">
        <v>45862.0</v>
      </c>
      <c r="C311" s="24" t="s">
        <v>175</v>
      </c>
      <c r="D311" s="24" t="s">
        <v>20</v>
      </c>
      <c r="E311" s="25" t="s">
        <v>177</v>
      </c>
      <c r="F311" s="25">
        <v>1.0</v>
      </c>
      <c r="G311" s="26">
        <v>30336.1</v>
      </c>
      <c r="I311" s="27" t="s">
        <v>25</v>
      </c>
      <c r="J311" s="28">
        <v>45866.0</v>
      </c>
      <c r="K311" s="30" t="s">
        <v>74</v>
      </c>
      <c r="L311" s="30" t="s">
        <v>20</v>
      </c>
      <c r="M311" s="31" t="s">
        <v>197</v>
      </c>
      <c r="N311" s="32">
        <v>1.0</v>
      </c>
      <c r="O311" s="33">
        <v>49082.0</v>
      </c>
      <c r="P311" s="34">
        <f t="shared" si="1"/>
        <v>98164</v>
      </c>
    </row>
    <row r="312" ht="22.5" customHeight="1">
      <c r="A312" s="22" t="s">
        <v>47</v>
      </c>
      <c r="B312" s="23">
        <v>45862.0</v>
      </c>
      <c r="C312" s="24" t="s">
        <v>175</v>
      </c>
      <c r="D312" s="24" t="s">
        <v>20</v>
      </c>
      <c r="E312" s="25" t="s">
        <v>177</v>
      </c>
      <c r="F312" s="25">
        <v>0.5</v>
      </c>
      <c r="G312" s="26">
        <v>15168.05</v>
      </c>
      <c r="I312" s="27" t="s">
        <v>25</v>
      </c>
      <c r="J312" s="28">
        <v>45866.0</v>
      </c>
      <c r="K312" s="30" t="s">
        <v>116</v>
      </c>
      <c r="L312" s="30" t="s">
        <v>20</v>
      </c>
      <c r="M312" s="31" t="s">
        <v>196</v>
      </c>
      <c r="N312" s="32">
        <v>1.0</v>
      </c>
      <c r="O312" s="33">
        <v>45657.74</v>
      </c>
      <c r="P312" s="34">
        <f t="shared" si="1"/>
        <v>189109.78</v>
      </c>
    </row>
    <row r="313" ht="22.5" customHeight="1">
      <c r="A313" s="22" t="s">
        <v>15</v>
      </c>
      <c r="B313" s="23">
        <v>45862.0</v>
      </c>
      <c r="C313" s="24" t="s">
        <v>89</v>
      </c>
      <c r="D313" s="24" t="s">
        <v>20</v>
      </c>
      <c r="E313" s="25" t="s">
        <v>178</v>
      </c>
      <c r="F313" s="25">
        <v>1.0</v>
      </c>
      <c r="G313" s="26">
        <v>42241.34</v>
      </c>
      <c r="I313" s="27" t="s">
        <v>25</v>
      </c>
      <c r="J313" s="28">
        <v>45866.0</v>
      </c>
      <c r="K313" s="30" t="s">
        <v>198</v>
      </c>
      <c r="L313" s="30" t="s">
        <v>20</v>
      </c>
      <c r="M313" s="31" t="s">
        <v>199</v>
      </c>
      <c r="N313" s="32">
        <v>1.0</v>
      </c>
      <c r="O313" s="33">
        <v>45657.74</v>
      </c>
      <c r="P313" s="34">
        <f t="shared" si="1"/>
        <v>106219.94</v>
      </c>
    </row>
    <row r="314" ht="22.5" customHeight="1">
      <c r="A314" s="22" t="s">
        <v>22</v>
      </c>
      <c r="B314" s="23">
        <v>45862.0</v>
      </c>
      <c r="C314" s="24" t="s">
        <v>89</v>
      </c>
      <c r="D314" s="24" t="s">
        <v>20</v>
      </c>
      <c r="E314" s="25" t="s">
        <v>178</v>
      </c>
      <c r="F314" s="25">
        <v>1.0</v>
      </c>
      <c r="G314" s="26">
        <v>42241.34</v>
      </c>
      <c r="I314" s="27" t="s">
        <v>25</v>
      </c>
      <c r="J314" s="28">
        <v>45866.0</v>
      </c>
      <c r="K314" s="30" t="s">
        <v>83</v>
      </c>
      <c r="L314" s="30" t="s">
        <v>20</v>
      </c>
      <c r="M314" s="31" t="s">
        <v>200</v>
      </c>
      <c r="N314" s="32">
        <v>1.0</v>
      </c>
      <c r="O314" s="33">
        <v>45657.74</v>
      </c>
      <c r="P314" s="34">
        <f t="shared" si="1"/>
        <v>192024.79</v>
      </c>
    </row>
    <row r="315" ht="22.5" customHeight="1">
      <c r="A315" s="22" t="s">
        <v>24</v>
      </c>
      <c r="B315" s="23">
        <v>45862.0</v>
      </c>
      <c r="C315" s="24" t="s">
        <v>89</v>
      </c>
      <c r="D315" s="24" t="s">
        <v>20</v>
      </c>
      <c r="E315" s="25" t="s">
        <v>178</v>
      </c>
      <c r="F315" s="25">
        <v>1.0</v>
      </c>
      <c r="G315" s="26">
        <v>36105.91</v>
      </c>
      <c r="I315" s="55" t="s">
        <v>40</v>
      </c>
      <c r="J315" s="56">
        <v>45866.0</v>
      </c>
      <c r="K315" s="57" t="s">
        <v>74</v>
      </c>
      <c r="L315" s="57" t="s">
        <v>20</v>
      </c>
      <c r="M315" s="58" t="s">
        <v>197</v>
      </c>
      <c r="N315" s="59">
        <v>1.0</v>
      </c>
      <c r="O315" s="60">
        <v>49082.0</v>
      </c>
      <c r="P315" s="34">
        <f t="shared" si="1"/>
        <v>98164</v>
      </c>
    </row>
    <row r="316" ht="22.5" customHeight="1">
      <c r="A316" s="22" t="s">
        <v>26</v>
      </c>
      <c r="B316" s="23">
        <v>45862.0</v>
      </c>
      <c r="C316" s="24" t="s">
        <v>89</v>
      </c>
      <c r="D316" s="24" t="s">
        <v>20</v>
      </c>
      <c r="E316" s="25" t="s">
        <v>178</v>
      </c>
      <c r="F316" s="25">
        <v>1.0</v>
      </c>
      <c r="G316" s="26">
        <v>36105.91</v>
      </c>
      <c r="I316" s="55" t="s">
        <v>40</v>
      </c>
      <c r="J316" s="56">
        <v>45866.0</v>
      </c>
      <c r="K316" s="57" t="s">
        <v>116</v>
      </c>
      <c r="L316" s="57" t="s">
        <v>20</v>
      </c>
      <c r="M316" s="58" t="s">
        <v>196</v>
      </c>
      <c r="N316" s="59">
        <v>1.0</v>
      </c>
      <c r="O316" s="60">
        <v>45657.74</v>
      </c>
      <c r="P316" s="34">
        <f t="shared" si="1"/>
        <v>189109.78</v>
      </c>
    </row>
    <row r="317" ht="22.5" customHeight="1">
      <c r="A317" s="22" t="s">
        <v>18</v>
      </c>
      <c r="B317" s="23">
        <v>45862.0</v>
      </c>
      <c r="C317" s="24" t="s">
        <v>89</v>
      </c>
      <c r="D317" s="24" t="s">
        <v>20</v>
      </c>
      <c r="E317" s="25" t="s">
        <v>178</v>
      </c>
      <c r="F317" s="25">
        <v>1.0</v>
      </c>
      <c r="G317" s="26">
        <v>18561.05</v>
      </c>
      <c r="I317" s="55" t="s">
        <v>40</v>
      </c>
      <c r="J317" s="56">
        <v>45866.0</v>
      </c>
      <c r="K317" s="57" t="s">
        <v>83</v>
      </c>
      <c r="L317" s="57" t="s">
        <v>20</v>
      </c>
      <c r="M317" s="58" t="s">
        <v>200</v>
      </c>
      <c r="N317" s="59">
        <v>1.0</v>
      </c>
      <c r="O317" s="60">
        <v>45657.74</v>
      </c>
      <c r="P317" s="34">
        <f t="shared" si="1"/>
        <v>192024.79</v>
      </c>
    </row>
    <row r="318" ht="22.5" customHeight="1">
      <c r="A318" s="22" t="s">
        <v>23</v>
      </c>
      <c r="B318" s="23">
        <v>45862.0</v>
      </c>
      <c r="C318" s="24" t="s">
        <v>89</v>
      </c>
      <c r="D318" s="24" t="s">
        <v>20</v>
      </c>
      <c r="E318" s="25" t="s">
        <v>178</v>
      </c>
      <c r="F318" s="25">
        <v>1.0</v>
      </c>
      <c r="G318" s="26">
        <v>18561.05</v>
      </c>
      <c r="I318" s="27" t="s">
        <v>27</v>
      </c>
      <c r="J318" s="28">
        <v>45866.0</v>
      </c>
      <c r="K318" s="30" t="s">
        <v>50</v>
      </c>
      <c r="L318" s="30" t="s">
        <v>20</v>
      </c>
      <c r="M318" s="31" t="s">
        <v>195</v>
      </c>
      <c r="N318" s="32">
        <v>1.0</v>
      </c>
      <c r="O318" s="33">
        <v>40037.11</v>
      </c>
      <c r="P318" s="34">
        <f t="shared" si="1"/>
        <v>235625.71</v>
      </c>
    </row>
    <row r="319" ht="22.5" customHeight="1">
      <c r="A319" s="22" t="s">
        <v>27</v>
      </c>
      <c r="B319" s="23">
        <v>45862.0</v>
      </c>
      <c r="C319" s="24" t="s">
        <v>89</v>
      </c>
      <c r="D319" s="24" t="s">
        <v>20</v>
      </c>
      <c r="E319" s="25" t="s">
        <v>178</v>
      </c>
      <c r="F319" s="25">
        <v>1.0</v>
      </c>
      <c r="G319" s="26">
        <v>40037.11</v>
      </c>
      <c r="I319" s="27" t="s">
        <v>27</v>
      </c>
      <c r="J319" s="28">
        <v>45866.0</v>
      </c>
      <c r="K319" s="30" t="s">
        <v>83</v>
      </c>
      <c r="L319" s="30" t="s">
        <v>20</v>
      </c>
      <c r="M319" s="31" t="s">
        <v>200</v>
      </c>
      <c r="N319" s="32">
        <v>1.0</v>
      </c>
      <c r="O319" s="33">
        <v>40037.11</v>
      </c>
      <c r="P319" s="34">
        <f t="shared" si="1"/>
        <v>192024.79</v>
      </c>
    </row>
    <row r="320" ht="22.5" customHeight="1">
      <c r="A320" s="22" t="s">
        <v>31</v>
      </c>
      <c r="B320" s="23">
        <v>45862.0</v>
      </c>
      <c r="C320" s="24" t="s">
        <v>89</v>
      </c>
      <c r="D320" s="24" t="s">
        <v>20</v>
      </c>
      <c r="E320" s="25" t="s">
        <v>178</v>
      </c>
      <c r="F320" s="25">
        <v>1.0</v>
      </c>
      <c r="G320" s="26">
        <v>40037.11</v>
      </c>
      <c r="I320" s="27" t="s">
        <v>28</v>
      </c>
      <c r="J320" s="28">
        <v>45866.0</v>
      </c>
      <c r="K320" s="30" t="s">
        <v>201</v>
      </c>
      <c r="L320" s="30" t="s">
        <v>20</v>
      </c>
      <c r="M320" s="31" t="s">
        <v>202</v>
      </c>
      <c r="N320" s="32">
        <v>1.0</v>
      </c>
      <c r="O320" s="33">
        <v>30336.1</v>
      </c>
      <c r="P320" s="34">
        <f t="shared" si="1"/>
        <v>60672.2</v>
      </c>
    </row>
    <row r="321" ht="22.5" customHeight="1">
      <c r="A321" s="42" t="s">
        <v>25</v>
      </c>
      <c r="B321" s="43">
        <v>45862.0</v>
      </c>
      <c r="C321" s="44" t="s">
        <v>89</v>
      </c>
      <c r="D321" s="44" t="s">
        <v>20</v>
      </c>
      <c r="E321" s="45" t="s">
        <v>179</v>
      </c>
      <c r="F321" s="45">
        <v>2.0</v>
      </c>
      <c r="G321" s="46">
        <v>91315.48</v>
      </c>
      <c r="I321" s="27" t="s">
        <v>28</v>
      </c>
      <c r="J321" s="28">
        <v>45866.0</v>
      </c>
      <c r="K321" s="30" t="s">
        <v>50</v>
      </c>
      <c r="L321" s="30" t="s">
        <v>20</v>
      </c>
      <c r="M321" s="31" t="s">
        <v>195</v>
      </c>
      <c r="N321" s="32">
        <v>2.0</v>
      </c>
      <c r="O321" s="33">
        <v>60672.2</v>
      </c>
      <c r="P321" s="34">
        <f t="shared" si="1"/>
        <v>235625.71</v>
      </c>
    </row>
    <row r="322" ht="22.5" customHeight="1">
      <c r="A322" s="22" t="s">
        <v>28</v>
      </c>
      <c r="B322" s="23">
        <v>45862.0</v>
      </c>
      <c r="C322" s="24" t="s">
        <v>89</v>
      </c>
      <c r="D322" s="24" t="s">
        <v>20</v>
      </c>
      <c r="E322" s="25" t="s">
        <v>179</v>
      </c>
      <c r="F322" s="25">
        <v>1.0</v>
      </c>
      <c r="G322" s="26">
        <v>30336.1</v>
      </c>
      <c r="I322" s="27" t="s">
        <v>28</v>
      </c>
      <c r="J322" s="28">
        <v>45866.0</v>
      </c>
      <c r="K322" s="30" t="s">
        <v>116</v>
      </c>
      <c r="L322" s="30" t="s">
        <v>20</v>
      </c>
      <c r="M322" s="31" t="s">
        <v>196</v>
      </c>
      <c r="N322" s="32">
        <v>1.0</v>
      </c>
      <c r="O322" s="33">
        <v>30336.1</v>
      </c>
      <c r="P322" s="34">
        <f t="shared" si="1"/>
        <v>189109.78</v>
      </c>
    </row>
    <row r="323" ht="22.5" customHeight="1">
      <c r="A323" s="22" t="s">
        <v>47</v>
      </c>
      <c r="B323" s="23">
        <v>45862.0</v>
      </c>
      <c r="C323" s="24" t="s">
        <v>89</v>
      </c>
      <c r="D323" s="24" t="s">
        <v>20</v>
      </c>
      <c r="E323" s="25" t="s">
        <v>179</v>
      </c>
      <c r="F323" s="25">
        <v>0.5</v>
      </c>
      <c r="G323" s="26">
        <v>15168.05</v>
      </c>
      <c r="I323" s="27" t="s">
        <v>28</v>
      </c>
      <c r="J323" s="28">
        <v>45866.0</v>
      </c>
      <c r="K323" s="30" t="s">
        <v>198</v>
      </c>
      <c r="L323" s="30" t="s">
        <v>20</v>
      </c>
      <c r="M323" s="31" t="s">
        <v>199</v>
      </c>
      <c r="N323" s="32">
        <v>1.0</v>
      </c>
      <c r="O323" s="33">
        <v>30336.1</v>
      </c>
      <c r="P323" s="34">
        <f t="shared" si="1"/>
        <v>106219.94</v>
      </c>
    </row>
    <row r="324" ht="22.5" customHeight="1">
      <c r="A324" s="22" t="s">
        <v>18</v>
      </c>
      <c r="B324" s="23">
        <v>45862.0</v>
      </c>
      <c r="C324" s="24" t="s">
        <v>54</v>
      </c>
      <c r="D324" s="24" t="s">
        <v>20</v>
      </c>
      <c r="E324" s="25" t="s">
        <v>180</v>
      </c>
      <c r="F324" s="25">
        <v>1.0</v>
      </c>
      <c r="G324" s="26">
        <v>18561.05</v>
      </c>
      <c r="I324" s="27" t="s">
        <v>28</v>
      </c>
      <c r="J324" s="28">
        <v>45866.0</v>
      </c>
      <c r="K324" s="30" t="s">
        <v>83</v>
      </c>
      <c r="L324" s="30" t="s">
        <v>20</v>
      </c>
      <c r="M324" s="31" t="s">
        <v>200</v>
      </c>
      <c r="N324" s="32">
        <v>1.0</v>
      </c>
      <c r="O324" s="33">
        <v>30336.1</v>
      </c>
      <c r="P324" s="34">
        <f t="shared" si="1"/>
        <v>192024.79</v>
      </c>
    </row>
    <row r="325" ht="22.5" customHeight="1">
      <c r="A325" s="22" t="s">
        <v>23</v>
      </c>
      <c r="B325" s="23">
        <v>45862.0</v>
      </c>
      <c r="C325" s="24" t="s">
        <v>54</v>
      </c>
      <c r="D325" s="24" t="s">
        <v>20</v>
      </c>
      <c r="E325" s="25" t="s">
        <v>180</v>
      </c>
      <c r="F325" s="25">
        <v>1.0</v>
      </c>
      <c r="G325" s="26">
        <v>18561.05</v>
      </c>
      <c r="I325" s="55" t="s">
        <v>47</v>
      </c>
      <c r="J325" s="56">
        <v>45866.0</v>
      </c>
      <c r="K325" s="57" t="s">
        <v>203</v>
      </c>
      <c r="L325" s="57" t="s">
        <v>20</v>
      </c>
      <c r="M325" s="58" t="s">
        <v>204</v>
      </c>
      <c r="N325" s="59">
        <v>1.0</v>
      </c>
      <c r="O325" s="60">
        <v>30336.1</v>
      </c>
      <c r="P325" s="34">
        <f t="shared" si="1"/>
        <v>30336.1</v>
      </c>
    </row>
    <row r="326" ht="22.5" customHeight="1">
      <c r="A326" s="42" t="s">
        <v>25</v>
      </c>
      <c r="B326" s="43">
        <v>45862.0</v>
      </c>
      <c r="C326" s="44" t="s">
        <v>54</v>
      </c>
      <c r="D326" s="44" t="s">
        <v>20</v>
      </c>
      <c r="E326" s="45" t="s">
        <v>181</v>
      </c>
      <c r="F326" s="45">
        <v>1.0</v>
      </c>
      <c r="G326" s="46">
        <v>45657.74</v>
      </c>
      <c r="I326" s="55" t="s">
        <v>47</v>
      </c>
      <c r="J326" s="56">
        <v>45866.0</v>
      </c>
      <c r="K326" s="57" t="s">
        <v>201</v>
      </c>
      <c r="L326" s="57" t="s">
        <v>20</v>
      </c>
      <c r="M326" s="58" t="s">
        <v>202</v>
      </c>
      <c r="N326" s="59">
        <v>1.0</v>
      </c>
      <c r="O326" s="60">
        <v>30336.1</v>
      </c>
      <c r="P326" s="34">
        <f t="shared" si="1"/>
        <v>60672.2</v>
      </c>
    </row>
    <row r="327" ht="22.5" customHeight="1">
      <c r="A327" s="22" t="s">
        <v>28</v>
      </c>
      <c r="B327" s="23">
        <v>45862.0</v>
      </c>
      <c r="C327" s="24" t="s">
        <v>54</v>
      </c>
      <c r="D327" s="24" t="s">
        <v>20</v>
      </c>
      <c r="E327" s="25" t="s">
        <v>181</v>
      </c>
      <c r="F327" s="25">
        <v>1.0</v>
      </c>
      <c r="G327" s="26">
        <v>30336.1</v>
      </c>
      <c r="I327" s="55" t="s">
        <v>47</v>
      </c>
      <c r="J327" s="56">
        <v>45866.0</v>
      </c>
      <c r="K327" s="57" t="s">
        <v>50</v>
      </c>
      <c r="L327" s="57" t="s">
        <v>20</v>
      </c>
      <c r="M327" s="58" t="s">
        <v>195</v>
      </c>
      <c r="N327" s="59">
        <v>2.0</v>
      </c>
      <c r="O327" s="60">
        <v>60672.2</v>
      </c>
      <c r="P327" s="34">
        <f t="shared" si="1"/>
        <v>235625.71</v>
      </c>
    </row>
    <row r="328" ht="22.5" customHeight="1">
      <c r="A328" s="22" t="s">
        <v>47</v>
      </c>
      <c r="B328" s="23">
        <v>45862.0</v>
      </c>
      <c r="C328" s="24" t="s">
        <v>54</v>
      </c>
      <c r="D328" s="24" t="s">
        <v>20</v>
      </c>
      <c r="E328" s="25" t="s">
        <v>181</v>
      </c>
      <c r="F328" s="25">
        <v>0.5</v>
      </c>
      <c r="G328" s="26">
        <v>15168.05</v>
      </c>
      <c r="I328" s="55" t="s">
        <v>47</v>
      </c>
      <c r="J328" s="56">
        <v>45866.0</v>
      </c>
      <c r="K328" s="57" t="s">
        <v>116</v>
      </c>
      <c r="L328" s="57" t="s">
        <v>20</v>
      </c>
      <c r="M328" s="58" t="s">
        <v>196</v>
      </c>
      <c r="N328" s="59">
        <v>1.0</v>
      </c>
      <c r="O328" s="60">
        <v>30336.1</v>
      </c>
      <c r="P328" s="34">
        <f t="shared" si="1"/>
        <v>189109.78</v>
      </c>
    </row>
    <row r="329" ht="22.5" customHeight="1">
      <c r="A329" s="22" t="s">
        <v>28</v>
      </c>
      <c r="B329" s="23">
        <v>45862.0</v>
      </c>
      <c r="C329" s="24" t="s">
        <v>182</v>
      </c>
      <c r="D329" s="24" t="s">
        <v>20</v>
      </c>
      <c r="E329" s="25" t="s">
        <v>183</v>
      </c>
      <c r="F329" s="25">
        <v>0.5</v>
      </c>
      <c r="G329" s="26">
        <v>15168.05</v>
      </c>
      <c r="I329" s="55" t="s">
        <v>47</v>
      </c>
      <c r="J329" s="56">
        <v>45866.0</v>
      </c>
      <c r="K329" s="57" t="s">
        <v>198</v>
      </c>
      <c r="L329" s="57" t="s">
        <v>20</v>
      </c>
      <c r="M329" s="58" t="s">
        <v>199</v>
      </c>
      <c r="N329" s="59">
        <v>1.0</v>
      </c>
      <c r="O329" s="60">
        <v>30226.1</v>
      </c>
      <c r="P329" s="34">
        <f t="shared" si="1"/>
        <v>106219.94</v>
      </c>
    </row>
    <row r="330" ht="22.5" customHeight="1">
      <c r="A330" s="22" t="s">
        <v>47</v>
      </c>
      <c r="B330" s="23">
        <v>45862.0</v>
      </c>
      <c r="C330" s="24" t="s">
        <v>182</v>
      </c>
      <c r="D330" s="24" t="s">
        <v>20</v>
      </c>
      <c r="E330" s="25" t="s">
        <v>183</v>
      </c>
      <c r="F330" s="25">
        <v>0.5</v>
      </c>
      <c r="G330" s="26">
        <v>15168.05</v>
      </c>
      <c r="I330" s="55" t="s">
        <v>47</v>
      </c>
      <c r="J330" s="56">
        <v>45866.0</v>
      </c>
      <c r="K330" s="57" t="s">
        <v>83</v>
      </c>
      <c r="L330" s="57" t="s">
        <v>20</v>
      </c>
      <c r="M330" s="58" t="s">
        <v>200</v>
      </c>
      <c r="N330" s="59">
        <v>1.0</v>
      </c>
      <c r="O330" s="60">
        <v>30336.1</v>
      </c>
      <c r="P330" s="34">
        <f t="shared" si="1"/>
        <v>192024.79</v>
      </c>
    </row>
    <row r="331" ht="22.5" customHeight="1">
      <c r="A331" s="22" t="s">
        <v>18</v>
      </c>
      <c r="B331" s="23">
        <v>45863.0</v>
      </c>
      <c r="C331" s="24" t="s">
        <v>70</v>
      </c>
      <c r="D331" s="24" t="s">
        <v>20</v>
      </c>
      <c r="E331" s="25" t="s">
        <v>184</v>
      </c>
      <c r="F331" s="25">
        <v>1.0</v>
      </c>
      <c r="G331" s="26">
        <v>18561.05</v>
      </c>
      <c r="I331" s="55" t="s">
        <v>15</v>
      </c>
      <c r="J331" s="56">
        <v>45867.0</v>
      </c>
      <c r="K331" s="57" t="s">
        <v>41</v>
      </c>
      <c r="L331" s="57" t="s">
        <v>20</v>
      </c>
      <c r="M331" s="58" t="s">
        <v>205</v>
      </c>
      <c r="N331" s="59">
        <v>2.0</v>
      </c>
      <c r="O331" s="60">
        <v>84482.68</v>
      </c>
      <c r="P331" s="34">
        <f t="shared" si="1"/>
        <v>359802.37</v>
      </c>
    </row>
    <row r="332" ht="22.5" customHeight="1">
      <c r="A332" s="42" t="s">
        <v>23</v>
      </c>
      <c r="B332" s="43">
        <v>45863.0</v>
      </c>
      <c r="C332" s="44" t="s">
        <v>70</v>
      </c>
      <c r="D332" s="44" t="s">
        <v>20</v>
      </c>
      <c r="E332" s="45" t="s">
        <v>184</v>
      </c>
      <c r="F332" s="45">
        <v>2.0</v>
      </c>
      <c r="G332" s="46">
        <v>37122.1</v>
      </c>
      <c r="I332" s="55" t="s">
        <v>24</v>
      </c>
      <c r="J332" s="56">
        <v>45867.0</v>
      </c>
      <c r="K332" s="57" t="s">
        <v>41</v>
      </c>
      <c r="L332" s="57" t="s">
        <v>20</v>
      </c>
      <c r="M332" s="58" t="s">
        <v>205</v>
      </c>
      <c r="N332" s="59">
        <v>2.0</v>
      </c>
      <c r="O332" s="60">
        <v>72211.82</v>
      </c>
      <c r="P332" s="34">
        <f t="shared" si="1"/>
        <v>359802.37</v>
      </c>
    </row>
    <row r="333" ht="22.5" customHeight="1">
      <c r="A333" s="22" t="s">
        <v>25</v>
      </c>
      <c r="B333" s="23">
        <v>45863.0</v>
      </c>
      <c r="C333" s="24" t="s">
        <v>70</v>
      </c>
      <c r="D333" s="24" t="s">
        <v>20</v>
      </c>
      <c r="E333" s="25" t="s">
        <v>184</v>
      </c>
      <c r="F333" s="25">
        <v>1.0</v>
      </c>
      <c r="G333" s="26">
        <v>45657.74</v>
      </c>
      <c r="I333" s="27" t="s">
        <v>26</v>
      </c>
      <c r="J333" s="28">
        <v>45867.0</v>
      </c>
      <c r="K333" s="30" t="s">
        <v>41</v>
      </c>
      <c r="L333" s="30" t="s">
        <v>20</v>
      </c>
      <c r="M333" s="31" t="s">
        <v>205</v>
      </c>
      <c r="N333" s="32">
        <v>1.0</v>
      </c>
      <c r="O333" s="33">
        <v>36105.91</v>
      </c>
      <c r="P333" s="34">
        <f t="shared" si="1"/>
        <v>359802.37</v>
      </c>
    </row>
    <row r="334" ht="22.5" customHeight="1">
      <c r="A334" s="42" t="s">
        <v>40</v>
      </c>
      <c r="B334" s="43">
        <v>45863.0</v>
      </c>
      <c r="C334" s="44" t="s">
        <v>70</v>
      </c>
      <c r="D334" s="44" t="s">
        <v>20</v>
      </c>
      <c r="E334" s="45" t="s">
        <v>184</v>
      </c>
      <c r="F334" s="45">
        <v>1.0</v>
      </c>
      <c r="G334" s="46">
        <v>45657.74</v>
      </c>
      <c r="I334" s="27" t="s">
        <v>25</v>
      </c>
      <c r="J334" s="28">
        <v>45867.0</v>
      </c>
      <c r="K334" s="30" t="s">
        <v>41</v>
      </c>
      <c r="L334" s="30" t="s">
        <v>20</v>
      </c>
      <c r="M334" s="31" t="s">
        <v>205</v>
      </c>
      <c r="N334" s="32">
        <v>1.0</v>
      </c>
      <c r="O334" s="33">
        <v>45657.74</v>
      </c>
      <c r="P334" s="34">
        <f t="shared" si="1"/>
        <v>359802.37</v>
      </c>
    </row>
    <row r="335" ht="22.5" customHeight="1">
      <c r="A335" s="22" t="s">
        <v>27</v>
      </c>
      <c r="B335" s="23">
        <v>45863.0</v>
      </c>
      <c r="C335" s="24" t="s">
        <v>70</v>
      </c>
      <c r="D335" s="24" t="s">
        <v>20</v>
      </c>
      <c r="E335" s="25" t="s">
        <v>184</v>
      </c>
      <c r="F335" s="25">
        <v>1.0</v>
      </c>
      <c r="G335" s="26">
        <v>40037.11</v>
      </c>
      <c r="I335" s="27" t="s">
        <v>25</v>
      </c>
      <c r="J335" s="28">
        <v>45867.0</v>
      </c>
      <c r="K335" s="30" t="s">
        <v>206</v>
      </c>
      <c r="L335" s="30" t="s">
        <v>20</v>
      </c>
      <c r="M335" s="31" t="s">
        <v>207</v>
      </c>
      <c r="N335" s="32">
        <v>0.5</v>
      </c>
      <c r="O335" s="33">
        <v>22828.87</v>
      </c>
      <c r="P335" s="34">
        <f t="shared" si="1"/>
        <v>78269.06</v>
      </c>
    </row>
    <row r="336" ht="22.5" customHeight="1">
      <c r="A336" s="22" t="s">
        <v>31</v>
      </c>
      <c r="B336" s="23">
        <v>45863.0</v>
      </c>
      <c r="C336" s="24" t="s">
        <v>70</v>
      </c>
      <c r="D336" s="24" t="s">
        <v>20</v>
      </c>
      <c r="E336" s="25" t="s">
        <v>184</v>
      </c>
      <c r="F336" s="25">
        <v>1.0</v>
      </c>
      <c r="G336" s="26">
        <v>40037.11</v>
      </c>
      <c r="I336" s="55" t="s">
        <v>40</v>
      </c>
      <c r="J336" s="56">
        <v>45867.0</v>
      </c>
      <c r="K336" s="57" t="s">
        <v>206</v>
      </c>
      <c r="L336" s="57" t="s">
        <v>20</v>
      </c>
      <c r="M336" s="58" t="s">
        <v>207</v>
      </c>
      <c r="N336" s="59">
        <v>0.5</v>
      </c>
      <c r="O336" s="60">
        <v>22828.87</v>
      </c>
      <c r="P336" s="34">
        <f t="shared" si="1"/>
        <v>78269.06</v>
      </c>
    </row>
    <row r="337" ht="22.5" customHeight="1">
      <c r="A337" s="22" t="s">
        <v>28</v>
      </c>
      <c r="B337" s="23">
        <v>45863.0</v>
      </c>
      <c r="C337" s="24" t="s">
        <v>70</v>
      </c>
      <c r="D337" s="24" t="s">
        <v>20</v>
      </c>
      <c r="E337" s="25" t="s">
        <v>184</v>
      </c>
      <c r="F337" s="25">
        <v>1.0</v>
      </c>
      <c r="G337" s="26">
        <v>30336.1</v>
      </c>
      <c r="I337" s="27" t="s">
        <v>28</v>
      </c>
      <c r="J337" s="28">
        <v>45867.0</v>
      </c>
      <c r="K337" s="30" t="s">
        <v>41</v>
      </c>
      <c r="L337" s="30" t="s">
        <v>20</v>
      </c>
      <c r="M337" s="31" t="s">
        <v>205</v>
      </c>
      <c r="N337" s="32">
        <v>2.0</v>
      </c>
      <c r="O337" s="33">
        <v>60672.02</v>
      </c>
      <c r="P337" s="34">
        <f t="shared" si="1"/>
        <v>359802.37</v>
      </c>
    </row>
    <row r="338" ht="22.5" customHeight="1">
      <c r="A338" s="22" t="s">
        <v>28</v>
      </c>
      <c r="B338" s="23">
        <v>45863.0</v>
      </c>
      <c r="C338" s="24" t="s">
        <v>185</v>
      </c>
      <c r="D338" s="24" t="s">
        <v>20</v>
      </c>
      <c r="E338" s="25" t="s">
        <v>186</v>
      </c>
      <c r="F338" s="25">
        <v>1.0</v>
      </c>
      <c r="G338" s="26">
        <v>32611.31</v>
      </c>
      <c r="I338" s="27" t="s">
        <v>28</v>
      </c>
      <c r="J338" s="28">
        <v>45867.0</v>
      </c>
      <c r="K338" s="30" t="s">
        <v>206</v>
      </c>
      <c r="L338" s="30" t="s">
        <v>20</v>
      </c>
      <c r="M338" s="31" t="s">
        <v>207</v>
      </c>
      <c r="N338" s="32">
        <v>0.5</v>
      </c>
      <c r="O338" s="33">
        <v>16305.66</v>
      </c>
      <c r="P338" s="34">
        <f t="shared" si="1"/>
        <v>78269.06</v>
      </c>
    </row>
    <row r="339" ht="22.5" customHeight="1">
      <c r="A339" s="42" t="s">
        <v>47</v>
      </c>
      <c r="B339" s="43">
        <v>45863.0</v>
      </c>
      <c r="C339" s="44" t="s">
        <v>187</v>
      </c>
      <c r="D339" s="44" t="s">
        <v>20</v>
      </c>
      <c r="E339" s="45" t="s">
        <v>188</v>
      </c>
      <c r="F339" s="45">
        <v>1.0</v>
      </c>
      <c r="G339" s="46">
        <v>32611.31</v>
      </c>
      <c r="I339" s="55" t="s">
        <v>47</v>
      </c>
      <c r="J339" s="56">
        <v>45867.0</v>
      </c>
      <c r="K339" s="57" t="s">
        <v>41</v>
      </c>
      <c r="L339" s="57" t="s">
        <v>20</v>
      </c>
      <c r="M339" s="58" t="s">
        <v>205</v>
      </c>
      <c r="N339" s="59">
        <v>2.0</v>
      </c>
      <c r="O339" s="60">
        <v>60672.2</v>
      </c>
      <c r="P339" s="34">
        <f t="shared" si="1"/>
        <v>359802.37</v>
      </c>
    </row>
    <row r="340" ht="22.5" customHeight="1">
      <c r="A340" s="42" t="s">
        <v>47</v>
      </c>
      <c r="B340" s="43">
        <v>45863.0</v>
      </c>
      <c r="C340" s="44" t="s">
        <v>70</v>
      </c>
      <c r="D340" s="44" t="s">
        <v>20</v>
      </c>
      <c r="E340" s="45" t="s">
        <v>184</v>
      </c>
      <c r="F340" s="45">
        <v>0.5</v>
      </c>
      <c r="G340" s="46">
        <v>15168.05</v>
      </c>
      <c r="I340" s="55" t="s">
        <v>47</v>
      </c>
      <c r="J340" s="56">
        <v>45867.0</v>
      </c>
      <c r="K340" s="57" t="s">
        <v>206</v>
      </c>
      <c r="L340" s="57" t="s">
        <v>20</v>
      </c>
      <c r="M340" s="58" t="s">
        <v>207</v>
      </c>
      <c r="N340" s="59">
        <v>0.5</v>
      </c>
      <c r="O340" s="60">
        <v>16305.66</v>
      </c>
      <c r="P340" s="34">
        <f t="shared" si="1"/>
        <v>78269.06</v>
      </c>
    </row>
    <row r="341" ht="22.5" customHeight="1">
      <c r="A341" s="42" t="s">
        <v>47</v>
      </c>
      <c r="B341" s="43">
        <v>45863.0</v>
      </c>
      <c r="C341" s="44" t="s">
        <v>185</v>
      </c>
      <c r="D341" s="44" t="s">
        <v>20</v>
      </c>
      <c r="E341" s="45" t="s">
        <v>186</v>
      </c>
      <c r="F341" s="45">
        <v>1.0</v>
      </c>
      <c r="G341" s="46">
        <v>32611.31</v>
      </c>
      <c r="I341" s="55" t="s">
        <v>24</v>
      </c>
      <c r="J341" s="56">
        <v>45868.0</v>
      </c>
      <c r="K341" s="57" t="s">
        <v>145</v>
      </c>
      <c r="L341" s="57" t="s">
        <v>20</v>
      </c>
      <c r="M341" s="58" t="s">
        <v>208</v>
      </c>
      <c r="N341" s="59">
        <v>1.0</v>
      </c>
      <c r="O341" s="60">
        <v>36105.91</v>
      </c>
      <c r="P341" s="34">
        <f t="shared" si="1"/>
        <v>223129.29</v>
      </c>
    </row>
    <row r="342" ht="22.5" customHeight="1">
      <c r="A342" s="22" t="s">
        <v>25</v>
      </c>
      <c r="B342" s="23">
        <v>45864.0</v>
      </c>
      <c r="C342" s="24" t="s">
        <v>45</v>
      </c>
      <c r="D342" s="24" t="s">
        <v>20</v>
      </c>
      <c r="E342" s="25" t="s">
        <v>189</v>
      </c>
      <c r="F342" s="25">
        <v>1.0</v>
      </c>
      <c r="G342" s="26">
        <v>45657.74</v>
      </c>
      <c r="I342" s="27" t="s">
        <v>26</v>
      </c>
      <c r="J342" s="28">
        <v>45868.0</v>
      </c>
      <c r="K342" s="30" t="s">
        <v>145</v>
      </c>
      <c r="L342" s="30" t="s">
        <v>20</v>
      </c>
      <c r="M342" s="31" t="s">
        <v>208</v>
      </c>
      <c r="N342" s="32">
        <v>1.0</v>
      </c>
      <c r="O342" s="33">
        <v>36105.91</v>
      </c>
      <c r="P342" s="34">
        <f t="shared" si="1"/>
        <v>223129.29</v>
      </c>
    </row>
    <row r="343" ht="22.5" customHeight="1">
      <c r="A343" s="22" t="s">
        <v>25</v>
      </c>
      <c r="B343" s="23">
        <v>45864.0</v>
      </c>
      <c r="C343" s="24" t="s">
        <v>62</v>
      </c>
      <c r="D343" s="24" t="s">
        <v>20</v>
      </c>
      <c r="E343" s="25" t="s">
        <v>190</v>
      </c>
      <c r="F343" s="25">
        <v>1.0</v>
      </c>
      <c r="G343" s="26">
        <v>45657.74</v>
      </c>
      <c r="I343" s="27" t="s">
        <v>18</v>
      </c>
      <c r="J343" s="28">
        <v>45868.0</v>
      </c>
      <c r="K343" s="30" t="s">
        <v>209</v>
      </c>
      <c r="L343" s="30" t="s">
        <v>20</v>
      </c>
      <c r="M343" s="31" t="s">
        <v>210</v>
      </c>
      <c r="N343" s="32">
        <v>1.0</v>
      </c>
      <c r="O343" s="33">
        <v>18561.05</v>
      </c>
      <c r="P343" s="34">
        <f t="shared" si="1"/>
        <v>37122.1</v>
      </c>
    </row>
    <row r="344" ht="22.5" customHeight="1">
      <c r="A344" s="42" t="s">
        <v>40</v>
      </c>
      <c r="B344" s="43">
        <v>45864.0</v>
      </c>
      <c r="C344" s="44" t="s">
        <v>45</v>
      </c>
      <c r="D344" s="44" t="s">
        <v>20</v>
      </c>
      <c r="E344" s="45" t="s">
        <v>189</v>
      </c>
      <c r="F344" s="45">
        <v>0.5</v>
      </c>
      <c r="G344" s="46">
        <v>22828.87</v>
      </c>
      <c r="I344" s="27" t="s">
        <v>18</v>
      </c>
      <c r="J344" s="28">
        <v>45868.0</v>
      </c>
      <c r="K344" s="30" t="s">
        <v>56</v>
      </c>
      <c r="L344" s="30" t="s">
        <v>20</v>
      </c>
      <c r="M344" s="31" t="s">
        <v>211</v>
      </c>
      <c r="N344" s="32">
        <v>1.0</v>
      </c>
      <c r="O344" s="33">
        <v>18561.05</v>
      </c>
      <c r="P344" s="34">
        <f t="shared" si="1"/>
        <v>53427.76</v>
      </c>
    </row>
    <row r="345" ht="22.5" customHeight="1">
      <c r="A345" s="42" t="s">
        <v>40</v>
      </c>
      <c r="B345" s="43">
        <v>45864.0</v>
      </c>
      <c r="C345" s="44" t="s">
        <v>62</v>
      </c>
      <c r="D345" s="44" t="s">
        <v>20</v>
      </c>
      <c r="E345" s="45" t="s">
        <v>190</v>
      </c>
      <c r="F345" s="45">
        <v>1.0</v>
      </c>
      <c r="G345" s="46">
        <v>45657.74</v>
      </c>
      <c r="I345" s="55" t="s">
        <v>23</v>
      </c>
      <c r="J345" s="56">
        <v>45868.0</v>
      </c>
      <c r="K345" s="57" t="s">
        <v>212</v>
      </c>
      <c r="L345" s="57" t="s">
        <v>20</v>
      </c>
      <c r="M345" s="58" t="s">
        <v>213</v>
      </c>
      <c r="N345" s="59">
        <v>1.0</v>
      </c>
      <c r="O345" s="60">
        <v>18561.05</v>
      </c>
      <c r="P345" s="34">
        <f t="shared" si="1"/>
        <v>34866.71</v>
      </c>
    </row>
    <row r="346" ht="22.5" customHeight="1">
      <c r="A346" s="22" t="s">
        <v>27</v>
      </c>
      <c r="B346" s="23">
        <v>45864.0</v>
      </c>
      <c r="C346" s="24" t="s">
        <v>191</v>
      </c>
      <c r="D346" s="24" t="s">
        <v>20</v>
      </c>
      <c r="E346" s="25" t="s">
        <v>192</v>
      </c>
      <c r="F346" s="25">
        <v>0.5</v>
      </c>
      <c r="G346" s="26">
        <v>20018.56</v>
      </c>
      <c r="I346" s="55" t="s">
        <v>23</v>
      </c>
      <c r="J346" s="56">
        <v>45868.0</v>
      </c>
      <c r="K346" s="57" t="s">
        <v>209</v>
      </c>
      <c r="L346" s="57" t="s">
        <v>20</v>
      </c>
      <c r="M346" s="58" t="s">
        <v>210</v>
      </c>
      <c r="N346" s="59">
        <v>1.0</v>
      </c>
      <c r="O346" s="60">
        <v>18561.05</v>
      </c>
      <c r="P346" s="34">
        <f t="shared" si="1"/>
        <v>37122.1</v>
      </c>
    </row>
    <row r="347" ht="22.5" customHeight="1">
      <c r="A347" s="22" t="s">
        <v>31</v>
      </c>
      <c r="B347" s="23">
        <v>45864.0</v>
      </c>
      <c r="C347" s="24" t="s">
        <v>191</v>
      </c>
      <c r="D347" s="24" t="s">
        <v>20</v>
      </c>
      <c r="E347" s="25" t="s">
        <v>192</v>
      </c>
      <c r="F347" s="25">
        <v>0.5</v>
      </c>
      <c r="G347" s="26">
        <v>20018.56</v>
      </c>
      <c r="I347" s="55" t="s">
        <v>23</v>
      </c>
      <c r="J347" s="56">
        <v>45868.0</v>
      </c>
      <c r="K347" s="57" t="s">
        <v>214</v>
      </c>
      <c r="L347" s="57" t="s">
        <v>20</v>
      </c>
      <c r="M347" s="58" t="s">
        <v>215</v>
      </c>
      <c r="N347" s="59">
        <v>1.0</v>
      </c>
      <c r="O347" s="60">
        <v>18561.05</v>
      </c>
      <c r="P347" s="34">
        <f t="shared" si="1"/>
        <v>51172.36</v>
      </c>
    </row>
    <row r="348" ht="22.5" customHeight="1">
      <c r="A348" s="22" t="s">
        <v>28</v>
      </c>
      <c r="B348" s="23">
        <v>45864.0</v>
      </c>
      <c r="C348" s="24" t="s">
        <v>45</v>
      </c>
      <c r="D348" s="24" t="s">
        <v>20</v>
      </c>
      <c r="E348" s="25" t="s">
        <v>189</v>
      </c>
      <c r="F348" s="25">
        <v>0.5</v>
      </c>
      <c r="G348" s="26">
        <v>15168.05</v>
      </c>
      <c r="I348" s="55" t="s">
        <v>23</v>
      </c>
      <c r="J348" s="56">
        <v>45868.0</v>
      </c>
      <c r="K348" s="57" t="s">
        <v>56</v>
      </c>
      <c r="L348" s="57" t="s">
        <v>20</v>
      </c>
      <c r="M348" s="58" t="s">
        <v>211</v>
      </c>
      <c r="N348" s="59">
        <v>1.0</v>
      </c>
      <c r="O348" s="60">
        <v>18561.05</v>
      </c>
      <c r="P348" s="34">
        <f t="shared" si="1"/>
        <v>53427.76</v>
      </c>
    </row>
    <row r="349" ht="22.5" customHeight="1">
      <c r="A349" s="22" t="s">
        <v>28</v>
      </c>
      <c r="B349" s="23">
        <v>45864.0</v>
      </c>
      <c r="C349" s="24" t="s">
        <v>62</v>
      </c>
      <c r="D349" s="24" t="s">
        <v>20</v>
      </c>
      <c r="E349" s="25" t="s">
        <v>190</v>
      </c>
      <c r="F349" s="25">
        <v>0.5</v>
      </c>
      <c r="G349" s="26">
        <v>15168.05</v>
      </c>
      <c r="I349" s="27" t="s">
        <v>25</v>
      </c>
      <c r="J349" s="28">
        <v>45868.0</v>
      </c>
      <c r="K349" s="30" t="s">
        <v>145</v>
      </c>
      <c r="L349" s="30" t="s">
        <v>20</v>
      </c>
      <c r="M349" s="31" t="s">
        <v>208</v>
      </c>
      <c r="N349" s="32">
        <v>1.0</v>
      </c>
      <c r="O349" s="33">
        <v>45657.74</v>
      </c>
      <c r="P349" s="34">
        <f t="shared" si="1"/>
        <v>223129.29</v>
      </c>
    </row>
    <row r="350" ht="22.5" customHeight="1">
      <c r="A350" s="22" t="s">
        <v>28</v>
      </c>
      <c r="B350" s="23">
        <v>45864.0</v>
      </c>
      <c r="C350" s="24" t="s">
        <v>48</v>
      </c>
      <c r="D350" s="24" t="s">
        <v>20</v>
      </c>
      <c r="E350" s="25" t="s">
        <v>193</v>
      </c>
      <c r="F350" s="25">
        <v>1.0</v>
      </c>
      <c r="G350" s="26">
        <v>30336.1</v>
      </c>
      <c r="I350" s="27" t="s">
        <v>27</v>
      </c>
      <c r="J350" s="28">
        <v>45868.0</v>
      </c>
      <c r="K350" s="30" t="s">
        <v>145</v>
      </c>
      <c r="L350" s="30" t="s">
        <v>20</v>
      </c>
      <c r="M350" s="31" t="s">
        <v>208</v>
      </c>
      <c r="N350" s="32">
        <v>1.0</v>
      </c>
      <c r="O350" s="33">
        <v>40037.11</v>
      </c>
      <c r="P350" s="34">
        <f t="shared" si="1"/>
        <v>223129.29</v>
      </c>
    </row>
    <row r="351" ht="22.5" customHeight="1">
      <c r="A351" s="22" t="s">
        <v>28</v>
      </c>
      <c r="B351" s="23">
        <v>45864.0</v>
      </c>
      <c r="C351" s="24" t="s">
        <v>64</v>
      </c>
      <c r="D351" s="24" t="s">
        <v>20</v>
      </c>
      <c r="E351" s="25" t="s">
        <v>194</v>
      </c>
      <c r="F351" s="25">
        <v>1.0</v>
      </c>
      <c r="G351" s="26">
        <v>30336.1</v>
      </c>
      <c r="I351" s="27" t="s">
        <v>28</v>
      </c>
      <c r="J351" s="28">
        <v>45868.0</v>
      </c>
      <c r="K351" s="30" t="s">
        <v>145</v>
      </c>
      <c r="L351" s="30" t="s">
        <v>20</v>
      </c>
      <c r="M351" s="31" t="s">
        <v>208</v>
      </c>
      <c r="N351" s="32">
        <v>1.0</v>
      </c>
      <c r="O351" s="33">
        <v>32611.31</v>
      </c>
      <c r="P351" s="34">
        <f t="shared" si="1"/>
        <v>223129.29</v>
      </c>
    </row>
    <row r="352" ht="22.5" customHeight="1">
      <c r="A352" s="42" t="s">
        <v>47</v>
      </c>
      <c r="B352" s="43">
        <v>45864.0</v>
      </c>
      <c r="C352" s="44" t="s">
        <v>45</v>
      </c>
      <c r="D352" s="44" t="s">
        <v>20</v>
      </c>
      <c r="E352" s="45" t="s">
        <v>189</v>
      </c>
      <c r="F352" s="45">
        <v>0.5</v>
      </c>
      <c r="G352" s="46">
        <v>15168.05</v>
      </c>
      <c r="I352" s="27" t="s">
        <v>28</v>
      </c>
      <c r="J352" s="28">
        <v>45868.0</v>
      </c>
      <c r="K352" s="30" t="s">
        <v>216</v>
      </c>
      <c r="L352" s="30" t="s">
        <v>20</v>
      </c>
      <c r="M352" s="31" t="s">
        <v>217</v>
      </c>
      <c r="N352" s="32">
        <v>1.0</v>
      </c>
      <c r="O352" s="33">
        <v>32611.31</v>
      </c>
      <c r="P352" s="34">
        <f t="shared" si="1"/>
        <v>65222.62</v>
      </c>
    </row>
    <row r="353" ht="22.5" customHeight="1">
      <c r="A353" s="42" t="s">
        <v>47</v>
      </c>
      <c r="B353" s="43">
        <v>45864.0</v>
      </c>
      <c r="C353" s="44" t="s">
        <v>62</v>
      </c>
      <c r="D353" s="44" t="s">
        <v>20</v>
      </c>
      <c r="E353" s="45" t="s">
        <v>190</v>
      </c>
      <c r="F353" s="45">
        <v>0.5</v>
      </c>
      <c r="G353" s="46">
        <v>15168.05</v>
      </c>
      <c r="I353" s="27" t="s">
        <v>28</v>
      </c>
      <c r="J353" s="28">
        <v>45868.0</v>
      </c>
      <c r="K353" s="30" t="s">
        <v>218</v>
      </c>
      <c r="L353" s="30" t="s">
        <v>20</v>
      </c>
      <c r="M353" s="31" t="s">
        <v>219</v>
      </c>
      <c r="N353" s="32">
        <v>1.0</v>
      </c>
      <c r="O353" s="33">
        <v>32611.31</v>
      </c>
      <c r="P353" s="34">
        <f t="shared" si="1"/>
        <v>65222.62</v>
      </c>
    </row>
    <row r="354" ht="22.5" customHeight="1">
      <c r="A354" s="42" t="s">
        <v>47</v>
      </c>
      <c r="B354" s="43">
        <v>45864.0</v>
      </c>
      <c r="C354" s="44" t="s">
        <v>191</v>
      </c>
      <c r="D354" s="44" t="s">
        <v>20</v>
      </c>
      <c r="E354" s="45" t="s">
        <v>192</v>
      </c>
      <c r="F354" s="45">
        <v>1.0</v>
      </c>
      <c r="G354" s="46">
        <v>30336.1</v>
      </c>
      <c r="I354" s="27" t="s">
        <v>28</v>
      </c>
      <c r="J354" s="28">
        <v>45868.0</v>
      </c>
      <c r="K354" s="30" t="s">
        <v>56</v>
      </c>
      <c r="L354" s="30" t="s">
        <v>20</v>
      </c>
      <c r="M354" s="31" t="s">
        <v>211</v>
      </c>
      <c r="N354" s="32">
        <v>0.5</v>
      </c>
      <c r="O354" s="33">
        <v>16305.66</v>
      </c>
      <c r="P354" s="34">
        <f t="shared" si="1"/>
        <v>53427.76</v>
      </c>
    </row>
    <row r="355" ht="22.5" customHeight="1">
      <c r="A355" s="42" t="s">
        <v>47</v>
      </c>
      <c r="B355" s="43">
        <v>45864.0</v>
      </c>
      <c r="C355" s="44" t="s">
        <v>48</v>
      </c>
      <c r="D355" s="44" t="s">
        <v>20</v>
      </c>
      <c r="E355" s="45" t="s">
        <v>193</v>
      </c>
      <c r="F355" s="45">
        <v>1.0</v>
      </c>
      <c r="G355" s="46">
        <v>30336.1</v>
      </c>
      <c r="I355" s="55" t="s">
        <v>47</v>
      </c>
      <c r="J355" s="56">
        <v>45868.0</v>
      </c>
      <c r="K355" s="57" t="s">
        <v>145</v>
      </c>
      <c r="L355" s="57" t="s">
        <v>20</v>
      </c>
      <c r="M355" s="58" t="s">
        <v>208</v>
      </c>
      <c r="N355" s="59">
        <v>1.0</v>
      </c>
      <c r="O355" s="60">
        <v>32611.31</v>
      </c>
      <c r="P355" s="34">
        <f t="shared" si="1"/>
        <v>223129.29</v>
      </c>
    </row>
    <row r="356" ht="22.5" customHeight="1">
      <c r="A356" s="42" t="s">
        <v>47</v>
      </c>
      <c r="B356" s="43">
        <v>45864.0</v>
      </c>
      <c r="C356" s="44" t="s">
        <v>64</v>
      </c>
      <c r="D356" s="44" t="s">
        <v>20</v>
      </c>
      <c r="E356" s="45" t="s">
        <v>194</v>
      </c>
      <c r="F356" s="45">
        <v>1.0</v>
      </c>
      <c r="G356" s="46">
        <v>30336.1</v>
      </c>
      <c r="I356" s="55" t="s">
        <v>47</v>
      </c>
      <c r="J356" s="56">
        <v>45868.0</v>
      </c>
      <c r="K356" s="57" t="s">
        <v>216</v>
      </c>
      <c r="L356" s="57" t="s">
        <v>20</v>
      </c>
      <c r="M356" s="58" t="s">
        <v>217</v>
      </c>
      <c r="N356" s="59">
        <v>1.0</v>
      </c>
      <c r="O356" s="60">
        <v>32611.31</v>
      </c>
      <c r="P356" s="34">
        <f t="shared" si="1"/>
        <v>65222.62</v>
      </c>
    </row>
    <row r="357" ht="22.5" customHeight="1">
      <c r="A357" s="22" t="s">
        <v>18</v>
      </c>
      <c r="B357" s="23">
        <v>45866.0</v>
      </c>
      <c r="C357" s="24" t="s">
        <v>50</v>
      </c>
      <c r="D357" s="24" t="s">
        <v>20</v>
      </c>
      <c r="E357" s="25" t="s">
        <v>195</v>
      </c>
      <c r="F357" s="25">
        <v>2.0</v>
      </c>
      <c r="G357" s="26">
        <v>37122.1</v>
      </c>
      <c r="I357" s="55" t="s">
        <v>47</v>
      </c>
      <c r="J357" s="56">
        <v>45868.0</v>
      </c>
      <c r="K357" s="57" t="s">
        <v>212</v>
      </c>
      <c r="L357" s="57" t="s">
        <v>20</v>
      </c>
      <c r="M357" s="58" t="s">
        <v>213</v>
      </c>
      <c r="N357" s="59">
        <v>0.5</v>
      </c>
      <c r="O357" s="60">
        <v>16305.66</v>
      </c>
      <c r="P357" s="34">
        <f t="shared" si="1"/>
        <v>34866.71</v>
      </c>
    </row>
    <row r="358" ht="22.5" customHeight="1">
      <c r="A358" s="22" t="s">
        <v>18</v>
      </c>
      <c r="B358" s="23">
        <v>45866.0</v>
      </c>
      <c r="C358" s="24" t="s">
        <v>116</v>
      </c>
      <c r="D358" s="24" t="s">
        <v>20</v>
      </c>
      <c r="E358" s="25" t="s">
        <v>196</v>
      </c>
      <c r="F358" s="25">
        <v>1.0</v>
      </c>
      <c r="G358" s="26">
        <v>18561.05</v>
      </c>
      <c r="I358" s="55" t="s">
        <v>47</v>
      </c>
      <c r="J358" s="56">
        <v>45868.0</v>
      </c>
      <c r="K358" s="57" t="s">
        <v>214</v>
      </c>
      <c r="L358" s="57" t="s">
        <v>20</v>
      </c>
      <c r="M358" s="58" t="s">
        <v>215</v>
      </c>
      <c r="N358" s="59">
        <v>1.0</v>
      </c>
      <c r="O358" s="60">
        <v>32611.31</v>
      </c>
      <c r="P358" s="34">
        <f t="shared" si="1"/>
        <v>51172.36</v>
      </c>
    </row>
    <row r="359" ht="22.5" customHeight="1">
      <c r="A359" s="42" t="s">
        <v>23</v>
      </c>
      <c r="B359" s="43">
        <v>45866.0</v>
      </c>
      <c r="C359" s="44" t="s">
        <v>50</v>
      </c>
      <c r="D359" s="44" t="s">
        <v>20</v>
      </c>
      <c r="E359" s="45" t="s">
        <v>195</v>
      </c>
      <c r="F359" s="45">
        <v>2.0</v>
      </c>
      <c r="G359" s="46">
        <v>37122.1</v>
      </c>
      <c r="I359" s="55" t="s">
        <v>47</v>
      </c>
      <c r="J359" s="56">
        <v>45868.0</v>
      </c>
      <c r="K359" s="57" t="s">
        <v>218</v>
      </c>
      <c r="L359" s="57" t="s">
        <v>20</v>
      </c>
      <c r="M359" s="58" t="s">
        <v>219</v>
      </c>
      <c r="N359" s="59">
        <v>1.0</v>
      </c>
      <c r="O359" s="60">
        <v>32611.31</v>
      </c>
      <c r="P359" s="34">
        <f t="shared" si="1"/>
        <v>65222.62</v>
      </c>
    </row>
    <row r="360" ht="22.5" customHeight="1">
      <c r="A360" s="42" t="s">
        <v>23</v>
      </c>
      <c r="B360" s="43">
        <v>45866.0</v>
      </c>
      <c r="C360" s="44" t="s">
        <v>116</v>
      </c>
      <c r="D360" s="44" t="s">
        <v>20</v>
      </c>
      <c r="E360" s="45" t="s">
        <v>196</v>
      </c>
      <c r="F360" s="45">
        <v>1.0</v>
      </c>
      <c r="G360" s="46">
        <v>18561.05</v>
      </c>
      <c r="I360" s="27" t="s">
        <v>18</v>
      </c>
      <c r="J360" s="28">
        <v>45869.0</v>
      </c>
      <c r="K360" s="30" t="s">
        <v>91</v>
      </c>
      <c r="L360" s="30" t="s">
        <v>20</v>
      </c>
      <c r="M360" s="31" t="s">
        <v>220</v>
      </c>
      <c r="N360" s="32">
        <v>1.0</v>
      </c>
      <c r="O360" s="33">
        <v>18561.05</v>
      </c>
      <c r="P360" s="34">
        <f t="shared" si="1"/>
        <v>162700.47</v>
      </c>
    </row>
    <row r="361" ht="22.5" customHeight="1">
      <c r="A361" s="22" t="s">
        <v>25</v>
      </c>
      <c r="B361" s="23">
        <v>45866.0</v>
      </c>
      <c r="C361" s="24" t="s">
        <v>74</v>
      </c>
      <c r="D361" s="24" t="s">
        <v>20</v>
      </c>
      <c r="E361" s="25" t="s">
        <v>197</v>
      </c>
      <c r="F361" s="25">
        <v>1.0</v>
      </c>
      <c r="G361" s="26">
        <v>49082.0</v>
      </c>
      <c r="I361" s="27" t="s">
        <v>18</v>
      </c>
      <c r="J361" s="28">
        <v>45869.0</v>
      </c>
      <c r="K361" s="30" t="s">
        <v>72</v>
      </c>
      <c r="L361" s="30" t="s">
        <v>20</v>
      </c>
      <c r="M361" s="31" t="s">
        <v>221</v>
      </c>
      <c r="N361" s="32">
        <v>1.0</v>
      </c>
      <c r="O361" s="33">
        <v>18561.05</v>
      </c>
      <c r="P361" s="34">
        <f t="shared" si="1"/>
        <v>162700.47</v>
      </c>
    </row>
    <row r="362" ht="22.5" customHeight="1">
      <c r="A362" s="22" t="s">
        <v>25</v>
      </c>
      <c r="B362" s="23">
        <v>45866.0</v>
      </c>
      <c r="C362" s="24" t="s">
        <v>116</v>
      </c>
      <c r="D362" s="24" t="s">
        <v>20</v>
      </c>
      <c r="E362" s="25" t="s">
        <v>196</v>
      </c>
      <c r="F362" s="25">
        <v>1.0</v>
      </c>
      <c r="G362" s="26">
        <v>45657.74</v>
      </c>
      <c r="I362" s="55" t="s">
        <v>23</v>
      </c>
      <c r="J362" s="56">
        <v>45869.0</v>
      </c>
      <c r="K362" s="57" t="s">
        <v>91</v>
      </c>
      <c r="L362" s="57" t="s">
        <v>20</v>
      </c>
      <c r="M362" s="58" t="s">
        <v>220</v>
      </c>
      <c r="N362" s="59">
        <v>1.0</v>
      </c>
      <c r="O362" s="60">
        <v>18561.05</v>
      </c>
      <c r="P362" s="34">
        <f t="shared" si="1"/>
        <v>162700.47</v>
      </c>
    </row>
    <row r="363" ht="22.5" customHeight="1">
      <c r="A363" s="22" t="s">
        <v>25</v>
      </c>
      <c r="B363" s="23">
        <v>45866.0</v>
      </c>
      <c r="C363" s="24" t="s">
        <v>198</v>
      </c>
      <c r="D363" s="24" t="s">
        <v>20</v>
      </c>
      <c r="E363" s="25" t="s">
        <v>199</v>
      </c>
      <c r="F363" s="25">
        <v>1.0</v>
      </c>
      <c r="G363" s="26">
        <v>45657.74</v>
      </c>
      <c r="I363" s="55" t="s">
        <v>23</v>
      </c>
      <c r="J363" s="56">
        <v>45869.0</v>
      </c>
      <c r="K363" s="57" t="s">
        <v>72</v>
      </c>
      <c r="L363" s="57" t="s">
        <v>20</v>
      </c>
      <c r="M363" s="58" t="s">
        <v>221</v>
      </c>
      <c r="N363" s="59">
        <v>1.0</v>
      </c>
      <c r="O363" s="60">
        <v>18561.05</v>
      </c>
      <c r="P363" s="34">
        <f t="shared" si="1"/>
        <v>162700.47</v>
      </c>
    </row>
    <row r="364" ht="22.5" customHeight="1">
      <c r="A364" s="22" t="s">
        <v>25</v>
      </c>
      <c r="B364" s="23">
        <v>45866.0</v>
      </c>
      <c r="C364" s="24" t="s">
        <v>83</v>
      </c>
      <c r="D364" s="24" t="s">
        <v>20</v>
      </c>
      <c r="E364" s="25" t="s">
        <v>200</v>
      </c>
      <c r="F364" s="25">
        <v>1.0</v>
      </c>
      <c r="G364" s="26">
        <v>45657.74</v>
      </c>
      <c r="I364" s="27" t="s">
        <v>25</v>
      </c>
      <c r="J364" s="28">
        <v>45869.0</v>
      </c>
      <c r="K364" s="30" t="s">
        <v>101</v>
      </c>
      <c r="L364" s="30" t="s">
        <v>20</v>
      </c>
      <c r="M364" s="31" t="s">
        <v>222</v>
      </c>
      <c r="N364" s="32">
        <v>1.0</v>
      </c>
      <c r="O364" s="33">
        <v>45657.74</v>
      </c>
      <c r="P364" s="34">
        <f t="shared" si="1"/>
        <v>83654.66</v>
      </c>
    </row>
    <row r="365" ht="22.5" customHeight="1">
      <c r="A365" s="42" t="s">
        <v>40</v>
      </c>
      <c r="B365" s="43">
        <v>45866.0</v>
      </c>
      <c r="C365" s="44" t="s">
        <v>74</v>
      </c>
      <c r="D365" s="44" t="s">
        <v>20</v>
      </c>
      <c r="E365" s="45" t="s">
        <v>197</v>
      </c>
      <c r="F365" s="45">
        <v>1.0</v>
      </c>
      <c r="G365" s="46">
        <v>49082.0</v>
      </c>
      <c r="I365" s="55" t="s">
        <v>40</v>
      </c>
      <c r="J365" s="56">
        <v>45869.0</v>
      </c>
      <c r="K365" s="57" t="s">
        <v>101</v>
      </c>
      <c r="L365" s="57" t="s">
        <v>20</v>
      </c>
      <c r="M365" s="58" t="s">
        <v>222</v>
      </c>
      <c r="N365" s="59">
        <v>0.5</v>
      </c>
      <c r="O365" s="60">
        <v>22828.87</v>
      </c>
      <c r="P365" s="34">
        <f t="shared" si="1"/>
        <v>83654.66</v>
      </c>
    </row>
    <row r="366" ht="22.5" customHeight="1">
      <c r="A366" s="42" t="s">
        <v>40</v>
      </c>
      <c r="B366" s="43">
        <v>45866.0</v>
      </c>
      <c r="C366" s="44" t="s">
        <v>116</v>
      </c>
      <c r="D366" s="44" t="s">
        <v>20</v>
      </c>
      <c r="E366" s="45" t="s">
        <v>196</v>
      </c>
      <c r="F366" s="45">
        <v>1.0</v>
      </c>
      <c r="G366" s="46">
        <v>45657.74</v>
      </c>
      <c r="I366" s="27" t="s">
        <v>27</v>
      </c>
      <c r="J366" s="28">
        <v>45869.0</v>
      </c>
      <c r="K366" s="30" t="s">
        <v>91</v>
      </c>
      <c r="L366" s="30" t="s">
        <v>20</v>
      </c>
      <c r="M366" s="31" t="s">
        <v>220</v>
      </c>
      <c r="N366" s="32">
        <v>1.0</v>
      </c>
      <c r="O366" s="33">
        <v>40037.11</v>
      </c>
      <c r="P366" s="34">
        <f t="shared" si="1"/>
        <v>162700.47</v>
      </c>
    </row>
    <row r="367" ht="22.5" customHeight="1">
      <c r="A367" s="42" t="s">
        <v>40</v>
      </c>
      <c r="B367" s="43">
        <v>45866.0</v>
      </c>
      <c r="C367" s="44" t="s">
        <v>83</v>
      </c>
      <c r="D367" s="44" t="s">
        <v>20</v>
      </c>
      <c r="E367" s="45" t="s">
        <v>200</v>
      </c>
      <c r="F367" s="45">
        <v>1.0</v>
      </c>
      <c r="G367" s="46">
        <v>45657.74</v>
      </c>
      <c r="I367" s="27" t="s">
        <v>27</v>
      </c>
      <c r="J367" s="28">
        <v>45869.0</v>
      </c>
      <c r="K367" s="30" t="s">
        <v>72</v>
      </c>
      <c r="L367" s="30" t="s">
        <v>20</v>
      </c>
      <c r="M367" s="31" t="s">
        <v>221</v>
      </c>
      <c r="N367" s="32">
        <v>1.0</v>
      </c>
      <c r="O367" s="33">
        <v>40037.11</v>
      </c>
      <c r="P367" s="34">
        <f t="shared" si="1"/>
        <v>162700.47</v>
      </c>
    </row>
    <row r="368" ht="22.5" customHeight="1">
      <c r="A368" s="22" t="s">
        <v>27</v>
      </c>
      <c r="B368" s="23">
        <v>45866.0</v>
      </c>
      <c r="C368" s="24" t="s">
        <v>50</v>
      </c>
      <c r="D368" s="24" t="s">
        <v>20</v>
      </c>
      <c r="E368" s="25" t="s">
        <v>195</v>
      </c>
      <c r="F368" s="25">
        <v>1.0</v>
      </c>
      <c r="G368" s="26">
        <v>40037.11</v>
      </c>
      <c r="I368" s="27" t="s">
        <v>31</v>
      </c>
      <c r="J368" s="28">
        <v>45869.0</v>
      </c>
      <c r="K368" s="30" t="s">
        <v>91</v>
      </c>
      <c r="L368" s="30" t="s">
        <v>20</v>
      </c>
      <c r="M368" s="31" t="s">
        <v>220</v>
      </c>
      <c r="N368" s="32">
        <v>1.0</v>
      </c>
      <c r="O368" s="33">
        <v>40037.11</v>
      </c>
      <c r="P368" s="34">
        <f t="shared" si="1"/>
        <v>162700.47</v>
      </c>
    </row>
    <row r="369" ht="22.5" customHeight="1">
      <c r="A369" s="22" t="s">
        <v>27</v>
      </c>
      <c r="B369" s="23">
        <v>45866.0</v>
      </c>
      <c r="C369" s="24" t="s">
        <v>83</v>
      </c>
      <c r="D369" s="24" t="s">
        <v>20</v>
      </c>
      <c r="E369" s="25" t="s">
        <v>200</v>
      </c>
      <c r="F369" s="25">
        <v>1.0</v>
      </c>
      <c r="G369" s="26">
        <v>40037.11</v>
      </c>
      <c r="I369" s="27" t="s">
        <v>31</v>
      </c>
      <c r="J369" s="28">
        <v>45869.0</v>
      </c>
      <c r="K369" s="30" t="s">
        <v>72</v>
      </c>
      <c r="L369" s="30" t="s">
        <v>20</v>
      </c>
      <c r="M369" s="31" t="s">
        <v>221</v>
      </c>
      <c r="N369" s="32">
        <v>1.0</v>
      </c>
      <c r="O369" s="33">
        <v>40037.11</v>
      </c>
      <c r="P369" s="34">
        <f t="shared" si="1"/>
        <v>162700.47</v>
      </c>
    </row>
    <row r="370" ht="22.5" customHeight="1">
      <c r="A370" s="22" t="s">
        <v>28</v>
      </c>
      <c r="B370" s="23">
        <v>45866.0</v>
      </c>
      <c r="C370" s="24" t="s">
        <v>201</v>
      </c>
      <c r="D370" s="24" t="s">
        <v>20</v>
      </c>
      <c r="E370" s="25" t="s">
        <v>202</v>
      </c>
      <c r="F370" s="25">
        <v>1.0</v>
      </c>
      <c r="G370" s="26">
        <v>30336.1</v>
      </c>
      <c r="I370" s="27" t="s">
        <v>28</v>
      </c>
      <c r="J370" s="28">
        <v>45869.0</v>
      </c>
      <c r="K370" s="30" t="s">
        <v>83</v>
      </c>
      <c r="L370" s="30" t="s">
        <v>20</v>
      </c>
      <c r="M370" s="31" t="s">
        <v>223</v>
      </c>
      <c r="N370" s="32">
        <v>1.0</v>
      </c>
      <c r="O370" s="33">
        <v>30336.1</v>
      </c>
      <c r="P370" s="34">
        <f t="shared" si="1"/>
        <v>45504.15</v>
      </c>
    </row>
    <row r="371" ht="22.5" customHeight="1">
      <c r="A371" s="22" t="s">
        <v>28</v>
      </c>
      <c r="B371" s="23">
        <v>45866.0</v>
      </c>
      <c r="C371" s="24" t="s">
        <v>50</v>
      </c>
      <c r="D371" s="24" t="s">
        <v>20</v>
      </c>
      <c r="E371" s="25" t="s">
        <v>195</v>
      </c>
      <c r="F371" s="25">
        <v>2.0</v>
      </c>
      <c r="G371" s="26">
        <v>60672.2</v>
      </c>
      <c r="I371" s="27" t="s">
        <v>28</v>
      </c>
      <c r="J371" s="28">
        <v>45869.0</v>
      </c>
      <c r="K371" s="30" t="s">
        <v>91</v>
      </c>
      <c r="L371" s="30" t="s">
        <v>20</v>
      </c>
      <c r="M371" s="31" t="s">
        <v>220</v>
      </c>
      <c r="N371" s="32">
        <v>1.0</v>
      </c>
      <c r="O371" s="33">
        <v>30336.1</v>
      </c>
      <c r="P371" s="34">
        <f t="shared" si="1"/>
        <v>162700.47</v>
      </c>
    </row>
    <row r="372" ht="22.5" customHeight="1">
      <c r="A372" s="22" t="s">
        <v>28</v>
      </c>
      <c r="B372" s="23">
        <v>45866.0</v>
      </c>
      <c r="C372" s="24" t="s">
        <v>116</v>
      </c>
      <c r="D372" s="24" t="s">
        <v>20</v>
      </c>
      <c r="E372" s="25" t="s">
        <v>196</v>
      </c>
      <c r="F372" s="25">
        <v>1.0</v>
      </c>
      <c r="G372" s="26">
        <v>30336.1</v>
      </c>
      <c r="I372" s="27" t="s">
        <v>28</v>
      </c>
      <c r="J372" s="28">
        <v>45869.0</v>
      </c>
      <c r="K372" s="30" t="s">
        <v>101</v>
      </c>
      <c r="L372" s="30" t="s">
        <v>20</v>
      </c>
      <c r="M372" s="31" t="s">
        <v>222</v>
      </c>
      <c r="N372" s="32">
        <v>0.5</v>
      </c>
      <c r="O372" s="33">
        <v>15168.05</v>
      </c>
      <c r="P372" s="34">
        <f t="shared" si="1"/>
        <v>83654.66</v>
      </c>
    </row>
    <row r="373" ht="22.5" customHeight="1">
      <c r="A373" s="22" t="s">
        <v>28</v>
      </c>
      <c r="B373" s="23">
        <v>45866.0</v>
      </c>
      <c r="C373" s="24" t="s">
        <v>198</v>
      </c>
      <c r="D373" s="24" t="s">
        <v>20</v>
      </c>
      <c r="E373" s="25" t="s">
        <v>199</v>
      </c>
      <c r="F373" s="25">
        <v>1.0</v>
      </c>
      <c r="G373" s="26">
        <v>30336.1</v>
      </c>
      <c r="I373" s="27" t="s">
        <v>28</v>
      </c>
      <c r="J373" s="28">
        <v>45869.0</v>
      </c>
      <c r="K373" s="30" t="s">
        <v>118</v>
      </c>
      <c r="L373" s="30" t="s">
        <v>20</v>
      </c>
      <c r="M373" s="31" t="s">
        <v>224</v>
      </c>
      <c r="N373" s="32">
        <v>1.0</v>
      </c>
      <c r="O373" s="33">
        <v>30336.1</v>
      </c>
      <c r="P373" s="34">
        <f t="shared" si="1"/>
        <v>60672.2</v>
      </c>
    </row>
    <row r="374" ht="22.5" customHeight="1">
      <c r="A374" s="22" t="s">
        <v>28</v>
      </c>
      <c r="B374" s="23">
        <v>45866.0</v>
      </c>
      <c r="C374" s="24" t="s">
        <v>83</v>
      </c>
      <c r="D374" s="24" t="s">
        <v>20</v>
      </c>
      <c r="E374" s="25" t="s">
        <v>200</v>
      </c>
      <c r="F374" s="25">
        <v>1.0</v>
      </c>
      <c r="G374" s="26">
        <v>30336.1</v>
      </c>
      <c r="I374" s="27" t="s">
        <v>28</v>
      </c>
      <c r="J374" s="28">
        <v>45869.0</v>
      </c>
      <c r="K374" s="30" t="s">
        <v>72</v>
      </c>
      <c r="L374" s="30" t="s">
        <v>20</v>
      </c>
      <c r="M374" s="31" t="s">
        <v>221</v>
      </c>
      <c r="N374" s="32">
        <v>1.0</v>
      </c>
      <c r="O374" s="33">
        <v>30336.1</v>
      </c>
      <c r="P374" s="34">
        <f t="shared" si="1"/>
        <v>162700.47</v>
      </c>
    </row>
    <row r="375" ht="22.5" customHeight="1">
      <c r="A375" s="42" t="s">
        <v>47</v>
      </c>
      <c r="B375" s="43">
        <v>45866.0</v>
      </c>
      <c r="C375" s="44" t="s">
        <v>203</v>
      </c>
      <c r="D375" s="44" t="s">
        <v>20</v>
      </c>
      <c r="E375" s="45" t="s">
        <v>204</v>
      </c>
      <c r="F375" s="45">
        <v>1.0</v>
      </c>
      <c r="G375" s="46">
        <v>30336.1</v>
      </c>
      <c r="I375" s="55" t="s">
        <v>47</v>
      </c>
      <c r="J375" s="56">
        <v>45869.0</v>
      </c>
      <c r="K375" s="57" t="s">
        <v>83</v>
      </c>
      <c r="L375" s="57" t="s">
        <v>20</v>
      </c>
      <c r="M375" s="58" t="s">
        <v>223</v>
      </c>
      <c r="N375" s="59">
        <v>0.5</v>
      </c>
      <c r="O375" s="60">
        <v>15168.05</v>
      </c>
      <c r="P375" s="34">
        <f t="shared" si="1"/>
        <v>45504.15</v>
      </c>
    </row>
    <row r="376" ht="22.5" customHeight="1">
      <c r="A376" s="42" t="s">
        <v>47</v>
      </c>
      <c r="B376" s="43">
        <v>45866.0</v>
      </c>
      <c r="C376" s="44" t="s">
        <v>201</v>
      </c>
      <c r="D376" s="44" t="s">
        <v>20</v>
      </c>
      <c r="E376" s="45" t="s">
        <v>202</v>
      </c>
      <c r="F376" s="45">
        <v>1.0</v>
      </c>
      <c r="G376" s="46">
        <v>30336.1</v>
      </c>
      <c r="I376" s="55" t="s">
        <v>47</v>
      </c>
      <c r="J376" s="56">
        <v>45869.0</v>
      </c>
      <c r="K376" s="57" t="s">
        <v>91</v>
      </c>
      <c r="L376" s="57" t="s">
        <v>20</v>
      </c>
      <c r="M376" s="58" t="s">
        <v>220</v>
      </c>
      <c r="N376" s="59">
        <v>0.5</v>
      </c>
      <c r="O376" s="60">
        <v>15168.05</v>
      </c>
      <c r="P376" s="34">
        <f t="shared" si="1"/>
        <v>162700.47</v>
      </c>
    </row>
    <row r="377" ht="22.5" customHeight="1">
      <c r="A377" s="42" t="s">
        <v>47</v>
      </c>
      <c r="B377" s="43">
        <v>45866.0</v>
      </c>
      <c r="C377" s="44" t="s">
        <v>50</v>
      </c>
      <c r="D377" s="44" t="s">
        <v>20</v>
      </c>
      <c r="E377" s="45" t="s">
        <v>195</v>
      </c>
      <c r="F377" s="45">
        <v>2.0</v>
      </c>
      <c r="G377" s="46">
        <v>60672.2</v>
      </c>
      <c r="I377" s="55" t="s">
        <v>47</v>
      </c>
      <c r="J377" s="56">
        <v>45869.0</v>
      </c>
      <c r="K377" s="57" t="s">
        <v>118</v>
      </c>
      <c r="L377" s="57" t="s">
        <v>20</v>
      </c>
      <c r="M377" s="58" t="s">
        <v>224</v>
      </c>
      <c r="N377" s="59">
        <v>1.0</v>
      </c>
      <c r="O377" s="60">
        <v>30336.1</v>
      </c>
      <c r="P377" s="34">
        <f t="shared" si="1"/>
        <v>60672.2</v>
      </c>
    </row>
    <row r="378" ht="22.5" customHeight="1">
      <c r="A378" s="42" t="s">
        <v>47</v>
      </c>
      <c r="B378" s="43">
        <v>45866.0</v>
      </c>
      <c r="C378" s="44" t="s">
        <v>116</v>
      </c>
      <c r="D378" s="44" t="s">
        <v>20</v>
      </c>
      <c r="E378" s="45" t="s">
        <v>196</v>
      </c>
      <c r="F378" s="45">
        <v>1.0</v>
      </c>
      <c r="G378" s="46">
        <v>30336.1</v>
      </c>
      <c r="I378" s="55" t="s">
        <v>47</v>
      </c>
      <c r="J378" s="56">
        <v>45869.0</v>
      </c>
      <c r="K378" s="57" t="s">
        <v>72</v>
      </c>
      <c r="L378" s="57" t="s">
        <v>20</v>
      </c>
      <c r="M378" s="58" t="s">
        <v>221</v>
      </c>
      <c r="N378" s="59">
        <v>0.5</v>
      </c>
      <c r="O378" s="60">
        <v>15168.05</v>
      </c>
      <c r="P378" s="34">
        <f t="shared" si="1"/>
        <v>162700.47</v>
      </c>
    </row>
    <row r="379" ht="22.5" customHeight="1">
      <c r="A379" s="42" t="s">
        <v>47</v>
      </c>
      <c r="B379" s="43">
        <v>45866.0</v>
      </c>
      <c r="C379" s="44" t="s">
        <v>198</v>
      </c>
      <c r="D379" s="44" t="s">
        <v>20</v>
      </c>
      <c r="E379" s="45" t="s">
        <v>199</v>
      </c>
      <c r="F379" s="45">
        <v>1.0</v>
      </c>
      <c r="G379" s="46">
        <v>30226.1</v>
      </c>
      <c r="I379" s="61"/>
      <c r="J379" s="62"/>
      <c r="K379" s="63"/>
      <c r="L379" s="63"/>
      <c r="M379" s="64"/>
      <c r="N379" s="65"/>
      <c r="O379" s="66"/>
      <c r="P379" s="34">
        <f t="shared" si="1"/>
        <v>0</v>
      </c>
    </row>
    <row r="380" ht="22.5" customHeight="1">
      <c r="A380" s="42" t="s">
        <v>47</v>
      </c>
      <c r="B380" s="43">
        <v>45866.0</v>
      </c>
      <c r="C380" s="44" t="s">
        <v>83</v>
      </c>
      <c r="D380" s="44" t="s">
        <v>20</v>
      </c>
      <c r="E380" s="45" t="s">
        <v>200</v>
      </c>
      <c r="F380" s="45">
        <v>1.0</v>
      </c>
      <c r="G380" s="46">
        <v>30336.1</v>
      </c>
      <c r="I380" s="61"/>
      <c r="J380" s="62"/>
      <c r="K380" s="63"/>
      <c r="L380" s="63"/>
      <c r="M380" s="64"/>
      <c r="N380" s="65"/>
      <c r="O380" s="66"/>
      <c r="P380" s="34">
        <f t="shared" si="1"/>
        <v>0</v>
      </c>
    </row>
    <row r="381" ht="22.5" customHeight="1">
      <c r="A381" s="42" t="s">
        <v>15</v>
      </c>
      <c r="B381" s="43">
        <v>45867.0</v>
      </c>
      <c r="C381" s="44" t="s">
        <v>41</v>
      </c>
      <c r="D381" s="44" t="s">
        <v>20</v>
      </c>
      <c r="E381" s="45" t="s">
        <v>205</v>
      </c>
      <c r="F381" s="45">
        <v>2.0</v>
      </c>
      <c r="G381" s="46">
        <v>84482.68</v>
      </c>
      <c r="I381" s="61"/>
      <c r="J381" s="62"/>
      <c r="K381" s="63"/>
      <c r="L381" s="63"/>
      <c r="M381" s="64"/>
      <c r="N381" s="65"/>
      <c r="O381" s="66"/>
      <c r="P381" s="34">
        <f t="shared" si="1"/>
        <v>0</v>
      </c>
    </row>
    <row r="382" ht="22.5" customHeight="1">
      <c r="A382" s="42" t="s">
        <v>24</v>
      </c>
      <c r="B382" s="43">
        <v>45867.0</v>
      </c>
      <c r="C382" s="44" t="s">
        <v>41</v>
      </c>
      <c r="D382" s="44" t="s">
        <v>20</v>
      </c>
      <c r="E382" s="45" t="s">
        <v>205</v>
      </c>
      <c r="F382" s="45">
        <v>2.0</v>
      </c>
      <c r="G382" s="46">
        <v>72211.82</v>
      </c>
      <c r="I382" s="61"/>
      <c r="J382" s="62"/>
      <c r="K382" s="63"/>
      <c r="L382" s="63"/>
      <c r="M382" s="64"/>
      <c r="N382" s="65"/>
      <c r="O382" s="66"/>
      <c r="P382" s="34">
        <f t="shared" si="1"/>
        <v>0</v>
      </c>
    </row>
    <row r="383" ht="22.5" customHeight="1">
      <c r="A383" s="22" t="s">
        <v>26</v>
      </c>
      <c r="B383" s="23">
        <v>45867.0</v>
      </c>
      <c r="C383" s="24" t="s">
        <v>41</v>
      </c>
      <c r="D383" s="24" t="s">
        <v>20</v>
      </c>
      <c r="E383" s="25" t="s">
        <v>205</v>
      </c>
      <c r="F383" s="25">
        <v>1.0</v>
      </c>
      <c r="G383" s="26">
        <v>36105.91</v>
      </c>
      <c r="I383" s="61"/>
      <c r="J383" s="62"/>
      <c r="K383" s="63"/>
      <c r="L383" s="63"/>
      <c r="M383" s="64"/>
      <c r="N383" s="65"/>
      <c r="O383" s="66"/>
      <c r="P383" s="34">
        <f t="shared" si="1"/>
        <v>0</v>
      </c>
    </row>
    <row r="384" ht="22.5" customHeight="1">
      <c r="A384" s="22" t="s">
        <v>25</v>
      </c>
      <c r="B384" s="23">
        <v>45867.0</v>
      </c>
      <c r="C384" s="24" t="s">
        <v>41</v>
      </c>
      <c r="D384" s="24" t="s">
        <v>20</v>
      </c>
      <c r="E384" s="25" t="s">
        <v>205</v>
      </c>
      <c r="F384" s="25">
        <v>1.0</v>
      </c>
      <c r="G384" s="26">
        <v>45657.74</v>
      </c>
      <c r="I384" s="61"/>
      <c r="J384" s="62"/>
      <c r="K384" s="63"/>
      <c r="L384" s="63"/>
      <c r="M384" s="64"/>
      <c r="N384" s="65"/>
      <c r="O384" s="66"/>
      <c r="P384" s="34">
        <f t="shared" si="1"/>
        <v>0</v>
      </c>
    </row>
    <row r="385" ht="22.5" customHeight="1">
      <c r="A385" s="22" t="s">
        <v>25</v>
      </c>
      <c r="B385" s="23">
        <v>45867.0</v>
      </c>
      <c r="C385" s="24" t="s">
        <v>206</v>
      </c>
      <c r="D385" s="24" t="s">
        <v>20</v>
      </c>
      <c r="E385" s="25" t="s">
        <v>207</v>
      </c>
      <c r="F385" s="25">
        <v>0.5</v>
      </c>
      <c r="G385" s="26">
        <v>22828.87</v>
      </c>
      <c r="I385" s="61"/>
      <c r="J385" s="62"/>
      <c r="K385" s="63"/>
      <c r="L385" s="63"/>
      <c r="M385" s="64"/>
      <c r="N385" s="65"/>
      <c r="O385" s="66"/>
      <c r="P385" s="34">
        <f t="shared" si="1"/>
        <v>0</v>
      </c>
    </row>
    <row r="386" ht="22.5" customHeight="1">
      <c r="A386" s="42" t="s">
        <v>40</v>
      </c>
      <c r="B386" s="43">
        <v>45867.0</v>
      </c>
      <c r="C386" s="44" t="s">
        <v>206</v>
      </c>
      <c r="D386" s="44" t="s">
        <v>20</v>
      </c>
      <c r="E386" s="45" t="s">
        <v>207</v>
      </c>
      <c r="F386" s="45">
        <v>0.5</v>
      </c>
      <c r="G386" s="46">
        <v>22828.87</v>
      </c>
      <c r="I386" s="61"/>
      <c r="J386" s="62"/>
      <c r="K386" s="63"/>
      <c r="L386" s="63"/>
      <c r="M386" s="64"/>
      <c r="N386" s="65"/>
      <c r="O386" s="66"/>
      <c r="P386" s="34">
        <f t="shared" si="1"/>
        <v>0</v>
      </c>
    </row>
    <row r="387" ht="22.5" customHeight="1">
      <c r="A387" s="22" t="s">
        <v>28</v>
      </c>
      <c r="B387" s="23">
        <v>45867.0</v>
      </c>
      <c r="C387" s="24" t="s">
        <v>41</v>
      </c>
      <c r="D387" s="24" t="s">
        <v>20</v>
      </c>
      <c r="E387" s="25" t="s">
        <v>205</v>
      </c>
      <c r="F387" s="25">
        <v>2.0</v>
      </c>
      <c r="G387" s="26">
        <v>60672.02</v>
      </c>
      <c r="I387" s="61"/>
      <c r="J387" s="62"/>
      <c r="K387" s="63"/>
      <c r="L387" s="63"/>
      <c r="M387" s="64"/>
      <c r="N387" s="65"/>
      <c r="O387" s="66"/>
      <c r="P387" s="34">
        <f t="shared" si="1"/>
        <v>0</v>
      </c>
    </row>
    <row r="388" ht="22.5" customHeight="1">
      <c r="A388" s="22" t="s">
        <v>28</v>
      </c>
      <c r="B388" s="23">
        <v>45867.0</v>
      </c>
      <c r="C388" s="24" t="s">
        <v>206</v>
      </c>
      <c r="D388" s="24" t="s">
        <v>20</v>
      </c>
      <c r="E388" s="25" t="s">
        <v>207</v>
      </c>
      <c r="F388" s="25">
        <v>0.5</v>
      </c>
      <c r="G388" s="26">
        <v>16305.66</v>
      </c>
      <c r="I388" s="61"/>
      <c r="J388" s="62"/>
      <c r="K388" s="63"/>
      <c r="L388" s="63"/>
      <c r="M388" s="64"/>
      <c r="N388" s="65"/>
      <c r="O388" s="66"/>
      <c r="P388" s="34">
        <f t="shared" si="1"/>
        <v>0</v>
      </c>
    </row>
    <row r="389" ht="22.5" customHeight="1">
      <c r="A389" s="42" t="s">
        <v>47</v>
      </c>
      <c r="B389" s="43">
        <v>45867.0</v>
      </c>
      <c r="C389" s="44" t="s">
        <v>41</v>
      </c>
      <c r="D389" s="44" t="s">
        <v>20</v>
      </c>
      <c r="E389" s="45" t="s">
        <v>205</v>
      </c>
      <c r="F389" s="45">
        <v>2.0</v>
      </c>
      <c r="G389" s="46">
        <v>60672.2</v>
      </c>
      <c r="I389" s="61"/>
      <c r="J389" s="62"/>
      <c r="K389" s="63"/>
      <c r="L389" s="63"/>
      <c r="M389" s="64"/>
      <c r="N389" s="65"/>
      <c r="O389" s="66"/>
      <c r="P389" s="34">
        <f t="shared" si="1"/>
        <v>0</v>
      </c>
    </row>
    <row r="390" ht="22.5" customHeight="1">
      <c r="A390" s="42" t="s">
        <v>47</v>
      </c>
      <c r="B390" s="43">
        <v>45867.0</v>
      </c>
      <c r="C390" s="44" t="s">
        <v>206</v>
      </c>
      <c r="D390" s="44" t="s">
        <v>20</v>
      </c>
      <c r="E390" s="45" t="s">
        <v>207</v>
      </c>
      <c r="F390" s="45">
        <v>0.5</v>
      </c>
      <c r="G390" s="46">
        <v>16305.66</v>
      </c>
      <c r="I390" s="61"/>
      <c r="J390" s="62"/>
      <c r="K390" s="63"/>
      <c r="L390" s="63"/>
      <c r="M390" s="64"/>
      <c r="N390" s="65"/>
      <c r="O390" s="66"/>
      <c r="P390" s="34">
        <f t="shared" si="1"/>
        <v>0</v>
      </c>
    </row>
    <row r="391" ht="22.5" customHeight="1">
      <c r="A391" s="42" t="s">
        <v>24</v>
      </c>
      <c r="B391" s="43">
        <v>45868.0</v>
      </c>
      <c r="C391" s="44" t="s">
        <v>145</v>
      </c>
      <c r="D391" s="44" t="s">
        <v>20</v>
      </c>
      <c r="E391" s="45" t="s">
        <v>208</v>
      </c>
      <c r="F391" s="45">
        <v>1.0</v>
      </c>
      <c r="G391" s="46">
        <v>36105.91</v>
      </c>
      <c r="I391" s="61"/>
      <c r="J391" s="62"/>
      <c r="K391" s="63"/>
      <c r="L391" s="63"/>
      <c r="M391" s="64"/>
      <c r="N391" s="65"/>
      <c r="O391" s="66"/>
      <c r="P391" s="34">
        <f t="shared" si="1"/>
        <v>0</v>
      </c>
    </row>
    <row r="392" ht="22.5" customHeight="1">
      <c r="A392" s="22" t="s">
        <v>26</v>
      </c>
      <c r="B392" s="23">
        <v>45868.0</v>
      </c>
      <c r="C392" s="24" t="s">
        <v>145</v>
      </c>
      <c r="D392" s="24" t="s">
        <v>20</v>
      </c>
      <c r="E392" s="25" t="s">
        <v>208</v>
      </c>
      <c r="F392" s="25">
        <v>1.0</v>
      </c>
      <c r="G392" s="26">
        <v>36105.91</v>
      </c>
      <c r="I392" s="61"/>
      <c r="J392" s="62"/>
      <c r="K392" s="63"/>
      <c r="L392" s="63"/>
      <c r="M392" s="64"/>
      <c r="N392" s="65"/>
      <c r="O392" s="66"/>
      <c r="P392" s="34">
        <f t="shared" si="1"/>
        <v>0</v>
      </c>
    </row>
    <row r="393" ht="22.5" customHeight="1">
      <c r="A393" s="22" t="s">
        <v>18</v>
      </c>
      <c r="B393" s="23">
        <v>45868.0</v>
      </c>
      <c r="C393" s="24" t="s">
        <v>209</v>
      </c>
      <c r="D393" s="24" t="s">
        <v>20</v>
      </c>
      <c r="E393" s="25" t="s">
        <v>210</v>
      </c>
      <c r="F393" s="25">
        <v>1.0</v>
      </c>
      <c r="G393" s="26">
        <v>18561.05</v>
      </c>
      <c r="I393" s="61"/>
      <c r="J393" s="62"/>
      <c r="K393" s="63"/>
      <c r="L393" s="63"/>
      <c r="M393" s="64"/>
      <c r="N393" s="65"/>
      <c r="O393" s="66"/>
      <c r="P393" s="34">
        <f t="shared" si="1"/>
        <v>0</v>
      </c>
    </row>
    <row r="394" ht="22.5" customHeight="1">
      <c r="A394" s="22" t="s">
        <v>18</v>
      </c>
      <c r="B394" s="23">
        <v>45868.0</v>
      </c>
      <c r="C394" s="24" t="s">
        <v>56</v>
      </c>
      <c r="D394" s="24" t="s">
        <v>20</v>
      </c>
      <c r="E394" s="25" t="s">
        <v>211</v>
      </c>
      <c r="F394" s="25">
        <v>1.0</v>
      </c>
      <c r="G394" s="26">
        <v>18561.05</v>
      </c>
      <c r="I394" s="61"/>
      <c r="J394" s="62"/>
      <c r="K394" s="63"/>
      <c r="L394" s="63"/>
      <c r="M394" s="64"/>
      <c r="N394" s="65"/>
      <c r="O394" s="66"/>
      <c r="P394" s="34">
        <f t="shared" si="1"/>
        <v>0</v>
      </c>
    </row>
    <row r="395" ht="22.5" customHeight="1">
      <c r="A395" s="42" t="s">
        <v>23</v>
      </c>
      <c r="B395" s="43">
        <v>45868.0</v>
      </c>
      <c r="C395" s="44" t="s">
        <v>212</v>
      </c>
      <c r="D395" s="44" t="s">
        <v>20</v>
      </c>
      <c r="E395" s="45" t="s">
        <v>213</v>
      </c>
      <c r="F395" s="45">
        <v>1.0</v>
      </c>
      <c r="G395" s="46">
        <v>18561.05</v>
      </c>
      <c r="I395" s="61"/>
      <c r="J395" s="62"/>
      <c r="K395" s="63"/>
      <c r="L395" s="63"/>
      <c r="M395" s="64"/>
      <c r="N395" s="65"/>
      <c r="O395" s="66"/>
      <c r="P395" s="34">
        <f t="shared" si="1"/>
        <v>0</v>
      </c>
    </row>
    <row r="396" ht="22.5" customHeight="1">
      <c r="A396" s="42" t="s">
        <v>23</v>
      </c>
      <c r="B396" s="43">
        <v>45868.0</v>
      </c>
      <c r="C396" s="44" t="s">
        <v>209</v>
      </c>
      <c r="D396" s="44" t="s">
        <v>20</v>
      </c>
      <c r="E396" s="45" t="s">
        <v>210</v>
      </c>
      <c r="F396" s="45">
        <v>1.0</v>
      </c>
      <c r="G396" s="46">
        <v>18561.05</v>
      </c>
      <c r="I396" s="61"/>
      <c r="J396" s="62"/>
      <c r="K396" s="63"/>
      <c r="L396" s="63"/>
      <c r="M396" s="64"/>
      <c r="N396" s="65"/>
      <c r="O396" s="66"/>
      <c r="P396" s="34">
        <f t="shared" si="1"/>
        <v>0</v>
      </c>
    </row>
    <row r="397" ht="22.5" customHeight="1">
      <c r="A397" s="42" t="s">
        <v>23</v>
      </c>
      <c r="B397" s="43">
        <v>45868.0</v>
      </c>
      <c r="C397" s="44" t="s">
        <v>214</v>
      </c>
      <c r="D397" s="44" t="s">
        <v>20</v>
      </c>
      <c r="E397" s="45" t="s">
        <v>215</v>
      </c>
      <c r="F397" s="45">
        <v>1.0</v>
      </c>
      <c r="G397" s="46">
        <v>18561.05</v>
      </c>
      <c r="I397" s="61"/>
      <c r="J397" s="62"/>
      <c r="K397" s="63"/>
      <c r="L397" s="63"/>
      <c r="M397" s="64"/>
      <c r="N397" s="65"/>
      <c r="O397" s="66"/>
      <c r="P397" s="34">
        <f t="shared" si="1"/>
        <v>0</v>
      </c>
    </row>
    <row r="398" ht="22.5" customHeight="1">
      <c r="A398" s="42" t="s">
        <v>23</v>
      </c>
      <c r="B398" s="43">
        <v>45868.0</v>
      </c>
      <c r="C398" s="44" t="s">
        <v>56</v>
      </c>
      <c r="D398" s="44" t="s">
        <v>20</v>
      </c>
      <c r="E398" s="45" t="s">
        <v>211</v>
      </c>
      <c r="F398" s="45">
        <v>1.0</v>
      </c>
      <c r="G398" s="46">
        <v>18561.05</v>
      </c>
      <c r="I398" s="61"/>
      <c r="J398" s="62"/>
      <c r="K398" s="63"/>
      <c r="L398" s="63"/>
      <c r="M398" s="64"/>
      <c r="N398" s="65"/>
      <c r="O398" s="66"/>
      <c r="P398" s="34">
        <f t="shared" si="1"/>
        <v>0</v>
      </c>
    </row>
    <row r="399" ht="22.5" customHeight="1">
      <c r="A399" s="22" t="s">
        <v>25</v>
      </c>
      <c r="B399" s="23">
        <v>45868.0</v>
      </c>
      <c r="C399" s="24" t="s">
        <v>145</v>
      </c>
      <c r="D399" s="24" t="s">
        <v>20</v>
      </c>
      <c r="E399" s="25" t="s">
        <v>208</v>
      </c>
      <c r="F399" s="25">
        <v>1.0</v>
      </c>
      <c r="G399" s="26">
        <v>45657.74</v>
      </c>
      <c r="I399" s="61"/>
      <c r="J399" s="62"/>
      <c r="K399" s="63"/>
      <c r="L399" s="63"/>
      <c r="M399" s="64"/>
      <c r="N399" s="65"/>
      <c r="O399" s="66"/>
      <c r="P399" s="34">
        <f t="shared" si="1"/>
        <v>0</v>
      </c>
    </row>
    <row r="400" ht="22.5" customHeight="1">
      <c r="A400" s="22" t="s">
        <v>27</v>
      </c>
      <c r="B400" s="23">
        <v>45868.0</v>
      </c>
      <c r="C400" s="24" t="s">
        <v>145</v>
      </c>
      <c r="D400" s="24" t="s">
        <v>20</v>
      </c>
      <c r="E400" s="25" t="s">
        <v>208</v>
      </c>
      <c r="F400" s="25">
        <v>1.0</v>
      </c>
      <c r="G400" s="26">
        <v>40037.11</v>
      </c>
      <c r="I400" s="61"/>
      <c r="J400" s="62"/>
      <c r="K400" s="63"/>
      <c r="L400" s="63"/>
      <c r="M400" s="64"/>
      <c r="N400" s="65"/>
      <c r="O400" s="66"/>
      <c r="P400" s="34">
        <f t="shared" si="1"/>
        <v>0</v>
      </c>
    </row>
    <row r="401" ht="22.5" customHeight="1">
      <c r="A401" s="22" t="s">
        <v>28</v>
      </c>
      <c r="B401" s="23">
        <v>45868.0</v>
      </c>
      <c r="C401" s="24" t="s">
        <v>145</v>
      </c>
      <c r="D401" s="24" t="s">
        <v>20</v>
      </c>
      <c r="E401" s="25" t="s">
        <v>208</v>
      </c>
      <c r="F401" s="25">
        <v>1.0</v>
      </c>
      <c r="G401" s="26">
        <v>32611.31</v>
      </c>
      <c r="I401" s="61"/>
      <c r="J401" s="62"/>
      <c r="K401" s="63"/>
      <c r="L401" s="63"/>
      <c r="M401" s="64"/>
      <c r="N401" s="65"/>
      <c r="O401" s="66"/>
      <c r="P401" s="34">
        <f t="shared" si="1"/>
        <v>0</v>
      </c>
    </row>
    <row r="402" ht="22.5" customHeight="1">
      <c r="A402" s="22" t="s">
        <v>28</v>
      </c>
      <c r="B402" s="23">
        <v>45868.0</v>
      </c>
      <c r="C402" s="24" t="s">
        <v>216</v>
      </c>
      <c r="D402" s="24" t="s">
        <v>20</v>
      </c>
      <c r="E402" s="25" t="s">
        <v>217</v>
      </c>
      <c r="F402" s="25">
        <v>1.0</v>
      </c>
      <c r="G402" s="26">
        <v>32611.31</v>
      </c>
      <c r="I402" s="61"/>
      <c r="J402" s="62"/>
      <c r="K402" s="63"/>
      <c r="L402" s="63"/>
      <c r="M402" s="64"/>
      <c r="N402" s="65"/>
      <c r="O402" s="66"/>
      <c r="P402" s="34">
        <f t="shared" si="1"/>
        <v>0</v>
      </c>
    </row>
    <row r="403" ht="22.5" customHeight="1">
      <c r="A403" s="22" t="s">
        <v>28</v>
      </c>
      <c r="B403" s="23">
        <v>45868.0</v>
      </c>
      <c r="C403" s="24" t="s">
        <v>218</v>
      </c>
      <c r="D403" s="24" t="s">
        <v>20</v>
      </c>
      <c r="E403" s="25" t="s">
        <v>219</v>
      </c>
      <c r="F403" s="25">
        <v>1.0</v>
      </c>
      <c r="G403" s="26">
        <v>32611.31</v>
      </c>
      <c r="I403" s="61"/>
      <c r="J403" s="62"/>
      <c r="K403" s="63"/>
      <c r="L403" s="63"/>
      <c r="M403" s="64"/>
      <c r="N403" s="65"/>
      <c r="O403" s="66"/>
      <c r="P403" s="34">
        <f t="shared" si="1"/>
        <v>0</v>
      </c>
    </row>
    <row r="404" ht="22.5" customHeight="1">
      <c r="A404" s="22" t="s">
        <v>28</v>
      </c>
      <c r="B404" s="23">
        <v>45868.0</v>
      </c>
      <c r="C404" s="24" t="s">
        <v>56</v>
      </c>
      <c r="D404" s="24" t="s">
        <v>20</v>
      </c>
      <c r="E404" s="25" t="s">
        <v>211</v>
      </c>
      <c r="F404" s="25">
        <v>0.5</v>
      </c>
      <c r="G404" s="26">
        <v>16305.66</v>
      </c>
      <c r="I404" s="61"/>
      <c r="J404" s="62"/>
      <c r="K404" s="63"/>
      <c r="L404" s="63"/>
      <c r="M404" s="64"/>
      <c r="N404" s="65"/>
      <c r="O404" s="66"/>
      <c r="P404" s="34">
        <f t="shared" si="1"/>
        <v>0</v>
      </c>
    </row>
    <row r="405" ht="22.5" customHeight="1">
      <c r="A405" s="42" t="s">
        <v>47</v>
      </c>
      <c r="B405" s="43">
        <v>45868.0</v>
      </c>
      <c r="C405" s="44" t="s">
        <v>145</v>
      </c>
      <c r="D405" s="44" t="s">
        <v>20</v>
      </c>
      <c r="E405" s="45" t="s">
        <v>208</v>
      </c>
      <c r="F405" s="45">
        <v>1.0</v>
      </c>
      <c r="G405" s="46">
        <v>32611.31</v>
      </c>
      <c r="I405" s="61"/>
      <c r="J405" s="62"/>
      <c r="K405" s="63"/>
      <c r="L405" s="63"/>
      <c r="M405" s="64"/>
      <c r="N405" s="65"/>
      <c r="O405" s="66"/>
      <c r="P405" s="34">
        <f t="shared" si="1"/>
        <v>0</v>
      </c>
    </row>
    <row r="406" ht="22.5" customHeight="1">
      <c r="A406" s="42" t="s">
        <v>47</v>
      </c>
      <c r="B406" s="43">
        <v>45868.0</v>
      </c>
      <c r="C406" s="44" t="s">
        <v>216</v>
      </c>
      <c r="D406" s="44" t="s">
        <v>20</v>
      </c>
      <c r="E406" s="45" t="s">
        <v>217</v>
      </c>
      <c r="F406" s="45">
        <v>1.0</v>
      </c>
      <c r="G406" s="46">
        <v>32611.31</v>
      </c>
      <c r="I406" s="61"/>
      <c r="J406" s="62"/>
      <c r="K406" s="63"/>
      <c r="L406" s="63"/>
      <c r="M406" s="64"/>
      <c r="N406" s="65"/>
      <c r="O406" s="66"/>
      <c r="P406" s="34">
        <f t="shared" si="1"/>
        <v>0</v>
      </c>
    </row>
    <row r="407" ht="22.5" customHeight="1">
      <c r="A407" s="42" t="s">
        <v>47</v>
      </c>
      <c r="B407" s="43">
        <v>45868.0</v>
      </c>
      <c r="C407" s="44" t="s">
        <v>212</v>
      </c>
      <c r="D407" s="44" t="s">
        <v>20</v>
      </c>
      <c r="E407" s="45" t="s">
        <v>213</v>
      </c>
      <c r="F407" s="45">
        <v>0.5</v>
      </c>
      <c r="G407" s="46">
        <v>16305.66</v>
      </c>
      <c r="I407" s="61"/>
      <c r="J407" s="62"/>
      <c r="K407" s="63"/>
      <c r="L407" s="63"/>
      <c r="M407" s="64"/>
      <c r="N407" s="65"/>
      <c r="O407" s="66"/>
      <c r="P407" s="34">
        <f t="shared" si="1"/>
        <v>0</v>
      </c>
    </row>
    <row r="408" ht="22.5" customHeight="1">
      <c r="A408" s="42" t="s">
        <v>47</v>
      </c>
      <c r="B408" s="43">
        <v>45868.0</v>
      </c>
      <c r="C408" s="44" t="s">
        <v>214</v>
      </c>
      <c r="D408" s="44" t="s">
        <v>20</v>
      </c>
      <c r="E408" s="45" t="s">
        <v>215</v>
      </c>
      <c r="F408" s="45">
        <v>1.0</v>
      </c>
      <c r="G408" s="46">
        <v>32611.31</v>
      </c>
      <c r="I408" s="61"/>
      <c r="J408" s="62"/>
      <c r="K408" s="63"/>
      <c r="L408" s="63"/>
      <c r="M408" s="64"/>
      <c r="N408" s="65"/>
      <c r="O408" s="66"/>
      <c r="P408" s="34">
        <f t="shared" si="1"/>
        <v>0</v>
      </c>
    </row>
    <row r="409" ht="22.5" customHeight="1">
      <c r="A409" s="42" t="s">
        <v>47</v>
      </c>
      <c r="B409" s="43">
        <v>45868.0</v>
      </c>
      <c r="C409" s="44" t="s">
        <v>218</v>
      </c>
      <c r="D409" s="44" t="s">
        <v>20</v>
      </c>
      <c r="E409" s="45" t="s">
        <v>219</v>
      </c>
      <c r="F409" s="45">
        <v>1.0</v>
      </c>
      <c r="G409" s="46">
        <v>32611.31</v>
      </c>
      <c r="I409" s="61"/>
      <c r="J409" s="62"/>
      <c r="K409" s="63"/>
      <c r="L409" s="63"/>
      <c r="M409" s="64"/>
      <c r="N409" s="65"/>
      <c r="O409" s="66"/>
      <c r="P409" s="34">
        <f t="shared" si="1"/>
        <v>0</v>
      </c>
    </row>
    <row r="410" ht="22.5" customHeight="1">
      <c r="A410" s="22" t="s">
        <v>18</v>
      </c>
      <c r="B410" s="23">
        <v>45869.0</v>
      </c>
      <c r="C410" s="24" t="s">
        <v>91</v>
      </c>
      <c r="D410" s="24" t="s">
        <v>20</v>
      </c>
      <c r="E410" s="25" t="s">
        <v>220</v>
      </c>
      <c r="F410" s="25">
        <v>1.0</v>
      </c>
      <c r="G410" s="26">
        <v>18561.05</v>
      </c>
      <c r="I410" s="61"/>
      <c r="J410" s="62"/>
      <c r="K410" s="63"/>
      <c r="L410" s="63"/>
      <c r="M410" s="64"/>
      <c r="N410" s="65"/>
      <c r="O410" s="66"/>
      <c r="P410" s="34">
        <f t="shared" si="1"/>
        <v>0</v>
      </c>
    </row>
    <row r="411" ht="22.5" customHeight="1">
      <c r="A411" s="22" t="s">
        <v>18</v>
      </c>
      <c r="B411" s="23">
        <v>45869.0</v>
      </c>
      <c r="C411" s="24" t="s">
        <v>72</v>
      </c>
      <c r="D411" s="24" t="s">
        <v>20</v>
      </c>
      <c r="E411" s="25" t="s">
        <v>221</v>
      </c>
      <c r="F411" s="25">
        <v>1.0</v>
      </c>
      <c r="G411" s="26">
        <v>18561.05</v>
      </c>
      <c r="I411" s="61"/>
      <c r="J411" s="62"/>
      <c r="K411" s="63"/>
      <c r="L411" s="63"/>
      <c r="M411" s="64"/>
      <c r="N411" s="65"/>
      <c r="O411" s="66"/>
      <c r="P411" s="34">
        <f t="shared" si="1"/>
        <v>0</v>
      </c>
    </row>
    <row r="412" ht="22.5" customHeight="1">
      <c r="A412" s="42" t="s">
        <v>23</v>
      </c>
      <c r="B412" s="43">
        <v>45869.0</v>
      </c>
      <c r="C412" s="44" t="s">
        <v>91</v>
      </c>
      <c r="D412" s="44" t="s">
        <v>20</v>
      </c>
      <c r="E412" s="45" t="s">
        <v>220</v>
      </c>
      <c r="F412" s="45">
        <v>1.0</v>
      </c>
      <c r="G412" s="46">
        <v>18561.05</v>
      </c>
      <c r="I412" s="61"/>
      <c r="J412" s="62"/>
      <c r="K412" s="63"/>
      <c r="L412" s="63"/>
      <c r="M412" s="64"/>
      <c r="N412" s="65"/>
      <c r="O412" s="66"/>
      <c r="P412" s="34">
        <f t="shared" si="1"/>
        <v>0</v>
      </c>
    </row>
    <row r="413" ht="22.5" customHeight="1">
      <c r="A413" s="42" t="s">
        <v>23</v>
      </c>
      <c r="B413" s="43">
        <v>45869.0</v>
      </c>
      <c r="C413" s="44" t="s">
        <v>72</v>
      </c>
      <c r="D413" s="44" t="s">
        <v>20</v>
      </c>
      <c r="E413" s="45" t="s">
        <v>221</v>
      </c>
      <c r="F413" s="45">
        <v>1.0</v>
      </c>
      <c r="G413" s="46">
        <v>18561.05</v>
      </c>
      <c r="I413" s="61"/>
      <c r="J413" s="62"/>
      <c r="K413" s="63"/>
      <c r="L413" s="63"/>
      <c r="M413" s="64"/>
      <c r="N413" s="65"/>
      <c r="O413" s="66"/>
      <c r="P413" s="34">
        <f t="shared" si="1"/>
        <v>0</v>
      </c>
    </row>
    <row r="414" ht="22.5" customHeight="1">
      <c r="A414" s="22" t="s">
        <v>25</v>
      </c>
      <c r="B414" s="23">
        <v>45869.0</v>
      </c>
      <c r="C414" s="24" t="s">
        <v>101</v>
      </c>
      <c r="D414" s="24" t="s">
        <v>20</v>
      </c>
      <c r="E414" s="25" t="s">
        <v>222</v>
      </c>
      <c r="F414" s="25">
        <v>1.0</v>
      </c>
      <c r="G414" s="26">
        <v>45657.74</v>
      </c>
      <c r="I414" s="61"/>
      <c r="J414" s="62"/>
      <c r="K414" s="63"/>
      <c r="L414" s="63"/>
      <c r="M414" s="64"/>
      <c r="N414" s="65"/>
      <c r="O414" s="66"/>
      <c r="P414" s="34">
        <f t="shared" si="1"/>
        <v>0</v>
      </c>
    </row>
    <row r="415" ht="22.5" customHeight="1">
      <c r="A415" s="42" t="s">
        <v>40</v>
      </c>
      <c r="B415" s="43">
        <v>45869.0</v>
      </c>
      <c r="C415" s="44" t="s">
        <v>101</v>
      </c>
      <c r="D415" s="44" t="s">
        <v>20</v>
      </c>
      <c r="E415" s="45" t="s">
        <v>222</v>
      </c>
      <c r="F415" s="45">
        <v>0.5</v>
      </c>
      <c r="G415" s="46">
        <v>22828.87</v>
      </c>
      <c r="I415" s="61"/>
      <c r="J415" s="62"/>
      <c r="K415" s="63"/>
      <c r="L415" s="63"/>
      <c r="M415" s="64"/>
      <c r="N415" s="65"/>
      <c r="O415" s="66"/>
      <c r="P415" s="34">
        <f t="shared" si="1"/>
        <v>0</v>
      </c>
    </row>
    <row r="416" ht="22.5" customHeight="1">
      <c r="A416" s="22" t="s">
        <v>27</v>
      </c>
      <c r="B416" s="23">
        <v>45869.0</v>
      </c>
      <c r="C416" s="24" t="s">
        <v>91</v>
      </c>
      <c r="D416" s="24" t="s">
        <v>20</v>
      </c>
      <c r="E416" s="25" t="s">
        <v>220</v>
      </c>
      <c r="F416" s="25">
        <v>1.0</v>
      </c>
      <c r="G416" s="26">
        <v>40037.11</v>
      </c>
      <c r="I416" s="61"/>
      <c r="J416" s="62"/>
      <c r="K416" s="63"/>
      <c r="L416" s="63"/>
      <c r="M416" s="64"/>
      <c r="N416" s="65"/>
      <c r="O416" s="66"/>
      <c r="P416" s="34">
        <f t="shared" si="1"/>
        <v>0</v>
      </c>
    </row>
    <row r="417" ht="22.5" customHeight="1">
      <c r="A417" s="22" t="s">
        <v>27</v>
      </c>
      <c r="B417" s="23">
        <v>45869.0</v>
      </c>
      <c r="C417" s="24" t="s">
        <v>72</v>
      </c>
      <c r="D417" s="24" t="s">
        <v>20</v>
      </c>
      <c r="E417" s="25" t="s">
        <v>221</v>
      </c>
      <c r="F417" s="25">
        <v>1.0</v>
      </c>
      <c r="G417" s="26">
        <v>40037.11</v>
      </c>
      <c r="I417" s="61"/>
      <c r="J417" s="62"/>
      <c r="K417" s="63"/>
      <c r="L417" s="63"/>
      <c r="M417" s="64"/>
      <c r="N417" s="65"/>
      <c r="O417" s="66"/>
      <c r="P417" s="34">
        <f t="shared" si="1"/>
        <v>0</v>
      </c>
    </row>
    <row r="418" ht="22.5" customHeight="1">
      <c r="A418" s="22" t="s">
        <v>31</v>
      </c>
      <c r="B418" s="23">
        <v>45869.0</v>
      </c>
      <c r="C418" s="24" t="s">
        <v>91</v>
      </c>
      <c r="D418" s="24" t="s">
        <v>20</v>
      </c>
      <c r="E418" s="25" t="s">
        <v>220</v>
      </c>
      <c r="F418" s="25">
        <v>1.0</v>
      </c>
      <c r="G418" s="26">
        <v>40037.11</v>
      </c>
      <c r="I418" s="61"/>
      <c r="J418" s="62"/>
      <c r="K418" s="63"/>
      <c r="L418" s="63"/>
      <c r="M418" s="64"/>
      <c r="N418" s="65"/>
      <c r="O418" s="66"/>
      <c r="P418" s="34">
        <f t="shared" si="1"/>
        <v>0</v>
      </c>
    </row>
    <row r="419" ht="22.5" customHeight="1">
      <c r="A419" s="22" t="s">
        <v>31</v>
      </c>
      <c r="B419" s="23">
        <v>45869.0</v>
      </c>
      <c r="C419" s="24" t="s">
        <v>72</v>
      </c>
      <c r="D419" s="24" t="s">
        <v>20</v>
      </c>
      <c r="E419" s="25" t="s">
        <v>221</v>
      </c>
      <c r="F419" s="25">
        <v>1.0</v>
      </c>
      <c r="G419" s="26">
        <v>40037.11</v>
      </c>
      <c r="I419" s="61"/>
      <c r="J419" s="62"/>
      <c r="K419" s="63"/>
      <c r="L419" s="63"/>
      <c r="M419" s="64"/>
      <c r="N419" s="65"/>
      <c r="O419" s="66"/>
      <c r="P419" s="34">
        <f t="shared" si="1"/>
        <v>0</v>
      </c>
    </row>
    <row r="420" ht="22.5" customHeight="1">
      <c r="A420" s="22" t="s">
        <v>28</v>
      </c>
      <c r="B420" s="23">
        <v>45869.0</v>
      </c>
      <c r="C420" s="24" t="s">
        <v>83</v>
      </c>
      <c r="D420" s="24" t="s">
        <v>20</v>
      </c>
      <c r="E420" s="25" t="s">
        <v>223</v>
      </c>
      <c r="F420" s="25">
        <v>1.0</v>
      </c>
      <c r="G420" s="26">
        <v>30336.1</v>
      </c>
      <c r="I420" s="61"/>
      <c r="J420" s="62"/>
      <c r="K420" s="63"/>
      <c r="L420" s="63"/>
      <c r="M420" s="64"/>
      <c r="N420" s="65"/>
      <c r="O420" s="66"/>
      <c r="P420" s="34">
        <f t="shared" si="1"/>
        <v>0</v>
      </c>
    </row>
    <row r="421" ht="22.5" customHeight="1">
      <c r="A421" s="22" t="s">
        <v>28</v>
      </c>
      <c r="B421" s="23">
        <v>45869.0</v>
      </c>
      <c r="C421" s="24" t="s">
        <v>91</v>
      </c>
      <c r="D421" s="24" t="s">
        <v>20</v>
      </c>
      <c r="E421" s="25" t="s">
        <v>220</v>
      </c>
      <c r="F421" s="25">
        <v>1.0</v>
      </c>
      <c r="G421" s="26">
        <v>30336.1</v>
      </c>
      <c r="I421" s="61"/>
      <c r="J421" s="62"/>
      <c r="K421" s="63"/>
      <c r="L421" s="63"/>
      <c r="M421" s="64"/>
      <c r="N421" s="65"/>
      <c r="O421" s="66"/>
      <c r="P421" s="34">
        <f t="shared" si="1"/>
        <v>0</v>
      </c>
    </row>
    <row r="422" ht="22.5" customHeight="1">
      <c r="A422" s="22" t="s">
        <v>28</v>
      </c>
      <c r="B422" s="23">
        <v>45869.0</v>
      </c>
      <c r="C422" s="24" t="s">
        <v>101</v>
      </c>
      <c r="D422" s="24" t="s">
        <v>20</v>
      </c>
      <c r="E422" s="25" t="s">
        <v>222</v>
      </c>
      <c r="F422" s="25">
        <v>0.5</v>
      </c>
      <c r="G422" s="26">
        <v>15168.05</v>
      </c>
      <c r="I422" s="61"/>
      <c r="J422" s="62"/>
      <c r="K422" s="63"/>
      <c r="L422" s="63"/>
      <c r="M422" s="64"/>
      <c r="N422" s="65"/>
      <c r="O422" s="66"/>
      <c r="P422" s="34">
        <f t="shared" si="1"/>
        <v>0</v>
      </c>
    </row>
    <row r="423" ht="22.5" customHeight="1">
      <c r="A423" s="22" t="s">
        <v>28</v>
      </c>
      <c r="B423" s="23">
        <v>45869.0</v>
      </c>
      <c r="C423" s="24" t="s">
        <v>118</v>
      </c>
      <c r="D423" s="24" t="s">
        <v>20</v>
      </c>
      <c r="E423" s="25" t="s">
        <v>224</v>
      </c>
      <c r="F423" s="25">
        <v>1.0</v>
      </c>
      <c r="G423" s="26">
        <v>30336.1</v>
      </c>
      <c r="I423" s="61"/>
      <c r="J423" s="62"/>
      <c r="K423" s="63"/>
      <c r="L423" s="63"/>
      <c r="M423" s="64"/>
      <c r="N423" s="65"/>
      <c r="O423" s="66"/>
      <c r="P423" s="34">
        <f t="shared" si="1"/>
        <v>0</v>
      </c>
    </row>
    <row r="424" ht="22.5" customHeight="1">
      <c r="A424" s="22" t="s">
        <v>28</v>
      </c>
      <c r="B424" s="23">
        <v>45869.0</v>
      </c>
      <c r="C424" s="24" t="s">
        <v>72</v>
      </c>
      <c r="D424" s="24" t="s">
        <v>20</v>
      </c>
      <c r="E424" s="25" t="s">
        <v>221</v>
      </c>
      <c r="F424" s="25">
        <v>1.0</v>
      </c>
      <c r="G424" s="26">
        <v>30336.1</v>
      </c>
      <c r="I424" s="61"/>
      <c r="J424" s="62"/>
      <c r="K424" s="63"/>
      <c r="L424" s="63"/>
      <c r="M424" s="64"/>
      <c r="N424" s="65"/>
      <c r="O424" s="66"/>
      <c r="P424" s="34">
        <f t="shared" si="1"/>
        <v>0</v>
      </c>
    </row>
    <row r="425" ht="22.5" customHeight="1">
      <c r="A425" s="42" t="s">
        <v>47</v>
      </c>
      <c r="B425" s="43">
        <v>45869.0</v>
      </c>
      <c r="C425" s="44" t="s">
        <v>83</v>
      </c>
      <c r="D425" s="44" t="s">
        <v>20</v>
      </c>
      <c r="E425" s="45" t="s">
        <v>223</v>
      </c>
      <c r="F425" s="45">
        <v>0.5</v>
      </c>
      <c r="G425" s="46">
        <v>15168.05</v>
      </c>
      <c r="I425" s="61"/>
      <c r="J425" s="62"/>
      <c r="K425" s="63"/>
      <c r="L425" s="63"/>
      <c r="M425" s="64"/>
      <c r="N425" s="65"/>
      <c r="O425" s="66"/>
      <c r="P425" s="34">
        <f t="shared" si="1"/>
        <v>0</v>
      </c>
    </row>
    <row r="426" ht="22.5" customHeight="1">
      <c r="A426" s="42" t="s">
        <v>47</v>
      </c>
      <c r="B426" s="43">
        <v>45869.0</v>
      </c>
      <c r="C426" s="44" t="s">
        <v>91</v>
      </c>
      <c r="D426" s="44" t="s">
        <v>20</v>
      </c>
      <c r="E426" s="45" t="s">
        <v>220</v>
      </c>
      <c r="F426" s="45">
        <v>0.5</v>
      </c>
      <c r="G426" s="46">
        <v>15168.05</v>
      </c>
      <c r="I426" s="61"/>
      <c r="J426" s="62"/>
      <c r="K426" s="63"/>
      <c r="L426" s="63"/>
      <c r="M426" s="64"/>
      <c r="N426" s="65"/>
      <c r="O426" s="66"/>
      <c r="P426" s="34">
        <f t="shared" si="1"/>
        <v>0</v>
      </c>
    </row>
    <row r="427" ht="22.5" customHeight="1">
      <c r="A427" s="42" t="s">
        <v>47</v>
      </c>
      <c r="B427" s="43">
        <v>45869.0</v>
      </c>
      <c r="C427" s="44" t="s">
        <v>118</v>
      </c>
      <c r="D427" s="44" t="s">
        <v>20</v>
      </c>
      <c r="E427" s="45" t="s">
        <v>224</v>
      </c>
      <c r="F427" s="45">
        <v>1.0</v>
      </c>
      <c r="G427" s="46">
        <v>30336.1</v>
      </c>
      <c r="I427" s="61"/>
      <c r="J427" s="62"/>
      <c r="K427" s="63"/>
      <c r="L427" s="63"/>
      <c r="M427" s="64"/>
      <c r="N427" s="65"/>
      <c r="O427" s="66"/>
      <c r="P427" s="34">
        <f t="shared" si="1"/>
        <v>0</v>
      </c>
    </row>
    <row r="428" ht="22.5" customHeight="1">
      <c r="A428" s="42" t="s">
        <v>47</v>
      </c>
      <c r="B428" s="43">
        <v>45869.0</v>
      </c>
      <c r="C428" s="44" t="s">
        <v>72</v>
      </c>
      <c r="D428" s="44" t="s">
        <v>20</v>
      </c>
      <c r="E428" s="45" t="s">
        <v>221</v>
      </c>
      <c r="F428" s="45">
        <v>0.5</v>
      </c>
      <c r="G428" s="46">
        <v>15168.05</v>
      </c>
      <c r="I428" s="61"/>
      <c r="J428" s="62"/>
      <c r="K428" s="63"/>
      <c r="L428" s="63"/>
      <c r="M428" s="64"/>
      <c r="N428" s="65"/>
      <c r="O428" s="66"/>
      <c r="P428" s="34">
        <f t="shared" si="1"/>
        <v>0</v>
      </c>
    </row>
    <row r="429" ht="22.5" customHeight="1">
      <c r="A429" s="35"/>
      <c r="B429" s="36"/>
      <c r="C429" s="41"/>
      <c r="D429" s="37"/>
      <c r="E429" s="2"/>
      <c r="F429" s="38"/>
      <c r="G429" s="39"/>
      <c r="I429" s="61"/>
      <c r="J429" s="62"/>
      <c r="K429" s="63"/>
      <c r="L429" s="63"/>
      <c r="M429" s="64"/>
      <c r="N429" s="65"/>
      <c r="O429" s="66"/>
      <c r="P429" s="34">
        <f t="shared" si="1"/>
        <v>0</v>
      </c>
    </row>
    <row r="430" ht="22.5" customHeight="1">
      <c r="A430" s="35"/>
      <c r="B430" s="36"/>
      <c r="C430" s="41"/>
      <c r="D430" s="37"/>
      <c r="E430" s="2"/>
      <c r="F430" s="38"/>
      <c r="G430" s="39"/>
      <c r="I430" s="61"/>
      <c r="J430" s="62"/>
      <c r="K430" s="63"/>
      <c r="L430" s="63"/>
      <c r="M430" s="64"/>
      <c r="N430" s="65"/>
      <c r="O430" s="66"/>
      <c r="P430" s="34">
        <f t="shared" si="1"/>
        <v>0</v>
      </c>
    </row>
    <row r="431" ht="22.5" customHeight="1">
      <c r="A431" s="35"/>
      <c r="B431" s="36"/>
      <c r="C431" s="41"/>
      <c r="D431" s="37"/>
      <c r="E431" s="2"/>
      <c r="F431" s="38"/>
      <c r="G431" s="39"/>
      <c r="I431" s="61"/>
      <c r="J431" s="62"/>
      <c r="K431" s="63"/>
      <c r="L431" s="63"/>
      <c r="M431" s="64"/>
      <c r="N431" s="65"/>
      <c r="O431" s="66"/>
      <c r="P431" s="34">
        <f t="shared" si="1"/>
        <v>0</v>
      </c>
    </row>
    <row r="432" ht="22.5" customHeight="1">
      <c r="A432" s="35"/>
      <c r="B432" s="36"/>
      <c r="C432" s="41"/>
      <c r="D432" s="37"/>
      <c r="E432" s="2"/>
      <c r="F432" s="38"/>
      <c r="G432" s="39"/>
      <c r="I432" s="61"/>
      <c r="J432" s="62"/>
      <c r="K432" s="63"/>
      <c r="L432" s="63"/>
      <c r="M432" s="64"/>
      <c r="N432" s="65"/>
      <c r="O432" s="66"/>
      <c r="P432" s="34">
        <f t="shared" si="1"/>
        <v>0</v>
      </c>
    </row>
    <row r="433" ht="22.5" customHeight="1">
      <c r="A433" s="35"/>
      <c r="B433" s="36"/>
      <c r="C433" s="37"/>
      <c r="D433" s="37"/>
      <c r="E433" s="2"/>
      <c r="F433" s="38"/>
      <c r="G433" s="39"/>
      <c r="I433" s="61"/>
      <c r="J433" s="62"/>
      <c r="K433" s="63"/>
      <c r="L433" s="63"/>
      <c r="M433" s="64"/>
      <c r="N433" s="65"/>
      <c r="O433" s="66"/>
      <c r="P433" s="34">
        <f t="shared" si="1"/>
        <v>0</v>
      </c>
    </row>
    <row r="434" ht="22.5" customHeight="1">
      <c r="A434" s="35"/>
      <c r="B434" s="36"/>
      <c r="C434" s="41"/>
      <c r="D434" s="37"/>
      <c r="E434" s="2"/>
      <c r="F434" s="38"/>
      <c r="G434" s="39"/>
      <c r="I434" s="61"/>
      <c r="J434" s="62"/>
      <c r="K434" s="63"/>
      <c r="L434" s="63"/>
      <c r="M434" s="64"/>
      <c r="N434" s="65"/>
      <c r="O434" s="66"/>
      <c r="P434" s="34">
        <f t="shared" si="1"/>
        <v>0</v>
      </c>
    </row>
    <row r="435" ht="22.5" customHeight="1">
      <c r="A435" s="35"/>
      <c r="B435" s="36"/>
      <c r="C435" s="41"/>
      <c r="D435" s="37"/>
      <c r="E435" s="2"/>
      <c r="F435" s="38"/>
      <c r="G435" s="39"/>
      <c r="I435" s="61"/>
      <c r="J435" s="62"/>
      <c r="K435" s="63"/>
      <c r="L435" s="63"/>
      <c r="M435" s="64"/>
      <c r="N435" s="65"/>
      <c r="O435" s="66"/>
      <c r="P435" s="34">
        <f t="shared" si="1"/>
        <v>0</v>
      </c>
    </row>
    <row r="436" ht="22.5" customHeight="1">
      <c r="A436" s="35"/>
      <c r="B436" s="36"/>
      <c r="C436" s="41"/>
      <c r="D436" s="37"/>
      <c r="E436" s="2"/>
      <c r="F436" s="38"/>
      <c r="G436" s="39"/>
      <c r="I436" s="61"/>
      <c r="J436" s="62"/>
      <c r="K436" s="63"/>
      <c r="L436" s="63"/>
      <c r="M436" s="64"/>
      <c r="N436" s="65"/>
      <c r="O436" s="66"/>
      <c r="P436" s="34">
        <f t="shared" si="1"/>
        <v>0</v>
      </c>
    </row>
    <row r="437" ht="22.5" customHeight="1">
      <c r="A437" s="35"/>
      <c r="B437" s="36"/>
      <c r="C437" s="41"/>
      <c r="D437" s="37"/>
      <c r="E437" s="2"/>
      <c r="F437" s="38"/>
      <c r="G437" s="39"/>
      <c r="I437" s="61"/>
      <c r="J437" s="62"/>
      <c r="K437" s="63"/>
      <c r="L437" s="63"/>
      <c r="M437" s="64"/>
      <c r="N437" s="65"/>
      <c r="O437" s="66"/>
      <c r="P437" s="34">
        <f t="shared" si="1"/>
        <v>0</v>
      </c>
    </row>
    <row r="438" ht="22.5" customHeight="1">
      <c r="A438" s="35"/>
      <c r="B438" s="36"/>
      <c r="C438" s="41"/>
      <c r="D438" s="37"/>
      <c r="E438" s="2"/>
      <c r="F438" s="38"/>
      <c r="G438" s="39"/>
      <c r="I438" s="61"/>
      <c r="J438" s="62"/>
      <c r="K438" s="63"/>
      <c r="L438" s="63"/>
      <c r="M438" s="64"/>
      <c r="N438" s="65"/>
      <c r="O438" s="66"/>
      <c r="P438" s="34">
        <f t="shared" si="1"/>
        <v>0</v>
      </c>
    </row>
    <row r="439" ht="22.5" customHeight="1">
      <c r="A439" s="35"/>
      <c r="B439" s="36"/>
      <c r="C439" s="37"/>
      <c r="D439" s="37"/>
      <c r="E439" s="2"/>
      <c r="F439" s="38"/>
      <c r="G439" s="39"/>
      <c r="I439" s="61"/>
      <c r="J439" s="62"/>
      <c r="K439" s="63"/>
      <c r="L439" s="63"/>
      <c r="M439" s="64"/>
      <c r="N439" s="65"/>
      <c r="O439" s="66"/>
      <c r="P439" s="34">
        <f t="shared" si="1"/>
        <v>0</v>
      </c>
    </row>
    <row r="440" ht="22.5" customHeight="1">
      <c r="A440" s="35"/>
      <c r="B440" s="36"/>
      <c r="C440" s="41"/>
      <c r="D440" s="37"/>
      <c r="E440" s="2"/>
      <c r="F440" s="38"/>
      <c r="G440" s="39"/>
      <c r="I440" s="61"/>
      <c r="J440" s="62"/>
      <c r="K440" s="63"/>
      <c r="L440" s="63"/>
      <c r="M440" s="64"/>
      <c r="N440" s="65"/>
      <c r="O440" s="66"/>
      <c r="P440" s="34">
        <f t="shared" si="1"/>
        <v>0</v>
      </c>
    </row>
    <row r="441" ht="22.5" customHeight="1">
      <c r="A441" s="35"/>
      <c r="B441" s="36"/>
      <c r="C441" s="41"/>
      <c r="D441" s="37"/>
      <c r="E441" s="2"/>
      <c r="F441" s="38"/>
      <c r="G441" s="39"/>
      <c r="I441" s="61"/>
      <c r="J441" s="62"/>
      <c r="K441" s="63"/>
      <c r="L441" s="63"/>
      <c r="M441" s="64"/>
      <c r="N441" s="65"/>
      <c r="O441" s="66"/>
      <c r="P441" s="34">
        <f t="shared" si="1"/>
        <v>0</v>
      </c>
    </row>
    <row r="442" ht="22.5" customHeight="1">
      <c r="A442" s="35"/>
      <c r="B442" s="36"/>
      <c r="C442" s="41"/>
      <c r="D442" s="37"/>
      <c r="E442" s="2"/>
      <c r="F442" s="38"/>
      <c r="G442" s="39"/>
      <c r="I442" s="61"/>
      <c r="J442" s="62"/>
      <c r="K442" s="63"/>
      <c r="L442" s="63"/>
      <c r="M442" s="64"/>
      <c r="N442" s="65"/>
      <c r="O442" s="66"/>
      <c r="P442" s="34">
        <f t="shared" si="1"/>
        <v>0</v>
      </c>
    </row>
    <row r="443" ht="22.5" customHeight="1">
      <c r="A443" s="35"/>
      <c r="B443" s="36"/>
      <c r="C443" s="41"/>
      <c r="D443" s="37"/>
      <c r="E443" s="2"/>
      <c r="F443" s="38"/>
      <c r="G443" s="39"/>
      <c r="I443" s="61"/>
      <c r="J443" s="62"/>
      <c r="K443" s="63"/>
      <c r="L443" s="63"/>
      <c r="M443" s="64"/>
      <c r="N443" s="65"/>
      <c r="O443" s="66"/>
      <c r="P443" s="34">
        <f t="shared" si="1"/>
        <v>0</v>
      </c>
    </row>
    <row r="444" ht="22.5" customHeight="1">
      <c r="A444" s="35"/>
      <c r="B444" s="36"/>
      <c r="C444" s="37"/>
      <c r="D444" s="37"/>
      <c r="E444" s="2"/>
      <c r="F444" s="38"/>
      <c r="G444" s="39"/>
      <c r="I444" s="61"/>
      <c r="J444" s="62"/>
      <c r="K444" s="63"/>
      <c r="L444" s="63"/>
      <c r="M444" s="64"/>
      <c r="N444" s="65"/>
      <c r="O444" s="66"/>
      <c r="P444" s="34">
        <f t="shared" si="1"/>
        <v>0</v>
      </c>
    </row>
    <row r="445" ht="22.5" customHeight="1">
      <c r="A445" s="35"/>
      <c r="B445" s="36"/>
      <c r="C445" s="37"/>
      <c r="D445" s="37"/>
      <c r="E445" s="2"/>
      <c r="F445" s="38"/>
      <c r="G445" s="39"/>
      <c r="I445" s="61"/>
      <c r="J445" s="62"/>
      <c r="K445" s="63"/>
      <c r="L445" s="63"/>
      <c r="M445" s="64"/>
      <c r="N445" s="65"/>
      <c r="O445" s="66"/>
      <c r="P445" s="34">
        <f t="shared" si="1"/>
        <v>0</v>
      </c>
    </row>
    <row r="446" ht="22.5" customHeight="1">
      <c r="A446" s="35"/>
      <c r="B446" s="36"/>
      <c r="C446" s="41"/>
      <c r="D446" s="37"/>
      <c r="E446" s="2"/>
      <c r="F446" s="38"/>
      <c r="G446" s="39"/>
      <c r="I446" s="61"/>
      <c r="J446" s="62"/>
      <c r="K446" s="63"/>
      <c r="L446" s="63"/>
      <c r="M446" s="64"/>
      <c r="N446" s="65"/>
      <c r="O446" s="66"/>
      <c r="P446" s="34">
        <f t="shared" si="1"/>
        <v>0</v>
      </c>
    </row>
    <row r="447" ht="22.5" customHeight="1">
      <c r="A447" s="35"/>
      <c r="B447" s="36"/>
      <c r="C447" s="37"/>
      <c r="D447" s="37"/>
      <c r="E447" s="2"/>
      <c r="F447" s="38"/>
      <c r="G447" s="39"/>
      <c r="I447" s="61"/>
      <c r="J447" s="62"/>
      <c r="K447" s="63"/>
      <c r="L447" s="63"/>
      <c r="M447" s="64"/>
      <c r="N447" s="65"/>
      <c r="O447" s="66"/>
      <c r="P447" s="34">
        <f t="shared" si="1"/>
        <v>0</v>
      </c>
    </row>
    <row r="448" ht="22.5" customHeight="1">
      <c r="A448" s="35"/>
      <c r="B448" s="36"/>
      <c r="C448" s="41"/>
      <c r="D448" s="37"/>
      <c r="E448" s="2"/>
      <c r="F448" s="38"/>
      <c r="G448" s="39"/>
      <c r="I448" s="61"/>
      <c r="J448" s="62"/>
      <c r="K448" s="63"/>
      <c r="L448" s="63"/>
      <c r="M448" s="64"/>
      <c r="N448" s="65"/>
      <c r="O448" s="66"/>
      <c r="P448" s="34">
        <f t="shared" si="1"/>
        <v>0</v>
      </c>
    </row>
    <row r="449" ht="22.5" customHeight="1">
      <c r="A449" s="35"/>
      <c r="B449" s="36"/>
      <c r="C449" s="41"/>
      <c r="D449" s="37"/>
      <c r="E449" s="2"/>
      <c r="F449" s="38"/>
      <c r="G449" s="39"/>
      <c r="I449" s="61"/>
      <c r="J449" s="62"/>
      <c r="K449" s="63"/>
      <c r="L449" s="63"/>
      <c r="M449" s="64"/>
      <c r="N449" s="65"/>
      <c r="O449" s="66"/>
      <c r="P449" s="34">
        <f t="shared" si="1"/>
        <v>0</v>
      </c>
    </row>
    <row r="450" ht="22.5" customHeight="1">
      <c r="A450" s="35"/>
      <c r="B450" s="36"/>
      <c r="C450" s="41"/>
      <c r="D450" s="37"/>
      <c r="E450" s="2"/>
      <c r="F450" s="38"/>
      <c r="G450" s="39"/>
      <c r="I450" s="61"/>
      <c r="J450" s="62"/>
      <c r="K450" s="63"/>
      <c r="L450" s="63"/>
      <c r="M450" s="64"/>
      <c r="N450" s="65"/>
      <c r="O450" s="66"/>
      <c r="P450" s="34">
        <f t="shared" si="1"/>
        <v>0</v>
      </c>
    </row>
    <row r="451" ht="22.5" customHeight="1">
      <c r="A451" s="35"/>
      <c r="B451" s="36"/>
      <c r="C451" s="41"/>
      <c r="D451" s="37"/>
      <c r="E451" s="2"/>
      <c r="F451" s="38"/>
      <c r="G451" s="39"/>
      <c r="I451" s="61"/>
      <c r="J451" s="62"/>
      <c r="K451" s="63"/>
      <c r="L451" s="63"/>
      <c r="M451" s="64"/>
      <c r="N451" s="65"/>
      <c r="O451" s="66"/>
      <c r="P451" s="34">
        <f t="shared" si="1"/>
        <v>0</v>
      </c>
    </row>
    <row r="452" ht="22.5" customHeight="1">
      <c r="A452" s="35"/>
      <c r="B452" s="36"/>
      <c r="C452" s="41"/>
      <c r="D452" s="37"/>
      <c r="E452" s="2"/>
      <c r="F452" s="38"/>
      <c r="G452" s="39"/>
      <c r="I452" s="61"/>
      <c r="J452" s="62"/>
      <c r="K452" s="63"/>
      <c r="L452" s="63"/>
      <c r="M452" s="64"/>
      <c r="N452" s="65"/>
      <c r="O452" s="66"/>
      <c r="P452" s="34">
        <f t="shared" si="1"/>
        <v>0</v>
      </c>
    </row>
    <row r="453" ht="22.5" customHeight="1">
      <c r="A453" s="35"/>
      <c r="B453" s="36"/>
      <c r="C453" s="41"/>
      <c r="D453" s="37"/>
      <c r="E453" s="2"/>
      <c r="F453" s="38"/>
      <c r="G453" s="39"/>
      <c r="I453" s="61"/>
      <c r="J453" s="62"/>
      <c r="K453" s="63"/>
      <c r="L453" s="63"/>
      <c r="M453" s="64"/>
      <c r="N453" s="65"/>
      <c r="O453" s="66"/>
      <c r="P453" s="34">
        <f t="shared" si="1"/>
        <v>0</v>
      </c>
    </row>
    <row r="454" ht="22.5" customHeight="1">
      <c r="A454" s="35"/>
      <c r="B454" s="36"/>
      <c r="C454" s="41"/>
      <c r="D454" s="37"/>
      <c r="E454" s="2"/>
      <c r="F454" s="38"/>
      <c r="G454" s="39"/>
      <c r="I454" s="61"/>
      <c r="J454" s="62"/>
      <c r="K454" s="63"/>
      <c r="L454" s="63"/>
      <c r="M454" s="64"/>
      <c r="N454" s="65"/>
      <c r="O454" s="66"/>
      <c r="P454" s="34">
        <f t="shared" si="1"/>
        <v>0</v>
      </c>
    </row>
    <row r="455" ht="22.5" customHeight="1">
      <c r="A455" s="35"/>
      <c r="B455" s="36"/>
      <c r="C455" s="37"/>
      <c r="D455" s="37"/>
      <c r="E455" s="2"/>
      <c r="F455" s="38"/>
      <c r="G455" s="39"/>
      <c r="I455" s="61"/>
      <c r="J455" s="62"/>
      <c r="K455" s="63"/>
      <c r="L455" s="63"/>
      <c r="M455" s="64"/>
      <c r="N455" s="65"/>
      <c r="O455" s="66"/>
      <c r="P455" s="34">
        <f t="shared" si="1"/>
        <v>0</v>
      </c>
    </row>
    <row r="456" ht="22.5" customHeight="1">
      <c r="A456" s="35"/>
      <c r="B456" s="36"/>
      <c r="C456" s="41"/>
      <c r="D456" s="37"/>
      <c r="E456" s="2"/>
      <c r="F456" s="38"/>
      <c r="G456" s="39"/>
      <c r="I456" s="61"/>
      <c r="J456" s="62"/>
      <c r="K456" s="63"/>
      <c r="L456" s="63"/>
      <c r="M456" s="64"/>
      <c r="N456" s="65"/>
      <c r="O456" s="66"/>
      <c r="P456" s="34">
        <f t="shared" si="1"/>
        <v>0</v>
      </c>
    </row>
    <row r="457" ht="22.5" customHeight="1">
      <c r="A457" s="35"/>
      <c r="B457" s="36"/>
      <c r="C457" s="41"/>
      <c r="D457" s="37"/>
      <c r="E457" s="2"/>
      <c r="F457" s="38"/>
      <c r="G457" s="39"/>
      <c r="I457" s="61"/>
      <c r="J457" s="62"/>
      <c r="K457" s="63"/>
      <c r="L457" s="63"/>
      <c r="M457" s="64"/>
      <c r="N457" s="65"/>
      <c r="O457" s="66"/>
      <c r="P457" s="34">
        <f t="shared" si="1"/>
        <v>0</v>
      </c>
    </row>
    <row r="458" ht="22.5" customHeight="1">
      <c r="A458" s="35"/>
      <c r="B458" s="36"/>
      <c r="C458" s="37"/>
      <c r="D458" s="37"/>
      <c r="E458" s="2"/>
      <c r="F458" s="38"/>
      <c r="G458" s="39"/>
      <c r="I458" s="61"/>
      <c r="J458" s="62"/>
      <c r="K458" s="63"/>
      <c r="L458" s="63"/>
      <c r="M458" s="64"/>
      <c r="N458" s="65"/>
      <c r="O458" s="66"/>
      <c r="P458" s="34">
        <f t="shared" si="1"/>
        <v>0</v>
      </c>
    </row>
    <row r="459" ht="22.5" customHeight="1">
      <c r="A459" s="35"/>
      <c r="B459" s="36"/>
      <c r="C459" s="41"/>
      <c r="D459" s="37"/>
      <c r="E459" s="2"/>
      <c r="F459" s="38"/>
      <c r="G459" s="39"/>
      <c r="I459" s="61"/>
      <c r="J459" s="62"/>
      <c r="K459" s="63"/>
      <c r="L459" s="63"/>
      <c r="M459" s="64"/>
      <c r="N459" s="65"/>
      <c r="O459" s="66"/>
      <c r="P459" s="34">
        <f t="shared" si="1"/>
        <v>0</v>
      </c>
    </row>
    <row r="460" ht="22.5" customHeight="1">
      <c r="A460" s="35"/>
      <c r="B460" s="36"/>
      <c r="C460" s="41"/>
      <c r="D460" s="37"/>
      <c r="E460" s="2"/>
      <c r="F460" s="38"/>
      <c r="G460" s="39"/>
      <c r="I460" s="61"/>
      <c r="J460" s="62"/>
      <c r="K460" s="63"/>
      <c r="L460" s="63"/>
      <c r="M460" s="64"/>
      <c r="N460" s="65"/>
      <c r="O460" s="66"/>
      <c r="P460" s="34">
        <f t="shared" si="1"/>
        <v>0</v>
      </c>
    </row>
    <row r="461" ht="22.5" customHeight="1">
      <c r="A461" s="35"/>
      <c r="B461" s="36"/>
      <c r="C461" s="37"/>
      <c r="D461" s="37"/>
      <c r="E461" s="2"/>
      <c r="F461" s="38"/>
      <c r="G461" s="39"/>
      <c r="I461" s="61"/>
      <c r="J461" s="62"/>
      <c r="K461" s="63"/>
      <c r="L461" s="63"/>
      <c r="M461" s="64"/>
      <c r="N461" s="65"/>
      <c r="O461" s="66"/>
      <c r="P461" s="34">
        <f t="shared" si="1"/>
        <v>0</v>
      </c>
    </row>
    <row r="462" ht="22.5" customHeight="1">
      <c r="A462" s="35"/>
      <c r="B462" s="36"/>
      <c r="C462" s="41"/>
      <c r="D462" s="37"/>
      <c r="E462" s="2"/>
      <c r="F462" s="38"/>
      <c r="G462" s="39"/>
      <c r="I462" s="61"/>
      <c r="J462" s="62"/>
      <c r="K462" s="63"/>
      <c r="L462" s="63"/>
      <c r="M462" s="64"/>
      <c r="N462" s="65"/>
      <c r="O462" s="66"/>
      <c r="P462" s="34">
        <f t="shared" si="1"/>
        <v>0</v>
      </c>
    </row>
    <row r="463" ht="22.5" customHeight="1">
      <c r="A463" s="35"/>
      <c r="B463" s="36"/>
      <c r="C463" s="37"/>
      <c r="D463" s="37"/>
      <c r="E463" s="2"/>
      <c r="F463" s="38"/>
      <c r="G463" s="39"/>
      <c r="I463" s="61"/>
      <c r="J463" s="62"/>
      <c r="K463" s="63"/>
      <c r="L463" s="63"/>
      <c r="M463" s="64"/>
      <c r="N463" s="65"/>
      <c r="O463" s="66"/>
      <c r="P463" s="34">
        <f t="shared" si="1"/>
        <v>0</v>
      </c>
    </row>
    <row r="464" ht="22.5" customHeight="1">
      <c r="A464" s="35"/>
      <c r="B464" s="36"/>
      <c r="C464" s="37"/>
      <c r="D464" s="37"/>
      <c r="E464" s="2"/>
      <c r="F464" s="38"/>
      <c r="G464" s="39"/>
      <c r="I464" s="61"/>
      <c r="J464" s="62"/>
      <c r="K464" s="63"/>
      <c r="L464" s="63"/>
      <c r="M464" s="64"/>
      <c r="N464" s="65"/>
      <c r="O464" s="66"/>
      <c r="P464" s="34">
        <f t="shared" si="1"/>
        <v>0</v>
      </c>
    </row>
    <row r="465" ht="22.5" customHeight="1">
      <c r="A465" s="35"/>
      <c r="B465" s="36"/>
      <c r="C465" s="37"/>
      <c r="D465" s="37"/>
      <c r="E465" s="2"/>
      <c r="F465" s="38"/>
      <c r="G465" s="39"/>
      <c r="I465" s="61"/>
      <c r="J465" s="62"/>
      <c r="K465" s="63"/>
      <c r="L465" s="63"/>
      <c r="M465" s="64"/>
      <c r="N465" s="65"/>
      <c r="O465" s="66"/>
      <c r="P465" s="34">
        <f t="shared" si="1"/>
        <v>0</v>
      </c>
    </row>
    <row r="466" ht="22.5" customHeight="1">
      <c r="A466" s="35"/>
      <c r="B466" s="36"/>
      <c r="C466" s="37"/>
      <c r="D466" s="37"/>
      <c r="E466" s="2"/>
      <c r="F466" s="38"/>
      <c r="G466" s="39"/>
      <c r="I466" s="61"/>
      <c r="J466" s="62"/>
      <c r="K466" s="63"/>
      <c r="L466" s="63"/>
      <c r="M466" s="64"/>
      <c r="N466" s="65"/>
      <c r="O466" s="66"/>
      <c r="P466" s="34">
        <f t="shared" si="1"/>
        <v>0</v>
      </c>
    </row>
    <row r="467" ht="22.5" customHeight="1">
      <c r="A467" s="35"/>
      <c r="B467" s="36"/>
      <c r="C467" s="37"/>
      <c r="D467" s="37"/>
      <c r="E467" s="2"/>
      <c r="F467" s="38"/>
      <c r="G467" s="39"/>
      <c r="I467" s="61"/>
      <c r="J467" s="62"/>
      <c r="K467" s="63"/>
      <c r="L467" s="63"/>
      <c r="M467" s="64"/>
      <c r="N467" s="65"/>
      <c r="O467" s="66"/>
      <c r="P467" s="34">
        <f t="shared" si="1"/>
        <v>0</v>
      </c>
    </row>
    <row r="468" ht="22.5" customHeight="1">
      <c r="A468" s="35"/>
      <c r="B468" s="36"/>
      <c r="C468" s="37"/>
      <c r="D468" s="37"/>
      <c r="E468" s="2"/>
      <c r="F468" s="38"/>
      <c r="G468" s="39"/>
      <c r="I468" s="61"/>
      <c r="J468" s="62"/>
      <c r="K468" s="63"/>
      <c r="L468" s="63"/>
      <c r="M468" s="64"/>
      <c r="N468" s="65"/>
      <c r="O468" s="66"/>
      <c r="P468" s="34">
        <f t="shared" si="1"/>
        <v>0</v>
      </c>
    </row>
    <row r="469" ht="22.5" customHeight="1">
      <c r="A469" s="35"/>
      <c r="B469" s="36"/>
      <c r="C469" s="37"/>
      <c r="D469" s="37"/>
      <c r="E469" s="2"/>
      <c r="F469" s="38"/>
      <c r="G469" s="39"/>
      <c r="I469" s="61"/>
      <c r="J469" s="62"/>
      <c r="K469" s="63"/>
      <c r="L469" s="63"/>
      <c r="M469" s="64"/>
      <c r="N469" s="65"/>
      <c r="O469" s="66"/>
      <c r="P469" s="34">
        <f t="shared" si="1"/>
        <v>0</v>
      </c>
    </row>
    <row r="470" ht="22.5" customHeight="1">
      <c r="A470" s="35"/>
      <c r="B470" s="36"/>
      <c r="C470" s="37"/>
      <c r="D470" s="37"/>
      <c r="E470" s="2"/>
      <c r="F470" s="38"/>
      <c r="G470" s="39"/>
      <c r="I470" s="61"/>
      <c r="J470" s="62"/>
      <c r="K470" s="63"/>
      <c r="L470" s="63"/>
      <c r="M470" s="64"/>
      <c r="N470" s="65"/>
      <c r="O470" s="66"/>
      <c r="P470" s="34">
        <f t="shared" si="1"/>
        <v>0</v>
      </c>
    </row>
    <row r="471" ht="22.5" customHeight="1">
      <c r="A471" s="35"/>
      <c r="B471" s="36"/>
      <c r="C471" s="37"/>
      <c r="D471" s="37"/>
      <c r="E471" s="2"/>
      <c r="F471" s="38"/>
      <c r="G471" s="39"/>
      <c r="I471" s="61"/>
      <c r="J471" s="62"/>
      <c r="K471" s="63"/>
      <c r="L471" s="63"/>
      <c r="M471" s="64"/>
      <c r="N471" s="65"/>
      <c r="O471" s="66"/>
      <c r="P471" s="34">
        <f t="shared" si="1"/>
        <v>0</v>
      </c>
    </row>
    <row r="472" ht="22.5" customHeight="1">
      <c r="A472" s="35"/>
      <c r="B472" s="36"/>
      <c r="C472" s="37"/>
      <c r="D472" s="37"/>
      <c r="E472" s="2"/>
      <c r="F472" s="38"/>
      <c r="G472" s="39"/>
      <c r="I472" s="61"/>
      <c r="J472" s="62"/>
      <c r="K472" s="63"/>
      <c r="L472" s="63"/>
      <c r="M472" s="64"/>
      <c r="N472" s="65"/>
      <c r="O472" s="66"/>
      <c r="P472" s="34">
        <f t="shared" si="1"/>
        <v>0</v>
      </c>
    </row>
    <row r="473" ht="22.5" customHeight="1">
      <c r="A473" s="35"/>
      <c r="B473" s="36"/>
      <c r="C473" s="41"/>
      <c r="D473" s="37"/>
      <c r="E473" s="2"/>
      <c r="F473" s="38"/>
      <c r="G473" s="39"/>
      <c r="I473" s="61"/>
      <c r="J473" s="62"/>
      <c r="K473" s="63"/>
      <c r="L473" s="63"/>
      <c r="M473" s="64"/>
      <c r="N473" s="65"/>
      <c r="O473" s="66"/>
      <c r="P473" s="34">
        <f t="shared" si="1"/>
        <v>0</v>
      </c>
    </row>
    <row r="474" ht="22.5" customHeight="1">
      <c r="A474" s="35"/>
      <c r="B474" s="36"/>
      <c r="C474" s="37"/>
      <c r="D474" s="37"/>
      <c r="E474" s="2"/>
      <c r="F474" s="38"/>
      <c r="G474" s="39"/>
      <c r="I474" s="61"/>
      <c r="J474" s="62"/>
      <c r="K474" s="63"/>
      <c r="L474" s="63"/>
      <c r="M474" s="64"/>
      <c r="N474" s="65"/>
      <c r="O474" s="66"/>
      <c r="P474" s="34">
        <f t="shared" si="1"/>
        <v>0</v>
      </c>
    </row>
    <row r="475" ht="22.5" customHeight="1">
      <c r="A475" s="35"/>
      <c r="B475" s="36"/>
      <c r="C475" s="37"/>
      <c r="D475" s="37"/>
      <c r="E475" s="2"/>
      <c r="F475" s="38"/>
      <c r="G475" s="39"/>
      <c r="I475" s="61"/>
      <c r="J475" s="62"/>
      <c r="K475" s="63"/>
      <c r="L475" s="63"/>
      <c r="M475" s="64"/>
      <c r="N475" s="65"/>
      <c r="O475" s="66"/>
      <c r="P475" s="34">
        <f t="shared" si="1"/>
        <v>0</v>
      </c>
    </row>
    <row r="476" ht="22.5" customHeight="1">
      <c r="A476" s="35"/>
      <c r="B476" s="36"/>
      <c r="C476" s="41"/>
      <c r="D476" s="37"/>
      <c r="E476" s="2"/>
      <c r="F476" s="38"/>
      <c r="G476" s="39"/>
      <c r="I476" s="61"/>
      <c r="J476" s="62"/>
      <c r="K476" s="63"/>
      <c r="L476" s="63"/>
      <c r="M476" s="64"/>
      <c r="N476" s="65"/>
      <c r="O476" s="66"/>
      <c r="P476" s="34">
        <f t="shared" si="1"/>
        <v>0</v>
      </c>
    </row>
    <row r="477" ht="22.5" customHeight="1">
      <c r="A477" s="35"/>
      <c r="B477" s="36"/>
      <c r="C477" s="41"/>
      <c r="D477" s="37"/>
      <c r="E477" s="2"/>
      <c r="F477" s="38"/>
      <c r="G477" s="39"/>
      <c r="I477" s="61"/>
      <c r="J477" s="62"/>
      <c r="K477" s="63"/>
      <c r="L477" s="63"/>
      <c r="M477" s="64"/>
      <c r="N477" s="65"/>
      <c r="O477" s="66"/>
      <c r="P477" s="34">
        <f t="shared" si="1"/>
        <v>0</v>
      </c>
    </row>
    <row r="478" ht="22.5" customHeight="1">
      <c r="A478" s="35"/>
      <c r="B478" s="36"/>
      <c r="C478" s="41"/>
      <c r="D478" s="37"/>
      <c r="E478" s="2"/>
      <c r="F478" s="38"/>
      <c r="G478" s="39"/>
      <c r="I478" s="61"/>
      <c r="J478" s="62"/>
      <c r="K478" s="63"/>
      <c r="L478" s="63"/>
      <c r="M478" s="64"/>
      <c r="N478" s="65"/>
      <c r="O478" s="66"/>
      <c r="P478" s="34">
        <f t="shared" si="1"/>
        <v>0</v>
      </c>
    </row>
    <row r="479" ht="22.5" customHeight="1">
      <c r="A479" s="35"/>
      <c r="B479" s="36"/>
      <c r="C479" s="41"/>
      <c r="D479" s="37"/>
      <c r="E479" s="2"/>
      <c r="F479" s="38"/>
      <c r="G479" s="39"/>
      <c r="I479" s="61"/>
      <c r="J479" s="62"/>
      <c r="K479" s="63"/>
      <c r="L479" s="63"/>
      <c r="M479" s="64"/>
      <c r="N479" s="65"/>
      <c r="O479" s="66"/>
      <c r="P479" s="34">
        <f t="shared" si="1"/>
        <v>0</v>
      </c>
    </row>
    <row r="480" ht="22.5" customHeight="1">
      <c r="A480" s="35"/>
      <c r="B480" s="36"/>
      <c r="C480" s="41"/>
      <c r="D480" s="37"/>
      <c r="E480" s="2"/>
      <c r="F480" s="38"/>
      <c r="G480" s="39"/>
      <c r="I480" s="61"/>
      <c r="J480" s="62"/>
      <c r="K480" s="63"/>
      <c r="L480" s="63"/>
      <c r="M480" s="64"/>
      <c r="N480" s="65"/>
      <c r="O480" s="66"/>
      <c r="P480" s="34">
        <f t="shared" si="1"/>
        <v>0</v>
      </c>
    </row>
    <row r="481" ht="22.5" customHeight="1">
      <c r="A481" s="35"/>
      <c r="B481" s="36"/>
      <c r="C481" s="41"/>
      <c r="D481" s="37"/>
      <c r="E481" s="2"/>
      <c r="F481" s="38"/>
      <c r="G481" s="39"/>
      <c r="I481" s="61"/>
      <c r="J481" s="62"/>
      <c r="K481" s="63"/>
      <c r="L481" s="63"/>
      <c r="M481" s="64"/>
      <c r="N481" s="65"/>
      <c r="O481" s="66"/>
      <c r="P481" s="34">
        <f t="shared" si="1"/>
        <v>0</v>
      </c>
    </row>
    <row r="482" ht="22.5" customHeight="1">
      <c r="A482" s="35"/>
      <c r="B482" s="36"/>
      <c r="C482" s="41"/>
      <c r="D482" s="37"/>
      <c r="E482" s="2"/>
      <c r="F482" s="38"/>
      <c r="G482" s="39"/>
      <c r="I482" s="61"/>
      <c r="J482" s="62"/>
      <c r="K482" s="63"/>
      <c r="L482" s="63"/>
      <c r="M482" s="64"/>
      <c r="N482" s="65"/>
      <c r="O482" s="66"/>
      <c r="P482" s="34">
        <f t="shared" si="1"/>
        <v>0</v>
      </c>
    </row>
    <row r="483" ht="22.5" customHeight="1">
      <c r="A483" s="35"/>
      <c r="B483" s="36"/>
      <c r="C483" s="41"/>
      <c r="D483" s="37"/>
      <c r="E483" s="2"/>
      <c r="F483" s="38"/>
      <c r="G483" s="39"/>
      <c r="I483" s="61"/>
      <c r="J483" s="62"/>
      <c r="K483" s="63"/>
      <c r="L483" s="63"/>
      <c r="M483" s="64"/>
      <c r="N483" s="65"/>
      <c r="O483" s="66"/>
      <c r="P483" s="34">
        <f t="shared" si="1"/>
        <v>0</v>
      </c>
    </row>
    <row r="484" ht="22.5" customHeight="1">
      <c r="A484" s="35"/>
      <c r="B484" s="36"/>
      <c r="C484" s="37"/>
      <c r="D484" s="37"/>
      <c r="E484" s="2"/>
      <c r="F484" s="38"/>
      <c r="G484" s="39"/>
      <c r="I484" s="61"/>
      <c r="J484" s="62"/>
      <c r="K484" s="63"/>
      <c r="L484" s="63"/>
      <c r="M484" s="64"/>
      <c r="N484" s="65"/>
      <c r="O484" s="66"/>
      <c r="P484" s="34">
        <f t="shared" si="1"/>
        <v>0</v>
      </c>
    </row>
    <row r="485" ht="22.5" customHeight="1">
      <c r="A485" s="35"/>
      <c r="B485" s="36"/>
      <c r="C485" s="41"/>
      <c r="D485" s="37"/>
      <c r="E485" s="2"/>
      <c r="F485" s="38"/>
      <c r="G485" s="39"/>
      <c r="I485" s="61"/>
      <c r="J485" s="62"/>
      <c r="K485" s="63"/>
      <c r="L485" s="63"/>
      <c r="M485" s="64"/>
      <c r="N485" s="65"/>
      <c r="O485" s="66"/>
      <c r="P485" s="34">
        <f t="shared" si="1"/>
        <v>0</v>
      </c>
    </row>
    <row r="486" ht="22.5" customHeight="1">
      <c r="A486" s="35"/>
      <c r="B486" s="36"/>
      <c r="C486" s="37"/>
      <c r="D486" s="37"/>
      <c r="E486" s="2"/>
      <c r="F486" s="38"/>
      <c r="G486" s="39"/>
      <c r="I486" s="61"/>
      <c r="J486" s="62"/>
      <c r="K486" s="63"/>
      <c r="L486" s="63"/>
      <c r="M486" s="64"/>
      <c r="N486" s="65"/>
      <c r="O486" s="66"/>
      <c r="P486" s="34">
        <f t="shared" si="1"/>
        <v>0</v>
      </c>
    </row>
    <row r="487" ht="22.5" customHeight="1">
      <c r="A487" s="35"/>
      <c r="B487" s="36"/>
      <c r="C487" s="41"/>
      <c r="D487" s="37"/>
      <c r="E487" s="2"/>
      <c r="F487" s="38"/>
      <c r="G487" s="39"/>
      <c r="I487" s="61"/>
      <c r="J487" s="62"/>
      <c r="K487" s="63"/>
      <c r="L487" s="63"/>
      <c r="M487" s="64"/>
      <c r="N487" s="65"/>
      <c r="O487" s="66"/>
      <c r="P487" s="34">
        <f t="shared" si="1"/>
        <v>0</v>
      </c>
    </row>
    <row r="488" ht="22.5" customHeight="1">
      <c r="A488" s="35"/>
      <c r="B488" s="36"/>
      <c r="C488" s="41"/>
      <c r="D488" s="37"/>
      <c r="E488" s="2"/>
      <c r="F488" s="38"/>
      <c r="G488" s="39"/>
      <c r="I488" s="61"/>
      <c r="J488" s="62"/>
      <c r="K488" s="63"/>
      <c r="L488" s="63"/>
      <c r="M488" s="64"/>
      <c r="N488" s="65"/>
      <c r="O488" s="66"/>
      <c r="P488" s="34">
        <f t="shared" si="1"/>
        <v>0</v>
      </c>
    </row>
    <row r="489" ht="22.5" customHeight="1">
      <c r="A489" s="35"/>
      <c r="B489" s="36"/>
      <c r="C489" s="37"/>
      <c r="D489" s="37"/>
      <c r="E489" s="2"/>
      <c r="F489" s="38"/>
      <c r="G489" s="39"/>
      <c r="I489" s="61"/>
      <c r="J489" s="62"/>
      <c r="K489" s="63"/>
      <c r="L489" s="63"/>
      <c r="M489" s="64"/>
      <c r="N489" s="65"/>
      <c r="O489" s="66"/>
      <c r="P489" s="34">
        <f t="shared" si="1"/>
        <v>0</v>
      </c>
    </row>
    <row r="490" ht="22.5" customHeight="1">
      <c r="A490" s="35"/>
      <c r="B490" s="36"/>
      <c r="C490" s="41"/>
      <c r="D490" s="37"/>
      <c r="E490" s="2"/>
      <c r="F490" s="38"/>
      <c r="G490" s="39"/>
      <c r="I490" s="61"/>
      <c r="J490" s="62"/>
      <c r="K490" s="63"/>
      <c r="L490" s="63"/>
      <c r="M490" s="64"/>
      <c r="N490" s="65"/>
      <c r="O490" s="66"/>
      <c r="P490" s="34">
        <f t="shared" si="1"/>
        <v>0</v>
      </c>
    </row>
    <row r="491" ht="22.5" customHeight="1">
      <c r="A491" s="35"/>
      <c r="B491" s="36"/>
      <c r="C491" s="37"/>
      <c r="D491" s="37"/>
      <c r="E491" s="2"/>
      <c r="F491" s="38"/>
      <c r="G491" s="39"/>
      <c r="I491" s="61"/>
      <c r="J491" s="62"/>
      <c r="K491" s="63"/>
      <c r="L491" s="63"/>
      <c r="M491" s="64"/>
      <c r="N491" s="65"/>
      <c r="O491" s="66"/>
      <c r="P491" s="34">
        <f t="shared" si="1"/>
        <v>0</v>
      </c>
    </row>
    <row r="492" ht="22.5" customHeight="1">
      <c r="A492" s="35"/>
      <c r="B492" s="36"/>
      <c r="C492" s="41"/>
      <c r="D492" s="37"/>
      <c r="E492" s="2"/>
      <c r="F492" s="38"/>
      <c r="G492" s="39"/>
      <c r="I492" s="61"/>
      <c r="J492" s="62"/>
      <c r="K492" s="63"/>
      <c r="L492" s="63"/>
      <c r="M492" s="64"/>
      <c r="N492" s="65"/>
      <c r="O492" s="66"/>
      <c r="P492" s="34">
        <f t="shared" si="1"/>
        <v>0</v>
      </c>
    </row>
    <row r="493" ht="22.5" customHeight="1">
      <c r="A493" s="35"/>
      <c r="B493" s="36"/>
      <c r="C493" s="41"/>
      <c r="D493" s="37"/>
      <c r="E493" s="2"/>
      <c r="F493" s="38"/>
      <c r="G493" s="39"/>
      <c r="I493" s="61"/>
      <c r="J493" s="62"/>
      <c r="K493" s="63"/>
      <c r="L493" s="63"/>
      <c r="M493" s="64"/>
      <c r="N493" s="65"/>
      <c r="O493" s="66"/>
      <c r="P493" s="34">
        <f t="shared" si="1"/>
        <v>0</v>
      </c>
    </row>
    <row r="494" ht="22.5" customHeight="1">
      <c r="A494" s="35"/>
      <c r="B494" s="36"/>
      <c r="C494" s="41"/>
      <c r="D494" s="37"/>
      <c r="E494" s="2"/>
      <c r="F494" s="38"/>
      <c r="G494" s="39"/>
      <c r="I494" s="61"/>
      <c r="J494" s="62"/>
      <c r="K494" s="63"/>
      <c r="L494" s="63"/>
      <c r="M494" s="64"/>
      <c r="N494" s="65"/>
      <c r="O494" s="66"/>
      <c r="P494" s="34">
        <f t="shared" si="1"/>
        <v>0</v>
      </c>
    </row>
    <row r="495" ht="22.5" customHeight="1">
      <c r="A495" s="35"/>
      <c r="B495" s="36"/>
      <c r="C495" s="41"/>
      <c r="D495" s="37"/>
      <c r="E495" s="2"/>
      <c r="F495" s="38"/>
      <c r="G495" s="39"/>
      <c r="I495" s="61"/>
      <c r="J495" s="62"/>
      <c r="K495" s="63"/>
      <c r="L495" s="63"/>
      <c r="M495" s="64"/>
      <c r="N495" s="65"/>
      <c r="O495" s="66"/>
      <c r="P495" s="34">
        <f t="shared" si="1"/>
        <v>0</v>
      </c>
    </row>
    <row r="496" ht="22.5" customHeight="1">
      <c r="A496" s="35"/>
      <c r="B496" s="36"/>
      <c r="C496" s="37"/>
      <c r="D496" s="37"/>
      <c r="E496" s="2"/>
      <c r="F496" s="38"/>
      <c r="G496" s="39"/>
      <c r="I496" s="61"/>
      <c r="J496" s="62"/>
      <c r="K496" s="63"/>
      <c r="L496" s="63"/>
      <c r="M496" s="64"/>
      <c r="N496" s="65"/>
      <c r="O496" s="66"/>
      <c r="P496" s="34">
        <f t="shared" si="1"/>
        <v>0</v>
      </c>
    </row>
    <row r="497" ht="22.5" customHeight="1">
      <c r="A497" s="35"/>
      <c r="B497" s="36"/>
      <c r="C497" s="37"/>
      <c r="D497" s="37"/>
      <c r="E497" s="2"/>
      <c r="F497" s="38"/>
      <c r="G497" s="39"/>
      <c r="I497" s="61"/>
      <c r="J497" s="62"/>
      <c r="K497" s="63"/>
      <c r="L497" s="63"/>
      <c r="M497" s="64"/>
      <c r="N497" s="65"/>
      <c r="O497" s="66"/>
      <c r="P497" s="34">
        <f t="shared" si="1"/>
        <v>0</v>
      </c>
    </row>
    <row r="498" ht="22.5" customHeight="1">
      <c r="A498" s="35"/>
      <c r="B498" s="36"/>
      <c r="C498" s="41"/>
      <c r="D498" s="37"/>
      <c r="E498" s="2"/>
      <c r="F498" s="38"/>
      <c r="G498" s="39"/>
      <c r="I498" s="61"/>
      <c r="J498" s="62"/>
      <c r="K498" s="63"/>
      <c r="L498" s="63"/>
      <c r="M498" s="64"/>
      <c r="N498" s="65"/>
      <c r="O498" s="66"/>
      <c r="P498" s="34">
        <f t="shared" si="1"/>
        <v>0</v>
      </c>
    </row>
    <row r="499" ht="22.5" customHeight="1">
      <c r="A499" s="35"/>
      <c r="B499" s="36"/>
      <c r="C499" s="41"/>
      <c r="D499" s="37"/>
      <c r="E499" s="2"/>
      <c r="F499" s="38"/>
      <c r="G499" s="39"/>
      <c r="I499" s="61"/>
      <c r="J499" s="62"/>
      <c r="K499" s="63"/>
      <c r="L499" s="63"/>
      <c r="M499" s="64"/>
      <c r="N499" s="65"/>
      <c r="O499" s="66"/>
      <c r="P499" s="34">
        <f t="shared" si="1"/>
        <v>0</v>
      </c>
    </row>
    <row r="500" ht="22.5" customHeight="1">
      <c r="A500" s="35"/>
      <c r="B500" s="36"/>
      <c r="C500" s="41"/>
      <c r="D500" s="37"/>
      <c r="E500" s="2"/>
      <c r="F500" s="38"/>
      <c r="G500" s="39"/>
      <c r="I500" s="61"/>
      <c r="J500" s="62"/>
      <c r="K500" s="63"/>
      <c r="L500" s="63"/>
      <c r="M500" s="64"/>
      <c r="N500" s="65"/>
      <c r="O500" s="66"/>
      <c r="P500" s="34">
        <f t="shared" si="1"/>
        <v>0</v>
      </c>
    </row>
    <row r="501" ht="22.5" customHeight="1">
      <c r="A501" s="35"/>
      <c r="B501" s="36"/>
      <c r="C501" s="41"/>
      <c r="D501" s="37"/>
      <c r="E501" s="2"/>
      <c r="F501" s="38"/>
      <c r="G501" s="39"/>
      <c r="I501" s="61"/>
      <c r="J501" s="62"/>
      <c r="K501" s="63"/>
      <c r="L501" s="63"/>
      <c r="M501" s="64"/>
      <c r="N501" s="65"/>
      <c r="O501" s="66"/>
      <c r="P501" s="34">
        <f t="shared" si="1"/>
        <v>0</v>
      </c>
    </row>
    <row r="502" ht="22.5" customHeight="1">
      <c r="A502" s="35"/>
      <c r="B502" s="36"/>
      <c r="C502" s="41"/>
      <c r="D502" s="37"/>
      <c r="E502" s="2"/>
      <c r="F502" s="38"/>
      <c r="G502" s="39"/>
      <c r="I502" s="61"/>
      <c r="J502" s="62"/>
      <c r="K502" s="63"/>
      <c r="L502" s="63"/>
      <c r="M502" s="64"/>
      <c r="N502" s="65"/>
      <c r="O502" s="66"/>
      <c r="P502" s="34">
        <f t="shared" si="1"/>
        <v>0</v>
      </c>
    </row>
    <row r="503" ht="22.5" customHeight="1">
      <c r="A503" s="35"/>
      <c r="B503" s="36"/>
      <c r="C503" s="37"/>
      <c r="D503" s="37"/>
      <c r="E503" s="2"/>
      <c r="F503" s="38"/>
      <c r="G503" s="39"/>
      <c r="I503" s="61"/>
      <c r="J503" s="62"/>
      <c r="K503" s="63"/>
      <c r="L503" s="63"/>
      <c r="M503" s="64"/>
      <c r="N503" s="65"/>
      <c r="O503" s="66"/>
      <c r="P503" s="34">
        <f t="shared" si="1"/>
        <v>0</v>
      </c>
    </row>
    <row r="504" ht="22.5" customHeight="1">
      <c r="A504" s="35"/>
      <c r="B504" s="36"/>
      <c r="C504" s="37"/>
      <c r="D504" s="37"/>
      <c r="E504" s="2"/>
      <c r="F504" s="38"/>
      <c r="G504" s="39"/>
      <c r="I504" s="61"/>
      <c r="J504" s="62"/>
      <c r="K504" s="63"/>
      <c r="L504" s="63"/>
      <c r="M504" s="64"/>
      <c r="N504" s="65"/>
      <c r="O504" s="66"/>
      <c r="P504" s="34">
        <f t="shared" si="1"/>
        <v>0</v>
      </c>
    </row>
    <row r="505" ht="22.5" customHeight="1">
      <c r="A505" s="35"/>
      <c r="B505" s="36"/>
      <c r="C505" s="41"/>
      <c r="D505" s="37"/>
      <c r="E505" s="2"/>
      <c r="F505" s="38"/>
      <c r="G505" s="39"/>
      <c r="I505" s="61"/>
      <c r="J505" s="62"/>
      <c r="K505" s="63"/>
      <c r="L505" s="63"/>
      <c r="M505" s="64"/>
      <c r="N505" s="65"/>
      <c r="O505" s="66"/>
      <c r="P505" s="34">
        <f t="shared" si="1"/>
        <v>0</v>
      </c>
    </row>
    <row r="506" ht="22.5" customHeight="1">
      <c r="A506" s="35"/>
      <c r="B506" s="36"/>
      <c r="C506" s="41"/>
      <c r="D506" s="37"/>
      <c r="E506" s="2"/>
      <c r="F506" s="38"/>
      <c r="G506" s="39"/>
      <c r="I506" s="61"/>
      <c r="J506" s="62"/>
      <c r="K506" s="63"/>
      <c r="L506" s="63"/>
      <c r="M506" s="64"/>
      <c r="N506" s="65"/>
      <c r="O506" s="66"/>
      <c r="P506" s="34">
        <f t="shared" si="1"/>
        <v>0</v>
      </c>
    </row>
    <row r="507" ht="22.5" customHeight="1">
      <c r="A507" s="35"/>
      <c r="B507" s="36"/>
      <c r="C507" s="37"/>
      <c r="D507" s="37"/>
      <c r="E507" s="2"/>
      <c r="F507" s="38"/>
      <c r="G507" s="39"/>
      <c r="I507" s="61"/>
      <c r="J507" s="62"/>
      <c r="K507" s="63"/>
      <c r="L507" s="63"/>
      <c r="M507" s="64"/>
      <c r="N507" s="65"/>
      <c r="O507" s="66"/>
      <c r="P507" s="34">
        <f t="shared" si="1"/>
        <v>0</v>
      </c>
    </row>
    <row r="508" ht="22.5" customHeight="1">
      <c r="A508" s="35"/>
      <c r="B508" s="36"/>
      <c r="C508" s="41"/>
      <c r="D508" s="37"/>
      <c r="E508" s="2"/>
      <c r="F508" s="38"/>
      <c r="G508" s="39"/>
      <c r="I508" s="61"/>
      <c r="J508" s="62"/>
      <c r="K508" s="63"/>
      <c r="L508" s="63"/>
      <c r="M508" s="64"/>
      <c r="N508" s="65"/>
      <c r="O508" s="66"/>
      <c r="P508" s="34">
        <f t="shared" si="1"/>
        <v>0</v>
      </c>
    </row>
    <row r="509" ht="22.5" customHeight="1">
      <c r="A509" s="35"/>
      <c r="B509" s="36"/>
      <c r="C509" s="41"/>
      <c r="D509" s="37"/>
      <c r="E509" s="2"/>
      <c r="F509" s="38"/>
      <c r="G509" s="39"/>
      <c r="I509" s="61"/>
      <c r="J509" s="62"/>
      <c r="K509" s="63"/>
      <c r="L509" s="63"/>
      <c r="M509" s="64"/>
      <c r="N509" s="65"/>
      <c r="O509" s="66"/>
      <c r="P509" s="34">
        <f t="shared" si="1"/>
        <v>0</v>
      </c>
    </row>
    <row r="510" ht="22.5" customHeight="1">
      <c r="A510" s="35"/>
      <c r="B510" s="36"/>
      <c r="C510" s="37"/>
      <c r="D510" s="37"/>
      <c r="E510" s="2"/>
      <c r="F510" s="38"/>
      <c r="G510" s="39"/>
      <c r="I510" s="61"/>
      <c r="J510" s="62"/>
      <c r="K510" s="63"/>
      <c r="L510" s="63"/>
      <c r="M510" s="64"/>
      <c r="N510" s="65"/>
      <c r="O510" s="66"/>
      <c r="P510" s="34">
        <f t="shared" si="1"/>
        <v>0</v>
      </c>
    </row>
    <row r="511" ht="22.5" customHeight="1">
      <c r="A511" s="35"/>
      <c r="B511" s="36"/>
      <c r="C511" s="41"/>
      <c r="D511" s="37"/>
      <c r="E511" s="2"/>
      <c r="F511" s="38"/>
      <c r="G511" s="39"/>
      <c r="I511" s="61"/>
      <c r="J511" s="62"/>
      <c r="K511" s="63"/>
      <c r="L511" s="63"/>
      <c r="M511" s="64"/>
      <c r="N511" s="65"/>
      <c r="O511" s="66"/>
      <c r="P511" s="34">
        <f t="shared" si="1"/>
        <v>0</v>
      </c>
    </row>
    <row r="512" ht="22.5" customHeight="1">
      <c r="A512" s="35"/>
      <c r="B512" s="36"/>
      <c r="C512" s="37"/>
      <c r="D512" s="37"/>
      <c r="E512" s="2"/>
      <c r="F512" s="38"/>
      <c r="G512" s="39"/>
      <c r="I512" s="61"/>
      <c r="J512" s="62"/>
      <c r="K512" s="63"/>
      <c r="L512" s="63"/>
      <c r="M512" s="64"/>
      <c r="N512" s="65"/>
      <c r="O512" s="66"/>
      <c r="P512" s="34">
        <f t="shared" si="1"/>
        <v>0</v>
      </c>
    </row>
    <row r="513" ht="22.5" customHeight="1">
      <c r="A513" s="35"/>
      <c r="B513" s="36"/>
      <c r="C513" s="37"/>
      <c r="D513" s="37"/>
      <c r="E513" s="2"/>
      <c r="F513" s="38"/>
      <c r="G513" s="39"/>
      <c r="I513" s="61"/>
      <c r="J513" s="62"/>
      <c r="K513" s="63"/>
      <c r="L513" s="63"/>
      <c r="M513" s="64"/>
      <c r="N513" s="65"/>
      <c r="O513" s="66"/>
      <c r="P513" s="34">
        <f t="shared" si="1"/>
        <v>0</v>
      </c>
    </row>
    <row r="514" ht="22.5" customHeight="1">
      <c r="A514" s="35"/>
      <c r="B514" s="36"/>
      <c r="C514" s="41"/>
      <c r="D514" s="37"/>
      <c r="E514" s="2"/>
      <c r="F514" s="38"/>
      <c r="G514" s="39"/>
      <c r="I514" s="61"/>
      <c r="J514" s="62"/>
      <c r="K514" s="63"/>
      <c r="L514" s="63"/>
      <c r="M514" s="64"/>
      <c r="N514" s="65"/>
      <c r="O514" s="66"/>
      <c r="P514" s="34">
        <f t="shared" si="1"/>
        <v>0</v>
      </c>
    </row>
    <row r="515" ht="22.5" customHeight="1">
      <c r="A515" s="35"/>
      <c r="B515" s="36"/>
      <c r="C515" s="41"/>
      <c r="D515" s="37"/>
      <c r="E515" s="2"/>
      <c r="F515" s="38"/>
      <c r="G515" s="39"/>
      <c r="I515" s="61"/>
      <c r="J515" s="62"/>
      <c r="K515" s="63"/>
      <c r="L515" s="63"/>
      <c r="M515" s="64"/>
      <c r="N515" s="65"/>
      <c r="O515" s="66"/>
      <c r="P515" s="34">
        <f t="shared" si="1"/>
        <v>0</v>
      </c>
    </row>
    <row r="516" ht="22.5" customHeight="1">
      <c r="A516" s="35"/>
      <c r="B516" s="36"/>
      <c r="C516" s="41"/>
      <c r="D516" s="37"/>
      <c r="E516" s="2"/>
      <c r="F516" s="38"/>
      <c r="G516" s="39"/>
      <c r="I516" s="61"/>
      <c r="J516" s="62"/>
      <c r="K516" s="63"/>
      <c r="L516" s="63"/>
      <c r="M516" s="64"/>
      <c r="N516" s="65"/>
      <c r="O516" s="66"/>
      <c r="P516" s="34">
        <f t="shared" si="1"/>
        <v>0</v>
      </c>
    </row>
    <row r="517" ht="22.5" customHeight="1">
      <c r="A517" s="35"/>
      <c r="B517" s="36"/>
      <c r="C517" s="41"/>
      <c r="D517" s="37"/>
      <c r="E517" s="2"/>
      <c r="F517" s="38"/>
      <c r="G517" s="39"/>
      <c r="I517" s="61"/>
      <c r="J517" s="62"/>
      <c r="K517" s="63"/>
      <c r="L517" s="63"/>
      <c r="M517" s="64"/>
      <c r="N517" s="65"/>
      <c r="O517" s="66"/>
      <c r="P517" s="34">
        <f t="shared" si="1"/>
        <v>0</v>
      </c>
    </row>
    <row r="518" ht="22.5" customHeight="1">
      <c r="A518" s="35"/>
      <c r="B518" s="36"/>
      <c r="C518" s="41"/>
      <c r="D518" s="37"/>
      <c r="E518" s="2"/>
      <c r="F518" s="38"/>
      <c r="G518" s="39"/>
      <c r="I518" s="61"/>
      <c r="J518" s="62"/>
      <c r="K518" s="63"/>
      <c r="L518" s="63"/>
      <c r="M518" s="64"/>
      <c r="N518" s="65"/>
      <c r="O518" s="66"/>
      <c r="P518" s="34">
        <f t="shared" si="1"/>
        <v>0</v>
      </c>
    </row>
    <row r="519" ht="22.5" customHeight="1">
      <c r="A519" s="35"/>
      <c r="B519" s="36"/>
      <c r="C519" s="37"/>
      <c r="D519" s="37"/>
      <c r="E519" s="2"/>
      <c r="F519" s="38"/>
      <c r="G519" s="39"/>
      <c r="I519" s="61"/>
      <c r="J519" s="62"/>
      <c r="K519" s="63"/>
      <c r="L519" s="63"/>
      <c r="M519" s="64"/>
      <c r="N519" s="65"/>
      <c r="O519" s="66"/>
      <c r="P519" s="34">
        <f t="shared" ref="P519:P1003" si="2">sumif(K:K,K519,O:O)</f>
        <v>0</v>
      </c>
    </row>
    <row r="520" ht="22.5" customHeight="1">
      <c r="A520" s="35"/>
      <c r="B520" s="36"/>
      <c r="C520" s="37"/>
      <c r="D520" s="37"/>
      <c r="E520" s="2"/>
      <c r="F520" s="38"/>
      <c r="G520" s="39"/>
      <c r="I520" s="61"/>
      <c r="J520" s="62"/>
      <c r="K520" s="63"/>
      <c r="L520" s="63"/>
      <c r="M520" s="64"/>
      <c r="N520" s="65"/>
      <c r="O520" s="66"/>
      <c r="P520" s="34">
        <f t="shared" si="2"/>
        <v>0</v>
      </c>
    </row>
    <row r="521" ht="22.5" customHeight="1">
      <c r="A521" s="35"/>
      <c r="B521" s="36"/>
      <c r="C521" s="41"/>
      <c r="D521" s="37"/>
      <c r="E521" s="2"/>
      <c r="F521" s="38"/>
      <c r="G521" s="39"/>
      <c r="I521" s="61"/>
      <c r="J521" s="62"/>
      <c r="K521" s="63"/>
      <c r="L521" s="63"/>
      <c r="M521" s="64"/>
      <c r="N521" s="65"/>
      <c r="O521" s="66"/>
      <c r="P521" s="34">
        <f t="shared" si="2"/>
        <v>0</v>
      </c>
    </row>
    <row r="522" ht="22.5" customHeight="1">
      <c r="A522" s="35"/>
      <c r="B522" s="36"/>
      <c r="C522" s="41"/>
      <c r="D522" s="37"/>
      <c r="E522" s="2"/>
      <c r="F522" s="38"/>
      <c r="G522" s="39"/>
      <c r="I522" s="61"/>
      <c r="J522" s="62"/>
      <c r="K522" s="63"/>
      <c r="L522" s="63"/>
      <c r="M522" s="64"/>
      <c r="N522" s="65"/>
      <c r="O522" s="66"/>
      <c r="P522" s="34">
        <f t="shared" si="2"/>
        <v>0</v>
      </c>
    </row>
    <row r="523" ht="22.5" customHeight="1">
      <c r="A523" s="35"/>
      <c r="B523" s="36"/>
      <c r="C523" s="41"/>
      <c r="D523" s="37"/>
      <c r="E523" s="2"/>
      <c r="F523" s="38"/>
      <c r="G523" s="39"/>
      <c r="I523" s="61"/>
      <c r="J523" s="62"/>
      <c r="K523" s="63"/>
      <c r="L523" s="63"/>
      <c r="M523" s="64"/>
      <c r="N523" s="65"/>
      <c r="O523" s="66"/>
      <c r="P523" s="34">
        <f t="shared" si="2"/>
        <v>0</v>
      </c>
    </row>
    <row r="524" ht="22.5" customHeight="1">
      <c r="A524" s="35"/>
      <c r="B524" s="36"/>
      <c r="C524" s="41"/>
      <c r="D524" s="37"/>
      <c r="E524" s="2"/>
      <c r="F524" s="38"/>
      <c r="G524" s="39"/>
      <c r="I524" s="61"/>
      <c r="J524" s="62"/>
      <c r="K524" s="63"/>
      <c r="L524" s="63"/>
      <c r="M524" s="64"/>
      <c r="N524" s="65"/>
      <c r="O524" s="66"/>
      <c r="P524" s="34">
        <f t="shared" si="2"/>
        <v>0</v>
      </c>
    </row>
    <row r="525" ht="22.5" customHeight="1">
      <c r="A525" s="35"/>
      <c r="B525" s="36"/>
      <c r="C525" s="41"/>
      <c r="D525" s="37"/>
      <c r="E525" s="2"/>
      <c r="F525" s="38"/>
      <c r="G525" s="39"/>
      <c r="I525" s="61"/>
      <c r="J525" s="62"/>
      <c r="K525" s="63"/>
      <c r="L525" s="63"/>
      <c r="M525" s="64"/>
      <c r="N525" s="65"/>
      <c r="O525" s="66"/>
      <c r="P525" s="34">
        <f t="shared" si="2"/>
        <v>0</v>
      </c>
    </row>
    <row r="526" ht="22.5" customHeight="1">
      <c r="A526" s="35"/>
      <c r="B526" s="36"/>
      <c r="C526" s="37"/>
      <c r="D526" s="37"/>
      <c r="E526" s="2"/>
      <c r="F526" s="38"/>
      <c r="G526" s="39"/>
      <c r="I526" s="61"/>
      <c r="J526" s="62"/>
      <c r="K526" s="63"/>
      <c r="L526" s="63"/>
      <c r="M526" s="64"/>
      <c r="N526" s="65"/>
      <c r="O526" s="66"/>
      <c r="P526" s="34">
        <f t="shared" si="2"/>
        <v>0</v>
      </c>
    </row>
    <row r="527" ht="22.5" customHeight="1">
      <c r="A527" s="35"/>
      <c r="B527" s="36"/>
      <c r="C527" s="41"/>
      <c r="D527" s="37"/>
      <c r="E527" s="2"/>
      <c r="F527" s="38"/>
      <c r="G527" s="39"/>
      <c r="I527" s="61"/>
      <c r="J527" s="62"/>
      <c r="K527" s="63"/>
      <c r="L527" s="63"/>
      <c r="M527" s="64"/>
      <c r="N527" s="65"/>
      <c r="O527" s="66"/>
      <c r="P527" s="34">
        <f t="shared" si="2"/>
        <v>0</v>
      </c>
    </row>
    <row r="528" ht="22.5" customHeight="1">
      <c r="A528" s="35"/>
      <c r="B528" s="36"/>
      <c r="C528" s="37"/>
      <c r="D528" s="37"/>
      <c r="E528" s="2"/>
      <c r="F528" s="38"/>
      <c r="G528" s="39"/>
      <c r="I528" s="61"/>
      <c r="J528" s="62"/>
      <c r="K528" s="63"/>
      <c r="L528" s="63"/>
      <c r="M528" s="64"/>
      <c r="N528" s="65"/>
      <c r="O528" s="66"/>
      <c r="P528" s="34">
        <f t="shared" si="2"/>
        <v>0</v>
      </c>
    </row>
    <row r="529" ht="22.5" customHeight="1">
      <c r="A529" s="35"/>
      <c r="B529" s="36"/>
      <c r="C529" s="37"/>
      <c r="D529" s="37"/>
      <c r="E529" s="2"/>
      <c r="F529" s="38"/>
      <c r="G529" s="39"/>
      <c r="I529" s="61"/>
      <c r="J529" s="62"/>
      <c r="K529" s="63"/>
      <c r="L529" s="63"/>
      <c r="M529" s="64"/>
      <c r="N529" s="65"/>
      <c r="O529" s="66"/>
      <c r="P529" s="34">
        <f t="shared" si="2"/>
        <v>0</v>
      </c>
    </row>
    <row r="530" ht="22.5" customHeight="1">
      <c r="A530" s="35"/>
      <c r="B530" s="36"/>
      <c r="C530" s="41"/>
      <c r="D530" s="37"/>
      <c r="E530" s="2"/>
      <c r="F530" s="38"/>
      <c r="G530" s="39"/>
      <c r="I530" s="61"/>
      <c r="J530" s="62"/>
      <c r="K530" s="63"/>
      <c r="L530" s="63"/>
      <c r="M530" s="64"/>
      <c r="N530" s="65"/>
      <c r="O530" s="66"/>
      <c r="P530" s="34">
        <f t="shared" si="2"/>
        <v>0</v>
      </c>
    </row>
    <row r="531" ht="22.5" customHeight="1">
      <c r="A531" s="35"/>
      <c r="B531" s="36"/>
      <c r="C531" s="37"/>
      <c r="D531" s="37"/>
      <c r="E531" s="2"/>
      <c r="F531" s="38"/>
      <c r="G531" s="39"/>
      <c r="I531" s="61"/>
      <c r="J531" s="62"/>
      <c r="K531" s="63"/>
      <c r="L531" s="63"/>
      <c r="M531" s="64"/>
      <c r="N531" s="65"/>
      <c r="O531" s="66"/>
      <c r="P531" s="34">
        <f t="shared" si="2"/>
        <v>0</v>
      </c>
    </row>
    <row r="532" ht="22.5" customHeight="1">
      <c r="A532" s="35"/>
      <c r="B532" s="36"/>
      <c r="C532" s="41"/>
      <c r="D532" s="37"/>
      <c r="E532" s="2"/>
      <c r="F532" s="38"/>
      <c r="G532" s="39"/>
      <c r="I532" s="61"/>
      <c r="J532" s="62"/>
      <c r="K532" s="63"/>
      <c r="L532" s="63"/>
      <c r="M532" s="64"/>
      <c r="N532" s="65"/>
      <c r="O532" s="66"/>
      <c r="P532" s="34">
        <f t="shared" si="2"/>
        <v>0</v>
      </c>
    </row>
    <row r="533" ht="22.5" customHeight="1">
      <c r="A533" s="35"/>
      <c r="B533" s="36"/>
      <c r="C533" s="41"/>
      <c r="D533" s="37"/>
      <c r="E533" s="2"/>
      <c r="F533" s="38"/>
      <c r="G533" s="39"/>
      <c r="I533" s="61"/>
      <c r="J533" s="62"/>
      <c r="K533" s="63"/>
      <c r="L533" s="63"/>
      <c r="M533" s="64"/>
      <c r="N533" s="65"/>
      <c r="O533" s="66"/>
      <c r="P533" s="34">
        <f t="shared" si="2"/>
        <v>0</v>
      </c>
    </row>
    <row r="534" ht="22.5" customHeight="1">
      <c r="A534" s="35"/>
      <c r="B534" s="36"/>
      <c r="C534" s="41"/>
      <c r="D534" s="37"/>
      <c r="E534" s="2"/>
      <c r="F534" s="38"/>
      <c r="G534" s="39"/>
      <c r="I534" s="61"/>
      <c r="J534" s="62"/>
      <c r="K534" s="63"/>
      <c r="L534" s="63"/>
      <c r="M534" s="64"/>
      <c r="N534" s="65"/>
      <c r="O534" s="66"/>
      <c r="P534" s="34">
        <f t="shared" si="2"/>
        <v>0</v>
      </c>
    </row>
    <row r="535" ht="22.5" customHeight="1">
      <c r="A535" s="35"/>
      <c r="B535" s="36"/>
      <c r="C535" s="41"/>
      <c r="D535" s="37"/>
      <c r="E535" s="2"/>
      <c r="F535" s="38"/>
      <c r="G535" s="39"/>
      <c r="I535" s="61"/>
      <c r="J535" s="62"/>
      <c r="K535" s="63"/>
      <c r="L535" s="63"/>
      <c r="M535" s="64"/>
      <c r="N535" s="65"/>
      <c r="O535" s="66"/>
      <c r="P535" s="34">
        <f t="shared" si="2"/>
        <v>0</v>
      </c>
    </row>
    <row r="536" ht="22.5" customHeight="1">
      <c r="A536" s="35"/>
      <c r="B536" s="36"/>
      <c r="C536" s="37"/>
      <c r="D536" s="37"/>
      <c r="E536" s="2"/>
      <c r="F536" s="38"/>
      <c r="G536" s="39"/>
      <c r="I536" s="61"/>
      <c r="J536" s="62"/>
      <c r="K536" s="63"/>
      <c r="L536" s="63"/>
      <c r="M536" s="64"/>
      <c r="N536" s="65"/>
      <c r="O536" s="66"/>
      <c r="P536" s="34">
        <f t="shared" si="2"/>
        <v>0</v>
      </c>
    </row>
    <row r="537" ht="22.5" customHeight="1">
      <c r="A537" s="35"/>
      <c r="B537" s="36"/>
      <c r="C537" s="41"/>
      <c r="D537" s="37"/>
      <c r="E537" s="2"/>
      <c r="F537" s="38"/>
      <c r="G537" s="39"/>
      <c r="I537" s="61"/>
      <c r="J537" s="62"/>
      <c r="K537" s="63"/>
      <c r="L537" s="63"/>
      <c r="M537" s="64"/>
      <c r="N537" s="65"/>
      <c r="O537" s="66"/>
      <c r="P537" s="34">
        <f t="shared" si="2"/>
        <v>0</v>
      </c>
    </row>
    <row r="538" ht="22.5" customHeight="1">
      <c r="A538" s="35"/>
      <c r="B538" s="36"/>
      <c r="C538" s="41"/>
      <c r="D538" s="37"/>
      <c r="E538" s="2"/>
      <c r="F538" s="38"/>
      <c r="G538" s="39"/>
      <c r="I538" s="61"/>
      <c r="J538" s="62"/>
      <c r="K538" s="63"/>
      <c r="L538" s="63"/>
      <c r="M538" s="64"/>
      <c r="N538" s="65"/>
      <c r="O538" s="66"/>
      <c r="P538" s="34">
        <f t="shared" si="2"/>
        <v>0</v>
      </c>
    </row>
    <row r="539" ht="22.5" customHeight="1">
      <c r="A539" s="35"/>
      <c r="B539" s="36"/>
      <c r="C539" s="41"/>
      <c r="D539" s="37"/>
      <c r="E539" s="2"/>
      <c r="F539" s="38"/>
      <c r="G539" s="39"/>
      <c r="I539" s="61"/>
      <c r="J539" s="62"/>
      <c r="K539" s="63"/>
      <c r="L539" s="63"/>
      <c r="M539" s="64"/>
      <c r="N539" s="65"/>
      <c r="O539" s="66"/>
      <c r="P539" s="34">
        <f t="shared" si="2"/>
        <v>0</v>
      </c>
    </row>
    <row r="540" ht="22.5" customHeight="1">
      <c r="A540" s="35"/>
      <c r="B540" s="36"/>
      <c r="C540" s="37"/>
      <c r="D540" s="37"/>
      <c r="E540" s="2"/>
      <c r="F540" s="38"/>
      <c r="G540" s="39"/>
      <c r="I540" s="61"/>
      <c r="J540" s="62"/>
      <c r="K540" s="63"/>
      <c r="L540" s="63"/>
      <c r="M540" s="64"/>
      <c r="N540" s="65"/>
      <c r="O540" s="66"/>
      <c r="P540" s="34">
        <f t="shared" si="2"/>
        <v>0</v>
      </c>
    </row>
    <row r="541" ht="22.5" customHeight="1">
      <c r="A541" s="35"/>
      <c r="B541" s="36"/>
      <c r="C541" s="41"/>
      <c r="D541" s="37"/>
      <c r="E541" s="2"/>
      <c r="F541" s="38"/>
      <c r="G541" s="39"/>
      <c r="I541" s="61"/>
      <c r="J541" s="62"/>
      <c r="K541" s="63"/>
      <c r="L541" s="63"/>
      <c r="M541" s="64"/>
      <c r="N541" s="65"/>
      <c r="O541" s="66"/>
      <c r="P541" s="34">
        <f t="shared" si="2"/>
        <v>0</v>
      </c>
    </row>
    <row r="542" ht="22.5" customHeight="1">
      <c r="A542" s="35"/>
      <c r="B542" s="36"/>
      <c r="C542" s="37"/>
      <c r="D542" s="37"/>
      <c r="E542" s="2"/>
      <c r="F542" s="38"/>
      <c r="G542" s="39"/>
      <c r="I542" s="61"/>
      <c r="J542" s="62"/>
      <c r="K542" s="63"/>
      <c r="L542" s="63"/>
      <c r="M542" s="64"/>
      <c r="N542" s="65"/>
      <c r="O542" s="66"/>
      <c r="P542" s="34">
        <f t="shared" si="2"/>
        <v>0</v>
      </c>
    </row>
    <row r="543" ht="22.5" customHeight="1">
      <c r="A543" s="35"/>
      <c r="B543" s="36"/>
      <c r="C543" s="37"/>
      <c r="D543" s="37"/>
      <c r="E543" s="2"/>
      <c r="F543" s="38"/>
      <c r="G543" s="39"/>
      <c r="I543" s="61"/>
      <c r="J543" s="62"/>
      <c r="K543" s="63"/>
      <c r="L543" s="63"/>
      <c r="M543" s="64"/>
      <c r="N543" s="65"/>
      <c r="O543" s="66"/>
      <c r="P543" s="34">
        <f t="shared" si="2"/>
        <v>0</v>
      </c>
    </row>
    <row r="544" ht="22.5" customHeight="1">
      <c r="A544" s="35"/>
      <c r="B544" s="36"/>
      <c r="C544" s="37"/>
      <c r="D544" s="37"/>
      <c r="E544" s="2"/>
      <c r="F544" s="38"/>
      <c r="G544" s="39"/>
      <c r="I544" s="61"/>
      <c r="J544" s="62"/>
      <c r="K544" s="63"/>
      <c r="L544" s="63"/>
      <c r="M544" s="64"/>
      <c r="N544" s="65"/>
      <c r="O544" s="66"/>
      <c r="P544" s="34">
        <f t="shared" si="2"/>
        <v>0</v>
      </c>
    </row>
    <row r="545" ht="22.5" customHeight="1">
      <c r="A545" s="35"/>
      <c r="B545" s="36"/>
      <c r="C545" s="41"/>
      <c r="D545" s="37"/>
      <c r="E545" s="2"/>
      <c r="F545" s="38"/>
      <c r="G545" s="39"/>
      <c r="I545" s="61"/>
      <c r="J545" s="62"/>
      <c r="K545" s="63"/>
      <c r="L545" s="63"/>
      <c r="M545" s="64"/>
      <c r="N545" s="65"/>
      <c r="O545" s="66"/>
      <c r="P545" s="34">
        <f t="shared" si="2"/>
        <v>0</v>
      </c>
    </row>
    <row r="546" ht="22.5" customHeight="1">
      <c r="A546" s="35"/>
      <c r="B546" s="36"/>
      <c r="C546" s="41"/>
      <c r="D546" s="37"/>
      <c r="E546" s="2"/>
      <c r="F546" s="38"/>
      <c r="G546" s="39"/>
      <c r="I546" s="61"/>
      <c r="J546" s="62"/>
      <c r="K546" s="63"/>
      <c r="L546" s="63"/>
      <c r="M546" s="64"/>
      <c r="N546" s="65"/>
      <c r="O546" s="66"/>
      <c r="P546" s="34">
        <f t="shared" si="2"/>
        <v>0</v>
      </c>
    </row>
    <row r="547" ht="22.5" customHeight="1">
      <c r="A547" s="35"/>
      <c r="B547" s="36"/>
      <c r="C547" s="41"/>
      <c r="D547" s="37"/>
      <c r="E547" s="2"/>
      <c r="F547" s="38"/>
      <c r="G547" s="39"/>
      <c r="I547" s="61"/>
      <c r="J547" s="62"/>
      <c r="K547" s="63"/>
      <c r="L547" s="63"/>
      <c r="M547" s="64"/>
      <c r="N547" s="65"/>
      <c r="O547" s="66"/>
      <c r="P547" s="34">
        <f t="shared" si="2"/>
        <v>0</v>
      </c>
    </row>
    <row r="548" ht="22.5" customHeight="1">
      <c r="A548" s="35"/>
      <c r="B548" s="36"/>
      <c r="C548" s="41"/>
      <c r="D548" s="37"/>
      <c r="E548" s="2"/>
      <c r="F548" s="38"/>
      <c r="G548" s="39"/>
      <c r="I548" s="61"/>
      <c r="J548" s="62"/>
      <c r="K548" s="63"/>
      <c r="L548" s="63"/>
      <c r="M548" s="64"/>
      <c r="N548" s="65"/>
      <c r="O548" s="66"/>
      <c r="P548" s="34">
        <f t="shared" si="2"/>
        <v>0</v>
      </c>
    </row>
    <row r="549" ht="22.5" customHeight="1">
      <c r="A549" s="35"/>
      <c r="B549" s="36"/>
      <c r="C549" s="41"/>
      <c r="D549" s="37"/>
      <c r="E549" s="2"/>
      <c r="F549" s="38"/>
      <c r="G549" s="39"/>
      <c r="I549" s="61"/>
      <c r="J549" s="62"/>
      <c r="K549" s="63"/>
      <c r="L549" s="63"/>
      <c r="M549" s="64"/>
      <c r="N549" s="65"/>
      <c r="O549" s="66"/>
      <c r="P549" s="34">
        <f t="shared" si="2"/>
        <v>0</v>
      </c>
    </row>
    <row r="550" ht="22.5" customHeight="1">
      <c r="A550" s="35"/>
      <c r="B550" s="36"/>
      <c r="C550" s="37"/>
      <c r="D550" s="37"/>
      <c r="E550" s="2"/>
      <c r="F550" s="38"/>
      <c r="G550" s="39"/>
      <c r="I550" s="61"/>
      <c r="J550" s="62"/>
      <c r="K550" s="63"/>
      <c r="L550" s="63"/>
      <c r="M550" s="64"/>
      <c r="N550" s="65"/>
      <c r="O550" s="66"/>
      <c r="P550" s="34">
        <f t="shared" si="2"/>
        <v>0</v>
      </c>
    </row>
    <row r="551" ht="22.5" customHeight="1">
      <c r="A551" s="35"/>
      <c r="B551" s="36"/>
      <c r="C551" s="41"/>
      <c r="D551" s="37"/>
      <c r="E551" s="2"/>
      <c r="F551" s="38"/>
      <c r="G551" s="39"/>
      <c r="I551" s="61"/>
      <c r="J551" s="62"/>
      <c r="K551" s="63"/>
      <c r="L551" s="63"/>
      <c r="M551" s="64"/>
      <c r="N551" s="65"/>
      <c r="O551" s="66"/>
      <c r="P551" s="34">
        <f t="shared" si="2"/>
        <v>0</v>
      </c>
    </row>
    <row r="552" ht="22.5" customHeight="1">
      <c r="A552" s="35"/>
      <c r="B552" s="36"/>
      <c r="C552" s="41"/>
      <c r="D552" s="37"/>
      <c r="E552" s="2"/>
      <c r="F552" s="38"/>
      <c r="G552" s="39"/>
      <c r="I552" s="61"/>
      <c r="J552" s="62"/>
      <c r="K552" s="63"/>
      <c r="L552" s="63"/>
      <c r="M552" s="64"/>
      <c r="N552" s="65"/>
      <c r="O552" s="66"/>
      <c r="P552" s="34">
        <f t="shared" si="2"/>
        <v>0</v>
      </c>
    </row>
    <row r="553" ht="22.5" customHeight="1">
      <c r="A553" s="35"/>
      <c r="B553" s="36"/>
      <c r="C553" s="37"/>
      <c r="D553" s="37"/>
      <c r="E553" s="2"/>
      <c r="F553" s="38"/>
      <c r="G553" s="39"/>
      <c r="I553" s="61"/>
      <c r="J553" s="62"/>
      <c r="K553" s="63"/>
      <c r="L553" s="63"/>
      <c r="M553" s="64"/>
      <c r="N553" s="65"/>
      <c r="O553" s="66"/>
      <c r="P553" s="34">
        <f t="shared" si="2"/>
        <v>0</v>
      </c>
    </row>
    <row r="554" ht="22.5" customHeight="1">
      <c r="A554" s="35"/>
      <c r="B554" s="36"/>
      <c r="C554" s="41"/>
      <c r="D554" s="37"/>
      <c r="E554" s="2"/>
      <c r="F554" s="38"/>
      <c r="G554" s="39"/>
      <c r="I554" s="61"/>
      <c r="J554" s="62"/>
      <c r="K554" s="63"/>
      <c r="L554" s="63"/>
      <c r="M554" s="64"/>
      <c r="N554" s="65"/>
      <c r="O554" s="66"/>
      <c r="P554" s="34">
        <f t="shared" si="2"/>
        <v>0</v>
      </c>
    </row>
    <row r="555" ht="22.5" customHeight="1">
      <c r="A555" s="35"/>
      <c r="B555" s="36"/>
      <c r="C555" s="41"/>
      <c r="D555" s="37"/>
      <c r="E555" s="2"/>
      <c r="F555" s="38"/>
      <c r="G555" s="39"/>
      <c r="I555" s="61"/>
      <c r="J555" s="62"/>
      <c r="K555" s="63"/>
      <c r="L555" s="63"/>
      <c r="M555" s="64"/>
      <c r="N555" s="65"/>
      <c r="O555" s="66"/>
      <c r="P555" s="34">
        <f t="shared" si="2"/>
        <v>0</v>
      </c>
    </row>
    <row r="556" ht="22.5" customHeight="1">
      <c r="A556" s="35"/>
      <c r="B556" s="36"/>
      <c r="C556" s="41"/>
      <c r="D556" s="37"/>
      <c r="E556" s="2"/>
      <c r="F556" s="38"/>
      <c r="G556" s="39"/>
      <c r="I556" s="61"/>
      <c r="J556" s="62"/>
      <c r="K556" s="63"/>
      <c r="L556" s="63"/>
      <c r="M556" s="64"/>
      <c r="N556" s="65"/>
      <c r="O556" s="66"/>
      <c r="P556" s="34">
        <f t="shared" si="2"/>
        <v>0</v>
      </c>
    </row>
    <row r="557" ht="22.5" customHeight="1">
      <c r="A557" s="35"/>
      <c r="B557" s="36"/>
      <c r="C557" s="41"/>
      <c r="D557" s="37"/>
      <c r="E557" s="2"/>
      <c r="F557" s="38"/>
      <c r="G557" s="39"/>
      <c r="I557" s="61"/>
      <c r="J557" s="62"/>
      <c r="K557" s="63"/>
      <c r="L557" s="63"/>
      <c r="M557" s="64"/>
      <c r="N557" s="65"/>
      <c r="O557" s="66"/>
      <c r="P557" s="34">
        <f t="shared" si="2"/>
        <v>0</v>
      </c>
    </row>
    <row r="558" ht="22.5" customHeight="1">
      <c r="A558" s="35"/>
      <c r="B558" s="36"/>
      <c r="C558" s="37"/>
      <c r="D558" s="37"/>
      <c r="E558" s="2"/>
      <c r="F558" s="38"/>
      <c r="G558" s="39"/>
      <c r="I558" s="61"/>
      <c r="J558" s="62"/>
      <c r="K558" s="63"/>
      <c r="L558" s="63"/>
      <c r="M558" s="64"/>
      <c r="N558" s="65"/>
      <c r="O558" s="66"/>
      <c r="P558" s="34">
        <f t="shared" si="2"/>
        <v>0</v>
      </c>
    </row>
    <row r="559" ht="22.5" customHeight="1">
      <c r="A559" s="35"/>
      <c r="B559" s="36"/>
      <c r="C559" s="37"/>
      <c r="D559" s="37"/>
      <c r="E559" s="2"/>
      <c r="F559" s="38"/>
      <c r="G559" s="39"/>
      <c r="I559" s="61"/>
      <c r="J559" s="62"/>
      <c r="K559" s="63"/>
      <c r="L559" s="63"/>
      <c r="M559" s="64"/>
      <c r="N559" s="65"/>
      <c r="O559" s="66"/>
      <c r="P559" s="34">
        <f t="shared" si="2"/>
        <v>0</v>
      </c>
    </row>
    <row r="560" ht="22.5" customHeight="1">
      <c r="A560" s="35"/>
      <c r="B560" s="36"/>
      <c r="C560" s="37"/>
      <c r="D560" s="37"/>
      <c r="E560" s="2"/>
      <c r="F560" s="38"/>
      <c r="G560" s="39"/>
      <c r="I560" s="61"/>
      <c r="J560" s="62"/>
      <c r="K560" s="63"/>
      <c r="L560" s="63"/>
      <c r="M560" s="64"/>
      <c r="N560" s="65"/>
      <c r="O560" s="66"/>
      <c r="P560" s="34">
        <f t="shared" si="2"/>
        <v>0</v>
      </c>
    </row>
    <row r="561" ht="22.5" customHeight="1">
      <c r="A561" s="35"/>
      <c r="B561" s="36"/>
      <c r="C561" s="41"/>
      <c r="D561" s="37"/>
      <c r="E561" s="2"/>
      <c r="F561" s="38"/>
      <c r="G561" s="39"/>
      <c r="I561" s="61"/>
      <c r="J561" s="62"/>
      <c r="K561" s="63"/>
      <c r="L561" s="63"/>
      <c r="M561" s="64"/>
      <c r="N561" s="65"/>
      <c r="O561" s="66"/>
      <c r="P561" s="34">
        <f t="shared" si="2"/>
        <v>0</v>
      </c>
    </row>
    <row r="562" ht="22.5" customHeight="1">
      <c r="A562" s="35"/>
      <c r="B562" s="36"/>
      <c r="C562" s="37"/>
      <c r="D562" s="37"/>
      <c r="E562" s="2"/>
      <c r="F562" s="38"/>
      <c r="G562" s="39"/>
      <c r="I562" s="61"/>
      <c r="J562" s="62"/>
      <c r="K562" s="63"/>
      <c r="L562" s="63"/>
      <c r="M562" s="64"/>
      <c r="N562" s="65"/>
      <c r="O562" s="66"/>
      <c r="P562" s="34">
        <f t="shared" si="2"/>
        <v>0</v>
      </c>
    </row>
    <row r="563" ht="22.5" customHeight="1">
      <c r="A563" s="35"/>
      <c r="B563" s="36"/>
      <c r="C563" s="37"/>
      <c r="D563" s="37"/>
      <c r="E563" s="2"/>
      <c r="F563" s="38"/>
      <c r="G563" s="39"/>
      <c r="I563" s="61"/>
      <c r="J563" s="62"/>
      <c r="K563" s="63"/>
      <c r="L563" s="63"/>
      <c r="M563" s="64"/>
      <c r="N563" s="65"/>
      <c r="O563" s="66"/>
      <c r="P563" s="34">
        <f t="shared" si="2"/>
        <v>0</v>
      </c>
    </row>
    <row r="564" ht="22.5" customHeight="1">
      <c r="A564" s="35"/>
      <c r="B564" s="36"/>
      <c r="C564" s="37"/>
      <c r="D564" s="37"/>
      <c r="E564" s="2"/>
      <c r="F564" s="38"/>
      <c r="G564" s="39"/>
      <c r="I564" s="61"/>
      <c r="J564" s="62"/>
      <c r="K564" s="63"/>
      <c r="L564" s="63"/>
      <c r="M564" s="64"/>
      <c r="N564" s="65"/>
      <c r="O564" s="66"/>
      <c r="P564" s="34">
        <f t="shared" si="2"/>
        <v>0</v>
      </c>
    </row>
    <row r="565" ht="22.5" customHeight="1">
      <c r="A565" s="35"/>
      <c r="B565" s="36"/>
      <c r="C565" s="41"/>
      <c r="D565" s="37"/>
      <c r="E565" s="2"/>
      <c r="F565" s="38"/>
      <c r="G565" s="39"/>
      <c r="I565" s="61"/>
      <c r="J565" s="62"/>
      <c r="K565" s="63"/>
      <c r="L565" s="63"/>
      <c r="M565" s="64"/>
      <c r="N565" s="65"/>
      <c r="O565" s="66"/>
      <c r="P565" s="34">
        <f t="shared" si="2"/>
        <v>0</v>
      </c>
    </row>
    <row r="566" ht="22.5" customHeight="1">
      <c r="A566" s="35"/>
      <c r="B566" s="36"/>
      <c r="C566" s="37"/>
      <c r="D566" s="37"/>
      <c r="E566" s="2"/>
      <c r="F566" s="38"/>
      <c r="G566" s="39"/>
      <c r="I566" s="61"/>
      <c r="J566" s="62"/>
      <c r="K566" s="63"/>
      <c r="L566" s="63"/>
      <c r="M566" s="64"/>
      <c r="N566" s="65"/>
      <c r="O566" s="66"/>
      <c r="P566" s="34">
        <f t="shared" si="2"/>
        <v>0</v>
      </c>
    </row>
    <row r="567" ht="22.5" customHeight="1">
      <c r="A567" s="35"/>
      <c r="B567" s="36"/>
      <c r="C567" s="37"/>
      <c r="D567" s="37"/>
      <c r="E567" s="2"/>
      <c r="F567" s="38"/>
      <c r="G567" s="39"/>
      <c r="I567" s="61"/>
      <c r="J567" s="62"/>
      <c r="K567" s="63"/>
      <c r="L567" s="63"/>
      <c r="M567" s="64"/>
      <c r="N567" s="65"/>
      <c r="O567" s="66"/>
      <c r="P567" s="34">
        <f t="shared" si="2"/>
        <v>0</v>
      </c>
    </row>
    <row r="568" ht="22.5" customHeight="1">
      <c r="A568" s="35"/>
      <c r="B568" s="36"/>
      <c r="C568" s="41"/>
      <c r="D568" s="37"/>
      <c r="E568" s="2"/>
      <c r="F568" s="38"/>
      <c r="G568" s="39"/>
      <c r="I568" s="61"/>
      <c r="J568" s="62"/>
      <c r="K568" s="63"/>
      <c r="L568" s="63"/>
      <c r="M568" s="64"/>
      <c r="N568" s="65"/>
      <c r="O568" s="66"/>
      <c r="P568" s="34">
        <f t="shared" si="2"/>
        <v>0</v>
      </c>
    </row>
    <row r="569" ht="22.5" customHeight="1">
      <c r="A569" s="35"/>
      <c r="B569" s="36"/>
      <c r="C569" s="37"/>
      <c r="D569" s="37"/>
      <c r="E569" s="2"/>
      <c r="F569" s="38"/>
      <c r="G569" s="39"/>
      <c r="I569" s="61"/>
      <c r="J569" s="62"/>
      <c r="K569" s="63"/>
      <c r="L569" s="63"/>
      <c r="M569" s="64"/>
      <c r="N569" s="65"/>
      <c r="O569" s="66"/>
      <c r="P569" s="34">
        <f t="shared" si="2"/>
        <v>0</v>
      </c>
    </row>
    <row r="570" ht="22.5" customHeight="1">
      <c r="A570" s="35"/>
      <c r="B570" s="36"/>
      <c r="C570" s="37"/>
      <c r="D570" s="37"/>
      <c r="E570" s="2"/>
      <c r="F570" s="38"/>
      <c r="G570" s="39"/>
      <c r="I570" s="61"/>
      <c r="J570" s="62"/>
      <c r="K570" s="63"/>
      <c r="L570" s="63"/>
      <c r="M570" s="64"/>
      <c r="N570" s="65"/>
      <c r="O570" s="66"/>
      <c r="P570" s="34">
        <f t="shared" si="2"/>
        <v>0</v>
      </c>
    </row>
    <row r="571" ht="22.5" customHeight="1">
      <c r="A571" s="35"/>
      <c r="B571" s="36"/>
      <c r="C571" s="37"/>
      <c r="D571" s="37"/>
      <c r="E571" s="2"/>
      <c r="F571" s="38"/>
      <c r="G571" s="39"/>
      <c r="I571" s="61"/>
      <c r="J571" s="62"/>
      <c r="K571" s="63"/>
      <c r="L571" s="63"/>
      <c r="M571" s="64"/>
      <c r="N571" s="65"/>
      <c r="O571" s="66"/>
      <c r="P571" s="34">
        <f t="shared" si="2"/>
        <v>0</v>
      </c>
    </row>
    <row r="572" ht="22.5" customHeight="1">
      <c r="A572" s="35"/>
      <c r="B572" s="36"/>
      <c r="C572" s="37"/>
      <c r="D572" s="37"/>
      <c r="E572" s="2"/>
      <c r="F572" s="38"/>
      <c r="G572" s="39"/>
      <c r="I572" s="61"/>
      <c r="J572" s="62"/>
      <c r="K572" s="63"/>
      <c r="L572" s="63"/>
      <c r="M572" s="64"/>
      <c r="N572" s="65"/>
      <c r="O572" s="66"/>
      <c r="P572" s="34">
        <f t="shared" si="2"/>
        <v>0</v>
      </c>
    </row>
    <row r="573" ht="22.5" customHeight="1">
      <c r="A573" s="35"/>
      <c r="B573" s="36"/>
      <c r="C573" s="41"/>
      <c r="D573" s="37"/>
      <c r="E573" s="2"/>
      <c r="F573" s="38"/>
      <c r="G573" s="39"/>
      <c r="I573" s="61"/>
      <c r="J573" s="62"/>
      <c r="K573" s="63"/>
      <c r="L573" s="63"/>
      <c r="M573" s="64"/>
      <c r="N573" s="65"/>
      <c r="O573" s="66"/>
      <c r="P573" s="34">
        <f t="shared" si="2"/>
        <v>0</v>
      </c>
    </row>
    <row r="574" ht="22.5" customHeight="1">
      <c r="A574" s="35"/>
      <c r="B574" s="36"/>
      <c r="C574" s="41"/>
      <c r="D574" s="37"/>
      <c r="E574" s="2"/>
      <c r="F574" s="38"/>
      <c r="G574" s="39"/>
      <c r="I574" s="61"/>
      <c r="J574" s="62"/>
      <c r="K574" s="63"/>
      <c r="L574" s="63"/>
      <c r="M574" s="64"/>
      <c r="N574" s="65"/>
      <c r="O574" s="66"/>
      <c r="P574" s="34">
        <f t="shared" si="2"/>
        <v>0</v>
      </c>
    </row>
    <row r="575" ht="22.5" customHeight="1">
      <c r="A575" s="35"/>
      <c r="B575" s="36"/>
      <c r="C575" s="41"/>
      <c r="D575" s="37"/>
      <c r="E575" s="2"/>
      <c r="F575" s="38"/>
      <c r="G575" s="39"/>
      <c r="I575" s="61"/>
      <c r="J575" s="62"/>
      <c r="K575" s="63"/>
      <c r="L575" s="63"/>
      <c r="M575" s="64"/>
      <c r="N575" s="65"/>
      <c r="O575" s="66"/>
      <c r="P575" s="34">
        <f t="shared" si="2"/>
        <v>0</v>
      </c>
    </row>
    <row r="576" ht="22.5" customHeight="1">
      <c r="A576" s="35"/>
      <c r="B576" s="36"/>
      <c r="C576" s="41"/>
      <c r="D576" s="37"/>
      <c r="E576" s="2"/>
      <c r="F576" s="38"/>
      <c r="G576" s="39"/>
      <c r="I576" s="61"/>
      <c r="J576" s="62"/>
      <c r="K576" s="63"/>
      <c r="L576" s="63"/>
      <c r="M576" s="64"/>
      <c r="N576" s="65"/>
      <c r="O576" s="66"/>
      <c r="P576" s="34">
        <f t="shared" si="2"/>
        <v>0</v>
      </c>
    </row>
    <row r="577" ht="22.5" customHeight="1">
      <c r="A577" s="35"/>
      <c r="B577" s="36"/>
      <c r="C577" s="41"/>
      <c r="D577" s="37"/>
      <c r="E577" s="2"/>
      <c r="F577" s="38"/>
      <c r="G577" s="39"/>
      <c r="I577" s="61"/>
      <c r="J577" s="62"/>
      <c r="K577" s="63"/>
      <c r="L577" s="63"/>
      <c r="M577" s="64"/>
      <c r="N577" s="65"/>
      <c r="O577" s="66"/>
      <c r="P577" s="34">
        <f t="shared" si="2"/>
        <v>0</v>
      </c>
    </row>
    <row r="578" ht="22.5" customHeight="1">
      <c r="A578" s="35"/>
      <c r="B578" s="36"/>
      <c r="C578" s="37"/>
      <c r="D578" s="37"/>
      <c r="E578" s="2"/>
      <c r="F578" s="38"/>
      <c r="G578" s="39"/>
      <c r="I578" s="61"/>
      <c r="J578" s="62"/>
      <c r="K578" s="63"/>
      <c r="L578" s="63"/>
      <c r="M578" s="64"/>
      <c r="N578" s="65"/>
      <c r="O578" s="66"/>
      <c r="P578" s="34">
        <f t="shared" si="2"/>
        <v>0</v>
      </c>
    </row>
    <row r="579" ht="22.5" customHeight="1">
      <c r="A579" s="35"/>
      <c r="B579" s="36"/>
      <c r="C579" s="41"/>
      <c r="D579" s="37"/>
      <c r="E579" s="2"/>
      <c r="F579" s="38"/>
      <c r="G579" s="39"/>
      <c r="I579" s="61"/>
      <c r="J579" s="62"/>
      <c r="K579" s="63"/>
      <c r="L579" s="63"/>
      <c r="M579" s="64"/>
      <c r="N579" s="65"/>
      <c r="O579" s="66"/>
      <c r="P579" s="34">
        <f t="shared" si="2"/>
        <v>0</v>
      </c>
    </row>
    <row r="580" ht="22.5" customHeight="1">
      <c r="A580" s="35"/>
      <c r="B580" s="36"/>
      <c r="C580" s="41"/>
      <c r="D580" s="37"/>
      <c r="E580" s="2"/>
      <c r="F580" s="38"/>
      <c r="G580" s="39"/>
      <c r="I580" s="61"/>
      <c r="J580" s="62"/>
      <c r="K580" s="63"/>
      <c r="L580" s="63"/>
      <c r="M580" s="64"/>
      <c r="N580" s="65"/>
      <c r="O580" s="66"/>
      <c r="P580" s="34">
        <f t="shared" si="2"/>
        <v>0</v>
      </c>
    </row>
    <row r="581" ht="22.5" customHeight="1">
      <c r="A581" s="35"/>
      <c r="B581" s="36"/>
      <c r="C581" s="37"/>
      <c r="D581" s="37"/>
      <c r="E581" s="2"/>
      <c r="F581" s="38"/>
      <c r="G581" s="39"/>
      <c r="I581" s="61"/>
      <c r="J581" s="62"/>
      <c r="K581" s="63"/>
      <c r="L581" s="63"/>
      <c r="M581" s="64"/>
      <c r="N581" s="65"/>
      <c r="O581" s="66"/>
      <c r="P581" s="34">
        <f t="shared" si="2"/>
        <v>0</v>
      </c>
    </row>
    <row r="582" ht="22.5" customHeight="1">
      <c r="A582" s="35"/>
      <c r="B582" s="36"/>
      <c r="C582" s="41"/>
      <c r="D582" s="37"/>
      <c r="E582" s="2"/>
      <c r="F582" s="38"/>
      <c r="G582" s="39"/>
      <c r="I582" s="61"/>
      <c r="J582" s="62"/>
      <c r="K582" s="63"/>
      <c r="L582" s="63"/>
      <c r="M582" s="64"/>
      <c r="N582" s="65"/>
      <c r="O582" s="66"/>
      <c r="P582" s="34">
        <f t="shared" si="2"/>
        <v>0</v>
      </c>
    </row>
    <row r="583" ht="22.5" customHeight="1">
      <c r="A583" s="35"/>
      <c r="B583" s="36"/>
      <c r="C583" s="41"/>
      <c r="D583" s="37"/>
      <c r="E583" s="2"/>
      <c r="F583" s="38"/>
      <c r="G583" s="39"/>
      <c r="I583" s="61"/>
      <c r="J583" s="62"/>
      <c r="K583" s="63"/>
      <c r="L583" s="63"/>
      <c r="M583" s="64"/>
      <c r="N583" s="65"/>
      <c r="O583" s="66"/>
      <c r="P583" s="34">
        <f t="shared" si="2"/>
        <v>0</v>
      </c>
    </row>
    <row r="584" ht="22.5" customHeight="1">
      <c r="A584" s="35"/>
      <c r="B584" s="36"/>
      <c r="C584" s="41"/>
      <c r="D584" s="37"/>
      <c r="E584" s="2"/>
      <c r="F584" s="38"/>
      <c r="G584" s="39"/>
      <c r="I584" s="61"/>
      <c r="J584" s="62"/>
      <c r="K584" s="63"/>
      <c r="L584" s="63"/>
      <c r="M584" s="64"/>
      <c r="N584" s="65"/>
      <c r="O584" s="66"/>
      <c r="P584" s="34">
        <f t="shared" si="2"/>
        <v>0</v>
      </c>
    </row>
    <row r="585" ht="22.5" customHeight="1">
      <c r="A585" s="35"/>
      <c r="B585" s="36"/>
      <c r="C585" s="41"/>
      <c r="D585" s="37"/>
      <c r="E585" s="2"/>
      <c r="F585" s="38"/>
      <c r="G585" s="39"/>
      <c r="I585" s="61"/>
      <c r="J585" s="62"/>
      <c r="K585" s="63"/>
      <c r="L585" s="63"/>
      <c r="M585" s="64"/>
      <c r="N585" s="65"/>
      <c r="O585" s="66"/>
      <c r="P585" s="34">
        <f t="shared" si="2"/>
        <v>0</v>
      </c>
    </row>
    <row r="586" ht="22.5" customHeight="1">
      <c r="A586" s="35"/>
      <c r="B586" s="36"/>
      <c r="C586" s="41"/>
      <c r="D586" s="37"/>
      <c r="E586" s="2"/>
      <c r="F586" s="38"/>
      <c r="G586" s="39"/>
      <c r="I586" s="61"/>
      <c r="J586" s="62"/>
      <c r="K586" s="63"/>
      <c r="L586" s="63"/>
      <c r="M586" s="64"/>
      <c r="N586" s="65"/>
      <c r="O586" s="66"/>
      <c r="P586" s="34">
        <f t="shared" si="2"/>
        <v>0</v>
      </c>
    </row>
    <row r="587" ht="22.5" customHeight="1">
      <c r="A587" s="35"/>
      <c r="B587" s="36"/>
      <c r="C587" s="41"/>
      <c r="D587" s="37"/>
      <c r="E587" s="2"/>
      <c r="F587" s="38"/>
      <c r="G587" s="39"/>
      <c r="I587" s="61"/>
      <c r="J587" s="62"/>
      <c r="K587" s="63"/>
      <c r="L587" s="63"/>
      <c r="M587" s="64"/>
      <c r="N587" s="65"/>
      <c r="O587" s="66"/>
      <c r="P587" s="34">
        <f t="shared" si="2"/>
        <v>0</v>
      </c>
    </row>
    <row r="588" ht="22.5" customHeight="1">
      <c r="A588" s="35"/>
      <c r="B588" s="36"/>
      <c r="C588" s="41"/>
      <c r="D588" s="37"/>
      <c r="E588" s="2"/>
      <c r="F588" s="38"/>
      <c r="G588" s="39"/>
      <c r="I588" s="61"/>
      <c r="J588" s="62"/>
      <c r="K588" s="63"/>
      <c r="L588" s="63"/>
      <c r="M588" s="64"/>
      <c r="N588" s="65"/>
      <c r="O588" s="66"/>
      <c r="P588" s="34">
        <f t="shared" si="2"/>
        <v>0</v>
      </c>
    </row>
    <row r="589" ht="22.5" customHeight="1">
      <c r="A589" s="35"/>
      <c r="B589" s="36"/>
      <c r="C589" s="41"/>
      <c r="D589" s="37"/>
      <c r="E589" s="2"/>
      <c r="F589" s="38"/>
      <c r="G589" s="39"/>
      <c r="I589" s="61"/>
      <c r="J589" s="62"/>
      <c r="K589" s="63"/>
      <c r="L589" s="63"/>
      <c r="M589" s="64"/>
      <c r="N589" s="65"/>
      <c r="O589" s="66"/>
      <c r="P589" s="34">
        <f t="shared" si="2"/>
        <v>0</v>
      </c>
    </row>
    <row r="590" ht="22.5" customHeight="1">
      <c r="A590" s="35"/>
      <c r="B590" s="36"/>
      <c r="C590" s="41"/>
      <c r="D590" s="37"/>
      <c r="E590" s="2"/>
      <c r="F590" s="38"/>
      <c r="G590" s="39"/>
      <c r="I590" s="61"/>
      <c r="J590" s="62"/>
      <c r="K590" s="63"/>
      <c r="L590" s="63"/>
      <c r="M590" s="64"/>
      <c r="N590" s="65"/>
      <c r="O590" s="66"/>
      <c r="P590" s="34">
        <f t="shared" si="2"/>
        <v>0</v>
      </c>
    </row>
    <row r="591" ht="22.5" customHeight="1">
      <c r="A591" s="35"/>
      <c r="B591" s="36"/>
      <c r="C591" s="37"/>
      <c r="D591" s="37"/>
      <c r="E591" s="2"/>
      <c r="F591" s="38"/>
      <c r="G591" s="39"/>
      <c r="I591" s="61"/>
      <c r="J591" s="62"/>
      <c r="K591" s="63"/>
      <c r="L591" s="63"/>
      <c r="M591" s="64"/>
      <c r="N591" s="65"/>
      <c r="O591" s="66"/>
      <c r="P591" s="34">
        <f t="shared" si="2"/>
        <v>0</v>
      </c>
    </row>
    <row r="592" ht="22.5" customHeight="1">
      <c r="A592" s="35"/>
      <c r="B592" s="36"/>
      <c r="C592" s="41"/>
      <c r="D592" s="37"/>
      <c r="E592" s="2"/>
      <c r="F592" s="38"/>
      <c r="G592" s="39"/>
      <c r="I592" s="61"/>
      <c r="J592" s="62"/>
      <c r="K592" s="63"/>
      <c r="L592" s="63"/>
      <c r="M592" s="64"/>
      <c r="N592" s="65"/>
      <c r="O592" s="66"/>
      <c r="P592" s="34">
        <f t="shared" si="2"/>
        <v>0</v>
      </c>
    </row>
    <row r="593" ht="22.5" customHeight="1">
      <c r="A593" s="35"/>
      <c r="B593" s="36"/>
      <c r="C593" s="37"/>
      <c r="D593" s="37"/>
      <c r="E593" s="2"/>
      <c r="F593" s="38"/>
      <c r="G593" s="39"/>
      <c r="I593" s="61"/>
      <c r="J593" s="62"/>
      <c r="K593" s="63"/>
      <c r="L593" s="63"/>
      <c r="M593" s="64"/>
      <c r="N593" s="65"/>
      <c r="O593" s="66"/>
      <c r="P593" s="34">
        <f t="shared" si="2"/>
        <v>0</v>
      </c>
    </row>
    <row r="594" ht="22.5" customHeight="1">
      <c r="A594" s="35"/>
      <c r="B594" s="36"/>
      <c r="C594" s="37"/>
      <c r="D594" s="37"/>
      <c r="E594" s="2"/>
      <c r="F594" s="38"/>
      <c r="G594" s="39"/>
      <c r="I594" s="61"/>
      <c r="J594" s="62"/>
      <c r="K594" s="63"/>
      <c r="L594" s="63"/>
      <c r="M594" s="64"/>
      <c r="N594" s="65"/>
      <c r="O594" s="66"/>
      <c r="P594" s="34">
        <f t="shared" si="2"/>
        <v>0</v>
      </c>
    </row>
    <row r="595" ht="22.5" customHeight="1">
      <c r="A595" s="35"/>
      <c r="B595" s="36"/>
      <c r="C595" s="41"/>
      <c r="D595" s="37"/>
      <c r="E595" s="2"/>
      <c r="F595" s="38"/>
      <c r="G595" s="39"/>
      <c r="I595" s="61"/>
      <c r="J595" s="62"/>
      <c r="K595" s="63"/>
      <c r="L595" s="63"/>
      <c r="M595" s="64"/>
      <c r="N595" s="65"/>
      <c r="O595" s="66"/>
      <c r="P595" s="34">
        <f t="shared" si="2"/>
        <v>0</v>
      </c>
    </row>
    <row r="596" ht="22.5" customHeight="1">
      <c r="A596" s="35"/>
      <c r="B596" s="36"/>
      <c r="C596" s="41"/>
      <c r="D596" s="37"/>
      <c r="E596" s="2"/>
      <c r="F596" s="38"/>
      <c r="G596" s="39"/>
      <c r="I596" s="61"/>
      <c r="J596" s="62"/>
      <c r="K596" s="63"/>
      <c r="L596" s="63"/>
      <c r="M596" s="64"/>
      <c r="N596" s="65"/>
      <c r="O596" s="66"/>
      <c r="P596" s="34">
        <f t="shared" si="2"/>
        <v>0</v>
      </c>
    </row>
    <row r="597" ht="22.5" customHeight="1">
      <c r="A597" s="35"/>
      <c r="B597" s="36"/>
      <c r="C597" s="41"/>
      <c r="D597" s="37"/>
      <c r="E597" s="2"/>
      <c r="F597" s="38"/>
      <c r="G597" s="39"/>
      <c r="I597" s="61"/>
      <c r="J597" s="62"/>
      <c r="K597" s="63"/>
      <c r="L597" s="63"/>
      <c r="M597" s="64"/>
      <c r="N597" s="65"/>
      <c r="O597" s="66"/>
      <c r="P597" s="34">
        <f t="shared" si="2"/>
        <v>0</v>
      </c>
    </row>
    <row r="598" ht="22.5" customHeight="1">
      <c r="A598" s="35"/>
      <c r="B598" s="36"/>
      <c r="C598" s="41"/>
      <c r="D598" s="37"/>
      <c r="E598" s="2"/>
      <c r="F598" s="38"/>
      <c r="G598" s="39"/>
      <c r="I598" s="61"/>
      <c r="J598" s="62"/>
      <c r="K598" s="63"/>
      <c r="L598" s="63"/>
      <c r="M598" s="64"/>
      <c r="N598" s="65"/>
      <c r="O598" s="66"/>
      <c r="P598" s="34">
        <f t="shared" si="2"/>
        <v>0</v>
      </c>
    </row>
    <row r="599" ht="22.5" customHeight="1">
      <c r="A599" s="35"/>
      <c r="B599" s="36"/>
      <c r="C599" s="41"/>
      <c r="D599" s="37"/>
      <c r="E599" s="2"/>
      <c r="F599" s="38"/>
      <c r="G599" s="39"/>
      <c r="I599" s="61"/>
      <c r="J599" s="62"/>
      <c r="K599" s="63"/>
      <c r="L599" s="63"/>
      <c r="M599" s="64"/>
      <c r="N599" s="65"/>
      <c r="O599" s="66"/>
      <c r="P599" s="34">
        <f t="shared" si="2"/>
        <v>0</v>
      </c>
    </row>
    <row r="600" ht="22.5" customHeight="1">
      <c r="A600" s="35"/>
      <c r="B600" s="36"/>
      <c r="C600" s="41"/>
      <c r="D600" s="37"/>
      <c r="E600" s="2"/>
      <c r="F600" s="38"/>
      <c r="G600" s="39"/>
      <c r="I600" s="61"/>
      <c r="J600" s="62"/>
      <c r="K600" s="63"/>
      <c r="L600" s="63"/>
      <c r="M600" s="64"/>
      <c r="N600" s="65"/>
      <c r="O600" s="66"/>
      <c r="P600" s="34">
        <f t="shared" si="2"/>
        <v>0</v>
      </c>
    </row>
    <row r="601" ht="22.5" customHeight="1">
      <c r="A601" s="35"/>
      <c r="B601" s="36"/>
      <c r="C601" s="41"/>
      <c r="D601" s="37"/>
      <c r="E601" s="2"/>
      <c r="F601" s="38"/>
      <c r="G601" s="39"/>
      <c r="I601" s="61"/>
      <c r="J601" s="62"/>
      <c r="K601" s="63"/>
      <c r="L601" s="63"/>
      <c r="M601" s="64"/>
      <c r="N601" s="65"/>
      <c r="O601" s="66"/>
      <c r="P601" s="34">
        <f t="shared" si="2"/>
        <v>0</v>
      </c>
    </row>
    <row r="602" ht="22.5" customHeight="1">
      <c r="A602" s="35"/>
      <c r="B602" s="36"/>
      <c r="C602" s="41"/>
      <c r="D602" s="37"/>
      <c r="E602" s="2"/>
      <c r="F602" s="38"/>
      <c r="G602" s="39"/>
      <c r="I602" s="61"/>
      <c r="J602" s="62"/>
      <c r="K602" s="63"/>
      <c r="L602" s="63"/>
      <c r="M602" s="64"/>
      <c r="N602" s="65"/>
      <c r="O602" s="66"/>
      <c r="P602" s="34">
        <f t="shared" si="2"/>
        <v>0</v>
      </c>
    </row>
    <row r="603" ht="22.5" customHeight="1">
      <c r="A603" s="35"/>
      <c r="B603" s="36"/>
      <c r="C603" s="41"/>
      <c r="D603" s="37"/>
      <c r="E603" s="2"/>
      <c r="F603" s="38"/>
      <c r="G603" s="39"/>
      <c r="I603" s="61"/>
      <c r="J603" s="62"/>
      <c r="K603" s="63"/>
      <c r="L603" s="63"/>
      <c r="M603" s="64"/>
      <c r="N603" s="65"/>
      <c r="O603" s="66"/>
      <c r="P603" s="34">
        <f t="shared" si="2"/>
        <v>0</v>
      </c>
    </row>
    <row r="604" ht="22.5" customHeight="1">
      <c r="A604" s="35"/>
      <c r="B604" s="36"/>
      <c r="C604" s="41"/>
      <c r="D604" s="37"/>
      <c r="E604" s="2"/>
      <c r="F604" s="38"/>
      <c r="G604" s="39"/>
      <c r="I604" s="61"/>
      <c r="J604" s="62"/>
      <c r="K604" s="63"/>
      <c r="L604" s="63"/>
      <c r="M604" s="64"/>
      <c r="N604" s="65"/>
      <c r="O604" s="66"/>
      <c r="P604" s="34">
        <f t="shared" si="2"/>
        <v>0</v>
      </c>
    </row>
    <row r="605" ht="22.5" customHeight="1">
      <c r="A605" s="35"/>
      <c r="B605" s="36"/>
      <c r="C605" s="41"/>
      <c r="D605" s="37"/>
      <c r="E605" s="2"/>
      <c r="F605" s="38"/>
      <c r="G605" s="39"/>
      <c r="I605" s="61"/>
      <c r="J605" s="62"/>
      <c r="K605" s="63"/>
      <c r="L605" s="63"/>
      <c r="M605" s="64"/>
      <c r="N605" s="65"/>
      <c r="O605" s="66"/>
      <c r="P605" s="34">
        <f t="shared" si="2"/>
        <v>0</v>
      </c>
    </row>
    <row r="606" ht="22.5" customHeight="1">
      <c r="A606" s="35"/>
      <c r="B606" s="36"/>
      <c r="C606" s="41"/>
      <c r="D606" s="37"/>
      <c r="E606" s="2"/>
      <c r="F606" s="38"/>
      <c r="G606" s="39"/>
      <c r="I606" s="61"/>
      <c r="J606" s="62"/>
      <c r="K606" s="63"/>
      <c r="L606" s="63"/>
      <c r="M606" s="64"/>
      <c r="N606" s="65"/>
      <c r="O606" s="66"/>
      <c r="P606" s="34">
        <f t="shared" si="2"/>
        <v>0</v>
      </c>
    </row>
    <row r="607" ht="22.5" customHeight="1">
      <c r="A607" s="35"/>
      <c r="B607" s="36"/>
      <c r="C607" s="41"/>
      <c r="D607" s="37"/>
      <c r="E607" s="2"/>
      <c r="F607" s="38"/>
      <c r="G607" s="39"/>
      <c r="I607" s="61"/>
      <c r="J607" s="62"/>
      <c r="K607" s="63"/>
      <c r="L607" s="63"/>
      <c r="M607" s="64"/>
      <c r="N607" s="65"/>
      <c r="O607" s="66"/>
      <c r="P607" s="34">
        <f t="shared" si="2"/>
        <v>0</v>
      </c>
    </row>
    <row r="608" ht="22.5" customHeight="1">
      <c r="A608" s="35"/>
      <c r="B608" s="36"/>
      <c r="C608" s="41"/>
      <c r="D608" s="37"/>
      <c r="E608" s="2"/>
      <c r="F608" s="38"/>
      <c r="G608" s="39"/>
      <c r="I608" s="61"/>
      <c r="J608" s="62"/>
      <c r="K608" s="63"/>
      <c r="L608" s="63"/>
      <c r="M608" s="64"/>
      <c r="N608" s="65"/>
      <c r="O608" s="66"/>
      <c r="P608" s="34">
        <f t="shared" si="2"/>
        <v>0</v>
      </c>
    </row>
    <row r="609" ht="22.5" customHeight="1">
      <c r="A609" s="35"/>
      <c r="B609" s="36"/>
      <c r="C609" s="41"/>
      <c r="D609" s="37"/>
      <c r="E609" s="2"/>
      <c r="F609" s="38"/>
      <c r="G609" s="39"/>
      <c r="I609" s="61"/>
      <c r="J609" s="62"/>
      <c r="K609" s="63"/>
      <c r="L609" s="63"/>
      <c r="M609" s="64"/>
      <c r="N609" s="65"/>
      <c r="O609" s="66"/>
      <c r="P609" s="34">
        <f t="shared" si="2"/>
        <v>0</v>
      </c>
    </row>
    <row r="610" ht="22.5" customHeight="1">
      <c r="A610" s="35"/>
      <c r="B610" s="36"/>
      <c r="C610" s="37"/>
      <c r="D610" s="37"/>
      <c r="E610" s="2"/>
      <c r="F610" s="38"/>
      <c r="G610" s="39"/>
      <c r="I610" s="61"/>
      <c r="J610" s="62"/>
      <c r="K610" s="63"/>
      <c r="L610" s="63"/>
      <c r="M610" s="64"/>
      <c r="N610" s="65"/>
      <c r="O610" s="66"/>
      <c r="P610" s="34">
        <f t="shared" si="2"/>
        <v>0</v>
      </c>
    </row>
    <row r="611" ht="22.5" customHeight="1">
      <c r="A611" s="35"/>
      <c r="B611" s="36"/>
      <c r="C611" s="41"/>
      <c r="D611" s="37"/>
      <c r="E611" s="2"/>
      <c r="F611" s="38"/>
      <c r="G611" s="39"/>
      <c r="I611" s="61"/>
      <c r="J611" s="62"/>
      <c r="K611" s="63"/>
      <c r="L611" s="63"/>
      <c r="M611" s="64"/>
      <c r="N611" s="65"/>
      <c r="O611" s="66"/>
      <c r="P611" s="34">
        <f t="shared" si="2"/>
        <v>0</v>
      </c>
    </row>
    <row r="612" ht="22.5" customHeight="1">
      <c r="A612" s="35"/>
      <c r="B612" s="36"/>
      <c r="C612" s="37"/>
      <c r="D612" s="37"/>
      <c r="E612" s="2"/>
      <c r="F612" s="38"/>
      <c r="G612" s="39"/>
      <c r="I612" s="61"/>
      <c r="J612" s="62"/>
      <c r="K612" s="63"/>
      <c r="L612" s="63"/>
      <c r="M612" s="64"/>
      <c r="N612" s="65"/>
      <c r="O612" s="66"/>
      <c r="P612" s="34">
        <f t="shared" si="2"/>
        <v>0</v>
      </c>
    </row>
    <row r="613" ht="22.5" customHeight="1">
      <c r="A613" s="35"/>
      <c r="B613" s="36"/>
      <c r="C613" s="41"/>
      <c r="D613" s="37"/>
      <c r="E613" s="2"/>
      <c r="F613" s="38"/>
      <c r="G613" s="39"/>
      <c r="I613" s="61"/>
      <c r="J613" s="62"/>
      <c r="K613" s="63"/>
      <c r="L613" s="63"/>
      <c r="M613" s="64"/>
      <c r="N613" s="65"/>
      <c r="O613" s="66"/>
      <c r="P613" s="34">
        <f t="shared" si="2"/>
        <v>0</v>
      </c>
    </row>
    <row r="614" ht="22.5" customHeight="1">
      <c r="A614" s="35"/>
      <c r="B614" s="36"/>
      <c r="C614" s="41"/>
      <c r="D614" s="37"/>
      <c r="E614" s="2"/>
      <c r="F614" s="38"/>
      <c r="G614" s="39"/>
      <c r="I614" s="61"/>
      <c r="J614" s="62"/>
      <c r="K614" s="63"/>
      <c r="L614" s="63"/>
      <c r="M614" s="64"/>
      <c r="N614" s="65"/>
      <c r="O614" s="66"/>
      <c r="P614" s="34">
        <f t="shared" si="2"/>
        <v>0</v>
      </c>
    </row>
    <row r="615" ht="22.5" customHeight="1">
      <c r="A615" s="35"/>
      <c r="B615" s="36"/>
      <c r="C615" s="37"/>
      <c r="D615" s="37"/>
      <c r="E615" s="2"/>
      <c r="F615" s="38"/>
      <c r="G615" s="39"/>
      <c r="I615" s="61"/>
      <c r="J615" s="62"/>
      <c r="K615" s="63"/>
      <c r="L615" s="63"/>
      <c r="M615" s="64"/>
      <c r="N615" s="65"/>
      <c r="O615" s="66"/>
      <c r="P615" s="34">
        <f t="shared" si="2"/>
        <v>0</v>
      </c>
    </row>
    <row r="616" ht="22.5" customHeight="1">
      <c r="A616" s="35"/>
      <c r="B616" s="36"/>
      <c r="C616" s="41"/>
      <c r="D616" s="37"/>
      <c r="E616" s="2"/>
      <c r="F616" s="38"/>
      <c r="G616" s="39"/>
      <c r="I616" s="61"/>
      <c r="J616" s="62"/>
      <c r="K616" s="63"/>
      <c r="L616" s="63"/>
      <c r="M616" s="64"/>
      <c r="N616" s="65"/>
      <c r="O616" s="66"/>
      <c r="P616" s="34">
        <f t="shared" si="2"/>
        <v>0</v>
      </c>
    </row>
    <row r="617" ht="22.5" customHeight="1">
      <c r="A617" s="35"/>
      <c r="B617" s="36"/>
      <c r="C617" s="37"/>
      <c r="D617" s="37"/>
      <c r="E617" s="2"/>
      <c r="F617" s="2"/>
      <c r="G617" s="39"/>
      <c r="I617" s="61"/>
      <c r="J617" s="62"/>
      <c r="K617" s="63"/>
      <c r="L617" s="63"/>
      <c r="M617" s="64"/>
      <c r="N617" s="65"/>
      <c r="O617" s="66"/>
      <c r="P617" s="34">
        <f t="shared" si="2"/>
        <v>0</v>
      </c>
    </row>
    <row r="618" ht="22.5" customHeight="1">
      <c r="A618" s="40"/>
      <c r="B618" s="48"/>
      <c r="C618" s="67"/>
      <c r="D618" s="49"/>
      <c r="E618" s="50"/>
      <c r="F618" s="51"/>
      <c r="G618" s="54"/>
      <c r="I618" s="61"/>
      <c r="J618" s="62"/>
      <c r="K618" s="63"/>
      <c r="L618" s="63"/>
      <c r="M618" s="64"/>
      <c r="N618" s="65"/>
      <c r="O618" s="66"/>
      <c r="P618" s="34">
        <f t="shared" si="2"/>
        <v>0</v>
      </c>
    </row>
    <row r="619" ht="22.5" customHeight="1">
      <c r="A619" s="35"/>
      <c r="B619" s="36"/>
      <c r="C619" s="41"/>
      <c r="D619" s="37"/>
      <c r="E619" s="2"/>
      <c r="F619" s="38"/>
      <c r="G619" s="39"/>
      <c r="I619" s="61"/>
      <c r="J619" s="62"/>
      <c r="K619" s="63"/>
      <c r="L619" s="63"/>
      <c r="M619" s="64"/>
      <c r="N619" s="65"/>
      <c r="O619" s="66"/>
      <c r="P619" s="34">
        <f t="shared" si="2"/>
        <v>0</v>
      </c>
    </row>
    <row r="620" ht="22.5" customHeight="1">
      <c r="A620" s="35"/>
      <c r="B620" s="36"/>
      <c r="C620" s="41"/>
      <c r="D620" s="37"/>
      <c r="E620" s="2"/>
      <c r="F620" s="38"/>
      <c r="G620" s="39"/>
      <c r="I620" s="61"/>
      <c r="J620" s="62"/>
      <c r="K620" s="63"/>
      <c r="L620" s="63"/>
      <c r="M620" s="64"/>
      <c r="N620" s="65"/>
      <c r="O620" s="66"/>
      <c r="P620" s="34">
        <f t="shared" si="2"/>
        <v>0</v>
      </c>
    </row>
    <row r="621" ht="22.5" customHeight="1">
      <c r="A621" s="35"/>
      <c r="B621" s="36"/>
      <c r="C621" s="41"/>
      <c r="D621" s="37"/>
      <c r="E621" s="2"/>
      <c r="F621" s="38"/>
      <c r="G621" s="39"/>
      <c r="I621" s="61"/>
      <c r="J621" s="62"/>
      <c r="K621" s="63"/>
      <c r="L621" s="63"/>
      <c r="M621" s="64"/>
      <c r="N621" s="65"/>
      <c r="O621" s="66"/>
      <c r="P621" s="34">
        <f t="shared" si="2"/>
        <v>0</v>
      </c>
    </row>
    <row r="622" ht="22.5" customHeight="1">
      <c r="A622" s="35"/>
      <c r="B622" s="36"/>
      <c r="C622" s="41"/>
      <c r="D622" s="37"/>
      <c r="E622" s="2"/>
      <c r="F622" s="38"/>
      <c r="G622" s="39"/>
      <c r="I622" s="61"/>
      <c r="J622" s="62"/>
      <c r="K622" s="63"/>
      <c r="L622" s="63"/>
      <c r="M622" s="64"/>
      <c r="N622" s="65"/>
      <c r="O622" s="66"/>
      <c r="P622" s="34">
        <f t="shared" si="2"/>
        <v>0</v>
      </c>
    </row>
    <row r="623" ht="22.5" customHeight="1">
      <c r="A623" s="35"/>
      <c r="B623" s="36"/>
      <c r="C623" s="41"/>
      <c r="D623" s="37"/>
      <c r="E623" s="2"/>
      <c r="F623" s="38"/>
      <c r="G623" s="39"/>
      <c r="I623" s="61"/>
      <c r="J623" s="62"/>
      <c r="K623" s="63"/>
      <c r="L623" s="63"/>
      <c r="M623" s="64"/>
      <c r="N623" s="65"/>
      <c r="O623" s="66"/>
      <c r="P623" s="34">
        <f t="shared" si="2"/>
        <v>0</v>
      </c>
    </row>
    <row r="624" ht="22.5" customHeight="1">
      <c r="A624" s="35"/>
      <c r="B624" s="36"/>
      <c r="C624" s="37"/>
      <c r="D624" s="37"/>
      <c r="E624" s="2"/>
      <c r="F624" s="38"/>
      <c r="G624" s="39"/>
      <c r="I624" s="61"/>
      <c r="J624" s="62"/>
      <c r="K624" s="63"/>
      <c r="L624" s="63"/>
      <c r="M624" s="64"/>
      <c r="N624" s="65"/>
      <c r="O624" s="66"/>
      <c r="P624" s="34">
        <f t="shared" si="2"/>
        <v>0</v>
      </c>
    </row>
    <row r="625" ht="22.5" customHeight="1">
      <c r="A625" s="35"/>
      <c r="B625" s="36"/>
      <c r="C625" s="37"/>
      <c r="D625" s="37"/>
      <c r="E625" s="2"/>
      <c r="F625" s="38"/>
      <c r="G625" s="39"/>
      <c r="I625" s="61"/>
      <c r="J625" s="62"/>
      <c r="K625" s="63"/>
      <c r="L625" s="63"/>
      <c r="M625" s="64"/>
      <c r="N625" s="65"/>
      <c r="O625" s="66"/>
      <c r="P625" s="34">
        <f t="shared" si="2"/>
        <v>0</v>
      </c>
    </row>
    <row r="626" ht="22.5" customHeight="1">
      <c r="A626" s="35"/>
      <c r="B626" s="36"/>
      <c r="C626" s="37"/>
      <c r="D626" s="37"/>
      <c r="E626" s="2"/>
      <c r="F626" s="38"/>
      <c r="G626" s="39"/>
      <c r="I626" s="61"/>
      <c r="J626" s="62"/>
      <c r="K626" s="63"/>
      <c r="L626" s="63"/>
      <c r="M626" s="64"/>
      <c r="N626" s="65"/>
      <c r="O626" s="66"/>
      <c r="P626" s="34">
        <f t="shared" si="2"/>
        <v>0</v>
      </c>
    </row>
    <row r="627" ht="22.5" customHeight="1">
      <c r="A627" s="35"/>
      <c r="B627" s="36"/>
      <c r="C627" s="37"/>
      <c r="D627" s="37"/>
      <c r="E627" s="2"/>
      <c r="F627" s="38"/>
      <c r="G627" s="39"/>
      <c r="I627" s="61"/>
      <c r="J627" s="62"/>
      <c r="K627" s="63"/>
      <c r="L627" s="63"/>
      <c r="M627" s="64"/>
      <c r="N627" s="65"/>
      <c r="O627" s="66"/>
      <c r="P627" s="34">
        <f t="shared" si="2"/>
        <v>0</v>
      </c>
    </row>
    <row r="628" ht="22.5" customHeight="1">
      <c r="A628" s="35"/>
      <c r="B628" s="36"/>
      <c r="C628" s="37"/>
      <c r="D628" s="37"/>
      <c r="E628" s="2"/>
      <c r="F628" s="38"/>
      <c r="G628" s="39"/>
      <c r="I628" s="61"/>
      <c r="J628" s="62"/>
      <c r="K628" s="63"/>
      <c r="L628" s="63"/>
      <c r="M628" s="64"/>
      <c r="N628" s="65"/>
      <c r="O628" s="66"/>
      <c r="P628" s="34">
        <f t="shared" si="2"/>
        <v>0</v>
      </c>
    </row>
    <row r="629" ht="22.5" customHeight="1">
      <c r="A629" s="35"/>
      <c r="B629" s="36"/>
      <c r="C629" s="37"/>
      <c r="D629" s="37"/>
      <c r="E629" s="2"/>
      <c r="F629" s="38"/>
      <c r="G629" s="39"/>
      <c r="I629" s="61"/>
      <c r="J629" s="62"/>
      <c r="K629" s="63"/>
      <c r="L629" s="63"/>
      <c r="M629" s="64"/>
      <c r="N629" s="65"/>
      <c r="O629" s="66"/>
      <c r="P629" s="34">
        <f t="shared" si="2"/>
        <v>0</v>
      </c>
    </row>
    <row r="630" ht="22.5" customHeight="1">
      <c r="A630" s="35"/>
      <c r="B630" s="36"/>
      <c r="C630" s="37"/>
      <c r="D630" s="37"/>
      <c r="E630" s="2"/>
      <c r="F630" s="38"/>
      <c r="G630" s="39"/>
      <c r="I630" s="61"/>
      <c r="J630" s="62"/>
      <c r="K630" s="63"/>
      <c r="L630" s="63"/>
      <c r="M630" s="64"/>
      <c r="N630" s="65"/>
      <c r="O630" s="66"/>
      <c r="P630" s="34">
        <f t="shared" si="2"/>
        <v>0</v>
      </c>
    </row>
    <row r="631" ht="22.5" customHeight="1">
      <c r="A631" s="35"/>
      <c r="B631" s="36"/>
      <c r="C631" s="37"/>
      <c r="D631" s="37"/>
      <c r="E631" s="2"/>
      <c r="F631" s="38"/>
      <c r="G631" s="39"/>
      <c r="I631" s="61"/>
      <c r="J631" s="62"/>
      <c r="K631" s="63"/>
      <c r="L631" s="63"/>
      <c r="M631" s="64"/>
      <c r="N631" s="65"/>
      <c r="O631" s="66"/>
      <c r="P631" s="34">
        <f t="shared" si="2"/>
        <v>0</v>
      </c>
    </row>
    <row r="632" ht="22.5" customHeight="1">
      <c r="A632" s="35"/>
      <c r="B632" s="36"/>
      <c r="C632" s="41"/>
      <c r="D632" s="37"/>
      <c r="E632" s="2"/>
      <c r="F632" s="38"/>
      <c r="G632" s="39"/>
      <c r="I632" s="61"/>
      <c r="J632" s="62"/>
      <c r="K632" s="63"/>
      <c r="L632" s="63"/>
      <c r="M632" s="64"/>
      <c r="N632" s="65"/>
      <c r="O632" s="66"/>
      <c r="P632" s="34">
        <f t="shared" si="2"/>
        <v>0</v>
      </c>
    </row>
    <row r="633" ht="22.5" customHeight="1">
      <c r="A633" s="35"/>
      <c r="B633" s="36"/>
      <c r="C633" s="37"/>
      <c r="D633" s="37"/>
      <c r="E633" s="2"/>
      <c r="F633" s="38"/>
      <c r="G633" s="39"/>
      <c r="I633" s="61"/>
      <c r="J633" s="62"/>
      <c r="K633" s="63"/>
      <c r="L633" s="63"/>
      <c r="M633" s="64"/>
      <c r="N633" s="65"/>
      <c r="O633" s="66"/>
      <c r="P633" s="34">
        <f t="shared" si="2"/>
        <v>0</v>
      </c>
    </row>
    <row r="634" ht="22.5" customHeight="1">
      <c r="A634" s="35"/>
      <c r="B634" s="36"/>
      <c r="C634" s="41"/>
      <c r="D634" s="37"/>
      <c r="E634" s="2"/>
      <c r="F634" s="38"/>
      <c r="G634" s="39"/>
      <c r="I634" s="61"/>
      <c r="J634" s="62"/>
      <c r="K634" s="63"/>
      <c r="L634" s="63"/>
      <c r="M634" s="64"/>
      <c r="N634" s="65"/>
      <c r="O634" s="66"/>
      <c r="P634" s="34">
        <f t="shared" si="2"/>
        <v>0</v>
      </c>
    </row>
    <row r="635" ht="22.5" customHeight="1">
      <c r="A635" s="35"/>
      <c r="B635" s="36"/>
      <c r="C635" s="37"/>
      <c r="D635" s="37"/>
      <c r="E635" s="2"/>
      <c r="F635" s="38"/>
      <c r="G635" s="39"/>
      <c r="I635" s="61"/>
      <c r="J635" s="62"/>
      <c r="K635" s="63"/>
      <c r="L635" s="63"/>
      <c r="M635" s="64"/>
      <c r="N635" s="65"/>
      <c r="O635" s="66"/>
      <c r="P635" s="34">
        <f t="shared" si="2"/>
        <v>0</v>
      </c>
    </row>
    <row r="636" ht="22.5" customHeight="1">
      <c r="A636" s="35"/>
      <c r="B636" s="36"/>
      <c r="C636" s="37"/>
      <c r="D636" s="37"/>
      <c r="E636" s="2"/>
      <c r="F636" s="38"/>
      <c r="G636" s="39"/>
      <c r="I636" s="61"/>
      <c r="J636" s="62"/>
      <c r="K636" s="63"/>
      <c r="L636" s="63"/>
      <c r="M636" s="64"/>
      <c r="N636" s="65"/>
      <c r="O636" s="66"/>
      <c r="P636" s="34">
        <f t="shared" si="2"/>
        <v>0</v>
      </c>
    </row>
    <row r="637" ht="22.5" customHeight="1">
      <c r="A637" s="35"/>
      <c r="B637" s="36"/>
      <c r="C637" s="41"/>
      <c r="D637" s="37"/>
      <c r="E637" s="2"/>
      <c r="F637" s="38"/>
      <c r="G637" s="39"/>
      <c r="I637" s="61"/>
      <c r="J637" s="62"/>
      <c r="K637" s="63"/>
      <c r="L637" s="63"/>
      <c r="M637" s="64"/>
      <c r="N637" s="65"/>
      <c r="O637" s="66"/>
      <c r="P637" s="34">
        <f t="shared" si="2"/>
        <v>0</v>
      </c>
    </row>
    <row r="638" ht="22.5" customHeight="1">
      <c r="A638" s="35"/>
      <c r="B638" s="36"/>
      <c r="C638" s="37"/>
      <c r="D638" s="37"/>
      <c r="E638" s="2"/>
      <c r="F638" s="38"/>
      <c r="G638" s="39"/>
      <c r="I638" s="61"/>
      <c r="J638" s="62"/>
      <c r="K638" s="63"/>
      <c r="L638" s="63"/>
      <c r="M638" s="64"/>
      <c r="N638" s="65"/>
      <c r="O638" s="66"/>
      <c r="P638" s="34">
        <f t="shared" si="2"/>
        <v>0</v>
      </c>
    </row>
    <row r="639" ht="22.5" customHeight="1">
      <c r="A639" s="35"/>
      <c r="B639" s="36"/>
      <c r="C639" s="41"/>
      <c r="D639" s="37"/>
      <c r="E639" s="2"/>
      <c r="F639" s="38"/>
      <c r="G639" s="39"/>
      <c r="I639" s="61"/>
      <c r="J639" s="62"/>
      <c r="K639" s="63"/>
      <c r="L639" s="63"/>
      <c r="M639" s="64"/>
      <c r="N639" s="65"/>
      <c r="O639" s="66"/>
      <c r="P639" s="34">
        <f t="shared" si="2"/>
        <v>0</v>
      </c>
    </row>
    <row r="640" ht="22.5" customHeight="1">
      <c r="A640" s="35"/>
      <c r="B640" s="36"/>
      <c r="C640" s="37"/>
      <c r="D640" s="37"/>
      <c r="E640" s="2"/>
      <c r="F640" s="38"/>
      <c r="G640" s="39"/>
      <c r="I640" s="61"/>
      <c r="J640" s="62"/>
      <c r="K640" s="63"/>
      <c r="L640" s="63"/>
      <c r="M640" s="64"/>
      <c r="N640" s="65"/>
      <c r="O640" s="66"/>
      <c r="P640" s="34">
        <f t="shared" si="2"/>
        <v>0</v>
      </c>
    </row>
    <row r="641" ht="22.5" customHeight="1">
      <c r="A641" s="35"/>
      <c r="B641" s="36"/>
      <c r="C641" s="41"/>
      <c r="D641" s="37"/>
      <c r="E641" s="2"/>
      <c r="F641" s="38"/>
      <c r="G641" s="39"/>
      <c r="I641" s="61"/>
      <c r="J641" s="62"/>
      <c r="K641" s="63"/>
      <c r="L641" s="63"/>
      <c r="M641" s="64"/>
      <c r="N641" s="65"/>
      <c r="O641" s="66"/>
      <c r="P641" s="34">
        <f t="shared" si="2"/>
        <v>0</v>
      </c>
    </row>
    <row r="642" ht="22.5" customHeight="1">
      <c r="A642" s="35"/>
      <c r="B642" s="36"/>
      <c r="C642" s="37"/>
      <c r="D642" s="37"/>
      <c r="E642" s="2"/>
      <c r="F642" s="38"/>
      <c r="G642" s="39"/>
      <c r="I642" s="61"/>
      <c r="J642" s="62"/>
      <c r="K642" s="63"/>
      <c r="L642" s="63"/>
      <c r="M642" s="64"/>
      <c r="N642" s="65"/>
      <c r="O642" s="66"/>
      <c r="P642" s="34">
        <f t="shared" si="2"/>
        <v>0</v>
      </c>
    </row>
    <row r="643" ht="22.5" customHeight="1">
      <c r="A643" s="35"/>
      <c r="B643" s="36"/>
      <c r="C643" s="37"/>
      <c r="D643" s="37"/>
      <c r="E643" s="2"/>
      <c r="F643" s="38"/>
      <c r="G643" s="39"/>
      <c r="I643" s="61"/>
      <c r="J643" s="62"/>
      <c r="K643" s="63"/>
      <c r="L643" s="63"/>
      <c r="M643" s="64"/>
      <c r="N643" s="65"/>
      <c r="O643" s="66"/>
      <c r="P643" s="34">
        <f t="shared" si="2"/>
        <v>0</v>
      </c>
    </row>
    <row r="644" ht="22.5" customHeight="1">
      <c r="A644" s="35"/>
      <c r="B644" s="36"/>
      <c r="C644" s="37"/>
      <c r="D644" s="37"/>
      <c r="E644" s="2"/>
      <c r="F644" s="38"/>
      <c r="G644" s="39"/>
      <c r="I644" s="61"/>
      <c r="J644" s="62"/>
      <c r="K644" s="63"/>
      <c r="L644" s="63"/>
      <c r="M644" s="64"/>
      <c r="N644" s="65"/>
      <c r="O644" s="66"/>
      <c r="P644" s="34">
        <f t="shared" si="2"/>
        <v>0</v>
      </c>
    </row>
    <row r="645" ht="22.5" customHeight="1">
      <c r="A645" s="35"/>
      <c r="B645" s="36"/>
      <c r="C645" s="41"/>
      <c r="D645" s="37"/>
      <c r="E645" s="2"/>
      <c r="F645" s="38"/>
      <c r="G645" s="39"/>
      <c r="I645" s="61"/>
      <c r="J645" s="62"/>
      <c r="K645" s="63"/>
      <c r="L645" s="63"/>
      <c r="M645" s="64"/>
      <c r="N645" s="65"/>
      <c r="O645" s="66"/>
      <c r="P645" s="34">
        <f t="shared" si="2"/>
        <v>0</v>
      </c>
    </row>
    <row r="646" ht="22.5" customHeight="1">
      <c r="A646" s="35"/>
      <c r="B646" s="36"/>
      <c r="C646" s="37"/>
      <c r="D646" s="37"/>
      <c r="E646" s="2"/>
      <c r="F646" s="38"/>
      <c r="G646" s="39"/>
      <c r="I646" s="61"/>
      <c r="J646" s="62"/>
      <c r="K646" s="63"/>
      <c r="L646" s="63"/>
      <c r="M646" s="64"/>
      <c r="N646" s="65"/>
      <c r="O646" s="66"/>
      <c r="P646" s="34">
        <f t="shared" si="2"/>
        <v>0</v>
      </c>
    </row>
    <row r="647" ht="22.5" customHeight="1">
      <c r="A647" s="35"/>
      <c r="B647" s="36"/>
      <c r="C647" s="37"/>
      <c r="D647" s="37"/>
      <c r="E647" s="2"/>
      <c r="F647" s="38"/>
      <c r="G647" s="39"/>
      <c r="I647" s="61"/>
      <c r="J647" s="62"/>
      <c r="K647" s="63"/>
      <c r="L647" s="63"/>
      <c r="M647" s="64"/>
      <c r="N647" s="65"/>
      <c r="O647" s="66"/>
      <c r="P647" s="34">
        <f t="shared" si="2"/>
        <v>0</v>
      </c>
    </row>
    <row r="648" ht="22.5" customHeight="1">
      <c r="A648" s="35"/>
      <c r="B648" s="36"/>
      <c r="C648" s="37"/>
      <c r="D648" s="37"/>
      <c r="E648" s="2"/>
      <c r="F648" s="38"/>
      <c r="G648" s="39"/>
      <c r="I648" s="61"/>
      <c r="J648" s="62"/>
      <c r="K648" s="63"/>
      <c r="L648" s="63"/>
      <c r="M648" s="64"/>
      <c r="N648" s="65"/>
      <c r="O648" s="66"/>
      <c r="P648" s="34">
        <f t="shared" si="2"/>
        <v>0</v>
      </c>
    </row>
    <row r="649" ht="22.5" customHeight="1">
      <c r="A649" s="35"/>
      <c r="B649" s="36"/>
      <c r="C649" s="41"/>
      <c r="D649" s="37"/>
      <c r="E649" s="2"/>
      <c r="F649" s="38"/>
      <c r="G649" s="39"/>
      <c r="I649" s="61"/>
      <c r="J649" s="62"/>
      <c r="K649" s="63"/>
      <c r="L649" s="63"/>
      <c r="M649" s="64"/>
      <c r="N649" s="65"/>
      <c r="O649" s="66"/>
      <c r="P649" s="34">
        <f t="shared" si="2"/>
        <v>0</v>
      </c>
    </row>
    <row r="650" ht="22.5" customHeight="1">
      <c r="A650" s="35"/>
      <c r="B650" s="36"/>
      <c r="C650" s="37"/>
      <c r="D650" s="37"/>
      <c r="E650" s="2"/>
      <c r="F650" s="38"/>
      <c r="G650" s="39"/>
      <c r="I650" s="61"/>
      <c r="J650" s="62"/>
      <c r="K650" s="63"/>
      <c r="L650" s="63"/>
      <c r="M650" s="64"/>
      <c r="N650" s="65"/>
      <c r="O650" s="66"/>
      <c r="P650" s="34">
        <f t="shared" si="2"/>
        <v>0</v>
      </c>
    </row>
    <row r="651" ht="22.5" customHeight="1">
      <c r="A651" s="35"/>
      <c r="B651" s="36"/>
      <c r="C651" s="37"/>
      <c r="D651" s="37"/>
      <c r="E651" s="2"/>
      <c r="F651" s="38"/>
      <c r="G651" s="39"/>
      <c r="I651" s="61"/>
      <c r="J651" s="62"/>
      <c r="K651" s="63"/>
      <c r="L651" s="63"/>
      <c r="M651" s="64"/>
      <c r="N651" s="65"/>
      <c r="O651" s="66"/>
      <c r="P651" s="34">
        <f t="shared" si="2"/>
        <v>0</v>
      </c>
    </row>
    <row r="652" ht="22.5" customHeight="1">
      <c r="A652" s="35"/>
      <c r="B652" s="36"/>
      <c r="C652" s="37"/>
      <c r="D652" s="37"/>
      <c r="E652" s="2"/>
      <c r="F652" s="38"/>
      <c r="G652" s="39"/>
      <c r="I652" s="61"/>
      <c r="J652" s="62"/>
      <c r="K652" s="63"/>
      <c r="L652" s="63"/>
      <c r="M652" s="64"/>
      <c r="N652" s="65"/>
      <c r="O652" s="66"/>
      <c r="P652" s="34">
        <f t="shared" si="2"/>
        <v>0</v>
      </c>
    </row>
    <row r="653" ht="22.5" customHeight="1">
      <c r="A653" s="35"/>
      <c r="B653" s="36"/>
      <c r="C653" s="37"/>
      <c r="D653" s="37"/>
      <c r="E653" s="2"/>
      <c r="F653" s="38"/>
      <c r="G653" s="39"/>
      <c r="I653" s="61"/>
      <c r="J653" s="62"/>
      <c r="K653" s="63"/>
      <c r="L653" s="63"/>
      <c r="M653" s="64"/>
      <c r="N653" s="65"/>
      <c r="O653" s="66"/>
      <c r="P653" s="34">
        <f t="shared" si="2"/>
        <v>0</v>
      </c>
    </row>
    <row r="654" ht="22.5" customHeight="1">
      <c r="A654" s="35"/>
      <c r="B654" s="36"/>
      <c r="C654" s="41"/>
      <c r="D654" s="37"/>
      <c r="E654" s="2"/>
      <c r="F654" s="38"/>
      <c r="G654" s="39"/>
      <c r="I654" s="61"/>
      <c r="J654" s="62"/>
      <c r="K654" s="63"/>
      <c r="L654" s="63"/>
      <c r="M654" s="64"/>
      <c r="N654" s="65"/>
      <c r="O654" s="66"/>
      <c r="P654" s="34">
        <f t="shared" si="2"/>
        <v>0</v>
      </c>
    </row>
    <row r="655" ht="22.5" customHeight="1">
      <c r="A655" s="35"/>
      <c r="B655" s="36"/>
      <c r="C655" s="37"/>
      <c r="D655" s="37"/>
      <c r="E655" s="2"/>
      <c r="F655" s="38"/>
      <c r="G655" s="39"/>
      <c r="I655" s="61"/>
      <c r="J655" s="62"/>
      <c r="K655" s="63"/>
      <c r="L655" s="63"/>
      <c r="M655" s="64"/>
      <c r="N655" s="65"/>
      <c r="O655" s="66"/>
      <c r="P655" s="34">
        <f t="shared" si="2"/>
        <v>0</v>
      </c>
    </row>
    <row r="656" ht="22.5" customHeight="1">
      <c r="A656" s="35"/>
      <c r="B656" s="36"/>
      <c r="C656" s="37"/>
      <c r="D656" s="37"/>
      <c r="E656" s="2"/>
      <c r="F656" s="38"/>
      <c r="G656" s="39"/>
      <c r="I656" s="61"/>
      <c r="J656" s="62"/>
      <c r="K656" s="63"/>
      <c r="L656" s="63"/>
      <c r="M656" s="64"/>
      <c r="N656" s="65"/>
      <c r="O656" s="66"/>
      <c r="P656" s="34">
        <f t="shared" si="2"/>
        <v>0</v>
      </c>
    </row>
    <row r="657" ht="22.5" customHeight="1">
      <c r="A657" s="35"/>
      <c r="B657" s="36"/>
      <c r="C657" s="37"/>
      <c r="D657" s="37"/>
      <c r="E657" s="2"/>
      <c r="F657" s="38"/>
      <c r="G657" s="39"/>
      <c r="I657" s="61"/>
      <c r="J657" s="62"/>
      <c r="K657" s="63"/>
      <c r="L657" s="63"/>
      <c r="M657" s="64"/>
      <c r="N657" s="65"/>
      <c r="O657" s="66"/>
      <c r="P657" s="34">
        <f t="shared" si="2"/>
        <v>0</v>
      </c>
    </row>
    <row r="658" ht="22.5" customHeight="1">
      <c r="A658" s="35"/>
      <c r="B658" s="36"/>
      <c r="C658" s="37"/>
      <c r="D658" s="37"/>
      <c r="E658" s="2"/>
      <c r="F658" s="38"/>
      <c r="G658" s="39"/>
      <c r="I658" s="61"/>
      <c r="J658" s="62"/>
      <c r="K658" s="63"/>
      <c r="L658" s="63"/>
      <c r="M658" s="64"/>
      <c r="N658" s="65"/>
      <c r="O658" s="66"/>
      <c r="P658" s="34">
        <f t="shared" si="2"/>
        <v>0</v>
      </c>
    </row>
    <row r="659" ht="22.5" customHeight="1">
      <c r="A659" s="35"/>
      <c r="B659" s="36"/>
      <c r="C659" s="41"/>
      <c r="D659" s="37"/>
      <c r="E659" s="2"/>
      <c r="F659" s="38"/>
      <c r="G659" s="39"/>
      <c r="I659" s="61"/>
      <c r="J659" s="62"/>
      <c r="K659" s="63"/>
      <c r="L659" s="63"/>
      <c r="M659" s="64"/>
      <c r="N659" s="65"/>
      <c r="O659" s="66"/>
      <c r="P659" s="34">
        <f t="shared" si="2"/>
        <v>0</v>
      </c>
    </row>
    <row r="660" ht="22.5" customHeight="1">
      <c r="A660" s="35"/>
      <c r="B660" s="36"/>
      <c r="C660" s="37"/>
      <c r="D660" s="37"/>
      <c r="E660" s="2"/>
      <c r="F660" s="38"/>
      <c r="G660" s="39"/>
      <c r="I660" s="61"/>
      <c r="J660" s="62"/>
      <c r="K660" s="63"/>
      <c r="L660" s="63"/>
      <c r="M660" s="64"/>
      <c r="N660" s="65"/>
      <c r="O660" s="66"/>
      <c r="P660" s="34">
        <f t="shared" si="2"/>
        <v>0</v>
      </c>
    </row>
    <row r="661" ht="22.5" customHeight="1">
      <c r="A661" s="35"/>
      <c r="B661" s="36"/>
      <c r="C661" s="37"/>
      <c r="D661" s="37"/>
      <c r="E661" s="2"/>
      <c r="F661" s="38"/>
      <c r="G661" s="39"/>
      <c r="I661" s="61"/>
      <c r="J661" s="62"/>
      <c r="K661" s="63"/>
      <c r="L661" s="63"/>
      <c r="M661" s="64"/>
      <c r="N661" s="65"/>
      <c r="O661" s="66"/>
      <c r="P661" s="34">
        <f t="shared" si="2"/>
        <v>0</v>
      </c>
    </row>
    <row r="662" ht="22.5" customHeight="1">
      <c r="A662" s="35"/>
      <c r="B662" s="36"/>
      <c r="C662" s="41"/>
      <c r="D662" s="37"/>
      <c r="E662" s="2"/>
      <c r="F662" s="38"/>
      <c r="G662" s="39"/>
      <c r="I662" s="61"/>
      <c r="J662" s="62"/>
      <c r="K662" s="63"/>
      <c r="L662" s="63"/>
      <c r="M662" s="64"/>
      <c r="N662" s="65"/>
      <c r="O662" s="66"/>
      <c r="P662" s="34">
        <f t="shared" si="2"/>
        <v>0</v>
      </c>
    </row>
    <row r="663" ht="22.5" customHeight="1">
      <c r="A663" s="35"/>
      <c r="B663" s="36"/>
      <c r="C663" s="41"/>
      <c r="D663" s="37"/>
      <c r="E663" s="2"/>
      <c r="F663" s="38"/>
      <c r="G663" s="39"/>
      <c r="I663" s="61"/>
      <c r="J663" s="62"/>
      <c r="K663" s="63"/>
      <c r="L663" s="63"/>
      <c r="M663" s="64"/>
      <c r="N663" s="65"/>
      <c r="O663" s="66"/>
      <c r="P663" s="34">
        <f t="shared" si="2"/>
        <v>0</v>
      </c>
    </row>
    <row r="664" ht="22.5" customHeight="1">
      <c r="A664" s="35"/>
      <c r="B664" s="36"/>
      <c r="C664" s="41"/>
      <c r="D664" s="37"/>
      <c r="E664" s="2"/>
      <c r="F664" s="38"/>
      <c r="G664" s="39"/>
      <c r="I664" s="61"/>
      <c r="J664" s="62"/>
      <c r="K664" s="63"/>
      <c r="L664" s="63"/>
      <c r="M664" s="64"/>
      <c r="N664" s="65"/>
      <c r="O664" s="66"/>
      <c r="P664" s="34">
        <f t="shared" si="2"/>
        <v>0</v>
      </c>
    </row>
    <row r="665" ht="22.5" customHeight="1">
      <c r="A665" s="35"/>
      <c r="B665" s="36"/>
      <c r="C665" s="41"/>
      <c r="D665" s="37"/>
      <c r="E665" s="2"/>
      <c r="F665" s="38"/>
      <c r="G665" s="39"/>
      <c r="I665" s="61"/>
      <c r="J665" s="62"/>
      <c r="K665" s="63"/>
      <c r="L665" s="63"/>
      <c r="M665" s="64"/>
      <c r="N665" s="65"/>
      <c r="O665" s="66"/>
      <c r="P665" s="34">
        <f t="shared" si="2"/>
        <v>0</v>
      </c>
    </row>
    <row r="666" ht="22.5" customHeight="1">
      <c r="A666" s="35"/>
      <c r="B666" s="36"/>
      <c r="C666" s="41"/>
      <c r="D666" s="37"/>
      <c r="E666" s="2"/>
      <c r="F666" s="38"/>
      <c r="G666" s="39"/>
      <c r="I666" s="61"/>
      <c r="J666" s="62"/>
      <c r="K666" s="63"/>
      <c r="L666" s="63"/>
      <c r="M666" s="64"/>
      <c r="N666" s="65"/>
      <c r="O666" s="66"/>
      <c r="P666" s="34">
        <f t="shared" si="2"/>
        <v>0</v>
      </c>
    </row>
    <row r="667" ht="22.5" customHeight="1">
      <c r="A667" s="35"/>
      <c r="B667" s="36"/>
      <c r="C667" s="41"/>
      <c r="D667" s="37"/>
      <c r="E667" s="2"/>
      <c r="F667" s="38"/>
      <c r="G667" s="39"/>
      <c r="I667" s="61"/>
      <c r="J667" s="62"/>
      <c r="K667" s="63"/>
      <c r="L667" s="63"/>
      <c r="M667" s="64"/>
      <c r="N667" s="65"/>
      <c r="O667" s="66"/>
      <c r="P667" s="34">
        <f t="shared" si="2"/>
        <v>0</v>
      </c>
    </row>
    <row r="668" ht="22.5" customHeight="1">
      <c r="A668" s="35"/>
      <c r="B668" s="36"/>
      <c r="C668" s="41"/>
      <c r="D668" s="37"/>
      <c r="E668" s="2"/>
      <c r="F668" s="38"/>
      <c r="G668" s="39"/>
      <c r="I668" s="61"/>
      <c r="J668" s="62"/>
      <c r="K668" s="63"/>
      <c r="L668" s="63"/>
      <c r="M668" s="64"/>
      <c r="N668" s="65"/>
      <c r="O668" s="66"/>
      <c r="P668" s="34">
        <f t="shared" si="2"/>
        <v>0</v>
      </c>
    </row>
    <row r="669" ht="22.5" customHeight="1">
      <c r="A669" s="35"/>
      <c r="B669" s="36"/>
      <c r="C669" s="41"/>
      <c r="D669" s="37"/>
      <c r="E669" s="2"/>
      <c r="F669" s="38"/>
      <c r="G669" s="39"/>
      <c r="I669" s="61"/>
      <c r="J669" s="62"/>
      <c r="K669" s="63"/>
      <c r="L669" s="63"/>
      <c r="M669" s="64"/>
      <c r="N669" s="65"/>
      <c r="O669" s="66"/>
      <c r="P669" s="34">
        <f t="shared" si="2"/>
        <v>0</v>
      </c>
    </row>
    <row r="670" ht="22.5" customHeight="1">
      <c r="A670" s="35"/>
      <c r="B670" s="36"/>
      <c r="C670" s="41"/>
      <c r="D670" s="37"/>
      <c r="E670" s="2"/>
      <c r="F670" s="38"/>
      <c r="G670" s="39"/>
      <c r="I670" s="61"/>
      <c r="J670" s="62"/>
      <c r="K670" s="63"/>
      <c r="L670" s="63"/>
      <c r="M670" s="64"/>
      <c r="N670" s="65"/>
      <c r="O670" s="66"/>
      <c r="P670" s="34">
        <f t="shared" si="2"/>
        <v>0</v>
      </c>
    </row>
    <row r="671" ht="22.5" customHeight="1">
      <c r="A671" s="35"/>
      <c r="B671" s="36"/>
      <c r="C671" s="41"/>
      <c r="D671" s="37"/>
      <c r="E671" s="2"/>
      <c r="F671" s="38"/>
      <c r="G671" s="39"/>
      <c r="I671" s="61"/>
      <c r="J671" s="62"/>
      <c r="K671" s="63"/>
      <c r="L671" s="63"/>
      <c r="M671" s="64"/>
      <c r="N671" s="65"/>
      <c r="O671" s="66"/>
      <c r="P671" s="34">
        <f t="shared" si="2"/>
        <v>0</v>
      </c>
    </row>
    <row r="672" ht="22.5" customHeight="1">
      <c r="A672" s="35"/>
      <c r="B672" s="36"/>
      <c r="C672" s="41"/>
      <c r="D672" s="37"/>
      <c r="E672" s="2"/>
      <c r="F672" s="38"/>
      <c r="G672" s="39"/>
      <c r="I672" s="61"/>
      <c r="J672" s="62"/>
      <c r="K672" s="63"/>
      <c r="L672" s="63"/>
      <c r="M672" s="64"/>
      <c r="N672" s="65"/>
      <c r="O672" s="66"/>
      <c r="P672" s="34">
        <f t="shared" si="2"/>
        <v>0</v>
      </c>
    </row>
    <row r="673" ht="22.5" customHeight="1">
      <c r="A673" s="35"/>
      <c r="B673" s="36"/>
      <c r="C673" s="41"/>
      <c r="D673" s="37"/>
      <c r="E673" s="2"/>
      <c r="F673" s="38"/>
      <c r="G673" s="39"/>
      <c r="I673" s="61"/>
      <c r="J673" s="62"/>
      <c r="K673" s="63"/>
      <c r="L673" s="63"/>
      <c r="M673" s="64"/>
      <c r="N673" s="65"/>
      <c r="O673" s="66"/>
      <c r="P673" s="34">
        <f t="shared" si="2"/>
        <v>0</v>
      </c>
    </row>
    <row r="674" ht="22.5" customHeight="1">
      <c r="A674" s="35"/>
      <c r="B674" s="36"/>
      <c r="C674" s="41"/>
      <c r="D674" s="37"/>
      <c r="E674" s="2"/>
      <c r="F674" s="38"/>
      <c r="G674" s="39"/>
      <c r="I674" s="61"/>
      <c r="J674" s="62"/>
      <c r="K674" s="63"/>
      <c r="L674" s="63"/>
      <c r="M674" s="64"/>
      <c r="N674" s="65"/>
      <c r="O674" s="66"/>
      <c r="P674" s="34">
        <f t="shared" si="2"/>
        <v>0</v>
      </c>
    </row>
    <row r="675" ht="22.5" customHeight="1">
      <c r="A675" s="35"/>
      <c r="B675" s="36"/>
      <c r="C675" s="37"/>
      <c r="D675" s="37"/>
      <c r="E675" s="2"/>
      <c r="F675" s="38"/>
      <c r="G675" s="39"/>
      <c r="I675" s="61"/>
      <c r="J675" s="62"/>
      <c r="K675" s="63"/>
      <c r="L675" s="63"/>
      <c r="M675" s="64"/>
      <c r="N675" s="65"/>
      <c r="O675" s="66"/>
      <c r="P675" s="34">
        <f t="shared" si="2"/>
        <v>0</v>
      </c>
    </row>
    <row r="676" ht="22.5" customHeight="1">
      <c r="A676" s="35"/>
      <c r="B676" s="36"/>
      <c r="C676" s="37"/>
      <c r="D676" s="37"/>
      <c r="E676" s="2"/>
      <c r="F676" s="38"/>
      <c r="G676" s="39"/>
      <c r="I676" s="61"/>
      <c r="J676" s="62"/>
      <c r="K676" s="63"/>
      <c r="L676" s="63"/>
      <c r="M676" s="64"/>
      <c r="N676" s="65"/>
      <c r="O676" s="66"/>
      <c r="P676" s="34">
        <f t="shared" si="2"/>
        <v>0</v>
      </c>
    </row>
    <row r="677" ht="22.5" customHeight="1">
      <c r="A677" s="35"/>
      <c r="B677" s="36"/>
      <c r="C677" s="37"/>
      <c r="D677" s="37"/>
      <c r="E677" s="2"/>
      <c r="F677" s="38"/>
      <c r="G677" s="39"/>
      <c r="I677" s="61"/>
      <c r="J677" s="62"/>
      <c r="K677" s="63"/>
      <c r="L677" s="63"/>
      <c r="M677" s="64"/>
      <c r="N677" s="65"/>
      <c r="O677" s="66"/>
      <c r="P677" s="34">
        <f t="shared" si="2"/>
        <v>0</v>
      </c>
    </row>
    <row r="678" ht="22.5" customHeight="1">
      <c r="A678" s="35"/>
      <c r="B678" s="36"/>
      <c r="C678" s="37"/>
      <c r="D678" s="37"/>
      <c r="E678" s="2"/>
      <c r="F678" s="38"/>
      <c r="G678" s="39"/>
      <c r="I678" s="61"/>
      <c r="J678" s="62"/>
      <c r="K678" s="63"/>
      <c r="L678" s="63"/>
      <c r="M678" s="64"/>
      <c r="N678" s="65"/>
      <c r="O678" s="66"/>
      <c r="P678" s="34">
        <f t="shared" si="2"/>
        <v>0</v>
      </c>
    </row>
    <row r="679" ht="22.5" customHeight="1">
      <c r="A679" s="35"/>
      <c r="B679" s="36"/>
      <c r="C679" s="37"/>
      <c r="D679" s="37"/>
      <c r="E679" s="2"/>
      <c r="F679" s="38"/>
      <c r="G679" s="39"/>
      <c r="I679" s="61"/>
      <c r="J679" s="62"/>
      <c r="K679" s="63"/>
      <c r="L679" s="63"/>
      <c r="M679" s="64"/>
      <c r="N679" s="65"/>
      <c r="O679" s="66"/>
      <c r="P679" s="34">
        <f t="shared" si="2"/>
        <v>0</v>
      </c>
    </row>
    <row r="680" ht="22.5" customHeight="1">
      <c r="A680" s="35"/>
      <c r="B680" s="36"/>
      <c r="C680" s="37"/>
      <c r="D680" s="37"/>
      <c r="E680" s="2"/>
      <c r="F680" s="38"/>
      <c r="G680" s="39"/>
      <c r="I680" s="61"/>
      <c r="J680" s="62"/>
      <c r="K680" s="63"/>
      <c r="L680" s="63"/>
      <c r="M680" s="64"/>
      <c r="N680" s="65"/>
      <c r="O680" s="66"/>
      <c r="P680" s="34">
        <f t="shared" si="2"/>
        <v>0</v>
      </c>
    </row>
    <row r="681" ht="22.5" customHeight="1">
      <c r="A681" s="35"/>
      <c r="B681" s="36"/>
      <c r="C681" s="37"/>
      <c r="D681" s="37"/>
      <c r="E681" s="2"/>
      <c r="F681" s="38"/>
      <c r="G681" s="39"/>
      <c r="I681" s="61"/>
      <c r="J681" s="62"/>
      <c r="K681" s="63"/>
      <c r="L681" s="63"/>
      <c r="M681" s="64"/>
      <c r="N681" s="65"/>
      <c r="O681" s="66"/>
      <c r="P681" s="34">
        <f t="shared" si="2"/>
        <v>0</v>
      </c>
    </row>
    <row r="682" ht="22.5" customHeight="1">
      <c r="A682" s="35"/>
      <c r="B682" s="36"/>
      <c r="C682" s="41"/>
      <c r="D682" s="37"/>
      <c r="E682" s="2"/>
      <c r="F682" s="38"/>
      <c r="G682" s="39"/>
      <c r="I682" s="61"/>
      <c r="J682" s="62"/>
      <c r="K682" s="63"/>
      <c r="L682" s="63"/>
      <c r="M682" s="64"/>
      <c r="N682" s="65"/>
      <c r="O682" s="66"/>
      <c r="P682" s="34">
        <f t="shared" si="2"/>
        <v>0</v>
      </c>
    </row>
    <row r="683" ht="22.5" customHeight="1">
      <c r="A683" s="35"/>
      <c r="B683" s="36"/>
      <c r="C683" s="37"/>
      <c r="D683" s="37"/>
      <c r="E683" s="2"/>
      <c r="F683" s="38"/>
      <c r="G683" s="39"/>
      <c r="I683" s="61"/>
      <c r="J683" s="62"/>
      <c r="K683" s="63"/>
      <c r="L683" s="63"/>
      <c r="M683" s="64"/>
      <c r="N683" s="65"/>
      <c r="O683" s="66"/>
      <c r="P683" s="34">
        <f t="shared" si="2"/>
        <v>0</v>
      </c>
    </row>
    <row r="684" ht="22.5" customHeight="1">
      <c r="A684" s="35"/>
      <c r="B684" s="36"/>
      <c r="C684" s="37"/>
      <c r="D684" s="37"/>
      <c r="E684" s="2"/>
      <c r="F684" s="38"/>
      <c r="G684" s="39"/>
      <c r="I684" s="61"/>
      <c r="J684" s="62"/>
      <c r="K684" s="63"/>
      <c r="L684" s="63"/>
      <c r="M684" s="64"/>
      <c r="N684" s="65"/>
      <c r="O684" s="66"/>
      <c r="P684" s="34">
        <f t="shared" si="2"/>
        <v>0</v>
      </c>
    </row>
    <row r="685" ht="22.5" customHeight="1">
      <c r="A685" s="35"/>
      <c r="B685" s="36"/>
      <c r="C685" s="41"/>
      <c r="D685" s="37"/>
      <c r="E685" s="2"/>
      <c r="F685" s="38"/>
      <c r="G685" s="39"/>
      <c r="I685" s="61"/>
      <c r="J685" s="62"/>
      <c r="K685" s="63"/>
      <c r="L685" s="63"/>
      <c r="M685" s="64"/>
      <c r="N685" s="65"/>
      <c r="O685" s="66"/>
      <c r="P685" s="34">
        <f t="shared" si="2"/>
        <v>0</v>
      </c>
    </row>
    <row r="686" ht="22.5" customHeight="1">
      <c r="A686" s="35"/>
      <c r="B686" s="36"/>
      <c r="C686" s="37"/>
      <c r="D686" s="37"/>
      <c r="E686" s="2"/>
      <c r="F686" s="38"/>
      <c r="G686" s="39"/>
      <c r="I686" s="61"/>
      <c r="J686" s="62"/>
      <c r="K686" s="63"/>
      <c r="L686" s="63"/>
      <c r="M686" s="64"/>
      <c r="N686" s="65"/>
      <c r="O686" s="66"/>
      <c r="P686" s="34">
        <f t="shared" si="2"/>
        <v>0</v>
      </c>
    </row>
    <row r="687" ht="22.5" customHeight="1">
      <c r="A687" s="35"/>
      <c r="B687" s="36"/>
      <c r="C687" s="37"/>
      <c r="D687" s="37"/>
      <c r="E687" s="2"/>
      <c r="F687" s="38"/>
      <c r="G687" s="39"/>
      <c r="I687" s="61"/>
      <c r="J687" s="62"/>
      <c r="K687" s="63"/>
      <c r="L687" s="63"/>
      <c r="M687" s="64"/>
      <c r="N687" s="65"/>
      <c r="O687" s="66"/>
      <c r="P687" s="34">
        <f t="shared" si="2"/>
        <v>0</v>
      </c>
    </row>
    <row r="688" ht="22.5" customHeight="1">
      <c r="A688" s="35"/>
      <c r="B688" s="36"/>
      <c r="C688" s="37"/>
      <c r="D688" s="37"/>
      <c r="E688" s="2"/>
      <c r="F688" s="38"/>
      <c r="G688" s="39"/>
      <c r="I688" s="61"/>
      <c r="J688" s="62"/>
      <c r="K688" s="63"/>
      <c r="L688" s="63"/>
      <c r="M688" s="64"/>
      <c r="N688" s="65"/>
      <c r="O688" s="66"/>
      <c r="P688" s="34">
        <f t="shared" si="2"/>
        <v>0</v>
      </c>
    </row>
    <row r="689" ht="22.5" customHeight="1">
      <c r="A689" s="35"/>
      <c r="B689" s="36"/>
      <c r="C689" s="37"/>
      <c r="D689" s="37"/>
      <c r="E689" s="2"/>
      <c r="F689" s="38"/>
      <c r="G689" s="39"/>
      <c r="I689" s="61"/>
      <c r="J689" s="62"/>
      <c r="K689" s="63"/>
      <c r="L689" s="63"/>
      <c r="M689" s="64"/>
      <c r="N689" s="65"/>
      <c r="O689" s="66"/>
      <c r="P689" s="34">
        <f t="shared" si="2"/>
        <v>0</v>
      </c>
    </row>
    <row r="690" ht="22.5" customHeight="1">
      <c r="A690" s="35"/>
      <c r="B690" s="36"/>
      <c r="C690" s="37"/>
      <c r="D690" s="37"/>
      <c r="E690" s="2"/>
      <c r="F690" s="38"/>
      <c r="G690" s="39"/>
      <c r="I690" s="61"/>
      <c r="J690" s="62"/>
      <c r="K690" s="63"/>
      <c r="L690" s="63"/>
      <c r="M690" s="64"/>
      <c r="N690" s="65"/>
      <c r="O690" s="66"/>
      <c r="P690" s="34">
        <f t="shared" si="2"/>
        <v>0</v>
      </c>
    </row>
    <row r="691" ht="22.5" customHeight="1">
      <c r="A691" s="35"/>
      <c r="B691" s="36"/>
      <c r="C691" s="41"/>
      <c r="D691" s="37"/>
      <c r="E691" s="2"/>
      <c r="F691" s="38"/>
      <c r="G691" s="39"/>
      <c r="I691" s="61"/>
      <c r="J691" s="62"/>
      <c r="K691" s="63"/>
      <c r="L691" s="63"/>
      <c r="M691" s="64"/>
      <c r="N691" s="65"/>
      <c r="O691" s="66"/>
      <c r="P691" s="34">
        <f t="shared" si="2"/>
        <v>0</v>
      </c>
    </row>
    <row r="692" ht="22.5" customHeight="1">
      <c r="A692" s="35"/>
      <c r="B692" s="36"/>
      <c r="C692" s="37"/>
      <c r="D692" s="37"/>
      <c r="E692" s="2"/>
      <c r="F692" s="38"/>
      <c r="G692" s="39"/>
      <c r="I692" s="61"/>
      <c r="J692" s="62"/>
      <c r="K692" s="63"/>
      <c r="L692" s="63"/>
      <c r="M692" s="64"/>
      <c r="N692" s="65"/>
      <c r="O692" s="66"/>
      <c r="P692" s="34">
        <f t="shared" si="2"/>
        <v>0</v>
      </c>
    </row>
    <row r="693" ht="22.5" customHeight="1">
      <c r="A693" s="35"/>
      <c r="B693" s="36"/>
      <c r="C693" s="37"/>
      <c r="D693" s="37"/>
      <c r="E693" s="2"/>
      <c r="F693" s="38"/>
      <c r="G693" s="39"/>
      <c r="I693" s="61"/>
      <c r="J693" s="62"/>
      <c r="K693" s="63"/>
      <c r="L693" s="63"/>
      <c r="M693" s="64"/>
      <c r="N693" s="65"/>
      <c r="O693" s="66"/>
      <c r="P693" s="34">
        <f t="shared" si="2"/>
        <v>0</v>
      </c>
    </row>
    <row r="694" ht="22.5" customHeight="1">
      <c r="A694" s="35"/>
      <c r="B694" s="36"/>
      <c r="C694" s="37"/>
      <c r="D694" s="37"/>
      <c r="E694" s="2"/>
      <c r="F694" s="38"/>
      <c r="G694" s="39"/>
      <c r="I694" s="61"/>
      <c r="J694" s="62"/>
      <c r="K694" s="63"/>
      <c r="L694" s="63"/>
      <c r="M694" s="64"/>
      <c r="N694" s="65"/>
      <c r="O694" s="66"/>
      <c r="P694" s="34">
        <f t="shared" si="2"/>
        <v>0</v>
      </c>
    </row>
    <row r="695" ht="22.5" customHeight="1">
      <c r="A695" s="35"/>
      <c r="B695" s="36"/>
      <c r="C695" s="41"/>
      <c r="D695" s="37"/>
      <c r="E695" s="2"/>
      <c r="F695" s="38"/>
      <c r="G695" s="39"/>
      <c r="I695" s="61"/>
      <c r="J695" s="62"/>
      <c r="K695" s="63"/>
      <c r="L695" s="63"/>
      <c r="M695" s="64"/>
      <c r="N695" s="65"/>
      <c r="O695" s="66"/>
      <c r="P695" s="34">
        <f t="shared" si="2"/>
        <v>0</v>
      </c>
    </row>
    <row r="696" ht="22.5" customHeight="1">
      <c r="A696" s="35"/>
      <c r="B696" s="36"/>
      <c r="C696" s="41"/>
      <c r="D696" s="37"/>
      <c r="E696" s="2"/>
      <c r="F696" s="38"/>
      <c r="G696" s="39"/>
      <c r="I696" s="61"/>
      <c r="J696" s="62"/>
      <c r="K696" s="63"/>
      <c r="L696" s="63"/>
      <c r="M696" s="64"/>
      <c r="N696" s="65"/>
      <c r="O696" s="66"/>
      <c r="P696" s="34">
        <f t="shared" si="2"/>
        <v>0</v>
      </c>
    </row>
    <row r="697" ht="22.5" customHeight="1">
      <c r="A697" s="35"/>
      <c r="B697" s="36"/>
      <c r="C697" s="41"/>
      <c r="D697" s="37"/>
      <c r="E697" s="2"/>
      <c r="F697" s="38"/>
      <c r="G697" s="39"/>
      <c r="I697" s="61"/>
      <c r="J697" s="62"/>
      <c r="K697" s="63"/>
      <c r="L697" s="63"/>
      <c r="M697" s="64"/>
      <c r="N697" s="65"/>
      <c r="O697" s="66"/>
      <c r="P697" s="34">
        <f t="shared" si="2"/>
        <v>0</v>
      </c>
    </row>
    <row r="698" ht="22.5" customHeight="1">
      <c r="A698" s="35"/>
      <c r="B698" s="36"/>
      <c r="C698" s="41"/>
      <c r="D698" s="37"/>
      <c r="E698" s="2"/>
      <c r="F698" s="38"/>
      <c r="G698" s="39"/>
      <c r="I698" s="61"/>
      <c r="J698" s="62"/>
      <c r="K698" s="63"/>
      <c r="L698" s="63"/>
      <c r="M698" s="64"/>
      <c r="N698" s="65"/>
      <c r="O698" s="66"/>
      <c r="P698" s="34">
        <f t="shared" si="2"/>
        <v>0</v>
      </c>
    </row>
    <row r="699" ht="22.5" customHeight="1">
      <c r="A699" s="35"/>
      <c r="B699" s="36"/>
      <c r="C699" s="41"/>
      <c r="D699" s="37"/>
      <c r="E699" s="2"/>
      <c r="F699" s="38"/>
      <c r="G699" s="39"/>
      <c r="I699" s="61"/>
      <c r="J699" s="62"/>
      <c r="K699" s="63"/>
      <c r="L699" s="63"/>
      <c r="M699" s="64"/>
      <c r="N699" s="65"/>
      <c r="O699" s="66"/>
      <c r="P699" s="34">
        <f t="shared" si="2"/>
        <v>0</v>
      </c>
    </row>
    <row r="700" ht="22.5" customHeight="1">
      <c r="A700" s="35"/>
      <c r="B700" s="36"/>
      <c r="C700" s="41"/>
      <c r="D700" s="37"/>
      <c r="E700" s="2"/>
      <c r="F700" s="38"/>
      <c r="G700" s="39"/>
      <c r="I700" s="61"/>
      <c r="J700" s="62"/>
      <c r="K700" s="63"/>
      <c r="L700" s="63"/>
      <c r="M700" s="64"/>
      <c r="N700" s="65"/>
      <c r="O700" s="66"/>
      <c r="P700" s="34">
        <f t="shared" si="2"/>
        <v>0</v>
      </c>
    </row>
    <row r="701" ht="22.5" customHeight="1">
      <c r="A701" s="35"/>
      <c r="B701" s="36"/>
      <c r="C701" s="41"/>
      <c r="D701" s="37"/>
      <c r="E701" s="2"/>
      <c r="F701" s="38"/>
      <c r="G701" s="39"/>
      <c r="I701" s="61"/>
      <c r="J701" s="62"/>
      <c r="K701" s="63"/>
      <c r="L701" s="63"/>
      <c r="M701" s="64"/>
      <c r="N701" s="65"/>
      <c r="O701" s="66"/>
      <c r="P701" s="34">
        <f t="shared" si="2"/>
        <v>0</v>
      </c>
    </row>
    <row r="702" ht="22.5" customHeight="1">
      <c r="A702" s="35"/>
      <c r="B702" s="36"/>
      <c r="C702" s="41"/>
      <c r="D702" s="37"/>
      <c r="E702" s="2"/>
      <c r="F702" s="38"/>
      <c r="G702" s="39"/>
      <c r="I702" s="61"/>
      <c r="J702" s="62"/>
      <c r="K702" s="63"/>
      <c r="L702" s="63"/>
      <c r="M702" s="64"/>
      <c r="N702" s="65"/>
      <c r="O702" s="66"/>
      <c r="P702" s="34">
        <f t="shared" si="2"/>
        <v>0</v>
      </c>
    </row>
    <row r="703" ht="22.5" customHeight="1">
      <c r="A703" s="35"/>
      <c r="B703" s="36"/>
      <c r="C703" s="41"/>
      <c r="D703" s="37"/>
      <c r="E703" s="2"/>
      <c r="F703" s="38"/>
      <c r="G703" s="39"/>
      <c r="I703" s="61"/>
      <c r="J703" s="62"/>
      <c r="K703" s="63"/>
      <c r="L703" s="63"/>
      <c r="M703" s="64"/>
      <c r="N703" s="65"/>
      <c r="O703" s="66"/>
      <c r="P703" s="34">
        <f t="shared" si="2"/>
        <v>0</v>
      </c>
    </row>
    <row r="704" ht="22.5" customHeight="1">
      <c r="A704" s="35"/>
      <c r="B704" s="36"/>
      <c r="C704" s="41"/>
      <c r="D704" s="37"/>
      <c r="E704" s="2"/>
      <c r="F704" s="38"/>
      <c r="G704" s="39"/>
      <c r="I704" s="61"/>
      <c r="J704" s="62"/>
      <c r="K704" s="63"/>
      <c r="L704" s="63"/>
      <c r="M704" s="64"/>
      <c r="N704" s="65"/>
      <c r="O704" s="66"/>
      <c r="P704" s="34">
        <f t="shared" si="2"/>
        <v>0</v>
      </c>
    </row>
    <row r="705" ht="22.5" customHeight="1">
      <c r="A705" s="35"/>
      <c r="B705" s="36"/>
      <c r="C705" s="41"/>
      <c r="D705" s="37"/>
      <c r="E705" s="2"/>
      <c r="F705" s="38"/>
      <c r="G705" s="39"/>
      <c r="I705" s="61"/>
      <c r="J705" s="62"/>
      <c r="K705" s="63"/>
      <c r="L705" s="63"/>
      <c r="M705" s="64"/>
      <c r="N705" s="65"/>
      <c r="O705" s="66"/>
      <c r="P705" s="34">
        <f t="shared" si="2"/>
        <v>0</v>
      </c>
    </row>
    <row r="706" ht="22.5" customHeight="1">
      <c r="A706" s="35"/>
      <c r="B706" s="36"/>
      <c r="C706" s="41"/>
      <c r="D706" s="37"/>
      <c r="E706" s="2"/>
      <c r="F706" s="38"/>
      <c r="G706" s="39"/>
      <c r="I706" s="61"/>
      <c r="J706" s="62"/>
      <c r="K706" s="63"/>
      <c r="L706" s="63"/>
      <c r="M706" s="64"/>
      <c r="N706" s="65"/>
      <c r="O706" s="66"/>
      <c r="P706" s="34">
        <f t="shared" si="2"/>
        <v>0</v>
      </c>
    </row>
    <row r="707" ht="22.5" customHeight="1">
      <c r="A707" s="35"/>
      <c r="B707" s="36"/>
      <c r="C707" s="41"/>
      <c r="D707" s="37"/>
      <c r="E707" s="2"/>
      <c r="F707" s="38"/>
      <c r="G707" s="39"/>
      <c r="I707" s="61"/>
      <c r="J707" s="62"/>
      <c r="K707" s="63"/>
      <c r="L707" s="63"/>
      <c r="M707" s="64"/>
      <c r="N707" s="65"/>
      <c r="O707" s="66"/>
      <c r="P707" s="34">
        <f t="shared" si="2"/>
        <v>0</v>
      </c>
    </row>
    <row r="708" ht="22.5" customHeight="1">
      <c r="A708" s="35"/>
      <c r="B708" s="36"/>
      <c r="C708" s="37"/>
      <c r="D708" s="37"/>
      <c r="E708" s="2"/>
      <c r="F708" s="38"/>
      <c r="G708" s="39"/>
      <c r="I708" s="61"/>
      <c r="J708" s="62"/>
      <c r="K708" s="63"/>
      <c r="L708" s="63"/>
      <c r="M708" s="64"/>
      <c r="N708" s="65"/>
      <c r="O708" s="66"/>
      <c r="P708" s="34">
        <f t="shared" si="2"/>
        <v>0</v>
      </c>
    </row>
    <row r="709" ht="22.5" customHeight="1">
      <c r="A709" s="35"/>
      <c r="B709" s="36"/>
      <c r="C709" s="41"/>
      <c r="D709" s="37"/>
      <c r="E709" s="2"/>
      <c r="F709" s="38"/>
      <c r="G709" s="39"/>
      <c r="I709" s="61"/>
      <c r="J709" s="62"/>
      <c r="K709" s="63"/>
      <c r="L709" s="63"/>
      <c r="M709" s="64"/>
      <c r="N709" s="65"/>
      <c r="O709" s="66"/>
      <c r="P709" s="34">
        <f t="shared" si="2"/>
        <v>0</v>
      </c>
    </row>
    <row r="710" ht="22.5" customHeight="1">
      <c r="A710" s="35"/>
      <c r="B710" s="36"/>
      <c r="C710" s="41"/>
      <c r="D710" s="37"/>
      <c r="E710" s="2"/>
      <c r="F710" s="38"/>
      <c r="G710" s="39"/>
      <c r="I710" s="61"/>
      <c r="J710" s="62"/>
      <c r="K710" s="63"/>
      <c r="L710" s="63"/>
      <c r="M710" s="64"/>
      <c r="N710" s="65"/>
      <c r="O710" s="66"/>
      <c r="P710" s="34">
        <f t="shared" si="2"/>
        <v>0</v>
      </c>
    </row>
    <row r="711" ht="22.5" customHeight="1">
      <c r="A711" s="35"/>
      <c r="B711" s="36"/>
      <c r="C711" s="41"/>
      <c r="D711" s="37"/>
      <c r="E711" s="2"/>
      <c r="F711" s="38"/>
      <c r="G711" s="39"/>
      <c r="I711" s="61"/>
      <c r="J711" s="62"/>
      <c r="K711" s="63"/>
      <c r="L711" s="63"/>
      <c r="M711" s="64"/>
      <c r="N711" s="65"/>
      <c r="O711" s="66"/>
      <c r="P711" s="34">
        <f t="shared" si="2"/>
        <v>0</v>
      </c>
    </row>
    <row r="712" ht="22.5" customHeight="1">
      <c r="A712" s="35"/>
      <c r="B712" s="36"/>
      <c r="C712" s="41"/>
      <c r="D712" s="37"/>
      <c r="E712" s="2"/>
      <c r="F712" s="38"/>
      <c r="G712" s="39"/>
      <c r="I712" s="61"/>
      <c r="J712" s="62"/>
      <c r="K712" s="63"/>
      <c r="L712" s="63"/>
      <c r="M712" s="64"/>
      <c r="N712" s="65"/>
      <c r="O712" s="66"/>
      <c r="P712" s="34">
        <f t="shared" si="2"/>
        <v>0</v>
      </c>
    </row>
    <row r="713" ht="22.5" customHeight="1">
      <c r="A713" s="35"/>
      <c r="B713" s="36"/>
      <c r="C713" s="41"/>
      <c r="D713" s="37"/>
      <c r="E713" s="2"/>
      <c r="F713" s="2"/>
      <c r="G713" s="39"/>
      <c r="I713" s="61"/>
      <c r="J713" s="62"/>
      <c r="K713" s="63"/>
      <c r="L713" s="63"/>
      <c r="M713" s="64"/>
      <c r="N713" s="65"/>
      <c r="O713" s="66"/>
      <c r="P713" s="34">
        <f t="shared" si="2"/>
        <v>0</v>
      </c>
    </row>
    <row r="714" ht="22.5" customHeight="1">
      <c r="A714" s="40"/>
      <c r="B714" s="48"/>
      <c r="C714" s="49"/>
      <c r="D714" s="49"/>
      <c r="E714" s="50"/>
      <c r="F714" s="51"/>
      <c r="G714" s="54"/>
      <c r="I714" s="61"/>
      <c r="J714" s="62"/>
      <c r="K714" s="63"/>
      <c r="L714" s="63"/>
      <c r="M714" s="64"/>
      <c r="N714" s="65"/>
      <c r="O714" s="66"/>
      <c r="P714" s="34">
        <f t="shared" si="2"/>
        <v>0</v>
      </c>
    </row>
    <row r="715" ht="22.5" customHeight="1">
      <c r="A715" s="35"/>
      <c r="B715" s="36"/>
      <c r="C715" s="41"/>
      <c r="D715" s="37"/>
      <c r="E715" s="2"/>
      <c r="F715" s="38"/>
      <c r="G715" s="39"/>
      <c r="I715" s="61"/>
      <c r="J715" s="62"/>
      <c r="K715" s="63"/>
      <c r="L715" s="63"/>
      <c r="M715" s="64"/>
      <c r="N715" s="65"/>
      <c r="O715" s="66"/>
      <c r="P715" s="34">
        <f t="shared" si="2"/>
        <v>0</v>
      </c>
    </row>
    <row r="716" ht="22.5" customHeight="1">
      <c r="A716" s="35"/>
      <c r="B716" s="36"/>
      <c r="C716" s="41"/>
      <c r="D716" s="37"/>
      <c r="E716" s="2"/>
      <c r="F716" s="38"/>
      <c r="G716" s="39"/>
      <c r="I716" s="61"/>
      <c r="J716" s="62"/>
      <c r="K716" s="63"/>
      <c r="L716" s="63"/>
      <c r="M716" s="64"/>
      <c r="N716" s="65"/>
      <c r="O716" s="66"/>
      <c r="P716" s="34">
        <f t="shared" si="2"/>
        <v>0</v>
      </c>
    </row>
    <row r="717" ht="22.5" customHeight="1">
      <c r="A717" s="35"/>
      <c r="B717" s="36"/>
      <c r="C717" s="41"/>
      <c r="D717" s="37"/>
      <c r="E717" s="2"/>
      <c r="F717" s="38"/>
      <c r="G717" s="39"/>
      <c r="I717" s="61"/>
      <c r="J717" s="62"/>
      <c r="K717" s="63"/>
      <c r="L717" s="63"/>
      <c r="M717" s="64"/>
      <c r="N717" s="65"/>
      <c r="O717" s="66"/>
      <c r="P717" s="34">
        <f t="shared" si="2"/>
        <v>0</v>
      </c>
    </row>
    <row r="718" ht="22.5" customHeight="1">
      <c r="A718" s="35"/>
      <c r="B718" s="36"/>
      <c r="C718" s="41"/>
      <c r="D718" s="37"/>
      <c r="E718" s="2"/>
      <c r="F718" s="38"/>
      <c r="G718" s="39"/>
      <c r="I718" s="61"/>
      <c r="J718" s="62"/>
      <c r="K718" s="63"/>
      <c r="L718" s="63"/>
      <c r="M718" s="64"/>
      <c r="N718" s="65"/>
      <c r="O718" s="66"/>
      <c r="P718" s="34">
        <f t="shared" si="2"/>
        <v>0</v>
      </c>
    </row>
    <row r="719" ht="22.5" customHeight="1">
      <c r="A719" s="35"/>
      <c r="B719" s="36"/>
      <c r="C719" s="41"/>
      <c r="D719" s="37"/>
      <c r="E719" s="2"/>
      <c r="F719" s="38"/>
      <c r="G719" s="39"/>
      <c r="I719" s="61"/>
      <c r="J719" s="62"/>
      <c r="K719" s="63"/>
      <c r="L719" s="63"/>
      <c r="M719" s="64"/>
      <c r="N719" s="65"/>
      <c r="O719" s="66"/>
      <c r="P719" s="34">
        <f t="shared" si="2"/>
        <v>0</v>
      </c>
    </row>
    <row r="720" ht="22.5" customHeight="1">
      <c r="A720" s="35"/>
      <c r="B720" s="36"/>
      <c r="C720" s="41"/>
      <c r="D720" s="37"/>
      <c r="E720" s="2"/>
      <c r="F720" s="38"/>
      <c r="G720" s="39"/>
      <c r="I720" s="61"/>
      <c r="J720" s="62"/>
      <c r="K720" s="63"/>
      <c r="L720" s="63"/>
      <c r="M720" s="64"/>
      <c r="N720" s="65"/>
      <c r="O720" s="66"/>
      <c r="P720" s="34">
        <f t="shared" si="2"/>
        <v>0</v>
      </c>
    </row>
    <row r="721" ht="22.5" customHeight="1">
      <c r="A721" s="35"/>
      <c r="B721" s="36"/>
      <c r="C721" s="41"/>
      <c r="D721" s="37"/>
      <c r="E721" s="2"/>
      <c r="F721" s="38"/>
      <c r="G721" s="39"/>
      <c r="I721" s="61"/>
      <c r="J721" s="62"/>
      <c r="K721" s="63"/>
      <c r="L721" s="63"/>
      <c r="M721" s="64"/>
      <c r="N721" s="65"/>
      <c r="O721" s="66"/>
      <c r="P721" s="34">
        <f t="shared" si="2"/>
        <v>0</v>
      </c>
    </row>
    <row r="722" ht="22.5" customHeight="1">
      <c r="A722" s="35"/>
      <c r="B722" s="36"/>
      <c r="C722" s="41"/>
      <c r="D722" s="37"/>
      <c r="E722" s="2"/>
      <c r="F722" s="38"/>
      <c r="G722" s="39"/>
      <c r="I722" s="61"/>
      <c r="J722" s="62"/>
      <c r="K722" s="63"/>
      <c r="L722" s="63"/>
      <c r="M722" s="64"/>
      <c r="N722" s="65"/>
      <c r="O722" s="66"/>
      <c r="P722" s="34">
        <f t="shared" si="2"/>
        <v>0</v>
      </c>
    </row>
    <row r="723" ht="22.5" customHeight="1">
      <c r="A723" s="35"/>
      <c r="B723" s="36"/>
      <c r="C723" s="41"/>
      <c r="D723" s="37"/>
      <c r="E723" s="2"/>
      <c r="F723" s="38"/>
      <c r="G723" s="39"/>
      <c r="I723" s="61"/>
      <c r="J723" s="62"/>
      <c r="K723" s="63"/>
      <c r="L723" s="63"/>
      <c r="M723" s="64"/>
      <c r="N723" s="65"/>
      <c r="O723" s="66"/>
      <c r="P723" s="34">
        <f t="shared" si="2"/>
        <v>0</v>
      </c>
    </row>
    <row r="724" ht="22.5" customHeight="1">
      <c r="A724" s="35"/>
      <c r="B724" s="36"/>
      <c r="C724" s="41"/>
      <c r="D724" s="37"/>
      <c r="E724" s="2"/>
      <c r="F724" s="38"/>
      <c r="G724" s="39"/>
      <c r="I724" s="61"/>
      <c r="J724" s="62"/>
      <c r="K724" s="63"/>
      <c r="L724" s="63"/>
      <c r="M724" s="64"/>
      <c r="N724" s="65"/>
      <c r="O724" s="66"/>
      <c r="P724" s="34">
        <f t="shared" si="2"/>
        <v>0</v>
      </c>
    </row>
    <row r="725" ht="22.5" customHeight="1">
      <c r="A725" s="35"/>
      <c r="B725" s="36"/>
      <c r="C725" s="41"/>
      <c r="D725" s="37"/>
      <c r="E725" s="2"/>
      <c r="F725" s="38"/>
      <c r="G725" s="39"/>
      <c r="I725" s="61"/>
      <c r="J725" s="62"/>
      <c r="K725" s="63"/>
      <c r="L725" s="63"/>
      <c r="M725" s="64"/>
      <c r="N725" s="65"/>
      <c r="O725" s="66"/>
      <c r="P725" s="34">
        <f t="shared" si="2"/>
        <v>0</v>
      </c>
    </row>
    <row r="726" ht="22.5" customHeight="1">
      <c r="A726" s="35"/>
      <c r="B726" s="36"/>
      <c r="C726" s="37"/>
      <c r="D726" s="37"/>
      <c r="E726" s="2"/>
      <c r="F726" s="38"/>
      <c r="G726" s="39"/>
      <c r="I726" s="61"/>
      <c r="J726" s="62"/>
      <c r="K726" s="63"/>
      <c r="L726" s="63"/>
      <c r="M726" s="64"/>
      <c r="N726" s="65"/>
      <c r="O726" s="66"/>
      <c r="P726" s="34">
        <f t="shared" si="2"/>
        <v>0</v>
      </c>
    </row>
    <row r="727" ht="22.5" customHeight="1">
      <c r="A727" s="35"/>
      <c r="B727" s="36"/>
      <c r="C727" s="37"/>
      <c r="D727" s="37"/>
      <c r="E727" s="2"/>
      <c r="F727" s="38"/>
      <c r="G727" s="39"/>
      <c r="I727" s="61"/>
      <c r="J727" s="62"/>
      <c r="K727" s="63"/>
      <c r="L727" s="63"/>
      <c r="M727" s="64"/>
      <c r="N727" s="65"/>
      <c r="O727" s="66"/>
      <c r="P727" s="34">
        <f t="shared" si="2"/>
        <v>0</v>
      </c>
    </row>
    <row r="728" ht="22.5" customHeight="1">
      <c r="A728" s="35"/>
      <c r="B728" s="36"/>
      <c r="C728" s="41"/>
      <c r="D728" s="37"/>
      <c r="E728" s="2"/>
      <c r="F728" s="38"/>
      <c r="G728" s="39"/>
      <c r="I728" s="61"/>
      <c r="J728" s="62"/>
      <c r="K728" s="63"/>
      <c r="L728" s="63"/>
      <c r="M728" s="64"/>
      <c r="N728" s="65"/>
      <c r="O728" s="66"/>
      <c r="P728" s="34">
        <f t="shared" si="2"/>
        <v>0</v>
      </c>
    </row>
    <row r="729" ht="22.5" customHeight="1">
      <c r="A729" s="35"/>
      <c r="B729" s="36"/>
      <c r="C729" s="37"/>
      <c r="D729" s="37"/>
      <c r="E729" s="2"/>
      <c r="F729" s="38"/>
      <c r="G729" s="39"/>
      <c r="I729" s="61"/>
      <c r="J729" s="62"/>
      <c r="K729" s="63"/>
      <c r="L729" s="63"/>
      <c r="M729" s="64"/>
      <c r="N729" s="65"/>
      <c r="O729" s="66"/>
      <c r="P729" s="34">
        <f t="shared" si="2"/>
        <v>0</v>
      </c>
    </row>
    <row r="730" ht="22.5" customHeight="1">
      <c r="A730" s="35"/>
      <c r="B730" s="36"/>
      <c r="C730" s="37"/>
      <c r="D730" s="37"/>
      <c r="E730" s="2"/>
      <c r="F730" s="38"/>
      <c r="G730" s="39"/>
      <c r="I730" s="61"/>
      <c r="J730" s="62"/>
      <c r="K730" s="63"/>
      <c r="L730" s="63"/>
      <c r="M730" s="64"/>
      <c r="N730" s="65"/>
      <c r="O730" s="66"/>
      <c r="P730" s="34">
        <f t="shared" si="2"/>
        <v>0</v>
      </c>
    </row>
    <row r="731" ht="22.5" customHeight="1">
      <c r="A731" s="35"/>
      <c r="B731" s="36"/>
      <c r="C731" s="41"/>
      <c r="D731" s="37"/>
      <c r="E731" s="2"/>
      <c r="F731" s="38"/>
      <c r="G731" s="39"/>
      <c r="I731" s="61"/>
      <c r="J731" s="62"/>
      <c r="K731" s="63"/>
      <c r="L731" s="63"/>
      <c r="M731" s="64"/>
      <c r="N731" s="65"/>
      <c r="O731" s="66"/>
      <c r="P731" s="34">
        <f t="shared" si="2"/>
        <v>0</v>
      </c>
    </row>
    <row r="732" ht="22.5" customHeight="1">
      <c r="A732" s="35"/>
      <c r="B732" s="36"/>
      <c r="C732" s="37"/>
      <c r="D732" s="37"/>
      <c r="E732" s="2"/>
      <c r="F732" s="38"/>
      <c r="G732" s="39"/>
      <c r="I732" s="61"/>
      <c r="J732" s="62"/>
      <c r="K732" s="63"/>
      <c r="L732" s="63"/>
      <c r="M732" s="64"/>
      <c r="N732" s="65"/>
      <c r="O732" s="66"/>
      <c r="P732" s="34">
        <f t="shared" si="2"/>
        <v>0</v>
      </c>
    </row>
    <row r="733" ht="22.5" customHeight="1">
      <c r="A733" s="35"/>
      <c r="B733" s="36"/>
      <c r="C733" s="41"/>
      <c r="D733" s="37"/>
      <c r="E733" s="2"/>
      <c r="F733" s="38"/>
      <c r="G733" s="39"/>
      <c r="I733" s="61"/>
      <c r="J733" s="62"/>
      <c r="K733" s="63"/>
      <c r="L733" s="63"/>
      <c r="M733" s="64"/>
      <c r="N733" s="65"/>
      <c r="O733" s="66"/>
      <c r="P733" s="34">
        <f t="shared" si="2"/>
        <v>0</v>
      </c>
    </row>
    <row r="734" ht="22.5" customHeight="1">
      <c r="A734" s="35"/>
      <c r="B734" s="36"/>
      <c r="C734" s="37"/>
      <c r="D734" s="37"/>
      <c r="E734" s="2"/>
      <c r="F734" s="38"/>
      <c r="G734" s="39"/>
      <c r="I734" s="61"/>
      <c r="J734" s="62"/>
      <c r="K734" s="63"/>
      <c r="L734" s="63"/>
      <c r="M734" s="64"/>
      <c r="N734" s="65"/>
      <c r="O734" s="66"/>
      <c r="P734" s="34">
        <f t="shared" si="2"/>
        <v>0</v>
      </c>
    </row>
    <row r="735" ht="22.5" customHeight="1">
      <c r="A735" s="35"/>
      <c r="B735" s="36"/>
      <c r="C735" s="41"/>
      <c r="D735" s="37"/>
      <c r="E735" s="2"/>
      <c r="F735" s="38"/>
      <c r="G735" s="39"/>
      <c r="I735" s="61"/>
      <c r="J735" s="62"/>
      <c r="K735" s="63"/>
      <c r="L735" s="63"/>
      <c r="M735" s="64"/>
      <c r="N735" s="65"/>
      <c r="O735" s="66"/>
      <c r="P735" s="34">
        <f t="shared" si="2"/>
        <v>0</v>
      </c>
    </row>
    <row r="736" ht="22.5" customHeight="1">
      <c r="A736" s="35"/>
      <c r="B736" s="36"/>
      <c r="C736" s="37"/>
      <c r="D736" s="37"/>
      <c r="E736" s="2"/>
      <c r="F736" s="38"/>
      <c r="G736" s="39"/>
      <c r="I736" s="61"/>
      <c r="J736" s="62"/>
      <c r="K736" s="63"/>
      <c r="L736" s="63"/>
      <c r="M736" s="64"/>
      <c r="N736" s="65"/>
      <c r="O736" s="66"/>
      <c r="P736" s="34">
        <f t="shared" si="2"/>
        <v>0</v>
      </c>
    </row>
    <row r="737" ht="22.5" customHeight="1">
      <c r="A737" s="35"/>
      <c r="B737" s="36"/>
      <c r="C737" s="41"/>
      <c r="D737" s="37"/>
      <c r="E737" s="2"/>
      <c r="F737" s="38"/>
      <c r="G737" s="39"/>
      <c r="I737" s="61"/>
      <c r="J737" s="62"/>
      <c r="K737" s="63"/>
      <c r="L737" s="63"/>
      <c r="M737" s="64"/>
      <c r="N737" s="65"/>
      <c r="O737" s="66"/>
      <c r="P737" s="34">
        <f t="shared" si="2"/>
        <v>0</v>
      </c>
    </row>
    <row r="738" ht="22.5" customHeight="1">
      <c r="A738" s="35"/>
      <c r="B738" s="36"/>
      <c r="C738" s="37"/>
      <c r="D738" s="37"/>
      <c r="E738" s="2"/>
      <c r="F738" s="38"/>
      <c r="G738" s="39"/>
      <c r="I738" s="61"/>
      <c r="J738" s="62"/>
      <c r="K738" s="63"/>
      <c r="L738" s="63"/>
      <c r="M738" s="64"/>
      <c r="N738" s="65"/>
      <c r="O738" s="66"/>
      <c r="P738" s="34">
        <f t="shared" si="2"/>
        <v>0</v>
      </c>
    </row>
    <row r="739" ht="22.5" customHeight="1">
      <c r="A739" s="35"/>
      <c r="B739" s="36"/>
      <c r="C739" s="41"/>
      <c r="D739" s="37"/>
      <c r="E739" s="2"/>
      <c r="F739" s="38"/>
      <c r="G739" s="39"/>
      <c r="I739" s="61"/>
      <c r="J739" s="62"/>
      <c r="K739" s="63"/>
      <c r="L739" s="63"/>
      <c r="M739" s="64"/>
      <c r="N739" s="65"/>
      <c r="O739" s="66"/>
      <c r="P739" s="34">
        <f t="shared" si="2"/>
        <v>0</v>
      </c>
    </row>
    <row r="740" ht="22.5" customHeight="1">
      <c r="A740" s="35"/>
      <c r="B740" s="36"/>
      <c r="C740" s="41"/>
      <c r="D740" s="37"/>
      <c r="E740" s="2"/>
      <c r="F740" s="38"/>
      <c r="G740" s="39"/>
      <c r="I740" s="61"/>
      <c r="J740" s="62"/>
      <c r="K740" s="63"/>
      <c r="L740" s="63"/>
      <c r="M740" s="64"/>
      <c r="N740" s="65"/>
      <c r="O740" s="66"/>
      <c r="P740" s="34">
        <f t="shared" si="2"/>
        <v>0</v>
      </c>
    </row>
    <row r="741" ht="22.5" customHeight="1">
      <c r="A741" s="35"/>
      <c r="B741" s="36"/>
      <c r="C741" s="37"/>
      <c r="D741" s="37"/>
      <c r="E741" s="2"/>
      <c r="F741" s="38"/>
      <c r="G741" s="39"/>
      <c r="I741" s="61"/>
      <c r="J741" s="62"/>
      <c r="K741" s="63"/>
      <c r="L741" s="63"/>
      <c r="M741" s="64"/>
      <c r="N741" s="65"/>
      <c r="O741" s="66"/>
      <c r="P741" s="34">
        <f t="shared" si="2"/>
        <v>0</v>
      </c>
    </row>
    <row r="742" ht="22.5" customHeight="1">
      <c r="A742" s="35"/>
      <c r="B742" s="36"/>
      <c r="C742" s="41"/>
      <c r="D742" s="37"/>
      <c r="E742" s="2"/>
      <c r="F742" s="38"/>
      <c r="G742" s="39"/>
      <c r="I742" s="61"/>
      <c r="J742" s="62"/>
      <c r="K742" s="63"/>
      <c r="L742" s="63"/>
      <c r="M742" s="64"/>
      <c r="N742" s="65"/>
      <c r="O742" s="66"/>
      <c r="P742" s="34">
        <f t="shared" si="2"/>
        <v>0</v>
      </c>
    </row>
    <row r="743" ht="22.5" customHeight="1">
      <c r="A743" s="35"/>
      <c r="B743" s="36"/>
      <c r="C743" s="37"/>
      <c r="D743" s="37"/>
      <c r="E743" s="2"/>
      <c r="F743" s="38"/>
      <c r="G743" s="39"/>
      <c r="I743" s="61"/>
      <c r="J743" s="62"/>
      <c r="K743" s="63"/>
      <c r="L743" s="63"/>
      <c r="M743" s="64"/>
      <c r="N743" s="65"/>
      <c r="O743" s="66"/>
      <c r="P743" s="34">
        <f t="shared" si="2"/>
        <v>0</v>
      </c>
    </row>
    <row r="744" ht="22.5" customHeight="1">
      <c r="A744" s="35"/>
      <c r="B744" s="36"/>
      <c r="C744" s="37"/>
      <c r="D744" s="37"/>
      <c r="E744" s="2"/>
      <c r="F744" s="38"/>
      <c r="G744" s="39"/>
      <c r="I744" s="61"/>
      <c r="J744" s="62"/>
      <c r="K744" s="63"/>
      <c r="L744" s="63"/>
      <c r="M744" s="64"/>
      <c r="N744" s="65"/>
      <c r="O744" s="66"/>
      <c r="P744" s="34">
        <f t="shared" si="2"/>
        <v>0</v>
      </c>
    </row>
    <row r="745" ht="22.5" customHeight="1">
      <c r="A745" s="35"/>
      <c r="B745" s="36"/>
      <c r="C745" s="41"/>
      <c r="D745" s="37"/>
      <c r="E745" s="2"/>
      <c r="F745" s="38"/>
      <c r="G745" s="39"/>
      <c r="I745" s="61"/>
      <c r="J745" s="62"/>
      <c r="K745" s="63"/>
      <c r="L745" s="63"/>
      <c r="M745" s="64"/>
      <c r="N745" s="65"/>
      <c r="O745" s="66"/>
      <c r="P745" s="34">
        <f t="shared" si="2"/>
        <v>0</v>
      </c>
    </row>
    <row r="746" ht="22.5" customHeight="1">
      <c r="A746" s="35"/>
      <c r="B746" s="36"/>
      <c r="C746" s="37"/>
      <c r="D746" s="37"/>
      <c r="E746" s="2"/>
      <c r="F746" s="38"/>
      <c r="G746" s="39"/>
      <c r="I746" s="61"/>
      <c r="J746" s="62"/>
      <c r="K746" s="63"/>
      <c r="L746" s="63"/>
      <c r="M746" s="64"/>
      <c r="N746" s="65"/>
      <c r="O746" s="66"/>
      <c r="P746" s="34">
        <f t="shared" si="2"/>
        <v>0</v>
      </c>
    </row>
    <row r="747" ht="22.5" customHeight="1">
      <c r="A747" s="35"/>
      <c r="B747" s="36"/>
      <c r="C747" s="37"/>
      <c r="D747" s="37"/>
      <c r="E747" s="2"/>
      <c r="F747" s="38"/>
      <c r="G747" s="39"/>
      <c r="I747" s="61"/>
      <c r="J747" s="62"/>
      <c r="K747" s="63"/>
      <c r="L747" s="63"/>
      <c r="M747" s="64"/>
      <c r="N747" s="65"/>
      <c r="O747" s="66"/>
      <c r="P747" s="34">
        <f t="shared" si="2"/>
        <v>0</v>
      </c>
    </row>
    <row r="748" ht="22.5" customHeight="1">
      <c r="A748" s="35"/>
      <c r="B748" s="36"/>
      <c r="C748" s="41"/>
      <c r="D748" s="37"/>
      <c r="E748" s="2"/>
      <c r="F748" s="38"/>
      <c r="G748" s="39"/>
      <c r="I748" s="61"/>
      <c r="J748" s="62"/>
      <c r="K748" s="63"/>
      <c r="L748" s="63"/>
      <c r="M748" s="64"/>
      <c r="N748" s="65"/>
      <c r="O748" s="66"/>
      <c r="P748" s="34">
        <f t="shared" si="2"/>
        <v>0</v>
      </c>
    </row>
    <row r="749" ht="22.5" customHeight="1">
      <c r="A749" s="35"/>
      <c r="B749" s="36"/>
      <c r="C749" s="37"/>
      <c r="D749" s="37"/>
      <c r="E749" s="2"/>
      <c r="F749" s="38"/>
      <c r="G749" s="39"/>
      <c r="I749" s="61"/>
      <c r="J749" s="62"/>
      <c r="K749" s="63"/>
      <c r="L749" s="63"/>
      <c r="M749" s="64"/>
      <c r="N749" s="65"/>
      <c r="O749" s="66"/>
      <c r="P749" s="34">
        <f t="shared" si="2"/>
        <v>0</v>
      </c>
    </row>
    <row r="750" ht="22.5" customHeight="1">
      <c r="A750" s="35"/>
      <c r="B750" s="36"/>
      <c r="C750" s="41"/>
      <c r="D750" s="37"/>
      <c r="E750" s="2"/>
      <c r="F750" s="38"/>
      <c r="G750" s="39"/>
      <c r="I750" s="61"/>
      <c r="J750" s="62"/>
      <c r="K750" s="63"/>
      <c r="L750" s="63"/>
      <c r="M750" s="64"/>
      <c r="N750" s="65"/>
      <c r="O750" s="66"/>
      <c r="P750" s="34">
        <f t="shared" si="2"/>
        <v>0</v>
      </c>
    </row>
    <row r="751" ht="22.5" customHeight="1">
      <c r="A751" s="35"/>
      <c r="B751" s="36"/>
      <c r="C751" s="37"/>
      <c r="D751" s="37"/>
      <c r="E751" s="2"/>
      <c r="F751" s="38"/>
      <c r="G751" s="39"/>
      <c r="I751" s="61"/>
      <c r="J751" s="62"/>
      <c r="K751" s="63"/>
      <c r="L751" s="63"/>
      <c r="M751" s="64"/>
      <c r="N751" s="65"/>
      <c r="O751" s="66"/>
      <c r="P751" s="34">
        <f t="shared" si="2"/>
        <v>0</v>
      </c>
    </row>
    <row r="752" ht="22.5" customHeight="1">
      <c r="A752" s="35"/>
      <c r="B752" s="36"/>
      <c r="C752" s="41"/>
      <c r="D752" s="37"/>
      <c r="E752" s="2"/>
      <c r="F752" s="38"/>
      <c r="G752" s="39"/>
      <c r="I752" s="61"/>
      <c r="J752" s="62"/>
      <c r="K752" s="63"/>
      <c r="L752" s="63"/>
      <c r="M752" s="64"/>
      <c r="N752" s="65"/>
      <c r="O752" s="66"/>
      <c r="P752" s="34">
        <f t="shared" si="2"/>
        <v>0</v>
      </c>
    </row>
    <row r="753" ht="22.5" customHeight="1">
      <c r="A753" s="35"/>
      <c r="B753" s="36"/>
      <c r="C753" s="41"/>
      <c r="D753" s="37"/>
      <c r="E753" s="2"/>
      <c r="F753" s="38"/>
      <c r="G753" s="39"/>
      <c r="I753" s="61"/>
      <c r="J753" s="62"/>
      <c r="K753" s="63"/>
      <c r="L753" s="63"/>
      <c r="M753" s="64"/>
      <c r="N753" s="65"/>
      <c r="O753" s="66"/>
      <c r="P753" s="34">
        <f t="shared" si="2"/>
        <v>0</v>
      </c>
    </row>
    <row r="754" ht="22.5" customHeight="1">
      <c r="A754" s="35"/>
      <c r="B754" s="36"/>
      <c r="C754" s="37"/>
      <c r="D754" s="37"/>
      <c r="E754" s="2"/>
      <c r="F754" s="38"/>
      <c r="G754" s="39"/>
      <c r="I754" s="61"/>
      <c r="J754" s="62"/>
      <c r="K754" s="63"/>
      <c r="L754" s="63"/>
      <c r="M754" s="64"/>
      <c r="N754" s="65"/>
      <c r="O754" s="66"/>
      <c r="P754" s="34">
        <f t="shared" si="2"/>
        <v>0</v>
      </c>
    </row>
    <row r="755" ht="22.5" customHeight="1">
      <c r="A755" s="35"/>
      <c r="B755" s="36"/>
      <c r="C755" s="37"/>
      <c r="D755" s="37"/>
      <c r="E755" s="2"/>
      <c r="F755" s="38"/>
      <c r="G755" s="39"/>
      <c r="I755" s="61"/>
      <c r="J755" s="62"/>
      <c r="K755" s="63"/>
      <c r="L755" s="63"/>
      <c r="M755" s="64"/>
      <c r="N755" s="65"/>
      <c r="O755" s="66"/>
      <c r="P755" s="34">
        <f t="shared" si="2"/>
        <v>0</v>
      </c>
    </row>
    <row r="756" ht="22.5" customHeight="1">
      <c r="A756" s="35"/>
      <c r="B756" s="36"/>
      <c r="C756" s="37"/>
      <c r="D756" s="37"/>
      <c r="E756" s="2"/>
      <c r="F756" s="38"/>
      <c r="G756" s="39"/>
      <c r="I756" s="61"/>
      <c r="J756" s="62"/>
      <c r="K756" s="63"/>
      <c r="L756" s="63"/>
      <c r="M756" s="64"/>
      <c r="N756" s="65"/>
      <c r="O756" s="66"/>
      <c r="P756" s="34">
        <f t="shared" si="2"/>
        <v>0</v>
      </c>
    </row>
    <row r="757" ht="22.5" customHeight="1">
      <c r="A757" s="35"/>
      <c r="B757" s="36"/>
      <c r="C757" s="37"/>
      <c r="D757" s="37"/>
      <c r="E757" s="2"/>
      <c r="F757" s="38"/>
      <c r="G757" s="39"/>
      <c r="I757" s="61"/>
      <c r="J757" s="62"/>
      <c r="K757" s="63"/>
      <c r="L757" s="63"/>
      <c r="M757" s="64"/>
      <c r="N757" s="65"/>
      <c r="O757" s="66"/>
      <c r="P757" s="34">
        <f t="shared" si="2"/>
        <v>0</v>
      </c>
    </row>
    <row r="758" ht="22.5" customHeight="1">
      <c r="A758" s="35"/>
      <c r="B758" s="36"/>
      <c r="C758" s="41"/>
      <c r="D758" s="37"/>
      <c r="E758" s="2"/>
      <c r="F758" s="38"/>
      <c r="G758" s="39"/>
      <c r="I758" s="61"/>
      <c r="J758" s="62"/>
      <c r="K758" s="63"/>
      <c r="L758" s="63"/>
      <c r="M758" s="64"/>
      <c r="N758" s="65"/>
      <c r="O758" s="66"/>
      <c r="P758" s="34">
        <f t="shared" si="2"/>
        <v>0</v>
      </c>
    </row>
    <row r="759" ht="22.5" customHeight="1">
      <c r="A759" s="35"/>
      <c r="B759" s="36"/>
      <c r="C759" s="41"/>
      <c r="D759" s="37"/>
      <c r="E759" s="2"/>
      <c r="F759" s="38"/>
      <c r="G759" s="39"/>
      <c r="I759" s="61"/>
      <c r="J759" s="62"/>
      <c r="K759" s="63"/>
      <c r="L759" s="63"/>
      <c r="M759" s="64"/>
      <c r="N759" s="65"/>
      <c r="O759" s="66"/>
      <c r="P759" s="34">
        <f t="shared" si="2"/>
        <v>0</v>
      </c>
    </row>
    <row r="760" ht="22.5" customHeight="1">
      <c r="A760" s="35"/>
      <c r="B760" s="36"/>
      <c r="C760" s="41"/>
      <c r="D760" s="37"/>
      <c r="E760" s="2"/>
      <c r="F760" s="38"/>
      <c r="G760" s="39"/>
      <c r="I760" s="61"/>
      <c r="J760" s="62"/>
      <c r="K760" s="63"/>
      <c r="L760" s="63"/>
      <c r="M760" s="64"/>
      <c r="N760" s="65"/>
      <c r="O760" s="66"/>
      <c r="P760" s="34">
        <f t="shared" si="2"/>
        <v>0</v>
      </c>
    </row>
    <row r="761" ht="22.5" customHeight="1">
      <c r="A761" s="35"/>
      <c r="B761" s="36"/>
      <c r="C761" s="41"/>
      <c r="D761" s="37"/>
      <c r="E761" s="2"/>
      <c r="F761" s="38"/>
      <c r="G761" s="39"/>
      <c r="I761" s="61"/>
      <c r="J761" s="62"/>
      <c r="K761" s="63"/>
      <c r="L761" s="63"/>
      <c r="M761" s="64"/>
      <c r="N761" s="65"/>
      <c r="O761" s="66"/>
      <c r="P761" s="34">
        <f t="shared" si="2"/>
        <v>0</v>
      </c>
    </row>
    <row r="762" ht="22.5" customHeight="1">
      <c r="A762" s="35"/>
      <c r="B762" s="36"/>
      <c r="C762" s="41"/>
      <c r="D762" s="37"/>
      <c r="E762" s="2"/>
      <c r="F762" s="38"/>
      <c r="G762" s="39"/>
      <c r="I762" s="61"/>
      <c r="J762" s="62"/>
      <c r="K762" s="63"/>
      <c r="L762" s="63"/>
      <c r="M762" s="64"/>
      <c r="N762" s="65"/>
      <c r="O762" s="66"/>
      <c r="P762" s="34">
        <f t="shared" si="2"/>
        <v>0</v>
      </c>
    </row>
    <row r="763" ht="22.5" customHeight="1">
      <c r="A763" s="35"/>
      <c r="B763" s="36"/>
      <c r="C763" s="41"/>
      <c r="D763" s="37"/>
      <c r="E763" s="2"/>
      <c r="F763" s="38"/>
      <c r="G763" s="39"/>
      <c r="I763" s="61"/>
      <c r="J763" s="62"/>
      <c r="K763" s="63"/>
      <c r="L763" s="63"/>
      <c r="M763" s="64"/>
      <c r="N763" s="65"/>
      <c r="O763" s="66"/>
      <c r="P763" s="34">
        <f t="shared" si="2"/>
        <v>0</v>
      </c>
    </row>
    <row r="764" ht="22.5" customHeight="1">
      <c r="A764" s="35"/>
      <c r="B764" s="36"/>
      <c r="C764" s="41"/>
      <c r="D764" s="37"/>
      <c r="E764" s="2"/>
      <c r="F764" s="38"/>
      <c r="G764" s="39"/>
      <c r="I764" s="61"/>
      <c r="J764" s="62"/>
      <c r="K764" s="63"/>
      <c r="L764" s="63"/>
      <c r="M764" s="64"/>
      <c r="N764" s="65"/>
      <c r="O764" s="66"/>
      <c r="P764" s="34">
        <f t="shared" si="2"/>
        <v>0</v>
      </c>
    </row>
    <row r="765" ht="22.5" customHeight="1">
      <c r="A765" s="35"/>
      <c r="B765" s="36"/>
      <c r="C765" s="37"/>
      <c r="D765" s="37"/>
      <c r="E765" s="2"/>
      <c r="F765" s="38"/>
      <c r="G765" s="39"/>
      <c r="I765" s="61"/>
      <c r="J765" s="62"/>
      <c r="K765" s="63"/>
      <c r="L765" s="63"/>
      <c r="M765" s="64"/>
      <c r="N765" s="65"/>
      <c r="O765" s="66"/>
      <c r="P765" s="34">
        <f t="shared" si="2"/>
        <v>0</v>
      </c>
    </row>
    <row r="766" ht="22.5" customHeight="1">
      <c r="A766" s="35"/>
      <c r="B766" s="36"/>
      <c r="C766" s="41"/>
      <c r="D766" s="37"/>
      <c r="E766" s="2"/>
      <c r="F766" s="38"/>
      <c r="G766" s="39"/>
      <c r="I766" s="61"/>
      <c r="J766" s="62"/>
      <c r="K766" s="63"/>
      <c r="L766" s="63"/>
      <c r="M766" s="64"/>
      <c r="N766" s="65"/>
      <c r="O766" s="66"/>
      <c r="P766" s="34">
        <f t="shared" si="2"/>
        <v>0</v>
      </c>
    </row>
    <row r="767" ht="22.5" customHeight="1">
      <c r="A767" s="35"/>
      <c r="B767" s="36"/>
      <c r="C767" s="41"/>
      <c r="D767" s="37"/>
      <c r="E767" s="2"/>
      <c r="F767" s="38"/>
      <c r="G767" s="39"/>
      <c r="I767" s="61"/>
      <c r="J767" s="62"/>
      <c r="K767" s="63"/>
      <c r="L767" s="63"/>
      <c r="M767" s="64"/>
      <c r="N767" s="65"/>
      <c r="O767" s="66"/>
      <c r="P767" s="34">
        <f t="shared" si="2"/>
        <v>0</v>
      </c>
    </row>
    <row r="768" ht="22.5" customHeight="1">
      <c r="A768" s="35"/>
      <c r="B768" s="36"/>
      <c r="C768" s="37"/>
      <c r="D768" s="37"/>
      <c r="E768" s="2"/>
      <c r="F768" s="38"/>
      <c r="G768" s="39"/>
      <c r="I768" s="61"/>
      <c r="J768" s="62"/>
      <c r="K768" s="63"/>
      <c r="L768" s="63"/>
      <c r="M768" s="64"/>
      <c r="N768" s="65"/>
      <c r="O768" s="66"/>
      <c r="P768" s="34">
        <f t="shared" si="2"/>
        <v>0</v>
      </c>
    </row>
    <row r="769" ht="22.5" customHeight="1">
      <c r="A769" s="35"/>
      <c r="B769" s="36"/>
      <c r="C769" s="41"/>
      <c r="D769" s="37"/>
      <c r="E769" s="2"/>
      <c r="F769" s="38"/>
      <c r="G769" s="39"/>
      <c r="I769" s="61"/>
      <c r="J769" s="62"/>
      <c r="K769" s="63"/>
      <c r="L769" s="63"/>
      <c r="M769" s="64"/>
      <c r="N769" s="65"/>
      <c r="O769" s="66"/>
      <c r="P769" s="34">
        <f t="shared" si="2"/>
        <v>0</v>
      </c>
    </row>
    <row r="770" ht="22.5" customHeight="1">
      <c r="A770" s="35"/>
      <c r="B770" s="36"/>
      <c r="C770" s="41"/>
      <c r="D770" s="37"/>
      <c r="E770" s="2"/>
      <c r="F770" s="38"/>
      <c r="G770" s="39"/>
      <c r="I770" s="61"/>
      <c r="J770" s="62"/>
      <c r="K770" s="63"/>
      <c r="L770" s="63"/>
      <c r="M770" s="64"/>
      <c r="N770" s="65"/>
      <c r="O770" s="66"/>
      <c r="P770" s="34">
        <f t="shared" si="2"/>
        <v>0</v>
      </c>
    </row>
    <row r="771" ht="22.5" customHeight="1">
      <c r="A771" s="35"/>
      <c r="B771" s="36"/>
      <c r="C771" s="41"/>
      <c r="D771" s="37"/>
      <c r="E771" s="2"/>
      <c r="F771" s="38"/>
      <c r="G771" s="39"/>
      <c r="I771" s="61"/>
      <c r="J771" s="62"/>
      <c r="K771" s="63"/>
      <c r="L771" s="63"/>
      <c r="M771" s="64"/>
      <c r="N771" s="65"/>
      <c r="O771" s="66"/>
      <c r="P771" s="34">
        <f t="shared" si="2"/>
        <v>0</v>
      </c>
    </row>
    <row r="772" ht="22.5" customHeight="1">
      <c r="A772" s="35"/>
      <c r="B772" s="36"/>
      <c r="C772" s="41"/>
      <c r="D772" s="37"/>
      <c r="E772" s="2"/>
      <c r="F772" s="38"/>
      <c r="G772" s="39"/>
      <c r="I772" s="61"/>
      <c r="J772" s="62"/>
      <c r="K772" s="63"/>
      <c r="L772" s="63"/>
      <c r="M772" s="64"/>
      <c r="N772" s="65"/>
      <c r="O772" s="66"/>
      <c r="P772" s="34">
        <f t="shared" si="2"/>
        <v>0</v>
      </c>
    </row>
    <row r="773" ht="22.5" customHeight="1">
      <c r="A773" s="35"/>
      <c r="B773" s="36"/>
      <c r="C773" s="37"/>
      <c r="D773" s="37"/>
      <c r="E773" s="2"/>
      <c r="F773" s="38"/>
      <c r="G773" s="39"/>
      <c r="I773" s="61"/>
      <c r="J773" s="62"/>
      <c r="K773" s="63"/>
      <c r="L773" s="63"/>
      <c r="M773" s="64"/>
      <c r="N773" s="65"/>
      <c r="O773" s="66"/>
      <c r="P773" s="34">
        <f t="shared" si="2"/>
        <v>0</v>
      </c>
    </row>
    <row r="774" ht="22.5" customHeight="1">
      <c r="A774" s="35"/>
      <c r="B774" s="36"/>
      <c r="C774" s="41"/>
      <c r="D774" s="37"/>
      <c r="E774" s="2"/>
      <c r="F774" s="38"/>
      <c r="G774" s="39"/>
      <c r="I774" s="61"/>
      <c r="J774" s="62"/>
      <c r="K774" s="63"/>
      <c r="L774" s="63"/>
      <c r="M774" s="64"/>
      <c r="N774" s="65"/>
      <c r="O774" s="66"/>
      <c r="P774" s="34">
        <f t="shared" si="2"/>
        <v>0</v>
      </c>
    </row>
    <row r="775" ht="22.5" customHeight="1">
      <c r="A775" s="35"/>
      <c r="B775" s="36"/>
      <c r="C775" s="37"/>
      <c r="D775" s="37"/>
      <c r="E775" s="2"/>
      <c r="F775" s="38"/>
      <c r="G775" s="39"/>
      <c r="I775" s="61"/>
      <c r="J775" s="62"/>
      <c r="K775" s="63"/>
      <c r="L775" s="63"/>
      <c r="M775" s="64"/>
      <c r="N775" s="65"/>
      <c r="O775" s="66"/>
      <c r="P775" s="34">
        <f t="shared" si="2"/>
        <v>0</v>
      </c>
    </row>
    <row r="776" ht="22.5" customHeight="1">
      <c r="A776" s="35"/>
      <c r="B776" s="36"/>
      <c r="C776" s="41"/>
      <c r="D776" s="37"/>
      <c r="E776" s="2"/>
      <c r="F776" s="38"/>
      <c r="G776" s="39"/>
      <c r="I776" s="61"/>
      <c r="J776" s="62"/>
      <c r="K776" s="63"/>
      <c r="L776" s="63"/>
      <c r="M776" s="64"/>
      <c r="N776" s="65"/>
      <c r="O776" s="66"/>
      <c r="P776" s="34">
        <f t="shared" si="2"/>
        <v>0</v>
      </c>
    </row>
    <row r="777" ht="22.5" customHeight="1">
      <c r="A777" s="35"/>
      <c r="B777" s="36"/>
      <c r="C777" s="37"/>
      <c r="D777" s="37"/>
      <c r="E777" s="2"/>
      <c r="F777" s="38"/>
      <c r="G777" s="39"/>
      <c r="I777" s="61"/>
      <c r="J777" s="62"/>
      <c r="K777" s="63"/>
      <c r="L777" s="63"/>
      <c r="M777" s="64"/>
      <c r="N777" s="65"/>
      <c r="O777" s="66"/>
      <c r="P777" s="34">
        <f t="shared" si="2"/>
        <v>0</v>
      </c>
    </row>
    <row r="778" ht="22.5" customHeight="1">
      <c r="A778" s="35"/>
      <c r="B778" s="36"/>
      <c r="C778" s="41"/>
      <c r="D778" s="37"/>
      <c r="E778" s="2"/>
      <c r="F778" s="38"/>
      <c r="G778" s="39"/>
      <c r="I778" s="61"/>
      <c r="J778" s="62"/>
      <c r="K778" s="63"/>
      <c r="L778" s="63"/>
      <c r="M778" s="64"/>
      <c r="N778" s="65"/>
      <c r="O778" s="66"/>
      <c r="P778" s="34">
        <f t="shared" si="2"/>
        <v>0</v>
      </c>
    </row>
    <row r="779" ht="22.5" customHeight="1">
      <c r="A779" s="35"/>
      <c r="B779" s="36"/>
      <c r="C779" s="41"/>
      <c r="D779" s="37"/>
      <c r="E779" s="2"/>
      <c r="F779" s="38"/>
      <c r="G779" s="39"/>
      <c r="I779" s="61"/>
      <c r="J779" s="62"/>
      <c r="K779" s="63"/>
      <c r="L779" s="63"/>
      <c r="M779" s="64"/>
      <c r="N779" s="65"/>
      <c r="O779" s="66"/>
      <c r="P779" s="34">
        <f t="shared" si="2"/>
        <v>0</v>
      </c>
    </row>
    <row r="780" ht="22.5" customHeight="1">
      <c r="A780" s="35"/>
      <c r="B780" s="36"/>
      <c r="C780" s="41"/>
      <c r="D780" s="37"/>
      <c r="E780" s="2"/>
      <c r="F780" s="38"/>
      <c r="G780" s="39"/>
      <c r="I780" s="61"/>
      <c r="J780" s="62"/>
      <c r="K780" s="63"/>
      <c r="L780" s="63"/>
      <c r="M780" s="64"/>
      <c r="N780" s="65"/>
      <c r="O780" s="66"/>
      <c r="P780" s="34">
        <f t="shared" si="2"/>
        <v>0</v>
      </c>
    </row>
    <row r="781" ht="22.5" customHeight="1">
      <c r="A781" s="35"/>
      <c r="B781" s="36"/>
      <c r="C781" s="41"/>
      <c r="D781" s="37"/>
      <c r="E781" s="2"/>
      <c r="F781" s="38"/>
      <c r="G781" s="39"/>
      <c r="I781" s="61"/>
      <c r="J781" s="62"/>
      <c r="K781" s="63"/>
      <c r="L781" s="63"/>
      <c r="M781" s="64"/>
      <c r="N781" s="65"/>
      <c r="O781" s="66"/>
      <c r="P781" s="34">
        <f t="shared" si="2"/>
        <v>0</v>
      </c>
    </row>
    <row r="782" ht="22.5" customHeight="1">
      <c r="A782" s="35"/>
      <c r="B782" s="36"/>
      <c r="C782" s="41"/>
      <c r="D782" s="37"/>
      <c r="E782" s="2"/>
      <c r="F782" s="38"/>
      <c r="G782" s="39"/>
      <c r="I782" s="61"/>
      <c r="J782" s="62"/>
      <c r="K782" s="63"/>
      <c r="L782" s="63"/>
      <c r="M782" s="64"/>
      <c r="N782" s="65"/>
      <c r="O782" s="66"/>
      <c r="P782" s="34">
        <f t="shared" si="2"/>
        <v>0</v>
      </c>
    </row>
    <row r="783" ht="22.5" customHeight="1">
      <c r="A783" s="35"/>
      <c r="B783" s="36"/>
      <c r="C783" s="41"/>
      <c r="D783" s="37"/>
      <c r="E783" s="2"/>
      <c r="F783" s="38"/>
      <c r="G783" s="39"/>
      <c r="I783" s="61"/>
      <c r="J783" s="62"/>
      <c r="K783" s="63"/>
      <c r="L783" s="63"/>
      <c r="M783" s="64"/>
      <c r="N783" s="65"/>
      <c r="O783" s="66"/>
      <c r="P783" s="34">
        <f t="shared" si="2"/>
        <v>0</v>
      </c>
    </row>
    <row r="784" ht="22.5" customHeight="1">
      <c r="A784" s="35"/>
      <c r="B784" s="36"/>
      <c r="C784" s="37"/>
      <c r="D784" s="37"/>
      <c r="E784" s="2"/>
      <c r="F784" s="38"/>
      <c r="G784" s="39"/>
      <c r="I784" s="61"/>
      <c r="J784" s="62"/>
      <c r="K784" s="63"/>
      <c r="L784" s="63"/>
      <c r="M784" s="64"/>
      <c r="N784" s="65"/>
      <c r="O784" s="66"/>
      <c r="P784" s="34">
        <f t="shared" si="2"/>
        <v>0</v>
      </c>
    </row>
    <row r="785" ht="22.5" customHeight="1">
      <c r="A785" s="35"/>
      <c r="B785" s="36"/>
      <c r="C785" s="41"/>
      <c r="D785" s="37"/>
      <c r="E785" s="2"/>
      <c r="F785" s="38"/>
      <c r="G785" s="39"/>
      <c r="I785" s="61"/>
      <c r="J785" s="62"/>
      <c r="K785" s="63"/>
      <c r="L785" s="63"/>
      <c r="M785" s="64"/>
      <c r="N785" s="65"/>
      <c r="O785" s="66"/>
      <c r="P785" s="34">
        <f t="shared" si="2"/>
        <v>0</v>
      </c>
    </row>
    <row r="786" ht="22.5" customHeight="1">
      <c r="A786" s="35"/>
      <c r="B786" s="36"/>
      <c r="C786" s="41"/>
      <c r="D786" s="37"/>
      <c r="E786" s="2"/>
      <c r="F786" s="38"/>
      <c r="G786" s="39"/>
      <c r="I786" s="61"/>
      <c r="J786" s="62"/>
      <c r="K786" s="63"/>
      <c r="L786" s="63"/>
      <c r="M786" s="64"/>
      <c r="N786" s="65"/>
      <c r="O786" s="66"/>
      <c r="P786" s="34">
        <f t="shared" si="2"/>
        <v>0</v>
      </c>
    </row>
    <row r="787" ht="22.5" customHeight="1">
      <c r="A787" s="35"/>
      <c r="B787" s="36"/>
      <c r="C787" s="41"/>
      <c r="D787" s="37"/>
      <c r="E787" s="2"/>
      <c r="F787" s="38"/>
      <c r="G787" s="39"/>
      <c r="I787" s="61"/>
      <c r="J787" s="62"/>
      <c r="K787" s="63"/>
      <c r="L787" s="63"/>
      <c r="M787" s="64"/>
      <c r="N787" s="65"/>
      <c r="O787" s="66"/>
      <c r="P787" s="34">
        <f t="shared" si="2"/>
        <v>0</v>
      </c>
    </row>
    <row r="788" ht="22.5" customHeight="1">
      <c r="A788" s="35"/>
      <c r="B788" s="36"/>
      <c r="C788" s="41"/>
      <c r="D788" s="37"/>
      <c r="E788" s="2"/>
      <c r="F788" s="38"/>
      <c r="G788" s="39"/>
      <c r="I788" s="61"/>
      <c r="J788" s="62"/>
      <c r="K788" s="63"/>
      <c r="L788" s="63"/>
      <c r="M788" s="64"/>
      <c r="N788" s="65"/>
      <c r="O788" s="66"/>
      <c r="P788" s="34">
        <f t="shared" si="2"/>
        <v>0</v>
      </c>
    </row>
    <row r="789" ht="22.5" customHeight="1">
      <c r="A789" s="35"/>
      <c r="B789" s="36"/>
      <c r="C789" s="37"/>
      <c r="D789" s="37"/>
      <c r="E789" s="2"/>
      <c r="F789" s="38"/>
      <c r="G789" s="39"/>
      <c r="I789" s="61"/>
      <c r="J789" s="62"/>
      <c r="K789" s="63"/>
      <c r="L789" s="63"/>
      <c r="M789" s="64"/>
      <c r="N789" s="65"/>
      <c r="O789" s="66"/>
      <c r="P789" s="34">
        <f t="shared" si="2"/>
        <v>0</v>
      </c>
    </row>
    <row r="790" ht="22.5" customHeight="1">
      <c r="A790" s="35"/>
      <c r="B790" s="36"/>
      <c r="C790" s="41"/>
      <c r="D790" s="37"/>
      <c r="E790" s="2"/>
      <c r="F790" s="38"/>
      <c r="G790" s="39"/>
      <c r="I790" s="61"/>
      <c r="J790" s="62"/>
      <c r="K790" s="63"/>
      <c r="L790" s="63"/>
      <c r="M790" s="64"/>
      <c r="N790" s="65"/>
      <c r="O790" s="66"/>
      <c r="P790" s="34">
        <f t="shared" si="2"/>
        <v>0</v>
      </c>
    </row>
    <row r="791" ht="22.5" customHeight="1">
      <c r="A791" s="35"/>
      <c r="B791" s="36"/>
      <c r="C791" s="41"/>
      <c r="D791" s="37"/>
      <c r="E791" s="2"/>
      <c r="F791" s="38"/>
      <c r="G791" s="39"/>
      <c r="I791" s="61"/>
      <c r="J791" s="62"/>
      <c r="K791" s="63"/>
      <c r="L791" s="63"/>
      <c r="M791" s="64"/>
      <c r="N791" s="65"/>
      <c r="O791" s="66"/>
      <c r="P791" s="34">
        <f t="shared" si="2"/>
        <v>0</v>
      </c>
    </row>
    <row r="792" ht="22.5" customHeight="1">
      <c r="A792" s="35"/>
      <c r="B792" s="36"/>
      <c r="C792" s="37"/>
      <c r="D792" s="37"/>
      <c r="E792" s="2"/>
      <c r="F792" s="38"/>
      <c r="G792" s="39"/>
      <c r="I792" s="61"/>
      <c r="J792" s="62"/>
      <c r="K792" s="63"/>
      <c r="L792" s="63"/>
      <c r="M792" s="64"/>
      <c r="N792" s="65"/>
      <c r="O792" s="66"/>
      <c r="P792" s="34">
        <f t="shared" si="2"/>
        <v>0</v>
      </c>
    </row>
    <row r="793" ht="22.5" customHeight="1">
      <c r="A793" s="35"/>
      <c r="B793" s="36"/>
      <c r="C793" s="41"/>
      <c r="D793" s="37"/>
      <c r="E793" s="2"/>
      <c r="F793" s="38"/>
      <c r="G793" s="39"/>
      <c r="I793" s="61"/>
      <c r="J793" s="62"/>
      <c r="K793" s="63"/>
      <c r="L793" s="63"/>
      <c r="M793" s="64"/>
      <c r="N793" s="65"/>
      <c r="O793" s="66"/>
      <c r="P793" s="34">
        <f t="shared" si="2"/>
        <v>0</v>
      </c>
    </row>
    <row r="794" ht="22.5" customHeight="1">
      <c r="A794" s="35"/>
      <c r="B794" s="36"/>
      <c r="C794" s="37"/>
      <c r="D794" s="37"/>
      <c r="E794" s="2"/>
      <c r="F794" s="38"/>
      <c r="G794" s="39"/>
      <c r="I794" s="61"/>
      <c r="J794" s="62"/>
      <c r="K794" s="63"/>
      <c r="L794" s="63"/>
      <c r="M794" s="64"/>
      <c r="N794" s="65"/>
      <c r="O794" s="66"/>
      <c r="P794" s="34">
        <f t="shared" si="2"/>
        <v>0</v>
      </c>
    </row>
    <row r="795" ht="22.5" customHeight="1">
      <c r="A795" s="35"/>
      <c r="B795" s="36"/>
      <c r="C795" s="41"/>
      <c r="D795" s="37"/>
      <c r="E795" s="2"/>
      <c r="F795" s="38"/>
      <c r="G795" s="39"/>
      <c r="I795" s="61"/>
      <c r="J795" s="62"/>
      <c r="K795" s="63"/>
      <c r="L795" s="63"/>
      <c r="M795" s="64"/>
      <c r="N795" s="65"/>
      <c r="O795" s="66"/>
      <c r="P795" s="34">
        <f t="shared" si="2"/>
        <v>0</v>
      </c>
    </row>
    <row r="796" ht="22.5" customHeight="1">
      <c r="A796" s="35"/>
      <c r="B796" s="36"/>
      <c r="C796" s="37"/>
      <c r="D796" s="37"/>
      <c r="E796" s="2"/>
      <c r="F796" s="38"/>
      <c r="G796" s="39"/>
      <c r="I796" s="61"/>
      <c r="J796" s="62"/>
      <c r="K796" s="63"/>
      <c r="L796" s="63"/>
      <c r="M796" s="64"/>
      <c r="N796" s="65"/>
      <c r="O796" s="66"/>
      <c r="P796" s="34">
        <f t="shared" si="2"/>
        <v>0</v>
      </c>
    </row>
    <row r="797" ht="22.5" customHeight="1">
      <c r="A797" s="35"/>
      <c r="B797" s="36"/>
      <c r="C797" s="41"/>
      <c r="D797" s="37"/>
      <c r="E797" s="2"/>
      <c r="F797" s="38"/>
      <c r="G797" s="39"/>
      <c r="I797" s="61"/>
      <c r="J797" s="62"/>
      <c r="K797" s="63"/>
      <c r="L797" s="63"/>
      <c r="M797" s="64"/>
      <c r="N797" s="65"/>
      <c r="O797" s="66"/>
      <c r="P797" s="34">
        <f t="shared" si="2"/>
        <v>0</v>
      </c>
    </row>
    <row r="798" ht="22.5" customHeight="1">
      <c r="A798" s="35"/>
      <c r="B798" s="36"/>
      <c r="C798" s="41"/>
      <c r="D798" s="37"/>
      <c r="E798" s="2"/>
      <c r="F798" s="38"/>
      <c r="G798" s="39"/>
      <c r="I798" s="61"/>
      <c r="J798" s="62"/>
      <c r="K798" s="63"/>
      <c r="L798" s="63"/>
      <c r="M798" s="64"/>
      <c r="N798" s="65"/>
      <c r="O798" s="66"/>
      <c r="P798" s="34">
        <f t="shared" si="2"/>
        <v>0</v>
      </c>
    </row>
    <row r="799" ht="22.5" customHeight="1">
      <c r="A799" s="35"/>
      <c r="B799" s="36"/>
      <c r="C799" s="41"/>
      <c r="D799" s="37"/>
      <c r="E799" s="2"/>
      <c r="F799" s="38"/>
      <c r="G799" s="39"/>
      <c r="I799" s="61"/>
      <c r="J799" s="62"/>
      <c r="K799" s="63"/>
      <c r="L799" s="63"/>
      <c r="M799" s="64"/>
      <c r="N799" s="65"/>
      <c r="O799" s="66"/>
      <c r="P799" s="34">
        <f t="shared" si="2"/>
        <v>0</v>
      </c>
    </row>
    <row r="800" ht="22.5" customHeight="1">
      <c r="A800" s="35"/>
      <c r="B800" s="36"/>
      <c r="C800" s="41"/>
      <c r="D800" s="37"/>
      <c r="E800" s="2"/>
      <c r="F800" s="38"/>
      <c r="G800" s="39"/>
      <c r="I800" s="61"/>
      <c r="J800" s="62"/>
      <c r="K800" s="63"/>
      <c r="L800" s="63"/>
      <c r="M800" s="64"/>
      <c r="N800" s="65"/>
      <c r="O800" s="66"/>
      <c r="P800" s="34">
        <f t="shared" si="2"/>
        <v>0</v>
      </c>
    </row>
    <row r="801" ht="22.5" customHeight="1">
      <c r="A801" s="35"/>
      <c r="B801" s="36"/>
      <c r="C801" s="41"/>
      <c r="D801" s="37"/>
      <c r="E801" s="2"/>
      <c r="F801" s="38"/>
      <c r="G801" s="39"/>
      <c r="I801" s="61"/>
      <c r="J801" s="62"/>
      <c r="K801" s="63"/>
      <c r="L801" s="63"/>
      <c r="M801" s="64"/>
      <c r="N801" s="65"/>
      <c r="O801" s="66"/>
      <c r="P801" s="34">
        <f t="shared" si="2"/>
        <v>0</v>
      </c>
    </row>
    <row r="802" ht="22.5" customHeight="1">
      <c r="A802" s="35"/>
      <c r="B802" s="36"/>
      <c r="C802" s="37"/>
      <c r="D802" s="37"/>
      <c r="E802" s="2"/>
      <c r="F802" s="38"/>
      <c r="G802" s="39"/>
      <c r="I802" s="61"/>
      <c r="J802" s="62"/>
      <c r="K802" s="63"/>
      <c r="L802" s="63"/>
      <c r="M802" s="64"/>
      <c r="N802" s="65"/>
      <c r="O802" s="66"/>
      <c r="P802" s="34">
        <f t="shared" si="2"/>
        <v>0</v>
      </c>
    </row>
    <row r="803" ht="22.5" customHeight="1">
      <c r="A803" s="35"/>
      <c r="B803" s="36"/>
      <c r="C803" s="41"/>
      <c r="D803" s="37"/>
      <c r="E803" s="2"/>
      <c r="F803" s="38"/>
      <c r="G803" s="39"/>
      <c r="I803" s="61"/>
      <c r="J803" s="62"/>
      <c r="K803" s="63"/>
      <c r="L803" s="63"/>
      <c r="M803" s="64"/>
      <c r="N803" s="65"/>
      <c r="O803" s="66"/>
      <c r="P803" s="34">
        <f t="shared" si="2"/>
        <v>0</v>
      </c>
    </row>
    <row r="804" ht="22.5" customHeight="1">
      <c r="A804" s="35"/>
      <c r="B804" s="36"/>
      <c r="C804" s="37"/>
      <c r="D804" s="37"/>
      <c r="E804" s="2"/>
      <c r="F804" s="38"/>
      <c r="G804" s="39"/>
      <c r="I804" s="61"/>
      <c r="J804" s="62"/>
      <c r="K804" s="63"/>
      <c r="L804" s="63"/>
      <c r="M804" s="64"/>
      <c r="N804" s="65"/>
      <c r="O804" s="66"/>
      <c r="P804" s="34">
        <f t="shared" si="2"/>
        <v>0</v>
      </c>
    </row>
    <row r="805" ht="22.5" customHeight="1">
      <c r="A805" s="35"/>
      <c r="B805" s="36"/>
      <c r="C805" s="41"/>
      <c r="D805" s="37"/>
      <c r="E805" s="2"/>
      <c r="F805" s="38"/>
      <c r="G805" s="39"/>
      <c r="I805" s="61"/>
      <c r="J805" s="62"/>
      <c r="K805" s="63"/>
      <c r="L805" s="63"/>
      <c r="M805" s="64"/>
      <c r="N805" s="65"/>
      <c r="O805" s="66"/>
      <c r="P805" s="34">
        <f t="shared" si="2"/>
        <v>0</v>
      </c>
    </row>
    <row r="806" ht="22.5" customHeight="1">
      <c r="A806" s="35"/>
      <c r="B806" s="36"/>
      <c r="C806" s="37"/>
      <c r="D806" s="37"/>
      <c r="E806" s="2"/>
      <c r="F806" s="38"/>
      <c r="G806" s="39"/>
      <c r="I806" s="61"/>
      <c r="J806" s="62"/>
      <c r="K806" s="63"/>
      <c r="L806" s="63"/>
      <c r="M806" s="64"/>
      <c r="N806" s="65"/>
      <c r="O806" s="66"/>
      <c r="P806" s="34">
        <f t="shared" si="2"/>
        <v>0</v>
      </c>
    </row>
    <row r="807" ht="22.5" customHeight="1">
      <c r="A807" s="35"/>
      <c r="B807" s="36"/>
      <c r="C807" s="41"/>
      <c r="D807" s="37"/>
      <c r="E807" s="2"/>
      <c r="F807" s="38"/>
      <c r="G807" s="39"/>
      <c r="I807" s="61"/>
      <c r="J807" s="62"/>
      <c r="K807" s="63"/>
      <c r="L807" s="63"/>
      <c r="M807" s="64"/>
      <c r="N807" s="65"/>
      <c r="O807" s="66"/>
      <c r="P807" s="34">
        <f t="shared" si="2"/>
        <v>0</v>
      </c>
    </row>
    <row r="808" ht="22.5" customHeight="1">
      <c r="A808" s="35"/>
      <c r="B808" s="36"/>
      <c r="C808" s="41"/>
      <c r="D808" s="37"/>
      <c r="E808" s="2"/>
      <c r="F808" s="38"/>
      <c r="G808" s="39"/>
      <c r="I808" s="61"/>
      <c r="J808" s="62"/>
      <c r="K808" s="63"/>
      <c r="L808" s="63"/>
      <c r="M808" s="64"/>
      <c r="N808" s="65"/>
      <c r="O808" s="66"/>
      <c r="P808" s="34">
        <f t="shared" si="2"/>
        <v>0</v>
      </c>
    </row>
    <row r="809" ht="22.5" customHeight="1">
      <c r="A809" s="35"/>
      <c r="B809" s="48"/>
      <c r="C809" s="49"/>
      <c r="D809" s="49"/>
      <c r="E809" s="50"/>
      <c r="F809" s="51"/>
      <c r="G809" s="54"/>
      <c r="I809" s="61"/>
      <c r="J809" s="62"/>
      <c r="K809" s="63"/>
      <c r="L809" s="63"/>
      <c r="M809" s="64"/>
      <c r="N809" s="65"/>
      <c r="O809" s="66"/>
      <c r="P809" s="34">
        <f t="shared" si="2"/>
        <v>0</v>
      </c>
    </row>
    <row r="810" ht="22.5" customHeight="1">
      <c r="A810" s="35"/>
      <c r="B810" s="36"/>
      <c r="C810" s="41"/>
      <c r="D810" s="37"/>
      <c r="E810" s="2"/>
      <c r="F810" s="38"/>
      <c r="G810" s="39"/>
      <c r="I810" s="61"/>
      <c r="J810" s="62"/>
      <c r="K810" s="63"/>
      <c r="L810" s="63"/>
      <c r="M810" s="64"/>
      <c r="N810" s="65"/>
      <c r="O810" s="66"/>
      <c r="P810" s="34">
        <f t="shared" si="2"/>
        <v>0</v>
      </c>
    </row>
    <row r="811" ht="22.5" customHeight="1">
      <c r="A811" s="35"/>
      <c r="B811" s="36"/>
      <c r="C811" s="41"/>
      <c r="D811" s="37"/>
      <c r="E811" s="2"/>
      <c r="F811" s="38"/>
      <c r="G811" s="39"/>
      <c r="I811" s="61"/>
      <c r="J811" s="62"/>
      <c r="K811" s="63"/>
      <c r="L811" s="63"/>
      <c r="M811" s="64"/>
      <c r="N811" s="65"/>
      <c r="O811" s="66"/>
      <c r="P811" s="34">
        <f t="shared" si="2"/>
        <v>0</v>
      </c>
    </row>
    <row r="812" ht="22.5" customHeight="1">
      <c r="A812" s="35"/>
      <c r="B812" s="36"/>
      <c r="C812" s="37"/>
      <c r="D812" s="37"/>
      <c r="E812" s="2"/>
      <c r="F812" s="38"/>
      <c r="G812" s="39"/>
      <c r="I812" s="61"/>
      <c r="J812" s="62"/>
      <c r="K812" s="63"/>
      <c r="L812" s="63"/>
      <c r="M812" s="64"/>
      <c r="N812" s="65"/>
      <c r="O812" s="66"/>
      <c r="P812" s="34">
        <f t="shared" si="2"/>
        <v>0</v>
      </c>
    </row>
    <row r="813" ht="22.5" customHeight="1">
      <c r="A813" s="35"/>
      <c r="B813" s="36"/>
      <c r="C813" s="41"/>
      <c r="D813" s="37"/>
      <c r="E813" s="2"/>
      <c r="F813" s="38"/>
      <c r="G813" s="39"/>
      <c r="I813" s="61"/>
      <c r="J813" s="62"/>
      <c r="K813" s="63"/>
      <c r="L813" s="63"/>
      <c r="M813" s="64"/>
      <c r="N813" s="65"/>
      <c r="O813" s="66"/>
      <c r="P813" s="34">
        <f t="shared" si="2"/>
        <v>0</v>
      </c>
    </row>
    <row r="814" ht="22.5" customHeight="1">
      <c r="A814" s="35"/>
      <c r="B814" s="36"/>
      <c r="C814" s="37"/>
      <c r="D814" s="37"/>
      <c r="E814" s="2"/>
      <c r="F814" s="38"/>
      <c r="G814" s="39"/>
      <c r="I814" s="61"/>
      <c r="J814" s="62"/>
      <c r="K814" s="63"/>
      <c r="L814" s="63"/>
      <c r="M814" s="64"/>
      <c r="N814" s="65"/>
      <c r="O814" s="66"/>
      <c r="P814" s="34">
        <f t="shared" si="2"/>
        <v>0</v>
      </c>
    </row>
    <row r="815" ht="22.5" customHeight="1">
      <c r="A815" s="35"/>
      <c r="B815" s="36"/>
      <c r="C815" s="41"/>
      <c r="D815" s="37"/>
      <c r="E815" s="2"/>
      <c r="F815" s="38"/>
      <c r="G815" s="39"/>
      <c r="I815" s="61"/>
      <c r="J815" s="62"/>
      <c r="K815" s="63"/>
      <c r="L815" s="63"/>
      <c r="M815" s="64"/>
      <c r="N815" s="65"/>
      <c r="O815" s="66"/>
      <c r="P815" s="34">
        <f t="shared" si="2"/>
        <v>0</v>
      </c>
    </row>
    <row r="816" ht="22.5" customHeight="1">
      <c r="A816" s="35"/>
      <c r="B816" s="36"/>
      <c r="C816" s="37"/>
      <c r="D816" s="37"/>
      <c r="E816" s="2"/>
      <c r="F816" s="38"/>
      <c r="G816" s="39"/>
      <c r="I816" s="61"/>
      <c r="J816" s="62"/>
      <c r="K816" s="63"/>
      <c r="L816" s="63"/>
      <c r="M816" s="64"/>
      <c r="N816" s="65"/>
      <c r="O816" s="66"/>
      <c r="P816" s="34">
        <f t="shared" si="2"/>
        <v>0</v>
      </c>
    </row>
    <row r="817" ht="22.5" customHeight="1">
      <c r="A817" s="35"/>
      <c r="B817" s="36"/>
      <c r="C817" s="41"/>
      <c r="D817" s="37"/>
      <c r="E817" s="2"/>
      <c r="F817" s="38"/>
      <c r="G817" s="39"/>
      <c r="I817" s="61"/>
      <c r="J817" s="62"/>
      <c r="K817" s="63"/>
      <c r="L817" s="63"/>
      <c r="M817" s="64"/>
      <c r="N817" s="65"/>
      <c r="O817" s="66"/>
      <c r="P817" s="34">
        <f t="shared" si="2"/>
        <v>0</v>
      </c>
    </row>
    <row r="818" ht="22.5" customHeight="1">
      <c r="A818" s="35"/>
      <c r="B818" s="36"/>
      <c r="C818" s="41"/>
      <c r="D818" s="37"/>
      <c r="E818" s="2"/>
      <c r="F818" s="38"/>
      <c r="G818" s="39"/>
      <c r="I818" s="61"/>
      <c r="J818" s="62"/>
      <c r="K818" s="63"/>
      <c r="L818" s="63"/>
      <c r="M818" s="64"/>
      <c r="N818" s="65"/>
      <c r="O818" s="66"/>
      <c r="P818" s="34">
        <f t="shared" si="2"/>
        <v>0</v>
      </c>
    </row>
    <row r="819" ht="22.5" customHeight="1">
      <c r="A819" s="35"/>
      <c r="B819" s="36"/>
      <c r="C819" s="41"/>
      <c r="D819" s="37"/>
      <c r="E819" s="2"/>
      <c r="F819" s="38"/>
      <c r="G819" s="39"/>
      <c r="I819" s="61"/>
      <c r="J819" s="62"/>
      <c r="K819" s="63"/>
      <c r="L819" s="63"/>
      <c r="M819" s="64"/>
      <c r="N819" s="65"/>
      <c r="O819" s="66"/>
      <c r="P819" s="34">
        <f t="shared" si="2"/>
        <v>0</v>
      </c>
    </row>
    <row r="820" ht="22.5" customHeight="1">
      <c r="A820" s="35"/>
      <c r="B820" s="36"/>
      <c r="C820" s="41"/>
      <c r="D820" s="37"/>
      <c r="E820" s="2"/>
      <c r="F820" s="38"/>
      <c r="G820" s="39"/>
      <c r="I820" s="61"/>
      <c r="J820" s="62"/>
      <c r="K820" s="63"/>
      <c r="L820" s="63"/>
      <c r="M820" s="64"/>
      <c r="N820" s="65"/>
      <c r="O820" s="66"/>
      <c r="P820" s="34">
        <f t="shared" si="2"/>
        <v>0</v>
      </c>
    </row>
    <row r="821" ht="22.5" customHeight="1">
      <c r="A821" s="35"/>
      <c r="B821" s="36"/>
      <c r="C821" s="37"/>
      <c r="D821" s="37"/>
      <c r="E821" s="2"/>
      <c r="F821" s="38"/>
      <c r="G821" s="39"/>
      <c r="I821" s="61"/>
      <c r="J821" s="62"/>
      <c r="K821" s="63"/>
      <c r="L821" s="63"/>
      <c r="M821" s="64"/>
      <c r="N821" s="65"/>
      <c r="O821" s="66"/>
      <c r="P821" s="34">
        <f t="shared" si="2"/>
        <v>0</v>
      </c>
    </row>
    <row r="822" ht="22.5" customHeight="1">
      <c r="A822" s="35"/>
      <c r="B822" s="36"/>
      <c r="C822" s="41"/>
      <c r="D822" s="37"/>
      <c r="E822" s="2"/>
      <c r="F822" s="38"/>
      <c r="G822" s="39"/>
      <c r="I822" s="61"/>
      <c r="J822" s="62"/>
      <c r="K822" s="63"/>
      <c r="L822" s="63"/>
      <c r="M822" s="64"/>
      <c r="N822" s="65"/>
      <c r="O822" s="66"/>
      <c r="P822" s="34">
        <f t="shared" si="2"/>
        <v>0</v>
      </c>
    </row>
    <row r="823" ht="22.5" customHeight="1">
      <c r="A823" s="35"/>
      <c r="B823" s="36"/>
      <c r="C823" s="37"/>
      <c r="D823" s="37"/>
      <c r="E823" s="2"/>
      <c r="F823" s="38"/>
      <c r="G823" s="39"/>
      <c r="I823" s="61"/>
      <c r="J823" s="62"/>
      <c r="K823" s="63"/>
      <c r="L823" s="63"/>
      <c r="M823" s="64"/>
      <c r="N823" s="65"/>
      <c r="O823" s="66"/>
      <c r="P823" s="34">
        <f t="shared" si="2"/>
        <v>0</v>
      </c>
    </row>
    <row r="824" ht="22.5" customHeight="1">
      <c r="A824" s="35"/>
      <c r="B824" s="36"/>
      <c r="C824" s="41"/>
      <c r="D824" s="37"/>
      <c r="E824" s="2"/>
      <c r="F824" s="38"/>
      <c r="G824" s="39"/>
      <c r="I824" s="61"/>
      <c r="J824" s="62"/>
      <c r="K824" s="63"/>
      <c r="L824" s="63"/>
      <c r="M824" s="64"/>
      <c r="N824" s="65"/>
      <c r="O824" s="66"/>
      <c r="P824" s="34">
        <f t="shared" si="2"/>
        <v>0</v>
      </c>
    </row>
    <row r="825" ht="22.5" customHeight="1">
      <c r="A825" s="35"/>
      <c r="B825" s="36"/>
      <c r="C825" s="41"/>
      <c r="D825" s="37"/>
      <c r="E825" s="2"/>
      <c r="F825" s="38"/>
      <c r="G825" s="39"/>
      <c r="I825" s="61"/>
      <c r="J825" s="62"/>
      <c r="K825" s="63"/>
      <c r="L825" s="63"/>
      <c r="M825" s="64"/>
      <c r="N825" s="65"/>
      <c r="O825" s="66"/>
      <c r="P825" s="34">
        <f t="shared" si="2"/>
        <v>0</v>
      </c>
    </row>
    <row r="826" ht="22.5" customHeight="1">
      <c r="A826" s="35"/>
      <c r="B826" s="36"/>
      <c r="C826" s="37"/>
      <c r="D826" s="37"/>
      <c r="E826" s="2"/>
      <c r="F826" s="38"/>
      <c r="G826" s="39"/>
      <c r="I826" s="61"/>
      <c r="J826" s="62"/>
      <c r="K826" s="63"/>
      <c r="L826" s="63"/>
      <c r="M826" s="64"/>
      <c r="N826" s="65"/>
      <c r="O826" s="66"/>
      <c r="P826" s="34">
        <f t="shared" si="2"/>
        <v>0</v>
      </c>
    </row>
    <row r="827" ht="22.5" customHeight="1">
      <c r="A827" s="35"/>
      <c r="B827" s="36"/>
      <c r="C827" s="41"/>
      <c r="D827" s="37"/>
      <c r="E827" s="2"/>
      <c r="F827" s="38"/>
      <c r="G827" s="39"/>
      <c r="I827" s="61"/>
      <c r="J827" s="62"/>
      <c r="K827" s="63"/>
      <c r="L827" s="63"/>
      <c r="M827" s="64"/>
      <c r="N827" s="65"/>
      <c r="O827" s="66"/>
      <c r="P827" s="34">
        <f t="shared" si="2"/>
        <v>0</v>
      </c>
    </row>
    <row r="828" ht="22.5" customHeight="1">
      <c r="A828" s="35"/>
      <c r="B828" s="36"/>
      <c r="C828" s="41"/>
      <c r="D828" s="37"/>
      <c r="E828" s="2"/>
      <c r="F828" s="38"/>
      <c r="G828" s="39"/>
      <c r="I828" s="61"/>
      <c r="J828" s="62"/>
      <c r="K828" s="63"/>
      <c r="L828" s="63"/>
      <c r="M828" s="64"/>
      <c r="N828" s="65"/>
      <c r="O828" s="66"/>
      <c r="P828" s="34">
        <f t="shared" si="2"/>
        <v>0</v>
      </c>
    </row>
    <row r="829" ht="22.5" customHeight="1">
      <c r="A829" s="35"/>
      <c r="B829" s="36"/>
      <c r="C829" s="41"/>
      <c r="D829" s="37"/>
      <c r="E829" s="2"/>
      <c r="F829" s="38"/>
      <c r="G829" s="39"/>
      <c r="I829" s="61"/>
      <c r="J829" s="62"/>
      <c r="K829" s="63"/>
      <c r="L829" s="63"/>
      <c r="M829" s="64"/>
      <c r="N829" s="65"/>
      <c r="O829" s="66"/>
      <c r="P829" s="34">
        <f t="shared" si="2"/>
        <v>0</v>
      </c>
    </row>
    <row r="830" ht="22.5" customHeight="1">
      <c r="A830" s="35"/>
      <c r="B830" s="36"/>
      <c r="C830" s="41"/>
      <c r="D830" s="37"/>
      <c r="E830" s="2"/>
      <c r="F830" s="38"/>
      <c r="G830" s="39"/>
      <c r="I830" s="61"/>
      <c r="J830" s="62"/>
      <c r="K830" s="63"/>
      <c r="L830" s="63"/>
      <c r="M830" s="64"/>
      <c r="N830" s="65"/>
      <c r="O830" s="66"/>
      <c r="P830" s="34">
        <f t="shared" si="2"/>
        <v>0</v>
      </c>
    </row>
    <row r="831" ht="22.5" customHeight="1">
      <c r="A831" s="35"/>
      <c r="B831" s="36"/>
      <c r="C831" s="41"/>
      <c r="D831" s="37"/>
      <c r="E831" s="2"/>
      <c r="F831" s="38"/>
      <c r="G831" s="39"/>
      <c r="I831" s="61"/>
      <c r="J831" s="62"/>
      <c r="K831" s="63"/>
      <c r="L831" s="63"/>
      <c r="M831" s="64"/>
      <c r="N831" s="65"/>
      <c r="O831" s="66"/>
      <c r="P831" s="34">
        <f t="shared" si="2"/>
        <v>0</v>
      </c>
    </row>
    <row r="832" ht="22.5" customHeight="1">
      <c r="A832" s="35"/>
      <c r="B832" s="36"/>
      <c r="C832" s="37"/>
      <c r="D832" s="37"/>
      <c r="E832" s="2"/>
      <c r="F832" s="38"/>
      <c r="G832" s="39"/>
      <c r="I832" s="61"/>
      <c r="J832" s="62"/>
      <c r="K832" s="63"/>
      <c r="L832" s="63"/>
      <c r="M832" s="64"/>
      <c r="N832" s="65"/>
      <c r="O832" s="66"/>
      <c r="P832" s="34">
        <f t="shared" si="2"/>
        <v>0</v>
      </c>
    </row>
    <row r="833" ht="22.5" customHeight="1">
      <c r="A833" s="35"/>
      <c r="B833" s="36"/>
      <c r="C833" s="37"/>
      <c r="D833" s="37"/>
      <c r="E833" s="2"/>
      <c r="F833" s="38"/>
      <c r="G833" s="39"/>
      <c r="I833" s="61"/>
      <c r="J833" s="62"/>
      <c r="K833" s="63"/>
      <c r="L833" s="63"/>
      <c r="M833" s="64"/>
      <c r="N833" s="65"/>
      <c r="O833" s="66"/>
      <c r="P833" s="34">
        <f t="shared" si="2"/>
        <v>0</v>
      </c>
    </row>
    <row r="834" ht="22.5" customHeight="1">
      <c r="A834" s="35"/>
      <c r="B834" s="36"/>
      <c r="C834" s="37"/>
      <c r="D834" s="37"/>
      <c r="E834" s="2"/>
      <c r="F834" s="38"/>
      <c r="G834" s="39"/>
      <c r="I834" s="61"/>
      <c r="J834" s="62"/>
      <c r="K834" s="63"/>
      <c r="L834" s="63"/>
      <c r="M834" s="64"/>
      <c r="N834" s="65"/>
      <c r="O834" s="66"/>
      <c r="P834" s="34">
        <f t="shared" si="2"/>
        <v>0</v>
      </c>
    </row>
    <row r="835" ht="22.5" customHeight="1">
      <c r="A835" s="35"/>
      <c r="B835" s="36"/>
      <c r="C835" s="41"/>
      <c r="D835" s="37"/>
      <c r="E835" s="2"/>
      <c r="F835" s="38"/>
      <c r="G835" s="39"/>
      <c r="I835" s="61"/>
      <c r="J835" s="62"/>
      <c r="K835" s="63"/>
      <c r="L835" s="63"/>
      <c r="M835" s="64"/>
      <c r="N835" s="65"/>
      <c r="O835" s="66"/>
      <c r="P835" s="34">
        <f t="shared" si="2"/>
        <v>0</v>
      </c>
    </row>
    <row r="836" ht="22.5" customHeight="1">
      <c r="A836" s="35"/>
      <c r="B836" s="36"/>
      <c r="C836" s="37"/>
      <c r="D836" s="37"/>
      <c r="E836" s="2"/>
      <c r="F836" s="38"/>
      <c r="G836" s="39"/>
      <c r="I836" s="61"/>
      <c r="J836" s="62"/>
      <c r="K836" s="63"/>
      <c r="L836" s="63"/>
      <c r="M836" s="64"/>
      <c r="N836" s="65"/>
      <c r="O836" s="66"/>
      <c r="P836" s="34">
        <f t="shared" si="2"/>
        <v>0</v>
      </c>
    </row>
    <row r="837" ht="22.5" customHeight="1">
      <c r="A837" s="35"/>
      <c r="B837" s="36"/>
      <c r="C837" s="41"/>
      <c r="D837" s="37"/>
      <c r="E837" s="2"/>
      <c r="F837" s="38"/>
      <c r="G837" s="39"/>
      <c r="I837" s="61"/>
      <c r="J837" s="62"/>
      <c r="K837" s="63"/>
      <c r="L837" s="63"/>
      <c r="M837" s="64"/>
      <c r="N837" s="65"/>
      <c r="O837" s="66"/>
      <c r="P837" s="34">
        <f t="shared" si="2"/>
        <v>0</v>
      </c>
    </row>
    <row r="838" ht="22.5" customHeight="1">
      <c r="A838" s="35"/>
      <c r="B838" s="36"/>
      <c r="C838" s="37"/>
      <c r="D838" s="37"/>
      <c r="E838" s="2"/>
      <c r="F838" s="38"/>
      <c r="G838" s="39"/>
      <c r="I838" s="61"/>
      <c r="J838" s="62"/>
      <c r="K838" s="63"/>
      <c r="L838" s="63"/>
      <c r="M838" s="64"/>
      <c r="N838" s="65"/>
      <c r="O838" s="66"/>
      <c r="P838" s="34">
        <f t="shared" si="2"/>
        <v>0</v>
      </c>
    </row>
    <row r="839" ht="22.5" customHeight="1">
      <c r="A839" s="35"/>
      <c r="B839" s="36"/>
      <c r="C839" s="41"/>
      <c r="D839" s="37"/>
      <c r="E839" s="2"/>
      <c r="F839" s="38"/>
      <c r="G839" s="39"/>
      <c r="I839" s="61"/>
      <c r="J839" s="62"/>
      <c r="K839" s="63"/>
      <c r="L839" s="63"/>
      <c r="M839" s="64"/>
      <c r="N839" s="65"/>
      <c r="O839" s="66"/>
      <c r="P839" s="34">
        <f t="shared" si="2"/>
        <v>0</v>
      </c>
    </row>
    <row r="840" ht="22.5" customHeight="1">
      <c r="A840" s="35"/>
      <c r="B840" s="36"/>
      <c r="C840" s="41"/>
      <c r="D840" s="37"/>
      <c r="E840" s="2"/>
      <c r="F840" s="38"/>
      <c r="G840" s="39"/>
      <c r="I840" s="61"/>
      <c r="J840" s="62"/>
      <c r="K840" s="63"/>
      <c r="L840" s="63"/>
      <c r="M840" s="64"/>
      <c r="N840" s="65"/>
      <c r="O840" s="66"/>
      <c r="P840" s="34">
        <f t="shared" si="2"/>
        <v>0</v>
      </c>
    </row>
    <row r="841" ht="22.5" customHeight="1">
      <c r="A841" s="35"/>
      <c r="B841" s="36"/>
      <c r="C841" s="41"/>
      <c r="D841" s="37"/>
      <c r="E841" s="2"/>
      <c r="F841" s="38"/>
      <c r="G841" s="39"/>
      <c r="I841" s="61"/>
      <c r="J841" s="62"/>
      <c r="K841" s="63"/>
      <c r="L841" s="63"/>
      <c r="M841" s="64"/>
      <c r="N841" s="65"/>
      <c r="O841" s="66"/>
      <c r="P841" s="34">
        <f t="shared" si="2"/>
        <v>0</v>
      </c>
    </row>
    <row r="842" ht="22.5" customHeight="1">
      <c r="A842" s="35"/>
      <c r="B842" s="36"/>
      <c r="C842" s="41"/>
      <c r="D842" s="37"/>
      <c r="E842" s="2"/>
      <c r="F842" s="38"/>
      <c r="G842" s="39"/>
      <c r="I842" s="61"/>
      <c r="J842" s="62"/>
      <c r="K842" s="63"/>
      <c r="L842" s="63"/>
      <c r="M842" s="64"/>
      <c r="N842" s="65"/>
      <c r="O842" s="66"/>
      <c r="P842" s="34">
        <f t="shared" si="2"/>
        <v>0</v>
      </c>
    </row>
    <row r="843" ht="22.5" customHeight="1">
      <c r="A843" s="35"/>
      <c r="B843" s="36"/>
      <c r="C843" s="41"/>
      <c r="D843" s="37"/>
      <c r="E843" s="2"/>
      <c r="F843" s="38"/>
      <c r="G843" s="39"/>
      <c r="I843" s="61"/>
      <c r="J843" s="62"/>
      <c r="K843" s="63"/>
      <c r="L843" s="63"/>
      <c r="M843" s="64"/>
      <c r="N843" s="65"/>
      <c r="O843" s="66"/>
      <c r="P843" s="34">
        <f t="shared" si="2"/>
        <v>0</v>
      </c>
    </row>
    <row r="844" ht="22.5" customHeight="1">
      <c r="A844" s="35"/>
      <c r="B844" s="36"/>
      <c r="C844" s="37"/>
      <c r="D844" s="37"/>
      <c r="E844" s="2"/>
      <c r="F844" s="38"/>
      <c r="G844" s="39"/>
      <c r="I844" s="61"/>
      <c r="J844" s="62"/>
      <c r="K844" s="63"/>
      <c r="L844" s="63"/>
      <c r="M844" s="64"/>
      <c r="N844" s="65"/>
      <c r="O844" s="66"/>
      <c r="P844" s="34">
        <f t="shared" si="2"/>
        <v>0</v>
      </c>
    </row>
    <row r="845" ht="22.5" customHeight="1">
      <c r="A845" s="35"/>
      <c r="B845" s="36"/>
      <c r="C845" s="37"/>
      <c r="D845" s="37"/>
      <c r="E845" s="2"/>
      <c r="F845" s="38"/>
      <c r="G845" s="39"/>
      <c r="I845" s="61"/>
      <c r="J845" s="62"/>
      <c r="K845" s="63"/>
      <c r="L845" s="63"/>
      <c r="M845" s="64"/>
      <c r="N845" s="65"/>
      <c r="O845" s="66"/>
      <c r="P845" s="34">
        <f t="shared" si="2"/>
        <v>0</v>
      </c>
    </row>
    <row r="846" ht="22.5" customHeight="1">
      <c r="A846" s="35"/>
      <c r="B846" s="36"/>
      <c r="C846" s="41"/>
      <c r="D846" s="37"/>
      <c r="E846" s="2"/>
      <c r="F846" s="38"/>
      <c r="G846" s="39"/>
      <c r="I846" s="61"/>
      <c r="J846" s="62"/>
      <c r="K846" s="63"/>
      <c r="L846" s="63"/>
      <c r="M846" s="64"/>
      <c r="N846" s="65"/>
      <c r="O846" s="66"/>
      <c r="P846" s="34">
        <f t="shared" si="2"/>
        <v>0</v>
      </c>
    </row>
    <row r="847" ht="22.5" customHeight="1">
      <c r="A847" s="35"/>
      <c r="B847" s="36"/>
      <c r="C847" s="37"/>
      <c r="D847" s="37"/>
      <c r="E847" s="2"/>
      <c r="F847" s="38"/>
      <c r="G847" s="39"/>
      <c r="I847" s="61"/>
      <c r="J847" s="62"/>
      <c r="K847" s="63"/>
      <c r="L847" s="63"/>
      <c r="M847" s="64"/>
      <c r="N847" s="65"/>
      <c r="O847" s="66"/>
      <c r="P847" s="34">
        <f t="shared" si="2"/>
        <v>0</v>
      </c>
    </row>
    <row r="848" ht="22.5" customHeight="1">
      <c r="A848" s="35"/>
      <c r="B848" s="36"/>
      <c r="C848" s="41"/>
      <c r="D848" s="37"/>
      <c r="E848" s="2"/>
      <c r="F848" s="38"/>
      <c r="G848" s="39"/>
      <c r="I848" s="61"/>
      <c r="J848" s="62"/>
      <c r="K848" s="63"/>
      <c r="L848" s="63"/>
      <c r="M848" s="64"/>
      <c r="N848" s="65"/>
      <c r="O848" s="66"/>
      <c r="P848" s="34">
        <f t="shared" si="2"/>
        <v>0</v>
      </c>
    </row>
    <row r="849" ht="22.5" customHeight="1">
      <c r="A849" s="35"/>
      <c r="B849" s="36"/>
      <c r="C849" s="37"/>
      <c r="D849" s="37"/>
      <c r="E849" s="2"/>
      <c r="F849" s="38"/>
      <c r="G849" s="39"/>
      <c r="I849" s="61"/>
      <c r="J849" s="62"/>
      <c r="K849" s="63"/>
      <c r="L849" s="63"/>
      <c r="M849" s="64"/>
      <c r="N849" s="65"/>
      <c r="O849" s="66"/>
      <c r="P849" s="34">
        <f t="shared" si="2"/>
        <v>0</v>
      </c>
    </row>
    <row r="850" ht="22.5" customHeight="1">
      <c r="A850" s="35"/>
      <c r="B850" s="36"/>
      <c r="C850" s="41"/>
      <c r="D850" s="37"/>
      <c r="E850" s="2"/>
      <c r="F850" s="38"/>
      <c r="G850" s="39"/>
      <c r="I850" s="61"/>
      <c r="J850" s="62"/>
      <c r="K850" s="63"/>
      <c r="L850" s="63"/>
      <c r="M850" s="64"/>
      <c r="N850" s="65"/>
      <c r="O850" s="66"/>
      <c r="P850" s="34">
        <f t="shared" si="2"/>
        <v>0</v>
      </c>
    </row>
    <row r="851" ht="22.5" customHeight="1">
      <c r="A851" s="35"/>
      <c r="B851" s="36"/>
      <c r="C851" s="37"/>
      <c r="D851" s="37"/>
      <c r="E851" s="2"/>
      <c r="F851" s="38"/>
      <c r="G851" s="39"/>
      <c r="I851" s="61"/>
      <c r="J851" s="62"/>
      <c r="K851" s="63"/>
      <c r="L851" s="63"/>
      <c r="M851" s="64"/>
      <c r="N851" s="65"/>
      <c r="O851" s="66"/>
      <c r="P851" s="34">
        <f t="shared" si="2"/>
        <v>0</v>
      </c>
    </row>
    <row r="852" ht="22.5" customHeight="1">
      <c r="A852" s="35"/>
      <c r="B852" s="36"/>
      <c r="C852" s="41"/>
      <c r="D852" s="37"/>
      <c r="E852" s="2"/>
      <c r="F852" s="38"/>
      <c r="G852" s="39"/>
      <c r="I852" s="61"/>
      <c r="J852" s="62"/>
      <c r="K852" s="63"/>
      <c r="L852" s="63"/>
      <c r="M852" s="64"/>
      <c r="N852" s="65"/>
      <c r="O852" s="66"/>
      <c r="P852" s="34">
        <f t="shared" si="2"/>
        <v>0</v>
      </c>
    </row>
    <row r="853" ht="22.5" customHeight="1">
      <c r="A853" s="35"/>
      <c r="B853" s="36"/>
      <c r="C853" s="41"/>
      <c r="D853" s="37"/>
      <c r="E853" s="2"/>
      <c r="F853" s="38"/>
      <c r="G853" s="39"/>
      <c r="I853" s="61"/>
      <c r="J853" s="62"/>
      <c r="K853" s="63"/>
      <c r="L853" s="63"/>
      <c r="M853" s="64"/>
      <c r="N853" s="65"/>
      <c r="O853" s="66"/>
      <c r="P853" s="34">
        <f t="shared" si="2"/>
        <v>0</v>
      </c>
    </row>
    <row r="854" ht="22.5" customHeight="1">
      <c r="A854" s="35"/>
      <c r="B854" s="36"/>
      <c r="C854" s="37"/>
      <c r="D854" s="37"/>
      <c r="E854" s="2"/>
      <c r="F854" s="38"/>
      <c r="G854" s="39"/>
      <c r="I854" s="61"/>
      <c r="J854" s="62"/>
      <c r="K854" s="63"/>
      <c r="L854" s="63"/>
      <c r="M854" s="64"/>
      <c r="N854" s="65"/>
      <c r="O854" s="66"/>
      <c r="P854" s="34">
        <f t="shared" si="2"/>
        <v>0</v>
      </c>
    </row>
    <row r="855" ht="22.5" customHeight="1">
      <c r="A855" s="35"/>
      <c r="B855" s="36"/>
      <c r="C855" s="37"/>
      <c r="D855" s="37"/>
      <c r="E855" s="2"/>
      <c r="F855" s="38"/>
      <c r="G855" s="39"/>
      <c r="I855" s="61"/>
      <c r="J855" s="62"/>
      <c r="K855" s="63"/>
      <c r="L855" s="63"/>
      <c r="M855" s="64"/>
      <c r="N855" s="65"/>
      <c r="O855" s="66"/>
      <c r="P855" s="34">
        <f t="shared" si="2"/>
        <v>0</v>
      </c>
    </row>
    <row r="856" ht="22.5" customHeight="1">
      <c r="A856" s="35"/>
      <c r="B856" s="36"/>
      <c r="C856" s="37"/>
      <c r="D856" s="37"/>
      <c r="E856" s="2"/>
      <c r="F856" s="38"/>
      <c r="G856" s="39"/>
      <c r="I856" s="61"/>
      <c r="J856" s="62"/>
      <c r="K856" s="63"/>
      <c r="L856" s="63"/>
      <c r="M856" s="64"/>
      <c r="N856" s="65"/>
      <c r="O856" s="66"/>
      <c r="P856" s="34">
        <f t="shared" si="2"/>
        <v>0</v>
      </c>
    </row>
    <row r="857" ht="22.5" customHeight="1">
      <c r="A857" s="35"/>
      <c r="B857" s="36"/>
      <c r="C857" s="41"/>
      <c r="D857" s="37"/>
      <c r="E857" s="2"/>
      <c r="F857" s="38"/>
      <c r="G857" s="39"/>
      <c r="I857" s="61"/>
      <c r="J857" s="62"/>
      <c r="K857" s="63"/>
      <c r="L857" s="63"/>
      <c r="M857" s="64"/>
      <c r="N857" s="65"/>
      <c r="O857" s="66"/>
      <c r="P857" s="34">
        <f t="shared" si="2"/>
        <v>0</v>
      </c>
    </row>
    <row r="858" ht="22.5" customHeight="1">
      <c r="A858" s="35"/>
      <c r="B858" s="36"/>
      <c r="C858" s="37"/>
      <c r="D858" s="37"/>
      <c r="E858" s="2"/>
      <c r="F858" s="38"/>
      <c r="G858" s="39"/>
      <c r="I858" s="61"/>
      <c r="J858" s="62"/>
      <c r="K858" s="63"/>
      <c r="L858" s="63"/>
      <c r="M858" s="64"/>
      <c r="N858" s="65"/>
      <c r="O858" s="66"/>
      <c r="P858" s="34">
        <f t="shared" si="2"/>
        <v>0</v>
      </c>
    </row>
    <row r="859" ht="22.5" customHeight="1">
      <c r="A859" s="35"/>
      <c r="B859" s="36"/>
      <c r="C859" s="41"/>
      <c r="D859" s="37"/>
      <c r="E859" s="2"/>
      <c r="F859" s="38"/>
      <c r="G859" s="39"/>
      <c r="I859" s="61"/>
      <c r="J859" s="62"/>
      <c r="K859" s="63"/>
      <c r="L859" s="63"/>
      <c r="M859" s="64"/>
      <c r="N859" s="65"/>
      <c r="O859" s="66"/>
      <c r="P859" s="34">
        <f t="shared" si="2"/>
        <v>0</v>
      </c>
    </row>
    <row r="860" ht="22.5" customHeight="1">
      <c r="A860" s="35"/>
      <c r="B860" s="36"/>
      <c r="C860" s="37"/>
      <c r="D860" s="37"/>
      <c r="E860" s="2"/>
      <c r="F860" s="38"/>
      <c r="G860" s="39"/>
      <c r="I860" s="61"/>
      <c r="J860" s="62"/>
      <c r="K860" s="63"/>
      <c r="L860" s="63"/>
      <c r="M860" s="64"/>
      <c r="N860" s="65"/>
      <c r="O860" s="66"/>
      <c r="P860" s="34">
        <f t="shared" si="2"/>
        <v>0</v>
      </c>
    </row>
    <row r="861" ht="22.5" customHeight="1">
      <c r="A861" s="35"/>
      <c r="B861" s="36"/>
      <c r="C861" s="41"/>
      <c r="D861" s="37"/>
      <c r="E861" s="2"/>
      <c r="F861" s="38"/>
      <c r="G861" s="39"/>
      <c r="I861" s="61"/>
      <c r="J861" s="62"/>
      <c r="K861" s="63"/>
      <c r="L861" s="63"/>
      <c r="M861" s="64"/>
      <c r="N861" s="65"/>
      <c r="O861" s="66"/>
      <c r="P861" s="34">
        <f t="shared" si="2"/>
        <v>0</v>
      </c>
    </row>
    <row r="862" ht="22.5" customHeight="1">
      <c r="A862" s="35"/>
      <c r="B862" s="36"/>
      <c r="C862" s="41"/>
      <c r="D862" s="37"/>
      <c r="E862" s="2"/>
      <c r="F862" s="38"/>
      <c r="G862" s="39"/>
      <c r="I862" s="61"/>
      <c r="J862" s="62"/>
      <c r="K862" s="63"/>
      <c r="L862" s="63"/>
      <c r="M862" s="64"/>
      <c r="N862" s="65"/>
      <c r="O862" s="66"/>
      <c r="P862" s="34">
        <f t="shared" si="2"/>
        <v>0</v>
      </c>
    </row>
    <row r="863" ht="22.5" customHeight="1">
      <c r="A863" s="35"/>
      <c r="B863" s="36"/>
      <c r="C863" s="37"/>
      <c r="D863" s="37"/>
      <c r="E863" s="2"/>
      <c r="F863" s="38"/>
      <c r="G863" s="39"/>
      <c r="I863" s="61"/>
      <c r="J863" s="62"/>
      <c r="K863" s="63"/>
      <c r="L863" s="63"/>
      <c r="M863" s="64"/>
      <c r="N863" s="65"/>
      <c r="O863" s="66"/>
      <c r="P863" s="34">
        <f t="shared" si="2"/>
        <v>0</v>
      </c>
    </row>
    <row r="864" ht="22.5" customHeight="1">
      <c r="A864" s="35"/>
      <c r="B864" s="36"/>
      <c r="C864" s="41"/>
      <c r="D864" s="37"/>
      <c r="E864" s="2"/>
      <c r="F864" s="38"/>
      <c r="G864" s="39"/>
      <c r="I864" s="61"/>
      <c r="J864" s="62"/>
      <c r="K864" s="63"/>
      <c r="L864" s="63"/>
      <c r="M864" s="64"/>
      <c r="N864" s="65"/>
      <c r="O864" s="66"/>
      <c r="P864" s="34">
        <f t="shared" si="2"/>
        <v>0</v>
      </c>
    </row>
    <row r="865" ht="22.5" customHeight="1">
      <c r="A865" s="35"/>
      <c r="B865" s="36"/>
      <c r="C865" s="41"/>
      <c r="D865" s="37"/>
      <c r="E865" s="2"/>
      <c r="F865" s="38"/>
      <c r="G865" s="39"/>
      <c r="I865" s="61"/>
      <c r="J865" s="62"/>
      <c r="K865" s="63"/>
      <c r="L865" s="63"/>
      <c r="M865" s="64"/>
      <c r="N865" s="65"/>
      <c r="O865" s="66"/>
      <c r="P865" s="34">
        <f t="shared" si="2"/>
        <v>0</v>
      </c>
    </row>
    <row r="866" ht="22.5" customHeight="1">
      <c r="A866" s="35"/>
      <c r="B866" s="36"/>
      <c r="C866" s="41"/>
      <c r="D866" s="37"/>
      <c r="E866" s="2"/>
      <c r="F866" s="38"/>
      <c r="G866" s="39"/>
      <c r="I866" s="61"/>
      <c r="J866" s="62"/>
      <c r="K866" s="63"/>
      <c r="L866" s="63"/>
      <c r="M866" s="64"/>
      <c r="N866" s="65"/>
      <c r="O866" s="66"/>
      <c r="P866" s="34">
        <f t="shared" si="2"/>
        <v>0</v>
      </c>
    </row>
    <row r="867" ht="22.5" customHeight="1">
      <c r="A867" s="35"/>
      <c r="B867" s="36"/>
      <c r="C867" s="41"/>
      <c r="D867" s="37"/>
      <c r="E867" s="2"/>
      <c r="F867" s="38"/>
      <c r="G867" s="39"/>
      <c r="I867" s="61"/>
      <c r="J867" s="62"/>
      <c r="K867" s="63"/>
      <c r="L867" s="63"/>
      <c r="M867" s="64"/>
      <c r="N867" s="65"/>
      <c r="O867" s="66"/>
      <c r="P867" s="34">
        <f t="shared" si="2"/>
        <v>0</v>
      </c>
    </row>
    <row r="868" ht="22.5" customHeight="1">
      <c r="A868" s="35"/>
      <c r="B868" s="36"/>
      <c r="C868" s="37"/>
      <c r="D868" s="37"/>
      <c r="E868" s="2"/>
      <c r="F868" s="38"/>
      <c r="G868" s="39"/>
      <c r="I868" s="61"/>
      <c r="J868" s="62"/>
      <c r="K868" s="63"/>
      <c r="L868" s="63"/>
      <c r="M868" s="64"/>
      <c r="N868" s="65"/>
      <c r="O868" s="66"/>
      <c r="P868" s="34">
        <f t="shared" si="2"/>
        <v>0</v>
      </c>
    </row>
    <row r="869" ht="22.5" customHeight="1">
      <c r="A869" s="35"/>
      <c r="B869" s="36"/>
      <c r="C869" s="37"/>
      <c r="D869" s="37"/>
      <c r="E869" s="2"/>
      <c r="F869" s="38"/>
      <c r="G869" s="39"/>
      <c r="I869" s="61"/>
      <c r="J869" s="62"/>
      <c r="K869" s="63"/>
      <c r="L869" s="63"/>
      <c r="M869" s="64"/>
      <c r="N869" s="65"/>
      <c r="O869" s="66"/>
      <c r="P869" s="34">
        <f t="shared" si="2"/>
        <v>0</v>
      </c>
    </row>
    <row r="870" ht="22.5" customHeight="1">
      <c r="A870" s="35"/>
      <c r="B870" s="36"/>
      <c r="C870" s="37"/>
      <c r="D870" s="37"/>
      <c r="E870" s="2"/>
      <c r="F870" s="38"/>
      <c r="G870" s="39"/>
      <c r="I870" s="61"/>
      <c r="J870" s="62"/>
      <c r="K870" s="63"/>
      <c r="L870" s="63"/>
      <c r="M870" s="64"/>
      <c r="N870" s="65"/>
      <c r="O870" s="66"/>
      <c r="P870" s="34">
        <f t="shared" si="2"/>
        <v>0</v>
      </c>
    </row>
    <row r="871" ht="22.5" customHeight="1">
      <c r="A871" s="35"/>
      <c r="B871" s="36"/>
      <c r="C871" s="37"/>
      <c r="D871" s="37"/>
      <c r="E871" s="2"/>
      <c r="F871" s="38"/>
      <c r="G871" s="39"/>
      <c r="I871" s="61"/>
      <c r="J871" s="62"/>
      <c r="K871" s="63"/>
      <c r="L871" s="63"/>
      <c r="M871" s="64"/>
      <c r="N871" s="65"/>
      <c r="O871" s="66"/>
      <c r="P871" s="34">
        <f t="shared" si="2"/>
        <v>0</v>
      </c>
    </row>
    <row r="872" ht="22.5" customHeight="1">
      <c r="A872" s="35"/>
      <c r="B872" s="36"/>
      <c r="C872" s="37"/>
      <c r="D872" s="37"/>
      <c r="E872" s="2"/>
      <c r="F872" s="38"/>
      <c r="G872" s="39"/>
      <c r="I872" s="61"/>
      <c r="J872" s="62"/>
      <c r="K872" s="63"/>
      <c r="L872" s="63"/>
      <c r="M872" s="64"/>
      <c r="N872" s="65"/>
      <c r="O872" s="66"/>
      <c r="P872" s="34">
        <f t="shared" si="2"/>
        <v>0</v>
      </c>
    </row>
    <row r="873" ht="22.5" customHeight="1">
      <c r="A873" s="35"/>
      <c r="B873" s="36"/>
      <c r="C873" s="37"/>
      <c r="D873" s="37"/>
      <c r="E873" s="2"/>
      <c r="F873" s="38"/>
      <c r="G873" s="39"/>
      <c r="I873" s="61"/>
      <c r="J873" s="62"/>
      <c r="K873" s="63"/>
      <c r="L873" s="63"/>
      <c r="M873" s="64"/>
      <c r="N873" s="65"/>
      <c r="O873" s="66"/>
      <c r="P873" s="34">
        <f t="shared" si="2"/>
        <v>0</v>
      </c>
    </row>
    <row r="874" ht="22.5" customHeight="1">
      <c r="A874" s="35"/>
      <c r="B874" s="36"/>
      <c r="C874" s="41"/>
      <c r="D874" s="37"/>
      <c r="E874" s="2"/>
      <c r="F874" s="38"/>
      <c r="G874" s="39"/>
      <c r="I874" s="61"/>
      <c r="J874" s="62"/>
      <c r="K874" s="63"/>
      <c r="L874" s="63"/>
      <c r="M874" s="64"/>
      <c r="N874" s="65"/>
      <c r="O874" s="66"/>
      <c r="P874" s="34">
        <f t="shared" si="2"/>
        <v>0</v>
      </c>
    </row>
    <row r="875" ht="22.5" customHeight="1">
      <c r="A875" s="35"/>
      <c r="B875" s="36"/>
      <c r="C875" s="41"/>
      <c r="D875" s="37"/>
      <c r="E875" s="2"/>
      <c r="F875" s="38"/>
      <c r="G875" s="39"/>
      <c r="I875" s="61"/>
      <c r="J875" s="62"/>
      <c r="K875" s="63"/>
      <c r="L875" s="63"/>
      <c r="M875" s="64"/>
      <c r="N875" s="65"/>
      <c r="O875" s="66"/>
      <c r="P875" s="34">
        <f t="shared" si="2"/>
        <v>0</v>
      </c>
    </row>
    <row r="876" ht="22.5" customHeight="1">
      <c r="A876" s="35"/>
      <c r="B876" s="36"/>
      <c r="C876" s="41"/>
      <c r="D876" s="37"/>
      <c r="E876" s="2"/>
      <c r="F876" s="38"/>
      <c r="G876" s="39"/>
      <c r="I876" s="61"/>
      <c r="J876" s="62"/>
      <c r="K876" s="63"/>
      <c r="L876" s="63"/>
      <c r="M876" s="64"/>
      <c r="N876" s="65"/>
      <c r="O876" s="66"/>
      <c r="P876" s="34">
        <f t="shared" si="2"/>
        <v>0</v>
      </c>
    </row>
    <row r="877" ht="22.5" customHeight="1">
      <c r="A877" s="35"/>
      <c r="B877" s="36"/>
      <c r="C877" s="41"/>
      <c r="D877" s="37"/>
      <c r="E877" s="2"/>
      <c r="F877" s="38"/>
      <c r="G877" s="39"/>
      <c r="I877" s="61"/>
      <c r="J877" s="62"/>
      <c r="K877" s="63"/>
      <c r="L877" s="63"/>
      <c r="M877" s="64"/>
      <c r="N877" s="65"/>
      <c r="O877" s="66"/>
      <c r="P877" s="34">
        <f t="shared" si="2"/>
        <v>0</v>
      </c>
    </row>
    <row r="878" ht="22.5" customHeight="1">
      <c r="A878" s="35"/>
      <c r="B878" s="36"/>
      <c r="C878" s="41"/>
      <c r="D878" s="37"/>
      <c r="E878" s="2"/>
      <c r="F878" s="38"/>
      <c r="G878" s="39"/>
      <c r="I878" s="61"/>
      <c r="J878" s="62"/>
      <c r="K878" s="63"/>
      <c r="L878" s="63"/>
      <c r="M878" s="64"/>
      <c r="N878" s="65"/>
      <c r="O878" s="66"/>
      <c r="P878" s="34">
        <f t="shared" si="2"/>
        <v>0</v>
      </c>
    </row>
    <row r="879" ht="22.5" customHeight="1">
      <c r="A879" s="35"/>
      <c r="B879" s="36"/>
      <c r="C879" s="41"/>
      <c r="D879" s="37"/>
      <c r="E879" s="2"/>
      <c r="F879" s="38"/>
      <c r="G879" s="39"/>
      <c r="I879" s="61"/>
      <c r="J879" s="62"/>
      <c r="K879" s="63"/>
      <c r="L879" s="63"/>
      <c r="M879" s="64"/>
      <c r="N879" s="65"/>
      <c r="O879" s="66"/>
      <c r="P879" s="34">
        <f t="shared" si="2"/>
        <v>0</v>
      </c>
    </row>
    <row r="880" ht="22.5" customHeight="1">
      <c r="A880" s="35"/>
      <c r="B880" s="36"/>
      <c r="C880" s="41"/>
      <c r="D880" s="37"/>
      <c r="E880" s="2"/>
      <c r="F880" s="38"/>
      <c r="G880" s="39"/>
      <c r="I880" s="61"/>
      <c r="J880" s="62"/>
      <c r="K880" s="63"/>
      <c r="L880" s="63"/>
      <c r="M880" s="64"/>
      <c r="N880" s="65"/>
      <c r="O880" s="66"/>
      <c r="P880" s="34">
        <f t="shared" si="2"/>
        <v>0</v>
      </c>
    </row>
    <row r="881" ht="22.5" customHeight="1">
      <c r="A881" s="35"/>
      <c r="B881" s="36"/>
      <c r="C881" s="41"/>
      <c r="D881" s="37"/>
      <c r="E881" s="2"/>
      <c r="F881" s="38"/>
      <c r="G881" s="39"/>
      <c r="I881" s="61"/>
      <c r="J881" s="62"/>
      <c r="K881" s="63"/>
      <c r="L881" s="63"/>
      <c r="M881" s="64"/>
      <c r="N881" s="65"/>
      <c r="O881" s="66"/>
      <c r="P881" s="34">
        <f t="shared" si="2"/>
        <v>0</v>
      </c>
    </row>
    <row r="882" ht="22.5" customHeight="1">
      <c r="A882" s="35"/>
      <c r="B882" s="36"/>
      <c r="C882" s="41"/>
      <c r="D882" s="37"/>
      <c r="E882" s="2"/>
      <c r="F882" s="38"/>
      <c r="G882" s="39"/>
      <c r="I882" s="61"/>
      <c r="J882" s="62"/>
      <c r="K882" s="63"/>
      <c r="L882" s="63"/>
      <c r="M882" s="64"/>
      <c r="N882" s="65"/>
      <c r="O882" s="66"/>
      <c r="P882" s="34">
        <f t="shared" si="2"/>
        <v>0</v>
      </c>
    </row>
    <row r="883" ht="22.5" customHeight="1">
      <c r="A883" s="35"/>
      <c r="B883" s="36"/>
      <c r="C883" s="41"/>
      <c r="D883" s="37"/>
      <c r="E883" s="2"/>
      <c r="F883" s="38"/>
      <c r="G883" s="39"/>
      <c r="I883" s="61"/>
      <c r="J883" s="62"/>
      <c r="K883" s="63"/>
      <c r="L883" s="63"/>
      <c r="M883" s="64"/>
      <c r="N883" s="65"/>
      <c r="O883" s="66"/>
      <c r="P883" s="34">
        <f t="shared" si="2"/>
        <v>0</v>
      </c>
    </row>
    <row r="884" ht="22.5" customHeight="1">
      <c r="A884" s="35"/>
      <c r="B884" s="68"/>
      <c r="C884" s="69"/>
      <c r="D884" s="70"/>
      <c r="E884" s="70"/>
      <c r="F884" s="71"/>
      <c r="G884" s="72"/>
      <c r="I884" s="61"/>
      <c r="J884" s="62"/>
      <c r="K884" s="63"/>
      <c r="L884" s="63"/>
      <c r="M884" s="64"/>
      <c r="N884" s="65"/>
      <c r="O884" s="66"/>
      <c r="P884" s="34">
        <f t="shared" si="2"/>
        <v>0</v>
      </c>
    </row>
    <row r="885" ht="22.5" customHeight="1">
      <c r="A885" s="35"/>
      <c r="B885" s="68"/>
      <c r="C885" s="69"/>
      <c r="D885" s="70"/>
      <c r="E885" s="70"/>
      <c r="F885" s="71"/>
      <c r="G885" s="72"/>
      <c r="I885" s="61"/>
      <c r="J885" s="62"/>
      <c r="K885" s="63"/>
      <c r="L885" s="63"/>
      <c r="M885" s="64"/>
      <c r="N885" s="65"/>
      <c r="O885" s="66"/>
      <c r="P885" s="34">
        <f t="shared" si="2"/>
        <v>0</v>
      </c>
    </row>
    <row r="886" ht="22.5" customHeight="1">
      <c r="A886" s="35"/>
      <c r="B886" s="36"/>
      <c r="C886" s="3"/>
      <c r="D886" s="73"/>
      <c r="E886" s="74"/>
      <c r="F886" s="38"/>
      <c r="G886" s="39"/>
      <c r="I886" s="61"/>
      <c r="J886" s="62"/>
      <c r="K886" s="63"/>
      <c r="L886" s="63"/>
      <c r="M886" s="64"/>
      <c r="N886" s="65"/>
      <c r="O886" s="66"/>
      <c r="P886" s="34">
        <f t="shared" si="2"/>
        <v>0</v>
      </c>
    </row>
    <row r="887" ht="22.5" customHeight="1">
      <c r="A887" s="35"/>
      <c r="B887" s="36"/>
      <c r="C887" s="75"/>
      <c r="D887" s="76"/>
      <c r="E887" s="74"/>
      <c r="F887" s="38"/>
      <c r="G887" s="77"/>
      <c r="I887" s="61"/>
      <c r="J887" s="62"/>
      <c r="K887" s="63"/>
      <c r="L887" s="63"/>
      <c r="M887" s="64"/>
      <c r="N887" s="65"/>
      <c r="O887" s="66"/>
      <c r="P887" s="34">
        <f t="shared" si="2"/>
        <v>0</v>
      </c>
    </row>
    <row r="888" ht="22.5" customHeight="1">
      <c r="A888" s="35"/>
      <c r="B888" s="36"/>
      <c r="C888" s="75"/>
      <c r="D888" s="76"/>
      <c r="E888" s="74"/>
      <c r="F888" s="38"/>
      <c r="G888" s="77"/>
      <c r="I888" s="61"/>
      <c r="J888" s="62"/>
      <c r="K888" s="63"/>
      <c r="L888" s="63"/>
      <c r="M888" s="64"/>
      <c r="N888" s="65"/>
      <c r="O888" s="66"/>
      <c r="P888" s="34">
        <f t="shared" si="2"/>
        <v>0</v>
      </c>
    </row>
    <row r="889" ht="22.5" customHeight="1">
      <c r="A889" s="35"/>
      <c r="B889" s="36"/>
      <c r="C889" s="75"/>
      <c r="D889" s="76"/>
      <c r="E889" s="74"/>
      <c r="F889" s="38"/>
      <c r="G889" s="77"/>
      <c r="I889" s="61"/>
      <c r="J889" s="62"/>
      <c r="K889" s="63"/>
      <c r="L889" s="63"/>
      <c r="M889" s="64"/>
      <c r="N889" s="65"/>
      <c r="O889" s="66"/>
      <c r="P889" s="34">
        <f t="shared" si="2"/>
        <v>0</v>
      </c>
    </row>
    <row r="890" ht="22.5" customHeight="1">
      <c r="A890" s="35"/>
      <c r="B890" s="78"/>
      <c r="C890" s="79"/>
      <c r="D890" s="80"/>
      <c r="E890" s="80"/>
      <c r="F890" s="81"/>
      <c r="G890" s="82"/>
      <c r="I890" s="61"/>
      <c r="J890" s="62"/>
      <c r="K890" s="63"/>
      <c r="L890" s="63"/>
      <c r="M890" s="64"/>
      <c r="N890" s="65"/>
      <c r="O890" s="66"/>
      <c r="P890" s="34">
        <f t="shared" si="2"/>
        <v>0</v>
      </c>
    </row>
    <row r="891" ht="22.5" customHeight="1">
      <c r="I891" s="61"/>
      <c r="J891" s="62"/>
      <c r="K891" s="63"/>
      <c r="L891" s="63"/>
      <c r="M891" s="64"/>
      <c r="N891" s="65"/>
      <c r="O891" s="66"/>
      <c r="P891" s="34">
        <f t="shared" si="2"/>
        <v>0</v>
      </c>
    </row>
    <row r="892" ht="22.5" customHeight="1">
      <c r="I892" s="61"/>
      <c r="J892" s="62"/>
      <c r="K892" s="63"/>
      <c r="L892" s="63"/>
      <c r="M892" s="64"/>
      <c r="N892" s="65"/>
      <c r="O892" s="66"/>
      <c r="P892" s="34">
        <f t="shared" si="2"/>
        <v>0</v>
      </c>
    </row>
    <row r="893" ht="22.5" customHeight="1">
      <c r="I893" s="61"/>
      <c r="J893" s="62"/>
      <c r="K893" s="63"/>
      <c r="L893" s="63"/>
      <c r="M893" s="64"/>
      <c r="N893" s="65"/>
      <c r="O893" s="66"/>
      <c r="P893" s="34">
        <f t="shared" si="2"/>
        <v>0</v>
      </c>
    </row>
    <row r="894" ht="22.5" customHeight="1">
      <c r="I894" s="61"/>
      <c r="J894" s="62"/>
      <c r="K894" s="63"/>
      <c r="L894" s="63"/>
      <c r="M894" s="64"/>
      <c r="N894" s="65"/>
      <c r="O894" s="66"/>
      <c r="P894" s="34">
        <f t="shared" si="2"/>
        <v>0</v>
      </c>
    </row>
    <row r="895" ht="22.5" customHeight="1">
      <c r="I895" s="61"/>
      <c r="J895" s="62"/>
      <c r="K895" s="63"/>
      <c r="L895" s="63"/>
      <c r="M895" s="64"/>
      <c r="N895" s="65"/>
      <c r="O895" s="66"/>
      <c r="P895" s="34">
        <f t="shared" si="2"/>
        <v>0</v>
      </c>
    </row>
    <row r="896" ht="22.5" customHeight="1">
      <c r="I896" s="61"/>
      <c r="J896" s="62"/>
      <c r="K896" s="63"/>
      <c r="L896" s="63"/>
      <c r="M896" s="64"/>
      <c r="N896" s="65"/>
      <c r="O896" s="66"/>
      <c r="P896" s="34">
        <f t="shared" si="2"/>
        <v>0</v>
      </c>
    </row>
    <row r="897" ht="22.5" customHeight="1">
      <c r="I897" s="61"/>
      <c r="J897" s="62"/>
      <c r="K897" s="63"/>
      <c r="L897" s="63"/>
      <c r="M897" s="64"/>
      <c r="N897" s="65"/>
      <c r="O897" s="66"/>
      <c r="P897" s="34">
        <f t="shared" si="2"/>
        <v>0</v>
      </c>
    </row>
    <row r="898" ht="22.5" customHeight="1">
      <c r="I898" s="61"/>
      <c r="J898" s="62"/>
      <c r="K898" s="63"/>
      <c r="L898" s="63"/>
      <c r="M898" s="64"/>
      <c r="N898" s="65"/>
      <c r="O898" s="66"/>
      <c r="P898" s="34">
        <f t="shared" si="2"/>
        <v>0</v>
      </c>
    </row>
    <row r="899" ht="22.5" customHeight="1">
      <c r="I899" s="61"/>
      <c r="J899" s="62"/>
      <c r="K899" s="63"/>
      <c r="L899" s="63"/>
      <c r="M899" s="64"/>
      <c r="N899" s="65"/>
      <c r="O899" s="66"/>
      <c r="P899" s="34">
        <f t="shared" si="2"/>
        <v>0</v>
      </c>
    </row>
    <row r="900" ht="22.5" customHeight="1">
      <c r="I900" s="61"/>
      <c r="J900" s="62"/>
      <c r="K900" s="63"/>
      <c r="L900" s="63"/>
      <c r="M900" s="64"/>
      <c r="N900" s="65"/>
      <c r="O900" s="66"/>
      <c r="P900" s="34">
        <f t="shared" si="2"/>
        <v>0</v>
      </c>
    </row>
    <row r="901" ht="22.5" customHeight="1">
      <c r="I901" s="61"/>
      <c r="J901" s="62"/>
      <c r="K901" s="63"/>
      <c r="L901" s="63"/>
      <c r="M901" s="64"/>
      <c r="N901" s="65"/>
      <c r="O901" s="66"/>
      <c r="P901" s="34">
        <f t="shared" si="2"/>
        <v>0</v>
      </c>
    </row>
    <row r="902" ht="22.5" customHeight="1">
      <c r="I902" s="61"/>
      <c r="J902" s="62"/>
      <c r="K902" s="63"/>
      <c r="L902" s="63"/>
      <c r="M902" s="64"/>
      <c r="N902" s="65"/>
      <c r="O902" s="66"/>
      <c r="P902" s="34">
        <f t="shared" si="2"/>
        <v>0</v>
      </c>
    </row>
    <row r="903" ht="22.5" customHeight="1">
      <c r="I903" s="61"/>
      <c r="J903" s="62"/>
      <c r="K903" s="63"/>
      <c r="L903" s="63"/>
      <c r="M903" s="64"/>
      <c r="N903" s="65"/>
      <c r="O903" s="66"/>
      <c r="P903" s="34">
        <f t="shared" si="2"/>
        <v>0</v>
      </c>
    </row>
    <row r="904" ht="22.5" customHeight="1">
      <c r="I904" s="61"/>
      <c r="J904" s="62"/>
      <c r="K904" s="63"/>
      <c r="L904" s="63"/>
      <c r="M904" s="64"/>
      <c r="N904" s="65"/>
      <c r="O904" s="66"/>
      <c r="P904" s="34">
        <f t="shared" si="2"/>
        <v>0</v>
      </c>
    </row>
    <row r="905" ht="22.5" customHeight="1">
      <c r="I905" s="61"/>
      <c r="J905" s="62"/>
      <c r="K905" s="63"/>
      <c r="L905" s="63"/>
      <c r="M905" s="64"/>
      <c r="N905" s="65"/>
      <c r="O905" s="66"/>
      <c r="P905" s="34">
        <f t="shared" si="2"/>
        <v>0</v>
      </c>
    </row>
    <row r="906" ht="22.5" customHeight="1">
      <c r="I906" s="61"/>
      <c r="J906" s="62"/>
      <c r="K906" s="63"/>
      <c r="L906" s="63"/>
      <c r="M906" s="64"/>
      <c r="N906" s="65"/>
      <c r="O906" s="66"/>
      <c r="P906" s="34">
        <f t="shared" si="2"/>
        <v>0</v>
      </c>
    </row>
    <row r="907" ht="22.5" customHeight="1">
      <c r="I907" s="61"/>
      <c r="J907" s="62"/>
      <c r="K907" s="63"/>
      <c r="L907" s="63"/>
      <c r="M907" s="64"/>
      <c r="N907" s="65"/>
      <c r="O907" s="66"/>
      <c r="P907" s="34">
        <f t="shared" si="2"/>
        <v>0</v>
      </c>
    </row>
    <row r="908" ht="22.5" customHeight="1">
      <c r="I908" s="61"/>
      <c r="J908" s="62"/>
      <c r="K908" s="63"/>
      <c r="L908" s="63"/>
      <c r="M908" s="64"/>
      <c r="N908" s="65"/>
      <c r="O908" s="66"/>
      <c r="P908" s="34">
        <f t="shared" si="2"/>
        <v>0</v>
      </c>
    </row>
    <row r="909" ht="22.5" customHeight="1">
      <c r="I909" s="61"/>
      <c r="J909" s="62"/>
      <c r="K909" s="63"/>
      <c r="L909" s="63"/>
      <c r="M909" s="64"/>
      <c r="N909" s="65"/>
      <c r="O909" s="66"/>
      <c r="P909" s="34">
        <f t="shared" si="2"/>
        <v>0</v>
      </c>
    </row>
    <row r="910" ht="22.5" customHeight="1">
      <c r="I910" s="61"/>
      <c r="J910" s="62"/>
      <c r="K910" s="63"/>
      <c r="L910" s="63"/>
      <c r="M910" s="64"/>
      <c r="N910" s="65"/>
      <c r="O910" s="66"/>
      <c r="P910" s="34">
        <f t="shared" si="2"/>
        <v>0</v>
      </c>
    </row>
    <row r="911" ht="22.5" customHeight="1">
      <c r="I911" s="61"/>
      <c r="J911" s="62"/>
      <c r="K911" s="63"/>
      <c r="L911" s="63"/>
      <c r="M911" s="64"/>
      <c r="N911" s="65"/>
      <c r="O911" s="66"/>
      <c r="P911" s="34">
        <f t="shared" si="2"/>
        <v>0</v>
      </c>
    </row>
    <row r="912" ht="22.5" customHeight="1">
      <c r="I912" s="61"/>
      <c r="J912" s="62"/>
      <c r="K912" s="63"/>
      <c r="L912" s="63"/>
      <c r="M912" s="64"/>
      <c r="N912" s="65"/>
      <c r="O912" s="66"/>
      <c r="P912" s="34">
        <f t="shared" si="2"/>
        <v>0</v>
      </c>
    </row>
    <row r="913" ht="22.5" customHeight="1">
      <c r="I913" s="61"/>
      <c r="J913" s="62"/>
      <c r="K913" s="63"/>
      <c r="L913" s="63"/>
      <c r="M913" s="64"/>
      <c r="N913" s="65"/>
      <c r="O913" s="66"/>
      <c r="P913" s="34">
        <f t="shared" si="2"/>
        <v>0</v>
      </c>
    </row>
    <row r="914" ht="22.5" customHeight="1">
      <c r="I914" s="61"/>
      <c r="J914" s="62"/>
      <c r="K914" s="63"/>
      <c r="L914" s="63"/>
      <c r="M914" s="64"/>
      <c r="N914" s="65"/>
      <c r="O914" s="66"/>
      <c r="P914" s="34">
        <f t="shared" si="2"/>
        <v>0</v>
      </c>
    </row>
    <row r="915" ht="22.5" customHeight="1">
      <c r="I915" s="61"/>
      <c r="J915" s="62"/>
      <c r="K915" s="63"/>
      <c r="L915" s="63"/>
      <c r="M915" s="64"/>
      <c r="N915" s="65"/>
      <c r="O915" s="66"/>
      <c r="P915" s="34">
        <f t="shared" si="2"/>
        <v>0</v>
      </c>
    </row>
    <row r="916" ht="22.5" customHeight="1">
      <c r="I916" s="61"/>
      <c r="J916" s="62"/>
      <c r="K916" s="63"/>
      <c r="L916" s="63"/>
      <c r="M916" s="64"/>
      <c r="N916" s="65"/>
      <c r="O916" s="66"/>
      <c r="P916" s="34">
        <f t="shared" si="2"/>
        <v>0</v>
      </c>
    </row>
    <row r="917" ht="22.5" customHeight="1">
      <c r="I917" s="61"/>
      <c r="J917" s="62"/>
      <c r="K917" s="63"/>
      <c r="L917" s="63"/>
      <c r="M917" s="64"/>
      <c r="N917" s="65"/>
      <c r="O917" s="66"/>
      <c r="P917" s="34">
        <f t="shared" si="2"/>
        <v>0</v>
      </c>
    </row>
    <row r="918" ht="22.5" customHeight="1">
      <c r="I918" s="61"/>
      <c r="J918" s="62"/>
      <c r="K918" s="63"/>
      <c r="L918" s="63"/>
      <c r="M918" s="64"/>
      <c r="N918" s="65"/>
      <c r="O918" s="66"/>
      <c r="P918" s="34">
        <f t="shared" si="2"/>
        <v>0</v>
      </c>
    </row>
    <row r="919" ht="22.5" customHeight="1">
      <c r="I919" s="61"/>
      <c r="J919" s="62"/>
      <c r="K919" s="63"/>
      <c r="L919" s="63"/>
      <c r="M919" s="64"/>
      <c r="N919" s="65"/>
      <c r="O919" s="66"/>
      <c r="P919" s="34">
        <f t="shared" si="2"/>
        <v>0</v>
      </c>
    </row>
    <row r="920" ht="22.5" customHeight="1">
      <c r="I920" s="61"/>
      <c r="J920" s="62"/>
      <c r="K920" s="63"/>
      <c r="L920" s="63"/>
      <c r="M920" s="64"/>
      <c r="N920" s="65"/>
      <c r="O920" s="66"/>
      <c r="P920" s="34">
        <f t="shared" si="2"/>
        <v>0</v>
      </c>
    </row>
    <row r="921" ht="22.5" customHeight="1">
      <c r="I921" s="61"/>
      <c r="J921" s="62"/>
      <c r="K921" s="63"/>
      <c r="L921" s="63"/>
      <c r="M921" s="64"/>
      <c r="N921" s="65"/>
      <c r="O921" s="66"/>
      <c r="P921" s="34">
        <f t="shared" si="2"/>
        <v>0</v>
      </c>
    </row>
    <row r="922" ht="22.5" customHeight="1">
      <c r="I922" s="61"/>
      <c r="J922" s="62"/>
      <c r="K922" s="63"/>
      <c r="L922" s="63"/>
      <c r="M922" s="64"/>
      <c r="N922" s="65"/>
      <c r="O922" s="66"/>
      <c r="P922" s="34">
        <f t="shared" si="2"/>
        <v>0</v>
      </c>
    </row>
    <row r="923" ht="22.5" customHeight="1">
      <c r="I923" s="61"/>
      <c r="J923" s="62"/>
      <c r="K923" s="63"/>
      <c r="L923" s="63"/>
      <c r="M923" s="64"/>
      <c r="N923" s="65"/>
      <c r="O923" s="66"/>
      <c r="P923" s="34">
        <f t="shared" si="2"/>
        <v>0</v>
      </c>
    </row>
    <row r="924" ht="22.5" customHeight="1">
      <c r="I924" s="61"/>
      <c r="J924" s="62"/>
      <c r="K924" s="63"/>
      <c r="L924" s="63"/>
      <c r="M924" s="64"/>
      <c r="N924" s="65"/>
      <c r="O924" s="66"/>
      <c r="P924" s="34">
        <f t="shared" si="2"/>
        <v>0</v>
      </c>
    </row>
    <row r="925" ht="22.5" customHeight="1">
      <c r="I925" s="61"/>
      <c r="J925" s="62"/>
      <c r="K925" s="63"/>
      <c r="L925" s="63"/>
      <c r="M925" s="64"/>
      <c r="N925" s="65"/>
      <c r="O925" s="66"/>
      <c r="P925" s="34">
        <f t="shared" si="2"/>
        <v>0</v>
      </c>
    </row>
    <row r="926" ht="22.5" customHeight="1">
      <c r="I926" s="61"/>
      <c r="J926" s="62"/>
      <c r="K926" s="63"/>
      <c r="L926" s="63"/>
      <c r="M926" s="64"/>
      <c r="N926" s="65"/>
      <c r="O926" s="66"/>
      <c r="P926" s="34">
        <f t="shared" si="2"/>
        <v>0</v>
      </c>
    </row>
    <row r="927" ht="22.5" customHeight="1">
      <c r="I927" s="61"/>
      <c r="J927" s="62"/>
      <c r="K927" s="63"/>
      <c r="L927" s="63"/>
      <c r="M927" s="64"/>
      <c r="N927" s="65"/>
      <c r="O927" s="66"/>
      <c r="P927" s="34">
        <f t="shared" si="2"/>
        <v>0</v>
      </c>
    </row>
    <row r="928" ht="22.5" customHeight="1">
      <c r="I928" s="61"/>
      <c r="J928" s="62"/>
      <c r="K928" s="63"/>
      <c r="L928" s="63"/>
      <c r="M928" s="64"/>
      <c r="N928" s="65"/>
      <c r="O928" s="66"/>
      <c r="P928" s="34">
        <f t="shared" si="2"/>
        <v>0</v>
      </c>
    </row>
    <row r="929" ht="22.5" customHeight="1">
      <c r="I929" s="61"/>
      <c r="J929" s="62"/>
      <c r="K929" s="63"/>
      <c r="L929" s="63"/>
      <c r="M929" s="64"/>
      <c r="N929" s="65"/>
      <c r="O929" s="66"/>
      <c r="P929" s="34">
        <f t="shared" si="2"/>
        <v>0</v>
      </c>
    </row>
    <row r="930" ht="22.5" customHeight="1">
      <c r="I930" s="61"/>
      <c r="J930" s="62"/>
      <c r="K930" s="63"/>
      <c r="L930" s="63"/>
      <c r="M930" s="64"/>
      <c r="N930" s="65"/>
      <c r="O930" s="66"/>
      <c r="P930" s="34">
        <f t="shared" si="2"/>
        <v>0</v>
      </c>
    </row>
    <row r="931" ht="22.5" customHeight="1">
      <c r="I931" s="61"/>
      <c r="J931" s="62"/>
      <c r="K931" s="63"/>
      <c r="L931" s="63"/>
      <c r="M931" s="64"/>
      <c r="N931" s="65"/>
      <c r="O931" s="66"/>
      <c r="P931" s="34">
        <f t="shared" si="2"/>
        <v>0</v>
      </c>
    </row>
    <row r="932" ht="22.5" customHeight="1">
      <c r="I932" s="61"/>
      <c r="J932" s="62"/>
      <c r="K932" s="63"/>
      <c r="L932" s="63"/>
      <c r="M932" s="64"/>
      <c r="N932" s="65"/>
      <c r="O932" s="66"/>
      <c r="P932" s="34">
        <f t="shared" si="2"/>
        <v>0</v>
      </c>
    </row>
    <row r="933" ht="22.5" customHeight="1">
      <c r="I933" s="61"/>
      <c r="J933" s="62"/>
      <c r="K933" s="63"/>
      <c r="L933" s="63"/>
      <c r="M933" s="64"/>
      <c r="N933" s="65"/>
      <c r="O933" s="66"/>
      <c r="P933" s="34">
        <f t="shared" si="2"/>
        <v>0</v>
      </c>
    </row>
    <row r="934" ht="22.5" customHeight="1">
      <c r="I934" s="61"/>
      <c r="J934" s="62"/>
      <c r="K934" s="63"/>
      <c r="L934" s="63"/>
      <c r="M934" s="64"/>
      <c r="N934" s="65"/>
      <c r="O934" s="66"/>
      <c r="P934" s="34">
        <f t="shared" si="2"/>
        <v>0</v>
      </c>
    </row>
    <row r="935" ht="22.5" customHeight="1">
      <c r="I935" s="61"/>
      <c r="J935" s="62"/>
      <c r="K935" s="63"/>
      <c r="L935" s="63"/>
      <c r="M935" s="64"/>
      <c r="N935" s="65"/>
      <c r="O935" s="66"/>
      <c r="P935" s="34">
        <f t="shared" si="2"/>
        <v>0</v>
      </c>
    </row>
    <row r="936" ht="22.5" customHeight="1">
      <c r="I936" s="61"/>
      <c r="J936" s="62"/>
      <c r="K936" s="63"/>
      <c r="L936" s="63"/>
      <c r="M936" s="64"/>
      <c r="N936" s="65"/>
      <c r="O936" s="66"/>
      <c r="P936" s="34">
        <f t="shared" si="2"/>
        <v>0</v>
      </c>
    </row>
    <row r="937" ht="22.5" customHeight="1">
      <c r="I937" s="61"/>
      <c r="J937" s="62"/>
      <c r="K937" s="63"/>
      <c r="L937" s="63"/>
      <c r="M937" s="64"/>
      <c r="N937" s="65"/>
      <c r="O937" s="66"/>
      <c r="P937" s="34">
        <f t="shared" si="2"/>
        <v>0</v>
      </c>
    </row>
    <row r="938" ht="22.5" customHeight="1">
      <c r="I938" s="61"/>
      <c r="J938" s="62"/>
      <c r="K938" s="63"/>
      <c r="L938" s="63"/>
      <c r="M938" s="64"/>
      <c r="N938" s="65"/>
      <c r="O938" s="66"/>
      <c r="P938" s="34">
        <f t="shared" si="2"/>
        <v>0</v>
      </c>
    </row>
    <row r="939" ht="22.5" customHeight="1">
      <c r="I939" s="61"/>
      <c r="J939" s="62"/>
      <c r="K939" s="63"/>
      <c r="L939" s="63"/>
      <c r="M939" s="64"/>
      <c r="N939" s="65"/>
      <c r="O939" s="66"/>
      <c r="P939" s="34">
        <f t="shared" si="2"/>
        <v>0</v>
      </c>
    </row>
    <row r="940" ht="22.5" customHeight="1">
      <c r="I940" s="61"/>
      <c r="J940" s="62"/>
      <c r="K940" s="63"/>
      <c r="L940" s="63"/>
      <c r="M940" s="64"/>
      <c r="N940" s="65"/>
      <c r="O940" s="66"/>
      <c r="P940" s="34">
        <f t="shared" si="2"/>
        <v>0</v>
      </c>
    </row>
    <row r="941" ht="22.5" customHeight="1">
      <c r="I941" s="61"/>
      <c r="J941" s="62"/>
      <c r="K941" s="63"/>
      <c r="L941" s="63"/>
      <c r="M941" s="64"/>
      <c r="N941" s="65"/>
      <c r="O941" s="66"/>
      <c r="P941" s="34">
        <f t="shared" si="2"/>
        <v>0</v>
      </c>
    </row>
    <row r="942" ht="22.5" customHeight="1">
      <c r="I942" s="61"/>
      <c r="J942" s="62"/>
      <c r="K942" s="63"/>
      <c r="L942" s="63"/>
      <c r="M942" s="64"/>
      <c r="N942" s="65"/>
      <c r="O942" s="66"/>
      <c r="P942" s="34">
        <f t="shared" si="2"/>
        <v>0</v>
      </c>
    </row>
    <row r="943" ht="22.5" customHeight="1">
      <c r="I943" s="61"/>
      <c r="J943" s="62"/>
      <c r="K943" s="63"/>
      <c r="L943" s="63"/>
      <c r="M943" s="64"/>
      <c r="N943" s="65"/>
      <c r="O943" s="66"/>
      <c r="P943" s="34">
        <f t="shared" si="2"/>
        <v>0</v>
      </c>
    </row>
    <row r="944" ht="22.5" customHeight="1">
      <c r="I944" s="61"/>
      <c r="J944" s="62"/>
      <c r="K944" s="63"/>
      <c r="L944" s="63"/>
      <c r="M944" s="64"/>
      <c r="N944" s="65"/>
      <c r="O944" s="66"/>
      <c r="P944" s="34">
        <f t="shared" si="2"/>
        <v>0</v>
      </c>
    </row>
    <row r="945" ht="22.5" customHeight="1">
      <c r="I945" s="61"/>
      <c r="J945" s="62"/>
      <c r="K945" s="63"/>
      <c r="L945" s="63"/>
      <c r="M945" s="64"/>
      <c r="N945" s="65"/>
      <c r="O945" s="66"/>
      <c r="P945" s="34">
        <f t="shared" si="2"/>
        <v>0</v>
      </c>
    </row>
    <row r="946" ht="22.5" customHeight="1">
      <c r="I946" s="61"/>
      <c r="J946" s="62"/>
      <c r="K946" s="63"/>
      <c r="L946" s="63"/>
      <c r="M946" s="64"/>
      <c r="N946" s="65"/>
      <c r="O946" s="66"/>
      <c r="P946" s="34">
        <f t="shared" si="2"/>
        <v>0</v>
      </c>
    </row>
    <row r="947" ht="22.5" customHeight="1">
      <c r="I947" s="61"/>
      <c r="J947" s="62"/>
      <c r="K947" s="63"/>
      <c r="L947" s="63"/>
      <c r="M947" s="64"/>
      <c r="N947" s="65"/>
      <c r="O947" s="66"/>
      <c r="P947" s="34">
        <f t="shared" si="2"/>
        <v>0</v>
      </c>
    </row>
    <row r="948" ht="22.5" customHeight="1">
      <c r="I948" s="61"/>
      <c r="J948" s="62"/>
      <c r="K948" s="63"/>
      <c r="L948" s="63"/>
      <c r="M948" s="64"/>
      <c r="N948" s="65"/>
      <c r="O948" s="66"/>
      <c r="P948" s="34">
        <f t="shared" si="2"/>
        <v>0</v>
      </c>
    </row>
    <row r="949" ht="22.5" customHeight="1">
      <c r="I949" s="61"/>
      <c r="J949" s="62"/>
      <c r="K949" s="63"/>
      <c r="L949" s="63"/>
      <c r="M949" s="64"/>
      <c r="N949" s="65"/>
      <c r="O949" s="66"/>
      <c r="P949" s="34">
        <f t="shared" si="2"/>
        <v>0</v>
      </c>
    </row>
    <row r="950" ht="22.5" customHeight="1">
      <c r="I950" s="61"/>
      <c r="J950" s="62"/>
      <c r="K950" s="63"/>
      <c r="L950" s="63"/>
      <c r="M950" s="64"/>
      <c r="N950" s="65"/>
      <c r="O950" s="66"/>
      <c r="P950" s="34">
        <f t="shared" si="2"/>
        <v>0</v>
      </c>
    </row>
    <row r="951" ht="22.5" customHeight="1">
      <c r="I951" s="61"/>
      <c r="J951" s="62"/>
      <c r="K951" s="63"/>
      <c r="L951" s="63"/>
      <c r="M951" s="64"/>
      <c r="N951" s="65"/>
      <c r="O951" s="66"/>
      <c r="P951" s="34">
        <f t="shared" si="2"/>
        <v>0</v>
      </c>
    </row>
    <row r="952" ht="22.5" customHeight="1">
      <c r="I952" s="61"/>
      <c r="J952" s="62"/>
      <c r="K952" s="63"/>
      <c r="L952" s="63"/>
      <c r="M952" s="64"/>
      <c r="N952" s="65"/>
      <c r="O952" s="66"/>
      <c r="P952" s="34">
        <f t="shared" si="2"/>
        <v>0</v>
      </c>
    </row>
    <row r="953" ht="22.5" customHeight="1">
      <c r="I953" s="61"/>
      <c r="J953" s="62"/>
      <c r="K953" s="63"/>
      <c r="L953" s="63"/>
      <c r="M953" s="64"/>
      <c r="N953" s="65"/>
      <c r="O953" s="66"/>
      <c r="P953" s="34">
        <f t="shared" si="2"/>
        <v>0</v>
      </c>
    </row>
    <row r="954" ht="22.5" customHeight="1">
      <c r="I954" s="61"/>
      <c r="J954" s="62"/>
      <c r="K954" s="63"/>
      <c r="L954" s="63"/>
      <c r="M954" s="64"/>
      <c r="N954" s="65"/>
      <c r="O954" s="66"/>
      <c r="P954" s="34">
        <f t="shared" si="2"/>
        <v>0</v>
      </c>
    </row>
    <row r="955" ht="22.5" customHeight="1">
      <c r="I955" s="61"/>
      <c r="J955" s="62"/>
      <c r="K955" s="63"/>
      <c r="L955" s="63"/>
      <c r="M955" s="64"/>
      <c r="N955" s="65"/>
      <c r="O955" s="66"/>
      <c r="P955" s="34">
        <f t="shared" si="2"/>
        <v>0</v>
      </c>
    </row>
    <row r="956" ht="22.5" customHeight="1">
      <c r="I956" s="61"/>
      <c r="J956" s="62"/>
      <c r="K956" s="63"/>
      <c r="L956" s="63"/>
      <c r="M956" s="64"/>
      <c r="N956" s="65"/>
      <c r="O956" s="66"/>
      <c r="P956" s="34">
        <f t="shared" si="2"/>
        <v>0</v>
      </c>
    </row>
    <row r="957" ht="22.5" customHeight="1">
      <c r="I957" s="61"/>
      <c r="J957" s="62"/>
      <c r="K957" s="63"/>
      <c r="L957" s="63"/>
      <c r="M957" s="64"/>
      <c r="N957" s="65"/>
      <c r="O957" s="66"/>
      <c r="P957" s="34">
        <f t="shared" si="2"/>
        <v>0</v>
      </c>
    </row>
    <row r="958" ht="22.5" customHeight="1">
      <c r="I958" s="61"/>
      <c r="J958" s="62"/>
      <c r="K958" s="63"/>
      <c r="L958" s="63"/>
      <c r="M958" s="64"/>
      <c r="N958" s="65"/>
      <c r="O958" s="66"/>
      <c r="P958" s="34">
        <f t="shared" si="2"/>
        <v>0</v>
      </c>
    </row>
    <row r="959" ht="22.5" customHeight="1">
      <c r="I959" s="61"/>
      <c r="J959" s="62"/>
      <c r="K959" s="63"/>
      <c r="L959" s="63"/>
      <c r="M959" s="64"/>
      <c r="N959" s="65"/>
      <c r="O959" s="66"/>
      <c r="P959" s="34">
        <f t="shared" si="2"/>
        <v>0</v>
      </c>
    </row>
    <row r="960" ht="22.5" customHeight="1">
      <c r="I960" s="61"/>
      <c r="J960" s="62"/>
      <c r="K960" s="63"/>
      <c r="L960" s="63"/>
      <c r="M960" s="64"/>
      <c r="N960" s="65"/>
      <c r="O960" s="66"/>
      <c r="P960" s="34">
        <f t="shared" si="2"/>
        <v>0</v>
      </c>
    </row>
    <row r="961" ht="22.5" customHeight="1">
      <c r="I961" s="61"/>
      <c r="J961" s="62"/>
      <c r="K961" s="63"/>
      <c r="L961" s="63"/>
      <c r="M961" s="64"/>
      <c r="N961" s="65"/>
      <c r="O961" s="66"/>
      <c r="P961" s="34">
        <f t="shared" si="2"/>
        <v>0</v>
      </c>
    </row>
    <row r="962" ht="22.5" customHeight="1">
      <c r="I962" s="61"/>
      <c r="J962" s="62"/>
      <c r="K962" s="63"/>
      <c r="L962" s="63"/>
      <c r="M962" s="64"/>
      <c r="N962" s="65"/>
      <c r="O962" s="66"/>
      <c r="P962" s="34">
        <f t="shared" si="2"/>
        <v>0</v>
      </c>
    </row>
    <row r="963" ht="22.5" customHeight="1">
      <c r="I963" s="61"/>
      <c r="J963" s="62"/>
      <c r="K963" s="63"/>
      <c r="L963" s="63"/>
      <c r="M963" s="64"/>
      <c r="N963" s="65"/>
      <c r="O963" s="66"/>
      <c r="P963" s="34">
        <f t="shared" si="2"/>
        <v>0</v>
      </c>
    </row>
    <row r="964" ht="22.5" customHeight="1">
      <c r="I964" s="61"/>
      <c r="J964" s="62"/>
      <c r="K964" s="63"/>
      <c r="L964" s="63"/>
      <c r="M964" s="64"/>
      <c r="N964" s="65"/>
      <c r="O964" s="66"/>
      <c r="P964" s="34">
        <f t="shared" si="2"/>
        <v>0</v>
      </c>
    </row>
    <row r="965" ht="22.5" customHeight="1">
      <c r="I965" s="61"/>
      <c r="J965" s="62"/>
      <c r="K965" s="63"/>
      <c r="L965" s="63"/>
      <c r="M965" s="64"/>
      <c r="N965" s="65"/>
      <c r="O965" s="66"/>
      <c r="P965" s="34">
        <f t="shared" si="2"/>
        <v>0</v>
      </c>
    </row>
    <row r="966" ht="22.5" customHeight="1">
      <c r="I966" s="61"/>
      <c r="J966" s="62"/>
      <c r="K966" s="63"/>
      <c r="L966" s="63"/>
      <c r="M966" s="64"/>
      <c r="N966" s="65"/>
      <c r="O966" s="66"/>
      <c r="P966" s="34">
        <f t="shared" si="2"/>
        <v>0</v>
      </c>
    </row>
    <row r="967" ht="22.5" customHeight="1">
      <c r="I967" s="61"/>
      <c r="J967" s="62"/>
      <c r="K967" s="63"/>
      <c r="L967" s="63"/>
      <c r="M967" s="64"/>
      <c r="N967" s="65"/>
      <c r="O967" s="66"/>
      <c r="P967" s="34">
        <f t="shared" si="2"/>
        <v>0</v>
      </c>
    </row>
    <row r="968" ht="22.5" customHeight="1">
      <c r="I968" s="61"/>
      <c r="J968" s="62"/>
      <c r="K968" s="63"/>
      <c r="L968" s="63"/>
      <c r="M968" s="64"/>
      <c r="N968" s="65"/>
      <c r="O968" s="66"/>
      <c r="P968" s="34">
        <f t="shared" si="2"/>
        <v>0</v>
      </c>
    </row>
    <row r="969" ht="22.5" customHeight="1">
      <c r="I969" s="61"/>
      <c r="J969" s="62"/>
      <c r="K969" s="63"/>
      <c r="L969" s="63"/>
      <c r="M969" s="64"/>
      <c r="N969" s="65"/>
      <c r="O969" s="66"/>
      <c r="P969" s="34">
        <f t="shared" si="2"/>
        <v>0</v>
      </c>
    </row>
    <row r="970" ht="22.5" customHeight="1">
      <c r="I970" s="61"/>
      <c r="J970" s="62"/>
      <c r="K970" s="63"/>
      <c r="L970" s="63"/>
      <c r="M970" s="64"/>
      <c r="N970" s="65"/>
      <c r="O970" s="66"/>
      <c r="P970" s="34">
        <f t="shared" si="2"/>
        <v>0</v>
      </c>
    </row>
    <row r="971" ht="22.5" customHeight="1">
      <c r="I971" s="61"/>
      <c r="J971" s="62"/>
      <c r="K971" s="63"/>
      <c r="L971" s="63"/>
      <c r="M971" s="64"/>
      <c r="N971" s="65"/>
      <c r="O971" s="66"/>
      <c r="P971" s="34">
        <f t="shared" si="2"/>
        <v>0</v>
      </c>
    </row>
    <row r="972" ht="22.5" customHeight="1">
      <c r="I972" s="61"/>
      <c r="J972" s="62"/>
      <c r="K972" s="63"/>
      <c r="L972" s="63"/>
      <c r="M972" s="64"/>
      <c r="N972" s="65"/>
      <c r="O972" s="66"/>
      <c r="P972" s="34">
        <f t="shared" si="2"/>
        <v>0</v>
      </c>
    </row>
    <row r="973" ht="22.5" customHeight="1">
      <c r="I973" s="61"/>
      <c r="J973" s="62"/>
      <c r="K973" s="63"/>
      <c r="L973" s="63"/>
      <c r="M973" s="64"/>
      <c r="N973" s="65"/>
      <c r="O973" s="66"/>
      <c r="P973" s="34">
        <f t="shared" si="2"/>
        <v>0</v>
      </c>
    </row>
    <row r="974" ht="22.5" customHeight="1">
      <c r="I974" s="61"/>
      <c r="J974" s="62"/>
      <c r="K974" s="63"/>
      <c r="L974" s="63"/>
      <c r="M974" s="64"/>
      <c r="N974" s="65"/>
      <c r="O974" s="66"/>
      <c r="P974" s="34">
        <f t="shared" si="2"/>
        <v>0</v>
      </c>
    </row>
    <row r="975" ht="22.5" customHeight="1">
      <c r="I975" s="61"/>
      <c r="J975" s="62"/>
      <c r="K975" s="63"/>
      <c r="L975" s="63"/>
      <c r="M975" s="64"/>
      <c r="N975" s="65"/>
      <c r="O975" s="66"/>
      <c r="P975" s="34">
        <f t="shared" si="2"/>
        <v>0</v>
      </c>
    </row>
    <row r="976" ht="22.5" customHeight="1">
      <c r="I976" s="61"/>
      <c r="J976" s="62"/>
      <c r="K976" s="63"/>
      <c r="L976" s="63"/>
      <c r="M976" s="64"/>
      <c r="N976" s="65"/>
      <c r="O976" s="66"/>
      <c r="P976" s="34">
        <f t="shared" si="2"/>
        <v>0</v>
      </c>
    </row>
    <row r="977" ht="22.5" customHeight="1">
      <c r="I977" s="61"/>
      <c r="J977" s="62"/>
      <c r="K977" s="63"/>
      <c r="L977" s="63"/>
      <c r="M977" s="64"/>
      <c r="N977" s="65"/>
      <c r="O977" s="66"/>
      <c r="P977" s="34">
        <f t="shared" si="2"/>
        <v>0</v>
      </c>
    </row>
    <row r="978" ht="22.5" customHeight="1">
      <c r="I978" s="61"/>
      <c r="J978" s="62"/>
      <c r="K978" s="63"/>
      <c r="L978" s="63"/>
      <c r="M978" s="64"/>
      <c r="N978" s="65"/>
      <c r="O978" s="66"/>
      <c r="P978" s="34">
        <f t="shared" si="2"/>
        <v>0</v>
      </c>
    </row>
    <row r="979" ht="22.5" customHeight="1">
      <c r="I979" s="61"/>
      <c r="J979" s="62"/>
      <c r="K979" s="63"/>
      <c r="L979" s="63"/>
      <c r="M979" s="64"/>
      <c r="N979" s="65"/>
      <c r="O979" s="66"/>
      <c r="P979" s="34">
        <f t="shared" si="2"/>
        <v>0</v>
      </c>
    </row>
    <row r="980" ht="22.5" customHeight="1">
      <c r="I980" s="61"/>
      <c r="J980" s="62"/>
      <c r="K980" s="63"/>
      <c r="L980" s="63"/>
      <c r="M980" s="64"/>
      <c r="N980" s="65"/>
      <c r="O980" s="66"/>
      <c r="P980" s="34">
        <f t="shared" si="2"/>
        <v>0</v>
      </c>
    </row>
    <row r="981" ht="22.5" customHeight="1">
      <c r="I981" s="61"/>
      <c r="J981" s="62"/>
      <c r="K981" s="63"/>
      <c r="L981" s="63"/>
      <c r="M981" s="64"/>
      <c r="N981" s="65"/>
      <c r="O981" s="66"/>
      <c r="P981" s="34">
        <f t="shared" si="2"/>
        <v>0</v>
      </c>
    </row>
    <row r="982" ht="22.5" customHeight="1">
      <c r="I982" s="61"/>
      <c r="J982" s="62"/>
      <c r="K982" s="63"/>
      <c r="L982" s="63"/>
      <c r="M982" s="64"/>
      <c r="N982" s="65"/>
      <c r="O982" s="66"/>
      <c r="P982" s="34">
        <f t="shared" si="2"/>
        <v>0</v>
      </c>
    </row>
    <row r="983" ht="22.5" customHeight="1">
      <c r="I983" s="61"/>
      <c r="J983" s="62"/>
      <c r="K983" s="63"/>
      <c r="L983" s="63"/>
      <c r="M983" s="64"/>
      <c r="N983" s="65"/>
      <c r="O983" s="66"/>
      <c r="P983" s="34">
        <f t="shared" si="2"/>
        <v>0</v>
      </c>
    </row>
    <row r="984" ht="22.5" customHeight="1">
      <c r="I984" s="61"/>
      <c r="J984" s="62"/>
      <c r="K984" s="63"/>
      <c r="L984" s="63"/>
      <c r="M984" s="64"/>
      <c r="N984" s="65"/>
      <c r="O984" s="66"/>
      <c r="P984" s="34">
        <f t="shared" si="2"/>
        <v>0</v>
      </c>
    </row>
    <row r="985" ht="22.5" customHeight="1">
      <c r="I985" s="61"/>
      <c r="J985" s="62"/>
      <c r="K985" s="63"/>
      <c r="L985" s="63"/>
      <c r="M985" s="64"/>
      <c r="N985" s="65"/>
      <c r="O985" s="66"/>
      <c r="P985" s="34">
        <f t="shared" si="2"/>
        <v>0</v>
      </c>
    </row>
    <row r="986" ht="22.5" customHeight="1">
      <c r="I986" s="61"/>
      <c r="J986" s="62"/>
      <c r="K986" s="63"/>
      <c r="L986" s="63"/>
      <c r="M986" s="64"/>
      <c r="N986" s="65"/>
      <c r="O986" s="66"/>
      <c r="P986" s="34">
        <f t="shared" si="2"/>
        <v>0</v>
      </c>
    </row>
    <row r="987" ht="22.5" customHeight="1">
      <c r="I987" s="61"/>
      <c r="J987" s="62"/>
      <c r="K987" s="63"/>
      <c r="L987" s="63"/>
      <c r="M987" s="64"/>
      <c r="N987" s="65"/>
      <c r="O987" s="66"/>
      <c r="P987" s="34">
        <f t="shared" si="2"/>
        <v>0</v>
      </c>
    </row>
    <row r="988" ht="22.5" customHeight="1">
      <c r="I988" s="61"/>
      <c r="J988" s="62"/>
      <c r="K988" s="63"/>
      <c r="L988" s="63"/>
      <c r="M988" s="64"/>
      <c r="N988" s="65"/>
      <c r="O988" s="66"/>
      <c r="P988" s="34">
        <f t="shared" si="2"/>
        <v>0</v>
      </c>
    </row>
    <row r="989" ht="22.5" customHeight="1">
      <c r="I989" s="61"/>
      <c r="J989" s="62"/>
      <c r="K989" s="63"/>
      <c r="L989" s="63"/>
      <c r="M989" s="64"/>
      <c r="N989" s="65"/>
      <c r="O989" s="66"/>
      <c r="P989" s="34">
        <f t="shared" si="2"/>
        <v>0</v>
      </c>
    </row>
    <row r="990" ht="22.5" customHeight="1">
      <c r="I990" s="61"/>
      <c r="J990" s="62"/>
      <c r="K990" s="63"/>
      <c r="L990" s="63"/>
      <c r="M990" s="64"/>
      <c r="N990" s="65"/>
      <c r="O990" s="66"/>
      <c r="P990" s="34">
        <f t="shared" si="2"/>
        <v>0</v>
      </c>
    </row>
    <row r="991" ht="22.5" customHeight="1">
      <c r="I991" s="61"/>
      <c r="J991" s="62"/>
      <c r="K991" s="63"/>
      <c r="L991" s="63"/>
      <c r="M991" s="64"/>
      <c r="N991" s="65"/>
      <c r="O991" s="66"/>
      <c r="P991" s="34">
        <f t="shared" si="2"/>
        <v>0</v>
      </c>
    </row>
    <row r="992" ht="22.5" customHeight="1">
      <c r="I992" s="61"/>
      <c r="J992" s="62"/>
      <c r="K992" s="63"/>
      <c r="L992" s="63"/>
      <c r="M992" s="64"/>
      <c r="N992" s="65"/>
      <c r="O992" s="66"/>
      <c r="P992" s="34">
        <f t="shared" si="2"/>
        <v>0</v>
      </c>
    </row>
    <row r="993" ht="22.5" customHeight="1">
      <c r="I993" s="61"/>
      <c r="J993" s="62"/>
      <c r="K993" s="63"/>
      <c r="L993" s="63"/>
      <c r="M993" s="64"/>
      <c r="N993" s="65"/>
      <c r="O993" s="66"/>
      <c r="P993" s="34">
        <f t="shared" si="2"/>
        <v>0</v>
      </c>
    </row>
    <row r="994" ht="22.5" customHeight="1">
      <c r="I994" s="61"/>
      <c r="J994" s="62"/>
      <c r="K994" s="63"/>
      <c r="L994" s="63"/>
      <c r="M994" s="64"/>
      <c r="N994" s="65"/>
      <c r="O994" s="66"/>
      <c r="P994" s="34">
        <f t="shared" si="2"/>
        <v>0</v>
      </c>
    </row>
    <row r="995" ht="22.5" customHeight="1">
      <c r="I995" s="61"/>
      <c r="J995" s="62"/>
      <c r="K995" s="63"/>
      <c r="L995" s="63"/>
      <c r="M995" s="64"/>
      <c r="N995" s="65"/>
      <c r="O995" s="66"/>
      <c r="P995" s="34">
        <f t="shared" si="2"/>
        <v>0</v>
      </c>
    </row>
    <row r="996" ht="22.5" customHeight="1">
      <c r="I996" s="61"/>
      <c r="J996" s="62"/>
      <c r="K996" s="63"/>
      <c r="L996" s="63"/>
      <c r="M996" s="64"/>
      <c r="N996" s="65"/>
      <c r="O996" s="66"/>
      <c r="P996" s="34">
        <f t="shared" si="2"/>
        <v>0</v>
      </c>
    </row>
    <row r="997" ht="22.5" customHeight="1">
      <c r="I997" s="61"/>
      <c r="J997" s="62"/>
      <c r="K997" s="63"/>
      <c r="L997" s="63"/>
      <c r="M997" s="64"/>
      <c r="N997" s="65"/>
      <c r="O997" s="66"/>
      <c r="P997" s="34">
        <f t="shared" si="2"/>
        <v>0</v>
      </c>
    </row>
    <row r="998" ht="22.5" customHeight="1">
      <c r="I998" s="61"/>
      <c r="J998" s="62"/>
      <c r="K998" s="63"/>
      <c r="L998" s="63"/>
      <c r="M998" s="64"/>
      <c r="N998" s="65"/>
      <c r="O998" s="66"/>
      <c r="P998" s="34">
        <f t="shared" si="2"/>
        <v>0</v>
      </c>
    </row>
    <row r="999" ht="22.5" customHeight="1">
      <c r="I999" s="61"/>
      <c r="J999" s="62"/>
      <c r="K999" s="63"/>
      <c r="L999" s="63"/>
      <c r="M999" s="64"/>
      <c r="N999" s="65"/>
      <c r="O999" s="66"/>
      <c r="P999" s="34">
        <f t="shared" si="2"/>
        <v>0</v>
      </c>
    </row>
    <row r="1000" ht="22.5" customHeight="1">
      <c r="I1000" s="61"/>
      <c r="J1000" s="62"/>
      <c r="K1000" s="63"/>
      <c r="L1000" s="63"/>
      <c r="M1000" s="64"/>
      <c r="N1000" s="65"/>
      <c r="O1000" s="66"/>
      <c r="P1000" s="34">
        <f t="shared" si="2"/>
        <v>0</v>
      </c>
    </row>
    <row r="1001" ht="22.5" customHeight="1">
      <c r="I1001" s="61"/>
      <c r="J1001" s="62"/>
      <c r="K1001" s="63"/>
      <c r="L1001" s="63"/>
      <c r="M1001" s="64"/>
      <c r="N1001" s="65"/>
      <c r="O1001" s="66"/>
      <c r="P1001" s="34">
        <f t="shared" si="2"/>
        <v>0</v>
      </c>
    </row>
    <row r="1002" ht="22.5" customHeight="1">
      <c r="I1002" s="61"/>
      <c r="J1002" s="62"/>
      <c r="K1002" s="63"/>
      <c r="L1002" s="63"/>
      <c r="M1002" s="64"/>
      <c r="N1002" s="65"/>
      <c r="O1002" s="66"/>
      <c r="P1002" s="34">
        <f t="shared" si="2"/>
        <v>0</v>
      </c>
    </row>
    <row r="1003" ht="22.5" customHeight="1">
      <c r="I1003" s="61"/>
      <c r="J1003" s="62"/>
      <c r="K1003" s="63"/>
      <c r="L1003" s="63"/>
      <c r="M1003" s="64"/>
      <c r="N1003" s="65"/>
      <c r="O1003" s="66"/>
      <c r="P1003" s="34">
        <f t="shared" si="2"/>
        <v>0</v>
      </c>
    </row>
  </sheetData>
  <autoFilter ref="$A$3:$G$890">
    <sortState ref="A3:G890">
      <sortCondition ref="D3:D890"/>
      <sortCondition ref="B3:B890"/>
    </sortState>
  </autoFilter>
  <dataValidations>
    <dataValidation type="custom" allowBlank="1" showDropDown="1" sqref="J4:J1003">
      <formula1>OR(NOT(ISERROR(DATEVALUE(J4))), AND(ISNUMBER(J4), LEFT(CELL("format", J4))="D"))</formula1>
    </dataValidation>
    <dataValidation type="custom" allowBlank="1" showDropDown="1" sqref="N4:O1003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>
      <c r="D119" s="84"/>
    </row>
    <row r="120">
      <c r="D120" s="84"/>
    </row>
    <row r="121">
      <c r="D121" s="84"/>
    </row>
    <row r="122">
      <c r="D122" s="84"/>
    </row>
    <row r="123">
      <c r="D123" s="84"/>
    </row>
    <row r="124">
      <c r="D124" s="84"/>
    </row>
    <row r="125">
      <c r="D125" s="84"/>
    </row>
    <row r="126">
      <c r="D126" s="84"/>
    </row>
    <row r="127">
      <c r="D127" s="84"/>
    </row>
    <row r="128">
      <c r="D128" s="84"/>
    </row>
    <row r="129">
      <c r="D129" s="84"/>
    </row>
    <row r="130">
      <c r="D130" s="84"/>
    </row>
    <row r="131">
      <c r="D131" s="84"/>
    </row>
    <row r="132">
      <c r="D132" s="84"/>
    </row>
    <row r="133">
      <c r="D133" s="84"/>
    </row>
    <row r="134">
      <c r="D134" s="84"/>
    </row>
    <row r="135">
      <c r="D135" s="84"/>
    </row>
    <row r="136">
      <c r="D136" s="84"/>
    </row>
    <row r="137">
      <c r="D137" s="84"/>
    </row>
    <row r="138">
      <c r="D138" s="84"/>
    </row>
    <row r="139">
      <c r="D139" s="84"/>
    </row>
    <row r="140">
      <c r="D140" s="84"/>
    </row>
    <row r="141">
      <c r="D141" s="84"/>
    </row>
    <row r="142">
      <c r="D142" s="84"/>
    </row>
    <row r="143">
      <c r="D143" s="84"/>
    </row>
    <row r="144">
      <c r="D144" s="84"/>
    </row>
    <row r="145">
      <c r="D145" s="84"/>
    </row>
    <row r="146">
      <c r="D146" s="84"/>
    </row>
    <row r="147">
      <c r="D147" s="84"/>
    </row>
    <row r="148">
      <c r="D148" s="84"/>
    </row>
    <row r="149">
      <c r="D149" s="84"/>
    </row>
    <row r="150">
      <c r="D150" s="84"/>
    </row>
    <row r="151">
      <c r="D151" s="84"/>
    </row>
    <row r="152">
      <c r="D152" s="84"/>
    </row>
    <row r="153">
      <c r="D153" s="84"/>
    </row>
    <row r="154">
      <c r="D154" s="84"/>
    </row>
    <row r="155">
      <c r="D155" s="84"/>
    </row>
    <row r="156">
      <c r="D156" s="84"/>
    </row>
    <row r="157">
      <c r="D157" s="84"/>
    </row>
    <row r="158">
      <c r="D158" s="84"/>
    </row>
    <row r="159">
      <c r="D159" s="84"/>
    </row>
    <row r="160">
      <c r="D160" s="84"/>
    </row>
    <row r="161">
      <c r="D161" s="84"/>
    </row>
    <row r="162">
      <c r="D162" s="84"/>
    </row>
    <row r="163">
      <c r="D163" s="84"/>
    </row>
    <row r="164">
      <c r="D164" s="84"/>
    </row>
    <row r="165">
      <c r="D165" s="84"/>
    </row>
    <row r="166">
      <c r="D166" s="84"/>
    </row>
    <row r="167">
      <c r="D167" s="84"/>
    </row>
    <row r="168">
      <c r="D168" s="84"/>
    </row>
    <row r="169">
      <c r="D169" s="84"/>
    </row>
    <row r="170">
      <c r="D170" s="84"/>
    </row>
    <row r="171">
      <c r="D171" s="84"/>
    </row>
    <row r="172">
      <c r="D172" s="84"/>
    </row>
    <row r="173">
      <c r="D173" s="84"/>
    </row>
    <row r="174">
      <c r="D174" s="84"/>
    </row>
    <row r="175">
      <c r="D175" s="84"/>
    </row>
    <row r="176">
      <c r="D176" s="84"/>
    </row>
    <row r="177">
      <c r="D177" s="84"/>
    </row>
    <row r="178">
      <c r="D178" s="84"/>
    </row>
    <row r="179">
      <c r="D179" s="84"/>
    </row>
    <row r="180">
      <c r="D180" s="84"/>
    </row>
    <row r="181">
      <c r="D181" s="84"/>
    </row>
    <row r="182">
      <c r="D182" s="84"/>
    </row>
    <row r="183">
      <c r="D183" s="84"/>
    </row>
    <row r="184">
      <c r="D184" s="84"/>
    </row>
    <row r="185">
      <c r="D185" s="84"/>
    </row>
    <row r="186">
      <c r="D186" s="84"/>
    </row>
    <row r="187">
      <c r="D187" s="84"/>
    </row>
    <row r="188">
      <c r="D188" s="84"/>
    </row>
    <row r="189">
      <c r="D189" s="84"/>
    </row>
    <row r="190">
      <c r="D190" s="84"/>
    </row>
    <row r="191">
      <c r="D191" s="84"/>
    </row>
    <row r="192">
      <c r="D192" s="84"/>
    </row>
    <row r="193">
      <c r="D193" s="84"/>
    </row>
    <row r="194">
      <c r="D194" s="84"/>
    </row>
    <row r="195">
      <c r="D195" s="84"/>
    </row>
    <row r="196">
      <c r="D196" s="84"/>
    </row>
    <row r="197">
      <c r="D197" s="84"/>
    </row>
    <row r="198">
      <c r="D198" s="84"/>
    </row>
    <row r="199">
      <c r="D199" s="84"/>
    </row>
    <row r="200">
      <c r="D200" s="84"/>
    </row>
    <row r="201">
      <c r="D201" s="84"/>
    </row>
    <row r="202">
      <c r="D202" s="84"/>
    </row>
    <row r="203">
      <c r="D203" s="84"/>
    </row>
    <row r="204">
      <c r="D204" s="84"/>
    </row>
    <row r="205">
      <c r="D205" s="84"/>
    </row>
    <row r="206">
      <c r="D206" s="84"/>
    </row>
    <row r="207">
      <c r="D207" s="84"/>
    </row>
    <row r="208">
      <c r="D208" s="84"/>
    </row>
    <row r="209">
      <c r="D209" s="84"/>
    </row>
    <row r="210">
      <c r="D210" s="84"/>
    </row>
    <row r="211">
      <c r="D211" s="84"/>
    </row>
    <row r="212">
      <c r="D212" s="84"/>
    </row>
    <row r="213">
      <c r="D213" s="84"/>
    </row>
    <row r="214">
      <c r="D214" s="84"/>
    </row>
    <row r="215">
      <c r="D215" s="84"/>
    </row>
    <row r="216">
      <c r="D216" s="84"/>
    </row>
    <row r="217">
      <c r="D217" s="84"/>
    </row>
    <row r="218">
      <c r="D218" s="84"/>
    </row>
    <row r="219">
      <c r="D219" s="84"/>
    </row>
    <row r="220">
      <c r="D220" s="84"/>
    </row>
    <row r="221">
      <c r="D221" s="84"/>
    </row>
    <row r="222">
      <c r="D222" s="84"/>
    </row>
    <row r="223">
      <c r="D223" s="84"/>
    </row>
    <row r="224">
      <c r="D224" s="84"/>
    </row>
    <row r="225">
      <c r="D225" s="84"/>
    </row>
    <row r="226">
      <c r="D226" s="84"/>
    </row>
    <row r="227">
      <c r="D227" s="84"/>
    </row>
    <row r="228">
      <c r="D228" s="84"/>
    </row>
    <row r="229">
      <c r="D229" s="84"/>
    </row>
    <row r="230">
      <c r="D230" s="84"/>
    </row>
    <row r="231">
      <c r="D231" s="84"/>
    </row>
    <row r="232">
      <c r="D232" s="84"/>
    </row>
    <row r="233">
      <c r="D233" s="84"/>
    </row>
    <row r="234">
      <c r="D234" s="84"/>
    </row>
    <row r="235">
      <c r="D235" s="84"/>
    </row>
    <row r="236">
      <c r="D236" s="84"/>
    </row>
    <row r="237">
      <c r="D237" s="84"/>
    </row>
    <row r="238">
      <c r="D238" s="84"/>
    </row>
    <row r="239">
      <c r="D239" s="84"/>
    </row>
    <row r="240">
      <c r="D240" s="84"/>
    </row>
    <row r="241">
      <c r="D241" s="84"/>
    </row>
    <row r="242">
      <c r="D242" s="84"/>
    </row>
    <row r="243">
      <c r="D243" s="84"/>
    </row>
    <row r="244">
      <c r="D244" s="84"/>
    </row>
    <row r="245">
      <c r="D245" s="84"/>
    </row>
    <row r="246">
      <c r="D246" s="84"/>
    </row>
    <row r="247">
      <c r="D247" s="84"/>
    </row>
    <row r="248">
      <c r="D248" s="84"/>
    </row>
    <row r="249">
      <c r="D249" s="84"/>
    </row>
    <row r="250">
      <c r="D250" s="84"/>
    </row>
    <row r="251">
      <c r="D251" s="84"/>
    </row>
    <row r="252">
      <c r="D252" s="84"/>
    </row>
    <row r="253">
      <c r="D253" s="84"/>
    </row>
    <row r="254">
      <c r="D254" s="84"/>
    </row>
    <row r="255">
      <c r="D255" s="84"/>
    </row>
    <row r="256">
      <c r="D256" s="84"/>
    </row>
    <row r="257">
      <c r="D257" s="84"/>
    </row>
    <row r="258">
      <c r="D258" s="84"/>
    </row>
    <row r="259">
      <c r="D259" s="84"/>
    </row>
    <row r="260">
      <c r="D260" s="84"/>
    </row>
    <row r="261">
      <c r="D261" s="84"/>
    </row>
    <row r="262">
      <c r="D262" s="84"/>
    </row>
    <row r="263">
      <c r="D263" s="84"/>
    </row>
    <row r="264">
      <c r="D264" s="84"/>
    </row>
    <row r="265">
      <c r="D265" s="84"/>
    </row>
    <row r="266">
      <c r="D266" s="84"/>
    </row>
    <row r="267">
      <c r="D267" s="84"/>
    </row>
    <row r="268">
      <c r="D268" s="84"/>
    </row>
    <row r="269">
      <c r="D269" s="84"/>
    </row>
    <row r="270">
      <c r="D270" s="84"/>
    </row>
    <row r="271">
      <c r="D271" s="84"/>
    </row>
    <row r="272">
      <c r="D272" s="84"/>
    </row>
    <row r="273">
      <c r="D273" s="84"/>
    </row>
    <row r="274">
      <c r="D274" s="84"/>
    </row>
    <row r="275">
      <c r="D275" s="84"/>
    </row>
    <row r="276">
      <c r="D276" s="84"/>
    </row>
    <row r="277">
      <c r="D277" s="84"/>
    </row>
    <row r="278">
      <c r="D278" s="84"/>
    </row>
    <row r="279">
      <c r="D279" s="84"/>
    </row>
    <row r="280">
      <c r="D280" s="84"/>
    </row>
    <row r="281">
      <c r="D281" s="84"/>
    </row>
    <row r="282">
      <c r="D282" s="84"/>
    </row>
    <row r="283">
      <c r="D283" s="84"/>
    </row>
    <row r="284">
      <c r="D284" s="84"/>
    </row>
    <row r="285">
      <c r="D285" s="84"/>
    </row>
    <row r="286">
      <c r="D286" s="84"/>
    </row>
    <row r="287">
      <c r="D287" s="84"/>
    </row>
    <row r="288">
      <c r="D288" s="84"/>
    </row>
    <row r="289">
      <c r="D289" s="84"/>
    </row>
    <row r="290">
      <c r="D290" s="84"/>
    </row>
    <row r="291">
      <c r="D291" s="84"/>
    </row>
    <row r="292">
      <c r="D292" s="84"/>
    </row>
    <row r="293">
      <c r="D293" s="84"/>
    </row>
    <row r="294">
      <c r="D294" s="84"/>
    </row>
    <row r="295">
      <c r="D295" s="84"/>
    </row>
    <row r="296">
      <c r="D296" s="84"/>
    </row>
    <row r="297">
      <c r="D297" s="84"/>
    </row>
    <row r="298">
      <c r="D298" s="84"/>
    </row>
    <row r="299">
      <c r="D299" s="84"/>
    </row>
    <row r="300">
      <c r="D300" s="84"/>
    </row>
    <row r="301">
      <c r="D301" s="84"/>
    </row>
    <row r="302">
      <c r="D302" s="84"/>
    </row>
    <row r="303">
      <c r="D303" s="84"/>
    </row>
    <row r="304">
      <c r="D304" s="84"/>
    </row>
    <row r="305">
      <c r="D305" s="84"/>
    </row>
    <row r="306">
      <c r="D306" s="84"/>
    </row>
    <row r="307">
      <c r="D307" s="84"/>
    </row>
    <row r="308">
      <c r="D308" s="84"/>
    </row>
    <row r="309">
      <c r="D309" s="84"/>
    </row>
    <row r="310">
      <c r="D310" s="84"/>
    </row>
    <row r="311">
      <c r="D311" s="84"/>
    </row>
    <row r="312">
      <c r="D312" s="84"/>
    </row>
    <row r="313">
      <c r="D313" s="84"/>
    </row>
    <row r="314">
      <c r="D314" s="84"/>
    </row>
    <row r="315">
      <c r="D315" s="84"/>
    </row>
    <row r="316">
      <c r="D316" s="84"/>
    </row>
    <row r="317">
      <c r="D317" s="84"/>
    </row>
    <row r="318">
      <c r="D318" s="84"/>
    </row>
    <row r="319">
      <c r="D319" s="84"/>
    </row>
    <row r="320">
      <c r="D320" s="84"/>
    </row>
    <row r="321">
      <c r="D321" s="84"/>
    </row>
    <row r="322">
      <c r="D322" s="84"/>
    </row>
    <row r="323">
      <c r="D323" s="84"/>
    </row>
    <row r="324">
      <c r="D324" s="84"/>
    </row>
    <row r="325">
      <c r="D325" s="84"/>
    </row>
    <row r="326">
      <c r="D326" s="84"/>
    </row>
    <row r="327">
      <c r="D327" s="84"/>
    </row>
    <row r="328">
      <c r="D328" s="84"/>
    </row>
    <row r="329">
      <c r="D329" s="84"/>
    </row>
    <row r="330">
      <c r="D330" s="84"/>
    </row>
    <row r="331">
      <c r="D331" s="84"/>
    </row>
    <row r="332">
      <c r="D332" s="84"/>
    </row>
    <row r="333">
      <c r="D333" s="84"/>
    </row>
    <row r="334">
      <c r="D334" s="84"/>
    </row>
    <row r="335">
      <c r="D335" s="84"/>
    </row>
    <row r="336">
      <c r="D336" s="84"/>
    </row>
    <row r="337">
      <c r="D337" s="84"/>
    </row>
    <row r="338">
      <c r="D338" s="84"/>
    </row>
    <row r="339">
      <c r="D339" s="84"/>
    </row>
    <row r="340">
      <c r="D340" s="84"/>
    </row>
    <row r="341">
      <c r="D341" s="84"/>
    </row>
    <row r="342">
      <c r="D342" s="84"/>
    </row>
    <row r="343">
      <c r="D343" s="84"/>
    </row>
    <row r="344">
      <c r="D344" s="84"/>
    </row>
    <row r="345">
      <c r="D345" s="84"/>
    </row>
    <row r="346">
      <c r="D346" s="84"/>
    </row>
    <row r="347">
      <c r="D347" s="84"/>
    </row>
    <row r="348">
      <c r="D348" s="84"/>
    </row>
    <row r="349">
      <c r="D349" s="84"/>
    </row>
    <row r="350">
      <c r="D350" s="84"/>
    </row>
    <row r="351">
      <c r="D351" s="84"/>
    </row>
    <row r="352">
      <c r="D352" s="84"/>
    </row>
    <row r="353">
      <c r="D353" s="84"/>
    </row>
    <row r="354">
      <c r="D354" s="84"/>
    </row>
    <row r="355">
      <c r="D355" s="84"/>
    </row>
    <row r="356">
      <c r="D356" s="84"/>
    </row>
    <row r="357">
      <c r="D357" s="84"/>
    </row>
    <row r="358">
      <c r="D358" s="84"/>
    </row>
    <row r="359">
      <c r="D359" s="84"/>
    </row>
    <row r="360">
      <c r="D360" s="84"/>
    </row>
    <row r="361">
      <c r="D361" s="84"/>
    </row>
    <row r="362">
      <c r="D362" s="84"/>
    </row>
    <row r="363">
      <c r="D363" s="84"/>
    </row>
    <row r="364">
      <c r="D364" s="84"/>
    </row>
    <row r="365">
      <c r="D365" s="84"/>
    </row>
    <row r="366">
      <c r="D366" s="84"/>
    </row>
    <row r="367">
      <c r="D367" s="84"/>
    </row>
    <row r="368">
      <c r="D368" s="84"/>
    </row>
    <row r="369">
      <c r="D369" s="84"/>
    </row>
    <row r="370">
      <c r="D370" s="84"/>
    </row>
    <row r="371">
      <c r="D371" s="84"/>
    </row>
    <row r="372">
      <c r="D372" s="84"/>
    </row>
    <row r="373">
      <c r="D373" s="84"/>
    </row>
    <row r="374">
      <c r="D374" s="84"/>
    </row>
    <row r="375">
      <c r="D375" s="84"/>
    </row>
    <row r="376">
      <c r="D376" s="84"/>
    </row>
    <row r="377">
      <c r="D377" s="84"/>
    </row>
    <row r="378">
      <c r="D378" s="84"/>
    </row>
    <row r="379">
      <c r="D379" s="84"/>
    </row>
    <row r="380">
      <c r="D380" s="84"/>
    </row>
    <row r="381">
      <c r="D381" s="84"/>
    </row>
    <row r="382">
      <c r="D382" s="84"/>
    </row>
    <row r="383">
      <c r="D383" s="84"/>
    </row>
    <row r="384">
      <c r="D384" s="84"/>
    </row>
    <row r="385">
      <c r="D385" s="84"/>
    </row>
    <row r="386">
      <c r="D386" s="84"/>
    </row>
    <row r="387">
      <c r="D387" s="84"/>
    </row>
    <row r="388">
      <c r="D388" s="84"/>
    </row>
    <row r="389">
      <c r="D389" s="84"/>
    </row>
    <row r="390">
      <c r="D390" s="84"/>
    </row>
    <row r="391">
      <c r="D391" s="84"/>
    </row>
    <row r="392">
      <c r="D392" s="84"/>
    </row>
    <row r="393">
      <c r="D393" s="84"/>
    </row>
    <row r="394">
      <c r="D394" s="84"/>
    </row>
    <row r="395">
      <c r="D395" s="84"/>
    </row>
    <row r="396">
      <c r="D396" s="84"/>
    </row>
    <row r="397">
      <c r="D397" s="84"/>
    </row>
    <row r="398">
      <c r="D398" s="84"/>
    </row>
    <row r="399">
      <c r="D399" s="84"/>
    </row>
    <row r="400">
      <c r="D400" s="84"/>
    </row>
    <row r="401">
      <c r="D401" s="84"/>
    </row>
    <row r="402">
      <c r="D402" s="84"/>
    </row>
    <row r="403">
      <c r="D403" s="84"/>
    </row>
    <row r="404">
      <c r="D404" s="84"/>
    </row>
    <row r="405">
      <c r="D405" s="84"/>
    </row>
    <row r="406">
      <c r="D406" s="84"/>
    </row>
    <row r="407">
      <c r="D407" s="84"/>
    </row>
    <row r="408">
      <c r="D408" s="84"/>
    </row>
    <row r="409">
      <c r="D409" s="84"/>
    </row>
    <row r="410">
      <c r="D410" s="84"/>
    </row>
    <row r="411">
      <c r="D411" s="84"/>
    </row>
    <row r="412">
      <c r="D412" s="84"/>
    </row>
    <row r="413">
      <c r="D413" s="84"/>
    </row>
    <row r="414">
      <c r="D414" s="84"/>
    </row>
    <row r="415">
      <c r="D415" s="84"/>
    </row>
    <row r="416">
      <c r="D416" s="84"/>
    </row>
    <row r="417">
      <c r="D417" s="84"/>
    </row>
    <row r="418">
      <c r="D418" s="84"/>
    </row>
    <row r="419">
      <c r="D419" s="84"/>
    </row>
    <row r="420">
      <c r="D420" s="84"/>
    </row>
    <row r="421">
      <c r="D421" s="84"/>
    </row>
    <row r="422">
      <c r="D422" s="84"/>
    </row>
    <row r="423">
      <c r="D423" s="84"/>
    </row>
    <row r="424">
      <c r="D424" s="84"/>
    </row>
    <row r="425">
      <c r="D425" s="84"/>
    </row>
    <row r="426">
      <c r="D426" s="84"/>
    </row>
    <row r="427">
      <c r="D427" s="84"/>
    </row>
    <row r="428">
      <c r="D428" s="84"/>
    </row>
    <row r="429">
      <c r="D429" s="84"/>
    </row>
    <row r="430">
      <c r="D430" s="84"/>
    </row>
    <row r="431">
      <c r="D431" s="84"/>
    </row>
    <row r="432">
      <c r="D432" s="84"/>
    </row>
    <row r="433">
      <c r="D433" s="84"/>
    </row>
    <row r="434">
      <c r="D434" s="84"/>
    </row>
    <row r="435">
      <c r="D435" s="84"/>
    </row>
    <row r="436">
      <c r="D436" s="84"/>
    </row>
    <row r="437">
      <c r="D437" s="84"/>
    </row>
    <row r="438">
      <c r="D438" s="84"/>
    </row>
    <row r="439">
      <c r="D439" s="84"/>
    </row>
    <row r="440">
      <c r="D440" s="84"/>
    </row>
    <row r="441">
      <c r="D441" s="84"/>
    </row>
    <row r="442">
      <c r="D442" s="84"/>
    </row>
    <row r="443">
      <c r="D443" s="84"/>
    </row>
    <row r="444">
      <c r="D444" s="84"/>
    </row>
    <row r="445">
      <c r="D445" s="84"/>
    </row>
    <row r="446">
      <c r="D446" s="84"/>
    </row>
    <row r="447">
      <c r="D447" s="84"/>
    </row>
    <row r="448">
      <c r="D448" s="84"/>
    </row>
    <row r="449">
      <c r="D449" s="84"/>
    </row>
    <row r="450">
      <c r="D450" s="84"/>
    </row>
    <row r="451">
      <c r="D451" s="84"/>
    </row>
    <row r="452">
      <c r="D452" s="84"/>
    </row>
    <row r="453">
      <c r="D453" s="84"/>
    </row>
    <row r="454">
      <c r="D454" s="84"/>
    </row>
    <row r="455">
      <c r="D455" s="84"/>
    </row>
    <row r="456">
      <c r="D456" s="84"/>
    </row>
    <row r="457">
      <c r="D457" s="84"/>
    </row>
    <row r="458">
      <c r="D458" s="84"/>
    </row>
    <row r="459">
      <c r="D459" s="84"/>
    </row>
    <row r="460">
      <c r="D460" s="84"/>
    </row>
    <row r="461">
      <c r="D461" s="84"/>
    </row>
    <row r="462">
      <c r="D462" s="84"/>
    </row>
    <row r="463">
      <c r="D463" s="84"/>
    </row>
    <row r="464">
      <c r="D464" s="84"/>
    </row>
    <row r="465">
      <c r="D465" s="84"/>
    </row>
    <row r="466">
      <c r="D466" s="84"/>
    </row>
    <row r="467">
      <c r="D467" s="84"/>
    </row>
    <row r="468">
      <c r="D468" s="84"/>
    </row>
    <row r="469">
      <c r="D469" s="84"/>
    </row>
    <row r="470">
      <c r="D470" s="84"/>
    </row>
    <row r="471">
      <c r="D471" s="84"/>
    </row>
    <row r="472">
      <c r="D472" s="84"/>
    </row>
    <row r="473">
      <c r="D473" s="84"/>
    </row>
    <row r="474">
      <c r="D474" s="84"/>
    </row>
    <row r="475">
      <c r="D475" s="84"/>
    </row>
    <row r="476">
      <c r="D476" s="84"/>
    </row>
    <row r="477">
      <c r="D477" s="84"/>
    </row>
    <row r="478">
      <c r="D478" s="84"/>
    </row>
    <row r="479">
      <c r="D479" s="84"/>
    </row>
    <row r="480">
      <c r="D480" s="84"/>
    </row>
    <row r="481">
      <c r="D481" s="84"/>
    </row>
    <row r="482">
      <c r="D482" s="84"/>
    </row>
    <row r="483">
      <c r="D483" s="84"/>
    </row>
    <row r="484">
      <c r="D484" s="84"/>
    </row>
    <row r="485">
      <c r="D485" s="84"/>
    </row>
    <row r="486">
      <c r="D486" s="84"/>
    </row>
    <row r="487">
      <c r="D487" s="84"/>
    </row>
    <row r="488">
      <c r="D488" s="84"/>
    </row>
    <row r="489">
      <c r="D489" s="84"/>
    </row>
    <row r="490">
      <c r="D490" s="84"/>
    </row>
    <row r="491">
      <c r="D491" s="84"/>
    </row>
    <row r="492">
      <c r="D492" s="84"/>
    </row>
    <row r="493">
      <c r="D493" s="84"/>
    </row>
    <row r="494">
      <c r="D494" s="84"/>
    </row>
    <row r="495">
      <c r="D495" s="84"/>
    </row>
    <row r="496">
      <c r="D496" s="84"/>
    </row>
    <row r="497">
      <c r="D497" s="84"/>
    </row>
    <row r="498">
      <c r="D498" s="84"/>
    </row>
    <row r="499">
      <c r="D499" s="84"/>
    </row>
    <row r="500">
      <c r="D500" s="84"/>
    </row>
    <row r="501">
      <c r="D501" s="84"/>
    </row>
    <row r="502">
      <c r="D502" s="84"/>
    </row>
    <row r="503">
      <c r="D503" s="84"/>
    </row>
    <row r="504">
      <c r="D504" s="84"/>
    </row>
    <row r="505">
      <c r="D505" s="84"/>
    </row>
    <row r="506">
      <c r="D506" s="84"/>
    </row>
    <row r="507">
      <c r="D507" s="84"/>
    </row>
    <row r="508">
      <c r="D508" s="84"/>
    </row>
    <row r="509">
      <c r="D509" s="84"/>
    </row>
    <row r="510">
      <c r="D510" s="84"/>
    </row>
    <row r="511">
      <c r="D511" s="84"/>
    </row>
    <row r="512">
      <c r="D512" s="84"/>
    </row>
    <row r="513">
      <c r="D513" s="84"/>
    </row>
    <row r="514">
      <c r="D514" s="84"/>
    </row>
    <row r="515">
      <c r="D515" s="84"/>
    </row>
    <row r="516">
      <c r="D516" s="84"/>
    </row>
    <row r="517">
      <c r="D517" s="84"/>
    </row>
    <row r="518">
      <c r="D518" s="84"/>
    </row>
    <row r="519">
      <c r="D519" s="84"/>
    </row>
    <row r="520">
      <c r="D520" s="84"/>
    </row>
    <row r="521">
      <c r="D521" s="84"/>
    </row>
    <row r="522">
      <c r="D522" s="84"/>
    </row>
    <row r="523">
      <c r="D523" s="84"/>
    </row>
    <row r="524">
      <c r="D524" s="84"/>
    </row>
    <row r="525">
      <c r="D525" s="84"/>
    </row>
    <row r="526">
      <c r="D526" s="84"/>
    </row>
    <row r="527">
      <c r="D527" s="84"/>
    </row>
    <row r="528">
      <c r="D528" s="84"/>
    </row>
    <row r="529">
      <c r="D529" s="84"/>
    </row>
    <row r="530">
      <c r="D530" s="84"/>
    </row>
    <row r="531">
      <c r="D531" s="84"/>
    </row>
    <row r="532">
      <c r="D532" s="84"/>
    </row>
    <row r="533">
      <c r="D533" s="84"/>
    </row>
    <row r="534">
      <c r="D534" s="84"/>
    </row>
    <row r="535">
      <c r="D535" s="84"/>
    </row>
    <row r="536">
      <c r="D536" s="84"/>
    </row>
    <row r="537">
      <c r="D537" s="84"/>
    </row>
    <row r="538">
      <c r="D538" s="84"/>
    </row>
    <row r="539">
      <c r="D539" s="84"/>
    </row>
    <row r="540">
      <c r="D540" s="84"/>
    </row>
    <row r="541">
      <c r="D541" s="84"/>
    </row>
    <row r="542">
      <c r="D542" s="84"/>
    </row>
    <row r="543">
      <c r="D543" s="84"/>
    </row>
    <row r="544">
      <c r="D544" s="84"/>
    </row>
    <row r="545">
      <c r="D545" s="84"/>
    </row>
    <row r="546">
      <c r="D546" s="84"/>
    </row>
    <row r="547">
      <c r="D547" s="84"/>
    </row>
    <row r="548">
      <c r="D548" s="84"/>
    </row>
    <row r="549">
      <c r="D549" s="84"/>
    </row>
    <row r="550">
      <c r="D550" s="84"/>
    </row>
    <row r="551">
      <c r="D551" s="84"/>
    </row>
    <row r="552">
      <c r="D552" s="84"/>
    </row>
    <row r="553">
      <c r="D553" s="84"/>
    </row>
    <row r="554">
      <c r="D554" s="84"/>
    </row>
    <row r="555">
      <c r="D555" s="84"/>
    </row>
    <row r="556">
      <c r="D556" s="84"/>
    </row>
    <row r="557">
      <c r="D557" s="84"/>
    </row>
    <row r="558">
      <c r="D558" s="84"/>
    </row>
    <row r="559">
      <c r="D559" s="84"/>
    </row>
    <row r="560">
      <c r="D560" s="84"/>
    </row>
    <row r="561">
      <c r="D561" s="84"/>
    </row>
    <row r="562">
      <c r="D562" s="84"/>
    </row>
    <row r="563">
      <c r="D563" s="84"/>
    </row>
    <row r="564">
      <c r="D564" s="84"/>
    </row>
    <row r="565">
      <c r="D565" s="84"/>
    </row>
    <row r="566">
      <c r="D566" s="84"/>
    </row>
    <row r="567">
      <c r="D567" s="84"/>
    </row>
    <row r="568">
      <c r="D568" s="84"/>
    </row>
    <row r="569">
      <c r="D569" s="84"/>
    </row>
    <row r="570">
      <c r="D570" s="84"/>
    </row>
    <row r="571">
      <c r="D571" s="84"/>
    </row>
    <row r="572">
      <c r="D572" s="84"/>
    </row>
    <row r="573">
      <c r="D573" s="84"/>
    </row>
    <row r="574">
      <c r="D574" s="84"/>
    </row>
    <row r="575">
      <c r="D575" s="84"/>
    </row>
    <row r="576">
      <c r="D576" s="84"/>
    </row>
    <row r="577">
      <c r="D577" s="84"/>
    </row>
    <row r="578">
      <c r="D578" s="84"/>
    </row>
    <row r="579">
      <c r="D579" s="84"/>
    </row>
    <row r="580">
      <c r="D580" s="84"/>
    </row>
    <row r="581">
      <c r="D581" s="84"/>
    </row>
    <row r="582">
      <c r="D582" s="84"/>
    </row>
    <row r="583">
      <c r="D583" s="84"/>
    </row>
    <row r="584">
      <c r="D584" s="84"/>
    </row>
    <row r="585">
      <c r="D585" s="84"/>
    </row>
    <row r="586">
      <c r="D586" s="84"/>
    </row>
    <row r="587">
      <c r="D587" s="84"/>
    </row>
    <row r="588">
      <c r="D588" s="84"/>
    </row>
    <row r="589">
      <c r="D589" s="84"/>
    </row>
    <row r="590">
      <c r="D590" s="84"/>
    </row>
    <row r="591">
      <c r="D591" s="84"/>
    </row>
    <row r="592">
      <c r="D592" s="84"/>
    </row>
    <row r="593">
      <c r="D593" s="84"/>
    </row>
    <row r="594">
      <c r="D594" s="84"/>
    </row>
    <row r="595">
      <c r="D595" s="84"/>
    </row>
    <row r="596">
      <c r="D596" s="84"/>
    </row>
    <row r="597">
      <c r="D597" s="84"/>
    </row>
    <row r="598">
      <c r="D598" s="84"/>
    </row>
    <row r="599">
      <c r="D599" s="84"/>
    </row>
    <row r="600">
      <c r="D600" s="84"/>
    </row>
    <row r="601">
      <c r="D601" s="84"/>
    </row>
    <row r="602">
      <c r="D602" s="84"/>
    </row>
    <row r="603">
      <c r="D603" s="84"/>
    </row>
    <row r="604">
      <c r="D604" s="84"/>
    </row>
    <row r="605">
      <c r="D605" s="84"/>
    </row>
    <row r="606">
      <c r="D606" s="84"/>
    </row>
    <row r="607">
      <c r="D607" s="84"/>
    </row>
    <row r="608">
      <c r="D608" s="84"/>
    </row>
    <row r="609">
      <c r="D609" s="84"/>
    </row>
    <row r="610">
      <c r="D610" s="84"/>
    </row>
    <row r="611">
      <c r="D611" s="84"/>
    </row>
    <row r="612">
      <c r="D612" s="84"/>
    </row>
    <row r="613">
      <c r="D613" s="84"/>
    </row>
    <row r="614">
      <c r="D614" s="84"/>
    </row>
    <row r="615">
      <c r="D615" s="84"/>
    </row>
    <row r="616">
      <c r="D616" s="84"/>
    </row>
    <row r="617">
      <c r="D617" s="84"/>
    </row>
    <row r="618">
      <c r="D618" s="84"/>
    </row>
    <row r="619">
      <c r="D619" s="84"/>
    </row>
    <row r="620">
      <c r="D620" s="84"/>
    </row>
    <row r="621">
      <c r="D621" s="84"/>
    </row>
    <row r="622">
      <c r="D622" s="84"/>
    </row>
    <row r="623">
      <c r="D623" s="84"/>
    </row>
    <row r="624">
      <c r="D624" s="84"/>
    </row>
    <row r="625">
      <c r="D625" s="84"/>
    </row>
    <row r="626">
      <c r="D626" s="84"/>
    </row>
    <row r="627">
      <c r="D627" s="84"/>
    </row>
    <row r="628">
      <c r="D628" s="84"/>
    </row>
    <row r="629">
      <c r="D629" s="84"/>
    </row>
    <row r="630">
      <c r="D630" s="84"/>
    </row>
    <row r="631">
      <c r="D631" s="84"/>
    </row>
    <row r="632">
      <c r="D632" s="84"/>
    </row>
    <row r="633">
      <c r="D633" s="84"/>
    </row>
    <row r="634">
      <c r="D634" s="84"/>
    </row>
    <row r="635">
      <c r="D635" s="84"/>
    </row>
    <row r="636">
      <c r="D636" s="84"/>
    </row>
    <row r="637">
      <c r="D637" s="84"/>
    </row>
    <row r="638">
      <c r="D638" s="84"/>
    </row>
    <row r="639">
      <c r="D639" s="84"/>
    </row>
    <row r="640">
      <c r="D640" s="84"/>
    </row>
    <row r="641">
      <c r="D641" s="84"/>
    </row>
    <row r="642">
      <c r="D642" s="84"/>
    </row>
    <row r="643">
      <c r="D643" s="84"/>
    </row>
    <row r="644">
      <c r="D644" s="84"/>
    </row>
    <row r="645">
      <c r="D645" s="84"/>
    </row>
    <row r="646">
      <c r="D646" s="84"/>
    </row>
    <row r="647">
      <c r="D647" s="84"/>
    </row>
    <row r="648">
      <c r="D648" s="84"/>
    </row>
    <row r="649">
      <c r="D649" s="84"/>
    </row>
    <row r="650">
      <c r="D650" s="84"/>
    </row>
    <row r="651">
      <c r="D651" s="84"/>
    </row>
    <row r="652">
      <c r="D652" s="84"/>
    </row>
    <row r="653">
      <c r="D653" s="84"/>
    </row>
    <row r="654">
      <c r="D654" s="84"/>
    </row>
    <row r="655">
      <c r="D655" s="84"/>
    </row>
    <row r="656">
      <c r="D656" s="84"/>
    </row>
    <row r="657">
      <c r="D657" s="84"/>
    </row>
    <row r="658">
      <c r="D658" s="84"/>
    </row>
    <row r="659">
      <c r="D659" s="84"/>
    </row>
    <row r="660">
      <c r="D660" s="84"/>
    </row>
    <row r="661">
      <c r="D661" s="84"/>
    </row>
    <row r="662">
      <c r="D662" s="84"/>
    </row>
    <row r="663">
      <c r="D663" s="84"/>
    </row>
    <row r="664">
      <c r="D664" s="84"/>
    </row>
    <row r="665">
      <c r="D665" s="84"/>
    </row>
    <row r="666">
      <c r="D666" s="84"/>
    </row>
    <row r="667">
      <c r="D667" s="84"/>
    </row>
    <row r="668">
      <c r="D668" s="84"/>
    </row>
    <row r="669">
      <c r="D669" s="84"/>
    </row>
    <row r="670">
      <c r="D670" s="84"/>
    </row>
    <row r="671">
      <c r="D671" s="84"/>
    </row>
    <row r="672">
      <c r="D672" s="84"/>
    </row>
    <row r="673">
      <c r="D673" s="84"/>
    </row>
    <row r="674">
      <c r="D674" s="84"/>
    </row>
    <row r="675">
      <c r="D675" s="84"/>
    </row>
    <row r="676">
      <c r="D676" s="84"/>
    </row>
    <row r="677">
      <c r="D677" s="84"/>
    </row>
    <row r="678">
      <c r="D678" s="84"/>
    </row>
    <row r="679">
      <c r="D679" s="84"/>
    </row>
    <row r="680">
      <c r="D680" s="84"/>
    </row>
    <row r="681">
      <c r="D681" s="84"/>
    </row>
    <row r="682">
      <c r="D682" s="84"/>
    </row>
    <row r="683">
      <c r="D683" s="84"/>
    </row>
    <row r="684">
      <c r="D684" s="84"/>
    </row>
    <row r="685">
      <c r="D685" s="84"/>
    </row>
    <row r="686">
      <c r="D686" s="84"/>
    </row>
    <row r="687">
      <c r="D687" s="84"/>
    </row>
    <row r="688">
      <c r="D688" s="84"/>
    </row>
    <row r="689">
      <c r="D689" s="84"/>
    </row>
    <row r="690">
      <c r="D690" s="84"/>
    </row>
    <row r="691">
      <c r="D691" s="84"/>
    </row>
    <row r="692">
      <c r="D692" s="84"/>
    </row>
    <row r="693">
      <c r="D693" s="84"/>
    </row>
    <row r="694">
      <c r="D694" s="84"/>
    </row>
    <row r="695">
      <c r="D695" s="84"/>
    </row>
    <row r="696">
      <c r="D696" s="84"/>
    </row>
    <row r="697">
      <c r="D697" s="84"/>
    </row>
    <row r="698">
      <c r="D698" s="84"/>
    </row>
    <row r="699">
      <c r="D699" s="84"/>
    </row>
    <row r="700">
      <c r="D700" s="84"/>
    </row>
    <row r="701">
      <c r="D701" s="84"/>
    </row>
    <row r="702">
      <c r="D702" s="84"/>
    </row>
    <row r="703">
      <c r="D703" s="84"/>
    </row>
    <row r="704">
      <c r="D704" s="84"/>
    </row>
    <row r="705">
      <c r="D705" s="84"/>
    </row>
    <row r="706">
      <c r="D706" s="84"/>
    </row>
    <row r="707">
      <c r="D707" s="84"/>
    </row>
    <row r="708">
      <c r="D708" s="84"/>
    </row>
    <row r="709">
      <c r="D709" s="84"/>
    </row>
    <row r="710">
      <c r="D710" s="84"/>
    </row>
    <row r="711">
      <c r="D711" s="84"/>
    </row>
    <row r="712">
      <c r="D712" s="84"/>
    </row>
    <row r="713">
      <c r="D713" s="84"/>
    </row>
    <row r="714">
      <c r="D714" s="84"/>
    </row>
    <row r="715">
      <c r="D715" s="84"/>
    </row>
    <row r="716">
      <c r="D716" s="84"/>
    </row>
    <row r="717">
      <c r="D717" s="84"/>
    </row>
    <row r="718">
      <c r="D718" s="84"/>
    </row>
    <row r="719">
      <c r="D719" s="84"/>
    </row>
    <row r="720">
      <c r="D720" s="84"/>
    </row>
    <row r="721">
      <c r="D721" s="84"/>
    </row>
    <row r="722">
      <c r="D722" s="84"/>
    </row>
    <row r="723">
      <c r="D723" s="84"/>
    </row>
    <row r="724">
      <c r="D724" s="84"/>
    </row>
    <row r="725">
      <c r="D725" s="84"/>
    </row>
    <row r="726">
      <c r="D726" s="84"/>
    </row>
    <row r="727">
      <c r="D727" s="84"/>
    </row>
    <row r="728">
      <c r="D728" s="84"/>
    </row>
    <row r="729">
      <c r="D729" s="84"/>
    </row>
    <row r="730">
      <c r="D730" s="84"/>
    </row>
    <row r="731">
      <c r="D731" s="84"/>
    </row>
    <row r="732">
      <c r="D732" s="84"/>
    </row>
    <row r="733">
      <c r="D733" s="84"/>
    </row>
    <row r="734">
      <c r="D734" s="84"/>
    </row>
    <row r="735">
      <c r="D735" s="84"/>
    </row>
    <row r="736">
      <c r="D736" s="84"/>
    </row>
    <row r="737">
      <c r="D737" s="84"/>
    </row>
    <row r="738">
      <c r="D738" s="84"/>
    </row>
    <row r="739">
      <c r="D739" s="84"/>
    </row>
    <row r="740">
      <c r="D740" s="84"/>
    </row>
    <row r="741">
      <c r="D741" s="84"/>
    </row>
    <row r="742">
      <c r="D742" s="84"/>
    </row>
    <row r="743">
      <c r="D743" s="84"/>
    </row>
    <row r="744">
      <c r="D744" s="84"/>
    </row>
    <row r="745">
      <c r="D745" s="84"/>
    </row>
    <row r="746">
      <c r="D746" s="84"/>
    </row>
    <row r="747">
      <c r="D747" s="84"/>
    </row>
    <row r="748">
      <c r="D748" s="84"/>
    </row>
    <row r="749">
      <c r="D749" s="84"/>
    </row>
    <row r="750">
      <c r="D750" s="84"/>
    </row>
    <row r="751">
      <c r="D751" s="84"/>
    </row>
    <row r="752">
      <c r="D752" s="84"/>
    </row>
    <row r="753">
      <c r="D753" s="84"/>
    </row>
    <row r="754">
      <c r="D754" s="84"/>
    </row>
    <row r="755">
      <c r="D755" s="84"/>
    </row>
    <row r="756">
      <c r="D756" s="84"/>
    </row>
    <row r="757">
      <c r="D757" s="84"/>
    </row>
    <row r="758">
      <c r="D758" s="84"/>
    </row>
    <row r="759">
      <c r="D759" s="84"/>
    </row>
    <row r="760">
      <c r="D760" s="84"/>
    </row>
    <row r="761">
      <c r="D761" s="84"/>
    </row>
    <row r="762">
      <c r="D762" s="84"/>
    </row>
    <row r="763">
      <c r="D763" s="84"/>
    </row>
    <row r="764">
      <c r="D764" s="84"/>
    </row>
    <row r="765">
      <c r="D765" s="84"/>
    </row>
    <row r="766">
      <c r="D766" s="84"/>
    </row>
    <row r="767">
      <c r="D767" s="84"/>
    </row>
    <row r="768">
      <c r="D768" s="84"/>
    </row>
    <row r="769">
      <c r="D769" s="84"/>
    </row>
    <row r="770">
      <c r="D770" s="84"/>
    </row>
    <row r="771">
      <c r="D771" s="84"/>
    </row>
    <row r="772">
      <c r="D772" s="84"/>
    </row>
    <row r="773">
      <c r="D773" s="84"/>
    </row>
    <row r="774">
      <c r="D774" s="84"/>
    </row>
    <row r="775">
      <c r="D775" s="84"/>
    </row>
    <row r="776">
      <c r="D776" s="84"/>
    </row>
    <row r="777">
      <c r="D777" s="84"/>
    </row>
    <row r="778">
      <c r="D778" s="84"/>
    </row>
    <row r="779">
      <c r="D779" s="84"/>
    </row>
    <row r="780">
      <c r="D780" s="84"/>
    </row>
    <row r="781">
      <c r="D781" s="84"/>
    </row>
    <row r="782">
      <c r="D782" s="84"/>
    </row>
    <row r="783">
      <c r="D783" s="84"/>
    </row>
    <row r="784">
      <c r="D784" s="84"/>
    </row>
    <row r="785">
      <c r="D785" s="84"/>
    </row>
    <row r="786">
      <c r="D786" s="84"/>
    </row>
    <row r="787">
      <c r="D787" s="84"/>
    </row>
    <row r="788">
      <c r="D788" s="84"/>
    </row>
    <row r="789">
      <c r="D789" s="84"/>
    </row>
    <row r="790">
      <c r="D790" s="84"/>
    </row>
    <row r="791">
      <c r="D791" s="84"/>
    </row>
    <row r="792">
      <c r="D792" s="84"/>
    </row>
    <row r="793">
      <c r="D793" s="84"/>
    </row>
    <row r="794">
      <c r="D794" s="84"/>
    </row>
    <row r="795">
      <c r="D795" s="84"/>
    </row>
    <row r="796">
      <c r="D796" s="84"/>
    </row>
    <row r="797">
      <c r="D797" s="84"/>
    </row>
    <row r="798">
      <c r="D798" s="84"/>
    </row>
    <row r="799">
      <c r="D799" s="84"/>
    </row>
    <row r="800">
      <c r="D800" s="84"/>
    </row>
    <row r="801">
      <c r="D801" s="84"/>
    </row>
    <row r="802">
      <c r="D802" s="84"/>
    </row>
    <row r="803">
      <c r="D803" s="84"/>
    </row>
    <row r="804">
      <c r="D804" s="84"/>
    </row>
    <row r="805">
      <c r="D805" s="84"/>
    </row>
    <row r="806">
      <c r="D806" s="84"/>
    </row>
    <row r="807">
      <c r="D807" s="84"/>
    </row>
    <row r="808">
      <c r="D808" s="84"/>
    </row>
    <row r="809">
      <c r="D809" s="84"/>
    </row>
    <row r="810">
      <c r="D810" s="84"/>
    </row>
    <row r="811">
      <c r="D811" s="84"/>
    </row>
    <row r="812">
      <c r="D812" s="84"/>
    </row>
    <row r="813">
      <c r="D813" s="84"/>
    </row>
    <row r="814">
      <c r="D814" s="84"/>
    </row>
    <row r="815">
      <c r="D815" s="84"/>
    </row>
    <row r="816">
      <c r="D816" s="84"/>
    </row>
    <row r="817">
      <c r="D817" s="84"/>
    </row>
    <row r="818">
      <c r="D818" s="84"/>
    </row>
    <row r="819">
      <c r="D819" s="84"/>
    </row>
    <row r="820">
      <c r="D820" s="84"/>
    </row>
    <row r="821">
      <c r="D821" s="84"/>
    </row>
    <row r="822">
      <c r="D822" s="84"/>
    </row>
    <row r="823">
      <c r="D823" s="84"/>
    </row>
    <row r="824">
      <c r="D824" s="84"/>
    </row>
    <row r="825">
      <c r="D825" s="84"/>
    </row>
    <row r="826">
      <c r="D826" s="84"/>
    </row>
    <row r="827">
      <c r="D827" s="84"/>
    </row>
    <row r="828">
      <c r="D828" s="84"/>
    </row>
    <row r="829">
      <c r="D829" s="84"/>
    </row>
    <row r="830">
      <c r="D830" s="84"/>
    </row>
    <row r="831">
      <c r="D831" s="84"/>
    </row>
    <row r="832">
      <c r="D832" s="84"/>
    </row>
    <row r="833">
      <c r="D833" s="84"/>
    </row>
    <row r="834">
      <c r="D834" s="84"/>
    </row>
    <row r="835">
      <c r="D835" s="84"/>
    </row>
    <row r="836">
      <c r="D836" s="84"/>
    </row>
    <row r="837">
      <c r="D837" s="84"/>
    </row>
    <row r="838">
      <c r="D838" s="84"/>
    </row>
    <row r="839">
      <c r="D839" s="84"/>
    </row>
    <row r="840">
      <c r="D840" s="84"/>
    </row>
    <row r="841">
      <c r="D841" s="84"/>
    </row>
    <row r="842">
      <c r="D842" s="84"/>
    </row>
    <row r="843">
      <c r="D843" s="84"/>
    </row>
    <row r="844">
      <c r="D844" s="84"/>
    </row>
    <row r="845">
      <c r="D845" s="84"/>
    </row>
    <row r="846">
      <c r="D846" s="84"/>
    </row>
    <row r="847">
      <c r="D847" s="84"/>
    </row>
    <row r="848">
      <c r="D848" s="84"/>
    </row>
    <row r="849">
      <c r="D849" s="84"/>
    </row>
    <row r="850">
      <c r="D850" s="84"/>
    </row>
    <row r="851">
      <c r="D851" s="84"/>
    </row>
    <row r="852">
      <c r="D852" s="84"/>
    </row>
    <row r="853">
      <c r="D853" s="84"/>
    </row>
    <row r="854">
      <c r="D854" s="84"/>
    </row>
    <row r="855">
      <c r="D855" s="84"/>
    </row>
    <row r="856">
      <c r="D856" s="84"/>
    </row>
    <row r="857">
      <c r="D857" s="84"/>
    </row>
    <row r="858">
      <c r="D858" s="84"/>
    </row>
    <row r="859">
      <c r="D859" s="84"/>
    </row>
    <row r="860">
      <c r="D860" s="84"/>
    </row>
    <row r="861">
      <c r="D861" s="84"/>
    </row>
    <row r="862">
      <c r="D862" s="84"/>
    </row>
    <row r="863">
      <c r="D863" s="84"/>
    </row>
    <row r="864">
      <c r="D864" s="84"/>
    </row>
    <row r="865">
      <c r="D865" s="84"/>
    </row>
    <row r="866">
      <c r="D866" s="84"/>
    </row>
    <row r="867">
      <c r="D867" s="84"/>
    </row>
    <row r="868">
      <c r="D868" s="84"/>
    </row>
    <row r="869">
      <c r="D869" s="84"/>
    </row>
    <row r="870">
      <c r="D870" s="84"/>
    </row>
    <row r="871">
      <c r="D871" s="84"/>
    </row>
    <row r="872">
      <c r="D872" s="84"/>
    </row>
    <row r="873">
      <c r="D873" s="84"/>
    </row>
    <row r="874">
      <c r="D874" s="84"/>
    </row>
    <row r="875">
      <c r="D875" s="84"/>
    </row>
    <row r="876">
      <c r="D876" s="84"/>
    </row>
    <row r="877">
      <c r="D877" s="84"/>
    </row>
    <row r="878">
      <c r="D878" s="84"/>
    </row>
    <row r="879">
      <c r="D879" s="84"/>
    </row>
    <row r="880">
      <c r="D880" s="84"/>
    </row>
    <row r="881">
      <c r="D881" s="84"/>
    </row>
    <row r="882">
      <c r="D882" s="84"/>
    </row>
    <row r="883">
      <c r="D883" s="84"/>
    </row>
    <row r="884">
      <c r="D884" s="84"/>
    </row>
    <row r="885">
      <c r="D885" s="84"/>
    </row>
    <row r="886">
      <c r="D886" s="84"/>
    </row>
    <row r="887">
      <c r="D887" s="84"/>
    </row>
    <row r="888">
      <c r="D888" s="84"/>
    </row>
    <row r="889">
      <c r="D889" s="84"/>
    </row>
    <row r="890">
      <c r="D890" s="84"/>
    </row>
    <row r="891">
      <c r="D891" s="84"/>
    </row>
    <row r="892">
      <c r="D892" s="84"/>
    </row>
    <row r="893">
      <c r="D893" s="84"/>
    </row>
    <row r="894">
      <c r="D894" s="84"/>
    </row>
    <row r="895">
      <c r="D895" s="84"/>
    </row>
    <row r="896">
      <c r="D896" s="84"/>
    </row>
    <row r="897">
      <c r="D897" s="84"/>
    </row>
    <row r="898">
      <c r="D898" s="84"/>
    </row>
    <row r="899">
      <c r="D899" s="84"/>
    </row>
    <row r="900">
      <c r="D900" s="84"/>
    </row>
    <row r="901">
      <c r="D901" s="84"/>
    </row>
    <row r="902">
      <c r="D902" s="84"/>
    </row>
    <row r="903">
      <c r="D903" s="84"/>
    </row>
    <row r="904">
      <c r="D904" s="84"/>
    </row>
    <row r="905">
      <c r="D905" s="84"/>
    </row>
    <row r="906">
      <c r="D906" s="84"/>
    </row>
    <row r="907">
      <c r="D907" s="84"/>
    </row>
    <row r="908">
      <c r="D908" s="84"/>
    </row>
    <row r="909">
      <c r="D909" s="84"/>
    </row>
    <row r="910">
      <c r="D910" s="84"/>
    </row>
    <row r="911">
      <c r="D911" s="84"/>
    </row>
    <row r="912">
      <c r="D912" s="84"/>
    </row>
    <row r="913">
      <c r="D913" s="84"/>
    </row>
    <row r="914">
      <c r="D914" s="84"/>
    </row>
    <row r="915">
      <c r="D915" s="84"/>
    </row>
    <row r="916">
      <c r="D916" s="84"/>
    </row>
    <row r="917">
      <c r="D917" s="84"/>
    </row>
    <row r="918">
      <c r="D918" s="84"/>
    </row>
    <row r="919">
      <c r="D919" s="84"/>
    </row>
    <row r="920">
      <c r="D920" s="84"/>
    </row>
    <row r="921">
      <c r="D921" s="84"/>
    </row>
    <row r="922">
      <c r="D922" s="84"/>
    </row>
    <row r="923">
      <c r="D923" s="84"/>
    </row>
    <row r="924">
      <c r="D924" s="84"/>
    </row>
    <row r="925">
      <c r="D925" s="84"/>
    </row>
    <row r="926">
      <c r="D926" s="84"/>
    </row>
    <row r="927">
      <c r="D927" s="84"/>
    </row>
    <row r="928">
      <c r="D928" s="84"/>
    </row>
    <row r="929">
      <c r="D929" s="84"/>
    </row>
    <row r="930">
      <c r="D930" s="84"/>
    </row>
    <row r="931">
      <c r="D931" s="84"/>
    </row>
    <row r="932">
      <c r="D932" s="84"/>
    </row>
    <row r="933">
      <c r="D933" s="84"/>
    </row>
    <row r="934">
      <c r="D934" s="84"/>
    </row>
    <row r="935">
      <c r="D935" s="84"/>
    </row>
    <row r="936">
      <c r="D936" s="84"/>
    </row>
    <row r="937">
      <c r="D937" s="84"/>
    </row>
    <row r="938">
      <c r="D938" s="84"/>
    </row>
    <row r="939">
      <c r="D939" s="84"/>
    </row>
    <row r="940">
      <c r="D940" s="84"/>
    </row>
    <row r="941">
      <c r="D941" s="84"/>
    </row>
    <row r="942">
      <c r="D942" s="84"/>
    </row>
    <row r="943">
      <c r="D943" s="84"/>
    </row>
    <row r="944">
      <c r="D944" s="84"/>
    </row>
    <row r="945">
      <c r="D945" s="84"/>
    </row>
    <row r="946">
      <c r="D946" s="84"/>
    </row>
    <row r="947">
      <c r="D947" s="84"/>
    </row>
    <row r="948">
      <c r="D948" s="84"/>
    </row>
    <row r="949">
      <c r="D949" s="84"/>
    </row>
    <row r="950">
      <c r="D950" s="84"/>
    </row>
    <row r="951">
      <c r="D951" s="84"/>
    </row>
    <row r="952">
      <c r="D952" s="84"/>
    </row>
    <row r="953">
      <c r="D953" s="84"/>
    </row>
    <row r="954">
      <c r="D954" s="84"/>
    </row>
    <row r="955">
      <c r="D955" s="84"/>
    </row>
    <row r="956">
      <c r="D956" s="84"/>
    </row>
    <row r="957">
      <c r="D957" s="84"/>
    </row>
    <row r="958">
      <c r="D958" s="84"/>
    </row>
    <row r="959">
      <c r="D959" s="84"/>
    </row>
    <row r="960">
      <c r="D960" s="84"/>
    </row>
    <row r="961">
      <c r="D961" s="84"/>
    </row>
    <row r="962">
      <c r="D962" s="84"/>
    </row>
    <row r="963">
      <c r="D963" s="84"/>
    </row>
    <row r="964">
      <c r="D964" s="84"/>
    </row>
    <row r="965">
      <c r="D965" s="84"/>
    </row>
    <row r="966">
      <c r="D966" s="84"/>
    </row>
    <row r="967">
      <c r="D967" s="84"/>
    </row>
    <row r="968">
      <c r="D968" s="84"/>
    </row>
    <row r="969">
      <c r="D969" s="84"/>
    </row>
    <row r="970">
      <c r="D970" s="84"/>
    </row>
    <row r="971">
      <c r="D971" s="84"/>
    </row>
    <row r="972">
      <c r="D972" s="84"/>
    </row>
    <row r="973">
      <c r="D973" s="84"/>
    </row>
    <row r="974">
      <c r="D974" s="84"/>
    </row>
    <row r="975">
      <c r="D975" s="84"/>
    </row>
    <row r="976">
      <c r="D976" s="84"/>
    </row>
    <row r="977">
      <c r="D977" s="84"/>
    </row>
    <row r="978">
      <c r="D978" s="84"/>
    </row>
    <row r="979">
      <c r="D979" s="84"/>
    </row>
    <row r="980">
      <c r="D980" s="84"/>
    </row>
    <row r="981">
      <c r="D981" s="84"/>
    </row>
    <row r="982">
      <c r="D982" s="84"/>
    </row>
    <row r="983">
      <c r="D983" s="84"/>
    </row>
    <row r="984">
      <c r="D984" s="84"/>
    </row>
    <row r="985">
      <c r="D985" s="84"/>
    </row>
    <row r="986">
      <c r="D986" s="84"/>
    </row>
    <row r="987">
      <c r="D987" s="84"/>
    </row>
    <row r="988">
      <c r="D988" s="84"/>
    </row>
    <row r="989">
      <c r="D989" s="84"/>
    </row>
    <row r="990">
      <c r="D990" s="84"/>
    </row>
    <row r="991">
      <c r="D991" s="84"/>
    </row>
    <row r="992">
      <c r="D992" s="84"/>
    </row>
    <row r="993">
      <c r="D993" s="84"/>
    </row>
    <row r="994">
      <c r="D994" s="84"/>
    </row>
    <row r="995">
      <c r="D995" s="84"/>
    </row>
    <row r="996">
      <c r="D996" s="84"/>
    </row>
    <row r="997">
      <c r="D997" s="84"/>
    </row>
    <row r="998">
      <c r="D998" s="84"/>
    </row>
    <row r="999">
      <c r="D999" s="84"/>
    </row>
    <row r="1000">
      <c r="D1000" s="84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6" t="s">
        <v>225</v>
      </c>
      <c r="I1" s="87">
        <f>countifs(B:B,"&lt;&gt;",F:F,"&lt;&gt;")-1</f>
        <v>123</v>
      </c>
      <c r="K1" s="6" t="s">
        <v>226</v>
      </c>
      <c r="L1" s="6" t="s">
        <v>227</v>
      </c>
      <c r="M1" s="6" t="s">
        <v>13</v>
      </c>
    </row>
    <row r="2">
      <c r="H2" s="86" t="s">
        <v>228</v>
      </c>
      <c r="I2" s="87">
        <f t="array" ref="I2">(COUNTA(UNIQUE(C:C))-1)</f>
        <v>73</v>
      </c>
      <c r="K2" s="88" t="str">
        <f>'Internal Summary'!B39</f>
        <v>1 ltr High Protien Sweetend Greek Yoghurt (6x)</v>
      </c>
      <c r="L2" s="87">
        <f t="shared" ref="L2:L15" si="1">sumif(D:D,K2,E:E)</f>
        <v>13</v>
      </c>
      <c r="M2" s="87">
        <f t="shared" ref="M2:M15" si="2">sumif(D:D,K2,F:F)</f>
        <v>549137.42</v>
      </c>
      <c r="N2" s="89"/>
    </row>
    <row r="3">
      <c r="H3" s="86" t="s">
        <v>229</v>
      </c>
      <c r="I3" s="87">
        <f>sum(F:F)</f>
        <v>12906499.79</v>
      </c>
      <c r="K3" s="88" t="str">
        <f>'Internal Summary'!B40</f>
        <v>1 ltr High Protien Unsweetend Greek Yoghurt (6x)</v>
      </c>
      <c r="L3" s="87">
        <f t="shared" si="1"/>
        <v>8</v>
      </c>
      <c r="M3" s="87">
        <f t="shared" si="2"/>
        <v>337930.72</v>
      </c>
      <c r="N3" s="89"/>
    </row>
    <row r="4">
      <c r="H4" s="1"/>
      <c r="K4" s="88" t="str">
        <f>'Internal Summary'!B41</f>
        <v>1 ltr Low Fat Sweetend Greek Yoghurt (6x)</v>
      </c>
      <c r="L4" s="87">
        <f t="shared" si="1"/>
        <v>15.5</v>
      </c>
      <c r="M4" s="87">
        <f t="shared" si="2"/>
        <v>559641.62</v>
      </c>
      <c r="N4" s="89"/>
    </row>
    <row r="5">
      <c r="H5" s="1"/>
      <c r="K5" s="88" t="str">
        <f>'Internal Summary'!B42</f>
        <v>1 ltr Low Fat Unsweetend Greek Yoghurt (6x)</v>
      </c>
      <c r="L5" s="87">
        <f t="shared" si="1"/>
        <v>13.5</v>
      </c>
      <c r="M5" s="87">
        <f t="shared" si="2"/>
        <v>487429.8</v>
      </c>
      <c r="N5" s="89"/>
    </row>
    <row r="6">
      <c r="K6" s="88" t="str">
        <f>'Internal Summary'!B43</f>
        <v>250ml Strawberry Yoghurt (12x)</v>
      </c>
      <c r="L6" s="87">
        <f t="shared" si="1"/>
        <v>35.5</v>
      </c>
      <c r="M6" s="87">
        <f t="shared" si="2"/>
        <v>665882.04</v>
      </c>
    </row>
    <row r="7">
      <c r="K7" s="88" t="str">
        <f>'Internal Summary'!B44</f>
        <v>250ml Vanilla Yoghurt (12x)</v>
      </c>
      <c r="L7" s="87">
        <f t="shared" si="1"/>
        <v>41.5</v>
      </c>
      <c r="M7" s="87">
        <f t="shared" si="2"/>
        <v>780034.23</v>
      </c>
    </row>
    <row r="8">
      <c r="K8" s="88" t="str">
        <f>'Internal Summary'!B45</f>
        <v>500ml High Protien Sweetend Greek Yoghurt (12x)</v>
      </c>
      <c r="L8" s="87">
        <f t="shared" si="1"/>
        <v>56.5</v>
      </c>
      <c r="M8" s="87">
        <f t="shared" si="2"/>
        <v>2583086.57</v>
      </c>
    </row>
    <row r="9">
      <c r="K9" s="88" t="str">
        <f>'Internal Summary'!B46</f>
        <v>500ml High Protien Unsweetend Greek Yoghurt (12x)</v>
      </c>
      <c r="L9" s="87">
        <f t="shared" si="1"/>
        <v>33</v>
      </c>
      <c r="M9" s="87">
        <f t="shared" si="2"/>
        <v>1510129.68</v>
      </c>
    </row>
    <row r="10">
      <c r="K10" s="88" t="str">
        <f>'Internal Summary'!B47</f>
        <v>500ml Low Fat Sweetend Greek Yoghurt (12x)</v>
      </c>
      <c r="L10" s="87">
        <f t="shared" si="1"/>
        <v>43</v>
      </c>
      <c r="M10" s="87">
        <f t="shared" si="2"/>
        <v>1721595.78</v>
      </c>
    </row>
    <row r="11">
      <c r="K11" s="88" t="str">
        <f>'Internal Summary'!B48</f>
        <v>500ml Low Fat Unsweetend Greek Yoghurt (12x)</v>
      </c>
      <c r="L11" s="87">
        <f t="shared" si="1"/>
        <v>28.5</v>
      </c>
      <c r="M11" s="87">
        <f t="shared" si="2"/>
        <v>1136207.17</v>
      </c>
    </row>
    <row r="12">
      <c r="A12" s="90">
        <v>45794.0</v>
      </c>
      <c r="K12" s="88" t="str">
        <f>'Internal Summary'!B49</f>
        <v>500ml Strawberry Yoghurt (12x)</v>
      </c>
      <c r="L12" s="87">
        <f t="shared" si="1"/>
        <v>44</v>
      </c>
      <c r="M12" s="87">
        <f t="shared" si="2"/>
        <v>1346164.28</v>
      </c>
    </row>
    <row r="13">
      <c r="K13" s="88" t="str">
        <f>'Internal Summary'!B50</f>
        <v>500ml Vanilla Yoghurt (12x)</v>
      </c>
      <c r="L13" s="87">
        <f t="shared" si="1"/>
        <v>40</v>
      </c>
      <c r="M13" s="87">
        <f t="shared" si="2"/>
        <v>1229260.48</v>
      </c>
    </row>
    <row r="14">
      <c r="K14" s="88" t="str">
        <f>'Internal Summary'!B51</f>
        <v/>
      </c>
      <c r="L14" s="87">
        <f t="shared" si="1"/>
        <v>0</v>
      </c>
      <c r="M14" s="87">
        <f t="shared" si="2"/>
        <v>0</v>
      </c>
    </row>
    <row r="15">
      <c r="H15" s="92"/>
      <c r="I15" s="92"/>
      <c r="K15" s="88" t="str">
        <f>'Internal Summary'!B52</f>
        <v/>
      </c>
      <c r="L15" s="87">
        <f t="shared" si="1"/>
        <v>0</v>
      </c>
      <c r="M15" s="87">
        <f t="shared" si="2"/>
        <v>0</v>
      </c>
    </row>
    <row r="16"/>
    <row r="17"/>
    <row r="18">
      <c r="H18" s="92"/>
      <c r="I18" s="92"/>
      <c r="K18" s="88" t="str">
        <f>'Internal Summary'!B55</f>
        <v/>
      </c>
      <c r="L18" s="87">
        <f>sumif(D:D,K18,E:E)</f>
        <v>0</v>
      </c>
      <c r="M18" s="87">
        <f>sumif(D:D,K18,F:F)</f>
        <v>0</v>
      </c>
    </row>
    <row r="19"/>
    <row r="20"/>
    <row r="21">
      <c r="H21" s="92"/>
      <c r="I21" s="92"/>
      <c r="K21" s="88" t="str">
        <f>'Internal Summary'!B58</f>
        <v/>
      </c>
      <c r="L21" s="87">
        <f>sumif(D:D,K21,E:E)</f>
        <v>0</v>
      </c>
      <c r="M21" s="87">
        <f>sumif(D:D,K21,F:F)</f>
        <v>0</v>
      </c>
    </row>
    <row r="22"/>
    <row r="23"/>
    <row r="24">
      <c r="H24" s="92"/>
      <c r="I24" s="92"/>
      <c r="K24" s="88" t="str">
        <f>'Internal Summary'!B61</f>
        <v/>
      </c>
      <c r="L24" s="87">
        <f>sumif(D:D,K24,E:E)</f>
        <v>0</v>
      </c>
      <c r="M24" s="87">
        <f>sumif(D:D,K24,F:F)</f>
        <v>0</v>
      </c>
    </row>
    <row r="25"/>
    <row r="26"/>
    <row r="27">
      <c r="H27" s="92"/>
      <c r="I27" s="92"/>
      <c r="K27" s="88" t="str">
        <f>'Internal Summary'!B64</f>
        <v/>
      </c>
      <c r="L27" s="87">
        <f>sumif(D:D,K27,E:E)</f>
        <v>0</v>
      </c>
      <c r="M27" s="87">
        <f>sumif(D:D,K27,F:F)</f>
        <v>0</v>
      </c>
    </row>
    <row r="28"/>
    <row r="29"/>
    <row r="30">
      <c r="H30" s="92"/>
      <c r="I30" s="92"/>
      <c r="K30" s="88" t="str">
        <f>'Internal Summary'!B67</f>
        <v/>
      </c>
      <c r="L30" s="87">
        <f>sumif(D:D,K30,E:E)</f>
        <v>0</v>
      </c>
      <c r="M30" s="87">
        <f>sumif(D:D,K30,F:F)</f>
        <v>0</v>
      </c>
    </row>
    <row r="31"/>
    <row r="32"/>
    <row r="33">
      <c r="H33" s="92"/>
      <c r="I33" s="92"/>
      <c r="K33" s="88" t="str">
        <f>'Internal Summary'!B70</f>
        <v/>
      </c>
      <c r="L33" s="87">
        <f>sumif(D:D,K33,E:E)</f>
        <v>0</v>
      </c>
      <c r="M33" s="87">
        <f>sumif(D:D,K33,F:F)</f>
        <v>0</v>
      </c>
    </row>
    <row r="34"/>
    <row r="35"/>
    <row r="36">
      <c r="H36" s="92"/>
      <c r="I36" s="92"/>
      <c r="K36" s="88" t="str">
        <f>'Internal Summary'!B73</f>
        <v/>
      </c>
      <c r="L36" s="87">
        <f>sumif(D:D,K36,E:E)</f>
        <v>0</v>
      </c>
      <c r="M36" s="87">
        <f>sumif(D:D,K36,F:F)</f>
        <v>0</v>
      </c>
    </row>
    <row r="37"/>
    <row r="38"/>
    <row r="39">
      <c r="H39" s="92"/>
      <c r="I39" s="92"/>
      <c r="K39" s="88" t="str">
        <f>'Internal Summary'!B76</f>
        <v/>
      </c>
      <c r="L39" s="87">
        <f>sumif(D:D,K39,E:E)</f>
        <v>0</v>
      </c>
      <c r="M39" s="87">
        <f>sumif(D:D,K39,F:F)</f>
        <v>0</v>
      </c>
    </row>
    <row r="40"/>
    <row r="41"/>
    <row r="42">
      <c r="H42" s="92"/>
      <c r="I42" s="92"/>
      <c r="K42" s="88" t="str">
        <f>'Internal Summary'!B79</f>
        <v/>
      </c>
      <c r="L42" s="87">
        <f>sumif(D:D,K42,E:E)</f>
        <v>0</v>
      </c>
      <c r="M42" s="87">
        <f>sumif(D:D,K42,F:F)</f>
        <v>0</v>
      </c>
    </row>
    <row r="43"/>
    <row r="44"/>
    <row r="45">
      <c r="H45" s="92"/>
      <c r="I45" s="92"/>
      <c r="K45" s="88" t="str">
        <f>'Internal Summary'!B82</f>
        <v/>
      </c>
      <c r="L45" s="87">
        <f>sumif(D:D,K45,E:E)</f>
        <v>0</v>
      </c>
      <c r="M45" s="87">
        <f>sumif(D:D,K45,F:F)</f>
        <v>0</v>
      </c>
    </row>
    <row r="46"/>
    <row r="47"/>
    <row r="48">
      <c r="H48" s="92"/>
      <c r="I48" s="92"/>
      <c r="K48" s="88" t="str">
        <f>'Internal Summary'!B85</f>
        <v/>
      </c>
      <c r="L48" s="87">
        <f>sumif(D:D,K48,E:E)</f>
        <v>0</v>
      </c>
      <c r="M48" s="87">
        <f>sumif(D:D,K48,F:F)</f>
        <v>0</v>
      </c>
    </row>
    <row r="49"/>
    <row r="50"/>
    <row r="51">
      <c r="H51" s="92"/>
      <c r="I51" s="92"/>
      <c r="K51" s="88" t="str">
        <f>'Internal Summary'!B88</f>
        <v/>
      </c>
      <c r="L51" s="87">
        <f>sumif(D:D,K51,E:E)</f>
        <v>0</v>
      </c>
      <c r="M51" s="87">
        <f>sumif(D:D,K51,F:F)</f>
        <v>0</v>
      </c>
    </row>
    <row r="52"/>
    <row r="53"/>
    <row r="54">
      <c r="H54" s="92"/>
      <c r="I54" s="92"/>
    </row>
    <row r="55"/>
    <row r="56"/>
    <row r="57">
      <c r="H57" s="92"/>
      <c r="I57" s="92"/>
    </row>
    <row r="58"/>
    <row r="59"/>
    <row r="60">
      <c r="H60" s="92"/>
      <c r="I60" s="92"/>
    </row>
    <row r="61"/>
    <row r="62"/>
    <row r="63">
      <c r="H63" s="92"/>
      <c r="I63" s="92"/>
    </row>
    <row r="64"/>
    <row r="65"/>
    <row r="66">
      <c r="H66" s="92"/>
      <c r="I66" s="92"/>
    </row>
    <row r="67"/>
    <row r="68"/>
    <row r="69">
      <c r="H69" s="92"/>
      <c r="I69" s="92"/>
    </row>
    <row r="70"/>
    <row r="71"/>
    <row r="72">
      <c r="H72" s="92"/>
      <c r="I72" s="92"/>
    </row>
    <row r="73"/>
    <row r="74"/>
    <row r="75">
      <c r="H75" s="92"/>
      <c r="I75" s="92"/>
    </row>
    <row r="76"/>
    <row r="77"/>
    <row r="78">
      <c r="H78" s="92"/>
      <c r="I78" s="92"/>
    </row>
    <row r="79"/>
    <row r="80"/>
    <row r="81">
      <c r="H81" s="92"/>
      <c r="I81" s="92"/>
    </row>
    <row r="82"/>
    <row r="83"/>
    <row r="84">
      <c r="H84" s="92"/>
      <c r="I84" s="92"/>
    </row>
    <row r="85"/>
    <row r="86"/>
    <row r="87">
      <c r="H87" s="92"/>
      <c r="I87" s="92"/>
    </row>
    <row r="88"/>
    <row r="89"/>
    <row r="90">
      <c r="H90" s="92"/>
      <c r="I90" s="92"/>
    </row>
    <row r="91"/>
    <row r="92"/>
    <row r="93">
      <c r="H93" s="92"/>
      <c r="I93" s="92"/>
    </row>
    <row r="94"/>
    <row r="95"/>
    <row r="96">
      <c r="H96" s="92"/>
      <c r="I96" s="92"/>
    </row>
    <row r="97"/>
    <row r="98"/>
    <row r="99">
      <c r="H99" s="92"/>
      <c r="I99" s="92"/>
    </row>
    <row r="100"/>
    <row r="101"/>
    <row r="102">
      <c r="H102" s="92"/>
      <c r="I102" s="92"/>
    </row>
    <row r="103"/>
    <row r="104"/>
    <row r="105">
      <c r="H105" s="92"/>
      <c r="I105" s="92"/>
    </row>
    <row r="106"/>
    <row r="107"/>
    <row r="108">
      <c r="H108" s="92"/>
      <c r="I108" s="92"/>
    </row>
    <row r="109"/>
    <row r="110"/>
    <row r="111">
      <c r="H111" s="92"/>
      <c r="I111" s="92"/>
    </row>
    <row r="112"/>
    <row r="113"/>
    <row r="114">
      <c r="H114" s="92"/>
      <c r="I114" s="92"/>
    </row>
    <row r="115"/>
    <row r="116"/>
    <row r="117">
      <c r="H117" s="92"/>
      <c r="I117" s="92"/>
    </row>
    <row r="118"/>
    <row r="119"/>
    <row r="120">
      <c r="H120" s="92"/>
      <c r="I120" s="92"/>
    </row>
    <row r="121"/>
    <row r="122"/>
    <row r="123">
      <c r="H123" s="92"/>
      <c r="I123" s="92"/>
    </row>
    <row r="124"/>
    <row r="125"/>
    <row r="126">
      <c r="H126" s="92"/>
      <c r="I126" s="92"/>
    </row>
    <row r="127"/>
    <row r="128"/>
    <row r="129">
      <c r="H129" s="92"/>
      <c r="I129" s="92"/>
    </row>
    <row r="130"/>
    <row r="131"/>
    <row r="132">
      <c r="H132" s="92"/>
      <c r="I132" s="92"/>
    </row>
    <row r="133"/>
    <row r="134"/>
    <row r="135">
      <c r="H135" s="92"/>
      <c r="I135" s="92"/>
    </row>
    <row r="136"/>
    <row r="137"/>
    <row r="138">
      <c r="H138" s="92"/>
      <c r="I138" s="92"/>
    </row>
    <row r="139"/>
    <row r="140"/>
    <row r="141">
      <c r="H141" s="92"/>
      <c r="I141" s="92"/>
    </row>
    <row r="142"/>
    <row r="143"/>
    <row r="144">
      <c r="H144" s="92"/>
      <c r="I144" s="92"/>
    </row>
    <row r="145"/>
    <row r="146"/>
    <row r="147">
      <c r="H147" s="92"/>
      <c r="I147" s="92"/>
    </row>
    <row r="148"/>
    <row r="149"/>
    <row r="150">
      <c r="H150" s="92"/>
      <c r="I150" s="92"/>
    </row>
    <row r="151"/>
    <row r="152"/>
    <row r="153">
      <c r="H153" s="92"/>
      <c r="I153" s="92"/>
    </row>
    <row r="154"/>
    <row r="155"/>
    <row r="156">
      <c r="H156" s="92"/>
      <c r="I156" s="92"/>
    </row>
    <row r="157"/>
    <row r="158"/>
    <row r="159">
      <c r="H159" s="92"/>
      <c r="I159" s="92"/>
    </row>
    <row r="160"/>
    <row r="161"/>
    <row r="162">
      <c r="H162" s="92"/>
      <c r="I162" s="92"/>
    </row>
    <row r="163"/>
    <row r="164"/>
    <row r="165">
      <c r="H165" s="92"/>
      <c r="I165" s="92"/>
    </row>
    <row r="166"/>
    <row r="167"/>
    <row r="168">
      <c r="H168" s="92"/>
      <c r="I168" s="92"/>
    </row>
    <row r="169"/>
    <row r="170"/>
    <row r="171">
      <c r="H171" s="92"/>
      <c r="I171" s="92"/>
    </row>
    <row r="172"/>
    <row r="173"/>
    <row r="174">
      <c r="H174" s="92"/>
      <c r="I174" s="92"/>
    </row>
    <row r="175"/>
    <row r="176"/>
    <row r="177">
      <c r="H177" s="92"/>
      <c r="I177" s="92"/>
    </row>
    <row r="178"/>
    <row r="179"/>
    <row r="180">
      <c r="H180" s="92"/>
      <c r="I180" s="92"/>
    </row>
    <row r="181"/>
    <row r="182"/>
    <row r="183">
      <c r="H183" s="92"/>
      <c r="I183" s="92"/>
    </row>
    <row r="184"/>
    <row r="185"/>
    <row r="186">
      <c r="H186" s="92"/>
      <c r="I186" s="92"/>
    </row>
    <row r="187"/>
    <row r="188"/>
    <row r="189">
      <c r="H189" s="92"/>
      <c r="I189" s="92"/>
    </row>
    <row r="190"/>
    <row r="191"/>
    <row r="192">
      <c r="H192" s="92"/>
      <c r="I192" s="92"/>
    </row>
    <row r="193"/>
    <row r="194"/>
    <row r="195">
      <c r="H195" s="92"/>
      <c r="I195" s="92"/>
    </row>
    <row r="196"/>
    <row r="197"/>
    <row r="198">
      <c r="H198" s="92"/>
      <c r="I198" s="92"/>
    </row>
    <row r="199"/>
    <row r="200"/>
    <row r="201">
      <c r="H201" s="92"/>
      <c r="I201" s="92"/>
    </row>
    <row r="202"/>
    <row r="203"/>
    <row r="204">
      <c r="H204" s="92"/>
      <c r="I204" s="92"/>
    </row>
    <row r="205"/>
    <row r="206"/>
    <row r="207">
      <c r="H207" s="92"/>
      <c r="I207" s="92"/>
    </row>
    <row r="208"/>
    <row r="209"/>
    <row r="210">
      <c r="H210" s="92"/>
      <c r="I210" s="92"/>
    </row>
    <row r="211"/>
    <row r="212"/>
    <row r="213">
      <c r="H213" s="92"/>
      <c r="I213" s="92"/>
    </row>
    <row r="214"/>
    <row r="215"/>
    <row r="216">
      <c r="H216" s="92"/>
      <c r="I216" s="92"/>
    </row>
    <row r="217"/>
    <row r="218"/>
    <row r="219">
      <c r="H219" s="92"/>
      <c r="I219" s="92"/>
    </row>
    <row r="220"/>
    <row r="221"/>
    <row r="222">
      <c r="H222" s="92"/>
      <c r="I222" s="92"/>
    </row>
    <row r="223"/>
    <row r="224"/>
    <row r="225">
      <c r="H225" s="92"/>
      <c r="I225" s="92"/>
    </row>
    <row r="226"/>
    <row r="227"/>
    <row r="228">
      <c r="H228" s="92"/>
      <c r="I228" s="92"/>
    </row>
    <row r="229"/>
    <row r="230"/>
    <row r="231">
      <c r="H231" s="92"/>
      <c r="I231" s="92"/>
    </row>
    <row r="232"/>
    <row r="233"/>
    <row r="234">
      <c r="H234" s="92"/>
      <c r="I234" s="92"/>
    </row>
    <row r="235"/>
    <row r="236"/>
    <row r="237">
      <c r="H237" s="92"/>
      <c r="I237" s="92"/>
    </row>
    <row r="238"/>
    <row r="239"/>
    <row r="240">
      <c r="H240" s="92"/>
      <c r="I240" s="92"/>
    </row>
    <row r="241"/>
    <row r="242"/>
    <row r="243">
      <c r="H243" s="92"/>
      <c r="I243" s="92"/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6" t="s">
        <v>225</v>
      </c>
      <c r="I1" s="87">
        <f>countifs(B:B,"&lt;&gt;",F:F,"&lt;&gt;")-1</f>
        <v>0</v>
      </c>
      <c r="K1" s="93" t="s">
        <v>226</v>
      </c>
      <c r="L1" s="93" t="s">
        <v>227</v>
      </c>
      <c r="M1" s="93" t="s">
        <v>13</v>
      </c>
    </row>
    <row r="2">
      <c r="H2" s="86" t="s">
        <v>228</v>
      </c>
      <c r="I2" s="87">
        <f t="array" ref="I2">(COUNTA(UNIQUE(C:C))-1)</f>
        <v>0</v>
      </c>
      <c r="K2" s="88" t="str">
        <f>'Internal Summary'!B39</f>
        <v>1 ltr High Protien Sweetend Greek Yoghurt (6x)</v>
      </c>
      <c r="L2" s="87">
        <f t="shared" ref="L2:L15" si="1">sumif(D:D,K2,E:E)</f>
        <v>0</v>
      </c>
      <c r="M2" s="87">
        <f t="shared" ref="M2:M15" si="2">sumif(D:D,K2,F:F)</f>
        <v>0</v>
      </c>
    </row>
    <row r="3">
      <c r="H3" s="86" t="s">
        <v>229</v>
      </c>
      <c r="I3" s="87">
        <f>sum(F:F)</f>
        <v>0</v>
      </c>
      <c r="K3" s="88" t="str">
        <f>'Internal Summary'!B40</f>
        <v>1 ltr High Protien Unsweetend Greek Yoghurt (6x)</v>
      </c>
      <c r="L3" s="87">
        <f t="shared" si="1"/>
        <v>0</v>
      </c>
      <c r="M3" s="87">
        <f t="shared" si="2"/>
        <v>0</v>
      </c>
    </row>
    <row r="4">
      <c r="H4" s="1"/>
      <c r="K4" s="88" t="str">
        <f>'Internal Summary'!B41</f>
        <v>1 ltr Low Fat Sweetend Greek Yoghurt (6x)</v>
      </c>
      <c r="L4" s="87">
        <f t="shared" si="1"/>
        <v>0</v>
      </c>
      <c r="M4" s="87">
        <f t="shared" si="2"/>
        <v>0</v>
      </c>
    </row>
    <row r="5">
      <c r="H5" s="1"/>
      <c r="K5" s="88" t="str">
        <f>'Internal Summary'!B42</f>
        <v>1 ltr Low Fat Unsweetend Greek Yoghurt (6x)</v>
      </c>
      <c r="L5" s="87">
        <f t="shared" si="1"/>
        <v>0</v>
      </c>
      <c r="M5" s="87">
        <f t="shared" si="2"/>
        <v>0</v>
      </c>
    </row>
    <row r="6">
      <c r="K6" s="88" t="str">
        <f>'Internal Summary'!B43</f>
        <v>250ml Strawberry Yoghurt (12x)</v>
      </c>
      <c r="L6" s="87">
        <f t="shared" si="1"/>
        <v>0</v>
      </c>
      <c r="M6" s="87">
        <f t="shared" si="2"/>
        <v>0</v>
      </c>
    </row>
    <row r="7">
      <c r="K7" s="88" t="str">
        <f>'Internal Summary'!B44</f>
        <v>250ml Vanilla Yoghurt (12x)</v>
      </c>
      <c r="L7" s="87">
        <f t="shared" si="1"/>
        <v>0</v>
      </c>
      <c r="M7" s="87">
        <f t="shared" si="2"/>
        <v>0</v>
      </c>
    </row>
    <row r="8">
      <c r="K8" s="88" t="str">
        <f>'Internal Summary'!B45</f>
        <v>500ml High Protien Sweetend Greek Yoghurt (12x)</v>
      </c>
      <c r="L8" s="87">
        <f t="shared" si="1"/>
        <v>0</v>
      </c>
      <c r="M8" s="87">
        <f t="shared" si="2"/>
        <v>0</v>
      </c>
    </row>
    <row r="9">
      <c r="K9" s="88" t="str">
        <f>'Internal Summary'!B46</f>
        <v>500ml High Protien Unsweetend Greek Yoghurt (12x)</v>
      </c>
      <c r="L9" s="87">
        <f t="shared" si="1"/>
        <v>0</v>
      </c>
      <c r="M9" s="87">
        <f t="shared" si="2"/>
        <v>0</v>
      </c>
    </row>
    <row r="10">
      <c r="K10" s="88" t="str">
        <f>'Internal Summary'!B47</f>
        <v>500ml Low Fat Sweetend Greek Yoghurt (12x)</v>
      </c>
      <c r="L10" s="87">
        <f t="shared" si="1"/>
        <v>0</v>
      </c>
      <c r="M10" s="87">
        <f t="shared" si="2"/>
        <v>0</v>
      </c>
    </row>
    <row r="11">
      <c r="K11" s="88" t="str">
        <f>'Internal Summary'!B48</f>
        <v>500ml Low Fat Unsweetend Greek Yoghurt (12x)</v>
      </c>
      <c r="L11" s="87">
        <f t="shared" si="1"/>
        <v>0</v>
      </c>
      <c r="M11" s="87">
        <f t="shared" si="2"/>
        <v>0</v>
      </c>
    </row>
    <row r="12">
      <c r="K12" s="88" t="str">
        <f>'Internal Summary'!B49</f>
        <v>500ml Strawberry Yoghurt (12x)</v>
      </c>
      <c r="L12" s="87">
        <f t="shared" si="1"/>
        <v>0</v>
      </c>
      <c r="M12" s="87">
        <f t="shared" si="2"/>
        <v>0</v>
      </c>
    </row>
    <row r="13">
      <c r="K13" s="88" t="str">
        <f>'Internal Summary'!B50</f>
        <v>500ml Vanilla Yoghurt (12x)</v>
      </c>
      <c r="L13" s="87">
        <f t="shared" si="1"/>
        <v>0</v>
      </c>
      <c r="M13" s="87">
        <f t="shared" si="2"/>
        <v>0</v>
      </c>
    </row>
    <row r="14">
      <c r="K14" s="88" t="str">
        <f>'Internal Summary'!B51</f>
        <v/>
      </c>
      <c r="L14" s="87">
        <f t="shared" si="1"/>
        <v>0</v>
      </c>
      <c r="M14" s="87">
        <f t="shared" si="2"/>
        <v>0</v>
      </c>
    </row>
    <row r="15">
      <c r="K15" s="88" t="str">
        <f>'Internal Summary'!B52</f>
        <v/>
      </c>
      <c r="L15" s="87">
        <f t="shared" si="1"/>
        <v>0</v>
      </c>
      <c r="M15" s="87">
        <f t="shared" si="2"/>
        <v>0</v>
      </c>
    </row>
    <row r="16" hidden="1"/>
    <row r="17" hidden="1"/>
    <row r="18">
      <c r="K18" s="88" t="str">
        <f>'Internal Summary'!B55</f>
        <v/>
      </c>
      <c r="L18" s="87">
        <f>sumif(D:D,K18,E:E)</f>
        <v>0</v>
      </c>
      <c r="M18" s="87">
        <f>sumif(D:D,K18,F:F)</f>
        <v>0</v>
      </c>
    </row>
    <row r="19" hidden="1"/>
    <row r="20" hidden="1"/>
    <row r="21">
      <c r="K21" s="88" t="str">
        <f>'Internal Summary'!B58</f>
        <v/>
      </c>
      <c r="L21" s="87">
        <f>sumif(D:D,K21,E:E)</f>
        <v>0</v>
      </c>
      <c r="M21" s="87">
        <f>sumif(D:D,K21,F:F)</f>
        <v>0</v>
      </c>
    </row>
    <row r="22" hidden="1"/>
    <row r="23" hidden="1"/>
    <row r="24">
      <c r="K24" s="88" t="str">
        <f>'Internal Summary'!B61</f>
        <v/>
      </c>
      <c r="L24" s="87">
        <f>sumif(D:D,K24,E:E)</f>
        <v>0</v>
      </c>
      <c r="M24" s="87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6" t="s">
        <v>225</v>
      </c>
      <c r="I1" s="87">
        <f>countifs(B:B,"&lt;&gt;",F:F,"&lt;&gt;")-1</f>
        <v>0</v>
      </c>
      <c r="K1" s="93" t="s">
        <v>226</v>
      </c>
      <c r="L1" s="93" t="s">
        <v>231</v>
      </c>
      <c r="M1" s="93" t="s">
        <v>13</v>
      </c>
    </row>
    <row r="2">
      <c r="H2" s="86" t="s">
        <v>228</v>
      </c>
      <c r="I2" s="87">
        <f t="array" ref="I2">(COUNTA(UNIQUE(C:C))-1)</f>
        <v>0</v>
      </c>
      <c r="K2" s="88" t="str">
        <f>'Internal Summary'!B39</f>
        <v>1 ltr High Protien Sweetend Greek Yoghurt (6x)</v>
      </c>
      <c r="L2" s="87">
        <f t="shared" ref="L2:L15" si="1">sumif(D:D,K2,E:E)</f>
        <v>0</v>
      </c>
      <c r="M2" s="88"/>
    </row>
    <row r="3">
      <c r="H3" s="86" t="s">
        <v>229</v>
      </c>
      <c r="I3" s="87">
        <f>sum(F:F)</f>
        <v>0</v>
      </c>
      <c r="K3" s="88" t="str">
        <f>'Internal Summary'!B40</f>
        <v>1 ltr High Protien Unsweetend Greek Yoghurt (6x)</v>
      </c>
      <c r="L3" s="87">
        <f t="shared" si="1"/>
        <v>0</v>
      </c>
      <c r="M3" s="88"/>
    </row>
    <row r="4">
      <c r="H4" s="1"/>
      <c r="K4" s="88" t="str">
        <f>'Internal Summary'!B41</f>
        <v>1 ltr Low Fat Sweetend Greek Yoghurt (6x)</v>
      </c>
      <c r="L4" s="87">
        <f t="shared" si="1"/>
        <v>0</v>
      </c>
      <c r="M4" s="88"/>
    </row>
    <row r="5">
      <c r="H5" s="1"/>
      <c r="K5" s="88" t="str">
        <f>'Internal Summary'!B42</f>
        <v>1 ltr Low Fat Unsweetend Greek Yoghurt (6x)</v>
      </c>
      <c r="L5" s="87">
        <f t="shared" si="1"/>
        <v>0</v>
      </c>
      <c r="M5" s="88"/>
    </row>
    <row r="6">
      <c r="K6" s="88" t="str">
        <f>'Internal Summary'!B43</f>
        <v>250ml Strawberry Yoghurt (12x)</v>
      </c>
      <c r="L6" s="87">
        <f t="shared" si="1"/>
        <v>0</v>
      </c>
      <c r="M6" s="88"/>
    </row>
    <row r="7">
      <c r="K7" s="88" t="str">
        <f>'Internal Summary'!B44</f>
        <v>250ml Vanilla Yoghurt (12x)</v>
      </c>
      <c r="L7" s="87">
        <f t="shared" si="1"/>
        <v>0</v>
      </c>
      <c r="M7" s="88"/>
    </row>
    <row r="8">
      <c r="K8" s="88" t="str">
        <f>'Internal Summary'!B45</f>
        <v>500ml High Protien Sweetend Greek Yoghurt (12x)</v>
      </c>
      <c r="L8" s="87">
        <f t="shared" si="1"/>
        <v>0</v>
      </c>
      <c r="M8" s="88"/>
    </row>
    <row r="9">
      <c r="K9" s="88" t="str">
        <f>'Internal Summary'!B46</f>
        <v>500ml High Protien Unsweetend Greek Yoghurt (12x)</v>
      </c>
      <c r="L9" s="87">
        <f t="shared" si="1"/>
        <v>0</v>
      </c>
      <c r="M9" s="88"/>
    </row>
    <row r="10">
      <c r="K10" s="88" t="str">
        <f>'Internal Summary'!B47</f>
        <v>500ml Low Fat Sweetend Greek Yoghurt (12x)</v>
      </c>
      <c r="L10" s="87">
        <f t="shared" si="1"/>
        <v>0</v>
      </c>
      <c r="M10" s="88"/>
    </row>
    <row r="11">
      <c r="K11" s="88" t="str">
        <f>'Internal Summary'!B48</f>
        <v>500ml Low Fat Unsweetend Greek Yoghurt (12x)</v>
      </c>
      <c r="L11" s="87">
        <f t="shared" si="1"/>
        <v>0</v>
      </c>
      <c r="M11" s="88"/>
    </row>
    <row r="12">
      <c r="K12" s="88" t="str">
        <f>'Internal Summary'!B49</f>
        <v>500ml Strawberry Yoghurt (12x)</v>
      </c>
      <c r="L12" s="87">
        <f t="shared" si="1"/>
        <v>0</v>
      </c>
      <c r="M12" s="88"/>
    </row>
    <row r="13">
      <c r="K13" s="88" t="str">
        <f>'Internal Summary'!B50</f>
        <v>500ml Vanilla Yoghurt (12x)</v>
      </c>
      <c r="L13" s="87">
        <f t="shared" si="1"/>
        <v>0</v>
      </c>
      <c r="M13" s="88"/>
    </row>
    <row r="14">
      <c r="K14" s="88" t="str">
        <f>'Internal Summary'!B51</f>
        <v/>
      </c>
      <c r="L14" s="87">
        <f t="shared" si="1"/>
        <v>0</v>
      </c>
      <c r="M14" s="88"/>
    </row>
    <row r="15">
      <c r="K15" s="88" t="str">
        <f>'Internal Summary'!B52</f>
        <v/>
      </c>
      <c r="L15" s="87">
        <f t="shared" si="1"/>
        <v>0</v>
      </c>
      <c r="M15" s="88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6" t="s">
        <v>225</v>
      </c>
      <c r="I1" s="87">
        <f>countifs(B:B,"&lt;&gt;",F:F,"&lt;&gt;")-1</f>
        <v>7</v>
      </c>
      <c r="K1" s="93" t="s">
        <v>226</v>
      </c>
      <c r="L1" s="93" t="s">
        <v>227</v>
      </c>
    </row>
    <row r="2">
      <c r="H2" s="86" t="s">
        <v>228</v>
      </c>
      <c r="I2" s="87">
        <f t="array" ref="I2">(COUNTA(UNIQUE(C:C,,0))-1)</f>
        <v>1</v>
      </c>
      <c r="K2" s="88" t="str">
        <f>'Internal Summary'!B39</f>
        <v>1 ltr High Protien Sweetend Greek Yoghurt (6x)</v>
      </c>
      <c r="L2" s="87">
        <f t="shared" ref="L2:L15" si="1">sumif(D:D,K2,E:E)</f>
        <v>14</v>
      </c>
    </row>
    <row r="3">
      <c r="H3" s="86" t="s">
        <v>229</v>
      </c>
      <c r="I3" s="87">
        <f>sum(F:F)</f>
        <v>13229531.62</v>
      </c>
      <c r="K3" s="88" t="str">
        <f>'Internal Summary'!B40</f>
        <v>1 ltr High Protien Unsweetend Greek Yoghurt (6x)</v>
      </c>
      <c r="L3" s="87">
        <f t="shared" si="1"/>
        <v>10</v>
      </c>
    </row>
    <row r="4">
      <c r="H4" s="1"/>
      <c r="K4" s="88" t="str">
        <f>'Internal Summary'!B41</f>
        <v>1 ltr Low Fat Sweetend Greek Yoghurt (6x)</v>
      </c>
      <c r="L4" s="87">
        <f t="shared" si="1"/>
        <v>14</v>
      </c>
    </row>
    <row r="5">
      <c r="H5" s="1"/>
      <c r="K5" s="88" t="str">
        <f>'Internal Summary'!B42</f>
        <v>1 ltr Low Fat Unsweetend Greek Yoghurt (6x)</v>
      </c>
      <c r="L5" s="87">
        <f t="shared" si="1"/>
        <v>12</v>
      </c>
    </row>
    <row r="6">
      <c r="K6" s="88" t="str">
        <f>'Internal Summary'!B43</f>
        <v>250ml Strawberry Yoghurt (12x)</v>
      </c>
      <c r="L6" s="87">
        <f t="shared" si="1"/>
        <v>25</v>
      </c>
    </row>
    <row r="7">
      <c r="K7" s="88" t="str">
        <f>'Internal Summary'!B44</f>
        <v>250ml Vanilla Yoghurt (12x)</v>
      </c>
      <c r="L7" s="87">
        <f t="shared" si="1"/>
        <v>40</v>
      </c>
    </row>
    <row r="8">
      <c r="K8" s="88" t="str">
        <f>'Internal Summary'!B45</f>
        <v>500ml High Protien Sweetend Greek Yoghurt (12x)</v>
      </c>
      <c r="L8" s="87">
        <f t="shared" si="1"/>
        <v>55</v>
      </c>
    </row>
    <row r="9">
      <c r="K9" s="88" t="str">
        <f>'Internal Summary'!B46</f>
        <v>500ml High Protien Unsweetend Greek Yoghurt (12x)</v>
      </c>
      <c r="L9" s="87">
        <f t="shared" si="1"/>
        <v>40</v>
      </c>
    </row>
    <row r="10">
      <c r="K10" s="88" t="str">
        <f>'Internal Summary'!B47</f>
        <v>500ml Low Fat Sweetend Greek Yoghurt (12x)</v>
      </c>
      <c r="L10" s="87">
        <f t="shared" si="1"/>
        <v>45</v>
      </c>
    </row>
    <row r="11">
      <c r="K11" s="88" t="str">
        <f>'Internal Summary'!B48</f>
        <v>500ml Low Fat Unsweetend Greek Yoghurt (12x)</v>
      </c>
      <c r="L11" s="87">
        <f t="shared" si="1"/>
        <v>30</v>
      </c>
    </row>
    <row r="12">
      <c r="K12" s="88" t="str">
        <f>'Internal Summary'!B49</f>
        <v>500ml Strawberry Yoghurt (12x)</v>
      </c>
      <c r="L12" s="87">
        <f t="shared" si="1"/>
        <v>50</v>
      </c>
    </row>
    <row r="13">
      <c r="K13" s="88" t="str">
        <f>'Internal Summary'!B50</f>
        <v>500ml Vanilla Yoghurt (12x)</v>
      </c>
      <c r="L13" s="87">
        <f t="shared" si="1"/>
        <v>40</v>
      </c>
    </row>
    <row r="14">
      <c r="K14" s="88" t="str">
        <f>'Internal Summary'!B51</f>
        <v/>
      </c>
      <c r="L14" s="87">
        <f t="shared" si="1"/>
        <v>0</v>
      </c>
    </row>
    <row r="15">
      <c r="K15" s="88" t="str">
        <f>'Internal Summary'!B52</f>
        <v/>
      </c>
      <c r="L15" s="87">
        <f t="shared" si="1"/>
        <v>0</v>
      </c>
    </row>
    <row r="16"/>
    <row r="17"/>
    <row r="18">
      <c r="K18" s="88" t="str">
        <f>'Internal Summary'!B55</f>
        <v/>
      </c>
      <c r="L18" s="87">
        <f>sumif(D:D,K18,E:E)</f>
        <v>0</v>
      </c>
    </row>
    <row r="19"/>
    <row r="20"/>
    <row r="21">
      <c r="K21" s="88" t="str">
        <f>'Internal Summary'!B58</f>
        <v/>
      </c>
      <c r="L21" s="87">
        <f>sumif(D:D,K21,E:E)</f>
        <v>0</v>
      </c>
    </row>
    <row r="22"/>
    <row r="23"/>
    <row r="24">
      <c r="K24" s="88" t="str">
        <f>'Internal Summary'!B61</f>
        <v/>
      </c>
      <c r="L24" s="87">
        <f>sumif(D:D,K24,E:E)</f>
        <v>0</v>
      </c>
    </row>
    <row r="25"/>
    <row r="26"/>
    <row r="27">
      <c r="K27" s="88" t="str">
        <f>'Internal Summary'!B64</f>
        <v/>
      </c>
      <c r="L27" s="87">
        <f>sumif(D:D,K27,E:E)</f>
        <v>0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6" t="s">
        <v>225</v>
      </c>
      <c r="I1" s="87">
        <f>countifs(B:B,"&lt;&gt;",F:F,"&lt;&gt;")-1</f>
        <v>0</v>
      </c>
      <c r="K1" s="93" t="s">
        <v>226</v>
      </c>
      <c r="L1" s="93" t="s">
        <v>227</v>
      </c>
    </row>
    <row r="2">
      <c r="H2" s="86" t="s">
        <v>228</v>
      </c>
      <c r="I2" s="87">
        <f t="array" ref="I2">(COUNTA(UNIQUE(C:C,,0))-1)</f>
        <v>0</v>
      </c>
      <c r="K2" s="88" t="str">
        <f>'Internal Summary'!B39</f>
        <v>1 ltr High Protien Sweetend Greek Yoghurt (6x)</v>
      </c>
      <c r="L2" s="87">
        <f t="shared" ref="L2:L15" si="1">sumif(D:D,K2,E:E)</f>
        <v>0</v>
      </c>
    </row>
    <row r="3">
      <c r="H3" s="86" t="s">
        <v>229</v>
      </c>
      <c r="I3" s="87">
        <f>sum(F:F)</f>
        <v>0</v>
      </c>
      <c r="K3" s="88" t="str">
        <f>'Internal Summary'!B40</f>
        <v>1 ltr High Protien Unsweetend Greek Yoghurt (6x)</v>
      </c>
      <c r="L3" s="87">
        <f t="shared" si="1"/>
        <v>0</v>
      </c>
    </row>
    <row r="4">
      <c r="H4" s="1"/>
      <c r="K4" s="88" t="str">
        <f>'Internal Summary'!B41</f>
        <v>1 ltr Low Fat Sweetend Greek Yoghurt (6x)</v>
      </c>
      <c r="L4" s="87">
        <f t="shared" si="1"/>
        <v>0</v>
      </c>
    </row>
    <row r="5">
      <c r="H5" s="1"/>
      <c r="K5" s="88" t="str">
        <f>'Internal Summary'!B42</f>
        <v>1 ltr Low Fat Unsweetend Greek Yoghurt (6x)</v>
      </c>
      <c r="L5" s="87">
        <f t="shared" si="1"/>
        <v>0</v>
      </c>
    </row>
    <row r="6">
      <c r="K6" s="88" t="str">
        <f>'Internal Summary'!B43</f>
        <v>250ml Strawberry Yoghurt (12x)</v>
      </c>
      <c r="L6" s="87">
        <f t="shared" si="1"/>
        <v>0</v>
      </c>
    </row>
    <row r="7">
      <c r="K7" s="88" t="str">
        <f>'Internal Summary'!B44</f>
        <v>250ml Vanilla Yoghurt (12x)</v>
      </c>
      <c r="L7" s="87">
        <f t="shared" si="1"/>
        <v>0</v>
      </c>
    </row>
    <row r="8">
      <c r="K8" s="88" t="str">
        <f>'Internal Summary'!B45</f>
        <v>500ml High Protien Sweetend Greek Yoghurt (12x)</v>
      </c>
      <c r="L8" s="87">
        <f t="shared" si="1"/>
        <v>0</v>
      </c>
    </row>
    <row r="9">
      <c r="K9" s="88" t="str">
        <f>'Internal Summary'!B46</f>
        <v>500ml High Protien Unsweetend Greek Yoghurt (12x)</v>
      </c>
      <c r="L9" s="87">
        <f t="shared" si="1"/>
        <v>0</v>
      </c>
    </row>
    <row r="10">
      <c r="K10" s="88" t="str">
        <f>'Internal Summary'!B47</f>
        <v>500ml Low Fat Sweetend Greek Yoghurt (12x)</v>
      </c>
      <c r="L10" s="87">
        <f t="shared" si="1"/>
        <v>0</v>
      </c>
    </row>
    <row r="11">
      <c r="K11" s="88" t="str">
        <f>'Internal Summary'!B48</f>
        <v>500ml Low Fat Unsweetend Greek Yoghurt (12x)</v>
      </c>
      <c r="L11" s="87">
        <f t="shared" si="1"/>
        <v>0</v>
      </c>
    </row>
    <row r="12">
      <c r="K12" s="88" t="str">
        <f>'Internal Summary'!B49</f>
        <v>500ml Strawberry Yoghurt (12x)</v>
      </c>
      <c r="L12" s="87">
        <f t="shared" si="1"/>
        <v>0</v>
      </c>
    </row>
    <row r="13">
      <c r="K13" s="88" t="str">
        <f>'Internal Summary'!B50</f>
        <v>500ml Vanilla Yoghurt (12x)</v>
      </c>
      <c r="L13" s="87">
        <f t="shared" si="1"/>
        <v>0</v>
      </c>
    </row>
    <row r="14">
      <c r="K14" s="88" t="str">
        <f>'Internal Summary'!B51</f>
        <v/>
      </c>
      <c r="L14" s="87">
        <f t="shared" si="1"/>
        <v>0</v>
      </c>
    </row>
    <row r="15">
      <c r="K15" s="88" t="str">
        <f>'Internal Summary'!B52</f>
        <v/>
      </c>
      <c r="L15" s="87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4"/>
      <c r="B1" s="86" t="s">
        <v>232</v>
      </c>
      <c r="C1" s="86" t="s">
        <v>227</v>
      </c>
      <c r="D1" s="86" t="s">
        <v>233</v>
      </c>
      <c r="E1" s="86" t="s">
        <v>234</v>
      </c>
      <c r="F1" s="95"/>
    </row>
    <row r="2">
      <c r="A2" s="96" t="s">
        <v>235</v>
      </c>
      <c r="B2" s="97" t="s">
        <v>225</v>
      </c>
      <c r="C2" s="98"/>
      <c r="D2" s="98"/>
      <c r="E2" s="99">
        <f>'Dala Sales &amp; Deliveries'!I1+'External Delivery Fulfillment'!I1</f>
        <v>123</v>
      </c>
      <c r="F2" s="95"/>
    </row>
    <row r="3">
      <c r="A3" s="100"/>
      <c r="B3" s="97" t="s">
        <v>236</v>
      </c>
      <c r="C3" s="98"/>
      <c r="D3" s="98"/>
      <c r="E3" s="99">
        <f>'Raw Data'!AX3</f>
        <v>72</v>
      </c>
      <c r="F3" s="95"/>
    </row>
    <row r="4">
      <c r="B4" s="101" t="s">
        <v>237</v>
      </c>
      <c r="C4" s="95"/>
      <c r="D4" s="95"/>
      <c r="E4" s="102">
        <f>'Dala Sales &amp; Deliveries'!I3</f>
        <v>12906499.79</v>
      </c>
      <c r="F4" s="95"/>
    </row>
    <row r="5">
      <c r="B5" s="101" t="s">
        <v>238</v>
      </c>
      <c r="C5" s="95"/>
      <c r="D5" s="95"/>
      <c r="E5" s="102">
        <f>E4*1.075-E4</f>
        <v>967987.4843</v>
      </c>
      <c r="F5" s="95"/>
    </row>
    <row r="6">
      <c r="A6" s="103"/>
      <c r="B6" s="104" t="s">
        <v>239</v>
      </c>
      <c r="C6" s="105"/>
      <c r="D6" s="106"/>
      <c r="E6" s="107">
        <f>sum(E4:E5)</f>
        <v>13874487.27</v>
      </c>
      <c r="F6" s="95"/>
    </row>
    <row r="7">
      <c r="A7" s="96" t="s">
        <v>240</v>
      </c>
      <c r="B7" s="97" t="s">
        <v>241</v>
      </c>
      <c r="C7" s="98"/>
      <c r="D7" s="108"/>
      <c r="E7" s="109">
        <v>0.0</v>
      </c>
    </row>
    <row r="8">
      <c r="A8" s="103"/>
      <c r="B8" s="104" t="s">
        <v>242</v>
      </c>
      <c r="C8" s="110">
        <v>0.05</v>
      </c>
      <c r="D8" s="106"/>
      <c r="E8" s="107">
        <f>E7*(C8+100%)-E7</f>
        <v>0</v>
      </c>
      <c r="K8" s="84"/>
      <c r="L8" s="84"/>
      <c r="M8" s="84"/>
    </row>
    <row r="9">
      <c r="A9" s="111" t="s">
        <v>243</v>
      </c>
      <c r="B9" s="104" t="s">
        <v>244</v>
      </c>
      <c r="C9" s="105"/>
      <c r="D9" s="106"/>
      <c r="E9" s="107">
        <f>E6-E7-E8</f>
        <v>13874487.27</v>
      </c>
    </row>
    <row r="10">
      <c r="A10" s="96" t="s">
        <v>245</v>
      </c>
      <c r="B10" s="97" t="s">
        <v>246</v>
      </c>
      <c r="C10" s="112">
        <v>1.0</v>
      </c>
      <c r="D10" s="113">
        <v>280000.0</v>
      </c>
      <c r="E10" s="114">
        <f>C10*D10</f>
        <v>280000</v>
      </c>
    </row>
    <row r="11">
      <c r="A11" s="100"/>
      <c r="B11" s="97" t="s">
        <v>242</v>
      </c>
      <c r="C11" s="115"/>
      <c r="D11" s="108"/>
      <c r="E11" s="114">
        <f>E9*C8</f>
        <v>693724.3637</v>
      </c>
    </row>
    <row r="12">
      <c r="A12" s="100"/>
      <c r="B12" s="116" t="s">
        <v>247</v>
      </c>
      <c r="C12" s="98"/>
      <c r="D12" s="117" t="s">
        <v>248</v>
      </c>
      <c r="E12" s="114">
        <f>C21+C25</f>
        <v>969683.2497</v>
      </c>
    </row>
    <row r="13">
      <c r="A13" s="100"/>
      <c r="B13" s="97" t="s">
        <v>249</v>
      </c>
      <c r="C13" s="108"/>
      <c r="D13" s="108"/>
      <c r="E13" s="109">
        <v>0.0</v>
      </c>
    </row>
    <row r="14">
      <c r="A14" s="100"/>
      <c r="B14" s="97" t="s">
        <v>250</v>
      </c>
      <c r="C14" s="108"/>
      <c r="D14" s="108"/>
      <c r="E14" s="114">
        <f>C29</f>
        <v>0</v>
      </c>
    </row>
    <row r="15">
      <c r="A15" s="103"/>
      <c r="B15" s="104" t="s">
        <v>251</v>
      </c>
      <c r="C15" s="106"/>
      <c r="D15" s="106"/>
      <c r="E15" s="107">
        <f>sum(E10:E14)</f>
        <v>1943407.613</v>
      </c>
      <c r="H15" s="1"/>
      <c r="I15" s="1"/>
    </row>
    <row r="16">
      <c r="A16" s="111" t="s">
        <v>252</v>
      </c>
      <c r="B16" s="104" t="s">
        <v>253</v>
      </c>
      <c r="C16" s="106"/>
      <c r="D16" s="106"/>
      <c r="E16" s="107">
        <f>E9-E15+C35</f>
        <v>11931079.66</v>
      </c>
      <c r="H16" s="1"/>
      <c r="I16" s="118"/>
      <c r="J16" s="119"/>
      <c r="K16" s="119"/>
      <c r="L16" s="119"/>
      <c r="M16" s="119"/>
      <c r="N16" s="119"/>
    </row>
    <row r="17">
      <c r="A17" s="120"/>
      <c r="B17" s="120"/>
      <c r="C17" s="120"/>
      <c r="D17" s="120"/>
      <c r="E17" s="120"/>
      <c r="H17" s="1"/>
      <c r="I17" s="1"/>
      <c r="J17" s="119"/>
      <c r="K17" s="119"/>
      <c r="L17" s="119"/>
      <c r="M17" s="119"/>
      <c r="N17" s="119"/>
    </row>
    <row r="18">
      <c r="A18" s="1"/>
      <c r="B18" s="120"/>
      <c r="C18" s="120"/>
      <c r="D18" s="120"/>
      <c r="E18" s="120"/>
      <c r="H18" s="1"/>
      <c r="I18" s="1"/>
      <c r="J18" s="119"/>
      <c r="K18" s="119"/>
      <c r="L18" s="119"/>
      <c r="M18" s="119"/>
      <c r="N18" s="119"/>
    </row>
    <row r="19">
      <c r="A19" s="1" t="s">
        <v>254</v>
      </c>
      <c r="B19" s="120"/>
      <c r="C19" s="120"/>
      <c r="D19" s="120"/>
      <c r="E19" s="120"/>
      <c r="H19" s="1"/>
      <c r="I19" s="1"/>
      <c r="J19" s="119"/>
      <c r="K19" s="119"/>
      <c r="L19" s="119"/>
      <c r="M19" s="119"/>
      <c r="N19" s="119"/>
    </row>
    <row r="20">
      <c r="A20" s="120"/>
      <c r="B20" s="86" t="s">
        <v>255</v>
      </c>
      <c r="C20" s="121">
        <f>U68</f>
        <v>375</v>
      </c>
      <c r="H20" s="1"/>
      <c r="I20" s="1"/>
      <c r="J20" s="122"/>
      <c r="K20" s="122"/>
      <c r="L20" s="123"/>
      <c r="M20" s="119"/>
      <c r="N20" s="119"/>
    </row>
    <row r="21">
      <c r="A21" s="120"/>
      <c r="B21" s="86" t="s">
        <v>256</v>
      </c>
      <c r="C21" s="121">
        <f>V68</f>
        <v>240477.0597</v>
      </c>
      <c r="H21" s="1"/>
      <c r="I21" s="1"/>
      <c r="J21" s="122"/>
      <c r="K21" s="122"/>
      <c r="L21" s="123"/>
      <c r="M21" s="119"/>
      <c r="N21" s="119"/>
    </row>
    <row r="22">
      <c r="A22" s="120"/>
      <c r="B22" s="86" t="s">
        <v>257</v>
      </c>
      <c r="C22" s="121">
        <f>S68</f>
        <v>0</v>
      </c>
      <c r="H22" s="1"/>
      <c r="I22" s="1"/>
      <c r="J22" s="122"/>
      <c r="K22" s="122"/>
      <c r="L22" s="123"/>
      <c r="M22" s="119"/>
      <c r="N22" s="119"/>
    </row>
    <row r="23">
      <c r="A23" s="120"/>
      <c r="B23" s="86" t="s">
        <v>258</v>
      </c>
      <c r="C23" s="121">
        <f>T68</f>
        <v>0</v>
      </c>
      <c r="H23" s="1"/>
      <c r="I23" s="118"/>
      <c r="J23" s="122"/>
      <c r="K23" s="122"/>
      <c r="L23" s="123"/>
      <c r="M23" s="119"/>
      <c r="N23" s="119"/>
    </row>
    <row r="24">
      <c r="A24" s="120"/>
      <c r="B24" s="86" t="s">
        <v>259</v>
      </c>
      <c r="C24" s="121">
        <f>67</f>
        <v>67</v>
      </c>
      <c r="H24" s="1"/>
      <c r="I24" s="1"/>
    </row>
    <row r="25">
      <c r="A25" s="120"/>
      <c r="B25" s="86" t="s">
        <v>260</v>
      </c>
      <c r="C25" s="124">
        <f>P68</f>
        <v>729206.19</v>
      </c>
      <c r="H25" s="1"/>
      <c r="I25" s="1"/>
    </row>
    <row r="26">
      <c r="A26" s="120"/>
      <c r="B26" s="86" t="s">
        <v>261</v>
      </c>
      <c r="C26" s="87">
        <f>Q68</f>
        <v>0</v>
      </c>
      <c r="H26" s="1"/>
      <c r="I26" s="1"/>
    </row>
    <row r="27">
      <c r="A27" s="120"/>
      <c r="B27" s="86" t="s">
        <v>262</v>
      </c>
      <c r="C27" s="87">
        <f>R68</f>
        <v>0</v>
      </c>
      <c r="H27" s="1"/>
      <c r="I27" s="1"/>
    </row>
    <row r="28">
      <c r="A28" s="120"/>
      <c r="B28" s="86" t="s">
        <v>263</v>
      </c>
      <c r="C28" s="121">
        <f>F68</f>
        <v>0</v>
      </c>
      <c r="D28" s="1"/>
      <c r="H28" s="1"/>
      <c r="I28" s="1"/>
    </row>
    <row r="29">
      <c r="A29" s="120"/>
      <c r="B29" s="86" t="s">
        <v>264</v>
      </c>
      <c r="C29" s="121">
        <v>0.0</v>
      </c>
      <c r="D29" s="1"/>
      <c r="H29" s="1"/>
      <c r="I29" s="1"/>
    </row>
    <row r="30">
      <c r="A30" s="120"/>
      <c r="B30" s="86" t="s">
        <v>265</v>
      </c>
      <c r="C30" s="121">
        <f>I68</f>
        <v>0</v>
      </c>
      <c r="D30" s="120"/>
      <c r="H30" s="1"/>
      <c r="I30" s="1"/>
    </row>
    <row r="31">
      <c r="A31" s="120"/>
      <c r="B31" s="86" t="s">
        <v>266</v>
      </c>
      <c r="C31" s="121">
        <v>0.0</v>
      </c>
      <c r="D31" s="120"/>
      <c r="H31" s="1"/>
      <c r="I31" s="1"/>
    </row>
    <row r="32">
      <c r="B32" s="86" t="s">
        <v>267</v>
      </c>
      <c r="C32" s="121">
        <f>L68</f>
        <v>3</v>
      </c>
    </row>
    <row r="33">
      <c r="B33" s="86" t="s">
        <v>268</v>
      </c>
      <c r="C33" s="87">
        <f>K68</f>
        <v>67.5</v>
      </c>
    </row>
    <row r="34">
      <c r="B34" s="86" t="s">
        <v>269</v>
      </c>
      <c r="C34" s="121">
        <v>0.0</v>
      </c>
    </row>
    <row r="35">
      <c r="B35" s="86" t="s">
        <v>270</v>
      </c>
      <c r="C35" s="121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86" t="s">
        <v>271</v>
      </c>
      <c r="C38" s="86" t="s">
        <v>272</v>
      </c>
      <c r="D38" s="86" t="s">
        <v>273</v>
      </c>
      <c r="E38" s="86" t="s">
        <v>274</v>
      </c>
      <c r="F38" s="93" t="s">
        <v>275</v>
      </c>
      <c r="G38" s="93" t="s">
        <v>276</v>
      </c>
      <c r="H38" s="93" t="s">
        <v>277</v>
      </c>
      <c r="I38" s="93" t="s">
        <v>278</v>
      </c>
      <c r="J38" s="93" t="s">
        <v>279</v>
      </c>
      <c r="K38" s="93" t="s">
        <v>280</v>
      </c>
      <c r="L38" s="93" t="s">
        <v>267</v>
      </c>
      <c r="M38" s="93" t="s">
        <v>269</v>
      </c>
      <c r="N38" s="93" t="s">
        <v>281</v>
      </c>
      <c r="O38" s="93" t="s">
        <v>282</v>
      </c>
      <c r="P38" s="93" t="s">
        <v>283</v>
      </c>
      <c r="Q38" s="93" t="s">
        <v>284</v>
      </c>
      <c r="R38" s="93" t="s">
        <v>285</v>
      </c>
      <c r="S38" s="93" t="s">
        <v>286</v>
      </c>
      <c r="T38" s="93" t="s">
        <v>258</v>
      </c>
      <c r="U38" s="93" t="s">
        <v>287</v>
      </c>
      <c r="V38" s="93" t="s">
        <v>288</v>
      </c>
      <c r="W38" s="93" t="s">
        <v>289</v>
      </c>
    </row>
    <row r="39">
      <c r="B39" s="125" t="s">
        <v>15</v>
      </c>
      <c r="C39" s="126">
        <v>42241.3</v>
      </c>
      <c r="D39" s="126">
        <v>718.1021</v>
      </c>
      <c r="E39" s="126">
        <v>2238.79</v>
      </c>
      <c r="F39" s="127"/>
      <c r="G39" s="87">
        <f t="shared" ref="G39:G67" si="1">F39*C39</f>
        <v>0</v>
      </c>
      <c r="H39" s="127"/>
      <c r="I39" s="127"/>
      <c r="J39" s="127"/>
      <c r="K39" s="128">
        <v>1.0</v>
      </c>
      <c r="L39" s="124">
        <f t="shared" ref="L39:L67" si="2">H39+U39+W39-O39-Q39-I39-J39</f>
        <v>1</v>
      </c>
      <c r="M39" s="87">
        <f t="shared" ref="M39:M67" si="3">K39-L39</f>
        <v>0</v>
      </c>
      <c r="N39" s="87">
        <f t="shared" ref="N39:N67" si="4">M39*C39</f>
        <v>0</v>
      </c>
      <c r="O39" s="87">
        <f>'Dala Sales &amp; Deliveries'!L2</f>
        <v>13</v>
      </c>
      <c r="P39" s="87">
        <f t="shared" ref="P39:P67" si="5">O39*E39</f>
        <v>29104.27</v>
      </c>
      <c r="Q39" s="87">
        <f>'External Delivery Fulfillment'!L2</f>
        <v>0</v>
      </c>
      <c r="R39" s="87">
        <f t="shared" ref="R39:R67" si="6">Q39*E39</f>
        <v>0</v>
      </c>
      <c r="S39" s="87">
        <f>'Forwarding From Client'!L2</f>
        <v>0</v>
      </c>
      <c r="T39" s="87">
        <f t="shared" ref="T39:T67" si="7">S39*E39</f>
        <v>0</v>
      </c>
      <c r="U39" s="87">
        <f>'Dala Restocking'!L2</f>
        <v>14</v>
      </c>
      <c r="V39" s="87">
        <f t="shared" ref="V39:V67" si="8">U39*D39</f>
        <v>10053.4294</v>
      </c>
      <c r="W39" s="87">
        <f>'Client Restocking'!L2</f>
        <v>0</v>
      </c>
    </row>
    <row r="40">
      <c r="B40" s="129" t="s">
        <v>22</v>
      </c>
      <c r="C40" s="130">
        <v>42241.3</v>
      </c>
      <c r="D40" s="130">
        <v>718.1021</v>
      </c>
      <c r="E40" s="130">
        <v>2238.79</v>
      </c>
      <c r="F40" s="131"/>
      <c r="G40" s="87">
        <f t="shared" si="1"/>
        <v>0</v>
      </c>
      <c r="H40" s="131"/>
      <c r="I40" s="127"/>
      <c r="J40" s="131"/>
      <c r="K40" s="128">
        <v>1.0</v>
      </c>
      <c r="L40" s="124">
        <f t="shared" si="2"/>
        <v>2</v>
      </c>
      <c r="M40" s="87">
        <f t="shared" si="3"/>
        <v>-1</v>
      </c>
      <c r="N40" s="87">
        <f t="shared" si="4"/>
        <v>-42241.3</v>
      </c>
      <c r="O40" s="87">
        <f>'Dala Sales &amp; Deliveries'!L3</f>
        <v>8</v>
      </c>
      <c r="P40" s="87">
        <f t="shared" si="5"/>
        <v>17910.32</v>
      </c>
      <c r="Q40" s="87">
        <f>'External Delivery Fulfillment'!L3</f>
        <v>0</v>
      </c>
      <c r="R40" s="87">
        <f t="shared" si="6"/>
        <v>0</v>
      </c>
      <c r="S40" s="87">
        <f>'Forwarding From Client'!L3</f>
        <v>0</v>
      </c>
      <c r="T40" s="87">
        <f t="shared" si="7"/>
        <v>0</v>
      </c>
      <c r="U40" s="87">
        <f>'Dala Restocking'!L3</f>
        <v>10</v>
      </c>
      <c r="V40" s="87">
        <f t="shared" si="8"/>
        <v>7181.021</v>
      </c>
      <c r="W40" s="87">
        <f>'Client Restocking'!L3</f>
        <v>0</v>
      </c>
    </row>
    <row r="41">
      <c r="B41" s="129" t="s">
        <v>24</v>
      </c>
      <c r="C41" s="130">
        <v>38813.85</v>
      </c>
      <c r="D41" s="130">
        <v>659.83545</v>
      </c>
      <c r="E41" s="130">
        <v>2057.13</v>
      </c>
      <c r="F41" s="131"/>
      <c r="G41" s="87">
        <f t="shared" si="1"/>
        <v>0</v>
      </c>
      <c r="H41" s="131"/>
      <c r="I41" s="127"/>
      <c r="J41" s="131"/>
      <c r="K41" s="128">
        <v>0.0</v>
      </c>
      <c r="L41" s="124">
        <f t="shared" si="2"/>
        <v>-1.5</v>
      </c>
      <c r="M41" s="87">
        <f t="shared" si="3"/>
        <v>1.5</v>
      </c>
      <c r="N41" s="87">
        <f t="shared" si="4"/>
        <v>58220.775</v>
      </c>
      <c r="O41" s="87">
        <f>'Dala Sales &amp; Deliveries'!L4</f>
        <v>15.5</v>
      </c>
      <c r="P41" s="87">
        <f t="shared" si="5"/>
        <v>31885.515</v>
      </c>
      <c r="Q41" s="87">
        <f>'External Delivery Fulfillment'!L4</f>
        <v>0</v>
      </c>
      <c r="R41" s="87">
        <f t="shared" si="6"/>
        <v>0</v>
      </c>
      <c r="S41" s="87">
        <f>'Forwarding From Client'!L4</f>
        <v>0</v>
      </c>
      <c r="T41" s="87">
        <f t="shared" si="7"/>
        <v>0</v>
      </c>
      <c r="U41" s="87">
        <f>'Dala Restocking'!L4</f>
        <v>14</v>
      </c>
      <c r="V41" s="87">
        <f t="shared" si="8"/>
        <v>9237.6963</v>
      </c>
      <c r="W41" s="87">
        <f>'Client Restocking'!L4</f>
        <v>0</v>
      </c>
    </row>
    <row r="42">
      <c r="B42" s="129" t="s">
        <v>26</v>
      </c>
      <c r="C42" s="130">
        <v>38813.85</v>
      </c>
      <c r="D42" s="130">
        <v>659.83545</v>
      </c>
      <c r="E42" s="130">
        <v>2057.13</v>
      </c>
      <c r="F42" s="131"/>
      <c r="G42" s="87">
        <f t="shared" si="1"/>
        <v>0</v>
      </c>
      <c r="H42" s="131"/>
      <c r="I42" s="127"/>
      <c r="J42" s="131"/>
      <c r="K42" s="128">
        <v>0.0</v>
      </c>
      <c r="L42" s="124">
        <f t="shared" si="2"/>
        <v>-1.5</v>
      </c>
      <c r="M42" s="87">
        <f t="shared" si="3"/>
        <v>1.5</v>
      </c>
      <c r="N42" s="87">
        <f t="shared" si="4"/>
        <v>58220.775</v>
      </c>
      <c r="O42" s="87">
        <f>'Dala Sales &amp; Deliveries'!L5</f>
        <v>13.5</v>
      </c>
      <c r="P42" s="87">
        <f t="shared" si="5"/>
        <v>27771.255</v>
      </c>
      <c r="Q42" s="87">
        <f>'External Delivery Fulfillment'!L5</f>
        <v>0</v>
      </c>
      <c r="R42" s="87">
        <f t="shared" si="6"/>
        <v>0</v>
      </c>
      <c r="S42" s="87">
        <f>'Forwarding From Client'!L5</f>
        <v>0</v>
      </c>
      <c r="T42" s="87">
        <f t="shared" si="7"/>
        <v>0</v>
      </c>
      <c r="U42" s="87">
        <f>'Dala Restocking'!L5</f>
        <v>12</v>
      </c>
      <c r="V42" s="87">
        <f t="shared" si="8"/>
        <v>7918.0254</v>
      </c>
      <c r="W42" s="87">
        <f>'Client Restocking'!L5</f>
        <v>0</v>
      </c>
    </row>
    <row r="43">
      <c r="B43" s="129" t="s">
        <v>18</v>
      </c>
      <c r="C43" s="130">
        <v>19953.12</v>
      </c>
      <c r="D43" s="130">
        <v>339.20304</v>
      </c>
      <c r="E43" s="130">
        <v>1057.52</v>
      </c>
      <c r="F43" s="131"/>
      <c r="G43" s="87">
        <f t="shared" si="1"/>
        <v>0</v>
      </c>
      <c r="H43" s="131"/>
      <c r="I43" s="131"/>
      <c r="J43" s="131"/>
      <c r="K43" s="128">
        <v>2.0</v>
      </c>
      <c r="L43" s="124">
        <f t="shared" si="2"/>
        <v>-10.5</v>
      </c>
      <c r="M43" s="87">
        <f t="shared" si="3"/>
        <v>12.5</v>
      </c>
      <c r="N43" s="87">
        <f t="shared" si="4"/>
        <v>249414</v>
      </c>
      <c r="O43" s="87">
        <f>'Dala Sales &amp; Deliveries'!L6</f>
        <v>35.5</v>
      </c>
      <c r="P43" s="87">
        <f t="shared" si="5"/>
        <v>37541.96</v>
      </c>
      <c r="Q43" s="87">
        <f>'External Delivery Fulfillment'!L6</f>
        <v>0</v>
      </c>
      <c r="R43" s="87">
        <f t="shared" si="6"/>
        <v>0</v>
      </c>
      <c r="S43" s="87">
        <f>'Forwarding From Client'!L6</f>
        <v>0</v>
      </c>
      <c r="T43" s="87">
        <f t="shared" si="7"/>
        <v>0</v>
      </c>
      <c r="U43" s="87">
        <f>'Dala Restocking'!L6</f>
        <v>25</v>
      </c>
      <c r="V43" s="87">
        <f t="shared" si="8"/>
        <v>8480.076</v>
      </c>
      <c r="W43" s="87">
        <f>'Client Restocking'!L6</f>
        <v>0</v>
      </c>
    </row>
    <row r="44">
      <c r="B44" s="129" t="s">
        <v>23</v>
      </c>
      <c r="C44" s="130">
        <v>19953.12</v>
      </c>
      <c r="D44" s="130">
        <v>339.20304</v>
      </c>
      <c r="E44" s="130">
        <v>1057.52</v>
      </c>
      <c r="F44" s="131"/>
      <c r="G44" s="87">
        <f t="shared" si="1"/>
        <v>0</v>
      </c>
      <c r="H44" s="131"/>
      <c r="I44" s="131"/>
      <c r="J44" s="131"/>
      <c r="K44" s="128">
        <v>8.0</v>
      </c>
      <c r="L44" s="124">
        <f t="shared" si="2"/>
        <v>-1.5</v>
      </c>
      <c r="M44" s="87">
        <f t="shared" si="3"/>
        <v>9.5</v>
      </c>
      <c r="N44" s="87">
        <f t="shared" si="4"/>
        <v>189554.64</v>
      </c>
      <c r="O44" s="87">
        <f>'Dala Sales &amp; Deliveries'!L7</f>
        <v>41.5</v>
      </c>
      <c r="P44" s="87">
        <f t="shared" si="5"/>
        <v>43887.08</v>
      </c>
      <c r="Q44" s="87">
        <f>'External Delivery Fulfillment'!L7</f>
        <v>0</v>
      </c>
      <c r="R44" s="87">
        <f t="shared" si="6"/>
        <v>0</v>
      </c>
      <c r="S44" s="87">
        <f>'Forwarding From Client'!L7</f>
        <v>0</v>
      </c>
      <c r="T44" s="87">
        <f t="shared" si="7"/>
        <v>0</v>
      </c>
      <c r="U44" s="87">
        <f>'Dala Restocking'!L7</f>
        <v>40</v>
      </c>
      <c r="V44" s="87">
        <f t="shared" si="8"/>
        <v>13568.1216</v>
      </c>
      <c r="W44" s="87">
        <f>'Client Restocking'!L7</f>
        <v>0</v>
      </c>
    </row>
    <row r="45">
      <c r="B45" s="129" t="s">
        <v>25</v>
      </c>
      <c r="C45" s="130">
        <v>49082.07</v>
      </c>
      <c r="D45" s="130">
        <v>834.395139</v>
      </c>
      <c r="E45" s="130">
        <v>2601.35</v>
      </c>
      <c r="F45" s="131"/>
      <c r="G45" s="87">
        <f t="shared" si="1"/>
        <v>0</v>
      </c>
      <c r="H45" s="131"/>
      <c r="I45" s="131"/>
      <c r="J45" s="131"/>
      <c r="K45" s="128">
        <v>11.5</v>
      </c>
      <c r="L45" s="124">
        <f t="shared" si="2"/>
        <v>-1.5</v>
      </c>
      <c r="M45" s="87">
        <f t="shared" si="3"/>
        <v>13</v>
      </c>
      <c r="N45" s="87">
        <f t="shared" si="4"/>
        <v>638066.91</v>
      </c>
      <c r="O45" s="87">
        <f>'Dala Sales &amp; Deliveries'!L8</f>
        <v>56.5</v>
      </c>
      <c r="P45" s="87">
        <f t="shared" si="5"/>
        <v>146976.275</v>
      </c>
      <c r="Q45" s="87">
        <f>'External Delivery Fulfillment'!L8</f>
        <v>0</v>
      </c>
      <c r="R45" s="87">
        <f t="shared" si="6"/>
        <v>0</v>
      </c>
      <c r="S45" s="87">
        <f>'Forwarding From Client'!L8</f>
        <v>0</v>
      </c>
      <c r="T45" s="87">
        <f t="shared" si="7"/>
        <v>0</v>
      </c>
      <c r="U45" s="87">
        <f>'Dala Restocking'!L8</f>
        <v>55</v>
      </c>
      <c r="V45" s="87">
        <f t="shared" si="8"/>
        <v>45891.73265</v>
      </c>
      <c r="W45" s="87">
        <f>'Client Restocking'!L8</f>
        <v>0</v>
      </c>
    </row>
    <row r="46">
      <c r="B46" s="129" t="s">
        <v>40</v>
      </c>
      <c r="C46" s="130">
        <v>49082.07</v>
      </c>
      <c r="D46" s="130">
        <v>834.395139</v>
      </c>
      <c r="E46" s="130">
        <v>2601.35</v>
      </c>
      <c r="F46" s="131"/>
      <c r="G46" s="87">
        <f t="shared" si="1"/>
        <v>0</v>
      </c>
      <c r="H46" s="131"/>
      <c r="I46" s="131"/>
      <c r="J46" s="131"/>
      <c r="K46" s="128">
        <v>12.0</v>
      </c>
      <c r="L46" s="124">
        <f t="shared" si="2"/>
        <v>7</v>
      </c>
      <c r="M46" s="87">
        <f t="shared" si="3"/>
        <v>5</v>
      </c>
      <c r="N46" s="87">
        <f t="shared" si="4"/>
        <v>245410.35</v>
      </c>
      <c r="O46" s="87">
        <f>'Dala Sales &amp; Deliveries'!L9</f>
        <v>33</v>
      </c>
      <c r="P46" s="87">
        <f t="shared" si="5"/>
        <v>85844.55</v>
      </c>
      <c r="Q46" s="87">
        <f>'External Delivery Fulfillment'!L9</f>
        <v>0</v>
      </c>
      <c r="R46" s="87">
        <f t="shared" si="6"/>
        <v>0</v>
      </c>
      <c r="S46" s="87">
        <f>'Forwarding From Client'!L9</f>
        <v>0</v>
      </c>
      <c r="T46" s="87">
        <f t="shared" si="7"/>
        <v>0</v>
      </c>
      <c r="U46" s="87">
        <f>'Dala Restocking'!L9</f>
        <v>40</v>
      </c>
      <c r="V46" s="87">
        <f t="shared" si="8"/>
        <v>33375.80556</v>
      </c>
      <c r="W46" s="87">
        <f>'Client Restocking'!L9</f>
        <v>0</v>
      </c>
    </row>
    <row r="47">
      <c r="B47" s="129" t="s">
        <v>27</v>
      </c>
      <c r="C47" s="130">
        <v>43039.89</v>
      </c>
      <c r="D47" s="130">
        <v>731.67813</v>
      </c>
      <c r="E47" s="130">
        <v>2281.11</v>
      </c>
      <c r="F47" s="131"/>
      <c r="G47" s="87">
        <f t="shared" si="1"/>
        <v>0</v>
      </c>
      <c r="H47" s="131"/>
      <c r="I47" s="131"/>
      <c r="J47" s="131"/>
      <c r="K47" s="128">
        <v>12.0</v>
      </c>
      <c r="L47" s="124">
        <f t="shared" si="2"/>
        <v>2</v>
      </c>
      <c r="M47" s="87">
        <f t="shared" si="3"/>
        <v>10</v>
      </c>
      <c r="N47" s="87">
        <f t="shared" si="4"/>
        <v>430398.9</v>
      </c>
      <c r="O47" s="87">
        <f>'Dala Sales &amp; Deliveries'!L10</f>
        <v>43</v>
      </c>
      <c r="P47" s="87">
        <f t="shared" si="5"/>
        <v>98087.73</v>
      </c>
      <c r="Q47" s="87">
        <f>'External Delivery Fulfillment'!L10</f>
        <v>0</v>
      </c>
      <c r="R47" s="87">
        <f t="shared" si="6"/>
        <v>0</v>
      </c>
      <c r="S47" s="87">
        <f>'Forwarding From Client'!L10</f>
        <v>0</v>
      </c>
      <c r="T47" s="87">
        <f t="shared" si="7"/>
        <v>0</v>
      </c>
      <c r="U47" s="87">
        <f>'Dala Restocking'!L10</f>
        <v>45</v>
      </c>
      <c r="V47" s="87">
        <f t="shared" si="8"/>
        <v>32925.51585</v>
      </c>
      <c r="W47" s="87">
        <f>'Client Restocking'!L10</f>
        <v>0</v>
      </c>
    </row>
    <row r="48">
      <c r="B48" s="129" t="s">
        <v>31</v>
      </c>
      <c r="C48" s="130">
        <v>43039.89</v>
      </c>
      <c r="D48" s="130">
        <v>731.67813</v>
      </c>
      <c r="E48" s="130">
        <v>2281.11</v>
      </c>
      <c r="F48" s="131"/>
      <c r="G48" s="87">
        <f t="shared" si="1"/>
        <v>0</v>
      </c>
      <c r="H48" s="131"/>
      <c r="I48" s="131"/>
      <c r="J48" s="131"/>
      <c r="K48" s="128">
        <v>7.0</v>
      </c>
      <c r="L48" s="124">
        <f t="shared" si="2"/>
        <v>1.5</v>
      </c>
      <c r="M48" s="87">
        <f t="shared" si="3"/>
        <v>5.5</v>
      </c>
      <c r="N48" s="87">
        <f t="shared" si="4"/>
        <v>236719.395</v>
      </c>
      <c r="O48" s="87">
        <f>'Dala Sales &amp; Deliveries'!L11</f>
        <v>28.5</v>
      </c>
      <c r="P48" s="87">
        <f t="shared" si="5"/>
        <v>65011.635</v>
      </c>
      <c r="Q48" s="87">
        <f>'External Delivery Fulfillment'!L11</f>
        <v>0</v>
      </c>
      <c r="R48" s="87">
        <f t="shared" si="6"/>
        <v>0</v>
      </c>
      <c r="S48" s="87">
        <f>'Forwarding From Client'!L11</f>
        <v>0</v>
      </c>
      <c r="T48" s="87">
        <f t="shared" si="7"/>
        <v>0</v>
      </c>
      <c r="U48" s="87">
        <f>'Dala Restocking'!L11</f>
        <v>30</v>
      </c>
      <c r="V48" s="87">
        <f t="shared" si="8"/>
        <v>21950.3439</v>
      </c>
      <c r="W48" s="87">
        <f>'Client Restocking'!L11</f>
        <v>0</v>
      </c>
    </row>
    <row r="49">
      <c r="B49" s="129" t="s">
        <v>28</v>
      </c>
      <c r="C49" s="130">
        <v>32611.3</v>
      </c>
      <c r="D49" s="130">
        <v>554.392134</v>
      </c>
      <c r="E49" s="130">
        <v>1728.4</v>
      </c>
      <c r="F49" s="131"/>
      <c r="G49" s="87">
        <f t="shared" si="1"/>
        <v>0</v>
      </c>
      <c r="H49" s="131"/>
      <c r="I49" s="131"/>
      <c r="J49" s="131"/>
      <c r="K49" s="128">
        <v>13.0</v>
      </c>
      <c r="L49" s="124">
        <f t="shared" si="2"/>
        <v>6</v>
      </c>
      <c r="M49" s="87">
        <f t="shared" si="3"/>
        <v>7</v>
      </c>
      <c r="N49" s="87">
        <f t="shared" si="4"/>
        <v>228279.1</v>
      </c>
      <c r="O49" s="87">
        <f>'Dala Sales &amp; Deliveries'!L12</f>
        <v>44</v>
      </c>
      <c r="P49" s="87">
        <f t="shared" si="5"/>
        <v>76049.6</v>
      </c>
      <c r="Q49" s="87">
        <f>'External Delivery Fulfillment'!L12</f>
        <v>0</v>
      </c>
      <c r="R49" s="87">
        <f t="shared" si="6"/>
        <v>0</v>
      </c>
      <c r="S49" s="87">
        <f>'Forwarding From Client'!L12</f>
        <v>0</v>
      </c>
      <c r="T49" s="87">
        <f t="shared" si="7"/>
        <v>0</v>
      </c>
      <c r="U49" s="87">
        <f>'Dala Restocking'!L12</f>
        <v>50</v>
      </c>
      <c r="V49" s="87">
        <f t="shared" si="8"/>
        <v>27719.6067</v>
      </c>
      <c r="W49" s="87">
        <f>'Client Restocking'!L12</f>
        <v>0</v>
      </c>
    </row>
    <row r="50">
      <c r="B50" s="129" t="s">
        <v>47</v>
      </c>
      <c r="C50" s="130">
        <v>32611.3</v>
      </c>
      <c r="D50" s="130">
        <v>554.392134</v>
      </c>
      <c r="E50" s="130">
        <v>1728.4</v>
      </c>
      <c r="F50" s="131"/>
      <c r="G50" s="87">
        <f t="shared" si="1"/>
        <v>0</v>
      </c>
      <c r="H50" s="131"/>
      <c r="I50" s="131"/>
      <c r="J50" s="131"/>
      <c r="K50" s="128">
        <v>0.0</v>
      </c>
      <c r="L50" s="124">
        <f t="shared" si="2"/>
        <v>0</v>
      </c>
      <c r="M50" s="87">
        <f t="shared" si="3"/>
        <v>0</v>
      </c>
      <c r="N50" s="87">
        <f t="shared" si="4"/>
        <v>0</v>
      </c>
      <c r="O50" s="87">
        <f>'Dala Sales &amp; Deliveries'!L13</f>
        <v>40</v>
      </c>
      <c r="P50" s="87">
        <f t="shared" si="5"/>
        <v>69136</v>
      </c>
      <c r="Q50" s="87">
        <f>'External Delivery Fulfillment'!L13</f>
        <v>0</v>
      </c>
      <c r="R50" s="87">
        <f t="shared" si="6"/>
        <v>0</v>
      </c>
      <c r="S50" s="87">
        <f>'Forwarding From Client'!L13</f>
        <v>0</v>
      </c>
      <c r="T50" s="87">
        <f t="shared" si="7"/>
        <v>0</v>
      </c>
      <c r="U50" s="87">
        <f>'Dala Restocking'!L13</f>
        <v>40</v>
      </c>
      <c r="V50" s="87">
        <f t="shared" si="8"/>
        <v>22175.68536</v>
      </c>
      <c r="W50" s="87">
        <f>'Client Restocking'!L13</f>
        <v>0</v>
      </c>
    </row>
    <row r="51">
      <c r="B51" s="132"/>
      <c r="C51" s="131"/>
      <c r="D51" s="131"/>
      <c r="E51" s="131"/>
      <c r="F51" s="131"/>
      <c r="G51" s="87">
        <f t="shared" si="1"/>
        <v>0</v>
      </c>
      <c r="H51" s="131"/>
      <c r="I51" s="131"/>
      <c r="J51" s="131"/>
      <c r="K51" s="131"/>
      <c r="L51" s="124">
        <f t="shared" si="2"/>
        <v>0</v>
      </c>
      <c r="M51" s="87">
        <f t="shared" si="3"/>
        <v>0</v>
      </c>
      <c r="N51" s="87">
        <f t="shared" si="4"/>
        <v>0</v>
      </c>
      <c r="O51" s="87">
        <f>'Dala Sales &amp; Deliveries'!L14</f>
        <v>0</v>
      </c>
      <c r="P51" s="87">
        <f t="shared" si="5"/>
        <v>0</v>
      </c>
      <c r="Q51" s="87">
        <f>'External Delivery Fulfillment'!L14</f>
        <v>0</v>
      </c>
      <c r="R51" s="87">
        <f t="shared" si="6"/>
        <v>0</v>
      </c>
      <c r="S51" s="87">
        <f>'Forwarding From Client'!L14</f>
        <v>0</v>
      </c>
      <c r="T51" s="87">
        <f t="shared" si="7"/>
        <v>0</v>
      </c>
      <c r="U51" s="87">
        <f>'Dala Restocking'!L14</f>
        <v>0</v>
      </c>
      <c r="V51" s="87">
        <f t="shared" si="8"/>
        <v>0</v>
      </c>
      <c r="W51" s="87">
        <f>'Client Restocking'!L14</f>
        <v>0</v>
      </c>
    </row>
    <row r="52">
      <c r="B52" s="132"/>
      <c r="C52" s="131"/>
      <c r="D52" s="131"/>
      <c r="E52" s="131"/>
      <c r="F52" s="131"/>
      <c r="G52" s="87">
        <f t="shared" si="1"/>
        <v>0</v>
      </c>
      <c r="H52" s="131"/>
      <c r="I52" s="131"/>
      <c r="J52" s="131"/>
      <c r="K52" s="131"/>
      <c r="L52" s="124">
        <f t="shared" si="2"/>
        <v>0</v>
      </c>
      <c r="M52" s="87">
        <f t="shared" si="3"/>
        <v>0</v>
      </c>
      <c r="N52" s="87">
        <f t="shared" si="4"/>
        <v>0</v>
      </c>
      <c r="O52" s="87">
        <f>'Dala Sales &amp; Deliveries'!L15</f>
        <v>0</v>
      </c>
      <c r="P52" s="87">
        <f t="shared" si="5"/>
        <v>0</v>
      </c>
      <c r="Q52" s="87">
        <f>'External Delivery Fulfillment'!L15</f>
        <v>0</v>
      </c>
      <c r="R52" s="87">
        <f t="shared" si="6"/>
        <v>0</v>
      </c>
      <c r="S52" s="87">
        <f>'Forwarding From Client'!L15</f>
        <v>0</v>
      </c>
      <c r="T52" s="87">
        <f t="shared" si="7"/>
        <v>0</v>
      </c>
      <c r="U52" s="87">
        <f>'Dala Restocking'!L15</f>
        <v>0</v>
      </c>
      <c r="V52" s="87">
        <f t="shared" si="8"/>
        <v>0</v>
      </c>
      <c r="W52" s="87">
        <f>'Client Restocking'!L15</f>
        <v>0</v>
      </c>
    </row>
    <row r="53">
      <c r="B53" s="132"/>
      <c r="C53" s="131"/>
      <c r="D53" s="131"/>
      <c r="E53" s="131"/>
      <c r="F53" s="131"/>
      <c r="G53" s="87">
        <f t="shared" si="1"/>
        <v>0</v>
      </c>
      <c r="H53" s="131"/>
      <c r="I53" s="131"/>
      <c r="J53" s="131"/>
      <c r="K53" s="131"/>
      <c r="L53" s="124">
        <f t="shared" si="2"/>
        <v>0</v>
      </c>
      <c r="M53" s="87">
        <f t="shared" si="3"/>
        <v>0</v>
      </c>
      <c r="N53" s="87">
        <f t="shared" si="4"/>
        <v>0</v>
      </c>
      <c r="O53" s="87" t="str">
        <f>'Dala Sales &amp; Deliveries'!L16</f>
        <v/>
      </c>
      <c r="P53" s="87">
        <f t="shared" si="5"/>
        <v>0</v>
      </c>
      <c r="Q53" s="87" t="str">
        <f>'External Delivery Fulfillment'!L16</f>
        <v/>
      </c>
      <c r="R53" s="87">
        <f t="shared" si="6"/>
        <v>0</v>
      </c>
      <c r="S53" s="87" t="str">
        <f>'Forwarding From Client'!L16</f>
        <v/>
      </c>
      <c r="T53" s="87">
        <f t="shared" si="7"/>
        <v>0</v>
      </c>
      <c r="U53" s="87" t="str">
        <f>'Dala Restocking'!L16</f>
        <v/>
      </c>
      <c r="V53" s="87">
        <f t="shared" si="8"/>
        <v>0</v>
      </c>
      <c r="W53" s="87" t="str">
        <f>'Client Restocking'!L16</f>
        <v/>
      </c>
    </row>
    <row r="54">
      <c r="B54" s="132"/>
      <c r="C54" s="131"/>
      <c r="D54" s="131"/>
      <c r="E54" s="131"/>
      <c r="F54" s="131"/>
      <c r="G54" s="87">
        <f t="shared" si="1"/>
        <v>0</v>
      </c>
      <c r="H54" s="131"/>
      <c r="I54" s="131"/>
      <c r="J54" s="131"/>
      <c r="K54" s="131"/>
      <c r="L54" s="124">
        <f t="shared" si="2"/>
        <v>0</v>
      </c>
      <c r="M54" s="87">
        <f t="shared" si="3"/>
        <v>0</v>
      </c>
      <c r="N54" s="87">
        <f t="shared" si="4"/>
        <v>0</v>
      </c>
      <c r="O54" s="87" t="str">
        <f>'Dala Sales &amp; Deliveries'!L17</f>
        <v/>
      </c>
      <c r="P54" s="87">
        <f t="shared" si="5"/>
        <v>0</v>
      </c>
      <c r="Q54" s="87" t="str">
        <f>'External Delivery Fulfillment'!L17</f>
        <v/>
      </c>
      <c r="R54" s="87">
        <f t="shared" si="6"/>
        <v>0</v>
      </c>
      <c r="S54" s="87" t="str">
        <f>'Forwarding From Client'!L17</f>
        <v/>
      </c>
      <c r="T54" s="87">
        <f t="shared" si="7"/>
        <v>0</v>
      </c>
      <c r="U54" s="87" t="str">
        <f>'Dala Restocking'!L17</f>
        <v/>
      </c>
      <c r="V54" s="87">
        <f t="shared" si="8"/>
        <v>0</v>
      </c>
      <c r="W54" s="87" t="str">
        <f>'Client Restocking'!L17</f>
        <v/>
      </c>
    </row>
    <row r="55">
      <c r="B55" s="132"/>
      <c r="C55" s="131"/>
      <c r="D55" s="131"/>
      <c r="E55" s="131"/>
      <c r="F55" s="131"/>
      <c r="G55" s="87">
        <f t="shared" si="1"/>
        <v>0</v>
      </c>
      <c r="H55" s="131"/>
      <c r="I55" s="131"/>
      <c r="J55" s="131"/>
      <c r="K55" s="131"/>
      <c r="L55" s="124">
        <f t="shared" si="2"/>
        <v>0</v>
      </c>
      <c r="M55" s="87">
        <f t="shared" si="3"/>
        <v>0</v>
      </c>
      <c r="N55" s="87">
        <f t="shared" si="4"/>
        <v>0</v>
      </c>
      <c r="O55" s="87">
        <f>'Dala Sales &amp; Deliveries'!L18</f>
        <v>0</v>
      </c>
      <c r="P55" s="87">
        <f t="shared" si="5"/>
        <v>0</v>
      </c>
      <c r="Q55" s="87">
        <f>'External Delivery Fulfillment'!L18</f>
        <v>0</v>
      </c>
      <c r="R55" s="87">
        <f t="shared" si="6"/>
        <v>0</v>
      </c>
      <c r="S55" s="87" t="str">
        <f>'Forwarding From Client'!L18</f>
        <v/>
      </c>
      <c r="T55" s="87">
        <f t="shared" si="7"/>
        <v>0</v>
      </c>
      <c r="U55" s="87">
        <f>'Dala Restocking'!L18</f>
        <v>0</v>
      </c>
      <c r="V55" s="87">
        <f t="shared" si="8"/>
        <v>0</v>
      </c>
      <c r="W55" s="87" t="str">
        <f>'Client Restocking'!L18</f>
        <v/>
      </c>
    </row>
    <row r="56">
      <c r="B56" s="132"/>
      <c r="C56" s="131"/>
      <c r="D56" s="131"/>
      <c r="E56" s="131"/>
      <c r="F56" s="131"/>
      <c r="G56" s="87">
        <f t="shared" si="1"/>
        <v>0</v>
      </c>
      <c r="H56" s="131"/>
      <c r="I56" s="131"/>
      <c r="J56" s="131"/>
      <c r="K56" s="131"/>
      <c r="L56" s="124">
        <f t="shared" si="2"/>
        <v>0</v>
      </c>
      <c r="M56" s="87">
        <f t="shared" si="3"/>
        <v>0</v>
      </c>
      <c r="N56" s="87">
        <f t="shared" si="4"/>
        <v>0</v>
      </c>
      <c r="O56" s="87" t="str">
        <f>'Dala Sales &amp; Deliveries'!L19</f>
        <v/>
      </c>
      <c r="P56" s="87">
        <f t="shared" si="5"/>
        <v>0</v>
      </c>
      <c r="Q56" s="87" t="str">
        <f>'External Delivery Fulfillment'!L19</f>
        <v/>
      </c>
      <c r="R56" s="87">
        <f t="shared" si="6"/>
        <v>0</v>
      </c>
      <c r="S56" s="87" t="str">
        <f>'Forwarding From Client'!L19</f>
        <v/>
      </c>
      <c r="T56" s="87">
        <f t="shared" si="7"/>
        <v>0</v>
      </c>
      <c r="U56" s="87" t="str">
        <f>'Dala Restocking'!L19</f>
        <v/>
      </c>
      <c r="V56" s="87">
        <f t="shared" si="8"/>
        <v>0</v>
      </c>
      <c r="W56" s="87" t="str">
        <f>'Client Restocking'!L19</f>
        <v/>
      </c>
    </row>
    <row r="57">
      <c r="B57" s="132"/>
      <c r="C57" s="131"/>
      <c r="D57" s="131"/>
      <c r="E57" s="131"/>
      <c r="F57" s="131"/>
      <c r="G57" s="87">
        <f t="shared" si="1"/>
        <v>0</v>
      </c>
      <c r="H57" s="131"/>
      <c r="I57" s="131"/>
      <c r="J57" s="131"/>
      <c r="K57" s="131"/>
      <c r="L57" s="124">
        <f t="shared" si="2"/>
        <v>0</v>
      </c>
      <c r="M57" s="87">
        <f t="shared" si="3"/>
        <v>0</v>
      </c>
      <c r="N57" s="87">
        <f t="shared" si="4"/>
        <v>0</v>
      </c>
      <c r="O57" s="87" t="str">
        <f>'Dala Sales &amp; Deliveries'!L20</f>
        <v/>
      </c>
      <c r="P57" s="87">
        <f t="shared" si="5"/>
        <v>0</v>
      </c>
      <c r="Q57" s="87" t="str">
        <f>'External Delivery Fulfillment'!L20</f>
        <v/>
      </c>
      <c r="R57" s="87">
        <f t="shared" si="6"/>
        <v>0</v>
      </c>
      <c r="S57" s="87" t="str">
        <f>'Forwarding From Client'!L20</f>
        <v/>
      </c>
      <c r="T57" s="87">
        <f t="shared" si="7"/>
        <v>0</v>
      </c>
      <c r="U57" s="87" t="str">
        <f>'Dala Restocking'!L20</f>
        <v/>
      </c>
      <c r="V57" s="87">
        <f t="shared" si="8"/>
        <v>0</v>
      </c>
      <c r="W57" s="87" t="str">
        <f>'Client Restocking'!L20</f>
        <v/>
      </c>
    </row>
    <row r="58">
      <c r="B58" s="132"/>
      <c r="C58" s="131"/>
      <c r="D58" s="131"/>
      <c r="E58" s="131"/>
      <c r="F58" s="131"/>
      <c r="G58" s="87">
        <f t="shared" si="1"/>
        <v>0</v>
      </c>
      <c r="H58" s="131"/>
      <c r="I58" s="131"/>
      <c r="J58" s="131"/>
      <c r="K58" s="131"/>
      <c r="L58" s="124">
        <f t="shared" si="2"/>
        <v>0</v>
      </c>
      <c r="M58" s="87">
        <f t="shared" si="3"/>
        <v>0</v>
      </c>
      <c r="N58" s="87">
        <f t="shared" si="4"/>
        <v>0</v>
      </c>
      <c r="O58" s="87">
        <f>'Dala Sales &amp; Deliveries'!L21</f>
        <v>0</v>
      </c>
      <c r="P58" s="87">
        <f t="shared" si="5"/>
        <v>0</v>
      </c>
      <c r="Q58" s="87">
        <f>'External Delivery Fulfillment'!L21</f>
        <v>0</v>
      </c>
      <c r="R58" s="87">
        <f t="shared" si="6"/>
        <v>0</v>
      </c>
      <c r="S58" s="87" t="str">
        <f>'Forwarding From Client'!L21</f>
        <v/>
      </c>
      <c r="T58" s="87">
        <f t="shared" si="7"/>
        <v>0</v>
      </c>
      <c r="U58" s="87">
        <f>'Dala Restocking'!L21</f>
        <v>0</v>
      </c>
      <c r="V58" s="87">
        <f t="shared" si="8"/>
        <v>0</v>
      </c>
      <c r="W58" s="87" t="str">
        <f>'Client Restocking'!L21</f>
        <v/>
      </c>
    </row>
    <row r="59">
      <c r="B59" s="132"/>
      <c r="C59" s="131"/>
      <c r="D59" s="131"/>
      <c r="E59" s="131"/>
      <c r="F59" s="131"/>
      <c r="G59" s="87">
        <f t="shared" si="1"/>
        <v>0</v>
      </c>
      <c r="H59" s="131"/>
      <c r="I59" s="131"/>
      <c r="J59" s="131"/>
      <c r="K59" s="131"/>
      <c r="L59" s="124">
        <f t="shared" si="2"/>
        <v>0</v>
      </c>
      <c r="M59" s="87">
        <f t="shared" si="3"/>
        <v>0</v>
      </c>
      <c r="N59" s="87">
        <f t="shared" si="4"/>
        <v>0</v>
      </c>
      <c r="O59" s="87" t="str">
        <f>'Dala Sales &amp; Deliveries'!L22</f>
        <v/>
      </c>
      <c r="P59" s="87">
        <f t="shared" si="5"/>
        <v>0</v>
      </c>
      <c r="Q59" s="87" t="str">
        <f>'External Delivery Fulfillment'!L22</f>
        <v/>
      </c>
      <c r="R59" s="87">
        <f t="shared" si="6"/>
        <v>0</v>
      </c>
      <c r="S59" s="87" t="str">
        <f>'Forwarding From Client'!L22</f>
        <v/>
      </c>
      <c r="T59" s="87">
        <f t="shared" si="7"/>
        <v>0</v>
      </c>
      <c r="U59" s="87" t="str">
        <f>'Dala Restocking'!L22</f>
        <v/>
      </c>
      <c r="V59" s="87">
        <f t="shared" si="8"/>
        <v>0</v>
      </c>
      <c r="W59" s="87" t="str">
        <f>'Client Restocking'!L22</f>
        <v/>
      </c>
    </row>
    <row r="60">
      <c r="B60" s="132"/>
      <c r="C60" s="131"/>
      <c r="D60" s="131"/>
      <c r="E60" s="131"/>
      <c r="F60" s="131"/>
      <c r="G60" s="87">
        <f t="shared" si="1"/>
        <v>0</v>
      </c>
      <c r="H60" s="131"/>
      <c r="I60" s="131"/>
      <c r="J60" s="131"/>
      <c r="K60" s="131"/>
      <c r="L60" s="124">
        <f t="shared" si="2"/>
        <v>0</v>
      </c>
      <c r="M60" s="87">
        <f t="shared" si="3"/>
        <v>0</v>
      </c>
      <c r="N60" s="87">
        <f t="shared" si="4"/>
        <v>0</v>
      </c>
      <c r="O60" s="87" t="str">
        <f>'Dala Sales &amp; Deliveries'!L23</f>
        <v/>
      </c>
      <c r="P60" s="87">
        <f t="shared" si="5"/>
        <v>0</v>
      </c>
      <c r="Q60" s="87" t="str">
        <f>'External Delivery Fulfillment'!L23</f>
        <v/>
      </c>
      <c r="R60" s="87">
        <f t="shared" si="6"/>
        <v>0</v>
      </c>
      <c r="S60" s="87" t="str">
        <f>'Forwarding From Client'!L23</f>
        <v/>
      </c>
      <c r="T60" s="87">
        <f t="shared" si="7"/>
        <v>0</v>
      </c>
      <c r="U60" s="87" t="str">
        <f>'Dala Restocking'!L23</f>
        <v/>
      </c>
      <c r="V60" s="87">
        <f t="shared" si="8"/>
        <v>0</v>
      </c>
      <c r="W60" s="87" t="str">
        <f>'Client Restocking'!L23</f>
        <v/>
      </c>
    </row>
    <row r="61">
      <c r="B61" s="132"/>
      <c r="C61" s="131"/>
      <c r="D61" s="131"/>
      <c r="E61" s="131"/>
      <c r="F61" s="131"/>
      <c r="G61" s="87">
        <f t="shared" si="1"/>
        <v>0</v>
      </c>
      <c r="H61" s="131"/>
      <c r="I61" s="131"/>
      <c r="J61" s="131"/>
      <c r="K61" s="131"/>
      <c r="L61" s="124">
        <f t="shared" si="2"/>
        <v>0</v>
      </c>
      <c r="M61" s="87">
        <f t="shared" si="3"/>
        <v>0</v>
      </c>
      <c r="N61" s="87">
        <f t="shared" si="4"/>
        <v>0</v>
      </c>
      <c r="O61" s="87">
        <f>'Dala Sales &amp; Deliveries'!L24</f>
        <v>0</v>
      </c>
      <c r="P61" s="87">
        <f t="shared" si="5"/>
        <v>0</v>
      </c>
      <c r="Q61" s="87">
        <f>'External Delivery Fulfillment'!L24</f>
        <v>0</v>
      </c>
      <c r="R61" s="87">
        <f t="shared" si="6"/>
        <v>0</v>
      </c>
      <c r="S61" s="87" t="str">
        <f>'Forwarding From Client'!L24</f>
        <v/>
      </c>
      <c r="T61" s="87">
        <f t="shared" si="7"/>
        <v>0</v>
      </c>
      <c r="U61" s="87">
        <f>'Dala Restocking'!L24</f>
        <v>0</v>
      </c>
      <c r="V61" s="87">
        <f t="shared" si="8"/>
        <v>0</v>
      </c>
      <c r="W61" s="87" t="str">
        <f>'Client Restocking'!L24</f>
        <v/>
      </c>
    </row>
    <row r="62">
      <c r="B62" s="132"/>
      <c r="C62" s="131"/>
      <c r="D62" s="131"/>
      <c r="E62" s="131"/>
      <c r="F62" s="131"/>
      <c r="G62" s="87">
        <f t="shared" si="1"/>
        <v>0</v>
      </c>
      <c r="H62" s="131"/>
      <c r="I62" s="131"/>
      <c r="J62" s="131"/>
      <c r="K62" s="131"/>
      <c r="L62" s="124">
        <f t="shared" si="2"/>
        <v>0</v>
      </c>
      <c r="M62" s="87">
        <f t="shared" si="3"/>
        <v>0</v>
      </c>
      <c r="N62" s="87">
        <f t="shared" si="4"/>
        <v>0</v>
      </c>
      <c r="O62" s="87" t="str">
        <f>'Dala Sales &amp; Deliveries'!L25</f>
        <v/>
      </c>
      <c r="P62" s="87">
        <f t="shared" si="5"/>
        <v>0</v>
      </c>
      <c r="Q62" s="87" t="str">
        <f>'External Delivery Fulfillment'!L25</f>
        <v/>
      </c>
      <c r="R62" s="87">
        <f t="shared" si="6"/>
        <v>0</v>
      </c>
      <c r="S62" s="87" t="str">
        <f>'Forwarding From Client'!L25</f>
        <v/>
      </c>
      <c r="T62" s="87">
        <f t="shared" si="7"/>
        <v>0</v>
      </c>
      <c r="U62" s="87" t="str">
        <f>'Dala Restocking'!L25</f>
        <v/>
      </c>
      <c r="V62" s="87">
        <f t="shared" si="8"/>
        <v>0</v>
      </c>
      <c r="W62" s="87" t="str">
        <f>'Client Restocking'!L25</f>
        <v/>
      </c>
    </row>
    <row r="63">
      <c r="B63" s="132"/>
      <c r="C63" s="131"/>
      <c r="D63" s="131"/>
      <c r="E63" s="131"/>
      <c r="F63" s="131"/>
      <c r="G63" s="87">
        <f t="shared" si="1"/>
        <v>0</v>
      </c>
      <c r="H63" s="131"/>
      <c r="I63" s="131"/>
      <c r="J63" s="131"/>
      <c r="K63" s="131"/>
      <c r="L63" s="124">
        <f t="shared" si="2"/>
        <v>0</v>
      </c>
      <c r="M63" s="87">
        <f t="shared" si="3"/>
        <v>0</v>
      </c>
      <c r="N63" s="87">
        <f t="shared" si="4"/>
        <v>0</v>
      </c>
      <c r="O63" s="87" t="str">
        <f>'Dala Sales &amp; Deliveries'!L26</f>
        <v/>
      </c>
      <c r="P63" s="87">
        <f t="shared" si="5"/>
        <v>0</v>
      </c>
      <c r="Q63" s="87" t="str">
        <f>'External Delivery Fulfillment'!L26</f>
        <v/>
      </c>
      <c r="R63" s="87">
        <f t="shared" si="6"/>
        <v>0</v>
      </c>
      <c r="S63" s="87" t="str">
        <f>'Forwarding From Client'!L26</f>
        <v/>
      </c>
      <c r="T63" s="87">
        <f t="shared" si="7"/>
        <v>0</v>
      </c>
      <c r="U63" s="87" t="str">
        <f>'Dala Restocking'!L26</f>
        <v/>
      </c>
      <c r="V63" s="87">
        <f t="shared" si="8"/>
        <v>0</v>
      </c>
      <c r="W63" s="87" t="str">
        <f>'Client Restocking'!L26</f>
        <v/>
      </c>
    </row>
    <row r="64">
      <c r="B64" s="132"/>
      <c r="C64" s="131"/>
      <c r="D64" s="131"/>
      <c r="E64" s="131"/>
      <c r="F64" s="131"/>
      <c r="G64" s="87">
        <f t="shared" si="1"/>
        <v>0</v>
      </c>
      <c r="H64" s="131"/>
      <c r="I64" s="131"/>
      <c r="J64" s="131"/>
      <c r="K64" s="131"/>
      <c r="L64" s="124">
        <f t="shared" si="2"/>
        <v>0</v>
      </c>
      <c r="M64" s="87">
        <f t="shared" si="3"/>
        <v>0</v>
      </c>
      <c r="N64" s="87">
        <f t="shared" si="4"/>
        <v>0</v>
      </c>
      <c r="O64" s="87">
        <f>'Dala Sales &amp; Deliveries'!L27</f>
        <v>0</v>
      </c>
      <c r="P64" s="87">
        <f t="shared" si="5"/>
        <v>0</v>
      </c>
      <c r="Q64" s="87" t="str">
        <f>'External Delivery Fulfillment'!L27</f>
        <v/>
      </c>
      <c r="R64" s="87">
        <f t="shared" si="6"/>
        <v>0</v>
      </c>
      <c r="S64" s="87" t="str">
        <f>'Forwarding From Client'!L27</f>
        <v/>
      </c>
      <c r="T64" s="87">
        <f t="shared" si="7"/>
        <v>0</v>
      </c>
      <c r="U64" s="87">
        <f>'Dala Restocking'!L27</f>
        <v>0</v>
      </c>
      <c r="V64" s="87">
        <f t="shared" si="8"/>
        <v>0</v>
      </c>
      <c r="W64" s="87" t="str">
        <f>'Client Restocking'!L27</f>
        <v/>
      </c>
    </row>
    <row r="65">
      <c r="B65" s="132"/>
      <c r="C65" s="131"/>
      <c r="D65" s="131"/>
      <c r="E65" s="131"/>
      <c r="F65" s="131"/>
      <c r="G65" s="87">
        <f t="shared" si="1"/>
        <v>0</v>
      </c>
      <c r="H65" s="131"/>
      <c r="I65" s="131"/>
      <c r="J65" s="131"/>
      <c r="K65" s="131"/>
      <c r="L65" s="124">
        <f t="shared" si="2"/>
        <v>0</v>
      </c>
      <c r="M65" s="87">
        <f t="shared" si="3"/>
        <v>0</v>
      </c>
      <c r="N65" s="87">
        <f t="shared" si="4"/>
        <v>0</v>
      </c>
      <c r="O65" s="87" t="str">
        <f>'Dala Sales &amp; Deliveries'!L28</f>
        <v/>
      </c>
      <c r="P65" s="87">
        <f t="shared" si="5"/>
        <v>0</v>
      </c>
      <c r="Q65" s="87" t="str">
        <f>'External Delivery Fulfillment'!L28</f>
        <v/>
      </c>
      <c r="R65" s="87">
        <f t="shared" si="6"/>
        <v>0</v>
      </c>
      <c r="S65" s="87" t="str">
        <f>'Forwarding From Client'!L28</f>
        <v/>
      </c>
      <c r="T65" s="87">
        <f t="shared" si="7"/>
        <v>0</v>
      </c>
      <c r="U65" s="87" t="str">
        <f>'Dala Restocking'!L28</f>
        <v/>
      </c>
      <c r="V65" s="87">
        <f t="shared" si="8"/>
        <v>0</v>
      </c>
      <c r="W65" s="87" t="str">
        <f>'Client Restocking'!L28</f>
        <v/>
      </c>
    </row>
    <row r="66">
      <c r="B66" s="132"/>
      <c r="C66" s="131"/>
      <c r="D66" s="131"/>
      <c r="E66" s="131"/>
      <c r="F66" s="131"/>
      <c r="G66" s="87">
        <f t="shared" si="1"/>
        <v>0</v>
      </c>
      <c r="H66" s="131"/>
      <c r="I66" s="131"/>
      <c r="J66" s="131"/>
      <c r="K66" s="131"/>
      <c r="L66" s="124">
        <f t="shared" si="2"/>
        <v>0</v>
      </c>
      <c r="M66" s="87">
        <f t="shared" si="3"/>
        <v>0</v>
      </c>
      <c r="N66" s="87">
        <f t="shared" si="4"/>
        <v>0</v>
      </c>
      <c r="O66" s="87" t="str">
        <f>'Dala Sales &amp; Deliveries'!L29</f>
        <v/>
      </c>
      <c r="P66" s="87">
        <f t="shared" si="5"/>
        <v>0</v>
      </c>
      <c r="Q66" s="87" t="str">
        <f>'External Delivery Fulfillment'!L29</f>
        <v/>
      </c>
      <c r="R66" s="87">
        <f t="shared" si="6"/>
        <v>0</v>
      </c>
      <c r="S66" s="87" t="str">
        <f>'Forwarding From Client'!L29</f>
        <v/>
      </c>
      <c r="T66" s="87">
        <f t="shared" si="7"/>
        <v>0</v>
      </c>
      <c r="U66" s="87" t="str">
        <f>'Dala Restocking'!L29</f>
        <v/>
      </c>
      <c r="V66" s="87">
        <f t="shared" si="8"/>
        <v>0</v>
      </c>
      <c r="W66" s="87" t="str">
        <f>'Client Restocking'!L29</f>
        <v/>
      </c>
    </row>
    <row r="67">
      <c r="B67" s="132"/>
      <c r="C67" s="131"/>
      <c r="D67" s="131"/>
      <c r="E67" s="131"/>
      <c r="F67" s="131"/>
      <c r="G67" s="87">
        <f t="shared" si="1"/>
        <v>0</v>
      </c>
      <c r="H67" s="131"/>
      <c r="I67" s="131"/>
      <c r="J67" s="131"/>
      <c r="K67" s="131"/>
      <c r="L67" s="124">
        <f t="shared" si="2"/>
        <v>0</v>
      </c>
      <c r="M67" s="87">
        <f t="shared" si="3"/>
        <v>0</v>
      </c>
      <c r="N67" s="87">
        <f t="shared" si="4"/>
        <v>0</v>
      </c>
      <c r="O67" s="87"/>
      <c r="P67" s="87">
        <f t="shared" si="5"/>
        <v>0</v>
      </c>
      <c r="Q67" s="87"/>
      <c r="R67" s="87">
        <f t="shared" si="6"/>
        <v>0</v>
      </c>
      <c r="S67" s="87" t="str">
        <f>'Forwarding From Client'!L30</f>
        <v/>
      </c>
      <c r="T67" s="87">
        <f t="shared" si="7"/>
        <v>0</v>
      </c>
      <c r="U67" s="87"/>
      <c r="V67" s="87">
        <f t="shared" si="8"/>
        <v>0</v>
      </c>
      <c r="W67" s="87"/>
    </row>
    <row r="68">
      <c r="B68" s="93" t="s">
        <v>290</v>
      </c>
      <c r="C68" s="93"/>
      <c r="D68" s="93"/>
      <c r="E68" s="88"/>
      <c r="F68" s="133">
        <f t="shared" ref="F68:W68" si="9">sum(F39:F67)</f>
        <v>0</v>
      </c>
      <c r="G68" s="133">
        <f t="shared" si="9"/>
        <v>0</v>
      </c>
      <c r="H68" s="133">
        <f t="shared" si="9"/>
        <v>0</v>
      </c>
      <c r="I68" s="133">
        <f t="shared" si="9"/>
        <v>0</v>
      </c>
      <c r="J68" s="133">
        <f t="shared" si="9"/>
        <v>0</v>
      </c>
      <c r="K68" s="133">
        <f t="shared" si="9"/>
        <v>67.5</v>
      </c>
      <c r="L68" s="133">
        <f t="shared" si="9"/>
        <v>3</v>
      </c>
      <c r="M68" s="133">
        <f t="shared" si="9"/>
        <v>64.5</v>
      </c>
      <c r="N68" s="133">
        <f t="shared" si="9"/>
        <v>2292043.545</v>
      </c>
      <c r="O68" s="133">
        <f t="shared" si="9"/>
        <v>372</v>
      </c>
      <c r="P68" s="133">
        <f t="shared" si="9"/>
        <v>729206.19</v>
      </c>
      <c r="Q68" s="133">
        <f t="shared" si="9"/>
        <v>0</v>
      </c>
      <c r="R68" s="87">
        <f t="shared" si="9"/>
        <v>0</v>
      </c>
      <c r="S68" s="87">
        <f t="shared" si="9"/>
        <v>0</v>
      </c>
      <c r="T68" s="87">
        <f t="shared" si="9"/>
        <v>0</v>
      </c>
      <c r="U68" s="87">
        <f t="shared" si="9"/>
        <v>375</v>
      </c>
      <c r="V68" s="87">
        <f t="shared" si="9"/>
        <v>240477.0597</v>
      </c>
      <c r="W68" s="87">
        <f t="shared" si="9"/>
        <v>0</v>
      </c>
    </row>
    <row r="69">
      <c r="C69" s="6" t="s">
        <v>291</v>
      </c>
      <c r="D69" s="6" t="s">
        <v>291</v>
      </c>
      <c r="E69" s="6" t="s">
        <v>291</v>
      </c>
      <c r="F69" s="6" t="s">
        <v>291</v>
      </c>
      <c r="G69" s="6" t="s">
        <v>291</v>
      </c>
      <c r="H69" s="6" t="s">
        <v>291</v>
      </c>
      <c r="I69" s="6" t="s">
        <v>291</v>
      </c>
      <c r="J69" s="6" t="s">
        <v>291</v>
      </c>
      <c r="K69" s="6" t="s">
        <v>291</v>
      </c>
      <c r="L69" s="6" t="s">
        <v>291</v>
      </c>
      <c r="M69" s="6" t="s">
        <v>291</v>
      </c>
      <c r="N69" s="6" t="s">
        <v>291</v>
      </c>
      <c r="O69" s="6" t="s">
        <v>291</v>
      </c>
      <c r="P69" s="6" t="s">
        <v>291</v>
      </c>
      <c r="Q69" s="6" t="s">
        <v>291</v>
      </c>
      <c r="R69" s="6" t="s">
        <v>291</v>
      </c>
      <c r="S69" s="6" t="s">
        <v>291</v>
      </c>
      <c r="T69" s="6" t="s">
        <v>291</v>
      </c>
      <c r="U69" s="6" t="s">
        <v>291</v>
      </c>
      <c r="V69" s="6" t="s">
        <v>291</v>
      </c>
      <c r="W69" s="6" t="s">
        <v>291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94"/>
      <c r="B1" s="86" t="s">
        <v>232</v>
      </c>
      <c r="C1" s="86" t="s">
        <v>227</v>
      </c>
      <c r="D1" s="86" t="s">
        <v>233</v>
      </c>
      <c r="E1" s="121" t="s">
        <v>234</v>
      </c>
      <c r="F1" s="95"/>
    </row>
    <row r="2">
      <c r="A2" s="96" t="s">
        <v>235</v>
      </c>
      <c r="B2" s="97" t="s">
        <v>225</v>
      </c>
      <c r="C2" s="98"/>
      <c r="D2" s="98"/>
      <c r="E2" s="99">
        <f>'Dala Sales &amp; Deliveries'!I1+'External Delivery Fulfillment'!I1+'Forwarding From Client'!I1</f>
        <v>123</v>
      </c>
      <c r="F2" s="95"/>
    </row>
    <row r="3">
      <c r="A3" s="100"/>
      <c r="B3" s="97" t="s">
        <v>236</v>
      </c>
      <c r="C3" s="98"/>
      <c r="D3" s="98"/>
      <c r="E3" s="99">
        <f>'Raw Data'!AX3</f>
        <v>72</v>
      </c>
      <c r="F3" s="95"/>
    </row>
    <row r="4">
      <c r="B4" s="134" t="s">
        <v>237</v>
      </c>
      <c r="C4" s="95"/>
      <c r="D4" s="95"/>
      <c r="E4" s="102">
        <f>'Dala Sales &amp; Deliveries'!I3</f>
        <v>12906499.79</v>
      </c>
      <c r="F4" s="95"/>
    </row>
    <row r="5">
      <c r="B5" s="101" t="s">
        <v>238</v>
      </c>
      <c r="C5" s="95"/>
      <c r="D5" s="95"/>
      <c r="E5" s="102">
        <f>E4*1.075-E4</f>
        <v>967987.4843</v>
      </c>
      <c r="F5" s="95"/>
    </row>
    <row r="6">
      <c r="A6" s="103"/>
      <c r="B6" s="104" t="s">
        <v>239</v>
      </c>
      <c r="C6" s="105"/>
      <c r="D6" s="106"/>
      <c r="E6" s="107">
        <f>sum(E4:E5)</f>
        <v>13874487.27</v>
      </c>
      <c r="F6" s="95"/>
    </row>
    <row r="7">
      <c r="A7" s="96" t="s">
        <v>240</v>
      </c>
      <c r="B7" s="97" t="s">
        <v>241</v>
      </c>
      <c r="C7" s="98"/>
      <c r="D7" s="108"/>
      <c r="E7" s="135"/>
    </row>
    <row r="8">
      <c r="A8" s="100"/>
      <c r="B8" s="97" t="s">
        <v>247</v>
      </c>
      <c r="C8" s="136">
        <v>0.04</v>
      </c>
      <c r="D8" s="108"/>
      <c r="E8" s="114">
        <f>E7*(C8+100%)-E7</f>
        <v>0</v>
      </c>
      <c r="K8" s="84"/>
      <c r="L8" s="84"/>
      <c r="M8" s="84"/>
      <c r="N8" s="84"/>
    </row>
    <row r="9">
      <c r="A9" s="103"/>
      <c r="B9" s="104" t="s">
        <v>242</v>
      </c>
      <c r="C9" s="137">
        <v>0.07</v>
      </c>
      <c r="D9" s="106"/>
      <c r="E9" s="107">
        <f>E7*(C9+100%)-E7</f>
        <v>0</v>
      </c>
      <c r="K9" s="84"/>
      <c r="L9" s="84"/>
      <c r="M9" s="84"/>
      <c r="N9" s="84"/>
    </row>
    <row r="10">
      <c r="A10" s="96" t="s">
        <v>245</v>
      </c>
      <c r="B10" s="97" t="s">
        <v>246</v>
      </c>
      <c r="C10" s="138"/>
      <c r="D10" s="114">
        <v>350000.0</v>
      </c>
      <c r="E10" s="114">
        <f>C10*D10</f>
        <v>0</v>
      </c>
    </row>
    <row r="11">
      <c r="A11" s="100"/>
      <c r="B11" s="116" t="s">
        <v>292</v>
      </c>
      <c r="C11" s="98"/>
      <c r="D11" s="117"/>
      <c r="E11" s="114">
        <f>V67</f>
        <v>240477.0597</v>
      </c>
    </row>
    <row r="12">
      <c r="A12" s="100"/>
      <c r="B12" s="116" t="s">
        <v>262</v>
      </c>
      <c r="C12" s="98"/>
      <c r="D12" s="117"/>
      <c r="E12" s="114">
        <f>C24</f>
        <v>729206.19</v>
      </c>
    </row>
    <row r="13">
      <c r="A13" s="100"/>
      <c r="B13" s="97" t="s">
        <v>249</v>
      </c>
      <c r="C13" s="108"/>
      <c r="D13" s="108"/>
      <c r="E13" s="109">
        <v>0.0</v>
      </c>
    </row>
    <row r="14">
      <c r="A14" s="100"/>
      <c r="B14" s="97" t="s">
        <v>293</v>
      </c>
      <c r="C14" s="108"/>
      <c r="D14" s="108"/>
      <c r="E14" s="114">
        <f>C28</f>
        <v>0</v>
      </c>
    </row>
    <row r="15">
      <c r="A15" s="103"/>
      <c r="B15" s="104" t="s">
        <v>294</v>
      </c>
      <c r="C15" s="106"/>
      <c r="D15" s="106"/>
      <c r="E15" s="107">
        <f>sum(E10:E14)</f>
        <v>969683.2497</v>
      </c>
    </row>
    <row r="16">
      <c r="A16" s="120"/>
      <c r="B16" s="120"/>
      <c r="C16" s="120"/>
      <c r="D16" s="120"/>
      <c r="E16" s="120"/>
      <c r="H16" s="119"/>
      <c r="I16" s="119"/>
      <c r="J16" s="119"/>
      <c r="K16" s="119"/>
      <c r="L16" s="119"/>
      <c r="M16" s="119"/>
      <c r="N16" s="119"/>
      <c r="O16" s="119"/>
    </row>
    <row r="17">
      <c r="A17" s="1"/>
      <c r="B17" s="120"/>
      <c r="C17" s="120"/>
      <c r="D17" s="120"/>
      <c r="E17" s="120"/>
      <c r="H17" s="119"/>
      <c r="I17" s="119"/>
      <c r="J17" s="119"/>
      <c r="K17" s="119"/>
      <c r="L17" s="119"/>
      <c r="M17" s="119"/>
      <c r="N17" s="119"/>
      <c r="O17" s="119"/>
    </row>
    <row r="18">
      <c r="A18" s="1" t="s">
        <v>254</v>
      </c>
      <c r="B18" s="120"/>
      <c r="C18" s="120"/>
      <c r="D18" s="120"/>
      <c r="E18" s="120"/>
      <c r="H18" s="119"/>
      <c r="I18" s="119"/>
      <c r="J18" s="119"/>
      <c r="K18" s="119"/>
      <c r="L18" s="119"/>
      <c r="M18" s="119"/>
      <c r="N18" s="119"/>
      <c r="O18" s="119"/>
    </row>
    <row r="19">
      <c r="A19" s="120"/>
      <c r="B19" s="86" t="s">
        <v>255</v>
      </c>
      <c r="C19" s="121">
        <f>U67</f>
        <v>375</v>
      </c>
      <c r="D19" s="120"/>
      <c r="H19" s="139"/>
      <c r="I19" s="122"/>
      <c r="J19" s="122"/>
      <c r="K19" s="122"/>
      <c r="L19" s="122"/>
      <c r="M19" s="123"/>
      <c r="N19" s="119"/>
      <c r="O19" s="119"/>
    </row>
    <row r="20">
      <c r="A20" s="120"/>
      <c r="B20" s="86" t="s">
        <v>256</v>
      </c>
      <c r="C20" s="121">
        <f>V67</f>
        <v>240477.0597</v>
      </c>
      <c r="D20" s="120"/>
      <c r="H20" s="139"/>
      <c r="I20" s="122"/>
      <c r="J20" s="122"/>
      <c r="K20" s="122"/>
      <c r="L20" s="122"/>
      <c r="M20" s="123"/>
      <c r="N20" s="119"/>
      <c r="O20" s="119"/>
    </row>
    <row r="21">
      <c r="A21" s="120"/>
      <c r="B21" s="86" t="s">
        <v>257</v>
      </c>
      <c r="C21" s="121">
        <f>S67</f>
        <v>0</v>
      </c>
      <c r="D21" s="120"/>
      <c r="H21" s="139"/>
      <c r="I21" s="122"/>
      <c r="J21" s="122"/>
      <c r="K21" s="122"/>
      <c r="L21" s="122"/>
      <c r="M21" s="123"/>
      <c r="N21" s="119"/>
      <c r="O21" s="119"/>
    </row>
    <row r="22">
      <c r="A22" s="120"/>
      <c r="B22" s="86" t="s">
        <v>258</v>
      </c>
      <c r="C22" s="121">
        <f>T67</f>
        <v>0</v>
      </c>
      <c r="D22" s="120"/>
      <c r="H22" s="139"/>
      <c r="I22" s="122"/>
      <c r="J22" s="122"/>
      <c r="K22" s="122"/>
      <c r="L22" s="122"/>
      <c r="M22" s="123"/>
      <c r="N22" s="119"/>
      <c r="O22" s="119"/>
    </row>
    <row r="23">
      <c r="A23" s="120"/>
      <c r="B23" s="86" t="s">
        <v>259</v>
      </c>
      <c r="C23" s="121">
        <f>O67</f>
        <v>372</v>
      </c>
      <c r="D23" s="120"/>
      <c r="H23" s="139"/>
      <c r="I23" s="122"/>
      <c r="J23" s="122"/>
      <c r="K23" s="122"/>
      <c r="L23" s="122"/>
      <c r="M23" s="123"/>
      <c r="N23" s="119"/>
      <c r="O23" s="119"/>
    </row>
    <row r="24">
      <c r="A24" s="120"/>
      <c r="B24" s="86" t="s">
        <v>260</v>
      </c>
      <c r="C24" s="121">
        <f>P67</f>
        <v>729206.19</v>
      </c>
      <c r="D24" s="120"/>
      <c r="H24" s="139"/>
      <c r="I24" s="122"/>
      <c r="J24" s="122"/>
      <c r="K24" s="122"/>
      <c r="L24" s="122"/>
      <c r="M24" s="123"/>
      <c r="N24" s="119"/>
      <c r="O24" s="119"/>
    </row>
    <row r="25">
      <c r="A25" s="120"/>
      <c r="B25" s="86" t="s">
        <v>261</v>
      </c>
      <c r="C25" s="121">
        <f>Q67</f>
        <v>0</v>
      </c>
      <c r="D25" s="120"/>
      <c r="H25" s="139"/>
      <c r="I25" s="122"/>
      <c r="J25" s="122"/>
      <c r="K25" s="122"/>
      <c r="L25" s="122"/>
      <c r="M25" s="123"/>
      <c r="N25" s="119"/>
      <c r="O25" s="119"/>
    </row>
    <row r="26">
      <c r="A26" s="120"/>
      <c r="B26" s="86" t="s">
        <v>262</v>
      </c>
      <c r="C26" s="121">
        <f>R67</f>
        <v>0</v>
      </c>
      <c r="D26" s="120"/>
    </row>
    <row r="27">
      <c r="A27" s="120"/>
      <c r="B27" s="86" t="s">
        <v>263</v>
      </c>
      <c r="C27" s="121">
        <f>F67</f>
        <v>0</v>
      </c>
      <c r="D27" s="120"/>
    </row>
    <row r="28">
      <c r="A28" s="120"/>
      <c r="B28" s="86" t="s">
        <v>264</v>
      </c>
      <c r="C28" s="121">
        <f>G67</f>
        <v>0</v>
      </c>
      <c r="D28" s="120"/>
    </row>
    <row r="29">
      <c r="A29" s="120"/>
      <c r="B29" s="86" t="s">
        <v>265</v>
      </c>
      <c r="C29" s="121">
        <f>I67</f>
        <v>0</v>
      </c>
      <c r="D29" s="120"/>
    </row>
    <row r="30">
      <c r="A30" s="120"/>
      <c r="B30" s="86" t="s">
        <v>295</v>
      </c>
      <c r="C30" s="121">
        <f>J67</f>
        <v>0</v>
      </c>
      <c r="D30" s="120"/>
    </row>
    <row r="31">
      <c r="A31" s="120"/>
      <c r="B31" s="86" t="s">
        <v>267</v>
      </c>
      <c r="C31" s="121">
        <f>L67</f>
        <v>3</v>
      </c>
      <c r="D31" s="120"/>
    </row>
    <row r="32">
      <c r="A32" s="120"/>
      <c r="B32" s="86" t="s">
        <v>268</v>
      </c>
      <c r="C32" s="121">
        <f>K67</f>
        <v>67.5</v>
      </c>
      <c r="D32" s="120"/>
    </row>
    <row r="33">
      <c r="A33" s="120"/>
      <c r="B33" s="86" t="s">
        <v>269</v>
      </c>
      <c r="C33" s="121">
        <v>0.0</v>
      </c>
      <c r="D33" s="120"/>
    </row>
    <row r="34">
      <c r="A34" s="120"/>
      <c r="B34" s="86" t="s">
        <v>270</v>
      </c>
      <c r="C34" s="121">
        <v>0.0</v>
      </c>
      <c r="D34" s="120"/>
    </row>
    <row r="37">
      <c r="B37" s="86" t="s">
        <v>271</v>
      </c>
      <c r="C37" s="86" t="s">
        <v>272</v>
      </c>
      <c r="D37" s="86" t="s">
        <v>273</v>
      </c>
      <c r="E37" s="86" t="s">
        <v>274</v>
      </c>
      <c r="F37" s="93" t="s">
        <v>275</v>
      </c>
      <c r="G37" s="93" t="s">
        <v>276</v>
      </c>
      <c r="H37" s="93" t="s">
        <v>277</v>
      </c>
      <c r="I37" s="93" t="s">
        <v>278</v>
      </c>
      <c r="J37" s="93" t="s">
        <v>279</v>
      </c>
      <c r="K37" s="93" t="s">
        <v>280</v>
      </c>
      <c r="L37" s="93" t="s">
        <v>267</v>
      </c>
      <c r="M37" s="93" t="s">
        <v>269</v>
      </c>
      <c r="N37" s="93" t="s">
        <v>281</v>
      </c>
      <c r="O37" s="93" t="s">
        <v>259</v>
      </c>
      <c r="P37" s="93" t="s">
        <v>283</v>
      </c>
      <c r="Q37" s="93" t="s">
        <v>284</v>
      </c>
      <c r="R37" s="93" t="s">
        <v>285</v>
      </c>
      <c r="S37" s="93" t="s">
        <v>286</v>
      </c>
      <c r="T37" s="93" t="s">
        <v>258</v>
      </c>
      <c r="U37" s="93" t="s">
        <v>287</v>
      </c>
      <c r="V37" s="93" t="s">
        <v>288</v>
      </c>
      <c r="W37" s="93" t="s">
        <v>289</v>
      </c>
    </row>
    <row r="38">
      <c r="B38" s="87" t="str">
        <f>'Internal Summary'!B39</f>
        <v>1 ltr High Protien Sweetend Greek Yoghurt (6x)</v>
      </c>
      <c r="C38" s="87">
        <f>'Internal Summary'!C39</f>
        <v>42241.3</v>
      </c>
      <c r="D38" s="87">
        <f>'Internal Summary'!D39</f>
        <v>718.1021</v>
      </c>
      <c r="E38" s="87">
        <f>'Internal Summary'!E39</f>
        <v>2238.79</v>
      </c>
      <c r="F38" s="127"/>
      <c r="G38" s="87">
        <f t="shared" ref="G38:G66" si="1">F38*C38</f>
        <v>0</v>
      </c>
      <c r="H38" s="127"/>
      <c r="I38" s="127"/>
      <c r="J38" s="127"/>
      <c r="K38" s="128">
        <v>1.0</v>
      </c>
      <c r="L38" s="133">
        <f t="shared" ref="L38:L66" si="2">H38+U38+W38-O38-Q38-I38-J38</f>
        <v>1</v>
      </c>
      <c r="M38" s="87">
        <f t="shared" ref="M38:M66" si="3">K38-L38</f>
        <v>0</v>
      </c>
      <c r="N38" s="87">
        <f>M38*C38</f>
        <v>0</v>
      </c>
      <c r="O38" s="87">
        <f>'Dala Sales &amp; Deliveries'!L2</f>
        <v>13</v>
      </c>
      <c r="P38" s="87">
        <f t="shared" ref="P38:P66" si="4">O38*E38</f>
        <v>29104.27</v>
      </c>
      <c r="Q38" s="87">
        <f>'External Delivery Fulfillment'!L2</f>
        <v>0</v>
      </c>
      <c r="R38" s="87">
        <f t="shared" ref="R38:R66" si="5">Q38*E38</f>
        <v>0</v>
      </c>
      <c r="S38" s="87">
        <f>'Forwarding From Client'!L2</f>
        <v>0</v>
      </c>
      <c r="T38" s="87">
        <f t="shared" ref="T38:T66" si="6">S38*E38</f>
        <v>0</v>
      </c>
      <c r="U38" s="87">
        <f>'Dala Restocking'!L2</f>
        <v>14</v>
      </c>
      <c r="V38" s="87">
        <f t="shared" ref="V38:V66" si="7">U38*D38</f>
        <v>10053.4294</v>
      </c>
      <c r="W38" s="87">
        <f>'Client Restocking'!L2</f>
        <v>0</v>
      </c>
    </row>
    <row r="39">
      <c r="B39" s="87" t="str">
        <f>'Internal Summary'!B40</f>
        <v>1 ltr High Protien Unsweetend Greek Yoghurt (6x)</v>
      </c>
      <c r="C39" s="87">
        <f>'Internal Summary'!C40</f>
        <v>42241.3</v>
      </c>
      <c r="D39" s="87">
        <f>'Internal Summary'!D40</f>
        <v>718.1021</v>
      </c>
      <c r="E39" s="87">
        <f>'Internal Summary'!E40</f>
        <v>2238.79</v>
      </c>
      <c r="F39" s="131"/>
      <c r="G39" s="87">
        <f t="shared" si="1"/>
        <v>0</v>
      </c>
      <c r="H39" s="131"/>
      <c r="I39" s="127"/>
      <c r="J39" s="131"/>
      <c r="K39" s="128">
        <v>1.0</v>
      </c>
      <c r="L39" s="133">
        <f t="shared" si="2"/>
        <v>2</v>
      </c>
      <c r="M39" s="87">
        <f t="shared" si="3"/>
        <v>-1</v>
      </c>
      <c r="N39" s="87"/>
      <c r="O39" s="87">
        <f>'Dala Sales &amp; Deliveries'!L3</f>
        <v>8</v>
      </c>
      <c r="P39" s="87">
        <f t="shared" si="4"/>
        <v>17910.32</v>
      </c>
      <c r="Q39" s="87">
        <f>'External Delivery Fulfillment'!L3</f>
        <v>0</v>
      </c>
      <c r="R39" s="87">
        <f t="shared" si="5"/>
        <v>0</v>
      </c>
      <c r="S39" s="87">
        <f>'Forwarding From Client'!L3</f>
        <v>0</v>
      </c>
      <c r="T39" s="87">
        <f t="shared" si="6"/>
        <v>0</v>
      </c>
      <c r="U39" s="87">
        <f>'Dala Restocking'!L3</f>
        <v>10</v>
      </c>
      <c r="V39" s="87">
        <f t="shared" si="7"/>
        <v>7181.021</v>
      </c>
      <c r="W39" s="87">
        <f>'Client Restocking'!L3</f>
        <v>0</v>
      </c>
    </row>
    <row r="40">
      <c r="B40" s="87" t="str">
        <f>'Internal Summary'!B41</f>
        <v>1 ltr Low Fat Sweetend Greek Yoghurt (6x)</v>
      </c>
      <c r="C40" s="87">
        <f>'Internal Summary'!C41</f>
        <v>38813.85</v>
      </c>
      <c r="D40" s="87">
        <f>'Internal Summary'!D41</f>
        <v>659.83545</v>
      </c>
      <c r="E40" s="87">
        <f>'Internal Summary'!E41</f>
        <v>2057.13</v>
      </c>
      <c r="F40" s="131"/>
      <c r="G40" s="87">
        <f t="shared" si="1"/>
        <v>0</v>
      </c>
      <c r="H40" s="131"/>
      <c r="I40" s="127"/>
      <c r="J40" s="131"/>
      <c r="K40" s="128">
        <v>0.0</v>
      </c>
      <c r="L40" s="133">
        <f t="shared" si="2"/>
        <v>-1.5</v>
      </c>
      <c r="M40" s="87">
        <f t="shared" si="3"/>
        <v>1.5</v>
      </c>
      <c r="N40" s="87"/>
      <c r="O40" s="87">
        <f>'Dala Sales &amp; Deliveries'!L4</f>
        <v>15.5</v>
      </c>
      <c r="P40" s="87">
        <f t="shared" si="4"/>
        <v>31885.515</v>
      </c>
      <c r="Q40" s="87">
        <f>'External Delivery Fulfillment'!L4</f>
        <v>0</v>
      </c>
      <c r="R40" s="87">
        <f t="shared" si="5"/>
        <v>0</v>
      </c>
      <c r="S40" s="87">
        <f>'Forwarding From Client'!L4</f>
        <v>0</v>
      </c>
      <c r="T40" s="87">
        <f t="shared" si="6"/>
        <v>0</v>
      </c>
      <c r="U40" s="87">
        <f>'Dala Restocking'!L4</f>
        <v>14</v>
      </c>
      <c r="V40" s="87">
        <f t="shared" si="7"/>
        <v>9237.6963</v>
      </c>
      <c r="W40" s="87">
        <f>'Client Restocking'!L4</f>
        <v>0</v>
      </c>
    </row>
    <row r="41">
      <c r="B41" s="87" t="str">
        <f>'Internal Summary'!B42</f>
        <v>1 ltr Low Fat Unsweetend Greek Yoghurt (6x)</v>
      </c>
      <c r="C41" s="87">
        <f>'Internal Summary'!C42</f>
        <v>38813.85</v>
      </c>
      <c r="D41" s="87">
        <f>'Internal Summary'!D42</f>
        <v>659.83545</v>
      </c>
      <c r="E41" s="87">
        <f>'Internal Summary'!E42</f>
        <v>2057.13</v>
      </c>
      <c r="F41" s="131"/>
      <c r="G41" s="87">
        <f t="shared" si="1"/>
        <v>0</v>
      </c>
      <c r="H41" s="131"/>
      <c r="I41" s="127"/>
      <c r="J41" s="131"/>
      <c r="K41" s="128">
        <v>0.0</v>
      </c>
      <c r="L41" s="133">
        <f t="shared" si="2"/>
        <v>-1.5</v>
      </c>
      <c r="M41" s="87">
        <f t="shared" si="3"/>
        <v>1.5</v>
      </c>
      <c r="N41" s="87"/>
      <c r="O41" s="87">
        <f>'Dala Sales &amp; Deliveries'!L5</f>
        <v>13.5</v>
      </c>
      <c r="P41" s="87">
        <f t="shared" si="4"/>
        <v>27771.255</v>
      </c>
      <c r="Q41" s="87">
        <f>'External Delivery Fulfillment'!L5</f>
        <v>0</v>
      </c>
      <c r="R41" s="87">
        <f t="shared" si="5"/>
        <v>0</v>
      </c>
      <c r="S41" s="87">
        <f>'Forwarding From Client'!L5</f>
        <v>0</v>
      </c>
      <c r="T41" s="87">
        <f t="shared" si="6"/>
        <v>0</v>
      </c>
      <c r="U41" s="87">
        <f>'Dala Restocking'!L5</f>
        <v>12</v>
      </c>
      <c r="V41" s="87">
        <f t="shared" si="7"/>
        <v>7918.0254</v>
      </c>
      <c r="W41" s="87">
        <f>'Client Restocking'!L5</f>
        <v>0</v>
      </c>
    </row>
    <row r="42">
      <c r="B42" s="87" t="str">
        <f>'Internal Summary'!B43</f>
        <v>250ml Strawberry Yoghurt (12x)</v>
      </c>
      <c r="C42" s="87">
        <f>'Internal Summary'!C43</f>
        <v>19953.12</v>
      </c>
      <c r="D42" s="87">
        <f>'Internal Summary'!D43</f>
        <v>339.20304</v>
      </c>
      <c r="E42" s="87">
        <f>'Internal Summary'!E43</f>
        <v>1057.52</v>
      </c>
      <c r="F42" s="131"/>
      <c r="G42" s="87">
        <f t="shared" si="1"/>
        <v>0</v>
      </c>
      <c r="H42" s="131"/>
      <c r="I42" s="131"/>
      <c r="J42" s="131"/>
      <c r="K42" s="128">
        <v>2.0</v>
      </c>
      <c r="L42" s="133">
        <f t="shared" si="2"/>
        <v>-10.5</v>
      </c>
      <c r="M42" s="87">
        <f t="shared" si="3"/>
        <v>12.5</v>
      </c>
      <c r="N42" s="87"/>
      <c r="O42" s="87">
        <f>'Dala Sales &amp; Deliveries'!L6</f>
        <v>35.5</v>
      </c>
      <c r="P42" s="87">
        <f t="shared" si="4"/>
        <v>37541.96</v>
      </c>
      <c r="Q42" s="87">
        <f>'External Delivery Fulfillment'!L6</f>
        <v>0</v>
      </c>
      <c r="R42" s="87">
        <f t="shared" si="5"/>
        <v>0</v>
      </c>
      <c r="S42" s="87">
        <f>'Forwarding From Client'!L6</f>
        <v>0</v>
      </c>
      <c r="T42" s="87">
        <f t="shared" si="6"/>
        <v>0</v>
      </c>
      <c r="U42" s="87">
        <f>'Dala Restocking'!L6</f>
        <v>25</v>
      </c>
      <c r="V42" s="87">
        <f t="shared" si="7"/>
        <v>8480.076</v>
      </c>
      <c r="W42" s="87">
        <f>'Client Restocking'!L6</f>
        <v>0</v>
      </c>
    </row>
    <row r="43">
      <c r="B43" s="87" t="str">
        <f>'Internal Summary'!B44</f>
        <v>250ml Vanilla Yoghurt (12x)</v>
      </c>
      <c r="C43" s="87">
        <f>'Internal Summary'!C44</f>
        <v>19953.12</v>
      </c>
      <c r="D43" s="87">
        <f>'Internal Summary'!D44</f>
        <v>339.20304</v>
      </c>
      <c r="E43" s="87">
        <f>'Internal Summary'!E44</f>
        <v>1057.52</v>
      </c>
      <c r="F43" s="131"/>
      <c r="G43" s="87">
        <f t="shared" si="1"/>
        <v>0</v>
      </c>
      <c r="H43" s="131"/>
      <c r="I43" s="131"/>
      <c r="J43" s="131"/>
      <c r="K43" s="128">
        <v>8.0</v>
      </c>
      <c r="L43" s="133">
        <f t="shared" si="2"/>
        <v>-1.5</v>
      </c>
      <c r="M43" s="87">
        <f t="shared" si="3"/>
        <v>9.5</v>
      </c>
      <c r="N43" s="87"/>
      <c r="O43" s="87">
        <f>'Dala Sales &amp; Deliveries'!L7</f>
        <v>41.5</v>
      </c>
      <c r="P43" s="87">
        <f t="shared" si="4"/>
        <v>43887.08</v>
      </c>
      <c r="Q43" s="87">
        <f>'External Delivery Fulfillment'!L7</f>
        <v>0</v>
      </c>
      <c r="R43" s="87">
        <f t="shared" si="5"/>
        <v>0</v>
      </c>
      <c r="S43" s="87">
        <f>'Forwarding From Client'!L7</f>
        <v>0</v>
      </c>
      <c r="T43" s="87">
        <f t="shared" si="6"/>
        <v>0</v>
      </c>
      <c r="U43" s="87">
        <f>'Dala Restocking'!L7</f>
        <v>40</v>
      </c>
      <c r="V43" s="87">
        <f t="shared" si="7"/>
        <v>13568.1216</v>
      </c>
      <c r="W43" s="87">
        <f>'Client Restocking'!L7</f>
        <v>0</v>
      </c>
    </row>
    <row r="44">
      <c r="B44" s="87" t="str">
        <f>'Internal Summary'!B45</f>
        <v>500ml High Protien Sweetend Greek Yoghurt (12x)</v>
      </c>
      <c r="C44" s="87">
        <f>'Internal Summary'!C45</f>
        <v>49082.07</v>
      </c>
      <c r="D44" s="87">
        <f>'Internal Summary'!D45</f>
        <v>834.395139</v>
      </c>
      <c r="E44" s="87">
        <f>'Internal Summary'!E45</f>
        <v>2601.35</v>
      </c>
      <c r="F44" s="131"/>
      <c r="G44" s="87">
        <f t="shared" si="1"/>
        <v>0</v>
      </c>
      <c r="H44" s="131"/>
      <c r="I44" s="131"/>
      <c r="J44" s="131"/>
      <c r="K44" s="128">
        <v>11.5</v>
      </c>
      <c r="L44" s="133">
        <f t="shared" si="2"/>
        <v>-1.5</v>
      </c>
      <c r="M44" s="87">
        <f t="shared" si="3"/>
        <v>13</v>
      </c>
      <c r="N44" s="87"/>
      <c r="O44" s="87">
        <f>'Dala Sales &amp; Deliveries'!L8</f>
        <v>56.5</v>
      </c>
      <c r="P44" s="87">
        <f t="shared" si="4"/>
        <v>146976.275</v>
      </c>
      <c r="Q44" s="87">
        <f>'External Delivery Fulfillment'!L8</f>
        <v>0</v>
      </c>
      <c r="R44" s="87">
        <f t="shared" si="5"/>
        <v>0</v>
      </c>
      <c r="S44" s="87">
        <f>'Forwarding From Client'!L8</f>
        <v>0</v>
      </c>
      <c r="T44" s="87">
        <f t="shared" si="6"/>
        <v>0</v>
      </c>
      <c r="U44" s="87">
        <f>'Dala Restocking'!L8</f>
        <v>55</v>
      </c>
      <c r="V44" s="87">
        <f t="shared" si="7"/>
        <v>45891.73265</v>
      </c>
      <c r="W44" s="87">
        <f>'Client Restocking'!L8</f>
        <v>0</v>
      </c>
    </row>
    <row r="45">
      <c r="B45" s="87" t="str">
        <f>'Internal Summary'!B46</f>
        <v>500ml High Protien Unsweetend Greek Yoghurt (12x)</v>
      </c>
      <c r="C45" s="87">
        <f>'Internal Summary'!C46</f>
        <v>49082.07</v>
      </c>
      <c r="D45" s="87">
        <f>'Internal Summary'!D46</f>
        <v>834.395139</v>
      </c>
      <c r="E45" s="87">
        <f>'Internal Summary'!E46</f>
        <v>2601.35</v>
      </c>
      <c r="F45" s="131"/>
      <c r="G45" s="87">
        <f t="shared" si="1"/>
        <v>0</v>
      </c>
      <c r="H45" s="131"/>
      <c r="I45" s="131"/>
      <c r="J45" s="131"/>
      <c r="K45" s="128">
        <v>12.0</v>
      </c>
      <c r="L45" s="133">
        <f t="shared" si="2"/>
        <v>7</v>
      </c>
      <c r="M45" s="87">
        <f t="shared" si="3"/>
        <v>5</v>
      </c>
      <c r="N45" s="87"/>
      <c r="O45" s="87">
        <f>'Dala Sales &amp; Deliveries'!L9</f>
        <v>33</v>
      </c>
      <c r="P45" s="87">
        <f t="shared" si="4"/>
        <v>85844.55</v>
      </c>
      <c r="Q45" s="87">
        <f>'External Delivery Fulfillment'!L9</f>
        <v>0</v>
      </c>
      <c r="R45" s="87">
        <f t="shared" si="5"/>
        <v>0</v>
      </c>
      <c r="S45" s="87">
        <f>'Forwarding From Client'!L9</f>
        <v>0</v>
      </c>
      <c r="T45" s="87">
        <f t="shared" si="6"/>
        <v>0</v>
      </c>
      <c r="U45" s="87">
        <f>'Dala Restocking'!L9</f>
        <v>40</v>
      </c>
      <c r="V45" s="87">
        <f t="shared" si="7"/>
        <v>33375.80556</v>
      </c>
      <c r="W45" s="87">
        <f>'Client Restocking'!L9</f>
        <v>0</v>
      </c>
    </row>
    <row r="46">
      <c r="B46" s="87" t="str">
        <f>'Internal Summary'!B47</f>
        <v>500ml Low Fat Sweetend Greek Yoghurt (12x)</v>
      </c>
      <c r="C46" s="87">
        <f>'Internal Summary'!C47</f>
        <v>43039.89</v>
      </c>
      <c r="D46" s="87">
        <f>'Internal Summary'!D47</f>
        <v>731.67813</v>
      </c>
      <c r="E46" s="87">
        <f>'Internal Summary'!E47</f>
        <v>2281.11</v>
      </c>
      <c r="F46" s="131"/>
      <c r="G46" s="87">
        <f t="shared" si="1"/>
        <v>0</v>
      </c>
      <c r="H46" s="131"/>
      <c r="I46" s="131"/>
      <c r="J46" s="131"/>
      <c r="K46" s="128">
        <v>12.0</v>
      </c>
      <c r="L46" s="133">
        <f t="shared" si="2"/>
        <v>2</v>
      </c>
      <c r="M46" s="87">
        <f t="shared" si="3"/>
        <v>10</v>
      </c>
      <c r="N46" s="87"/>
      <c r="O46" s="87">
        <f>'Dala Sales &amp; Deliveries'!L10</f>
        <v>43</v>
      </c>
      <c r="P46" s="87">
        <f t="shared" si="4"/>
        <v>98087.73</v>
      </c>
      <c r="Q46" s="87">
        <f>'External Delivery Fulfillment'!L10</f>
        <v>0</v>
      </c>
      <c r="R46" s="87">
        <f t="shared" si="5"/>
        <v>0</v>
      </c>
      <c r="S46" s="87">
        <f>'Forwarding From Client'!L10</f>
        <v>0</v>
      </c>
      <c r="T46" s="87">
        <f t="shared" si="6"/>
        <v>0</v>
      </c>
      <c r="U46" s="87">
        <f>'Dala Restocking'!L10</f>
        <v>45</v>
      </c>
      <c r="V46" s="87">
        <f t="shared" si="7"/>
        <v>32925.51585</v>
      </c>
      <c r="W46" s="87">
        <f>'Client Restocking'!L10</f>
        <v>0</v>
      </c>
    </row>
    <row r="47">
      <c r="B47" s="87" t="str">
        <f>'Internal Summary'!B48</f>
        <v>500ml Low Fat Unsweetend Greek Yoghurt (12x)</v>
      </c>
      <c r="C47" s="87">
        <f>'Internal Summary'!C48</f>
        <v>43039.89</v>
      </c>
      <c r="D47" s="87">
        <f>'Internal Summary'!D48</f>
        <v>731.67813</v>
      </c>
      <c r="E47" s="87">
        <f>'Internal Summary'!E48</f>
        <v>2281.11</v>
      </c>
      <c r="F47" s="131"/>
      <c r="G47" s="87">
        <f t="shared" si="1"/>
        <v>0</v>
      </c>
      <c r="H47" s="131"/>
      <c r="I47" s="131"/>
      <c r="J47" s="131"/>
      <c r="K47" s="128">
        <v>7.0</v>
      </c>
      <c r="L47" s="133">
        <f t="shared" si="2"/>
        <v>1.5</v>
      </c>
      <c r="M47" s="87">
        <f t="shared" si="3"/>
        <v>5.5</v>
      </c>
      <c r="N47" s="87"/>
      <c r="O47" s="87">
        <f>'Dala Sales &amp; Deliveries'!L11</f>
        <v>28.5</v>
      </c>
      <c r="P47" s="87">
        <f t="shared" si="4"/>
        <v>65011.635</v>
      </c>
      <c r="Q47" s="87">
        <f>'External Delivery Fulfillment'!L11</f>
        <v>0</v>
      </c>
      <c r="R47" s="87">
        <f t="shared" si="5"/>
        <v>0</v>
      </c>
      <c r="S47" s="87">
        <f>'Forwarding From Client'!L11</f>
        <v>0</v>
      </c>
      <c r="T47" s="87">
        <f t="shared" si="6"/>
        <v>0</v>
      </c>
      <c r="U47" s="87">
        <f>'Dala Restocking'!L11</f>
        <v>30</v>
      </c>
      <c r="V47" s="87">
        <f t="shared" si="7"/>
        <v>21950.3439</v>
      </c>
      <c r="W47" s="87">
        <f>'Client Restocking'!L11</f>
        <v>0</v>
      </c>
    </row>
    <row r="48">
      <c r="B48" s="87" t="str">
        <f>'Internal Summary'!B49</f>
        <v>500ml Strawberry Yoghurt (12x)</v>
      </c>
      <c r="C48" s="87">
        <f>'Internal Summary'!C49</f>
        <v>32611.3</v>
      </c>
      <c r="D48" s="87">
        <f>'Internal Summary'!D49</f>
        <v>554.392134</v>
      </c>
      <c r="E48" s="87">
        <f>'Internal Summary'!E49</f>
        <v>1728.4</v>
      </c>
      <c r="F48" s="131"/>
      <c r="G48" s="87">
        <f t="shared" si="1"/>
        <v>0</v>
      </c>
      <c r="H48" s="131"/>
      <c r="I48" s="131"/>
      <c r="J48" s="131"/>
      <c r="K48" s="128">
        <v>13.0</v>
      </c>
      <c r="L48" s="133">
        <f t="shared" si="2"/>
        <v>6</v>
      </c>
      <c r="M48" s="87">
        <f t="shared" si="3"/>
        <v>7</v>
      </c>
      <c r="N48" s="87"/>
      <c r="O48" s="87">
        <f>'Dala Sales &amp; Deliveries'!L12</f>
        <v>44</v>
      </c>
      <c r="P48" s="87">
        <f t="shared" si="4"/>
        <v>76049.6</v>
      </c>
      <c r="Q48" s="87">
        <f>'External Delivery Fulfillment'!L12</f>
        <v>0</v>
      </c>
      <c r="R48" s="87">
        <f t="shared" si="5"/>
        <v>0</v>
      </c>
      <c r="S48" s="87">
        <f>'Forwarding From Client'!L12</f>
        <v>0</v>
      </c>
      <c r="T48" s="87">
        <f t="shared" si="6"/>
        <v>0</v>
      </c>
      <c r="U48" s="87">
        <f>'Dala Restocking'!L12</f>
        <v>50</v>
      </c>
      <c r="V48" s="87">
        <f t="shared" si="7"/>
        <v>27719.6067</v>
      </c>
      <c r="W48" s="87">
        <f>'Client Restocking'!L12</f>
        <v>0</v>
      </c>
    </row>
    <row r="49">
      <c r="B49" s="87" t="str">
        <f>'Internal Summary'!B50</f>
        <v>500ml Vanilla Yoghurt (12x)</v>
      </c>
      <c r="C49" s="87">
        <f>'Internal Summary'!C50</f>
        <v>32611.3</v>
      </c>
      <c r="D49" s="87">
        <f>'Internal Summary'!D50</f>
        <v>554.392134</v>
      </c>
      <c r="E49" s="87">
        <f>'Internal Summary'!E50</f>
        <v>1728.4</v>
      </c>
      <c r="F49" s="131"/>
      <c r="G49" s="87">
        <f t="shared" si="1"/>
        <v>0</v>
      </c>
      <c r="H49" s="131"/>
      <c r="I49" s="131"/>
      <c r="J49" s="131"/>
      <c r="K49" s="128">
        <v>0.0</v>
      </c>
      <c r="L49" s="133">
        <f t="shared" si="2"/>
        <v>0</v>
      </c>
      <c r="M49" s="87">
        <f t="shared" si="3"/>
        <v>0</v>
      </c>
      <c r="N49" s="87"/>
      <c r="O49" s="87">
        <f>'Dala Sales &amp; Deliveries'!L13</f>
        <v>40</v>
      </c>
      <c r="P49" s="87">
        <f t="shared" si="4"/>
        <v>69136</v>
      </c>
      <c r="Q49" s="87">
        <f>'External Delivery Fulfillment'!L13</f>
        <v>0</v>
      </c>
      <c r="R49" s="87">
        <f t="shared" si="5"/>
        <v>0</v>
      </c>
      <c r="S49" s="87">
        <f>'Forwarding From Client'!L13</f>
        <v>0</v>
      </c>
      <c r="T49" s="87">
        <f t="shared" si="6"/>
        <v>0</v>
      </c>
      <c r="U49" s="87">
        <f>'Dala Restocking'!L13</f>
        <v>40</v>
      </c>
      <c r="V49" s="87">
        <f t="shared" si="7"/>
        <v>22175.68536</v>
      </c>
      <c r="W49" s="87">
        <f>'Client Restocking'!L13</f>
        <v>0</v>
      </c>
    </row>
    <row r="50">
      <c r="B50" s="87" t="str">
        <f>'Internal Summary'!B51</f>
        <v/>
      </c>
      <c r="C50" s="87" t="str">
        <f>'Internal Summary'!C51</f>
        <v/>
      </c>
      <c r="D50" s="87" t="str">
        <f>'Internal Summary'!D51</f>
        <v/>
      </c>
      <c r="E50" s="87" t="str">
        <f>'Internal Summary'!E51</f>
        <v/>
      </c>
      <c r="F50" s="131"/>
      <c r="G50" s="87">
        <f t="shared" si="1"/>
        <v>0</v>
      </c>
      <c r="H50" s="131"/>
      <c r="I50" s="131"/>
      <c r="J50" s="131"/>
      <c r="K50" s="131"/>
      <c r="L50" s="133">
        <f t="shared" si="2"/>
        <v>0</v>
      </c>
      <c r="M50" s="87">
        <f t="shared" si="3"/>
        <v>0</v>
      </c>
      <c r="N50" s="87"/>
      <c r="O50" s="87">
        <f>'Dala Sales &amp; Deliveries'!L14</f>
        <v>0</v>
      </c>
      <c r="P50" s="87">
        <f t="shared" si="4"/>
        <v>0</v>
      </c>
      <c r="Q50" s="87">
        <f>'External Delivery Fulfillment'!L14</f>
        <v>0</v>
      </c>
      <c r="R50" s="87">
        <f t="shared" si="5"/>
        <v>0</v>
      </c>
      <c r="S50" s="87">
        <f>'Forwarding From Client'!L14</f>
        <v>0</v>
      </c>
      <c r="T50" s="87">
        <f t="shared" si="6"/>
        <v>0</v>
      </c>
      <c r="U50" s="87">
        <f>'Dala Restocking'!L14</f>
        <v>0</v>
      </c>
      <c r="V50" s="87">
        <f t="shared" si="7"/>
        <v>0</v>
      </c>
      <c r="W50" s="87">
        <f>'Client Restocking'!L14</f>
        <v>0</v>
      </c>
    </row>
    <row r="51">
      <c r="B51" s="87" t="str">
        <f>'Internal Summary'!B52</f>
        <v/>
      </c>
      <c r="C51" s="87" t="str">
        <f>'Internal Summary'!C52</f>
        <v/>
      </c>
      <c r="D51" s="87" t="str">
        <f>'Internal Summary'!D52</f>
        <v/>
      </c>
      <c r="E51" s="87" t="str">
        <f>'Internal Summary'!E52</f>
        <v/>
      </c>
      <c r="F51" s="131"/>
      <c r="G51" s="87">
        <f t="shared" si="1"/>
        <v>0</v>
      </c>
      <c r="H51" s="131"/>
      <c r="I51" s="131"/>
      <c r="J51" s="131"/>
      <c r="K51" s="131"/>
      <c r="L51" s="133">
        <f t="shared" si="2"/>
        <v>0</v>
      </c>
      <c r="M51" s="87">
        <f t="shared" si="3"/>
        <v>0</v>
      </c>
      <c r="N51" s="87"/>
      <c r="O51" s="87">
        <f>'Dala Sales &amp; Deliveries'!L15</f>
        <v>0</v>
      </c>
      <c r="P51" s="87">
        <f t="shared" si="4"/>
        <v>0</v>
      </c>
      <c r="Q51" s="87">
        <f>'External Delivery Fulfillment'!L15</f>
        <v>0</v>
      </c>
      <c r="R51" s="87">
        <f t="shared" si="5"/>
        <v>0</v>
      </c>
      <c r="S51" s="87">
        <f>'Forwarding From Client'!L15</f>
        <v>0</v>
      </c>
      <c r="T51" s="87">
        <f t="shared" si="6"/>
        <v>0</v>
      </c>
      <c r="U51" s="87">
        <f>'Dala Restocking'!L15</f>
        <v>0</v>
      </c>
      <c r="V51" s="87">
        <f t="shared" si="7"/>
        <v>0</v>
      </c>
      <c r="W51" s="87">
        <f>'Client Restocking'!L15</f>
        <v>0</v>
      </c>
    </row>
    <row r="52">
      <c r="B52" s="87" t="str">
        <f>'Internal Summary'!B53</f>
        <v/>
      </c>
      <c r="C52" s="87" t="str">
        <f>'Internal Summary'!C53</f>
        <v/>
      </c>
      <c r="D52" s="87" t="str">
        <f>'Internal Summary'!D53</f>
        <v/>
      </c>
      <c r="E52" s="87" t="str">
        <f>'Internal Summary'!E53</f>
        <v/>
      </c>
      <c r="F52" s="131"/>
      <c r="G52" s="87">
        <f t="shared" si="1"/>
        <v>0</v>
      </c>
      <c r="H52" s="131"/>
      <c r="I52" s="131"/>
      <c r="J52" s="131"/>
      <c r="K52" s="131"/>
      <c r="L52" s="133">
        <f t="shared" si="2"/>
        <v>0</v>
      </c>
      <c r="M52" s="87">
        <f t="shared" si="3"/>
        <v>0</v>
      </c>
      <c r="N52" s="87"/>
      <c r="O52" s="87"/>
      <c r="P52" s="87">
        <f t="shared" si="4"/>
        <v>0</v>
      </c>
      <c r="Q52" s="87"/>
      <c r="R52" s="87">
        <f t="shared" si="5"/>
        <v>0</v>
      </c>
      <c r="S52" s="87" t="str">
        <f>'Forwarding From Client'!L16</f>
        <v/>
      </c>
      <c r="T52" s="87">
        <f t="shared" si="6"/>
        <v>0</v>
      </c>
      <c r="U52" s="87"/>
      <c r="V52" s="87">
        <f t="shared" si="7"/>
        <v>0</v>
      </c>
      <c r="W52" s="87"/>
    </row>
    <row r="53">
      <c r="B53" s="87" t="str">
        <f>'Internal Summary'!B54</f>
        <v/>
      </c>
      <c r="C53" s="87" t="str">
        <f>'Internal Summary'!C54</f>
        <v/>
      </c>
      <c r="D53" s="87" t="str">
        <f>'Internal Summary'!D54</f>
        <v/>
      </c>
      <c r="E53" s="87" t="str">
        <f>'Internal Summary'!E54</f>
        <v/>
      </c>
      <c r="F53" s="131"/>
      <c r="G53" s="87">
        <f t="shared" si="1"/>
        <v>0</v>
      </c>
      <c r="H53" s="131"/>
      <c r="I53" s="131"/>
      <c r="J53" s="131"/>
      <c r="K53" s="131"/>
      <c r="L53" s="133">
        <f t="shared" si="2"/>
        <v>0</v>
      </c>
      <c r="M53" s="87">
        <f t="shared" si="3"/>
        <v>0</v>
      </c>
      <c r="N53" s="87"/>
      <c r="O53" s="87"/>
      <c r="P53" s="87">
        <f t="shared" si="4"/>
        <v>0</v>
      </c>
      <c r="Q53" s="87"/>
      <c r="R53" s="87">
        <f t="shared" si="5"/>
        <v>0</v>
      </c>
      <c r="S53" s="87" t="str">
        <f>'Forwarding From Client'!L17</f>
        <v/>
      </c>
      <c r="T53" s="87">
        <f t="shared" si="6"/>
        <v>0</v>
      </c>
      <c r="U53" s="87"/>
      <c r="V53" s="87">
        <f t="shared" si="7"/>
        <v>0</v>
      </c>
      <c r="W53" s="87"/>
    </row>
    <row r="54">
      <c r="B54" s="87" t="str">
        <f>'Internal Summary'!B55</f>
        <v/>
      </c>
      <c r="C54" s="87" t="str">
        <f>'Internal Summary'!C55</f>
        <v/>
      </c>
      <c r="D54" s="87" t="str">
        <f>'Internal Summary'!D55</f>
        <v/>
      </c>
      <c r="E54" s="87" t="str">
        <f>'Internal Summary'!E55</f>
        <v/>
      </c>
      <c r="F54" s="131"/>
      <c r="G54" s="87">
        <f t="shared" si="1"/>
        <v>0</v>
      </c>
      <c r="H54" s="131"/>
      <c r="I54" s="131"/>
      <c r="J54" s="131"/>
      <c r="K54" s="131"/>
      <c r="L54" s="133">
        <f t="shared" si="2"/>
        <v>0</v>
      </c>
      <c r="M54" s="87">
        <f t="shared" si="3"/>
        <v>0</v>
      </c>
      <c r="N54" s="87"/>
      <c r="O54" s="87"/>
      <c r="P54" s="87">
        <f t="shared" si="4"/>
        <v>0</v>
      </c>
      <c r="Q54" s="87"/>
      <c r="R54" s="87">
        <f t="shared" si="5"/>
        <v>0</v>
      </c>
      <c r="S54" s="87" t="str">
        <f>'Forwarding From Client'!L18</f>
        <v/>
      </c>
      <c r="T54" s="87">
        <f t="shared" si="6"/>
        <v>0</v>
      </c>
      <c r="U54" s="87"/>
      <c r="V54" s="87">
        <f t="shared" si="7"/>
        <v>0</v>
      </c>
      <c r="W54" s="87"/>
    </row>
    <row r="55">
      <c r="B55" s="87" t="str">
        <f>'Internal Summary'!B56</f>
        <v/>
      </c>
      <c r="C55" s="87" t="str">
        <f>'Internal Summary'!C56</f>
        <v/>
      </c>
      <c r="D55" s="87" t="str">
        <f>'Internal Summary'!D56</f>
        <v/>
      </c>
      <c r="E55" s="87" t="str">
        <f>'Internal Summary'!E56</f>
        <v/>
      </c>
      <c r="F55" s="131"/>
      <c r="G55" s="87">
        <f t="shared" si="1"/>
        <v>0</v>
      </c>
      <c r="H55" s="131"/>
      <c r="I55" s="131"/>
      <c r="J55" s="131"/>
      <c r="K55" s="131"/>
      <c r="L55" s="133">
        <f t="shared" si="2"/>
        <v>0</v>
      </c>
      <c r="M55" s="87">
        <f t="shared" si="3"/>
        <v>0</v>
      </c>
      <c r="N55" s="87"/>
      <c r="O55" s="87"/>
      <c r="P55" s="87">
        <f t="shared" si="4"/>
        <v>0</v>
      </c>
      <c r="Q55" s="87"/>
      <c r="R55" s="87">
        <f t="shared" si="5"/>
        <v>0</v>
      </c>
      <c r="S55" s="87" t="str">
        <f>'Forwarding From Client'!L19</f>
        <v/>
      </c>
      <c r="T55" s="87">
        <f t="shared" si="6"/>
        <v>0</v>
      </c>
      <c r="U55" s="87"/>
      <c r="V55" s="87">
        <f t="shared" si="7"/>
        <v>0</v>
      </c>
      <c r="W55" s="87"/>
    </row>
    <row r="56">
      <c r="B56" s="87" t="str">
        <f>'Internal Summary'!B57</f>
        <v/>
      </c>
      <c r="C56" s="87" t="str">
        <f>'Internal Summary'!C57</f>
        <v/>
      </c>
      <c r="D56" s="87" t="str">
        <f>'Internal Summary'!D57</f>
        <v/>
      </c>
      <c r="E56" s="87" t="str">
        <f>'Internal Summary'!E57</f>
        <v/>
      </c>
      <c r="F56" s="131"/>
      <c r="G56" s="87">
        <f t="shared" si="1"/>
        <v>0</v>
      </c>
      <c r="H56" s="131"/>
      <c r="I56" s="131"/>
      <c r="J56" s="131"/>
      <c r="K56" s="131"/>
      <c r="L56" s="133">
        <f t="shared" si="2"/>
        <v>0</v>
      </c>
      <c r="M56" s="87">
        <f t="shared" si="3"/>
        <v>0</v>
      </c>
      <c r="N56" s="87"/>
      <c r="O56" s="87"/>
      <c r="P56" s="87">
        <f t="shared" si="4"/>
        <v>0</v>
      </c>
      <c r="Q56" s="87"/>
      <c r="R56" s="87">
        <f t="shared" si="5"/>
        <v>0</v>
      </c>
      <c r="S56" s="87" t="str">
        <f>'Forwarding From Client'!L20</f>
        <v/>
      </c>
      <c r="T56" s="87">
        <f t="shared" si="6"/>
        <v>0</v>
      </c>
      <c r="U56" s="87"/>
      <c r="V56" s="87">
        <f t="shared" si="7"/>
        <v>0</v>
      </c>
      <c r="W56" s="87"/>
    </row>
    <row r="57">
      <c r="B57" s="87" t="str">
        <f>'Internal Summary'!B58</f>
        <v/>
      </c>
      <c r="C57" s="87" t="str">
        <f>'Internal Summary'!C58</f>
        <v/>
      </c>
      <c r="D57" s="87" t="str">
        <f>'Internal Summary'!D58</f>
        <v/>
      </c>
      <c r="E57" s="87" t="str">
        <f>'Internal Summary'!E58</f>
        <v/>
      </c>
      <c r="F57" s="131"/>
      <c r="G57" s="87">
        <f t="shared" si="1"/>
        <v>0</v>
      </c>
      <c r="H57" s="131"/>
      <c r="I57" s="131"/>
      <c r="J57" s="131"/>
      <c r="K57" s="131"/>
      <c r="L57" s="133">
        <f t="shared" si="2"/>
        <v>0</v>
      </c>
      <c r="M57" s="87">
        <f t="shared" si="3"/>
        <v>0</v>
      </c>
      <c r="N57" s="87"/>
      <c r="O57" s="87"/>
      <c r="P57" s="87">
        <f t="shared" si="4"/>
        <v>0</v>
      </c>
      <c r="Q57" s="87"/>
      <c r="R57" s="87">
        <f t="shared" si="5"/>
        <v>0</v>
      </c>
      <c r="S57" s="87" t="str">
        <f>'Forwarding From Client'!L21</f>
        <v/>
      </c>
      <c r="T57" s="87">
        <f t="shared" si="6"/>
        <v>0</v>
      </c>
      <c r="U57" s="87"/>
      <c r="V57" s="87">
        <f t="shared" si="7"/>
        <v>0</v>
      </c>
      <c r="W57" s="87"/>
    </row>
    <row r="58">
      <c r="B58" s="87" t="str">
        <f>'Internal Summary'!B59</f>
        <v/>
      </c>
      <c r="C58" s="87" t="str">
        <f>'Internal Summary'!C59</f>
        <v/>
      </c>
      <c r="D58" s="87" t="str">
        <f>'Internal Summary'!D59</f>
        <v/>
      </c>
      <c r="E58" s="87" t="str">
        <f>'Internal Summary'!E59</f>
        <v/>
      </c>
      <c r="F58" s="131"/>
      <c r="G58" s="87">
        <f t="shared" si="1"/>
        <v>0</v>
      </c>
      <c r="H58" s="131"/>
      <c r="I58" s="131"/>
      <c r="J58" s="131"/>
      <c r="K58" s="131"/>
      <c r="L58" s="133">
        <f t="shared" si="2"/>
        <v>0</v>
      </c>
      <c r="M58" s="87">
        <f t="shared" si="3"/>
        <v>0</v>
      </c>
      <c r="N58" s="87"/>
      <c r="O58" s="87"/>
      <c r="P58" s="87">
        <f t="shared" si="4"/>
        <v>0</v>
      </c>
      <c r="Q58" s="87"/>
      <c r="R58" s="87">
        <f t="shared" si="5"/>
        <v>0</v>
      </c>
      <c r="S58" s="87" t="str">
        <f>'Forwarding From Client'!L22</f>
        <v/>
      </c>
      <c r="T58" s="87">
        <f t="shared" si="6"/>
        <v>0</v>
      </c>
      <c r="U58" s="87"/>
      <c r="V58" s="87">
        <f t="shared" si="7"/>
        <v>0</v>
      </c>
      <c r="W58" s="87"/>
    </row>
    <row r="59">
      <c r="B59" s="87" t="str">
        <f>'Internal Summary'!B60</f>
        <v/>
      </c>
      <c r="C59" s="87" t="str">
        <f>'Internal Summary'!C60</f>
        <v/>
      </c>
      <c r="D59" s="87" t="str">
        <f>'Internal Summary'!D60</f>
        <v/>
      </c>
      <c r="E59" s="87" t="str">
        <f>'Internal Summary'!E60</f>
        <v/>
      </c>
      <c r="F59" s="131"/>
      <c r="G59" s="87">
        <f t="shared" si="1"/>
        <v>0</v>
      </c>
      <c r="H59" s="131"/>
      <c r="I59" s="131"/>
      <c r="J59" s="131"/>
      <c r="K59" s="131"/>
      <c r="L59" s="133">
        <f t="shared" si="2"/>
        <v>0</v>
      </c>
      <c r="M59" s="87">
        <f t="shared" si="3"/>
        <v>0</v>
      </c>
      <c r="N59" s="87"/>
      <c r="O59" s="87"/>
      <c r="P59" s="87">
        <f t="shared" si="4"/>
        <v>0</v>
      </c>
      <c r="Q59" s="87"/>
      <c r="R59" s="87">
        <f t="shared" si="5"/>
        <v>0</v>
      </c>
      <c r="S59" s="87" t="str">
        <f>'Forwarding From Client'!L23</f>
        <v/>
      </c>
      <c r="T59" s="87">
        <f t="shared" si="6"/>
        <v>0</v>
      </c>
      <c r="U59" s="87"/>
      <c r="V59" s="87">
        <f t="shared" si="7"/>
        <v>0</v>
      </c>
      <c r="W59" s="87"/>
    </row>
    <row r="60">
      <c r="B60" s="87" t="str">
        <f>'Internal Summary'!B61</f>
        <v/>
      </c>
      <c r="C60" s="87" t="str">
        <f>'Internal Summary'!C61</f>
        <v/>
      </c>
      <c r="D60" s="87" t="str">
        <f>'Internal Summary'!D61</f>
        <v/>
      </c>
      <c r="E60" s="87" t="str">
        <f>'Internal Summary'!E61</f>
        <v/>
      </c>
      <c r="F60" s="131"/>
      <c r="G60" s="87">
        <f t="shared" si="1"/>
        <v>0</v>
      </c>
      <c r="H60" s="131"/>
      <c r="I60" s="131"/>
      <c r="J60" s="131"/>
      <c r="K60" s="131"/>
      <c r="L60" s="133">
        <f t="shared" si="2"/>
        <v>0</v>
      </c>
      <c r="M60" s="87">
        <f t="shared" si="3"/>
        <v>0</v>
      </c>
      <c r="N60" s="87"/>
      <c r="O60" s="87"/>
      <c r="P60" s="87">
        <f t="shared" si="4"/>
        <v>0</v>
      </c>
      <c r="Q60" s="87"/>
      <c r="R60" s="87">
        <f t="shared" si="5"/>
        <v>0</v>
      </c>
      <c r="S60" s="87" t="str">
        <f>'Forwarding From Client'!L24</f>
        <v/>
      </c>
      <c r="T60" s="87">
        <f t="shared" si="6"/>
        <v>0</v>
      </c>
      <c r="U60" s="87"/>
      <c r="V60" s="87">
        <f t="shared" si="7"/>
        <v>0</v>
      </c>
      <c r="W60" s="87"/>
    </row>
    <row r="61">
      <c r="B61" s="87" t="str">
        <f>'Internal Summary'!B62</f>
        <v/>
      </c>
      <c r="C61" s="87" t="str">
        <f>'Internal Summary'!C62</f>
        <v/>
      </c>
      <c r="D61" s="87" t="str">
        <f>'Internal Summary'!D62</f>
        <v/>
      </c>
      <c r="E61" s="87" t="str">
        <f>'Internal Summary'!E62</f>
        <v/>
      </c>
      <c r="F61" s="131"/>
      <c r="G61" s="87">
        <f t="shared" si="1"/>
        <v>0</v>
      </c>
      <c r="H61" s="131"/>
      <c r="I61" s="131"/>
      <c r="J61" s="131"/>
      <c r="K61" s="131"/>
      <c r="L61" s="133">
        <f t="shared" si="2"/>
        <v>0</v>
      </c>
      <c r="M61" s="87">
        <f t="shared" si="3"/>
        <v>0</v>
      </c>
      <c r="N61" s="87"/>
      <c r="O61" s="87"/>
      <c r="P61" s="87">
        <f t="shared" si="4"/>
        <v>0</v>
      </c>
      <c r="Q61" s="87"/>
      <c r="R61" s="87">
        <f t="shared" si="5"/>
        <v>0</v>
      </c>
      <c r="S61" s="87" t="str">
        <f>'Forwarding From Client'!L25</f>
        <v/>
      </c>
      <c r="T61" s="87">
        <f t="shared" si="6"/>
        <v>0</v>
      </c>
      <c r="U61" s="87"/>
      <c r="V61" s="87">
        <f t="shared" si="7"/>
        <v>0</v>
      </c>
      <c r="W61" s="87"/>
    </row>
    <row r="62">
      <c r="B62" s="87" t="str">
        <f>'Internal Summary'!B63</f>
        <v/>
      </c>
      <c r="C62" s="87" t="str">
        <f>'Internal Summary'!C63</f>
        <v/>
      </c>
      <c r="D62" s="87" t="str">
        <f>'Internal Summary'!D63</f>
        <v/>
      </c>
      <c r="E62" s="87" t="str">
        <f>'Internal Summary'!E63</f>
        <v/>
      </c>
      <c r="F62" s="131"/>
      <c r="G62" s="87">
        <f t="shared" si="1"/>
        <v>0</v>
      </c>
      <c r="H62" s="131"/>
      <c r="I62" s="131"/>
      <c r="J62" s="131"/>
      <c r="K62" s="131"/>
      <c r="L62" s="133">
        <f t="shared" si="2"/>
        <v>0</v>
      </c>
      <c r="M62" s="87">
        <f t="shared" si="3"/>
        <v>0</v>
      </c>
      <c r="N62" s="87"/>
      <c r="O62" s="87"/>
      <c r="P62" s="87">
        <f t="shared" si="4"/>
        <v>0</v>
      </c>
      <c r="Q62" s="87"/>
      <c r="R62" s="87">
        <f t="shared" si="5"/>
        <v>0</v>
      </c>
      <c r="S62" s="87" t="str">
        <f>'Forwarding From Client'!L26</f>
        <v/>
      </c>
      <c r="T62" s="87">
        <f t="shared" si="6"/>
        <v>0</v>
      </c>
      <c r="U62" s="87"/>
      <c r="V62" s="87">
        <f t="shared" si="7"/>
        <v>0</v>
      </c>
      <c r="W62" s="87"/>
    </row>
    <row r="63">
      <c r="B63" s="87" t="str">
        <f>'Internal Summary'!B64</f>
        <v/>
      </c>
      <c r="C63" s="87" t="str">
        <f>'Internal Summary'!C64</f>
        <v/>
      </c>
      <c r="D63" s="87" t="str">
        <f>'Internal Summary'!D64</f>
        <v/>
      </c>
      <c r="E63" s="87" t="str">
        <f>'Internal Summary'!E64</f>
        <v/>
      </c>
      <c r="F63" s="131"/>
      <c r="G63" s="87">
        <f t="shared" si="1"/>
        <v>0</v>
      </c>
      <c r="H63" s="131"/>
      <c r="I63" s="131"/>
      <c r="J63" s="131"/>
      <c r="K63" s="131"/>
      <c r="L63" s="133">
        <f t="shared" si="2"/>
        <v>0</v>
      </c>
      <c r="M63" s="87">
        <f t="shared" si="3"/>
        <v>0</v>
      </c>
      <c r="N63" s="87"/>
      <c r="O63" s="87"/>
      <c r="P63" s="87">
        <f t="shared" si="4"/>
        <v>0</v>
      </c>
      <c r="Q63" s="87"/>
      <c r="R63" s="87">
        <f t="shared" si="5"/>
        <v>0</v>
      </c>
      <c r="S63" s="87" t="str">
        <f>'Forwarding From Client'!L27</f>
        <v/>
      </c>
      <c r="T63" s="87">
        <f t="shared" si="6"/>
        <v>0</v>
      </c>
      <c r="U63" s="87"/>
      <c r="V63" s="87">
        <f t="shared" si="7"/>
        <v>0</v>
      </c>
      <c r="W63" s="87"/>
    </row>
    <row r="64">
      <c r="B64" s="87" t="str">
        <f>'Internal Summary'!B65</f>
        <v/>
      </c>
      <c r="C64" s="87" t="str">
        <f>'Internal Summary'!C65</f>
        <v/>
      </c>
      <c r="D64" s="87" t="str">
        <f>'Internal Summary'!D65</f>
        <v/>
      </c>
      <c r="E64" s="87" t="str">
        <f>'Internal Summary'!E65</f>
        <v/>
      </c>
      <c r="F64" s="131"/>
      <c r="G64" s="87">
        <f t="shared" si="1"/>
        <v>0</v>
      </c>
      <c r="H64" s="131"/>
      <c r="I64" s="131"/>
      <c r="J64" s="131"/>
      <c r="K64" s="131"/>
      <c r="L64" s="133">
        <f t="shared" si="2"/>
        <v>0</v>
      </c>
      <c r="M64" s="87">
        <f t="shared" si="3"/>
        <v>0</v>
      </c>
      <c r="N64" s="87"/>
      <c r="O64" s="87"/>
      <c r="P64" s="87">
        <f t="shared" si="4"/>
        <v>0</v>
      </c>
      <c r="Q64" s="87"/>
      <c r="R64" s="87">
        <f t="shared" si="5"/>
        <v>0</v>
      </c>
      <c r="S64" s="87" t="str">
        <f>'Forwarding From Client'!L28</f>
        <v/>
      </c>
      <c r="T64" s="87">
        <f t="shared" si="6"/>
        <v>0</v>
      </c>
      <c r="U64" s="87"/>
      <c r="V64" s="87">
        <f t="shared" si="7"/>
        <v>0</v>
      </c>
      <c r="W64" s="87"/>
    </row>
    <row r="65">
      <c r="B65" s="87" t="str">
        <f>'Internal Summary'!B66</f>
        <v/>
      </c>
      <c r="C65" s="87" t="str">
        <f>'Internal Summary'!C66</f>
        <v/>
      </c>
      <c r="D65" s="87" t="str">
        <f>'Internal Summary'!D66</f>
        <v/>
      </c>
      <c r="E65" s="87" t="str">
        <f>'Internal Summary'!E66</f>
        <v/>
      </c>
      <c r="F65" s="131"/>
      <c r="G65" s="87">
        <f t="shared" si="1"/>
        <v>0</v>
      </c>
      <c r="H65" s="131"/>
      <c r="I65" s="131"/>
      <c r="J65" s="131"/>
      <c r="K65" s="131"/>
      <c r="L65" s="133">
        <f t="shared" si="2"/>
        <v>0</v>
      </c>
      <c r="M65" s="87">
        <f t="shared" si="3"/>
        <v>0</v>
      </c>
      <c r="N65" s="87"/>
      <c r="O65" s="87"/>
      <c r="P65" s="87">
        <f t="shared" si="4"/>
        <v>0</v>
      </c>
      <c r="Q65" s="87"/>
      <c r="R65" s="87">
        <f t="shared" si="5"/>
        <v>0</v>
      </c>
      <c r="S65" s="87" t="str">
        <f>'Forwarding From Client'!L29</f>
        <v/>
      </c>
      <c r="T65" s="87">
        <f t="shared" si="6"/>
        <v>0</v>
      </c>
      <c r="U65" s="87"/>
      <c r="V65" s="87">
        <f t="shared" si="7"/>
        <v>0</v>
      </c>
      <c r="W65" s="87"/>
    </row>
    <row r="66">
      <c r="B66" s="87" t="str">
        <f>'Internal Summary'!B67</f>
        <v/>
      </c>
      <c r="C66" s="87" t="str">
        <f>'Internal Summary'!C67</f>
        <v/>
      </c>
      <c r="D66" s="87" t="str">
        <f>'Internal Summary'!D67</f>
        <v/>
      </c>
      <c r="E66" s="87" t="str">
        <f>'Internal Summary'!E67</f>
        <v/>
      </c>
      <c r="F66" s="131"/>
      <c r="G66" s="87">
        <f t="shared" si="1"/>
        <v>0</v>
      </c>
      <c r="H66" s="131"/>
      <c r="I66" s="131"/>
      <c r="J66" s="131"/>
      <c r="K66" s="131"/>
      <c r="L66" s="133">
        <f t="shared" si="2"/>
        <v>0</v>
      </c>
      <c r="M66" s="87">
        <f t="shared" si="3"/>
        <v>0</v>
      </c>
      <c r="N66" s="87"/>
      <c r="O66" s="87"/>
      <c r="P66" s="87">
        <f t="shared" si="4"/>
        <v>0</v>
      </c>
      <c r="Q66" s="87"/>
      <c r="R66" s="87">
        <f t="shared" si="5"/>
        <v>0</v>
      </c>
      <c r="S66" s="87" t="str">
        <f>'Forwarding From Client'!L30</f>
        <v/>
      </c>
      <c r="T66" s="87">
        <f t="shared" si="6"/>
        <v>0</v>
      </c>
      <c r="U66" s="87"/>
      <c r="V66" s="87">
        <f t="shared" si="7"/>
        <v>0</v>
      </c>
      <c r="W66" s="87"/>
    </row>
    <row r="67">
      <c r="B67" s="124" t="s">
        <v>290</v>
      </c>
      <c r="C67" s="124"/>
      <c r="D67" s="124"/>
      <c r="E67" s="87"/>
      <c r="F67" s="133">
        <f t="shared" ref="F67:W67" si="8">sum(F38:F66)</f>
        <v>0</v>
      </c>
      <c r="G67" s="133">
        <f t="shared" si="8"/>
        <v>0</v>
      </c>
      <c r="H67" s="133">
        <f t="shared" si="8"/>
        <v>0</v>
      </c>
      <c r="I67" s="133">
        <f t="shared" si="8"/>
        <v>0</v>
      </c>
      <c r="J67" s="133">
        <f t="shared" si="8"/>
        <v>0</v>
      </c>
      <c r="K67" s="133">
        <f t="shared" si="8"/>
        <v>67.5</v>
      </c>
      <c r="L67" s="133">
        <f t="shared" si="8"/>
        <v>3</v>
      </c>
      <c r="M67" s="133">
        <f t="shared" si="8"/>
        <v>64.5</v>
      </c>
      <c r="N67" s="87">
        <f t="shared" si="8"/>
        <v>0</v>
      </c>
      <c r="O67" s="87">
        <f t="shared" si="8"/>
        <v>372</v>
      </c>
      <c r="P67" s="87">
        <f t="shared" si="8"/>
        <v>729206.19</v>
      </c>
      <c r="Q67" s="87">
        <f t="shared" si="8"/>
        <v>0</v>
      </c>
      <c r="R67" s="87">
        <f t="shared" si="8"/>
        <v>0</v>
      </c>
      <c r="S67" s="87">
        <f t="shared" si="8"/>
        <v>0</v>
      </c>
      <c r="T67" s="87">
        <f t="shared" si="8"/>
        <v>0</v>
      </c>
      <c r="U67" s="87">
        <f t="shared" si="8"/>
        <v>375</v>
      </c>
      <c r="V67" s="87">
        <f t="shared" si="8"/>
        <v>240477.0597</v>
      </c>
      <c r="W67" s="87">
        <f t="shared" si="8"/>
        <v>0</v>
      </c>
    </row>
    <row r="68">
      <c r="C68" s="6" t="s">
        <v>291</v>
      </c>
      <c r="D68" s="6" t="s">
        <v>291</v>
      </c>
      <c r="E68" s="6" t="s">
        <v>291</v>
      </c>
      <c r="F68" s="6" t="s">
        <v>291</v>
      </c>
      <c r="G68" s="6"/>
      <c r="H68" s="6" t="s">
        <v>291</v>
      </c>
      <c r="I68" s="6" t="s">
        <v>291</v>
      </c>
      <c r="J68" s="6" t="s">
        <v>291</v>
      </c>
      <c r="K68" s="6" t="s">
        <v>291</v>
      </c>
      <c r="L68" s="6" t="s">
        <v>291</v>
      </c>
      <c r="M68" s="6"/>
      <c r="N68" s="6" t="s">
        <v>291</v>
      </c>
      <c r="O68" s="6" t="s">
        <v>291</v>
      </c>
      <c r="P68" s="6" t="s">
        <v>291</v>
      </c>
      <c r="Q68" s="6" t="s">
        <v>291</v>
      </c>
      <c r="R68" s="6" t="s">
        <v>291</v>
      </c>
      <c r="S68" s="6"/>
      <c r="T68" s="6"/>
      <c r="U68" s="6" t="s">
        <v>291</v>
      </c>
      <c r="V68" s="6" t="s">
        <v>291</v>
      </c>
      <c r="W68" s="6" t="s">
        <v>291</v>
      </c>
    </row>
  </sheetData>
  <drawing r:id="rId1"/>
</worksheet>
</file>