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<sst xmlns="http://schemas.openxmlformats.org/spreadsheetml/2006/main" count="493" uniqueCount="107">
  <si>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</si>
  <si>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</si>
  <si>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</si>
  <si>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</si>
  <si>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</si>
  <si>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</si>
  <si>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</si>
  <si>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</si>
  <si>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</si>
  <si>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</si>
  <si>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</si>
  <si>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</si>
  <si>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</si>
  <si>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</si>
  <si>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28g Choppee Cheezy Delight (30x)</t>
  </si>
  <si>
    <t>Pharm Affair</t>
  </si>
  <si>
    <t>Sales</t>
  </si>
  <si>
    <t>DT:001702</t>
  </si>
  <si>
    <t>28g Choppee Crispy Bananos (30x)</t>
  </si>
  <si>
    <t>28g Choppee Crispy Granos (30x)</t>
  </si>
  <si>
    <t>28g Choppee Crispy Berry Strawberry (30x)</t>
  </si>
  <si>
    <t>28g Choppee Milky Choco (30x)</t>
  </si>
  <si>
    <t>Rance Supermarket, Sangotedo</t>
  </si>
  <si>
    <t>DT:001670</t>
  </si>
  <si>
    <t>Twins Faja Supermarket, IGBESA</t>
  </si>
  <si>
    <t>DT:001692</t>
  </si>
  <si>
    <t>Twins Faja Supermarket, IKOTUN Road</t>
  </si>
  <si>
    <t>DT:001694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</si>
  <si>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</si>
  <si>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</si>
  <si>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</si>
  <si>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</si>
  <si>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</si>
  <si>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</si>
  <si>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0.20 Total</t>
  </si>
  <si>
    <t>28g Choppee Cheezy Delight (30x) Total</t>
  </si>
  <si>
    <t>28g Choppee Crispy Bananos (30x) Total</t>
  </si>
  <si>
    <t>28g Choppee Crispy Berry Strawberry (30x) Total</t>
  </si>
  <si>
    <t>28g Choppee Crispy Granos (30x) Total</t>
  </si>
  <si>
    <t>28g Choppee Milky Choco (30x) Total</t>
  </si>
  <si>
    <t>0.2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</si>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</sst>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8g Choppee Cheezy Delight (30x)"/>
        <s v="28g Choppee Crispy Bananos (30x)"/>
        <s v="28g Choppee Crispy Granos (30x)"/>
        <s v="28g Choppee Crispy Berry Strawberry (30x)"/>
        <s v="28g Choppee Milky Choco (30x)"/>
        <m/>
      </sharedItems>
    </cacheField>
    <cacheField name="Date" numFmtId="164">
      <sharedItems containsDate="1" containsString="0" containsBlank="1">
        <d v="2025-07-02T00:00:00Z"/>
        <d v="2025-07-01T00:00:00Z"/>
        <m/>
      </sharedItems>
    </cacheField>
    <cacheField name="Particulars" numFmtId="0">
      <sharedItems containsBlank="1">
        <s v="Pharm Affair"/>
        <s v="Rance Supermarket, Sangotedo"/>
        <s v="Twins Faja Supermarket, IGBESA"/>
        <s v="Twins Faja Supermarket, IKOTUN Road"/>
        <m/>
      </sharedItems>
    </cacheField>
    <cacheField name="Vch Type">
      <sharedItems containsBlank="1" containsMixedTypes="1" containsNumber="1" containsInteger="1">
        <s v="Sales"/>
        <m/>
        <n v="4.0"/>
      </sharedItems>
    </cacheField>
    <cacheField name="Vch No." numFmtId="0">
      <sharedItems containsBlank="1">
        <s v="DT:001702"/>
        <s v="DT:001670"/>
        <s v="DT:001692"/>
        <s v="DT:001694"/>
        <m/>
      </sharedItems>
    </cacheField>
    <cacheField name="Quantity" numFmtId="4">
      <sharedItems containsString="0" containsBlank="1" containsNumber="1">
        <n v="1.0"/>
        <n v="0.2"/>
        <m/>
      </sharedItems>
    </cacheField>
    <cacheField name="Value" numFmtId="4">
      <sharedItems containsString="0" containsBlank="1" containsNumber="1">
        <n v="2650.0"/>
        <n v="493.04"/>
        <n v="490.25"/>
        <n v="483.0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3"/>
        <item x="2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38"/>
    <col customWidth="1" min="3" max="3" width="35.88"/>
    <col customWidth="1" min="4" max="4" width="21.63"/>
    <col customWidth="1" min="9" max="9" width="42.38"/>
    <col customWidth="1" min="11" max="11" width="3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3</v>
      </c>
    </row>
    <row r="3">
      <c r="A3" s="11" t="s">
        <v>14</v>
      </c>
      <c r="B3" s="12">
        <v>45840.0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2650.0</v>
      </c>
      <c r="I3" s="11" t="s">
        <v>14</v>
      </c>
      <c r="J3" s="12">
        <v>45840.0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2650.0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 t="s">
        <v>18</v>
      </c>
      <c r="B4" s="12">
        <v>45840.0</v>
      </c>
      <c r="C4" s="13" t="s">
        <v>15</v>
      </c>
      <c r="D4" s="13" t="s">
        <v>16</v>
      </c>
      <c r="E4" s="14" t="s">
        <v>17</v>
      </c>
      <c r="F4" s="15">
        <v>1.0</v>
      </c>
      <c r="G4" s="16">
        <v>2650.0</v>
      </c>
      <c r="I4" s="11" t="s">
        <v>18</v>
      </c>
      <c r="J4" s="12">
        <v>45840.0</v>
      </c>
      <c r="K4" s="13" t="s">
        <v>15</v>
      </c>
      <c r="L4" s="13" t="s">
        <v>16</v>
      </c>
      <c r="M4" s="14" t="s">
        <v>17</v>
      </c>
      <c r="N4" s="15">
        <v>1.0</v>
      </c>
      <c r="O4" s="16">
        <v>2650.0</v>
      </c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11" t="s">
        <v>19</v>
      </c>
      <c r="B5" s="12">
        <v>45840.0</v>
      </c>
      <c r="C5" s="13" t="s">
        <v>15</v>
      </c>
      <c r="D5" s="13" t="s">
        <v>16</v>
      </c>
      <c r="E5" s="14" t="s">
        <v>17</v>
      </c>
      <c r="F5" s="15">
        <v>1.0</v>
      </c>
      <c r="G5" s="16">
        <v>2650.0</v>
      </c>
      <c r="I5" s="11" t="s">
        <v>19</v>
      </c>
      <c r="J5" s="12">
        <v>45840.0</v>
      </c>
      <c r="K5" s="13" t="s">
        <v>15</v>
      </c>
      <c r="L5" s="13" t="s">
        <v>16</v>
      </c>
      <c r="M5" s="14" t="s">
        <v>17</v>
      </c>
      <c r="N5" s="15">
        <v>1.0</v>
      </c>
      <c r="O5" s="16">
        <v>2650.0</v>
      </c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11" t="s">
        <v>20</v>
      </c>
      <c r="B6" s="12">
        <v>45840.0</v>
      </c>
      <c r="C6" s="13" t="s">
        <v>15</v>
      </c>
      <c r="D6" s="13" t="s">
        <v>16</v>
      </c>
      <c r="E6" s="14" t="s">
        <v>17</v>
      </c>
      <c r="F6" s="15">
        <v>1.0</v>
      </c>
      <c r="G6" s="16">
        <v>2650.0</v>
      </c>
      <c r="I6" s="11" t="s">
        <v>20</v>
      </c>
      <c r="J6" s="12">
        <v>45840.0</v>
      </c>
      <c r="K6" s="13" t="s">
        <v>15</v>
      </c>
      <c r="L6" s="13" t="s">
        <v>16</v>
      </c>
      <c r="M6" s="14" t="s">
        <v>17</v>
      </c>
      <c r="N6" s="15">
        <v>1.0</v>
      </c>
      <c r="O6" s="16">
        <v>2650.0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1" t="s">
        <v>21</v>
      </c>
      <c r="B7" s="12">
        <v>45840.0</v>
      </c>
      <c r="C7" s="13" t="s">
        <v>15</v>
      </c>
      <c r="D7" s="13" t="s">
        <v>16</v>
      </c>
      <c r="E7" s="14" t="s">
        <v>17</v>
      </c>
      <c r="F7" s="15">
        <v>1.0</v>
      </c>
      <c r="G7" s="16">
        <v>2650.0</v>
      </c>
      <c r="I7" s="11" t="s">
        <v>21</v>
      </c>
      <c r="J7" s="12">
        <v>45840.0</v>
      </c>
      <c r="K7" s="13" t="s">
        <v>15</v>
      </c>
      <c r="L7" s="13" t="s">
        <v>16</v>
      </c>
      <c r="M7" s="14" t="s">
        <v>17</v>
      </c>
      <c r="N7" s="15">
        <v>1.0</v>
      </c>
      <c r="O7" s="16">
        <v>2650.0</v>
      </c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1" t="s">
        <v>14</v>
      </c>
      <c r="B8" s="12">
        <v>45839.0</v>
      </c>
      <c r="C8" s="13" t="s">
        <v>22</v>
      </c>
      <c r="D8" s="13" t="s">
        <v>16</v>
      </c>
      <c r="E8" s="14" t="s">
        <v>23</v>
      </c>
      <c r="F8" s="15">
        <v>0.2</v>
      </c>
      <c r="G8" s="16">
        <v>493.04</v>
      </c>
      <c r="I8" s="11" t="s">
        <v>14</v>
      </c>
      <c r="J8" s="12">
        <v>45839.0</v>
      </c>
      <c r="K8" s="13" t="s">
        <v>22</v>
      </c>
      <c r="L8" s="13" t="s">
        <v>16</v>
      </c>
      <c r="M8" s="14" t="s">
        <v>23</v>
      </c>
      <c r="N8" s="15">
        <v>0.2</v>
      </c>
      <c r="O8" s="16">
        <v>493.04</v>
      </c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1" t="s">
        <v>18</v>
      </c>
      <c r="B9" s="12">
        <v>45839.0</v>
      </c>
      <c r="C9" s="13" t="s">
        <v>22</v>
      </c>
      <c r="D9" s="13" t="s">
        <v>16</v>
      </c>
      <c r="E9" s="14" t="s">
        <v>23</v>
      </c>
      <c r="F9" s="15">
        <v>0.2</v>
      </c>
      <c r="G9" s="16">
        <v>493.04</v>
      </c>
      <c r="I9" s="11" t="s">
        <v>18</v>
      </c>
      <c r="J9" s="12">
        <v>45839.0</v>
      </c>
      <c r="K9" s="13" t="s">
        <v>22</v>
      </c>
      <c r="L9" s="13" t="s">
        <v>16</v>
      </c>
      <c r="M9" s="14" t="s">
        <v>23</v>
      </c>
      <c r="N9" s="15">
        <v>0.2</v>
      </c>
      <c r="O9" s="16">
        <v>493.04</v>
      </c>
      <c r="Q9" s="17"/>
      <c r="R9" s="18"/>
      <c r="S9" s="19"/>
      <c r="T9" s="19"/>
      <c r="U9" s="2"/>
      <c r="V9" s="2"/>
      <c r="W9" s="20"/>
      <c r="AP9" s="29"/>
      <c r="AU9" s="30"/>
    </row>
    <row r="10">
      <c r="A10" s="11" t="s">
        <v>19</v>
      </c>
      <c r="B10" s="12">
        <v>45839.0</v>
      </c>
      <c r="C10" s="13" t="s">
        <v>22</v>
      </c>
      <c r="D10" s="13" t="s">
        <v>16</v>
      </c>
      <c r="E10" s="14" t="s">
        <v>23</v>
      </c>
      <c r="F10" s="15">
        <v>0.2</v>
      </c>
      <c r="G10" s="16">
        <v>493.04</v>
      </c>
      <c r="I10" s="11" t="s">
        <v>19</v>
      </c>
      <c r="J10" s="12">
        <v>45839.0</v>
      </c>
      <c r="K10" s="13" t="s">
        <v>22</v>
      </c>
      <c r="L10" s="13" t="s">
        <v>16</v>
      </c>
      <c r="M10" s="14" t="s">
        <v>23</v>
      </c>
      <c r="N10" s="15">
        <v>0.2</v>
      </c>
      <c r="O10" s="16">
        <v>493.04</v>
      </c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1" t="s">
        <v>20</v>
      </c>
      <c r="B11" s="12">
        <v>45839.0</v>
      </c>
      <c r="C11" s="13" t="s">
        <v>22</v>
      </c>
      <c r="D11" s="13" t="s">
        <v>16</v>
      </c>
      <c r="E11" s="14" t="s">
        <v>23</v>
      </c>
      <c r="F11" s="15">
        <v>0.2</v>
      </c>
      <c r="G11" s="16">
        <v>493.04</v>
      </c>
      <c r="I11" s="11" t="s">
        <v>20</v>
      </c>
      <c r="J11" s="12">
        <v>45839.0</v>
      </c>
      <c r="K11" s="13" t="s">
        <v>22</v>
      </c>
      <c r="L11" s="13" t="s">
        <v>16</v>
      </c>
      <c r="M11" s="14" t="s">
        <v>23</v>
      </c>
      <c r="N11" s="15">
        <v>0.2</v>
      </c>
      <c r="O11" s="16">
        <v>493.04</v>
      </c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1" t="s">
        <v>21</v>
      </c>
      <c r="B12" s="12">
        <v>45839.0</v>
      </c>
      <c r="C12" s="13" t="s">
        <v>22</v>
      </c>
      <c r="D12" s="13" t="s">
        <v>16</v>
      </c>
      <c r="E12" s="14" t="s">
        <v>23</v>
      </c>
      <c r="F12" s="15">
        <v>0.2</v>
      </c>
      <c r="G12" s="16">
        <v>493.04</v>
      </c>
      <c r="I12" s="11" t="s">
        <v>21</v>
      </c>
      <c r="J12" s="12">
        <v>45839.0</v>
      </c>
      <c r="K12" s="13" t="s">
        <v>22</v>
      </c>
      <c r="L12" s="13" t="s">
        <v>16</v>
      </c>
      <c r="M12" s="14" t="s">
        <v>23</v>
      </c>
      <c r="N12" s="15">
        <v>0.2</v>
      </c>
      <c r="O12" s="16">
        <v>493.04</v>
      </c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1" t="s">
        <v>18</v>
      </c>
      <c r="B13" s="12">
        <v>45840.0</v>
      </c>
      <c r="C13" s="31" t="s">
        <v>24</v>
      </c>
      <c r="D13" s="13" t="s">
        <v>16</v>
      </c>
      <c r="E13" s="14" t="s">
        <v>25</v>
      </c>
      <c r="F13" s="15">
        <v>0.2</v>
      </c>
      <c r="G13" s="16">
        <v>490.25</v>
      </c>
      <c r="I13" s="11" t="s">
        <v>18</v>
      </c>
      <c r="J13" s="12">
        <v>45840.0</v>
      </c>
      <c r="K13" s="31" t="s">
        <v>24</v>
      </c>
      <c r="L13" s="13" t="s">
        <v>16</v>
      </c>
      <c r="M13" s="14" t="s">
        <v>25</v>
      </c>
      <c r="N13" s="15">
        <v>0.2</v>
      </c>
      <c r="O13" s="16">
        <v>490.25</v>
      </c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11" t="s">
        <v>19</v>
      </c>
      <c r="B14" s="12">
        <v>45840.0</v>
      </c>
      <c r="C14" s="31" t="s">
        <v>24</v>
      </c>
      <c r="D14" s="13" t="s">
        <v>16</v>
      </c>
      <c r="E14" s="14" t="s">
        <v>25</v>
      </c>
      <c r="F14" s="15">
        <v>0.2</v>
      </c>
      <c r="G14" s="16">
        <v>490.25</v>
      </c>
      <c r="I14" s="11" t="s">
        <v>19</v>
      </c>
      <c r="J14" s="12">
        <v>45840.0</v>
      </c>
      <c r="K14" s="31" t="s">
        <v>24</v>
      </c>
      <c r="L14" s="13" t="s">
        <v>16</v>
      </c>
      <c r="M14" s="14" t="s">
        <v>25</v>
      </c>
      <c r="N14" s="15">
        <v>0.2</v>
      </c>
      <c r="O14" s="16">
        <v>490.25</v>
      </c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11" t="s">
        <v>21</v>
      </c>
      <c r="B15" s="12">
        <v>45840.0</v>
      </c>
      <c r="C15" s="31" t="s">
        <v>24</v>
      </c>
      <c r="D15" s="13" t="s">
        <v>16</v>
      </c>
      <c r="E15" s="14" t="s">
        <v>25</v>
      </c>
      <c r="F15" s="14">
        <v>0.2</v>
      </c>
      <c r="G15" s="16">
        <v>490.25</v>
      </c>
      <c r="I15" s="11" t="s">
        <v>21</v>
      </c>
      <c r="J15" s="12">
        <v>45840.0</v>
      </c>
      <c r="K15" s="31" t="s">
        <v>24</v>
      </c>
      <c r="L15" s="13" t="s">
        <v>16</v>
      </c>
      <c r="M15" s="14" t="s">
        <v>25</v>
      </c>
      <c r="N15" s="14">
        <v>0.2</v>
      </c>
      <c r="O15" s="16">
        <v>490.25</v>
      </c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11" t="s">
        <v>14</v>
      </c>
      <c r="B16" s="12">
        <v>45840.0</v>
      </c>
      <c r="C16" s="13" t="s">
        <v>26</v>
      </c>
      <c r="D16" s="13" t="s">
        <v>16</v>
      </c>
      <c r="E16" s="14" t="s">
        <v>27</v>
      </c>
      <c r="F16" s="14">
        <v>0.2</v>
      </c>
      <c r="G16" s="16">
        <v>483.05</v>
      </c>
      <c r="I16" s="11" t="s">
        <v>14</v>
      </c>
      <c r="J16" s="12">
        <v>45840.0</v>
      </c>
      <c r="K16" s="13" t="s">
        <v>26</v>
      </c>
      <c r="L16" s="13" t="s">
        <v>16</v>
      </c>
      <c r="M16" s="14" t="s">
        <v>27</v>
      </c>
      <c r="N16" s="14">
        <v>0.2</v>
      </c>
      <c r="O16" s="16">
        <v>483.05</v>
      </c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11" t="s">
        <v>18</v>
      </c>
      <c r="B17" s="12">
        <v>45840.0</v>
      </c>
      <c r="C17" s="13" t="s">
        <v>26</v>
      </c>
      <c r="D17" s="13" t="s">
        <v>16</v>
      </c>
      <c r="E17" s="14" t="s">
        <v>27</v>
      </c>
      <c r="F17" s="14">
        <v>0.2</v>
      </c>
      <c r="G17" s="16">
        <v>483.05</v>
      </c>
      <c r="I17" s="11" t="s">
        <v>18</v>
      </c>
      <c r="J17" s="12">
        <v>45840.0</v>
      </c>
      <c r="K17" s="13" t="s">
        <v>26</v>
      </c>
      <c r="L17" s="13" t="s">
        <v>16</v>
      </c>
      <c r="M17" s="14" t="s">
        <v>27</v>
      </c>
      <c r="N17" s="14">
        <v>0.2</v>
      </c>
      <c r="O17" s="16">
        <v>483.05</v>
      </c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11" t="s">
        <v>19</v>
      </c>
      <c r="B18" s="12">
        <v>45840.0</v>
      </c>
      <c r="C18" s="13" t="s">
        <v>26</v>
      </c>
      <c r="D18" s="13" t="s">
        <v>16</v>
      </c>
      <c r="E18" s="14" t="s">
        <v>27</v>
      </c>
      <c r="F18" s="14">
        <v>0.2</v>
      </c>
      <c r="G18" s="16">
        <v>483.05</v>
      </c>
      <c r="I18" s="11" t="s">
        <v>19</v>
      </c>
      <c r="J18" s="12">
        <v>45840.0</v>
      </c>
      <c r="K18" s="13" t="s">
        <v>26</v>
      </c>
      <c r="L18" s="13" t="s">
        <v>16</v>
      </c>
      <c r="M18" s="14" t="s">
        <v>27</v>
      </c>
      <c r="N18" s="14">
        <v>0.2</v>
      </c>
      <c r="O18" s="16">
        <v>483.05</v>
      </c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11" t="s">
        <v>20</v>
      </c>
      <c r="B19" s="12">
        <v>45840.0</v>
      </c>
      <c r="C19" s="13" t="s">
        <v>26</v>
      </c>
      <c r="D19" s="13" t="s">
        <v>16</v>
      </c>
      <c r="E19" s="14" t="s">
        <v>27</v>
      </c>
      <c r="F19" s="14">
        <v>0.2</v>
      </c>
      <c r="G19" s="16">
        <v>483.05</v>
      </c>
      <c r="I19" s="11" t="s">
        <v>20</v>
      </c>
      <c r="J19" s="12">
        <v>45840.0</v>
      </c>
      <c r="K19" s="13" t="s">
        <v>26</v>
      </c>
      <c r="L19" s="13" t="s">
        <v>16</v>
      </c>
      <c r="M19" s="14" t="s">
        <v>27</v>
      </c>
      <c r="N19" s="14">
        <v>0.2</v>
      </c>
      <c r="O19" s="16">
        <v>483.05</v>
      </c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11" t="s">
        <v>21</v>
      </c>
      <c r="B20" s="12">
        <v>45840.0</v>
      </c>
      <c r="C20" s="13" t="s">
        <v>26</v>
      </c>
      <c r="D20" s="13" t="s">
        <v>16</v>
      </c>
      <c r="E20" s="14" t="s">
        <v>27</v>
      </c>
      <c r="F20" s="14">
        <v>0.2</v>
      </c>
      <c r="G20" s="16">
        <v>483.05</v>
      </c>
      <c r="I20" s="11" t="s">
        <v>21</v>
      </c>
      <c r="J20" s="12">
        <v>45840.0</v>
      </c>
      <c r="K20" s="13" t="s">
        <v>26</v>
      </c>
      <c r="L20" s="13" t="s">
        <v>16</v>
      </c>
      <c r="M20" s="14" t="s">
        <v>27</v>
      </c>
      <c r="N20" s="14">
        <v>0.2</v>
      </c>
      <c r="O20" s="16">
        <v>483.05</v>
      </c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32"/>
      <c r="B21" s="33"/>
      <c r="C21" s="34"/>
      <c r="D21" s="35"/>
      <c r="E21" s="36"/>
      <c r="F21" s="36"/>
      <c r="G21" s="37"/>
      <c r="I21" s="32"/>
      <c r="J21" s="33"/>
      <c r="K21" s="34"/>
      <c r="L21" s="35"/>
      <c r="M21" s="36"/>
      <c r="N21" s="36"/>
      <c r="O21" s="37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32"/>
      <c r="B22" s="33"/>
      <c r="C22" s="34"/>
      <c r="D22" s="35"/>
      <c r="E22" s="36"/>
      <c r="F22" s="36"/>
      <c r="G22" s="37"/>
      <c r="I22" s="32"/>
      <c r="J22" s="33"/>
      <c r="K22" s="34"/>
      <c r="L22" s="35"/>
      <c r="M22" s="36"/>
      <c r="N22" s="36"/>
      <c r="O22" s="37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32"/>
      <c r="B23" s="33"/>
      <c r="C23" s="35"/>
      <c r="D23" s="35"/>
      <c r="E23" s="36"/>
      <c r="F23" s="36"/>
      <c r="G23" s="37"/>
      <c r="I23" s="32"/>
      <c r="J23" s="33"/>
      <c r="K23" s="35"/>
      <c r="L23" s="35"/>
      <c r="M23" s="36"/>
      <c r="N23" s="36"/>
      <c r="O23" s="37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32"/>
      <c r="B24" s="33"/>
      <c r="C24" s="35"/>
      <c r="D24" s="35"/>
      <c r="E24" s="36"/>
      <c r="F24" s="36"/>
      <c r="G24" s="37"/>
      <c r="I24" s="32"/>
      <c r="J24" s="33"/>
      <c r="K24" s="35"/>
      <c r="L24" s="35"/>
      <c r="M24" s="36"/>
      <c r="N24" s="36"/>
      <c r="O24" s="37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32"/>
      <c r="B25" s="33"/>
      <c r="C25" s="35"/>
      <c r="D25" s="35"/>
      <c r="E25" s="36"/>
      <c r="F25" s="36"/>
      <c r="G25" s="37"/>
      <c r="I25" s="32"/>
      <c r="J25" s="33"/>
      <c r="K25" s="35"/>
      <c r="L25" s="35"/>
      <c r="M25" s="36"/>
      <c r="N25" s="36"/>
      <c r="O25" s="37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32"/>
      <c r="B26" s="33"/>
      <c r="C26" s="35"/>
      <c r="D26" s="35"/>
      <c r="E26" s="36"/>
      <c r="F26" s="36"/>
      <c r="G26" s="37"/>
      <c r="I26" s="32"/>
      <c r="J26" s="33"/>
      <c r="K26" s="35"/>
      <c r="L26" s="35"/>
      <c r="M26" s="36"/>
      <c r="N26" s="36"/>
      <c r="O26" s="37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32"/>
      <c r="B27" s="33"/>
      <c r="C27" s="35"/>
      <c r="D27" s="35"/>
      <c r="E27" s="36"/>
      <c r="F27" s="36"/>
      <c r="G27" s="37"/>
      <c r="I27" s="32"/>
      <c r="J27" s="33"/>
      <c r="K27" s="35"/>
      <c r="L27" s="35"/>
      <c r="M27" s="36"/>
      <c r="N27" s="36"/>
      <c r="O27" s="37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32"/>
      <c r="B28" s="33"/>
      <c r="C28" s="34"/>
      <c r="D28" s="35"/>
      <c r="E28" s="36"/>
      <c r="F28" s="36"/>
      <c r="G28" s="37"/>
      <c r="I28" s="32"/>
      <c r="J28" s="33"/>
      <c r="K28" s="34"/>
      <c r="L28" s="35"/>
      <c r="M28" s="36"/>
      <c r="N28" s="36"/>
      <c r="O28" s="37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32"/>
      <c r="B29" s="33"/>
      <c r="C29" s="34"/>
      <c r="D29" s="35"/>
      <c r="E29" s="36"/>
      <c r="F29" s="36"/>
      <c r="G29" s="37"/>
      <c r="I29" s="32"/>
      <c r="J29" s="33"/>
      <c r="K29" s="34"/>
      <c r="L29" s="35"/>
      <c r="M29" s="36"/>
      <c r="N29" s="36"/>
      <c r="O29" s="37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32"/>
      <c r="B30" s="33"/>
      <c r="C30" s="34"/>
      <c r="D30" s="35"/>
      <c r="E30" s="36"/>
      <c r="F30" s="36"/>
      <c r="G30" s="37"/>
      <c r="I30" s="32"/>
      <c r="J30" s="33"/>
      <c r="K30" s="34"/>
      <c r="L30" s="35"/>
      <c r="M30" s="36"/>
      <c r="N30" s="36"/>
      <c r="O30" s="37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32"/>
      <c r="B31" s="33"/>
      <c r="C31" s="34"/>
      <c r="D31" s="35"/>
      <c r="E31" s="36"/>
      <c r="F31" s="36"/>
      <c r="G31" s="37"/>
      <c r="I31" s="32"/>
      <c r="J31" s="33"/>
      <c r="K31" s="34"/>
      <c r="L31" s="35"/>
      <c r="M31" s="36"/>
      <c r="N31" s="36"/>
      <c r="O31" s="37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32"/>
      <c r="B32" s="33"/>
      <c r="C32" s="34"/>
      <c r="D32" s="35"/>
      <c r="E32" s="36"/>
      <c r="F32" s="36"/>
      <c r="G32" s="37"/>
      <c r="I32" s="32"/>
      <c r="J32" s="33"/>
      <c r="K32" s="34"/>
      <c r="L32" s="35"/>
      <c r="M32" s="36"/>
      <c r="N32" s="36"/>
      <c r="O32" s="37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32"/>
      <c r="B33" s="33"/>
      <c r="C33" s="34"/>
      <c r="D33" s="35"/>
      <c r="E33" s="36"/>
      <c r="F33" s="36"/>
      <c r="G33" s="37"/>
      <c r="I33" s="32"/>
      <c r="J33" s="33"/>
      <c r="K33" s="34"/>
      <c r="L33" s="35"/>
      <c r="M33" s="36"/>
      <c r="N33" s="36"/>
      <c r="O33" s="37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32"/>
      <c r="B34" s="33"/>
      <c r="C34" s="34"/>
      <c r="D34" s="35"/>
      <c r="E34" s="36"/>
      <c r="F34" s="36"/>
      <c r="G34" s="37"/>
      <c r="I34" s="32"/>
      <c r="J34" s="33"/>
      <c r="K34" s="34"/>
      <c r="L34" s="35"/>
      <c r="M34" s="36"/>
      <c r="N34" s="36"/>
      <c r="O34" s="37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32"/>
      <c r="B35" s="33"/>
      <c r="C35" s="34"/>
      <c r="D35" s="35"/>
      <c r="E35" s="36"/>
      <c r="F35" s="36"/>
      <c r="G35" s="37"/>
      <c r="I35" s="32"/>
      <c r="J35" s="33"/>
      <c r="K35" s="34"/>
      <c r="L35" s="35"/>
      <c r="M35" s="36"/>
      <c r="N35" s="36"/>
      <c r="O35" s="37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32"/>
      <c r="B36" s="33"/>
      <c r="C36" s="34"/>
      <c r="D36" s="35"/>
      <c r="E36" s="36"/>
      <c r="F36" s="36"/>
      <c r="G36" s="37"/>
      <c r="I36" s="32"/>
      <c r="J36" s="33"/>
      <c r="K36" s="34"/>
      <c r="L36" s="35"/>
      <c r="M36" s="36"/>
      <c r="N36" s="36"/>
      <c r="O36" s="37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32"/>
      <c r="B37" s="33"/>
      <c r="C37" s="34"/>
      <c r="D37" s="35"/>
      <c r="E37" s="36"/>
      <c r="F37" s="36"/>
      <c r="G37" s="37"/>
      <c r="I37" s="32"/>
      <c r="J37" s="33"/>
      <c r="K37" s="34"/>
      <c r="L37" s="35"/>
      <c r="M37" s="36"/>
      <c r="N37" s="36"/>
      <c r="O37" s="37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32"/>
      <c r="B38" s="33"/>
      <c r="C38" s="35"/>
      <c r="D38" s="35"/>
      <c r="E38" s="36"/>
      <c r="F38" s="36"/>
      <c r="G38" s="37"/>
      <c r="I38" s="32"/>
      <c r="J38" s="33"/>
      <c r="K38" s="35"/>
      <c r="L38" s="35"/>
      <c r="M38" s="36"/>
      <c r="N38" s="36"/>
      <c r="O38" s="37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32"/>
      <c r="B39" s="33"/>
      <c r="C39" s="35"/>
      <c r="D39" s="35"/>
      <c r="E39" s="36"/>
      <c r="F39" s="36"/>
      <c r="G39" s="37"/>
      <c r="I39" s="32"/>
      <c r="J39" s="33"/>
      <c r="K39" s="35"/>
      <c r="L39" s="35"/>
      <c r="M39" s="36"/>
      <c r="N39" s="36"/>
      <c r="O39" s="37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32"/>
      <c r="B40" s="33"/>
      <c r="C40" s="35"/>
      <c r="D40" s="35"/>
      <c r="E40" s="36"/>
      <c r="F40" s="36"/>
      <c r="G40" s="37"/>
      <c r="I40" s="32"/>
      <c r="J40" s="33"/>
      <c r="K40" s="35"/>
      <c r="L40" s="35"/>
      <c r="M40" s="36"/>
      <c r="N40" s="36"/>
      <c r="O40" s="37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32"/>
      <c r="B41" s="33"/>
      <c r="C41" s="35"/>
      <c r="D41" s="35"/>
      <c r="E41" s="36"/>
      <c r="F41" s="36"/>
      <c r="G41" s="37"/>
      <c r="I41" s="32"/>
      <c r="J41" s="33"/>
      <c r="K41" s="35"/>
      <c r="L41" s="35"/>
      <c r="M41" s="36"/>
      <c r="N41" s="36"/>
      <c r="O41" s="37"/>
      <c r="Q41" s="17"/>
      <c r="R41" s="18"/>
      <c r="S41" s="27"/>
      <c r="T41" s="19"/>
      <c r="U41" s="2"/>
      <c r="V41" s="22"/>
      <c r="W41" s="20"/>
      <c r="AP41" s="29"/>
      <c r="AU41" s="30"/>
    </row>
    <row r="42">
      <c r="A42" s="32"/>
      <c r="B42" s="33"/>
      <c r="C42" s="35"/>
      <c r="D42" s="35"/>
      <c r="E42" s="36"/>
      <c r="F42" s="36"/>
      <c r="G42" s="37"/>
      <c r="I42" s="32"/>
      <c r="J42" s="33"/>
      <c r="K42" s="35"/>
      <c r="L42" s="35"/>
      <c r="M42" s="36"/>
      <c r="N42" s="36"/>
      <c r="O42" s="37"/>
      <c r="Q42" s="17"/>
      <c r="R42" s="18"/>
      <c r="S42" s="19"/>
      <c r="T42" s="19"/>
      <c r="U42" s="2"/>
      <c r="V42" s="22"/>
      <c r="W42" s="20"/>
      <c r="AP42" s="29"/>
      <c r="AU42" s="30"/>
    </row>
    <row r="43">
      <c r="A43" s="32"/>
      <c r="B43" s="33"/>
      <c r="C43" s="34"/>
      <c r="D43" s="35"/>
      <c r="E43" s="36"/>
      <c r="F43" s="36"/>
      <c r="G43" s="37"/>
      <c r="I43" s="32"/>
      <c r="J43" s="33"/>
      <c r="K43" s="34"/>
      <c r="L43" s="35"/>
      <c r="M43" s="36"/>
      <c r="N43" s="36"/>
      <c r="O43" s="37"/>
      <c r="Q43" s="21"/>
      <c r="R43" s="38"/>
      <c r="S43" s="39"/>
      <c r="T43" s="39"/>
      <c r="U43" s="40"/>
      <c r="V43" s="41"/>
      <c r="W43" s="42"/>
      <c r="AP43" s="29"/>
      <c r="AU43" s="30"/>
    </row>
    <row r="44">
      <c r="A44" s="32"/>
      <c r="B44" s="33"/>
      <c r="C44" s="34"/>
      <c r="D44" s="35"/>
      <c r="E44" s="36"/>
      <c r="F44" s="36"/>
      <c r="G44" s="37"/>
      <c r="I44" s="32"/>
      <c r="J44" s="33"/>
      <c r="K44" s="34"/>
      <c r="L44" s="35"/>
      <c r="M44" s="36"/>
      <c r="N44" s="36"/>
      <c r="O44" s="37"/>
      <c r="Q44" s="17"/>
      <c r="R44" s="18"/>
      <c r="S44" s="19"/>
      <c r="T44" s="19"/>
      <c r="U44" s="2"/>
      <c r="V44" s="2"/>
      <c r="W44" s="20"/>
      <c r="AP44" s="29"/>
      <c r="AU44" s="30"/>
    </row>
    <row r="45">
      <c r="A45" s="32"/>
      <c r="B45" s="33"/>
      <c r="C45" s="34"/>
      <c r="D45" s="35"/>
      <c r="E45" s="36"/>
      <c r="F45" s="36"/>
      <c r="G45" s="37"/>
      <c r="I45" s="32"/>
      <c r="J45" s="33"/>
      <c r="K45" s="34"/>
      <c r="L45" s="35"/>
      <c r="M45" s="36"/>
      <c r="N45" s="36"/>
      <c r="O45" s="37"/>
      <c r="AP45" s="29"/>
      <c r="AU45" s="30"/>
    </row>
    <row r="46">
      <c r="A46" s="32"/>
      <c r="B46" s="33"/>
      <c r="C46" s="34"/>
      <c r="D46" s="35"/>
      <c r="E46" s="36"/>
      <c r="F46" s="36"/>
      <c r="G46" s="37"/>
      <c r="I46" s="32"/>
      <c r="J46" s="33"/>
      <c r="K46" s="34"/>
      <c r="L46" s="35"/>
      <c r="M46" s="36"/>
      <c r="N46" s="36"/>
      <c r="O46" s="37"/>
      <c r="AP46" s="29"/>
      <c r="AU46" s="30"/>
    </row>
    <row r="47">
      <c r="A47" s="32"/>
      <c r="B47" s="33"/>
      <c r="C47" s="34"/>
      <c r="D47" s="35"/>
      <c r="E47" s="36"/>
      <c r="F47" s="36"/>
      <c r="G47" s="37"/>
      <c r="I47" s="32"/>
      <c r="J47" s="33"/>
      <c r="K47" s="34"/>
      <c r="L47" s="35"/>
      <c r="M47" s="36"/>
      <c r="N47" s="36"/>
      <c r="O47" s="37"/>
      <c r="AP47" s="29"/>
      <c r="AU47" s="30"/>
    </row>
    <row r="48">
      <c r="A48" s="32"/>
      <c r="B48" s="33"/>
      <c r="C48" s="34"/>
      <c r="D48" s="35"/>
      <c r="E48" s="36"/>
      <c r="F48" s="36"/>
      <c r="G48" s="37"/>
      <c r="I48" s="32"/>
      <c r="J48" s="33"/>
      <c r="K48" s="34"/>
      <c r="L48" s="35"/>
      <c r="M48" s="36"/>
      <c r="N48" s="36"/>
      <c r="O48" s="37"/>
      <c r="AP48" s="29"/>
      <c r="AU48" s="30"/>
    </row>
    <row r="49">
      <c r="A49" s="32"/>
      <c r="B49" s="33"/>
      <c r="C49" s="34"/>
      <c r="D49" s="35"/>
      <c r="E49" s="36"/>
      <c r="F49" s="36"/>
      <c r="G49" s="37"/>
      <c r="I49" s="32"/>
      <c r="J49" s="33"/>
      <c r="K49" s="34"/>
      <c r="L49" s="35"/>
      <c r="M49" s="36"/>
      <c r="N49" s="36"/>
      <c r="O49" s="37"/>
      <c r="AP49" s="29"/>
      <c r="AU49" s="30"/>
    </row>
    <row r="50">
      <c r="A50" s="32"/>
      <c r="B50" s="33"/>
      <c r="C50" s="34"/>
      <c r="D50" s="35"/>
      <c r="E50" s="36"/>
      <c r="F50" s="36"/>
      <c r="G50" s="37"/>
      <c r="I50" s="32"/>
      <c r="J50" s="33"/>
      <c r="K50" s="34"/>
      <c r="L50" s="35"/>
      <c r="M50" s="36"/>
      <c r="N50" s="36"/>
      <c r="O50" s="37"/>
      <c r="AP50" s="29"/>
      <c r="AU50" s="30"/>
    </row>
    <row r="51">
      <c r="A51" s="32"/>
      <c r="B51" s="33"/>
      <c r="C51" s="34"/>
      <c r="D51" s="35"/>
      <c r="E51" s="36"/>
      <c r="F51" s="36"/>
      <c r="G51" s="37"/>
      <c r="I51" s="32"/>
      <c r="J51" s="33"/>
      <c r="K51" s="34"/>
      <c r="L51" s="35"/>
      <c r="M51" s="36"/>
      <c r="N51" s="36"/>
      <c r="O51" s="37"/>
      <c r="AP51" s="29"/>
      <c r="AU51" s="30"/>
    </row>
    <row r="52">
      <c r="A52" s="32"/>
      <c r="B52" s="33"/>
      <c r="C52" s="34"/>
      <c r="D52" s="35"/>
      <c r="E52" s="36"/>
      <c r="F52" s="36"/>
      <c r="G52" s="37"/>
      <c r="I52" s="32"/>
      <c r="J52" s="33"/>
      <c r="K52" s="34"/>
      <c r="L52" s="35"/>
      <c r="M52" s="36"/>
      <c r="N52" s="36"/>
      <c r="O52" s="37"/>
      <c r="AP52" s="29"/>
      <c r="AU52" s="30"/>
    </row>
    <row r="53">
      <c r="A53" s="32"/>
      <c r="B53" s="33"/>
      <c r="C53" s="34"/>
      <c r="D53" s="35"/>
      <c r="E53" s="36"/>
      <c r="F53" s="36"/>
      <c r="G53" s="37"/>
      <c r="I53" s="32"/>
      <c r="J53" s="33"/>
      <c r="K53" s="34"/>
      <c r="L53" s="35"/>
      <c r="M53" s="36"/>
      <c r="N53" s="36"/>
      <c r="O53" s="37"/>
      <c r="AP53" s="29"/>
      <c r="AU53" s="30"/>
    </row>
    <row r="54">
      <c r="A54" s="32"/>
      <c r="B54" s="33"/>
      <c r="C54" s="35"/>
      <c r="D54" s="35"/>
      <c r="E54" s="36"/>
      <c r="F54" s="36"/>
      <c r="G54" s="37"/>
      <c r="I54" s="32"/>
      <c r="J54" s="33"/>
      <c r="K54" s="35"/>
      <c r="L54" s="35"/>
      <c r="M54" s="36"/>
      <c r="N54" s="36"/>
      <c r="O54" s="37"/>
      <c r="AP54" s="29"/>
    </row>
    <row r="55">
      <c r="A55" s="32"/>
      <c r="B55" s="33"/>
      <c r="C55" s="35"/>
      <c r="D55" s="35"/>
      <c r="E55" s="36"/>
      <c r="F55" s="36"/>
      <c r="G55" s="37"/>
      <c r="I55" s="32"/>
      <c r="J55" s="33"/>
      <c r="K55" s="35"/>
      <c r="L55" s="35"/>
      <c r="M55" s="36"/>
      <c r="N55" s="36"/>
      <c r="O55" s="37"/>
      <c r="AP55" s="29"/>
    </row>
    <row r="56">
      <c r="A56" s="32"/>
      <c r="B56" s="33"/>
      <c r="C56" s="35"/>
      <c r="D56" s="35"/>
      <c r="E56" s="36"/>
      <c r="F56" s="36"/>
      <c r="G56" s="37"/>
      <c r="I56" s="32"/>
      <c r="J56" s="33"/>
      <c r="K56" s="35"/>
      <c r="L56" s="35"/>
      <c r="M56" s="36"/>
      <c r="N56" s="36"/>
      <c r="O56" s="37"/>
      <c r="AP56" s="29"/>
    </row>
    <row r="57">
      <c r="A57" s="32"/>
      <c r="B57" s="33"/>
      <c r="C57" s="35"/>
      <c r="D57" s="35"/>
      <c r="E57" s="36"/>
      <c r="F57" s="36"/>
      <c r="G57" s="37"/>
      <c r="I57" s="32"/>
      <c r="J57" s="33"/>
      <c r="K57" s="35"/>
      <c r="L57" s="35"/>
      <c r="M57" s="36"/>
      <c r="N57" s="36"/>
      <c r="O57" s="37"/>
      <c r="AP57" s="29"/>
    </row>
    <row r="58">
      <c r="A58" s="32"/>
      <c r="B58" s="33"/>
      <c r="C58" s="35"/>
      <c r="D58" s="35"/>
      <c r="E58" s="36"/>
      <c r="F58" s="36"/>
      <c r="G58" s="37"/>
      <c r="I58" s="32"/>
      <c r="J58" s="33"/>
      <c r="K58" s="35"/>
      <c r="L58" s="35"/>
      <c r="M58" s="36"/>
      <c r="N58" s="36"/>
      <c r="O58" s="37"/>
      <c r="AP58" s="29"/>
    </row>
    <row r="59">
      <c r="A59" s="32"/>
      <c r="B59" s="33"/>
      <c r="C59" s="34"/>
      <c r="D59" s="35"/>
      <c r="E59" s="36"/>
      <c r="F59" s="36"/>
      <c r="G59" s="37"/>
      <c r="I59" s="32"/>
      <c r="J59" s="33"/>
      <c r="K59" s="34"/>
      <c r="L59" s="35"/>
      <c r="M59" s="36"/>
      <c r="N59" s="36"/>
      <c r="O59" s="37"/>
      <c r="AP59" s="29"/>
    </row>
    <row r="60">
      <c r="A60" s="32"/>
      <c r="B60" s="33"/>
      <c r="C60" s="34"/>
      <c r="D60" s="35"/>
      <c r="E60" s="36"/>
      <c r="F60" s="36"/>
      <c r="G60" s="37"/>
      <c r="I60" s="32"/>
      <c r="J60" s="33"/>
      <c r="K60" s="34"/>
      <c r="L60" s="35"/>
      <c r="M60" s="36"/>
      <c r="N60" s="36"/>
      <c r="O60" s="37"/>
      <c r="AP60" s="29"/>
    </row>
    <row r="61">
      <c r="A61" s="32"/>
      <c r="B61" s="33"/>
      <c r="C61" s="34"/>
      <c r="D61" s="35"/>
      <c r="E61" s="36"/>
      <c r="F61" s="36"/>
      <c r="G61" s="37"/>
      <c r="I61" s="32"/>
      <c r="J61" s="33"/>
      <c r="K61" s="34"/>
      <c r="L61" s="35"/>
      <c r="M61" s="36"/>
      <c r="N61" s="36"/>
      <c r="O61" s="37"/>
      <c r="AP61" s="29"/>
    </row>
    <row r="62">
      <c r="A62" s="32"/>
      <c r="B62" s="33"/>
      <c r="C62" s="34"/>
      <c r="D62" s="35"/>
      <c r="E62" s="36"/>
      <c r="F62" s="36"/>
      <c r="G62" s="37"/>
      <c r="I62" s="32"/>
      <c r="J62" s="33"/>
      <c r="K62" s="34"/>
      <c r="L62" s="35"/>
      <c r="M62" s="36"/>
      <c r="N62" s="36"/>
      <c r="O62" s="37"/>
      <c r="AP62" s="29"/>
    </row>
    <row r="63">
      <c r="A63" s="32"/>
      <c r="B63" s="33"/>
      <c r="C63" s="34"/>
      <c r="D63" s="35"/>
      <c r="E63" s="36"/>
      <c r="F63" s="36"/>
      <c r="G63" s="37"/>
      <c r="I63" s="32"/>
      <c r="J63" s="33"/>
      <c r="K63" s="34"/>
      <c r="L63" s="35"/>
      <c r="M63" s="36"/>
      <c r="N63" s="36"/>
      <c r="O63" s="37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975">
      <c r="B975" s="43">
        <f t="array" ref="B975">counta(UNIQUE(C2:C960))</f>
        <v>5</v>
      </c>
      <c r="E975" s="43">
        <f t="array" ref="E975">counta(UNIQUE(C2:C960))-3</f>
        <v>2</v>
      </c>
      <c r="L975" s="43">
        <f t="array" ref="L975">counta(UNIQUE(K2:K960))-1</f>
        <v>4</v>
      </c>
      <c r="T975" s="43">
        <f t="array" ref="T975">counta(UNIQUE(S2:S960))-1</f>
        <v>0</v>
      </c>
      <c r="AI975" s="43" t="str">
        <f t="array" ref="AI975:AI976">UNIQUE(AI2:AI590)</f>
        <v>Particulars</v>
      </c>
      <c r="AQ975" s="43" t="str">
        <f t="array" ref="AQ975:AQ976">UNIQUE(AQ2:AQ590)</f>
        <v>Particulars</v>
      </c>
    </row>
    <row r="976">
      <c r="AI976" s="43"/>
      <c r="AQ976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4.75"/>
    <col customWidth="1" min="13" max="13" width="10.75"/>
  </cols>
  <sheetData>
    <row r="1">
      <c r="H1" s="44" t="s">
        <v>28</v>
      </c>
      <c r="I1" s="45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44" t="s">
        <v>31</v>
      </c>
      <c r="I2" s="45">
        <f t="array" ref="I2">(COUNTA(UNIQUE(C:C))-1)</f>
        <v>4</v>
      </c>
      <c r="K2" s="46" t="str">
        <f>'Internal Summary'!B40</f>
        <v>28g Choppee Milky Choco (30x)</v>
      </c>
      <c r="L2" s="45">
        <f t="shared" ref="L2:L13" si="1">sumif(D:D,K2,E:E)</f>
        <v>1.6</v>
      </c>
      <c r="M2" s="45">
        <f t="shared" ref="M2:M13" si="2">sumif(D:D,K2,F:F)</f>
        <v>4116.34</v>
      </c>
      <c r="N2" s="47"/>
    </row>
    <row r="3">
      <c r="H3" s="44" t="s">
        <v>32</v>
      </c>
      <c r="I3" s="45">
        <f>sum(F:F)</f>
        <v>19601.2</v>
      </c>
      <c r="K3" s="46" t="str">
        <f>'Internal Summary'!B41</f>
        <v>28g Choppee Cheezy Delight (30x)</v>
      </c>
      <c r="L3" s="45">
        <f t="shared" si="1"/>
        <v>1.4</v>
      </c>
      <c r="M3" s="45">
        <f t="shared" si="2"/>
        <v>3626.09</v>
      </c>
      <c r="N3" s="47"/>
    </row>
    <row r="4">
      <c r="H4" s="1"/>
      <c r="K4" s="46" t="str">
        <f>'Internal Summary'!B42</f>
        <v>28g Choppee Crispy Bananos (30x)</v>
      </c>
      <c r="L4" s="45">
        <f t="shared" si="1"/>
        <v>1.6</v>
      </c>
      <c r="M4" s="45">
        <f t="shared" si="2"/>
        <v>4116.34</v>
      </c>
      <c r="N4" s="47"/>
    </row>
    <row r="5">
      <c r="H5" s="1"/>
      <c r="K5" s="46" t="str">
        <f>'Internal Summary'!B43</f>
        <v>28g Choppee Crispy Berry Strawberry (30x)</v>
      </c>
      <c r="L5" s="45">
        <f t="shared" si="1"/>
        <v>1.4</v>
      </c>
      <c r="M5" s="45">
        <f t="shared" si="2"/>
        <v>3626.09</v>
      </c>
      <c r="N5" s="47"/>
    </row>
    <row r="6">
      <c r="K6" s="46" t="str">
        <f>'Internal Summary'!B44</f>
        <v>28g Choppee Crispy Granos (30x)</v>
      </c>
      <c r="L6" s="45">
        <f t="shared" si="1"/>
        <v>1.6</v>
      </c>
      <c r="M6" s="45">
        <f t="shared" si="2"/>
        <v>4116.34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29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I27" s="49"/>
    </row>
    <row r="28"/>
    <row r="29"/>
    <row r="30">
      <c r="I30" s="49"/>
    </row>
    <row r="31"/>
    <row r="32"/>
    <row r="33">
      <c r="I33" s="49"/>
    </row>
    <row r="34"/>
    <row r="35"/>
    <row r="36">
      <c r="I36" s="49"/>
    </row>
    <row r="37"/>
    <row r="38"/>
    <row r="39">
      <c r="I39" s="49"/>
    </row>
    <row r="40"/>
    <row r="41"/>
    <row r="42">
      <c r="I42" s="49"/>
    </row>
    <row r="43"/>
    <row r="44"/>
    <row r="45">
      <c r="I45" s="49"/>
    </row>
    <row r="46"/>
    <row r="47"/>
    <row r="48">
      <c r="I48" s="49"/>
    </row>
    <row r="49"/>
    <row r="50"/>
    <row r="51">
      <c r="I51" s="49"/>
    </row>
    <row r="52"/>
    <row r="53"/>
    <row r="54">
      <c r="I54" s="49"/>
    </row>
    <row r="55"/>
    <row r="56"/>
    <row r="57">
      <c r="I57" s="49"/>
    </row>
    <row r="58"/>
    <row r="59"/>
    <row r="60">
      <c r="I60" s="49"/>
    </row>
    <row r="61"/>
    <row r="62"/>
    <row r="63">
      <c r="I63" s="49"/>
    </row>
    <row r="64"/>
    <row r="65"/>
    <row r="66">
      <c r="I66" s="49"/>
    </row>
    <row r="67"/>
    <row r="68"/>
    <row r="69">
      <c r="I69" s="49"/>
    </row>
    <row r="70"/>
    <row r="71"/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5.13"/>
    <col customWidth="1" min="13" max="13" width="10.7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28g Choppee Milky Choco (30x)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28g Choppee Cheezy Delight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28g Choppee Crispy Bananos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>28g Choppee Crispy Berry Strawberry (30x)</v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>28g Choppee Crispy Granos (30x)</v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3.38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42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28g Choppee Milky Choco (30x)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28g Choppee Cheezy Delight (30x)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>28g Choppee Crispy Bananos (30x)</v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>28g Choppee Crispy Berry Strawberry (30x)</v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>28g Choppee Crispy Granos (30x)</v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0</v>
      </c>
      <c r="K2" s="46" t="str">
        <f>'Internal Summary'!B40</f>
        <v>28g Choppee Milky Choco (30x)</v>
      </c>
      <c r="L2" s="45">
        <f t="shared" ref="L2:L13" si="1">sumif(D:D,K2,E:E)</f>
        <v>0</v>
      </c>
    </row>
    <row r="3">
      <c r="H3" s="44" t="s">
        <v>32</v>
      </c>
      <c r="I3" s="45">
        <f>sum(F:F)</f>
        <v>0</v>
      </c>
      <c r="K3" s="46" t="str">
        <f>'Internal Summary'!B41</f>
        <v>28g Choppee Cheezy Delight (30x)</v>
      </c>
      <c r="L3" s="45">
        <f t="shared" si="1"/>
        <v>0</v>
      </c>
    </row>
    <row r="4">
      <c r="H4" s="1"/>
      <c r="K4" s="46" t="str">
        <f>'Internal Summary'!B42</f>
        <v>28g Choppee Crispy Bananos (30x)</v>
      </c>
      <c r="L4" s="45">
        <f t="shared" si="1"/>
        <v>0</v>
      </c>
    </row>
    <row r="5">
      <c r="H5" s="1"/>
      <c r="K5" s="46" t="str">
        <f>'Internal Summary'!B43</f>
        <v>28g Choppee Crispy Berry Strawberry (30x)</v>
      </c>
      <c r="L5" s="45">
        <f t="shared" si="1"/>
        <v>0</v>
      </c>
    </row>
    <row r="6">
      <c r="K6" s="46" t="str">
        <f>'Internal Summary'!B44</f>
        <v>28g Choppee Crispy Granos (30x)</v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33.38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0</v>
      </c>
      <c r="K2" s="46" t="str">
        <f>'Internal Summary'!B40</f>
        <v>28g Choppee Milky Choco (30x)</v>
      </c>
      <c r="L2" s="45">
        <f t="shared" ref="L2:L13" si="1">sumif(D:D,K2,E:E)</f>
        <v>0</v>
      </c>
    </row>
    <row r="3">
      <c r="H3" s="44" t="s">
        <v>32</v>
      </c>
      <c r="I3" s="45">
        <f>sum(F:F)</f>
        <v>0</v>
      </c>
      <c r="K3" s="46" t="str">
        <f>'Internal Summary'!B41</f>
        <v>28g Choppee Cheezy Delight (30x)</v>
      </c>
      <c r="L3" s="45">
        <f t="shared" si="1"/>
        <v>0</v>
      </c>
    </row>
    <row r="4">
      <c r="H4" s="1"/>
      <c r="K4" s="46" t="str">
        <f>'Internal Summary'!B42</f>
        <v>28g Choppee Crispy Bananos (30x)</v>
      </c>
      <c r="L4" s="45">
        <f t="shared" si="1"/>
        <v>0</v>
      </c>
    </row>
    <row r="5">
      <c r="H5" s="1"/>
      <c r="K5" s="46" t="str">
        <f>'Internal Summary'!B43</f>
        <v>28g Choppee Crispy Berry Strawberry (30x)</v>
      </c>
      <c r="L5" s="45">
        <f t="shared" si="1"/>
        <v>0</v>
      </c>
    </row>
    <row r="6">
      <c r="K6" s="46" t="str">
        <f>'Internal Summary'!B44</f>
        <v>28g Choppee Crispy Granos (30x)</v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43</v>
      </c>
      <c r="C1" s="44" t="s">
        <v>30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28</v>
      </c>
      <c r="C2" s="56"/>
      <c r="D2" s="57"/>
      <c r="E2" s="58">
        <f>'Dala Sales &amp; Deliveries'!I1+'External Delivery Fulfillment'!I1</f>
        <v>4</v>
      </c>
      <c r="F2" s="53"/>
    </row>
    <row r="3">
      <c r="A3" s="59"/>
      <c r="B3" s="55" t="s">
        <v>47</v>
      </c>
      <c r="C3" s="56"/>
      <c r="D3" s="56"/>
      <c r="E3" s="55">
        <f>'Raw Data'!AW2</f>
        <v>3</v>
      </c>
      <c r="F3" s="53"/>
    </row>
    <row r="4">
      <c r="B4" s="60" t="s">
        <v>48</v>
      </c>
      <c r="C4" s="53"/>
      <c r="D4" s="61"/>
      <c r="E4" s="62">
        <f>'Dala Sales &amp; Deliveries'!I3</f>
        <v>19601.2</v>
      </c>
      <c r="F4" s="53"/>
    </row>
    <row r="5">
      <c r="B5" s="60" t="s">
        <v>49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50</v>
      </c>
      <c r="C6" s="65"/>
      <c r="D6" s="56"/>
      <c r="E6" s="66">
        <f>E4*1.075-E4</f>
        <v>1470.09</v>
      </c>
      <c r="F6" s="53"/>
    </row>
    <row r="7">
      <c r="A7" s="67"/>
      <c r="B7" s="68" t="s">
        <v>51</v>
      </c>
      <c r="C7" s="69"/>
      <c r="D7" s="69"/>
      <c r="E7" s="70">
        <f>sum(E4:E6)</f>
        <v>21071.29</v>
      </c>
      <c r="F7" s="53"/>
    </row>
    <row r="8">
      <c r="A8" s="54" t="s">
        <v>52</v>
      </c>
      <c r="B8" s="55" t="s">
        <v>53</v>
      </c>
      <c r="C8" s="56"/>
      <c r="D8" s="71"/>
      <c r="E8" s="72"/>
    </row>
    <row r="9">
      <c r="A9" s="67"/>
      <c r="B9" s="68" t="s">
        <v>54</v>
      </c>
      <c r="C9" s="73">
        <v>0.1</v>
      </c>
      <c r="D9" s="74"/>
      <c r="E9" s="70">
        <f>E8*(C9+100%)-E8</f>
        <v>0</v>
      </c>
      <c r="K9" s="49"/>
      <c r="L9" s="49"/>
      <c r="M9" s="49"/>
    </row>
    <row r="10">
      <c r="A10" s="75" t="s">
        <v>55</v>
      </c>
      <c r="B10" s="68" t="s">
        <v>56</v>
      </c>
      <c r="C10" s="69"/>
      <c r="D10" s="74"/>
      <c r="E10" s="70">
        <f>E4-E8-E9</f>
        <v>19601.2</v>
      </c>
    </row>
    <row r="11">
      <c r="A11" s="54" t="s">
        <v>57</v>
      </c>
      <c r="B11" s="55" t="s">
        <v>58</v>
      </c>
      <c r="C11" s="76"/>
      <c r="D11" s="77">
        <v>100000.0</v>
      </c>
      <c r="E11" s="77">
        <f>C11*D11</f>
        <v>0</v>
      </c>
    </row>
    <row r="12">
      <c r="A12" s="59"/>
      <c r="B12" s="55" t="s">
        <v>54</v>
      </c>
      <c r="C12" s="78"/>
      <c r="D12" s="71"/>
      <c r="E12" s="77">
        <f>E10*C9</f>
        <v>1960.12</v>
      </c>
    </row>
    <row r="13">
      <c r="A13" s="59"/>
      <c r="B13" s="64" t="s">
        <v>59</v>
      </c>
      <c r="C13" s="56"/>
      <c r="D13" s="79" t="s">
        <v>60</v>
      </c>
      <c r="E13" s="77">
        <f>C22+C26</f>
        <v>0</v>
      </c>
    </row>
    <row r="14">
      <c r="A14" s="59"/>
      <c r="B14" s="55" t="s">
        <v>61</v>
      </c>
      <c r="C14" s="71"/>
      <c r="D14" s="71"/>
      <c r="E14" s="80">
        <v>0.0</v>
      </c>
    </row>
    <row r="15">
      <c r="A15" s="59"/>
      <c r="B15" s="55" t="s">
        <v>62</v>
      </c>
      <c r="C15" s="71"/>
      <c r="D15" s="71"/>
      <c r="E15" s="77">
        <f>C30</f>
        <v>0</v>
      </c>
    </row>
    <row r="16">
      <c r="A16" s="67"/>
      <c r="B16" s="68" t="s">
        <v>63</v>
      </c>
      <c r="C16" s="74"/>
      <c r="D16" s="74"/>
      <c r="E16" s="70">
        <f>sum(E11:E15)</f>
        <v>1960.12</v>
      </c>
      <c r="H16" s="1"/>
      <c r="I16" s="1"/>
    </row>
    <row r="17">
      <c r="A17" s="75" t="s">
        <v>64</v>
      </c>
      <c r="B17" s="68" t="s">
        <v>65</v>
      </c>
      <c r="C17" s="74"/>
      <c r="D17" s="74"/>
      <c r="E17" s="70">
        <f>E10-E16+C36</f>
        <v>17641.08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66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4" t="s">
        <v>67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4" t="s">
        <v>68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4" t="s">
        <v>69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4" t="s">
        <v>70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4" t="s">
        <v>71</v>
      </c>
      <c r="C25" s="83">
        <f>67</f>
        <v>67</v>
      </c>
      <c r="H25" s="1"/>
      <c r="I25" s="1"/>
    </row>
    <row r="26">
      <c r="A26" s="82"/>
      <c r="B26" s="44" t="s">
        <v>72</v>
      </c>
      <c r="C26" s="86">
        <f>P69</f>
        <v>0</v>
      </c>
      <c r="H26" s="1"/>
      <c r="I26" s="1"/>
    </row>
    <row r="27">
      <c r="A27" s="82"/>
      <c r="B27" s="44" t="s">
        <v>73</v>
      </c>
      <c r="C27" s="45">
        <f>Q69</f>
        <v>0</v>
      </c>
      <c r="H27" s="1"/>
      <c r="I27" s="1"/>
    </row>
    <row r="28">
      <c r="A28" s="82"/>
      <c r="B28" s="44" t="s">
        <v>74</v>
      </c>
      <c r="C28" s="45">
        <f>R69</f>
        <v>0</v>
      </c>
      <c r="H28" s="1"/>
      <c r="I28" s="1"/>
    </row>
    <row r="29">
      <c r="A29" s="82"/>
      <c r="B29" s="44" t="s">
        <v>75</v>
      </c>
      <c r="C29" s="83">
        <f>F69</f>
        <v>0</v>
      </c>
      <c r="D29" s="82"/>
      <c r="H29" s="1"/>
      <c r="I29" s="1"/>
    </row>
    <row r="30">
      <c r="A30" s="82"/>
      <c r="B30" s="44" t="s">
        <v>76</v>
      </c>
      <c r="C30" s="83">
        <f>G69</f>
        <v>0</v>
      </c>
      <c r="D30" s="82"/>
      <c r="H30" s="1"/>
      <c r="I30" s="1"/>
    </row>
    <row r="31">
      <c r="A31" s="82"/>
      <c r="B31" s="44" t="s">
        <v>77</v>
      </c>
      <c r="C31" s="83">
        <f>I69</f>
        <v>1</v>
      </c>
      <c r="D31" s="82"/>
      <c r="H31" s="1"/>
      <c r="I31" s="1"/>
    </row>
    <row r="32">
      <c r="A32" s="82"/>
      <c r="B32" s="44" t="s">
        <v>78</v>
      </c>
      <c r="C32" s="83">
        <f>J69</f>
        <v>0</v>
      </c>
      <c r="D32" s="82"/>
      <c r="H32" s="1"/>
      <c r="I32" s="1"/>
    </row>
    <row r="33">
      <c r="B33" s="44" t="s">
        <v>79</v>
      </c>
      <c r="C33" s="83">
        <v>0.0</v>
      </c>
    </row>
    <row r="34">
      <c r="B34" s="44" t="s">
        <v>80</v>
      </c>
      <c r="C34" s="45">
        <f>K69</f>
        <v>5</v>
      </c>
    </row>
    <row r="35">
      <c r="B35" s="44" t="s">
        <v>81</v>
      </c>
      <c r="C35" s="83">
        <v>0.0</v>
      </c>
    </row>
    <row r="36">
      <c r="B36" s="44" t="s">
        <v>82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83</v>
      </c>
      <c r="C39" s="44" t="s">
        <v>84</v>
      </c>
      <c r="D39" s="44" t="s">
        <v>85</v>
      </c>
      <c r="E39" s="44" t="s">
        <v>86</v>
      </c>
      <c r="F39" s="46" t="s">
        <v>87</v>
      </c>
      <c r="G39" s="46" t="s">
        <v>88</v>
      </c>
      <c r="H39" s="46" t="s">
        <v>89</v>
      </c>
      <c r="I39" s="46" t="s">
        <v>90</v>
      </c>
      <c r="J39" s="46" t="s">
        <v>91</v>
      </c>
      <c r="K39" s="46" t="s">
        <v>92</v>
      </c>
      <c r="L39" s="46" t="s">
        <v>79</v>
      </c>
      <c r="M39" s="46" t="s">
        <v>81</v>
      </c>
      <c r="N39" s="46" t="s">
        <v>93</v>
      </c>
      <c r="O39" s="46" t="s">
        <v>94</v>
      </c>
      <c r="P39" s="46" t="s">
        <v>95</v>
      </c>
      <c r="Q39" s="46" t="s">
        <v>96</v>
      </c>
      <c r="R39" s="46" t="s">
        <v>97</v>
      </c>
      <c r="S39" s="46" t="s">
        <v>98</v>
      </c>
      <c r="T39" s="46" t="s">
        <v>70</v>
      </c>
      <c r="U39" s="46" t="s">
        <v>99</v>
      </c>
      <c r="V39" s="46" t="s">
        <v>100</v>
      </c>
      <c r="W39" s="46" t="s">
        <v>101</v>
      </c>
    </row>
    <row r="40">
      <c r="B40" s="87" t="s">
        <v>21</v>
      </c>
      <c r="C40" s="88">
        <v>2650.0</v>
      </c>
      <c r="D40" s="89"/>
      <c r="E40" s="88"/>
      <c r="F40" s="89"/>
      <c r="G40" s="50">
        <f t="shared" ref="G40:G68" si="1">F40*C40</f>
        <v>0</v>
      </c>
      <c r="H40" s="89">
        <v>8.0</v>
      </c>
      <c r="I40" s="89">
        <v>0.2</v>
      </c>
      <c r="J40" s="89"/>
      <c r="K40" s="89">
        <v>1.0</v>
      </c>
      <c r="L40" s="86">
        <f t="shared" ref="L40:L68" si="2">H40+U40+W40-O40-Q40-I40-J40</f>
        <v>6.2</v>
      </c>
      <c r="M40" s="45">
        <f t="shared" ref="M40:M68" si="3">K40-L40</f>
        <v>-5.2</v>
      </c>
      <c r="N40" s="50">
        <f t="shared" ref="N40:N68" si="4">M40*C40</f>
        <v>-13780</v>
      </c>
      <c r="O40" s="45">
        <f>'Dala Sales &amp; Deliveries'!L2</f>
        <v>1.6</v>
      </c>
      <c r="P40" s="50">
        <f t="shared" ref="P40:P68" si="5">O40*E40</f>
        <v>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7" t="s">
        <v>14</v>
      </c>
      <c r="C41" s="88">
        <v>2650.0</v>
      </c>
      <c r="D41" s="89"/>
      <c r="E41" s="88"/>
      <c r="F41" s="87"/>
      <c r="G41" s="50">
        <f t="shared" si="1"/>
        <v>0</v>
      </c>
      <c r="H41" s="89">
        <v>8.0</v>
      </c>
      <c r="I41" s="89">
        <v>0.2</v>
      </c>
      <c r="J41" s="87"/>
      <c r="K41" s="89">
        <v>1.0</v>
      </c>
      <c r="L41" s="86">
        <f t="shared" si="2"/>
        <v>6.4</v>
      </c>
      <c r="M41" s="45">
        <f t="shared" si="3"/>
        <v>-5.4</v>
      </c>
      <c r="N41" s="50">
        <f t="shared" si="4"/>
        <v>-14310</v>
      </c>
      <c r="O41" s="45">
        <f>'Dala Sales &amp; Deliveries'!L3</f>
        <v>1.4</v>
      </c>
      <c r="P41" s="50">
        <f t="shared" si="5"/>
        <v>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7" t="s">
        <v>18</v>
      </c>
      <c r="C42" s="88">
        <v>2650.0</v>
      </c>
      <c r="D42" s="89"/>
      <c r="E42" s="88"/>
      <c r="F42" s="87"/>
      <c r="G42" s="50">
        <f t="shared" si="1"/>
        <v>0</v>
      </c>
      <c r="H42" s="89">
        <v>8.0</v>
      </c>
      <c r="I42" s="89">
        <v>0.2</v>
      </c>
      <c r="J42" s="87"/>
      <c r="K42" s="89">
        <v>1.0</v>
      </c>
      <c r="L42" s="86">
        <f t="shared" si="2"/>
        <v>6.2</v>
      </c>
      <c r="M42" s="45">
        <f t="shared" si="3"/>
        <v>-5.2</v>
      </c>
      <c r="N42" s="50">
        <f t="shared" si="4"/>
        <v>-13780</v>
      </c>
      <c r="O42" s="45">
        <f>'Dala Sales &amp; Deliveries'!L4</f>
        <v>1.6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7" t="s">
        <v>20</v>
      </c>
      <c r="C43" s="88">
        <v>2650.0</v>
      </c>
      <c r="D43" s="89"/>
      <c r="E43" s="88"/>
      <c r="F43" s="87"/>
      <c r="G43" s="50">
        <f t="shared" si="1"/>
        <v>0</v>
      </c>
      <c r="H43" s="89">
        <v>8.0</v>
      </c>
      <c r="I43" s="89">
        <v>0.2</v>
      </c>
      <c r="J43" s="87"/>
      <c r="K43" s="89">
        <v>1.0</v>
      </c>
      <c r="L43" s="86">
        <f t="shared" si="2"/>
        <v>6.4</v>
      </c>
      <c r="M43" s="45">
        <f t="shared" si="3"/>
        <v>-5.4</v>
      </c>
      <c r="N43" s="50">
        <f t="shared" si="4"/>
        <v>-14310</v>
      </c>
      <c r="O43" s="45">
        <f>'Dala Sales &amp; Deliveries'!L5</f>
        <v>1.4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7" t="s">
        <v>19</v>
      </c>
      <c r="C44" s="88">
        <v>2650.0</v>
      </c>
      <c r="D44" s="89"/>
      <c r="E44" s="88"/>
      <c r="F44" s="87"/>
      <c r="G44" s="50">
        <f t="shared" si="1"/>
        <v>0</v>
      </c>
      <c r="H44" s="89">
        <v>8.0</v>
      </c>
      <c r="I44" s="89">
        <v>0.2</v>
      </c>
      <c r="J44" s="87"/>
      <c r="K44" s="89">
        <v>1.0</v>
      </c>
      <c r="L44" s="86">
        <f t="shared" si="2"/>
        <v>6.2</v>
      </c>
      <c r="M44" s="45">
        <f t="shared" si="3"/>
        <v>-5.2</v>
      </c>
      <c r="N44" s="50">
        <f t="shared" si="4"/>
        <v>-13780</v>
      </c>
      <c r="O44" s="45">
        <f>'Dala Sales &amp; Deliveries'!L6</f>
        <v>1.6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9"/>
      <c r="C45" s="88"/>
      <c r="D45" s="89"/>
      <c r="E45" s="88"/>
      <c r="F45" s="87"/>
      <c r="G45" s="50">
        <f t="shared" si="1"/>
        <v>0</v>
      </c>
      <c r="H45" s="87"/>
      <c r="I45" s="87"/>
      <c r="J45" s="87"/>
      <c r="K45" s="89"/>
      <c r="L45" s="86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9"/>
      <c r="C46" s="88"/>
      <c r="D46" s="89"/>
      <c r="E46" s="88"/>
      <c r="F46" s="87"/>
      <c r="G46" s="50">
        <f t="shared" si="1"/>
        <v>0</v>
      </c>
      <c r="H46" s="87"/>
      <c r="I46" s="87"/>
      <c r="J46" s="87"/>
      <c r="K46" s="87"/>
      <c r="L46" s="86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9"/>
      <c r="C47" s="88"/>
      <c r="D47" s="89"/>
      <c r="E47" s="88"/>
      <c r="F47" s="87"/>
      <c r="G47" s="50">
        <f t="shared" si="1"/>
        <v>0</v>
      </c>
      <c r="H47" s="87"/>
      <c r="I47" s="87"/>
      <c r="J47" s="87"/>
      <c r="K47" s="87"/>
      <c r="L47" s="86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9"/>
      <c r="C48" s="88"/>
      <c r="D48" s="89"/>
      <c r="E48" s="88"/>
      <c r="F48" s="87"/>
      <c r="G48" s="50">
        <f t="shared" si="1"/>
        <v>0</v>
      </c>
      <c r="H48" s="87"/>
      <c r="I48" s="87"/>
      <c r="J48" s="87"/>
      <c r="K48" s="87"/>
      <c r="L48" s="86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9"/>
      <c r="C49" s="88"/>
      <c r="D49" s="89"/>
      <c r="E49" s="88"/>
      <c r="F49" s="87"/>
      <c r="G49" s="50">
        <f t="shared" si="1"/>
        <v>0</v>
      </c>
      <c r="H49" s="87"/>
      <c r="I49" s="87"/>
      <c r="J49" s="87"/>
      <c r="K49" s="87"/>
      <c r="L49" s="86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9"/>
      <c r="C50" s="88"/>
      <c r="D50" s="89"/>
      <c r="E50" s="88"/>
      <c r="F50" s="87"/>
      <c r="G50" s="50">
        <f t="shared" si="1"/>
        <v>0</v>
      </c>
      <c r="H50" s="87"/>
      <c r="I50" s="87"/>
      <c r="J50" s="87"/>
      <c r="K50" s="87"/>
      <c r="L50" s="86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9"/>
      <c r="C51" s="88"/>
      <c r="D51" s="89"/>
      <c r="E51" s="88"/>
      <c r="F51" s="87"/>
      <c r="G51" s="50">
        <f t="shared" si="1"/>
        <v>0</v>
      </c>
      <c r="H51" s="87"/>
      <c r="I51" s="87"/>
      <c r="J51" s="87"/>
      <c r="K51" s="87"/>
      <c r="L51" s="86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102</v>
      </c>
      <c r="C69" s="46"/>
      <c r="D69" s="46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40</v>
      </c>
      <c r="I69" s="90">
        <f t="shared" si="9"/>
        <v>1</v>
      </c>
      <c r="J69" s="90">
        <f t="shared" si="9"/>
        <v>0</v>
      </c>
      <c r="K69" s="90">
        <f t="shared" si="9"/>
        <v>5</v>
      </c>
      <c r="L69" s="45">
        <f t="shared" si="9"/>
        <v>31.4</v>
      </c>
      <c r="M69" s="45">
        <f t="shared" si="9"/>
        <v>-26.4</v>
      </c>
      <c r="N69" s="50">
        <f t="shared" si="9"/>
        <v>-69960</v>
      </c>
      <c r="O69" s="45">
        <f t="shared" si="9"/>
        <v>7.6</v>
      </c>
      <c r="P69" s="50">
        <f t="shared" si="9"/>
        <v>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3.3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43</v>
      </c>
      <c r="C1" s="44" t="s">
        <v>30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28</v>
      </c>
      <c r="C2" s="56"/>
      <c r="D2" s="56"/>
      <c r="E2" s="58">
        <f>'Dala Sales &amp; Deliveries'!I1+'External Delivery Fulfillment'!I1+'Forwarding From Client'!I1</f>
        <v>4</v>
      </c>
      <c r="F2" s="53"/>
    </row>
    <row r="3">
      <c r="A3" s="59"/>
      <c r="B3" s="55" t="s">
        <v>47</v>
      </c>
      <c r="C3" s="56"/>
      <c r="D3" s="56"/>
      <c r="E3" s="58">
        <f>'Raw Data'!AW2</f>
        <v>3</v>
      </c>
      <c r="F3" s="53"/>
    </row>
    <row r="4">
      <c r="B4" s="60" t="s">
        <v>48</v>
      </c>
      <c r="C4" s="53"/>
      <c r="D4" s="53"/>
      <c r="E4" s="62">
        <f>'Dala Sales &amp; Deliveries'!I3</f>
        <v>19601.2</v>
      </c>
      <c r="F4" s="53"/>
    </row>
    <row r="5">
      <c r="B5" s="60" t="s">
        <v>49</v>
      </c>
      <c r="C5" s="53"/>
      <c r="D5" s="53"/>
      <c r="E5" s="62">
        <f>'External Delivery Fulfillment'!I3</f>
        <v>0</v>
      </c>
      <c r="F5" s="53"/>
    </row>
    <row r="6">
      <c r="A6" s="67"/>
      <c r="B6" s="68" t="s">
        <v>51</v>
      </c>
      <c r="C6" s="69"/>
      <c r="D6" s="74"/>
      <c r="E6" s="70">
        <f>sum(E4:E5)</f>
        <v>19601.2</v>
      </c>
      <c r="F6" s="53"/>
    </row>
    <row r="7">
      <c r="A7" s="54" t="s">
        <v>52</v>
      </c>
      <c r="B7" s="55" t="s">
        <v>53</v>
      </c>
      <c r="C7" s="56"/>
      <c r="D7" s="71"/>
      <c r="E7" s="72"/>
    </row>
    <row r="8">
      <c r="A8" s="59"/>
      <c r="B8" s="55" t="s">
        <v>59</v>
      </c>
      <c r="C8" s="91">
        <v>0.07</v>
      </c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54</v>
      </c>
      <c r="C9" s="73">
        <v>0.13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57</v>
      </c>
      <c r="B10" s="55" t="s">
        <v>58</v>
      </c>
      <c r="C10" s="76">
        <v>2.0</v>
      </c>
      <c r="D10" s="77">
        <v>100000.0</v>
      </c>
      <c r="E10" s="77">
        <f>C10*D10</f>
        <v>200000</v>
      </c>
    </row>
    <row r="11">
      <c r="A11" s="59"/>
      <c r="B11" s="64" t="s">
        <v>104</v>
      </c>
      <c r="C11" s="56"/>
      <c r="D11" s="79"/>
      <c r="E11" s="77">
        <f>V67</f>
        <v>0</v>
      </c>
    </row>
    <row r="12">
      <c r="A12" s="59"/>
      <c r="B12" s="64" t="s">
        <v>74</v>
      </c>
      <c r="C12" s="56"/>
      <c r="D12" s="79"/>
      <c r="E12" s="77">
        <f>R67</f>
        <v>0</v>
      </c>
    </row>
    <row r="13">
      <c r="A13" s="59"/>
      <c r="B13" s="55" t="s">
        <v>61</v>
      </c>
      <c r="C13" s="71"/>
      <c r="D13" s="71"/>
      <c r="E13" s="92">
        <v>0.0</v>
      </c>
    </row>
    <row r="14">
      <c r="A14" s="59"/>
      <c r="B14" s="55" t="s">
        <v>62</v>
      </c>
      <c r="C14" s="71"/>
      <c r="D14" s="71"/>
      <c r="E14" s="77">
        <f>C28</f>
        <v>0</v>
      </c>
    </row>
    <row r="15">
      <c r="A15" s="67"/>
      <c r="B15" s="68" t="s">
        <v>105</v>
      </c>
      <c r="C15" s="74"/>
      <c r="D15" s="74"/>
      <c r="E15" s="70">
        <f>sum(E10:E14)</f>
        <v>200000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66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4" t="s">
        <v>67</v>
      </c>
      <c r="C19" s="83">
        <f>U67</f>
        <v>0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4" t="s">
        <v>68</v>
      </c>
      <c r="C20" s="83">
        <f>V67</f>
        <v>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4" t="s">
        <v>69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4" t="s">
        <v>70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4" t="s">
        <v>71</v>
      </c>
      <c r="C23" s="83">
        <f>O67</f>
        <v>7.6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4" t="s">
        <v>72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4" t="s">
        <v>73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4" t="s">
        <v>74</v>
      </c>
      <c r="C26" s="83">
        <f>R67</f>
        <v>0</v>
      </c>
      <c r="D26" s="82"/>
    </row>
    <row r="27">
      <c r="A27" s="82"/>
      <c r="B27" s="44" t="s">
        <v>75</v>
      </c>
      <c r="C27" s="83">
        <f>F67</f>
        <v>0</v>
      </c>
      <c r="D27" s="82"/>
    </row>
    <row r="28">
      <c r="A28" s="82"/>
      <c r="B28" s="44" t="s">
        <v>76</v>
      </c>
      <c r="C28" s="83">
        <f>G67</f>
        <v>0</v>
      </c>
      <c r="D28" s="82"/>
    </row>
    <row r="29">
      <c r="A29" s="82"/>
      <c r="B29" s="44" t="s">
        <v>77</v>
      </c>
      <c r="C29" s="83">
        <f>I67</f>
        <v>0</v>
      </c>
      <c r="D29" s="82"/>
    </row>
    <row r="30">
      <c r="A30" s="82"/>
      <c r="B30" s="44" t="s">
        <v>106</v>
      </c>
      <c r="C30" s="83">
        <f>J67</f>
        <v>0</v>
      </c>
      <c r="D30" s="82"/>
    </row>
    <row r="31">
      <c r="A31" s="82"/>
      <c r="B31" s="44" t="s">
        <v>79</v>
      </c>
      <c r="C31" s="83">
        <f>L67</f>
        <v>-7.6</v>
      </c>
      <c r="D31" s="82"/>
    </row>
    <row r="32">
      <c r="A32" s="82"/>
      <c r="B32" s="44" t="s">
        <v>80</v>
      </c>
      <c r="C32" s="83">
        <f>K67</f>
        <v>0</v>
      </c>
      <c r="D32" s="82"/>
    </row>
    <row r="33">
      <c r="A33" s="82"/>
      <c r="B33" s="44" t="s">
        <v>81</v>
      </c>
      <c r="C33" s="83">
        <f>M67</f>
        <v>7.6</v>
      </c>
      <c r="D33" s="82"/>
    </row>
    <row r="34">
      <c r="A34" s="82"/>
      <c r="B34" s="44" t="s">
        <v>82</v>
      </c>
      <c r="C34" s="83">
        <f>-N67</f>
        <v>-20140</v>
      </c>
      <c r="D34" s="82"/>
    </row>
    <row r="36">
      <c r="A36" s="94"/>
    </row>
    <row r="37">
      <c r="A37" s="79"/>
      <c r="B37" s="95" t="s">
        <v>83</v>
      </c>
      <c r="C37" s="44" t="s">
        <v>84</v>
      </c>
      <c r="D37" s="44" t="s">
        <v>85</v>
      </c>
      <c r="E37" s="44" t="s">
        <v>86</v>
      </c>
      <c r="F37" s="46" t="s">
        <v>87</v>
      </c>
      <c r="G37" s="46" t="s">
        <v>88</v>
      </c>
      <c r="H37" s="46" t="s">
        <v>89</v>
      </c>
      <c r="I37" s="46" t="s">
        <v>90</v>
      </c>
      <c r="J37" s="46" t="s">
        <v>91</v>
      </c>
      <c r="K37" s="46" t="s">
        <v>92</v>
      </c>
      <c r="L37" s="46" t="s">
        <v>79</v>
      </c>
      <c r="M37" s="46" t="s">
        <v>81</v>
      </c>
      <c r="N37" s="46" t="s">
        <v>93</v>
      </c>
      <c r="O37" s="46" t="s">
        <v>71</v>
      </c>
      <c r="P37" s="46" t="s">
        <v>95</v>
      </c>
      <c r="Q37" s="46" t="s">
        <v>96</v>
      </c>
      <c r="R37" s="46" t="s">
        <v>97</v>
      </c>
      <c r="S37" s="46" t="s">
        <v>98</v>
      </c>
      <c r="T37" s="46" t="s">
        <v>70</v>
      </c>
      <c r="U37" s="46" t="s">
        <v>99</v>
      </c>
      <c r="V37" s="46" t="s">
        <v>100</v>
      </c>
      <c r="W37" s="46" t="s">
        <v>101</v>
      </c>
    </row>
    <row r="38">
      <c r="A38" s="96"/>
      <c r="B38" s="97" t="str">
        <f>'Internal Summary'!B40</f>
        <v>28g Choppee Milky Choco (30x)</v>
      </c>
      <c r="C38" s="45">
        <f>'Internal Summary'!C40</f>
        <v>2650</v>
      </c>
      <c r="D38" s="45" t="str">
        <f>'Internal Summary'!D40</f>
        <v/>
      </c>
      <c r="E38" s="45" t="str">
        <f>'Internal Summary'!E40</f>
        <v/>
      </c>
      <c r="F38" s="88"/>
      <c r="G38" s="45">
        <f t="shared" ref="G38:G66" si="1">F38*C38</f>
        <v>0</v>
      </c>
      <c r="H38" s="88"/>
      <c r="I38" s="88"/>
      <c r="J38" s="88"/>
      <c r="K38" s="89">
        <v>0.0</v>
      </c>
      <c r="L38" s="98">
        <f t="shared" ref="L38:L66" si="2">H38+U38+W38-O38-Q38-I38-J38</f>
        <v>-1.6</v>
      </c>
      <c r="M38" s="45">
        <f t="shared" ref="M38:M66" si="3">K38-L38</f>
        <v>1.6</v>
      </c>
      <c r="N38" s="45">
        <f t="shared" ref="N38:N66" si="4">M38*C38</f>
        <v>4240</v>
      </c>
      <c r="O38" s="45">
        <f>'Dala Sales &amp; Deliveries'!L2</f>
        <v>1.6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6"/>
      <c r="B39" s="97" t="str">
        <f>'Internal Summary'!B41</f>
        <v>28g Choppee Cheezy Delight (30x)</v>
      </c>
      <c r="C39" s="45">
        <f>'Internal Summary'!C41</f>
        <v>2650</v>
      </c>
      <c r="D39" s="45" t="str">
        <f>'Internal Summary'!D41</f>
        <v/>
      </c>
      <c r="E39" s="45" t="str">
        <f>'Internal Summary'!E41</f>
        <v/>
      </c>
      <c r="F39" s="99"/>
      <c r="G39" s="45">
        <f t="shared" si="1"/>
        <v>0</v>
      </c>
      <c r="H39" s="99"/>
      <c r="I39" s="88"/>
      <c r="J39" s="99"/>
      <c r="K39" s="89">
        <v>0.0</v>
      </c>
      <c r="L39" s="98">
        <f t="shared" si="2"/>
        <v>-1.4</v>
      </c>
      <c r="M39" s="45">
        <f t="shared" si="3"/>
        <v>1.4</v>
      </c>
      <c r="N39" s="45">
        <f t="shared" si="4"/>
        <v>3710</v>
      </c>
      <c r="O39" s="45">
        <f>'Dala Sales &amp; Deliveries'!L3</f>
        <v>1.4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6"/>
      <c r="B40" s="97" t="str">
        <f>'Internal Summary'!B42</f>
        <v>28g Choppee Crispy Bananos (30x)</v>
      </c>
      <c r="C40" s="45">
        <f>'Internal Summary'!C42</f>
        <v>2650</v>
      </c>
      <c r="D40" s="45" t="str">
        <f>'Internal Summary'!D42</f>
        <v/>
      </c>
      <c r="E40" s="45" t="str">
        <f>'Internal Summary'!E42</f>
        <v/>
      </c>
      <c r="F40" s="99"/>
      <c r="G40" s="45">
        <f t="shared" si="1"/>
        <v>0</v>
      </c>
      <c r="H40" s="99"/>
      <c r="I40" s="88"/>
      <c r="J40" s="99"/>
      <c r="K40" s="89">
        <v>0.0</v>
      </c>
      <c r="L40" s="98">
        <f t="shared" si="2"/>
        <v>-1.6</v>
      </c>
      <c r="M40" s="45">
        <f t="shared" si="3"/>
        <v>1.6</v>
      </c>
      <c r="N40" s="45">
        <f t="shared" si="4"/>
        <v>4240</v>
      </c>
      <c r="O40" s="45">
        <f>'Dala Sales &amp; Deliveries'!L4</f>
        <v>1.6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6"/>
      <c r="B41" s="97" t="str">
        <f>'Internal Summary'!B43</f>
        <v>28g Choppee Crispy Berry Strawberry (30x)</v>
      </c>
      <c r="C41" s="45">
        <f>'Internal Summary'!C43</f>
        <v>2650</v>
      </c>
      <c r="D41" s="45" t="str">
        <f>'Internal Summary'!D43</f>
        <v/>
      </c>
      <c r="E41" s="45" t="str">
        <f>'Internal Summary'!E43</f>
        <v/>
      </c>
      <c r="F41" s="99"/>
      <c r="G41" s="45">
        <f t="shared" si="1"/>
        <v>0</v>
      </c>
      <c r="H41" s="99"/>
      <c r="I41" s="88"/>
      <c r="J41" s="99"/>
      <c r="K41" s="89">
        <v>0.0</v>
      </c>
      <c r="L41" s="98">
        <f t="shared" si="2"/>
        <v>-1.4</v>
      </c>
      <c r="M41" s="45">
        <f t="shared" si="3"/>
        <v>1.4</v>
      </c>
      <c r="N41" s="45">
        <f t="shared" si="4"/>
        <v>3710</v>
      </c>
      <c r="O41" s="45">
        <f>'Dala Sales &amp; Deliveries'!L5</f>
        <v>1.4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6"/>
      <c r="B42" s="97" t="str">
        <f>'Internal Summary'!B44</f>
        <v>28g Choppee Crispy Granos (30x)</v>
      </c>
      <c r="C42" s="45">
        <f>'Internal Summary'!C44</f>
        <v>2650</v>
      </c>
      <c r="D42" s="45" t="str">
        <f>'Internal Summary'!D44</f>
        <v/>
      </c>
      <c r="E42" s="45" t="str">
        <f>'Internal Summary'!E44</f>
        <v/>
      </c>
      <c r="F42" s="99"/>
      <c r="G42" s="45">
        <f t="shared" si="1"/>
        <v>0</v>
      </c>
      <c r="H42" s="99"/>
      <c r="I42" s="99"/>
      <c r="J42" s="99"/>
      <c r="K42" s="89">
        <v>0.0</v>
      </c>
      <c r="L42" s="98">
        <f t="shared" si="2"/>
        <v>-1.6</v>
      </c>
      <c r="M42" s="45">
        <f t="shared" si="3"/>
        <v>1.6</v>
      </c>
      <c r="N42" s="45">
        <f t="shared" si="4"/>
        <v>4240</v>
      </c>
      <c r="O42" s="45">
        <f>'Dala Sales &amp; Deliveries'!L6</f>
        <v>1.6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6"/>
      <c r="B43" s="97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9"/>
      <c r="G43" s="45">
        <f t="shared" si="1"/>
        <v>0</v>
      </c>
      <c r="H43" s="99"/>
      <c r="I43" s="99"/>
      <c r="J43" s="99"/>
      <c r="K43" s="88"/>
      <c r="L43" s="98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6"/>
      <c r="B44" s="97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9"/>
      <c r="G44" s="45">
        <f t="shared" si="1"/>
        <v>0</v>
      </c>
      <c r="H44" s="99"/>
      <c r="I44" s="99"/>
      <c r="J44" s="99"/>
      <c r="K44" s="88"/>
      <c r="L44" s="98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6"/>
      <c r="B45" s="97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9"/>
      <c r="G45" s="45">
        <f t="shared" si="1"/>
        <v>0</v>
      </c>
      <c r="H45" s="99"/>
      <c r="I45" s="99"/>
      <c r="J45" s="99"/>
      <c r="K45" s="88"/>
      <c r="L45" s="98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6"/>
      <c r="B46" s="97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9"/>
      <c r="G46" s="45">
        <f t="shared" si="1"/>
        <v>0</v>
      </c>
      <c r="H46" s="99"/>
      <c r="I46" s="99"/>
      <c r="J46" s="99"/>
      <c r="K46" s="88"/>
      <c r="L46" s="98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6"/>
      <c r="B47" s="97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9"/>
      <c r="G47" s="45">
        <f t="shared" si="1"/>
        <v>0</v>
      </c>
      <c r="H47" s="99"/>
      <c r="I47" s="99"/>
      <c r="J47" s="99"/>
      <c r="K47" s="88"/>
      <c r="L47" s="98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6"/>
      <c r="B48" s="97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9"/>
      <c r="G48" s="45">
        <f t="shared" si="1"/>
        <v>0</v>
      </c>
      <c r="H48" s="99"/>
      <c r="I48" s="99"/>
      <c r="J48" s="99"/>
      <c r="K48" s="88"/>
      <c r="L48" s="98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6"/>
      <c r="B49" s="97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9"/>
      <c r="G49" s="45">
        <f t="shared" si="1"/>
        <v>0</v>
      </c>
      <c r="H49" s="99"/>
      <c r="I49" s="99"/>
      <c r="J49" s="99"/>
      <c r="K49" s="88"/>
      <c r="L49" s="98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9"/>
      <c r="G50" s="45">
        <f t="shared" si="1"/>
        <v>0</v>
      </c>
      <c r="H50" s="99"/>
      <c r="I50" s="99"/>
      <c r="J50" s="99"/>
      <c r="K50" s="99"/>
      <c r="L50" s="98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9"/>
      <c r="G51" s="45">
        <f t="shared" si="1"/>
        <v>0</v>
      </c>
      <c r="H51" s="99"/>
      <c r="I51" s="99"/>
      <c r="J51" s="99"/>
      <c r="K51" s="99"/>
      <c r="L51" s="98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9"/>
      <c r="G52" s="45">
        <f t="shared" si="1"/>
        <v>0</v>
      </c>
      <c r="H52" s="99"/>
      <c r="I52" s="99"/>
      <c r="J52" s="99"/>
      <c r="K52" s="99"/>
      <c r="L52" s="98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9"/>
      <c r="G53" s="45">
        <f t="shared" si="1"/>
        <v>0</v>
      </c>
      <c r="H53" s="99"/>
      <c r="I53" s="99"/>
      <c r="J53" s="99"/>
      <c r="K53" s="99"/>
      <c r="L53" s="98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9"/>
      <c r="G54" s="45">
        <f t="shared" si="1"/>
        <v>0</v>
      </c>
      <c r="H54" s="99"/>
      <c r="I54" s="99"/>
      <c r="J54" s="99"/>
      <c r="K54" s="99"/>
      <c r="L54" s="98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9"/>
      <c r="G55" s="45">
        <f t="shared" si="1"/>
        <v>0</v>
      </c>
      <c r="H55" s="99"/>
      <c r="I55" s="99"/>
      <c r="J55" s="99"/>
      <c r="K55" s="99"/>
      <c r="L55" s="98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9"/>
      <c r="G56" s="45">
        <f t="shared" si="1"/>
        <v>0</v>
      </c>
      <c r="H56" s="99"/>
      <c r="I56" s="99"/>
      <c r="J56" s="99"/>
      <c r="K56" s="99"/>
      <c r="L56" s="98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9"/>
      <c r="G57" s="45">
        <f t="shared" si="1"/>
        <v>0</v>
      </c>
      <c r="H57" s="99"/>
      <c r="I57" s="99"/>
      <c r="J57" s="99"/>
      <c r="K57" s="99"/>
      <c r="L57" s="98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9"/>
      <c r="G58" s="45">
        <f t="shared" si="1"/>
        <v>0</v>
      </c>
      <c r="H58" s="99"/>
      <c r="I58" s="99"/>
      <c r="J58" s="99"/>
      <c r="K58" s="99"/>
      <c r="L58" s="98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9"/>
      <c r="G59" s="45">
        <f t="shared" si="1"/>
        <v>0</v>
      </c>
      <c r="H59" s="99"/>
      <c r="I59" s="99"/>
      <c r="J59" s="99"/>
      <c r="K59" s="99"/>
      <c r="L59" s="98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9"/>
      <c r="G60" s="45">
        <f t="shared" si="1"/>
        <v>0</v>
      </c>
      <c r="H60" s="99"/>
      <c r="I60" s="99"/>
      <c r="J60" s="99"/>
      <c r="K60" s="99"/>
      <c r="L60" s="98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9"/>
      <c r="G61" s="45">
        <f t="shared" si="1"/>
        <v>0</v>
      </c>
      <c r="H61" s="99"/>
      <c r="I61" s="99"/>
      <c r="J61" s="99"/>
      <c r="K61" s="99"/>
      <c r="L61" s="98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9"/>
      <c r="G62" s="45">
        <f t="shared" si="1"/>
        <v>0</v>
      </c>
      <c r="H62" s="99"/>
      <c r="I62" s="99"/>
      <c r="J62" s="99"/>
      <c r="K62" s="99"/>
      <c r="L62" s="98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9"/>
      <c r="G63" s="45">
        <f t="shared" si="1"/>
        <v>0</v>
      </c>
      <c r="H63" s="99"/>
      <c r="I63" s="99"/>
      <c r="J63" s="99"/>
      <c r="K63" s="99"/>
      <c r="L63" s="98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9"/>
      <c r="G64" s="45">
        <f t="shared" si="1"/>
        <v>0</v>
      </c>
      <c r="H64" s="99"/>
      <c r="I64" s="99"/>
      <c r="J64" s="99"/>
      <c r="K64" s="99"/>
      <c r="L64" s="98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9"/>
      <c r="G65" s="45">
        <f t="shared" si="1"/>
        <v>0</v>
      </c>
      <c r="H65" s="99"/>
      <c r="I65" s="99"/>
      <c r="J65" s="99"/>
      <c r="K65" s="99"/>
      <c r="L65" s="98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9"/>
      <c r="G66" s="45">
        <f t="shared" si="1"/>
        <v>0</v>
      </c>
      <c r="H66" s="99"/>
      <c r="I66" s="99"/>
      <c r="J66" s="99"/>
      <c r="K66" s="99"/>
      <c r="L66" s="98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102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-7.6</v>
      </c>
      <c r="M67" s="45">
        <f t="shared" si="9"/>
        <v>7.6</v>
      </c>
      <c r="N67" s="45">
        <f t="shared" si="9"/>
        <v>20140</v>
      </c>
      <c r="O67" s="45">
        <f t="shared" si="9"/>
        <v>7.6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