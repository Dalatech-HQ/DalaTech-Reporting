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<sst xmlns="http://schemas.openxmlformats.org/spreadsheetml/2006/main" count="239" uniqueCount="96">
  <si>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</si>
  <si>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</si>
  <si>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</si>
  <si>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</si>
  <si>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</si>
  <si>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</si>
  <si>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</si>
  <si>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</si>
  <si>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</si>
  <si>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</si>
  <si>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</si>
  <si>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</si>
  <si>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</si>
  <si>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</si>
  <si>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</si>
  <si>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</si>
  <si>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Skymart Supermarket, SANGOTEDO</t>
  </si>
  <si>
    <t>Sales</t>
  </si>
  <si>
    <t>DT:003767</t>
  </si>
  <si>
    <t>300ml Fabfresh Probiotic sweetened Yoghurt (12x)</t>
  </si>
  <si>
    <t>900g Fabfresh probiotic Set Greek Yoghurt (6x)</t>
  </si>
  <si>
    <t>De Royal Prince, MAGODO</t>
  </si>
  <si>
    <t>DT:003743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</si>
  <si>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</si>
  <si>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</si>
  <si>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</si>
  <si>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</si>
  <si>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</si>
  <si>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</si>
  <si>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</si>
  <si>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</si>
  <si>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</si>
  <si>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</si>
  <si>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</si>
  <si>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</si>
  <si>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</si>
  <si>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</si>
  <si>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</si>
  <si>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</si>
  <si>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</si>
  <si>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</si>
  <si>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</si>
  <si>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</si>
  <si>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</si>
  <si>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</si>
  <si>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</si>
  <si>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</si>
  <si>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</si>
  <si>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</si>
  <si>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</si>
  <si>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</si>
  <si>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</si>
  <si>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</si>
  <si>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</si>
  <si>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</si>
  <si>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</si>
  <si>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</si>
  <si>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</si>
  <si>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</si>
  <si>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</si>
  <si>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</si>
  <si>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</si>
  <si>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</si>
  <si>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</si>
  <si>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</si>
  <si>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</si>
  <si>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</si>
  <si>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</si>
  <si>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</si>
  <si>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</si>
  <si>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</si>
  <si>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</si>
  <si>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</si>
  <si>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</si>
  <si>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</si>
  <si>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</si>
  <si>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</si>
  <si>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</si>
  <si>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</si>
  <si>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</si>
  <si>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</si>
  <si>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</si>
  <si>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</si>
  <si>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</si>
  <si>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</si>
  <si>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</si>
  <si>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</si>
  <si>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</si>
  <si>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</si>
  <si>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</si>
  <si>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300ml Fabfresh Unsweetened Yoghurt (12x)</t>
  </si>
  <si>
    <t>500ml Fabfresh sweetened Yoghurt (12x)</t>
  </si>
  <si>
    <t>500ml Fabfresh Unsweetened Yoghurt (12x)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</si>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</sst>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2-01T00:00:00Z"/>
        <d v="2025-12-04T00:00:00Z"/>
        <m/>
      </sharedItems>
    </cacheField>
    <cacheField name="Particulars" numFmtId="0">
      <sharedItems containsBlank="1">
        <s v="Skymart Supermarket, SANGOTEDO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43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34200.0"/>
        <m/>
      </sharedItems>
    </cacheField>
    <cacheField name="Total Value" numFmtId="0">
      <sharedItems containsSemiMixedTypes="0" containsString="0" containsNumber="1" containsInteger="1">
        <n v="327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2-01T00:00:00Z"/>
        <d v="2025-12-04T00:00:00Z"/>
        <m/>
      </sharedItems>
    </cacheField>
    <cacheField name="Particulars" numFmtId="0">
      <sharedItems containsBlank="1">
        <s v="Skymart Supermarket, SANGOTEDO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43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19500.0"/>
        <n v="132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0</v>
      </c>
    </row>
    <row r="3" ht="22.5" customHeight="1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19500.0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IFERROR(__xludf.DUMMYFUNCTION("""COMPUTED_VALUE"""),45992.0)</f>
        <v>45992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2">
        <f>IFERROR(__xludf.DUMMYFUNCTION("""COMPUTED_VALUE"""),1.0)</f>
        <v>1</v>
      </c>
      <c r="O3" s="23">
        <f>IFERROR(__xludf.DUMMYFUNCTION("""COMPUTED_VALUE"""),19500.0)</f>
        <v>19500</v>
      </c>
      <c r="P3" s="24">
        <f t="shared" ref="P3:P95" si="1">sumif(M:M,M3,O:O)</f>
        <v>32700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16"/>
      <c r="AV3" s="17"/>
    </row>
    <row r="4" ht="17.25" customHeight="1">
      <c r="A4" s="13" t="s">
        <v>19</v>
      </c>
      <c r="B4" s="14">
        <v>45992.0</v>
      </c>
      <c r="C4" s="15" t="s">
        <v>16</v>
      </c>
      <c r="D4" s="15" t="s">
        <v>17</v>
      </c>
      <c r="E4" s="8" t="s">
        <v>18</v>
      </c>
      <c r="F4" s="16">
        <v>1.0</v>
      </c>
      <c r="G4" s="17">
        <v>13200.0</v>
      </c>
      <c r="H4" s="28"/>
      <c r="I4" s="19" t="str">
        <f>IFERROR(__xludf.DUMMYFUNCTION("""COMPUTED_VALUE"""),"300ml Fabfresh Probiotic sweetened Yoghurt (12x)")</f>
        <v>300ml Fabfresh Probiotic sweetened Yoghurt (12x)</v>
      </c>
      <c r="J4" s="20">
        <f>IFERROR(__xludf.DUMMYFUNCTION("""COMPUTED_VALUE"""),45992.0)</f>
        <v>45992</v>
      </c>
      <c r="K4" s="21" t="str">
        <f>IFERROR(__xludf.DUMMYFUNCTION("""COMPUTED_VALUE"""),"Skymart Supermarket, SANGOTEDO")</f>
        <v>Skymart Supermarket, SANGOTEDO</v>
      </c>
      <c r="L4" s="21" t="str">
        <f>IFERROR(__xludf.DUMMYFUNCTION("""COMPUTED_VALUE"""),"Sales")</f>
        <v>Sales</v>
      </c>
      <c r="M4" s="2" t="str">
        <f>IFERROR(__xludf.DUMMYFUNCTION("""COMPUTED_VALUE"""),"DT:003767")</f>
        <v>DT:003767</v>
      </c>
      <c r="N4" s="22">
        <f>IFERROR(__xludf.DUMMYFUNCTION("""COMPUTED_VALUE"""),1.0)</f>
        <v>1</v>
      </c>
      <c r="O4" s="23">
        <f>IFERROR(__xludf.DUMMYFUNCTION("""COMPUTED_VALUE"""),13200.0)</f>
        <v>13200</v>
      </c>
      <c r="P4" s="24">
        <f t="shared" si="1"/>
        <v>32700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20</v>
      </c>
      <c r="B5" s="14">
        <v>45995.0</v>
      </c>
      <c r="C5" s="15" t="s">
        <v>21</v>
      </c>
      <c r="D5" s="15" t="s">
        <v>17</v>
      </c>
      <c r="E5" s="8" t="s">
        <v>22</v>
      </c>
      <c r="F5" s="16">
        <v>2.0</v>
      </c>
      <c r="G5" s="17">
        <v>34200.0</v>
      </c>
      <c r="H5" s="28"/>
      <c r="I5" s="19" t="str">
        <f>IFERROR(__xludf.DUMMYFUNCTION("""COMPUTED_VALUE"""),"900g Fabfresh probiotic Set Greek Yoghurt (6x)")</f>
        <v>900g Fabfresh probiotic Set Greek Yoghurt (6x)</v>
      </c>
      <c r="J5" s="20">
        <f>IFERROR(__xludf.DUMMYFUNCTION("""COMPUTED_VALUE"""),45995.0)</f>
        <v>45995</v>
      </c>
      <c r="K5" s="21" t="str">
        <f>IFERROR(__xludf.DUMMYFUNCTION("""COMPUTED_VALUE"""),"De Royal Prince, MAGODO")</f>
        <v>De Royal Prince, MAGODO</v>
      </c>
      <c r="L5" s="21" t="str">
        <f>IFERROR(__xludf.DUMMYFUNCTION("""COMPUTED_VALUE"""),"Sales")</f>
        <v>Sales</v>
      </c>
      <c r="M5" s="2" t="str">
        <f>IFERROR(__xludf.DUMMYFUNCTION("""COMPUTED_VALUE"""),"DT:003743")</f>
        <v>DT:003743</v>
      </c>
      <c r="N5" s="22">
        <f>IFERROR(__xludf.DUMMYFUNCTION("""COMPUTED_VALUE"""),2.0)</f>
        <v>2</v>
      </c>
      <c r="O5" s="23">
        <f>IFERROR(__xludf.DUMMYFUNCTION("""COMPUTED_VALUE"""),34200.0)</f>
        <v>34200</v>
      </c>
      <c r="P5" s="24">
        <f t="shared" si="1"/>
        <v>34200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/>
      <c r="B6" s="14"/>
      <c r="C6" s="15"/>
      <c r="D6" s="15"/>
      <c r="E6" s="8"/>
      <c r="F6" s="16"/>
      <c r="G6" s="17"/>
      <c r="H6" s="29"/>
      <c r="I6" s="19"/>
      <c r="J6" s="20"/>
      <c r="K6" s="21"/>
      <c r="L6" s="21"/>
      <c r="M6" s="2"/>
      <c r="N6" s="22"/>
      <c r="O6" s="23"/>
      <c r="P6" s="24">
        <f t="shared" si="1"/>
        <v>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/>
      <c r="B7" s="14"/>
      <c r="C7" s="15"/>
      <c r="D7" s="15"/>
      <c r="E7" s="8"/>
      <c r="F7" s="16"/>
      <c r="G7" s="17"/>
      <c r="H7" s="29"/>
      <c r="I7" s="19"/>
      <c r="J7" s="20"/>
      <c r="K7" s="21"/>
      <c r="L7" s="21"/>
      <c r="M7" s="2"/>
      <c r="N7" s="22"/>
      <c r="O7" s="23"/>
      <c r="P7" s="24">
        <f t="shared" si="1"/>
        <v>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/>
      <c r="B8" s="14"/>
      <c r="C8" s="15"/>
      <c r="D8" s="15"/>
      <c r="E8" s="8"/>
      <c r="F8" s="16"/>
      <c r="G8" s="17"/>
      <c r="H8" s="18"/>
      <c r="I8" s="19"/>
      <c r="J8" s="20"/>
      <c r="K8" s="21"/>
      <c r="L8" s="21"/>
      <c r="M8" s="2"/>
      <c r="N8" s="22"/>
      <c r="O8" s="23"/>
      <c r="P8" s="24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/>
      <c r="B9" s="14"/>
      <c r="C9" s="15"/>
      <c r="D9" s="15"/>
      <c r="E9" s="8"/>
      <c r="F9" s="16"/>
      <c r="G9" s="17"/>
      <c r="H9" s="28"/>
      <c r="I9" s="19"/>
      <c r="J9" s="20"/>
      <c r="K9" s="21"/>
      <c r="L9" s="21"/>
      <c r="M9" s="2"/>
      <c r="N9" s="22"/>
      <c r="O9" s="23"/>
      <c r="P9" s="24">
        <f t="shared" si="1"/>
        <v>0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16"/>
      <c r="AV9" s="17"/>
    </row>
    <row r="10" ht="22.5" customHeight="1">
      <c r="A10" s="13"/>
      <c r="B10" s="14"/>
      <c r="C10" s="15"/>
      <c r="D10" s="15"/>
      <c r="E10" s="8"/>
      <c r="F10" s="16"/>
      <c r="G10" s="17"/>
      <c r="H10" s="18"/>
      <c r="I10" s="19"/>
      <c r="J10" s="20"/>
      <c r="K10" s="21"/>
      <c r="L10" s="21"/>
      <c r="M10" s="2"/>
      <c r="N10" s="22"/>
      <c r="O10" s="23"/>
      <c r="P10" s="24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/>
      <c r="B11" s="14"/>
      <c r="C11" s="15"/>
      <c r="D11" s="15"/>
      <c r="E11" s="8"/>
      <c r="F11" s="16"/>
      <c r="G11" s="17"/>
      <c r="H11" s="29"/>
      <c r="I11" s="19"/>
      <c r="J11" s="20"/>
      <c r="K11" s="21"/>
      <c r="L11" s="21"/>
      <c r="M11" s="2"/>
      <c r="N11" s="22"/>
      <c r="O11" s="23"/>
      <c r="P11" s="24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/>
      <c r="B12" s="14"/>
      <c r="C12" s="15"/>
      <c r="D12" s="15"/>
      <c r="E12" s="8"/>
      <c r="F12" s="16"/>
      <c r="G12" s="17"/>
      <c r="H12" s="31"/>
      <c r="I12" s="19"/>
      <c r="J12" s="20"/>
      <c r="K12" s="21"/>
      <c r="L12" s="21"/>
      <c r="M12" s="2"/>
      <c r="N12" s="22"/>
      <c r="O12" s="23"/>
      <c r="P12" s="24">
        <f t="shared" si="1"/>
        <v>0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/>
      <c r="B13" s="14"/>
      <c r="C13" s="15"/>
      <c r="D13" s="15"/>
      <c r="E13" s="8"/>
      <c r="F13" s="16"/>
      <c r="G13" s="17"/>
      <c r="H13" s="28"/>
      <c r="I13" s="19"/>
      <c r="J13" s="20"/>
      <c r="K13" s="21"/>
      <c r="L13" s="21"/>
      <c r="M13" s="2"/>
      <c r="N13" s="22"/>
      <c r="O13" s="23"/>
      <c r="P13" s="24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/>
      <c r="B14" s="14"/>
      <c r="C14" s="15"/>
      <c r="D14" s="15"/>
      <c r="E14" s="8"/>
      <c r="F14" s="16"/>
      <c r="G14" s="17"/>
      <c r="H14" s="28"/>
      <c r="I14" s="19"/>
      <c r="J14" s="20"/>
      <c r="K14" s="21"/>
      <c r="L14" s="21"/>
      <c r="M14" s="2"/>
      <c r="N14" s="22"/>
      <c r="O14" s="23"/>
      <c r="P14" s="24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/>
      <c r="B15" s="14"/>
      <c r="C15" s="15"/>
      <c r="D15" s="15"/>
      <c r="E15" s="8"/>
      <c r="F15" s="16"/>
      <c r="G15" s="17"/>
      <c r="H15" s="18"/>
      <c r="I15" s="19"/>
      <c r="J15" s="20"/>
      <c r="K15" s="21"/>
      <c r="L15" s="21"/>
      <c r="M15" s="2"/>
      <c r="N15" s="22"/>
      <c r="O15" s="23"/>
      <c r="P15" s="24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/>
      <c r="B16" s="14"/>
      <c r="C16" s="15"/>
      <c r="D16" s="15"/>
      <c r="E16" s="8"/>
      <c r="F16" s="16"/>
      <c r="G16" s="17"/>
      <c r="H16" s="28"/>
      <c r="I16" s="19"/>
      <c r="J16" s="20"/>
      <c r="K16" s="21"/>
      <c r="L16" s="21"/>
      <c r="M16" s="2"/>
      <c r="N16" s="22"/>
      <c r="O16" s="23"/>
      <c r="P16" s="24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/>
      <c r="B17" s="14"/>
      <c r="C17" s="15"/>
      <c r="D17" s="15"/>
      <c r="E17" s="8"/>
      <c r="F17" s="16"/>
      <c r="G17" s="17"/>
      <c r="I17" s="19"/>
      <c r="J17" s="20"/>
      <c r="K17" s="21"/>
      <c r="L17" s="21"/>
      <c r="M17" s="2"/>
      <c r="N17" s="22"/>
      <c r="O17" s="23"/>
      <c r="P17" s="24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/>
      <c r="B18" s="14"/>
      <c r="C18" s="15"/>
      <c r="D18" s="15"/>
      <c r="E18" s="8"/>
      <c r="F18" s="16"/>
      <c r="G18" s="17"/>
      <c r="I18" s="19"/>
      <c r="J18" s="20"/>
      <c r="K18" s="21"/>
      <c r="L18" s="21"/>
      <c r="M18" s="2"/>
      <c r="N18" s="22"/>
      <c r="O18" s="23"/>
      <c r="P18" s="24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/>
      <c r="B19" s="14"/>
      <c r="C19" s="15"/>
      <c r="D19" s="15"/>
      <c r="E19" s="8"/>
      <c r="F19" s="16"/>
      <c r="G19" s="17"/>
      <c r="I19" s="19"/>
      <c r="J19" s="20"/>
      <c r="K19" s="21"/>
      <c r="L19" s="21"/>
      <c r="M19" s="2"/>
      <c r="N19" s="22"/>
      <c r="O19" s="23"/>
      <c r="P19" s="24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/>
      <c r="B20" s="14"/>
      <c r="C20" s="15"/>
      <c r="D20" s="15"/>
      <c r="E20" s="8"/>
      <c r="F20" s="16"/>
      <c r="G20" s="17"/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/>
      <c r="B21" s="14"/>
      <c r="C21" s="15"/>
      <c r="D21" s="15"/>
      <c r="E21" s="8"/>
      <c r="F21" s="16"/>
      <c r="G21" s="17"/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/>
      <c r="B22" s="14"/>
      <c r="C22" s="15"/>
      <c r="D22" s="15"/>
      <c r="E22" s="8"/>
      <c r="F22" s="16"/>
      <c r="G22" s="17"/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/>
      <c r="B23" s="14"/>
      <c r="C23" s="15"/>
      <c r="D23" s="15"/>
      <c r="E23" s="8"/>
      <c r="F23" s="16"/>
      <c r="G23" s="17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/>
      <c r="B24" s="14"/>
      <c r="C24" s="15"/>
      <c r="D24" s="15"/>
      <c r="E24" s="8"/>
      <c r="F24" s="16"/>
      <c r="G24" s="17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/>
      <c r="B25" s="14"/>
      <c r="C25" s="15"/>
      <c r="D25" s="15"/>
      <c r="E25" s="8"/>
      <c r="F25" s="16"/>
      <c r="G25" s="17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/>
      <c r="B26" s="14"/>
      <c r="C26" s="15"/>
      <c r="D26" s="15"/>
      <c r="E26" s="8"/>
      <c r="F26" s="16"/>
      <c r="G26" s="17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/>
      <c r="B27" s="14"/>
      <c r="C27" s="15"/>
      <c r="D27" s="15"/>
      <c r="E27" s="8"/>
      <c r="F27" s="16"/>
      <c r="G27" s="17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/>
      <c r="B28" s="14"/>
      <c r="C28" s="15"/>
      <c r="D28" s="15"/>
      <c r="E28" s="8"/>
      <c r="F28" s="16"/>
      <c r="G28" s="17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/>
      <c r="B29" s="14"/>
      <c r="C29" s="15"/>
      <c r="D29" s="15"/>
      <c r="E29" s="8"/>
      <c r="F29" s="16"/>
      <c r="G29" s="17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/>
      <c r="B30" s="14"/>
      <c r="C30" s="15"/>
      <c r="D30" s="15"/>
      <c r="E30" s="8"/>
      <c r="F30" s="16"/>
      <c r="G30" s="17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/>
      <c r="B31" s="14"/>
      <c r="C31" s="15"/>
      <c r="D31" s="15"/>
      <c r="E31" s="8"/>
      <c r="F31" s="16"/>
      <c r="G31" s="17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/>
      <c r="B32" s="14"/>
      <c r="C32" s="15"/>
      <c r="D32" s="15"/>
      <c r="E32" s="8"/>
      <c r="F32" s="16"/>
      <c r="G32" s="17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/>
      <c r="B33" s="14"/>
      <c r="C33" s="15"/>
      <c r="D33" s="15"/>
      <c r="E33" s="8"/>
      <c r="F33" s="16"/>
      <c r="G33" s="17"/>
      <c r="I33" s="34"/>
      <c r="J33" s="35"/>
      <c r="K33" s="36"/>
      <c r="L33" s="36"/>
      <c r="M33" s="28"/>
      <c r="N33" s="28"/>
      <c r="O33" s="3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/>
      <c r="B34" s="14"/>
      <c r="C34" s="15"/>
      <c r="D34" s="15"/>
      <c r="E34" s="8"/>
      <c r="F34" s="16"/>
      <c r="G34" s="17"/>
      <c r="I34" s="34"/>
      <c r="J34" s="35"/>
      <c r="K34" s="36"/>
      <c r="L34" s="36"/>
      <c r="M34" s="28"/>
      <c r="N34" s="28"/>
      <c r="O34" s="3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/>
      <c r="B35" s="20"/>
      <c r="C35" s="21"/>
      <c r="D35" s="21"/>
      <c r="E35" s="2"/>
      <c r="F35" s="22"/>
      <c r="G35" s="23"/>
      <c r="I35" s="34"/>
      <c r="J35" s="35"/>
      <c r="K35" s="36"/>
      <c r="L35" s="36"/>
      <c r="M35" s="28"/>
      <c r="N35" s="28"/>
      <c r="O35" s="3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/>
      <c r="B36" s="20"/>
      <c r="C36" s="21"/>
      <c r="D36" s="21"/>
      <c r="E36" s="2"/>
      <c r="F36" s="2"/>
      <c r="G36" s="23"/>
      <c r="I36" s="34"/>
      <c r="J36" s="35"/>
      <c r="K36" s="36"/>
      <c r="L36" s="36"/>
      <c r="M36" s="28"/>
      <c r="N36" s="28"/>
      <c r="O36" s="37"/>
      <c r="P36" s="24">
        <f t="shared" si="1"/>
        <v>0</v>
      </c>
      <c r="R36" s="19"/>
      <c r="S36" s="20"/>
      <c r="T36" s="21"/>
      <c r="U36" s="21"/>
      <c r="V36" s="2"/>
      <c r="W36" s="22"/>
      <c r="X36" s="38"/>
      <c r="AP36" s="27"/>
      <c r="AQ36" s="32"/>
      <c r="AR36" s="26"/>
      <c r="AS36" s="26"/>
      <c r="AT36" s="18"/>
      <c r="AU36" s="18"/>
      <c r="AV36" s="33"/>
    </row>
    <row r="37" ht="22.5" customHeight="1">
      <c r="A37" s="13"/>
      <c r="B37" s="20"/>
      <c r="C37" s="21"/>
      <c r="D37" s="21"/>
      <c r="E37" s="2"/>
      <c r="F37" s="2"/>
      <c r="G37" s="23"/>
      <c r="I37" s="34"/>
      <c r="J37" s="35"/>
      <c r="K37" s="36"/>
      <c r="L37" s="36"/>
      <c r="M37" s="28"/>
      <c r="N37" s="28"/>
      <c r="O37" s="37"/>
      <c r="P37" s="24">
        <f t="shared" si="1"/>
        <v>0</v>
      </c>
      <c r="R37" s="19"/>
      <c r="S37" s="20"/>
      <c r="T37" s="30"/>
      <c r="U37" s="21"/>
      <c r="V37" s="2"/>
      <c r="W37" s="22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13"/>
      <c r="B38" s="20"/>
      <c r="C38" s="21"/>
      <c r="D38" s="21"/>
      <c r="E38" s="2"/>
      <c r="F38" s="2"/>
      <c r="G38" s="23"/>
      <c r="I38" s="34"/>
      <c r="J38" s="35"/>
      <c r="K38" s="36"/>
      <c r="L38" s="36"/>
      <c r="M38" s="28"/>
      <c r="N38" s="28"/>
      <c r="O38" s="37"/>
      <c r="P38" s="24">
        <f t="shared" si="1"/>
        <v>0</v>
      </c>
      <c r="R38" s="19"/>
      <c r="S38" s="20"/>
      <c r="T38" s="21"/>
      <c r="U38" s="21"/>
      <c r="V38" s="2"/>
      <c r="W38" s="22"/>
      <c r="X38" s="38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20"/>
      <c r="C39" s="21"/>
      <c r="D39" s="21"/>
      <c r="E39" s="2"/>
      <c r="F39" s="2"/>
      <c r="G39" s="23"/>
      <c r="I39" s="34"/>
      <c r="J39" s="35"/>
      <c r="K39" s="36"/>
      <c r="L39" s="36"/>
      <c r="M39" s="28"/>
      <c r="N39" s="28"/>
      <c r="O39" s="37"/>
      <c r="P39" s="24">
        <f t="shared" si="1"/>
        <v>0</v>
      </c>
      <c r="R39" s="19"/>
      <c r="S39" s="20"/>
      <c r="T39" s="21"/>
      <c r="U39" s="21"/>
      <c r="V39" s="2"/>
      <c r="W39" s="22"/>
      <c r="X39" s="38"/>
      <c r="AP39" s="19"/>
      <c r="AQ39" s="20"/>
      <c r="AR39" s="21"/>
      <c r="AS39" s="21"/>
      <c r="AT39" s="2"/>
      <c r="AU39" s="22"/>
      <c r="AV39" s="23"/>
    </row>
    <row r="40" ht="22.5" customHeight="1">
      <c r="A40" s="44"/>
      <c r="B40" s="20"/>
      <c r="C40" s="15"/>
      <c r="D40" s="21"/>
      <c r="E40" s="2"/>
      <c r="F40" s="2"/>
      <c r="G40" s="23"/>
      <c r="I40" s="34"/>
      <c r="J40" s="35"/>
      <c r="K40" s="36"/>
      <c r="L40" s="36"/>
      <c r="M40" s="28"/>
      <c r="N40" s="28"/>
      <c r="O40" s="37"/>
      <c r="P40" s="24">
        <f t="shared" si="1"/>
        <v>0</v>
      </c>
      <c r="R40" s="19"/>
      <c r="S40" s="20"/>
      <c r="T40" s="21"/>
      <c r="U40" s="21"/>
      <c r="V40" s="2"/>
      <c r="W40" s="22"/>
      <c r="X40" s="38"/>
      <c r="AP40" s="19"/>
      <c r="AQ40" s="45"/>
      <c r="AR40" s="46"/>
      <c r="AS40" s="46"/>
      <c r="AT40" s="47"/>
      <c r="AU40" s="48"/>
      <c r="AV40" s="49"/>
    </row>
    <row r="41" ht="22.5" customHeight="1">
      <c r="A41" s="13"/>
      <c r="B41" s="14"/>
      <c r="C41" s="15"/>
      <c r="D41" s="15"/>
      <c r="E41" s="8"/>
      <c r="F41" s="16"/>
      <c r="G41" s="17"/>
      <c r="I41" s="34"/>
      <c r="J41" s="35"/>
      <c r="K41" s="36"/>
      <c r="L41" s="36"/>
      <c r="M41" s="28"/>
      <c r="N41" s="28"/>
      <c r="O41" s="37"/>
      <c r="P41" s="24">
        <f t="shared" si="1"/>
        <v>0</v>
      </c>
      <c r="R41" s="19"/>
      <c r="S41" s="20"/>
      <c r="T41" s="30"/>
      <c r="U41" s="21"/>
      <c r="V41" s="2"/>
      <c r="W41" s="22"/>
      <c r="X41" s="38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15"/>
      <c r="D42" s="15"/>
      <c r="E42" s="8"/>
      <c r="F42" s="16"/>
      <c r="G42" s="17"/>
      <c r="I42" s="34"/>
      <c r="J42" s="35"/>
      <c r="K42" s="36"/>
      <c r="L42" s="36"/>
      <c r="M42" s="28"/>
      <c r="N42" s="28"/>
      <c r="O42" s="37"/>
      <c r="P42" s="24">
        <f t="shared" si="1"/>
        <v>0</v>
      </c>
      <c r="R42" s="19"/>
      <c r="S42" s="20"/>
      <c r="T42" s="21"/>
      <c r="U42" s="21"/>
      <c r="V42" s="2"/>
      <c r="W42" s="22"/>
      <c r="X42" s="38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15"/>
      <c r="D43" s="15"/>
      <c r="E43" s="8"/>
      <c r="F43" s="16"/>
      <c r="G43" s="17"/>
      <c r="I43" s="34"/>
      <c r="J43" s="35"/>
      <c r="K43" s="36"/>
      <c r="L43" s="36"/>
      <c r="M43" s="28"/>
      <c r="N43" s="28"/>
      <c r="O43" s="37"/>
      <c r="P43" s="24">
        <f t="shared" si="1"/>
        <v>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15"/>
      <c r="D44" s="15"/>
      <c r="E44" s="8"/>
      <c r="F44" s="16"/>
      <c r="G44" s="17"/>
      <c r="I44" s="34"/>
      <c r="J44" s="35"/>
      <c r="K44" s="36"/>
      <c r="L44" s="36"/>
      <c r="M44" s="28"/>
      <c r="N44" s="28"/>
      <c r="O44" s="37"/>
      <c r="P44" s="24">
        <f t="shared" si="1"/>
        <v>0</v>
      </c>
      <c r="R44" s="19"/>
      <c r="S44" s="20"/>
      <c r="T44" s="21"/>
      <c r="U44" s="21"/>
      <c r="V44" s="2"/>
      <c r="W44" s="2"/>
      <c r="X44" s="38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15"/>
      <c r="D45" s="15"/>
      <c r="E45" s="8"/>
      <c r="F45" s="16"/>
      <c r="G45" s="17"/>
      <c r="I45" s="34"/>
      <c r="J45" s="35"/>
      <c r="K45" s="36"/>
      <c r="L45" s="36"/>
      <c r="M45" s="28"/>
      <c r="N45" s="28"/>
      <c r="O45" s="3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15"/>
      <c r="D46" s="15"/>
      <c r="E46" s="8"/>
      <c r="F46" s="16"/>
      <c r="G46" s="17"/>
      <c r="I46" s="27"/>
      <c r="J46" s="32"/>
      <c r="K46" s="51"/>
      <c r="L46" s="26"/>
      <c r="M46" s="18"/>
      <c r="N46" s="18"/>
      <c r="O46" s="33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15"/>
      <c r="D47" s="15"/>
      <c r="E47" s="8"/>
      <c r="F47" s="16"/>
      <c r="G47" s="17"/>
      <c r="I47" s="27"/>
      <c r="J47" s="32"/>
      <c r="K47" s="51"/>
      <c r="L47" s="26"/>
      <c r="M47" s="18"/>
      <c r="N47" s="18"/>
      <c r="O47" s="33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15"/>
      <c r="D48" s="15"/>
      <c r="E48" s="8"/>
      <c r="F48" s="16"/>
      <c r="G48" s="17"/>
      <c r="I48" s="27"/>
      <c r="J48" s="32"/>
      <c r="K48" s="51"/>
      <c r="L48" s="26"/>
      <c r="M48" s="18"/>
      <c r="N48" s="18"/>
      <c r="O48" s="33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15"/>
      <c r="D49" s="15"/>
      <c r="E49" s="8"/>
      <c r="F49" s="16"/>
      <c r="G49" s="17"/>
      <c r="I49" s="27"/>
      <c r="J49" s="32"/>
      <c r="K49" s="51"/>
      <c r="L49" s="26"/>
      <c r="M49" s="18"/>
      <c r="N49" s="18"/>
      <c r="O49" s="33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15"/>
      <c r="D50" s="15"/>
      <c r="E50" s="8"/>
      <c r="F50" s="16"/>
      <c r="G50" s="17"/>
      <c r="I50" s="27"/>
      <c r="J50" s="32"/>
      <c r="K50" s="51"/>
      <c r="L50" s="26"/>
      <c r="M50" s="18"/>
      <c r="N50" s="18"/>
      <c r="O50" s="33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15"/>
      <c r="D51" s="15"/>
      <c r="E51" s="8"/>
      <c r="F51" s="16"/>
      <c r="G51" s="17"/>
      <c r="I51" s="27"/>
      <c r="J51" s="32"/>
      <c r="K51" s="51"/>
      <c r="L51" s="26"/>
      <c r="M51" s="18"/>
      <c r="N51" s="18"/>
      <c r="O51" s="33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15"/>
      <c r="D52" s="15"/>
      <c r="E52" s="8"/>
      <c r="F52" s="16"/>
      <c r="G52" s="17"/>
      <c r="I52" s="27"/>
      <c r="J52" s="32"/>
      <c r="K52" s="51"/>
      <c r="L52" s="26"/>
      <c r="M52" s="18"/>
      <c r="N52" s="18"/>
      <c r="O52" s="33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8"/>
      <c r="F53" s="16"/>
      <c r="G53" s="17"/>
      <c r="I53" s="27"/>
      <c r="J53" s="32"/>
      <c r="K53" s="51"/>
      <c r="L53" s="26"/>
      <c r="M53" s="18"/>
      <c r="N53" s="18"/>
      <c r="O53" s="33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8"/>
      <c r="F54" s="16"/>
      <c r="G54" s="17"/>
      <c r="I54" s="27"/>
      <c r="J54" s="32"/>
      <c r="K54" s="26"/>
      <c r="L54" s="26"/>
      <c r="M54" s="18"/>
      <c r="N54" s="18"/>
      <c r="O54" s="33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8"/>
      <c r="F55" s="16"/>
      <c r="G55" s="17"/>
      <c r="I55" s="27"/>
      <c r="J55" s="32"/>
      <c r="K55" s="26"/>
      <c r="L55" s="26"/>
      <c r="M55" s="18"/>
      <c r="N55" s="18"/>
      <c r="O55" s="33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8"/>
      <c r="F56" s="16"/>
      <c r="G56" s="17"/>
      <c r="I56" s="27"/>
      <c r="J56" s="32"/>
      <c r="K56" s="26"/>
      <c r="L56" s="26"/>
      <c r="M56" s="18"/>
      <c r="N56" s="18"/>
      <c r="O56" s="33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8"/>
      <c r="F57" s="16"/>
      <c r="G57" s="17"/>
      <c r="I57" s="27"/>
      <c r="J57" s="32"/>
      <c r="K57" s="26"/>
      <c r="L57" s="26"/>
      <c r="M57" s="18"/>
      <c r="N57" s="18"/>
      <c r="O57" s="33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8"/>
      <c r="F58" s="16"/>
      <c r="G58" s="17"/>
      <c r="I58" s="27"/>
      <c r="J58" s="32"/>
      <c r="K58" s="26"/>
      <c r="L58" s="26"/>
      <c r="M58" s="18"/>
      <c r="N58" s="18"/>
      <c r="O58" s="33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15"/>
      <c r="D59" s="15"/>
      <c r="E59" s="8"/>
      <c r="F59" s="16"/>
      <c r="G59" s="17"/>
      <c r="I59" s="27"/>
      <c r="J59" s="32"/>
      <c r="K59" s="26"/>
      <c r="L59" s="26"/>
      <c r="M59" s="18"/>
      <c r="N59" s="18"/>
      <c r="O59" s="33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15"/>
      <c r="D60" s="15"/>
      <c r="E60" s="8"/>
      <c r="F60" s="16"/>
      <c r="G60" s="17"/>
      <c r="I60" s="27"/>
      <c r="J60" s="32"/>
      <c r="K60" s="26"/>
      <c r="L60" s="26"/>
      <c r="M60" s="18"/>
      <c r="N60" s="18"/>
      <c r="O60" s="33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15"/>
      <c r="D61" s="15"/>
      <c r="E61" s="8"/>
      <c r="F61" s="16"/>
      <c r="G61" s="17"/>
      <c r="I61" s="27"/>
      <c r="J61" s="32"/>
      <c r="K61" s="26"/>
      <c r="L61" s="26"/>
      <c r="M61" s="18"/>
      <c r="N61" s="18"/>
      <c r="O61" s="33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15"/>
      <c r="D62" s="15"/>
      <c r="E62" s="8"/>
      <c r="F62" s="16"/>
      <c r="G62" s="17"/>
      <c r="I62" s="27"/>
      <c r="J62" s="32"/>
      <c r="K62" s="26"/>
      <c r="L62" s="26"/>
      <c r="M62" s="18"/>
      <c r="N62" s="18"/>
      <c r="O62" s="33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15"/>
      <c r="D63" s="15"/>
      <c r="E63" s="8"/>
      <c r="F63" s="16"/>
      <c r="G63" s="17"/>
      <c r="I63" s="27"/>
      <c r="J63" s="32"/>
      <c r="K63" s="26"/>
      <c r="L63" s="26"/>
      <c r="M63" s="18"/>
      <c r="N63" s="18"/>
      <c r="O63" s="33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8"/>
      <c r="F64" s="16"/>
      <c r="G64" s="17"/>
      <c r="I64" s="27"/>
      <c r="J64" s="32"/>
      <c r="K64" s="26"/>
      <c r="L64" s="26"/>
      <c r="M64" s="18"/>
      <c r="N64" s="18"/>
      <c r="O64" s="33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8"/>
      <c r="F65" s="16"/>
      <c r="G65" s="17"/>
      <c r="I65" s="27"/>
      <c r="J65" s="32"/>
      <c r="K65" s="51"/>
      <c r="L65" s="26"/>
      <c r="M65" s="18"/>
      <c r="N65" s="18"/>
      <c r="O65" s="33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8"/>
      <c r="F66" s="16"/>
      <c r="G66" s="17"/>
      <c r="I66" s="27"/>
      <c r="J66" s="32"/>
      <c r="K66" s="51"/>
      <c r="L66" s="26"/>
      <c r="M66" s="18"/>
      <c r="N66" s="18"/>
      <c r="O66" s="33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15"/>
      <c r="D67" s="15"/>
      <c r="E67" s="8"/>
      <c r="F67" s="16"/>
      <c r="G67" s="17"/>
      <c r="I67" s="27"/>
      <c r="J67" s="32"/>
      <c r="K67" s="51"/>
      <c r="L67" s="26"/>
      <c r="M67" s="18"/>
      <c r="N67" s="18"/>
      <c r="O67" s="33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15"/>
      <c r="D68" s="15"/>
      <c r="E68" s="8"/>
      <c r="F68" s="16"/>
      <c r="G68" s="17"/>
      <c r="I68" s="27"/>
      <c r="J68" s="32"/>
      <c r="K68" s="51"/>
      <c r="L68" s="26"/>
      <c r="M68" s="18"/>
      <c r="N68" s="18"/>
      <c r="O68" s="33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15"/>
      <c r="D69" s="15"/>
      <c r="E69" s="8"/>
      <c r="F69" s="16"/>
      <c r="G69" s="17"/>
      <c r="I69" s="27"/>
      <c r="J69" s="32"/>
      <c r="K69" s="51"/>
      <c r="L69" s="26"/>
      <c r="M69" s="18"/>
      <c r="N69" s="18"/>
      <c r="O69" s="33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15"/>
      <c r="D70" s="15"/>
      <c r="E70" s="8"/>
      <c r="F70" s="16"/>
      <c r="G70" s="17"/>
      <c r="I70" s="27"/>
      <c r="J70" s="32"/>
      <c r="K70" s="51"/>
      <c r="L70" s="26"/>
      <c r="M70" s="18"/>
      <c r="N70" s="18"/>
      <c r="O70" s="33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15"/>
      <c r="D71" s="15"/>
      <c r="E71" s="8"/>
      <c r="F71" s="16"/>
      <c r="G71" s="17"/>
      <c r="I71" s="27"/>
      <c r="J71" s="32"/>
      <c r="K71" s="51"/>
      <c r="L71" s="26"/>
      <c r="M71" s="18"/>
      <c r="N71" s="18"/>
      <c r="O71" s="33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15"/>
      <c r="D72" s="15"/>
      <c r="E72" s="8"/>
      <c r="F72" s="16"/>
      <c r="G72" s="17"/>
      <c r="I72" s="27"/>
      <c r="J72" s="32"/>
      <c r="K72" s="26"/>
      <c r="L72" s="26"/>
      <c r="M72" s="18"/>
      <c r="N72" s="18"/>
      <c r="O72" s="33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15"/>
      <c r="D73" s="15"/>
      <c r="E73" s="8"/>
      <c r="F73" s="16"/>
      <c r="G73" s="17"/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/>
      <c r="B74" s="14"/>
      <c r="C74" s="15"/>
      <c r="D74" s="15"/>
      <c r="E74" s="8"/>
      <c r="F74" s="16"/>
      <c r="G74" s="17"/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15"/>
      <c r="D75" s="15"/>
      <c r="E75" s="8"/>
      <c r="F75" s="16"/>
      <c r="G75" s="17"/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15"/>
      <c r="D76" s="15"/>
      <c r="E76" s="8"/>
      <c r="F76" s="16"/>
      <c r="G76" s="17"/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15"/>
      <c r="D77" s="15"/>
      <c r="E77" s="8"/>
      <c r="F77" s="16"/>
      <c r="G77" s="17"/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15"/>
      <c r="D78" s="15"/>
      <c r="E78" s="8"/>
      <c r="F78" s="16"/>
      <c r="G78" s="17"/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8"/>
      <c r="F79" s="16"/>
      <c r="G79" s="17"/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8"/>
      <c r="F80" s="16"/>
      <c r="G80" s="17"/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8"/>
      <c r="F81" s="16"/>
      <c r="G81" s="17"/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8"/>
      <c r="F82" s="16"/>
      <c r="G82" s="17"/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8"/>
      <c r="F83" s="16"/>
      <c r="G83" s="17"/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2"/>
      <c r="C84" s="26"/>
      <c r="D84" s="26"/>
      <c r="E84" s="18"/>
      <c r="F84" s="18"/>
      <c r="G84" s="33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2"/>
      <c r="C85" s="26"/>
      <c r="D85" s="26"/>
      <c r="E85" s="18"/>
      <c r="F85" s="18"/>
      <c r="G85" s="33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2"/>
      <c r="C86" s="26"/>
      <c r="D86" s="26"/>
      <c r="E86" s="18"/>
      <c r="F86" s="18"/>
      <c r="G86" s="33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2"/>
      <c r="C87" s="26"/>
      <c r="D87" s="26"/>
      <c r="E87" s="18"/>
      <c r="F87" s="18"/>
      <c r="G87" s="33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2"/>
      <c r="C88" s="26"/>
      <c r="D88" s="26"/>
      <c r="E88" s="18"/>
      <c r="F88" s="18"/>
      <c r="G88" s="33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2"/>
      <c r="C89" s="26"/>
      <c r="D89" s="26"/>
      <c r="E89" s="18"/>
      <c r="F89" s="18"/>
      <c r="G89" s="33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2"/>
      <c r="C90" s="51"/>
      <c r="D90" s="26"/>
      <c r="E90" s="18"/>
      <c r="F90" s="18"/>
      <c r="G90" s="33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2"/>
      <c r="C91" s="51"/>
      <c r="D91" s="26"/>
      <c r="E91" s="18"/>
      <c r="F91" s="18"/>
      <c r="G91" s="33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2"/>
      <c r="C92" s="51"/>
      <c r="D92" s="26"/>
      <c r="E92" s="18"/>
      <c r="F92" s="18"/>
      <c r="G92" s="33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2"/>
      <c r="C93" s="51"/>
      <c r="D93" s="26"/>
      <c r="E93" s="18"/>
      <c r="F93" s="18"/>
      <c r="G93" s="33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2"/>
      <c r="C94" s="51"/>
      <c r="D94" s="26"/>
      <c r="E94" s="18"/>
      <c r="F94" s="18"/>
      <c r="G94" s="33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2"/>
      <c r="C95" s="51"/>
      <c r="D95" s="26"/>
      <c r="E95" s="18"/>
      <c r="F95" s="18"/>
      <c r="G95" s="33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2"/>
      <c r="C96" s="51"/>
      <c r="D96" s="26"/>
      <c r="E96" s="18"/>
      <c r="F96" s="18"/>
      <c r="G96" s="33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2"/>
      <c r="C97" s="26"/>
      <c r="D97" s="26"/>
      <c r="E97" s="18"/>
      <c r="F97" s="18"/>
      <c r="G97" s="33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2"/>
      <c r="C98" s="26"/>
      <c r="D98" s="26"/>
      <c r="E98" s="18"/>
      <c r="F98" s="18"/>
      <c r="G98" s="33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2"/>
      <c r="C99" s="51"/>
      <c r="D99" s="26"/>
      <c r="E99" s="18"/>
      <c r="F99" s="18"/>
      <c r="G99" s="33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2"/>
      <c r="C100" s="51"/>
      <c r="D100" s="26"/>
      <c r="E100" s="18"/>
      <c r="F100" s="18"/>
      <c r="G100" s="33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2"/>
      <c r="C101" s="51"/>
      <c r="D101" s="26"/>
      <c r="E101" s="18"/>
      <c r="F101" s="18"/>
      <c r="G101" s="33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2"/>
      <c r="C102" s="51"/>
      <c r="D102" s="26"/>
      <c r="E102" s="18"/>
      <c r="F102" s="18"/>
      <c r="G102" s="33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2"/>
      <c r="C103" s="51"/>
      <c r="D103" s="26"/>
      <c r="E103" s="18"/>
      <c r="F103" s="18"/>
      <c r="G103" s="33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2"/>
      <c r="C104" s="51"/>
      <c r="D104" s="26"/>
      <c r="E104" s="18"/>
      <c r="F104" s="18"/>
      <c r="G104" s="33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2"/>
      <c r="C105" s="51"/>
      <c r="D105" s="26"/>
      <c r="E105" s="18"/>
      <c r="F105" s="18"/>
      <c r="G105" s="33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2"/>
      <c r="C106" s="51"/>
      <c r="D106" s="26"/>
      <c r="E106" s="18"/>
      <c r="F106" s="18"/>
      <c r="G106" s="33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39"/>
      <c r="J156" s="40"/>
      <c r="K156" s="52"/>
      <c r="L156" s="41"/>
      <c r="M156" s="42"/>
      <c r="N156" s="42"/>
      <c r="O156" s="43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39"/>
      <c r="J157" s="40"/>
      <c r="K157" s="52"/>
      <c r="L157" s="41"/>
      <c r="M157" s="42"/>
      <c r="N157" s="42"/>
      <c r="O157" s="43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39"/>
      <c r="J158" s="40"/>
      <c r="K158" s="52"/>
      <c r="L158" s="41"/>
      <c r="M158" s="42"/>
      <c r="N158" s="42"/>
      <c r="O158" s="43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39"/>
      <c r="J159" s="40"/>
      <c r="K159" s="52"/>
      <c r="L159" s="41"/>
      <c r="M159" s="42"/>
      <c r="N159" s="42"/>
      <c r="O159" s="43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39"/>
      <c r="J160" s="40"/>
      <c r="K160" s="52"/>
      <c r="L160" s="41"/>
      <c r="M160" s="42"/>
      <c r="N160" s="42"/>
      <c r="O160" s="43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39"/>
      <c r="J161" s="40"/>
      <c r="K161" s="41"/>
      <c r="L161" s="41"/>
      <c r="M161" s="42"/>
      <c r="N161" s="42"/>
      <c r="O161" s="43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39"/>
      <c r="J162" s="40"/>
      <c r="K162" s="41"/>
      <c r="L162" s="41"/>
      <c r="M162" s="42"/>
      <c r="N162" s="42"/>
      <c r="O162" s="43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39"/>
      <c r="J163" s="40"/>
      <c r="K163" s="41"/>
      <c r="L163" s="41"/>
      <c r="M163" s="42"/>
      <c r="N163" s="42"/>
      <c r="O163" s="43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39"/>
      <c r="J164" s="40"/>
      <c r="K164" s="41"/>
      <c r="L164" s="41"/>
      <c r="M164" s="42"/>
      <c r="N164" s="42"/>
      <c r="O164" s="43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39"/>
      <c r="J165" s="40"/>
      <c r="K165" s="41"/>
      <c r="L165" s="41"/>
      <c r="M165" s="42"/>
      <c r="N165" s="42"/>
      <c r="O165" s="43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39"/>
      <c r="J166" s="40"/>
      <c r="K166" s="41"/>
      <c r="L166" s="41"/>
      <c r="M166" s="42"/>
      <c r="N166" s="42"/>
      <c r="O166" s="43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39"/>
      <c r="J167" s="40"/>
      <c r="K167" s="41"/>
      <c r="L167" s="41"/>
      <c r="M167" s="42"/>
      <c r="N167" s="42"/>
      <c r="O167" s="43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39"/>
      <c r="J168" s="40"/>
      <c r="K168" s="52"/>
      <c r="L168" s="41"/>
      <c r="M168" s="42"/>
      <c r="N168" s="42"/>
      <c r="O168" s="43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39"/>
      <c r="J169" s="40"/>
      <c r="K169" s="52"/>
      <c r="L169" s="41"/>
      <c r="M169" s="42"/>
      <c r="N169" s="42"/>
      <c r="O169" s="43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39"/>
      <c r="J170" s="40"/>
      <c r="K170" s="52"/>
      <c r="L170" s="41"/>
      <c r="M170" s="42"/>
      <c r="N170" s="42"/>
      <c r="O170" s="43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39"/>
      <c r="J171" s="40"/>
      <c r="K171" s="52"/>
      <c r="L171" s="41"/>
      <c r="M171" s="42"/>
      <c r="N171" s="42"/>
      <c r="O171" s="43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39"/>
      <c r="J172" s="40"/>
      <c r="K172" s="52"/>
      <c r="L172" s="41"/>
      <c r="M172" s="42"/>
      <c r="N172" s="42"/>
      <c r="O172" s="43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39"/>
      <c r="J173" s="40"/>
      <c r="K173" s="52"/>
      <c r="L173" s="41"/>
      <c r="M173" s="42"/>
      <c r="N173" s="42"/>
      <c r="O173" s="43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39"/>
      <c r="J174" s="40"/>
      <c r="K174" s="52"/>
      <c r="L174" s="41"/>
      <c r="M174" s="42"/>
      <c r="N174" s="42"/>
      <c r="O174" s="43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39"/>
      <c r="J175" s="40"/>
      <c r="K175" s="52"/>
      <c r="L175" s="41"/>
      <c r="M175" s="42"/>
      <c r="N175" s="42"/>
      <c r="O175" s="43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39"/>
      <c r="J176" s="40"/>
      <c r="K176" s="52"/>
      <c r="L176" s="41"/>
      <c r="M176" s="42"/>
      <c r="N176" s="42"/>
      <c r="O176" s="43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39"/>
      <c r="J177" s="40"/>
      <c r="K177" s="52"/>
      <c r="L177" s="41"/>
      <c r="M177" s="42"/>
      <c r="N177" s="42"/>
      <c r="O177" s="43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39"/>
      <c r="J178" s="40"/>
      <c r="K178" s="52"/>
      <c r="L178" s="41"/>
      <c r="M178" s="42"/>
      <c r="N178" s="42"/>
      <c r="O178" s="43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39"/>
      <c r="J179" s="40"/>
      <c r="K179" s="52"/>
      <c r="L179" s="41"/>
      <c r="M179" s="42"/>
      <c r="N179" s="42"/>
      <c r="O179" s="43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39"/>
      <c r="J180" s="40"/>
      <c r="K180" s="52"/>
      <c r="L180" s="41"/>
      <c r="M180" s="42"/>
      <c r="N180" s="42"/>
      <c r="O180" s="43"/>
      <c r="P180" s="24">
        <f t="shared" si="2"/>
        <v>0</v>
      </c>
    </row>
    <row r="181" ht="22.5" customHeight="1">
      <c r="A181" s="39"/>
      <c r="B181" s="40"/>
      <c r="C181" s="52"/>
      <c r="D181" s="41"/>
      <c r="E181" s="42"/>
      <c r="F181" s="42"/>
      <c r="G181" s="43"/>
      <c r="I181" s="39"/>
      <c r="J181" s="40"/>
      <c r="K181" s="52"/>
      <c r="L181" s="41"/>
      <c r="M181" s="42"/>
      <c r="N181" s="42"/>
      <c r="O181" s="43"/>
      <c r="P181" s="24">
        <f t="shared" si="2"/>
        <v>0</v>
      </c>
    </row>
    <row r="182" ht="22.5" customHeight="1">
      <c r="A182" s="39"/>
      <c r="B182" s="40"/>
      <c r="C182" s="52"/>
      <c r="D182" s="41"/>
      <c r="E182" s="42"/>
      <c r="F182" s="42"/>
      <c r="G182" s="43"/>
      <c r="I182" s="39"/>
      <c r="J182" s="40"/>
      <c r="K182" s="52"/>
      <c r="L182" s="41"/>
      <c r="M182" s="42"/>
      <c r="N182" s="42"/>
      <c r="O182" s="43"/>
      <c r="P182" s="24">
        <f t="shared" si="2"/>
        <v>0</v>
      </c>
    </row>
    <row r="183" ht="22.5" customHeight="1">
      <c r="A183" s="39"/>
      <c r="B183" s="40"/>
      <c r="C183" s="52"/>
      <c r="D183" s="41"/>
      <c r="E183" s="42"/>
      <c r="F183" s="42"/>
      <c r="G183" s="43"/>
      <c r="I183" s="39"/>
      <c r="J183" s="40"/>
      <c r="K183" s="52"/>
      <c r="L183" s="41"/>
      <c r="M183" s="42"/>
      <c r="N183" s="42"/>
      <c r="O183" s="43"/>
      <c r="P183" s="24">
        <f t="shared" si="2"/>
        <v>0</v>
      </c>
    </row>
    <row r="184" ht="22.5" customHeight="1">
      <c r="A184" s="39"/>
      <c r="B184" s="40"/>
      <c r="C184" s="52"/>
      <c r="D184" s="41"/>
      <c r="E184" s="42"/>
      <c r="F184" s="42"/>
      <c r="G184" s="43"/>
      <c r="I184" s="39"/>
      <c r="J184" s="40"/>
      <c r="K184" s="52"/>
      <c r="L184" s="41"/>
      <c r="M184" s="42"/>
      <c r="N184" s="42"/>
      <c r="O184" s="43"/>
      <c r="P184" s="24">
        <f t="shared" si="2"/>
        <v>0</v>
      </c>
    </row>
    <row r="185" ht="22.5" customHeight="1">
      <c r="A185" s="39"/>
      <c r="B185" s="40"/>
      <c r="C185" s="52"/>
      <c r="D185" s="41"/>
      <c r="E185" s="42"/>
      <c r="F185" s="42"/>
      <c r="G185" s="43"/>
      <c r="I185" s="39"/>
      <c r="J185" s="40"/>
      <c r="K185" s="52"/>
      <c r="L185" s="41"/>
      <c r="M185" s="42"/>
      <c r="N185" s="42"/>
      <c r="O185" s="43"/>
      <c r="P185" s="24">
        <f t="shared" si="2"/>
        <v>0</v>
      </c>
    </row>
    <row r="186" ht="22.5" customHeight="1">
      <c r="A186" s="39"/>
      <c r="B186" s="40"/>
      <c r="C186" s="52"/>
      <c r="D186" s="41"/>
      <c r="E186" s="42"/>
      <c r="F186" s="42"/>
      <c r="G186" s="43"/>
      <c r="I186" s="39"/>
      <c r="J186" s="40"/>
      <c r="K186" s="52"/>
      <c r="L186" s="41"/>
      <c r="M186" s="42"/>
      <c r="N186" s="42"/>
      <c r="O186" s="43"/>
      <c r="P186" s="24">
        <f t="shared" si="2"/>
        <v>0</v>
      </c>
    </row>
    <row r="187" ht="22.5" customHeight="1">
      <c r="A187" s="39"/>
      <c r="B187" s="40"/>
      <c r="C187" s="52"/>
      <c r="D187" s="41"/>
      <c r="E187" s="42"/>
      <c r="F187" s="42"/>
      <c r="G187" s="43"/>
      <c r="I187" s="39"/>
      <c r="J187" s="40"/>
      <c r="K187" s="52"/>
      <c r="L187" s="41"/>
      <c r="M187" s="42"/>
      <c r="N187" s="42"/>
      <c r="O187" s="43"/>
      <c r="P187" s="24">
        <f t="shared" si="2"/>
        <v>0</v>
      </c>
    </row>
    <row r="188" ht="22.5" customHeight="1">
      <c r="A188" s="39"/>
      <c r="B188" s="40"/>
      <c r="C188" s="52"/>
      <c r="D188" s="41"/>
      <c r="E188" s="42"/>
      <c r="F188" s="42"/>
      <c r="G188" s="43"/>
      <c r="I188" s="39"/>
      <c r="J188" s="40"/>
      <c r="K188" s="52"/>
      <c r="L188" s="41"/>
      <c r="M188" s="42"/>
      <c r="N188" s="42"/>
      <c r="O188" s="43"/>
      <c r="P188" s="24">
        <f t="shared" si="2"/>
        <v>0</v>
      </c>
    </row>
    <row r="189" ht="22.5" customHeight="1">
      <c r="A189" s="39"/>
      <c r="B189" s="40"/>
      <c r="C189" s="52"/>
      <c r="D189" s="41"/>
      <c r="E189" s="42"/>
      <c r="F189" s="42"/>
      <c r="G189" s="43"/>
      <c r="I189" s="39"/>
      <c r="J189" s="40"/>
      <c r="K189" s="52"/>
      <c r="L189" s="41"/>
      <c r="M189" s="42"/>
      <c r="N189" s="42"/>
      <c r="O189" s="43"/>
      <c r="P189" s="24">
        <f t="shared" si="2"/>
        <v>0</v>
      </c>
    </row>
    <row r="190" ht="22.5" customHeight="1">
      <c r="A190" s="39"/>
      <c r="B190" s="40"/>
      <c r="C190" s="52"/>
      <c r="D190" s="41"/>
      <c r="E190" s="42"/>
      <c r="F190" s="42"/>
      <c r="G190" s="43"/>
      <c r="I190" s="39"/>
      <c r="J190" s="40"/>
      <c r="K190" s="52"/>
      <c r="L190" s="41"/>
      <c r="M190" s="42"/>
      <c r="N190" s="42"/>
      <c r="O190" s="43"/>
      <c r="P190" s="24">
        <f t="shared" si="2"/>
        <v>0</v>
      </c>
    </row>
    <row r="191" ht="22.5" customHeight="1">
      <c r="A191" s="39"/>
      <c r="B191" s="40"/>
      <c r="C191" s="52"/>
      <c r="D191" s="41"/>
      <c r="E191" s="42"/>
      <c r="F191" s="42"/>
      <c r="G191" s="43"/>
      <c r="I191" s="39"/>
      <c r="J191" s="40"/>
      <c r="K191" s="52"/>
      <c r="L191" s="41"/>
      <c r="M191" s="42"/>
      <c r="N191" s="42"/>
      <c r="O191" s="43"/>
      <c r="P191" s="24">
        <f t="shared" si="2"/>
        <v>0</v>
      </c>
    </row>
    <row r="192" ht="22.5" customHeight="1">
      <c r="A192" s="39"/>
      <c r="B192" s="40"/>
      <c r="C192" s="52"/>
      <c r="D192" s="41"/>
      <c r="E192" s="42"/>
      <c r="F192" s="42"/>
      <c r="G192" s="43"/>
      <c r="I192" s="39"/>
      <c r="J192" s="40"/>
      <c r="K192" s="52"/>
      <c r="L192" s="41"/>
      <c r="M192" s="42"/>
      <c r="N192" s="42"/>
      <c r="O192" s="43"/>
      <c r="P192" s="24">
        <f t="shared" si="2"/>
        <v>0</v>
      </c>
    </row>
    <row r="193" ht="22.5" customHeight="1">
      <c r="A193" s="39"/>
      <c r="B193" s="40"/>
      <c r="C193" s="52"/>
      <c r="D193" s="41"/>
      <c r="E193" s="42"/>
      <c r="F193" s="42"/>
      <c r="G193" s="43"/>
      <c r="I193" s="39"/>
      <c r="J193" s="40"/>
      <c r="K193" s="52"/>
      <c r="L193" s="41"/>
      <c r="M193" s="42"/>
      <c r="N193" s="42"/>
      <c r="O193" s="43"/>
      <c r="P193" s="24">
        <f t="shared" si="2"/>
        <v>0</v>
      </c>
    </row>
    <row r="194" ht="22.5" customHeight="1">
      <c r="A194" s="39"/>
      <c r="B194" s="40"/>
      <c r="C194" s="52"/>
      <c r="D194" s="41"/>
      <c r="E194" s="42"/>
      <c r="F194" s="42"/>
      <c r="G194" s="43"/>
      <c r="I194" s="39"/>
      <c r="J194" s="40"/>
      <c r="K194" s="52"/>
      <c r="L194" s="41"/>
      <c r="M194" s="42"/>
      <c r="N194" s="42"/>
      <c r="O194" s="43"/>
      <c r="P194" s="24">
        <f t="shared" si="2"/>
        <v>0</v>
      </c>
    </row>
    <row r="195" ht="22.5" customHeight="1">
      <c r="A195" s="39"/>
      <c r="B195" s="40"/>
      <c r="C195" s="52"/>
      <c r="D195" s="41"/>
      <c r="E195" s="42"/>
      <c r="F195" s="42"/>
      <c r="G195" s="43"/>
      <c r="I195" s="39"/>
      <c r="J195" s="40"/>
      <c r="K195" s="52"/>
      <c r="L195" s="41"/>
      <c r="M195" s="42"/>
      <c r="N195" s="42"/>
      <c r="O195" s="43"/>
      <c r="P195" s="24">
        <f t="shared" si="2"/>
        <v>0</v>
      </c>
    </row>
    <row r="196" ht="22.5" customHeight="1">
      <c r="A196" s="39"/>
      <c r="B196" s="40"/>
      <c r="C196" s="52"/>
      <c r="D196" s="41"/>
      <c r="E196" s="42"/>
      <c r="F196" s="42"/>
      <c r="G196" s="43"/>
      <c r="I196" s="39"/>
      <c r="J196" s="40"/>
      <c r="K196" s="52"/>
      <c r="L196" s="41"/>
      <c r="M196" s="42"/>
      <c r="N196" s="42"/>
      <c r="O196" s="43"/>
      <c r="P196" s="24">
        <f t="shared" si="2"/>
        <v>0</v>
      </c>
    </row>
    <row r="197" ht="22.5" customHeight="1">
      <c r="A197" s="39"/>
      <c r="B197" s="40"/>
      <c r="C197" s="52"/>
      <c r="D197" s="41"/>
      <c r="E197" s="42"/>
      <c r="F197" s="42"/>
      <c r="G197" s="43"/>
      <c r="I197" s="39"/>
      <c r="J197" s="40"/>
      <c r="K197" s="52"/>
      <c r="L197" s="41"/>
      <c r="M197" s="42"/>
      <c r="N197" s="42"/>
      <c r="O197" s="43"/>
      <c r="P197" s="24">
        <f t="shared" si="2"/>
        <v>0</v>
      </c>
    </row>
    <row r="198" ht="22.5" customHeight="1">
      <c r="A198" s="39"/>
      <c r="B198" s="40"/>
      <c r="C198" s="52"/>
      <c r="D198" s="41"/>
      <c r="E198" s="42"/>
      <c r="F198" s="42"/>
      <c r="G198" s="43"/>
      <c r="I198" s="39"/>
      <c r="J198" s="40"/>
      <c r="K198" s="52"/>
      <c r="L198" s="41"/>
      <c r="M198" s="42"/>
      <c r="N198" s="42"/>
      <c r="O198" s="43"/>
      <c r="P198" s="24">
        <f t="shared" si="2"/>
        <v>0</v>
      </c>
    </row>
    <row r="199" ht="22.5" customHeight="1">
      <c r="A199" s="39"/>
      <c r="B199" s="40"/>
      <c r="C199" s="52"/>
      <c r="D199" s="41"/>
      <c r="E199" s="42"/>
      <c r="F199" s="42"/>
      <c r="G199" s="43"/>
      <c r="I199" s="39"/>
      <c r="J199" s="40"/>
      <c r="K199" s="52"/>
      <c r="L199" s="41"/>
      <c r="M199" s="42"/>
      <c r="N199" s="42"/>
      <c r="O199" s="43"/>
      <c r="P199" s="24">
        <f t="shared" si="2"/>
        <v>0</v>
      </c>
    </row>
    <row r="200" ht="22.5" customHeight="1">
      <c r="A200" s="39"/>
      <c r="B200" s="40"/>
      <c r="C200" s="52"/>
      <c r="D200" s="41"/>
      <c r="E200" s="42"/>
      <c r="F200" s="42"/>
      <c r="G200" s="43"/>
      <c r="I200" s="39"/>
      <c r="J200" s="40"/>
      <c r="K200" s="52"/>
      <c r="L200" s="41"/>
      <c r="M200" s="42"/>
      <c r="N200" s="42"/>
      <c r="O200" s="43"/>
      <c r="P200" s="24">
        <f t="shared" si="2"/>
        <v>0</v>
      </c>
    </row>
    <row r="201" ht="22.5" customHeight="1">
      <c r="A201" s="39"/>
      <c r="B201" s="40"/>
      <c r="C201" s="52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4">
        <f t="shared" si="2"/>
        <v>0</v>
      </c>
    </row>
    <row r="202" ht="22.5" customHeight="1">
      <c r="A202" s="39"/>
      <c r="B202" s="40"/>
      <c r="C202" s="52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4">
        <f t="shared" si="2"/>
        <v>0</v>
      </c>
    </row>
    <row r="203" ht="22.5" customHeight="1">
      <c r="A203" s="39"/>
      <c r="B203" s="40"/>
      <c r="C203" s="52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4">
        <f t="shared" si="2"/>
        <v>0</v>
      </c>
    </row>
    <row r="204" ht="22.5" customHeight="1">
      <c r="A204" s="39"/>
      <c r="B204" s="40"/>
      <c r="C204" s="52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4">
        <f t="shared" si="2"/>
        <v>0</v>
      </c>
    </row>
    <row r="205" ht="22.5" customHeight="1">
      <c r="A205" s="39"/>
      <c r="B205" s="40"/>
      <c r="C205" s="52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4">
        <f t="shared" si="2"/>
        <v>0</v>
      </c>
    </row>
    <row r="206" ht="22.5" customHeight="1">
      <c r="A206" s="39"/>
      <c r="B206" s="40"/>
      <c r="C206" s="52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4">
        <f t="shared" si="2"/>
        <v>0</v>
      </c>
    </row>
    <row r="207" ht="22.5" customHeight="1">
      <c r="A207" s="39"/>
      <c r="B207" s="40"/>
      <c r="C207" s="52"/>
      <c r="D207" s="41"/>
      <c r="E207" s="42"/>
      <c r="F207" s="42"/>
      <c r="G207" s="43"/>
      <c r="I207" s="39"/>
      <c r="J207" s="40"/>
      <c r="K207" s="52"/>
      <c r="L207" s="41"/>
      <c r="M207" s="42"/>
      <c r="N207" s="42"/>
      <c r="O207" s="43"/>
      <c r="P207" s="24">
        <f t="shared" si="2"/>
        <v>0</v>
      </c>
    </row>
    <row r="208" ht="22.5" customHeight="1">
      <c r="A208" s="39"/>
      <c r="B208" s="40"/>
      <c r="C208" s="52"/>
      <c r="D208" s="41"/>
      <c r="E208" s="42"/>
      <c r="F208" s="42"/>
      <c r="G208" s="43"/>
      <c r="I208" s="39"/>
      <c r="J208" s="40"/>
      <c r="K208" s="52"/>
      <c r="L208" s="41"/>
      <c r="M208" s="42"/>
      <c r="N208" s="42"/>
      <c r="O208" s="43"/>
      <c r="P208" s="24">
        <f t="shared" si="2"/>
        <v>0</v>
      </c>
    </row>
    <row r="209" ht="22.5" customHeight="1">
      <c r="A209" s="39"/>
      <c r="B209" s="40"/>
      <c r="C209" s="52"/>
      <c r="D209" s="41"/>
      <c r="E209" s="42"/>
      <c r="F209" s="42"/>
      <c r="G209" s="43"/>
      <c r="I209" s="39"/>
      <c r="J209" s="40"/>
      <c r="K209" s="52"/>
      <c r="L209" s="41"/>
      <c r="M209" s="42"/>
      <c r="N209" s="42"/>
      <c r="O209" s="43"/>
      <c r="P209" s="24">
        <f t="shared" si="2"/>
        <v>0</v>
      </c>
    </row>
    <row r="210" ht="22.5" customHeight="1">
      <c r="A210" s="39"/>
      <c r="B210" s="40"/>
      <c r="C210" s="52"/>
      <c r="D210" s="41"/>
      <c r="E210" s="42"/>
      <c r="F210" s="42"/>
      <c r="G210" s="43"/>
      <c r="I210" s="39"/>
      <c r="J210" s="40"/>
      <c r="K210" s="52"/>
      <c r="L210" s="41"/>
      <c r="M210" s="42"/>
      <c r="N210" s="42"/>
      <c r="O210" s="43"/>
      <c r="P210" s="24">
        <f t="shared" si="2"/>
        <v>0</v>
      </c>
    </row>
    <row r="211" ht="22.5" customHeight="1">
      <c r="A211" s="39"/>
      <c r="B211" s="40"/>
      <c r="C211" s="52"/>
      <c r="D211" s="41"/>
      <c r="E211" s="42"/>
      <c r="F211" s="42"/>
      <c r="G211" s="43"/>
      <c r="I211" s="39"/>
      <c r="J211" s="40"/>
      <c r="K211" s="52"/>
      <c r="L211" s="41"/>
      <c r="M211" s="42"/>
      <c r="N211" s="42"/>
      <c r="O211" s="43"/>
      <c r="P211" s="24">
        <f t="shared" si="2"/>
        <v>0</v>
      </c>
    </row>
    <row r="212" ht="22.5" customHeight="1">
      <c r="A212" s="39"/>
      <c r="B212" s="40"/>
      <c r="C212" s="52"/>
      <c r="D212" s="41"/>
      <c r="E212" s="42"/>
      <c r="F212" s="42"/>
      <c r="G212" s="43"/>
      <c r="I212" s="39"/>
      <c r="J212" s="40"/>
      <c r="K212" s="52"/>
      <c r="L212" s="41"/>
      <c r="M212" s="42"/>
      <c r="N212" s="42"/>
      <c r="O212" s="43"/>
      <c r="P212" s="24">
        <f t="shared" si="2"/>
        <v>0</v>
      </c>
    </row>
    <row r="213" ht="22.5" customHeight="1">
      <c r="A213" s="39"/>
      <c r="B213" s="40"/>
      <c r="C213" s="52"/>
      <c r="D213" s="41"/>
      <c r="E213" s="42"/>
      <c r="F213" s="42"/>
      <c r="G213" s="43"/>
      <c r="I213" s="39"/>
      <c r="J213" s="40"/>
      <c r="K213" s="52"/>
      <c r="L213" s="41"/>
      <c r="M213" s="42"/>
      <c r="N213" s="42"/>
      <c r="O213" s="43"/>
      <c r="P213" s="24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2"/>
      <c r="L214" s="41"/>
      <c r="M214" s="42"/>
      <c r="N214" s="42"/>
      <c r="O214" s="43"/>
      <c r="P214" s="24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2"/>
      <c r="L215" s="41"/>
      <c r="M215" s="42"/>
      <c r="N215" s="42"/>
      <c r="O215" s="43"/>
      <c r="P215" s="24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2"/>
      <c r="L216" s="41"/>
      <c r="M216" s="42"/>
      <c r="N216" s="42"/>
      <c r="O216" s="43"/>
      <c r="P216" s="24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4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4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4">
        <f t="shared" si="2"/>
        <v>0</v>
      </c>
    </row>
    <row r="220" ht="22.5" customHeight="1">
      <c r="A220" s="39"/>
      <c r="B220" s="40"/>
      <c r="C220" s="52"/>
      <c r="D220" s="41"/>
      <c r="E220" s="42"/>
      <c r="F220" s="42"/>
      <c r="G220" s="43"/>
      <c r="I220" s="39"/>
      <c r="J220" s="40"/>
      <c r="K220" s="52"/>
      <c r="L220" s="41"/>
      <c r="M220" s="42"/>
      <c r="N220" s="42"/>
      <c r="O220" s="43"/>
      <c r="P220" s="24">
        <f t="shared" si="2"/>
        <v>0</v>
      </c>
    </row>
    <row r="221" ht="22.5" customHeight="1">
      <c r="A221" s="39"/>
      <c r="B221" s="40"/>
      <c r="C221" s="52"/>
      <c r="D221" s="41"/>
      <c r="E221" s="42"/>
      <c r="F221" s="42"/>
      <c r="G221" s="43"/>
      <c r="I221" s="39"/>
      <c r="J221" s="40"/>
      <c r="K221" s="52"/>
      <c r="L221" s="41"/>
      <c r="M221" s="42"/>
      <c r="N221" s="42"/>
      <c r="O221" s="43"/>
      <c r="P221" s="24">
        <f t="shared" si="2"/>
        <v>0</v>
      </c>
    </row>
    <row r="222" ht="22.5" customHeight="1">
      <c r="A222" s="39"/>
      <c r="B222" s="40"/>
      <c r="C222" s="52"/>
      <c r="D222" s="41"/>
      <c r="E222" s="42"/>
      <c r="F222" s="42"/>
      <c r="G222" s="43"/>
      <c r="I222" s="39"/>
      <c r="J222" s="40"/>
      <c r="K222" s="52"/>
      <c r="L222" s="41"/>
      <c r="M222" s="42"/>
      <c r="N222" s="42"/>
      <c r="O222" s="43"/>
      <c r="P222" s="24">
        <f t="shared" si="2"/>
        <v>0</v>
      </c>
    </row>
    <row r="223" ht="22.5" customHeight="1">
      <c r="A223" s="39"/>
      <c r="B223" s="40"/>
      <c r="C223" s="52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4">
        <f t="shared" si="2"/>
        <v>0</v>
      </c>
    </row>
    <row r="224" ht="22.5" customHeight="1">
      <c r="A224" s="39"/>
      <c r="B224" s="40"/>
      <c r="C224" s="52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4">
        <f t="shared" si="2"/>
        <v>0</v>
      </c>
    </row>
    <row r="225" ht="22.5" customHeight="1">
      <c r="A225" s="39"/>
      <c r="B225" s="40"/>
      <c r="C225" s="52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4">
        <f t="shared" si="2"/>
        <v>0</v>
      </c>
    </row>
    <row r="226" ht="22.5" customHeight="1">
      <c r="A226" s="39"/>
      <c r="B226" s="40"/>
      <c r="C226" s="52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4">
        <f t="shared" si="2"/>
        <v>0</v>
      </c>
    </row>
    <row r="227" ht="22.5" customHeight="1">
      <c r="A227" s="39"/>
      <c r="B227" s="40"/>
      <c r="C227" s="52"/>
      <c r="D227" s="41"/>
      <c r="E227" s="42"/>
      <c r="F227" s="42"/>
      <c r="G227" s="43"/>
      <c r="I227" s="39"/>
      <c r="J227" s="40"/>
      <c r="K227" s="52"/>
      <c r="L227" s="41"/>
      <c r="M227" s="42"/>
      <c r="N227" s="42"/>
      <c r="O227" s="43"/>
      <c r="P227" s="24">
        <f t="shared" si="2"/>
        <v>0</v>
      </c>
    </row>
    <row r="228" ht="22.5" customHeight="1">
      <c r="A228" s="39"/>
      <c r="B228" s="40"/>
      <c r="C228" s="52"/>
      <c r="D228" s="41"/>
      <c r="E228" s="42"/>
      <c r="F228" s="42"/>
      <c r="G228" s="43"/>
      <c r="I228" s="39"/>
      <c r="J228" s="40"/>
      <c r="K228" s="52"/>
      <c r="L228" s="41"/>
      <c r="M228" s="42"/>
      <c r="N228" s="42"/>
      <c r="O228" s="43"/>
      <c r="P228" s="24">
        <f t="shared" si="2"/>
        <v>0</v>
      </c>
    </row>
    <row r="229" ht="22.5" customHeight="1">
      <c r="A229" s="39"/>
      <c r="B229" s="40"/>
      <c r="C229" s="52"/>
      <c r="D229" s="41"/>
      <c r="E229" s="42"/>
      <c r="F229" s="42"/>
      <c r="G229" s="43"/>
      <c r="I229" s="39"/>
      <c r="J229" s="40"/>
      <c r="K229" s="52"/>
      <c r="L229" s="41"/>
      <c r="M229" s="42"/>
      <c r="N229" s="42"/>
      <c r="O229" s="43"/>
      <c r="P229" s="24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2"/>
      <c r="L230" s="41"/>
      <c r="M230" s="42"/>
      <c r="N230" s="42"/>
      <c r="O230" s="43"/>
      <c r="P230" s="24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2"/>
      <c r="L231" s="41"/>
      <c r="M231" s="42"/>
      <c r="N231" s="42"/>
      <c r="O231" s="43"/>
      <c r="P231" s="24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4">
        <f t="shared" si="2"/>
        <v>0</v>
      </c>
    </row>
    <row r="233" ht="22.5" customHeight="1">
      <c r="A233" s="39"/>
      <c r="B233" s="40"/>
      <c r="C233" s="52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4">
        <f t="shared" si="2"/>
        <v>0</v>
      </c>
    </row>
    <row r="234" ht="22.5" customHeight="1">
      <c r="A234" s="39"/>
      <c r="B234" s="40"/>
      <c r="C234" s="52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4">
        <f t="shared" si="2"/>
        <v>0</v>
      </c>
    </row>
    <row r="235" ht="22.5" customHeight="1">
      <c r="A235" s="39"/>
      <c r="B235" s="40"/>
      <c r="C235" s="52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4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4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4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4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2"/>
      <c r="L239" s="41"/>
      <c r="M239" s="42"/>
      <c r="N239" s="42"/>
      <c r="O239" s="43"/>
      <c r="P239" s="24">
        <f t="shared" si="2"/>
        <v>0</v>
      </c>
    </row>
    <row r="240" ht="22.5" customHeight="1">
      <c r="A240" s="39"/>
      <c r="B240" s="40"/>
      <c r="C240" s="52"/>
      <c r="D240" s="41"/>
      <c r="E240" s="42"/>
      <c r="F240" s="42"/>
      <c r="G240" s="43"/>
      <c r="I240" s="39"/>
      <c r="J240" s="40"/>
      <c r="K240" s="52"/>
      <c r="L240" s="41"/>
      <c r="M240" s="42"/>
      <c r="N240" s="42"/>
      <c r="O240" s="43"/>
      <c r="P240" s="24">
        <f t="shared" si="2"/>
        <v>0</v>
      </c>
    </row>
    <row r="241" ht="22.5" customHeight="1">
      <c r="A241" s="39"/>
      <c r="B241" s="40"/>
      <c r="C241" s="52"/>
      <c r="D241" s="41"/>
      <c r="E241" s="42"/>
      <c r="F241" s="42"/>
      <c r="G241" s="43"/>
      <c r="I241" s="39"/>
      <c r="J241" s="40"/>
      <c r="K241" s="52"/>
      <c r="L241" s="41"/>
      <c r="M241" s="42"/>
      <c r="N241" s="42"/>
      <c r="O241" s="43"/>
      <c r="P241" s="24">
        <f t="shared" si="2"/>
        <v>0</v>
      </c>
    </row>
    <row r="242" ht="22.5" customHeight="1">
      <c r="A242" s="39"/>
      <c r="B242" s="40"/>
      <c r="C242" s="52"/>
      <c r="D242" s="41"/>
      <c r="E242" s="42"/>
      <c r="F242" s="42"/>
      <c r="G242" s="43"/>
      <c r="I242" s="39"/>
      <c r="J242" s="40"/>
      <c r="K242" s="52"/>
      <c r="L242" s="41"/>
      <c r="M242" s="42"/>
      <c r="N242" s="42"/>
      <c r="O242" s="43"/>
      <c r="P242" s="24">
        <f t="shared" si="2"/>
        <v>0</v>
      </c>
    </row>
    <row r="243" ht="22.5" customHeight="1">
      <c r="A243" s="39"/>
      <c r="B243" s="40"/>
      <c r="C243" s="52"/>
      <c r="D243" s="41"/>
      <c r="E243" s="42"/>
      <c r="F243" s="42"/>
      <c r="G243" s="43"/>
      <c r="I243" s="39"/>
      <c r="J243" s="40"/>
      <c r="K243" s="52"/>
      <c r="L243" s="41"/>
      <c r="M243" s="42"/>
      <c r="N243" s="42"/>
      <c r="O243" s="43"/>
      <c r="P243" s="24">
        <f t="shared" si="2"/>
        <v>0</v>
      </c>
    </row>
    <row r="244" ht="22.5" customHeight="1">
      <c r="A244" s="39"/>
      <c r="B244" s="40"/>
      <c r="C244" s="52"/>
      <c r="D244" s="41"/>
      <c r="E244" s="42"/>
      <c r="F244" s="42"/>
      <c r="G244" s="43"/>
      <c r="I244" s="39"/>
      <c r="J244" s="40"/>
      <c r="K244" s="52"/>
      <c r="L244" s="41"/>
      <c r="M244" s="42"/>
      <c r="N244" s="42"/>
      <c r="O244" s="43"/>
      <c r="P244" s="24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2"/>
      <c r="L245" s="41"/>
      <c r="M245" s="42"/>
      <c r="N245" s="42"/>
      <c r="O245" s="43"/>
      <c r="P245" s="24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2"/>
      <c r="L246" s="41"/>
      <c r="M246" s="42"/>
      <c r="N246" s="42"/>
      <c r="O246" s="43"/>
      <c r="P246" s="24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2"/>
      <c r="L247" s="41"/>
      <c r="M247" s="42"/>
      <c r="N247" s="42"/>
      <c r="O247" s="43"/>
      <c r="P247" s="24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4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4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2"/>
      <c r="L250" s="41"/>
      <c r="M250" s="42"/>
      <c r="N250" s="42"/>
      <c r="O250" s="43"/>
      <c r="P250" s="24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2"/>
      <c r="L251" s="41"/>
      <c r="M251" s="42"/>
      <c r="N251" s="42"/>
      <c r="O251" s="43"/>
      <c r="P251" s="24">
        <f t="shared" si="2"/>
        <v>0</v>
      </c>
    </row>
    <row r="252" ht="22.5" customHeight="1">
      <c r="A252" s="39"/>
      <c r="B252" s="40"/>
      <c r="C252" s="52"/>
      <c r="D252" s="41"/>
      <c r="E252" s="42"/>
      <c r="F252" s="42"/>
      <c r="G252" s="43"/>
      <c r="I252" s="39"/>
      <c r="J252" s="40"/>
      <c r="K252" s="52"/>
      <c r="L252" s="41"/>
      <c r="M252" s="42"/>
      <c r="N252" s="42"/>
      <c r="O252" s="43"/>
      <c r="P252" s="24">
        <f t="shared" si="2"/>
        <v>0</v>
      </c>
    </row>
    <row r="253" ht="22.5" customHeight="1">
      <c r="A253" s="39"/>
      <c r="B253" s="40"/>
      <c r="C253" s="52"/>
      <c r="D253" s="41"/>
      <c r="E253" s="42"/>
      <c r="F253" s="42"/>
      <c r="G253" s="43"/>
      <c r="I253" s="39"/>
      <c r="J253" s="40"/>
      <c r="K253" s="52"/>
      <c r="L253" s="41"/>
      <c r="M253" s="42"/>
      <c r="N253" s="42"/>
      <c r="O253" s="43"/>
      <c r="P253" s="24">
        <f t="shared" si="2"/>
        <v>0</v>
      </c>
    </row>
    <row r="254" ht="22.5" customHeight="1">
      <c r="A254" s="39"/>
      <c r="B254" s="40"/>
      <c r="C254" s="52"/>
      <c r="D254" s="41"/>
      <c r="E254" s="42"/>
      <c r="F254" s="42"/>
      <c r="G254" s="43"/>
      <c r="I254" s="39"/>
      <c r="J254" s="40"/>
      <c r="K254" s="52"/>
      <c r="L254" s="41"/>
      <c r="M254" s="42"/>
      <c r="N254" s="42"/>
      <c r="O254" s="43"/>
      <c r="P254" s="24">
        <f t="shared" si="2"/>
        <v>0</v>
      </c>
    </row>
    <row r="255" ht="22.5" customHeight="1">
      <c r="A255" s="39"/>
      <c r="B255" s="40"/>
      <c r="C255" s="52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4">
        <f t="shared" si="2"/>
        <v>0</v>
      </c>
    </row>
    <row r="256" ht="22.5" customHeight="1">
      <c r="A256" s="39"/>
      <c r="B256" s="40"/>
      <c r="C256" s="52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4">
        <f t="shared" si="2"/>
        <v>0</v>
      </c>
    </row>
    <row r="257" ht="22.5" customHeight="1">
      <c r="A257" s="39"/>
      <c r="B257" s="40"/>
      <c r="C257" s="52"/>
      <c r="D257" s="41"/>
      <c r="E257" s="42"/>
      <c r="F257" s="42"/>
      <c r="G257" s="43"/>
      <c r="I257" s="39"/>
      <c r="J257" s="40"/>
      <c r="K257" s="52"/>
      <c r="L257" s="41"/>
      <c r="M257" s="42"/>
      <c r="N257" s="42"/>
      <c r="O257" s="43"/>
      <c r="P257" s="24">
        <f t="shared" si="2"/>
        <v>0</v>
      </c>
    </row>
    <row r="258" ht="22.5" customHeight="1">
      <c r="A258" s="39"/>
      <c r="B258" s="40"/>
      <c r="C258" s="52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4">
        <f t="shared" si="2"/>
        <v>0</v>
      </c>
    </row>
    <row r="259" ht="22.5" customHeight="1">
      <c r="A259" s="39"/>
      <c r="B259" s="40"/>
      <c r="C259" s="52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4">
        <f t="shared" si="2"/>
        <v>0</v>
      </c>
    </row>
    <row r="260" ht="22.5" customHeight="1">
      <c r="A260" s="39"/>
      <c r="B260" s="40"/>
      <c r="C260" s="52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4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4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2"/>
      <c r="L262" s="41"/>
      <c r="M262" s="42"/>
      <c r="N262" s="42"/>
      <c r="O262" s="43"/>
      <c r="P262" s="24">
        <f t="shared" si="2"/>
        <v>0</v>
      </c>
    </row>
    <row r="263" ht="22.5" customHeight="1">
      <c r="A263" s="39"/>
      <c r="B263" s="40"/>
      <c r="C263" s="52"/>
      <c r="D263" s="41"/>
      <c r="E263" s="42"/>
      <c r="F263" s="42"/>
      <c r="G263" s="43"/>
      <c r="I263" s="39"/>
      <c r="J263" s="40"/>
      <c r="K263" s="52"/>
      <c r="L263" s="41"/>
      <c r="M263" s="42"/>
      <c r="N263" s="42"/>
      <c r="O263" s="43"/>
      <c r="P263" s="24">
        <f t="shared" si="2"/>
        <v>0</v>
      </c>
    </row>
    <row r="264" ht="22.5" customHeight="1">
      <c r="A264" s="39"/>
      <c r="B264" s="40"/>
      <c r="C264" s="52"/>
      <c r="D264" s="41"/>
      <c r="E264" s="42"/>
      <c r="F264" s="42"/>
      <c r="G264" s="43"/>
      <c r="I264" s="39"/>
      <c r="J264" s="40"/>
      <c r="K264" s="52"/>
      <c r="L264" s="41"/>
      <c r="M264" s="42"/>
      <c r="N264" s="42"/>
      <c r="O264" s="43"/>
      <c r="P264" s="24">
        <f t="shared" si="2"/>
        <v>0</v>
      </c>
    </row>
    <row r="265" ht="22.5" customHeight="1">
      <c r="A265" s="39"/>
      <c r="B265" s="40"/>
      <c r="C265" s="52"/>
      <c r="D265" s="41"/>
      <c r="E265" s="42"/>
      <c r="F265" s="42"/>
      <c r="G265" s="43"/>
      <c r="I265" s="39"/>
      <c r="J265" s="40"/>
      <c r="K265" s="52"/>
      <c r="L265" s="41"/>
      <c r="M265" s="42"/>
      <c r="N265" s="42"/>
      <c r="O265" s="43"/>
      <c r="P265" s="24">
        <f t="shared" si="2"/>
        <v>0</v>
      </c>
    </row>
    <row r="266" ht="22.5" customHeight="1">
      <c r="A266" s="39"/>
      <c r="B266" s="40"/>
      <c r="C266" s="52"/>
      <c r="D266" s="41"/>
      <c r="E266" s="42"/>
      <c r="F266" s="42"/>
      <c r="G266" s="43"/>
      <c r="I266" s="39"/>
      <c r="J266" s="40"/>
      <c r="K266" s="52"/>
      <c r="L266" s="41"/>
      <c r="M266" s="42"/>
      <c r="N266" s="42"/>
      <c r="O266" s="43"/>
      <c r="P266" s="24">
        <f t="shared" si="2"/>
        <v>0</v>
      </c>
    </row>
    <row r="267" ht="22.5" customHeight="1">
      <c r="A267" s="39"/>
      <c r="B267" s="40"/>
      <c r="C267" s="52"/>
      <c r="D267" s="41"/>
      <c r="E267" s="42"/>
      <c r="F267" s="42"/>
      <c r="G267" s="43"/>
      <c r="I267" s="39"/>
      <c r="J267" s="40"/>
      <c r="K267" s="52"/>
      <c r="L267" s="41"/>
      <c r="M267" s="42"/>
      <c r="N267" s="42"/>
      <c r="O267" s="43"/>
      <c r="P267" s="24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2"/>
      <c r="L268" s="41"/>
      <c r="M268" s="42"/>
      <c r="N268" s="42"/>
      <c r="O268" s="43"/>
      <c r="P268" s="24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2"/>
      <c r="L269" s="41"/>
      <c r="M269" s="42"/>
      <c r="N269" s="42"/>
      <c r="O269" s="43"/>
      <c r="P269" s="24">
        <f t="shared" si="2"/>
        <v>0</v>
      </c>
    </row>
    <row r="270" ht="22.5" customHeight="1">
      <c r="A270" s="39"/>
      <c r="B270" s="40"/>
      <c r="C270" s="52"/>
      <c r="D270" s="41"/>
      <c r="E270" s="42"/>
      <c r="F270" s="42"/>
      <c r="G270" s="43"/>
      <c r="I270" s="39"/>
      <c r="J270" s="40"/>
      <c r="K270" s="52"/>
      <c r="L270" s="41"/>
      <c r="M270" s="42"/>
      <c r="N270" s="42"/>
      <c r="O270" s="43"/>
      <c r="P270" s="24">
        <f t="shared" si="2"/>
        <v>0</v>
      </c>
    </row>
    <row r="271" ht="22.5" customHeight="1">
      <c r="A271" s="39"/>
      <c r="B271" s="40"/>
      <c r="C271" s="52"/>
      <c r="D271" s="41"/>
      <c r="E271" s="42"/>
      <c r="F271" s="42"/>
      <c r="G271" s="43"/>
      <c r="I271" s="39"/>
      <c r="J271" s="40"/>
      <c r="K271" s="52"/>
      <c r="L271" s="41"/>
      <c r="M271" s="42"/>
      <c r="N271" s="42"/>
      <c r="O271" s="43"/>
      <c r="P271" s="24">
        <f t="shared" si="2"/>
        <v>0</v>
      </c>
    </row>
    <row r="272" ht="22.5" customHeight="1">
      <c r="A272" s="39"/>
      <c r="B272" s="40"/>
      <c r="C272" s="52"/>
      <c r="D272" s="41"/>
      <c r="E272" s="42"/>
      <c r="F272" s="42"/>
      <c r="G272" s="43"/>
      <c r="I272" s="39"/>
      <c r="J272" s="40"/>
      <c r="K272" s="52"/>
      <c r="L272" s="41"/>
      <c r="M272" s="42"/>
      <c r="N272" s="42"/>
      <c r="O272" s="43"/>
      <c r="P272" s="24">
        <f t="shared" si="2"/>
        <v>0</v>
      </c>
    </row>
    <row r="273" ht="22.5" customHeight="1">
      <c r="A273" s="39"/>
      <c r="B273" s="40"/>
      <c r="C273" s="52"/>
      <c r="D273" s="41"/>
      <c r="E273" s="42"/>
      <c r="F273" s="42"/>
      <c r="G273" s="43"/>
      <c r="I273" s="39"/>
      <c r="J273" s="40"/>
      <c r="K273" s="52"/>
      <c r="L273" s="41"/>
      <c r="M273" s="42"/>
      <c r="N273" s="42"/>
      <c r="O273" s="43"/>
      <c r="P273" s="24">
        <f t="shared" si="2"/>
        <v>0</v>
      </c>
    </row>
    <row r="274" ht="22.5" customHeight="1">
      <c r="A274" s="39"/>
      <c r="B274" s="40"/>
      <c r="C274" s="52"/>
      <c r="D274" s="41"/>
      <c r="E274" s="42"/>
      <c r="F274" s="42"/>
      <c r="G274" s="43"/>
      <c r="I274" s="39"/>
      <c r="J274" s="40"/>
      <c r="K274" s="52"/>
      <c r="L274" s="41"/>
      <c r="M274" s="42"/>
      <c r="N274" s="42"/>
      <c r="O274" s="43"/>
      <c r="P274" s="24">
        <f t="shared" si="2"/>
        <v>0</v>
      </c>
    </row>
    <row r="275" ht="22.5" customHeight="1">
      <c r="A275" s="39"/>
      <c r="B275" s="40"/>
      <c r="C275" s="52"/>
      <c r="D275" s="41"/>
      <c r="E275" s="42"/>
      <c r="F275" s="42"/>
      <c r="G275" s="43"/>
      <c r="I275" s="39"/>
      <c r="J275" s="40"/>
      <c r="K275" s="52"/>
      <c r="L275" s="41"/>
      <c r="M275" s="42"/>
      <c r="N275" s="42"/>
      <c r="O275" s="43"/>
      <c r="P275" s="24">
        <f t="shared" si="2"/>
        <v>0</v>
      </c>
    </row>
    <row r="276" ht="22.5" customHeight="1">
      <c r="A276" s="39"/>
      <c r="B276" s="40"/>
      <c r="C276" s="52"/>
      <c r="D276" s="41"/>
      <c r="E276" s="42"/>
      <c r="F276" s="42"/>
      <c r="G276" s="43"/>
      <c r="I276" s="39"/>
      <c r="J276" s="40"/>
      <c r="K276" s="52"/>
      <c r="L276" s="41"/>
      <c r="M276" s="42"/>
      <c r="N276" s="42"/>
      <c r="O276" s="43"/>
      <c r="P276" s="24">
        <f t="shared" si="2"/>
        <v>0</v>
      </c>
    </row>
    <row r="277" ht="22.5" customHeight="1">
      <c r="A277" s="39"/>
      <c r="B277" s="40"/>
      <c r="C277" s="52"/>
      <c r="D277" s="41"/>
      <c r="E277" s="42"/>
      <c r="F277" s="42"/>
      <c r="G277" s="43"/>
      <c r="I277" s="39"/>
      <c r="J277" s="40"/>
      <c r="K277" s="52"/>
      <c r="L277" s="41"/>
      <c r="M277" s="42"/>
      <c r="N277" s="42"/>
      <c r="O277" s="43"/>
      <c r="P277" s="24">
        <f t="shared" si="2"/>
        <v>0</v>
      </c>
    </row>
    <row r="278" ht="22.5" customHeight="1">
      <c r="A278" s="39"/>
      <c r="B278" s="40"/>
      <c r="C278" s="52"/>
      <c r="D278" s="41"/>
      <c r="E278" s="42"/>
      <c r="F278" s="42"/>
      <c r="G278" s="43"/>
      <c r="I278" s="39"/>
      <c r="J278" s="40"/>
      <c r="K278" s="52"/>
      <c r="L278" s="41"/>
      <c r="M278" s="42"/>
      <c r="N278" s="42"/>
      <c r="O278" s="43"/>
      <c r="P278" s="24">
        <f t="shared" si="2"/>
        <v>0</v>
      </c>
    </row>
    <row r="279" ht="22.5" customHeight="1">
      <c r="A279" s="39"/>
      <c r="B279" s="40"/>
      <c r="C279" s="52"/>
      <c r="D279" s="41"/>
      <c r="E279" s="42"/>
      <c r="F279" s="42"/>
      <c r="G279" s="43"/>
      <c r="I279" s="39"/>
      <c r="J279" s="40"/>
      <c r="K279" s="52"/>
      <c r="L279" s="41"/>
      <c r="M279" s="42"/>
      <c r="N279" s="42"/>
      <c r="O279" s="43"/>
      <c r="P279" s="24">
        <f t="shared" si="2"/>
        <v>0</v>
      </c>
    </row>
    <row r="280" ht="22.5" customHeight="1">
      <c r="A280" s="39"/>
      <c r="B280" s="40"/>
      <c r="C280" s="52"/>
      <c r="D280" s="41"/>
      <c r="E280" s="42"/>
      <c r="F280" s="42"/>
      <c r="G280" s="43"/>
      <c r="I280" s="39"/>
      <c r="J280" s="40"/>
      <c r="K280" s="52"/>
      <c r="L280" s="41"/>
      <c r="M280" s="42"/>
      <c r="N280" s="42"/>
      <c r="O280" s="43"/>
      <c r="P280" s="24">
        <f t="shared" si="2"/>
        <v>0</v>
      </c>
    </row>
    <row r="281" ht="22.5" customHeight="1">
      <c r="A281" s="39"/>
      <c r="B281" s="40"/>
      <c r="C281" s="52"/>
      <c r="D281" s="41"/>
      <c r="E281" s="42"/>
      <c r="F281" s="42"/>
      <c r="G281" s="43"/>
      <c r="I281" s="39"/>
      <c r="J281" s="40"/>
      <c r="K281" s="52"/>
      <c r="L281" s="41"/>
      <c r="M281" s="42"/>
      <c r="N281" s="42"/>
      <c r="O281" s="43"/>
      <c r="P281" s="24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2"/>
      <c r="L282" s="41"/>
      <c r="M282" s="42"/>
      <c r="N282" s="42"/>
      <c r="O282" s="43"/>
      <c r="P282" s="24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4">
        <f t="shared" si="2"/>
        <v>0</v>
      </c>
    </row>
    <row r="284" ht="22.5" customHeight="1">
      <c r="A284" s="39"/>
      <c r="B284" s="40"/>
      <c r="C284" s="52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4">
        <f t="shared" si="2"/>
        <v>0</v>
      </c>
    </row>
    <row r="285" ht="22.5" customHeight="1">
      <c r="A285" s="39"/>
      <c r="B285" s="40"/>
      <c r="C285" s="52"/>
      <c r="D285" s="41"/>
      <c r="E285" s="42"/>
      <c r="F285" s="42"/>
      <c r="G285" s="43"/>
      <c r="I285" s="53"/>
      <c r="J285" s="54"/>
      <c r="K285" s="41"/>
      <c r="L285" s="41"/>
      <c r="M285" s="42"/>
      <c r="N285" s="42"/>
      <c r="O285" s="43"/>
      <c r="P285" s="24">
        <f t="shared" si="2"/>
        <v>0</v>
      </c>
    </row>
    <row r="286" ht="22.5" customHeight="1">
      <c r="A286" s="39"/>
      <c r="B286" s="40"/>
      <c r="C286" s="52"/>
      <c r="D286" s="41"/>
      <c r="E286" s="42"/>
      <c r="F286" s="42"/>
      <c r="G286" s="43"/>
      <c r="I286" s="53"/>
      <c r="J286" s="54"/>
      <c r="K286" s="41"/>
      <c r="L286" s="41"/>
      <c r="M286" s="42"/>
      <c r="N286" s="42"/>
      <c r="O286" s="43"/>
      <c r="P286" s="24">
        <f t="shared" si="2"/>
        <v>0</v>
      </c>
    </row>
    <row r="287" ht="22.5" customHeight="1">
      <c r="A287" s="39"/>
      <c r="B287" s="40"/>
      <c r="C287" s="52"/>
      <c r="D287" s="41"/>
      <c r="E287" s="42"/>
      <c r="F287" s="42"/>
      <c r="G287" s="43"/>
      <c r="I287" s="53"/>
      <c r="J287" s="54"/>
      <c r="K287" s="41"/>
      <c r="L287" s="41"/>
      <c r="M287" s="42"/>
      <c r="N287" s="42"/>
      <c r="O287" s="43"/>
      <c r="P287" s="24">
        <f t="shared" si="2"/>
        <v>0</v>
      </c>
    </row>
    <row r="288" ht="22.5" customHeight="1">
      <c r="A288" s="39"/>
      <c r="B288" s="40"/>
      <c r="C288" s="52"/>
      <c r="D288" s="41"/>
      <c r="E288" s="42"/>
      <c r="F288" s="42"/>
      <c r="G288" s="43"/>
      <c r="I288" s="53"/>
      <c r="J288" s="54"/>
      <c r="K288" s="41"/>
      <c r="L288" s="41"/>
      <c r="M288" s="42"/>
      <c r="N288" s="42"/>
      <c r="O288" s="43"/>
      <c r="P288" s="24">
        <f t="shared" si="2"/>
        <v>0</v>
      </c>
    </row>
    <row r="289" ht="22.5" customHeight="1">
      <c r="A289" s="39"/>
      <c r="B289" s="40"/>
      <c r="C289" s="52"/>
      <c r="D289" s="41"/>
      <c r="E289" s="42"/>
      <c r="F289" s="42"/>
      <c r="G289" s="43"/>
      <c r="I289" s="53"/>
      <c r="J289" s="54"/>
      <c r="K289" s="41"/>
      <c r="L289" s="41"/>
      <c r="M289" s="42"/>
      <c r="N289" s="42"/>
      <c r="O289" s="43"/>
      <c r="P289" s="24">
        <f t="shared" si="2"/>
        <v>0</v>
      </c>
    </row>
    <row r="290" ht="22.5" customHeight="1">
      <c r="A290" s="39"/>
      <c r="B290" s="40"/>
      <c r="C290" s="52"/>
      <c r="D290" s="41"/>
      <c r="E290" s="42"/>
      <c r="F290" s="42"/>
      <c r="G290" s="43"/>
      <c r="I290" s="53"/>
      <c r="J290" s="54"/>
      <c r="K290" s="41"/>
      <c r="L290" s="41"/>
      <c r="M290" s="42"/>
      <c r="N290" s="42"/>
      <c r="O290" s="43"/>
      <c r="P290" s="24">
        <f t="shared" si="2"/>
        <v>0</v>
      </c>
    </row>
    <row r="291" ht="22.5" customHeight="1">
      <c r="A291" s="39"/>
      <c r="B291" s="40"/>
      <c r="C291" s="52"/>
      <c r="D291" s="41"/>
      <c r="E291" s="42"/>
      <c r="F291" s="42"/>
      <c r="G291" s="43"/>
      <c r="I291" s="53"/>
      <c r="J291" s="54"/>
      <c r="K291" s="41"/>
      <c r="L291" s="41"/>
      <c r="M291" s="42"/>
      <c r="N291" s="42"/>
      <c r="O291" s="43"/>
      <c r="P291" s="24">
        <f t="shared" si="2"/>
        <v>0</v>
      </c>
    </row>
    <row r="292" ht="22.5" customHeight="1">
      <c r="A292" s="39"/>
      <c r="B292" s="40"/>
      <c r="C292" s="52"/>
      <c r="D292" s="41"/>
      <c r="E292" s="42"/>
      <c r="F292" s="42"/>
      <c r="G292" s="43"/>
      <c r="I292" s="53"/>
      <c r="J292" s="54"/>
      <c r="K292" s="41"/>
      <c r="L292" s="41"/>
      <c r="M292" s="42"/>
      <c r="N292" s="42"/>
      <c r="O292" s="43"/>
      <c r="P292" s="24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3"/>
      <c r="J293" s="54"/>
      <c r="K293" s="52"/>
      <c r="L293" s="41"/>
      <c r="M293" s="42"/>
      <c r="N293" s="42"/>
      <c r="O293" s="43"/>
      <c r="P293" s="24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3"/>
      <c r="J294" s="54"/>
      <c r="K294" s="52"/>
      <c r="L294" s="41"/>
      <c r="M294" s="42"/>
      <c r="N294" s="42"/>
      <c r="O294" s="43"/>
      <c r="P294" s="24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3"/>
      <c r="J295" s="54"/>
      <c r="K295" s="52"/>
      <c r="L295" s="41"/>
      <c r="M295" s="42"/>
      <c r="N295" s="42"/>
      <c r="O295" s="43"/>
      <c r="P295" s="24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3"/>
      <c r="J296" s="54"/>
      <c r="K296" s="52"/>
      <c r="L296" s="41"/>
      <c r="M296" s="42"/>
      <c r="N296" s="42"/>
      <c r="O296" s="43"/>
      <c r="P296" s="24">
        <f t="shared" si="2"/>
        <v>0</v>
      </c>
    </row>
    <row r="297" ht="22.5" customHeight="1">
      <c r="A297" s="39"/>
      <c r="B297" s="40"/>
      <c r="C297" s="52"/>
      <c r="D297" s="41"/>
      <c r="E297" s="42"/>
      <c r="F297" s="42"/>
      <c r="G297" s="43"/>
      <c r="I297" s="53"/>
      <c r="J297" s="54"/>
      <c r="K297" s="52"/>
      <c r="L297" s="41"/>
      <c r="M297" s="42"/>
      <c r="N297" s="42"/>
      <c r="O297" s="43"/>
      <c r="P297" s="24">
        <f t="shared" si="2"/>
        <v>0</v>
      </c>
    </row>
    <row r="298" ht="22.5" customHeight="1">
      <c r="A298" s="39"/>
      <c r="B298" s="40"/>
      <c r="C298" s="52"/>
      <c r="D298" s="41"/>
      <c r="E298" s="42"/>
      <c r="F298" s="42"/>
      <c r="G298" s="43"/>
      <c r="I298" s="53"/>
      <c r="J298" s="54"/>
      <c r="K298" s="52"/>
      <c r="L298" s="41"/>
      <c r="M298" s="42"/>
      <c r="N298" s="42"/>
      <c r="O298" s="43"/>
      <c r="P298" s="24">
        <f t="shared" si="2"/>
        <v>0</v>
      </c>
    </row>
    <row r="299" ht="22.5" customHeight="1">
      <c r="A299" s="39"/>
      <c r="B299" s="40"/>
      <c r="C299" s="52"/>
      <c r="D299" s="41"/>
      <c r="E299" s="42"/>
      <c r="F299" s="42"/>
      <c r="G299" s="43"/>
      <c r="I299" s="53"/>
      <c r="J299" s="54"/>
      <c r="K299" s="41"/>
      <c r="L299" s="41"/>
      <c r="M299" s="42"/>
      <c r="N299" s="42"/>
      <c r="O299" s="43"/>
      <c r="P299" s="24">
        <f t="shared" si="2"/>
        <v>0</v>
      </c>
    </row>
    <row r="300" ht="22.5" customHeight="1">
      <c r="A300" s="39"/>
      <c r="B300" s="40"/>
      <c r="C300" s="52"/>
      <c r="D300" s="41"/>
      <c r="E300" s="42"/>
      <c r="F300" s="42"/>
      <c r="G300" s="43"/>
      <c r="I300" s="53"/>
      <c r="J300" s="54"/>
      <c r="K300" s="41"/>
      <c r="L300" s="41"/>
      <c r="M300" s="42"/>
      <c r="N300" s="42"/>
      <c r="O300" s="43"/>
      <c r="P300" s="24">
        <f t="shared" si="2"/>
        <v>0</v>
      </c>
    </row>
    <row r="301" ht="22.5" customHeight="1">
      <c r="A301" s="39"/>
      <c r="B301" s="40"/>
      <c r="C301" s="52"/>
      <c r="D301" s="41"/>
      <c r="E301" s="42"/>
      <c r="F301" s="42"/>
      <c r="G301" s="43"/>
      <c r="I301" s="53"/>
      <c r="J301" s="54"/>
      <c r="K301" s="41"/>
      <c r="L301" s="41"/>
      <c r="M301" s="42"/>
      <c r="N301" s="42"/>
      <c r="O301" s="43"/>
      <c r="P301" s="24">
        <f t="shared" si="2"/>
        <v>0</v>
      </c>
    </row>
    <row r="302" ht="22.5" customHeight="1">
      <c r="A302" s="39"/>
      <c r="B302" s="40"/>
      <c r="C302" s="52"/>
      <c r="D302" s="41"/>
      <c r="E302" s="42"/>
      <c r="F302" s="42"/>
      <c r="G302" s="43"/>
      <c r="I302" s="53"/>
      <c r="J302" s="54"/>
      <c r="K302" s="41"/>
      <c r="L302" s="41"/>
      <c r="M302" s="42"/>
      <c r="N302" s="42"/>
      <c r="O302" s="43"/>
      <c r="P302" s="24">
        <f t="shared" si="2"/>
        <v>0</v>
      </c>
    </row>
    <row r="303" ht="22.5" customHeight="1">
      <c r="A303" s="39"/>
      <c r="B303" s="40"/>
      <c r="C303" s="52"/>
      <c r="D303" s="41"/>
      <c r="E303" s="42"/>
      <c r="F303" s="42"/>
      <c r="G303" s="43"/>
      <c r="I303" s="53"/>
      <c r="J303" s="54"/>
      <c r="K303" s="41"/>
      <c r="L303" s="41"/>
      <c r="M303" s="42"/>
      <c r="N303" s="42"/>
      <c r="O303" s="43"/>
      <c r="P303" s="24">
        <f t="shared" si="2"/>
        <v>0</v>
      </c>
    </row>
    <row r="304" ht="22.5" customHeight="1">
      <c r="A304" s="39"/>
      <c r="B304" s="40"/>
      <c r="C304" s="52"/>
      <c r="D304" s="41"/>
      <c r="E304" s="42"/>
      <c r="F304" s="42"/>
      <c r="G304" s="43"/>
      <c r="I304" s="53"/>
      <c r="J304" s="54"/>
      <c r="K304" s="41"/>
      <c r="L304" s="41"/>
      <c r="M304" s="42"/>
      <c r="N304" s="42"/>
      <c r="O304" s="43"/>
      <c r="P304" s="24">
        <f t="shared" si="2"/>
        <v>0</v>
      </c>
    </row>
    <row r="305" ht="22.5" customHeight="1">
      <c r="A305" s="39"/>
      <c r="B305" s="40"/>
      <c r="C305" s="52"/>
      <c r="D305" s="41"/>
      <c r="E305" s="42"/>
      <c r="F305" s="42"/>
      <c r="G305" s="43"/>
      <c r="I305" s="53"/>
      <c r="J305" s="54"/>
      <c r="K305" s="41"/>
      <c r="L305" s="41"/>
      <c r="M305" s="42"/>
      <c r="N305" s="42"/>
      <c r="O305" s="43"/>
      <c r="P305" s="24">
        <f t="shared" si="2"/>
        <v>0</v>
      </c>
    </row>
    <row r="306" ht="22.5" customHeight="1">
      <c r="A306" s="39"/>
      <c r="B306" s="40"/>
      <c r="C306" s="52"/>
      <c r="D306" s="41"/>
      <c r="E306" s="42"/>
      <c r="F306" s="42"/>
      <c r="G306" s="43"/>
      <c r="I306" s="53"/>
      <c r="J306" s="54"/>
      <c r="K306" s="41"/>
      <c r="L306" s="41"/>
      <c r="M306" s="42"/>
      <c r="N306" s="42"/>
      <c r="O306" s="43"/>
      <c r="P306" s="24">
        <f t="shared" si="2"/>
        <v>0</v>
      </c>
    </row>
    <row r="307" ht="22.5" customHeight="1">
      <c r="A307" s="39"/>
      <c r="B307" s="40"/>
      <c r="C307" s="52"/>
      <c r="D307" s="41"/>
      <c r="E307" s="42"/>
      <c r="F307" s="42"/>
      <c r="G307" s="43"/>
      <c r="I307" s="53"/>
      <c r="J307" s="54"/>
      <c r="K307" s="41"/>
      <c r="L307" s="41"/>
      <c r="M307" s="42"/>
      <c r="N307" s="42"/>
      <c r="O307" s="43"/>
      <c r="P307" s="24">
        <f t="shared" si="2"/>
        <v>0</v>
      </c>
    </row>
    <row r="308" ht="22.5" customHeight="1">
      <c r="A308" s="39"/>
      <c r="B308" s="40"/>
      <c r="C308" s="52"/>
      <c r="D308" s="41"/>
      <c r="E308" s="42"/>
      <c r="F308" s="42"/>
      <c r="G308" s="43"/>
      <c r="I308" s="53"/>
      <c r="J308" s="54"/>
      <c r="K308" s="41"/>
      <c r="L308" s="41"/>
      <c r="M308" s="42"/>
      <c r="N308" s="42"/>
      <c r="O308" s="43"/>
      <c r="P308" s="24">
        <f t="shared" si="2"/>
        <v>0</v>
      </c>
    </row>
    <row r="309" ht="22.5" customHeight="1">
      <c r="A309" s="39"/>
      <c r="B309" s="40"/>
      <c r="C309" s="52"/>
      <c r="D309" s="41"/>
      <c r="E309" s="42"/>
      <c r="F309" s="42"/>
      <c r="G309" s="43"/>
      <c r="I309" s="53"/>
      <c r="J309" s="54"/>
      <c r="K309" s="41"/>
      <c r="L309" s="41"/>
      <c r="M309" s="42"/>
      <c r="N309" s="42"/>
      <c r="O309" s="43"/>
      <c r="P309" s="24">
        <f t="shared" si="2"/>
        <v>0</v>
      </c>
    </row>
    <row r="310" ht="22.5" customHeight="1">
      <c r="A310" s="39"/>
      <c r="B310" s="40"/>
      <c r="C310" s="52"/>
      <c r="D310" s="41"/>
      <c r="E310" s="42"/>
      <c r="F310" s="42"/>
      <c r="G310" s="43"/>
      <c r="I310" s="53"/>
      <c r="J310" s="54"/>
      <c r="K310" s="41"/>
      <c r="L310" s="41"/>
      <c r="M310" s="42"/>
      <c r="N310" s="42"/>
      <c r="O310" s="43"/>
      <c r="P310" s="24">
        <f t="shared" si="2"/>
        <v>0</v>
      </c>
    </row>
    <row r="311" ht="22.5" customHeight="1">
      <c r="A311" s="39"/>
      <c r="B311" s="40"/>
      <c r="C311" s="52"/>
      <c r="D311" s="41"/>
      <c r="E311" s="42"/>
      <c r="F311" s="42"/>
      <c r="G311" s="43"/>
      <c r="I311" s="53"/>
      <c r="J311" s="54"/>
      <c r="K311" s="41"/>
      <c r="L311" s="41"/>
      <c r="M311" s="42"/>
      <c r="N311" s="42"/>
      <c r="O311" s="43"/>
      <c r="P311" s="24">
        <f t="shared" si="2"/>
        <v>0</v>
      </c>
    </row>
    <row r="312" ht="22.5" customHeight="1">
      <c r="A312" s="39"/>
      <c r="B312" s="40"/>
      <c r="C312" s="52"/>
      <c r="D312" s="41"/>
      <c r="E312" s="42"/>
      <c r="F312" s="42"/>
      <c r="G312" s="43"/>
      <c r="I312" s="53"/>
      <c r="J312" s="54"/>
      <c r="K312" s="41"/>
      <c r="L312" s="41"/>
      <c r="M312" s="42"/>
      <c r="N312" s="42"/>
      <c r="O312" s="43"/>
      <c r="P312" s="24">
        <f t="shared" si="2"/>
        <v>0</v>
      </c>
    </row>
    <row r="313" ht="22.5" customHeight="1">
      <c r="A313" s="39"/>
      <c r="B313" s="40"/>
      <c r="C313" s="52"/>
      <c r="D313" s="41"/>
      <c r="E313" s="42"/>
      <c r="F313" s="42"/>
      <c r="G313" s="43"/>
      <c r="I313" s="53"/>
      <c r="J313" s="54"/>
      <c r="K313" s="52"/>
      <c r="L313" s="41"/>
      <c r="M313" s="42"/>
      <c r="N313" s="42"/>
      <c r="O313" s="43"/>
      <c r="P313" s="24">
        <f t="shared" si="2"/>
        <v>0</v>
      </c>
    </row>
    <row r="314" ht="22.5" customHeight="1">
      <c r="A314" s="39"/>
      <c r="B314" s="40"/>
      <c r="C314" s="52"/>
      <c r="D314" s="41"/>
      <c r="E314" s="42"/>
      <c r="F314" s="42"/>
      <c r="G314" s="43"/>
      <c r="I314" s="53"/>
      <c r="J314" s="54"/>
      <c r="K314" s="52"/>
      <c r="L314" s="41"/>
      <c r="M314" s="42"/>
      <c r="N314" s="42"/>
      <c r="O314" s="43"/>
      <c r="P314" s="24">
        <f t="shared" si="2"/>
        <v>0</v>
      </c>
    </row>
    <row r="315" ht="22.5" customHeight="1">
      <c r="A315" s="39"/>
      <c r="B315" s="40"/>
      <c r="C315" s="52"/>
      <c r="D315" s="41"/>
      <c r="E315" s="42"/>
      <c r="F315" s="42"/>
      <c r="G315" s="43"/>
      <c r="I315" s="53"/>
      <c r="J315" s="54"/>
      <c r="K315" s="52"/>
      <c r="L315" s="41"/>
      <c r="M315" s="42"/>
      <c r="N315" s="42"/>
      <c r="O315" s="43"/>
      <c r="P315" s="24">
        <f t="shared" si="2"/>
        <v>0</v>
      </c>
    </row>
    <row r="316" ht="22.5" customHeight="1">
      <c r="A316" s="39"/>
      <c r="B316" s="40"/>
      <c r="C316" s="52"/>
      <c r="D316" s="41"/>
      <c r="E316" s="42"/>
      <c r="F316" s="42"/>
      <c r="G316" s="43"/>
      <c r="I316" s="53"/>
      <c r="J316" s="54"/>
      <c r="K316" s="52"/>
      <c r="L316" s="41"/>
      <c r="M316" s="42"/>
      <c r="N316" s="42"/>
      <c r="O316" s="43"/>
      <c r="P316" s="24">
        <f t="shared" si="2"/>
        <v>0</v>
      </c>
    </row>
    <row r="317" ht="22.5" customHeight="1">
      <c r="A317" s="39"/>
      <c r="B317" s="40"/>
      <c r="C317" s="52"/>
      <c r="D317" s="41"/>
      <c r="E317" s="42"/>
      <c r="F317" s="42"/>
      <c r="G317" s="43"/>
      <c r="I317" s="53"/>
      <c r="J317" s="54"/>
      <c r="K317" s="41"/>
      <c r="L317" s="41"/>
      <c r="M317" s="42"/>
      <c r="N317" s="42"/>
      <c r="O317" s="43"/>
      <c r="P317" s="24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1"/>
      <c r="D320" s="41"/>
      <c r="E320" s="42"/>
      <c r="F320" s="42"/>
      <c r="G320" s="43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1"/>
      <c r="D321" s="41"/>
      <c r="E321" s="42"/>
      <c r="F321" s="42"/>
      <c r="G321" s="43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1"/>
      <c r="D322" s="41"/>
      <c r="E322" s="42"/>
      <c r="F322" s="42"/>
      <c r="G322" s="43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1"/>
      <c r="D323" s="41"/>
      <c r="E323" s="42"/>
      <c r="F323" s="42"/>
      <c r="G323" s="43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1"/>
      <c r="D324" s="41"/>
      <c r="E324" s="42"/>
      <c r="F324" s="42"/>
      <c r="G324" s="43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1"/>
      <c r="D325" s="41"/>
      <c r="E325" s="42"/>
      <c r="F325" s="42"/>
      <c r="G325" s="43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1"/>
      <c r="D326" s="41"/>
      <c r="E326" s="42"/>
      <c r="F326" s="42"/>
      <c r="G326" s="43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1"/>
      <c r="D327" s="41"/>
      <c r="E327" s="42"/>
      <c r="F327" s="42"/>
      <c r="G327" s="43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1"/>
      <c r="E328" s="42"/>
      <c r="F328" s="42"/>
      <c r="G328" s="43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1"/>
      <c r="E329" s="42"/>
      <c r="F329" s="42"/>
      <c r="G329" s="43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1"/>
      <c r="E330" s="42"/>
      <c r="F330" s="42"/>
      <c r="G330" s="43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1"/>
      <c r="E331" s="42"/>
      <c r="F331" s="42"/>
      <c r="G331" s="43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1"/>
      <c r="E332" s="42"/>
      <c r="F332" s="42"/>
      <c r="G332" s="43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1"/>
      <c r="E333" s="42"/>
      <c r="F333" s="42"/>
      <c r="G333" s="43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1"/>
      <c r="D334" s="41"/>
      <c r="E334" s="42"/>
      <c r="F334" s="42"/>
      <c r="G334" s="43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1"/>
      <c r="D335" s="41"/>
      <c r="E335" s="42"/>
      <c r="F335" s="42"/>
      <c r="G335" s="43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1"/>
      <c r="D336" s="41"/>
      <c r="E336" s="42"/>
      <c r="F336" s="42"/>
      <c r="G336" s="43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1"/>
      <c r="D337" s="41"/>
      <c r="E337" s="42"/>
      <c r="F337" s="42"/>
      <c r="G337" s="43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1"/>
      <c r="D338" s="41"/>
      <c r="E338" s="42"/>
      <c r="F338" s="42"/>
      <c r="G338" s="43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1"/>
      <c r="D339" s="41"/>
      <c r="E339" s="42"/>
      <c r="F339" s="42"/>
      <c r="G339" s="43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1"/>
      <c r="D340" s="41"/>
      <c r="E340" s="42"/>
      <c r="F340" s="42"/>
      <c r="G340" s="43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1"/>
      <c r="D341" s="41"/>
      <c r="E341" s="42"/>
      <c r="F341" s="42"/>
      <c r="G341" s="43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1"/>
      <c r="D342" s="41"/>
      <c r="E342" s="42"/>
      <c r="F342" s="42"/>
      <c r="G342" s="43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1"/>
      <c r="D343" s="41"/>
      <c r="E343" s="42"/>
      <c r="F343" s="42"/>
      <c r="G343" s="43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1"/>
      <c r="D344" s="41"/>
      <c r="E344" s="42"/>
      <c r="F344" s="42"/>
      <c r="G344" s="43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1"/>
      <c r="D345" s="41"/>
      <c r="E345" s="42"/>
      <c r="F345" s="42"/>
      <c r="G345" s="43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1"/>
      <c r="D346" s="41"/>
      <c r="E346" s="42"/>
      <c r="F346" s="42"/>
      <c r="G346" s="43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1"/>
      <c r="D347" s="41"/>
      <c r="E347" s="42"/>
      <c r="F347" s="42"/>
      <c r="G347" s="43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1"/>
      <c r="E348" s="42"/>
      <c r="F348" s="42"/>
      <c r="G348" s="43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1"/>
      <c r="E349" s="42"/>
      <c r="F349" s="42"/>
      <c r="G349" s="43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1"/>
      <c r="E350" s="42"/>
      <c r="F350" s="42"/>
      <c r="G350" s="43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1"/>
      <c r="E351" s="42"/>
      <c r="F351" s="42"/>
      <c r="G351" s="43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1"/>
      <c r="D352" s="41"/>
      <c r="E352" s="42"/>
      <c r="F352" s="42"/>
      <c r="G352" s="43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>
      <c r="F2" s="72">
        <f>sum(D:D)</f>
        <v>66900</v>
      </c>
    </row>
    <row r="3"/>
    <row r="4"/>
    <row r="5">
      <c r="D5" s="72"/>
    </row>
    <row r="6">
      <c r="D6" s="72"/>
    </row>
    <row r="7">
      <c r="D7" s="72"/>
    </row>
    <row r="8">
      <c r="D8" s="72"/>
    </row>
    <row r="9">
      <c r="D9" s="72"/>
    </row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24</v>
      </c>
      <c r="I1" s="75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74" t="s">
        <v>27</v>
      </c>
      <c r="I2" s="75">
        <f t="array" ref="I2">(COUNTA(UNIQUE(C:C))-1)</f>
        <v>2</v>
      </c>
      <c r="K2" s="76" t="str">
        <f>'Internal Summary'!B40</f>
        <v>1 Ltr Fabfresh sweetened Yoghurt (6x)</v>
      </c>
      <c r="L2" s="75">
        <f t="shared" ref="L2:L15" si="1">sumif(D:D,K2,E:E)</f>
        <v>1</v>
      </c>
      <c r="M2" s="75">
        <f t="shared" ref="M2:M15" si="2">sumif(D:D,K2,F:F)</f>
        <v>19500</v>
      </c>
      <c r="N2" s="77"/>
    </row>
    <row r="3">
      <c r="H3" s="74" t="s">
        <v>28</v>
      </c>
      <c r="I3" s="75">
        <f>sum(F:F)</f>
        <v>66900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1</v>
      </c>
      <c r="M4" s="75">
        <f t="shared" si="2"/>
        <v>13200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2</v>
      </c>
      <c r="M8" s="75">
        <f t="shared" si="2"/>
        <v>34200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21">
      <c r="H21" s="79"/>
      <c r="I21" s="79"/>
      <c r="L21" s="72"/>
      <c r="M21" s="72"/>
    </row>
    <row r="24">
      <c r="H24" s="79"/>
      <c r="I24" s="79"/>
      <c r="L24" s="72"/>
      <c r="M24" s="72"/>
    </row>
    <row r="27">
      <c r="H27" s="79"/>
      <c r="I27" s="79"/>
      <c r="L27" s="72"/>
      <c r="M27" s="72"/>
    </row>
    <row r="30">
      <c r="H30" s="79"/>
      <c r="I30" s="79"/>
      <c r="L30" s="72"/>
      <c r="M30" s="72"/>
    </row>
    <row r="33">
      <c r="H33" s="79"/>
      <c r="I33" s="79"/>
      <c r="L33" s="72"/>
      <c r="M33" s="72"/>
    </row>
    <row r="36">
      <c r="H36" s="79"/>
      <c r="I36" s="79"/>
      <c r="L36" s="72"/>
      <c r="M36" s="72"/>
    </row>
    <row r="39">
      <c r="H39" s="79"/>
      <c r="I39" s="79"/>
      <c r="L39" s="72"/>
      <c r="M39" s="72"/>
    </row>
    <row r="42">
      <c r="H42" s="79"/>
      <c r="I42" s="79"/>
      <c r="L42" s="72"/>
      <c r="M42" s="72"/>
    </row>
    <row r="45">
      <c r="H45" s="79"/>
      <c r="I45" s="79"/>
      <c r="L45" s="72"/>
      <c r="M45" s="72"/>
    </row>
    <row r="48">
      <c r="H48" s="79"/>
      <c r="I48" s="79"/>
      <c r="L48" s="72"/>
      <c r="M48" s="72"/>
    </row>
    <row r="51">
      <c r="H51" s="79"/>
      <c r="I51" s="79"/>
      <c r="L51" s="72"/>
      <c r="M51" s="72"/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24</v>
      </c>
      <c r="I1" s="75">
        <f>countifs(B:B,"&lt;&gt;",F:F,"&lt;&gt;")-1</f>
        <v>0</v>
      </c>
      <c r="K1" s="82" t="s">
        <v>25</v>
      </c>
      <c r="L1" s="82" t="s">
        <v>26</v>
      </c>
      <c r="M1" s="82" t="s">
        <v>13</v>
      </c>
    </row>
    <row r="2">
      <c r="H2" s="74" t="s">
        <v>27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28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24</v>
      </c>
      <c r="I1" s="75">
        <f>countifs(B:B,"&lt;&gt;",F:F,"&lt;&gt;")-1</f>
        <v>0</v>
      </c>
      <c r="K1" s="82" t="s">
        <v>25</v>
      </c>
      <c r="L1" s="82" t="s">
        <v>29</v>
      </c>
      <c r="M1" s="82" t="s">
        <v>13</v>
      </c>
    </row>
    <row r="2">
      <c r="H2" s="74" t="s">
        <v>27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28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24</v>
      </c>
      <c r="I1" s="75">
        <f>countifs(B:B,"&lt;&gt;",F:F,"&lt;&gt;")-1</f>
        <v>0</v>
      </c>
      <c r="K1" s="82" t="s">
        <v>25</v>
      </c>
      <c r="L1" s="82" t="s">
        <v>26</v>
      </c>
    </row>
    <row r="2">
      <c r="H2" s="74" t="s">
        <v>27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28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8">
      <c r="K18" s="76" t="str">
        <f>'Internal Summary'!B56</f>
        <v/>
      </c>
      <c r="L18" s="75">
        <f>sumif(D:D,K18,E:E)</f>
        <v>0</v>
      </c>
    </row>
    <row r="21">
      <c r="K21" s="76" t="str">
        <f>'Internal Summary'!B59</f>
        <v/>
      </c>
      <c r="L21" s="75">
        <f>sumif(D:D,K21,E:E)</f>
        <v>0</v>
      </c>
    </row>
    <row r="24">
      <c r="K24" s="76" t="str">
        <f>'Internal Summary'!B62</f>
        <v/>
      </c>
      <c r="L24" s="75">
        <f>sumif(D:D,K24,E:E)</f>
        <v>0</v>
      </c>
    </row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24</v>
      </c>
      <c r="I1" s="75">
        <f>countifs(B:B,"&lt;&gt;",F:F,"&lt;&gt;")-1</f>
        <v>0</v>
      </c>
      <c r="K1" s="82" t="s">
        <v>25</v>
      </c>
      <c r="L1" s="82" t="s">
        <v>26</v>
      </c>
    </row>
    <row r="2">
      <c r="H2" s="74" t="s">
        <v>27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28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30</v>
      </c>
      <c r="C1" s="74" t="s">
        <v>26</v>
      </c>
      <c r="D1" s="74" t="s">
        <v>31</v>
      </c>
      <c r="E1" s="74" t="s">
        <v>32</v>
      </c>
      <c r="F1" s="84"/>
    </row>
    <row r="2">
      <c r="A2" s="85" t="s">
        <v>33</v>
      </c>
      <c r="B2" s="86" t="s">
        <v>24</v>
      </c>
      <c r="C2" s="87"/>
      <c r="D2" s="87"/>
      <c r="E2" s="88">
        <f>'Dala Sales &amp; Deliveries'!I1+'External Delivery Fulfillment'!I1</f>
        <v>2</v>
      </c>
      <c r="F2" s="84"/>
    </row>
    <row r="3">
      <c r="A3" s="89"/>
      <c r="B3" s="86" t="s">
        <v>34</v>
      </c>
      <c r="C3" s="87"/>
      <c r="D3" s="87"/>
      <c r="E3" s="88">
        <f>'Raw Data'!AX2</f>
        <v>0</v>
      </c>
      <c r="F3" s="84"/>
    </row>
    <row r="4">
      <c r="B4" s="90" t="s">
        <v>35</v>
      </c>
      <c r="C4" s="84"/>
      <c r="D4" s="84"/>
      <c r="E4" s="91">
        <f>'Dala Sales &amp; Deliveries'!I3</f>
        <v>66900</v>
      </c>
      <c r="F4" s="84"/>
    </row>
    <row r="5">
      <c r="B5" s="90" t="s">
        <v>36</v>
      </c>
      <c r="C5" s="84"/>
      <c r="D5" s="84"/>
      <c r="E5" s="91"/>
      <c r="F5" s="84"/>
    </row>
    <row r="6">
      <c r="A6" s="92"/>
      <c r="B6" s="93" t="s">
        <v>37</v>
      </c>
      <c r="C6" s="94"/>
      <c r="D6" s="95"/>
      <c r="E6" s="96">
        <f>sum(E4:E5)</f>
        <v>66900</v>
      </c>
      <c r="F6" s="84"/>
    </row>
    <row r="7">
      <c r="A7" s="85" t="s">
        <v>38</v>
      </c>
      <c r="B7" s="86" t="s">
        <v>39</v>
      </c>
      <c r="C7" s="87"/>
      <c r="D7" s="97"/>
      <c r="E7" s="98">
        <v>0.0</v>
      </c>
    </row>
    <row r="8">
      <c r="A8" s="92"/>
      <c r="B8" s="93" t="s">
        <v>40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41</v>
      </c>
      <c r="B9" s="93" t="s">
        <v>42</v>
      </c>
      <c r="C9" s="94"/>
      <c r="D9" s="95"/>
      <c r="E9" s="96">
        <f>E6-E7-E8</f>
        <v>66900</v>
      </c>
    </row>
    <row r="10">
      <c r="A10" s="85" t="s">
        <v>43</v>
      </c>
      <c r="B10" s="86" t="s">
        <v>44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40</v>
      </c>
      <c r="C11" s="104"/>
      <c r="D11" s="97"/>
      <c r="E11" s="103">
        <f>E9*C8</f>
        <v>11373</v>
      </c>
    </row>
    <row r="12">
      <c r="A12" s="89"/>
      <c r="B12" s="105" t="s">
        <v>45</v>
      </c>
      <c r="C12" s="97"/>
      <c r="D12" s="106"/>
      <c r="E12" s="103">
        <f>C26</f>
        <v>3345</v>
      </c>
    </row>
    <row r="13">
      <c r="A13" s="89"/>
      <c r="B13" s="105" t="s">
        <v>46</v>
      </c>
      <c r="C13" s="87"/>
      <c r="D13" s="106" t="s">
        <v>47</v>
      </c>
      <c r="E13" s="103">
        <f>C28+C22</f>
        <v>0</v>
      </c>
    </row>
    <row r="14">
      <c r="A14" s="89"/>
      <c r="B14" s="86" t="s">
        <v>48</v>
      </c>
      <c r="C14" s="97"/>
      <c r="D14" s="97"/>
      <c r="E14" s="98">
        <v>0.0</v>
      </c>
    </row>
    <row r="15">
      <c r="A15" s="89"/>
      <c r="B15" s="86" t="s">
        <v>49</v>
      </c>
      <c r="C15" s="97"/>
      <c r="D15" s="97"/>
      <c r="E15" s="103">
        <f>C30</f>
        <v>0</v>
      </c>
    </row>
    <row r="16">
      <c r="A16" s="92"/>
      <c r="B16" s="93" t="s">
        <v>50</v>
      </c>
      <c r="C16" s="95"/>
      <c r="D16" s="95"/>
      <c r="E16" s="96">
        <f>sum(E10:E15)</f>
        <v>14718</v>
      </c>
      <c r="H16" s="1"/>
      <c r="I16" s="1"/>
    </row>
    <row r="17">
      <c r="A17" s="100" t="s">
        <v>51</v>
      </c>
      <c r="B17" s="93" t="s">
        <v>52</v>
      </c>
      <c r="C17" s="95"/>
      <c r="D17" s="95"/>
      <c r="E17" s="96">
        <f>E9-E16+C36</f>
        <v>52182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53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54</v>
      </c>
      <c r="C21" s="110">
        <f>U69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55</v>
      </c>
      <c r="C22" s="110">
        <f>V69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56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57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58</v>
      </c>
      <c r="C25" s="110">
        <v>0.0</v>
      </c>
      <c r="H25" s="1"/>
      <c r="I25" s="1"/>
    </row>
    <row r="26">
      <c r="A26" s="109"/>
      <c r="B26" s="74" t="s">
        <v>59</v>
      </c>
      <c r="C26" s="113">
        <f>P69</f>
        <v>3345</v>
      </c>
      <c r="H26" s="1"/>
      <c r="I26" s="1"/>
    </row>
    <row r="27">
      <c r="A27" s="109"/>
      <c r="B27" s="74" t="s">
        <v>60</v>
      </c>
      <c r="C27" s="75">
        <f>Q69</f>
        <v>0</v>
      </c>
      <c r="H27" s="1"/>
      <c r="I27" s="1"/>
    </row>
    <row r="28">
      <c r="A28" s="109"/>
      <c r="B28" s="74" t="s">
        <v>61</v>
      </c>
      <c r="C28" s="75">
        <f>'External Delivery Fulfillment'!I2*7%</f>
        <v>0</v>
      </c>
      <c r="H28" s="1"/>
      <c r="I28" s="1"/>
    </row>
    <row r="29">
      <c r="A29" s="109"/>
      <c r="B29" s="74" t="s">
        <v>62</v>
      </c>
      <c r="C29" s="110">
        <f>F69</f>
        <v>0</v>
      </c>
      <c r="D29" s="1"/>
      <c r="H29" s="1"/>
      <c r="I29" s="1"/>
    </row>
    <row r="30">
      <c r="A30" s="109"/>
      <c r="B30" s="74" t="s">
        <v>63</v>
      </c>
      <c r="C30" s="110">
        <v>0.0</v>
      </c>
      <c r="D30" s="1"/>
      <c r="H30" s="1"/>
      <c r="I30" s="1"/>
    </row>
    <row r="31">
      <c r="A31" s="109"/>
      <c r="B31" s="74" t="s">
        <v>64</v>
      </c>
      <c r="C31" s="110">
        <f>I69</f>
        <v>0</v>
      </c>
      <c r="D31" s="109"/>
      <c r="H31" s="1"/>
      <c r="I31" s="1"/>
    </row>
    <row r="32">
      <c r="A32" s="109"/>
      <c r="B32" s="74" t="s">
        <v>65</v>
      </c>
      <c r="C32" s="110">
        <v>0.0</v>
      </c>
      <c r="D32" s="109"/>
      <c r="H32" s="1"/>
      <c r="I32" s="1"/>
    </row>
    <row r="33">
      <c r="B33" s="74" t="s">
        <v>66</v>
      </c>
      <c r="C33" s="110">
        <f>L69</f>
        <v>3.5</v>
      </c>
    </row>
    <row r="34">
      <c r="B34" s="74" t="s">
        <v>67</v>
      </c>
      <c r="C34" s="75">
        <f>K69</f>
        <v>3.5</v>
      </c>
    </row>
    <row r="35">
      <c r="B35" s="74" t="s">
        <v>68</v>
      </c>
      <c r="C35" s="110">
        <v>0.0</v>
      </c>
    </row>
    <row r="36">
      <c r="B36" s="74" t="s">
        <v>69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70</v>
      </c>
      <c r="C39" s="74" t="s">
        <v>71</v>
      </c>
      <c r="D39" s="74" t="s">
        <v>72</v>
      </c>
      <c r="E39" s="74" t="s">
        <v>73</v>
      </c>
      <c r="F39" s="82" t="s">
        <v>74</v>
      </c>
      <c r="G39" s="82" t="s">
        <v>75</v>
      </c>
      <c r="H39" s="82" t="s">
        <v>76</v>
      </c>
      <c r="I39" s="82" t="s">
        <v>77</v>
      </c>
      <c r="J39" s="82" t="s">
        <v>78</v>
      </c>
      <c r="K39" s="82" t="s">
        <v>79</v>
      </c>
      <c r="L39" s="82" t="s">
        <v>66</v>
      </c>
      <c r="M39" s="82" t="s">
        <v>68</v>
      </c>
      <c r="N39" s="82" t="s">
        <v>80</v>
      </c>
      <c r="O39" s="82" t="s">
        <v>81</v>
      </c>
      <c r="P39" s="82" t="s">
        <v>82</v>
      </c>
      <c r="Q39" s="82" t="s">
        <v>83</v>
      </c>
      <c r="R39" s="82" t="s">
        <v>84</v>
      </c>
      <c r="S39" s="82" t="s">
        <v>85</v>
      </c>
      <c r="T39" s="82" t="s">
        <v>57</v>
      </c>
      <c r="U39" s="82" t="s">
        <v>86</v>
      </c>
      <c r="V39" s="82" t="s">
        <v>87</v>
      </c>
      <c r="W39" s="82" t="s">
        <v>88</v>
      </c>
    </row>
    <row r="40">
      <c r="B40" s="114" t="s">
        <v>15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/>
      <c r="L40" s="113"/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1</v>
      </c>
      <c r="P40" s="75">
        <f t="shared" ref="P40:P68" si="5">O40*E40</f>
        <v>975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0</v>
      </c>
      <c r="V40" s="75">
        <f t="shared" ref="V40:V68" si="8">U40*D40</f>
        <v>0</v>
      </c>
      <c r="W40" s="75">
        <f>'Client Restocking'!L2</f>
        <v>0</v>
      </c>
    </row>
    <row r="41">
      <c r="B41" s="117" t="s">
        <v>89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/>
      <c r="L41" s="113"/>
      <c r="M41" s="75">
        <f t="shared" si="3"/>
        <v>0</v>
      </c>
      <c r="N41" s="75">
        <f t="shared" si="4"/>
        <v>0</v>
      </c>
      <c r="O41" s="75">
        <f>'Dala Sales &amp; Deliveries'!L3</f>
        <v>0</v>
      </c>
      <c r="P41" s="75">
        <f t="shared" si="5"/>
        <v>0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0</v>
      </c>
      <c r="V41" s="75">
        <f t="shared" si="8"/>
        <v>0</v>
      </c>
      <c r="W41" s="75">
        <f>'Client Restocking'!L3</f>
        <v>0</v>
      </c>
    </row>
    <row r="42">
      <c r="B42" s="117" t="s">
        <v>19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/>
      <c r="L42" s="113"/>
      <c r="M42" s="75">
        <f t="shared" si="3"/>
        <v>0</v>
      </c>
      <c r="N42" s="75">
        <f t="shared" si="4"/>
        <v>0</v>
      </c>
      <c r="O42" s="75">
        <f>'Dala Sales &amp; Deliveries'!L4</f>
        <v>1</v>
      </c>
      <c r="P42" s="75">
        <f t="shared" si="5"/>
        <v>660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0</v>
      </c>
      <c r="V42" s="75">
        <f t="shared" si="8"/>
        <v>0</v>
      </c>
      <c r="W42" s="75">
        <f>'Client Restocking'!L4</f>
        <v>0</v>
      </c>
    </row>
    <row r="43">
      <c r="B43" s="117" t="s">
        <v>90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/>
      <c r="L43" s="113"/>
      <c r="M43" s="75">
        <f t="shared" si="3"/>
        <v>0</v>
      </c>
      <c r="N43" s="75">
        <f t="shared" si="4"/>
        <v>0</v>
      </c>
      <c r="O43" s="75">
        <f>'Dala Sales &amp; Deliveries'!L5</f>
        <v>0</v>
      </c>
      <c r="P43" s="75">
        <f t="shared" si="5"/>
        <v>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0</v>
      </c>
      <c r="V43" s="75">
        <f t="shared" si="8"/>
        <v>0</v>
      </c>
      <c r="W43" s="75">
        <f>'Client Restocking'!L5</f>
        <v>0</v>
      </c>
    </row>
    <row r="44">
      <c r="B44" s="117" t="s">
        <v>91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/>
      <c r="L44" s="113"/>
      <c r="M44" s="75">
        <f t="shared" si="3"/>
        <v>0</v>
      </c>
      <c r="N44" s="75">
        <f t="shared" si="4"/>
        <v>0</v>
      </c>
      <c r="O44" s="75">
        <f>'Dala Sales &amp; Deliveries'!L6</f>
        <v>0</v>
      </c>
      <c r="P44" s="75">
        <f t="shared" si="5"/>
        <v>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0</v>
      </c>
      <c r="V44" s="75">
        <f t="shared" si="8"/>
        <v>0</v>
      </c>
      <c r="W44" s="75">
        <f>'Client Restocking'!L6</f>
        <v>0</v>
      </c>
    </row>
    <row r="45">
      <c r="B45" s="117" t="s">
        <v>92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/>
      <c r="L45" s="113"/>
      <c r="M45" s="75">
        <f t="shared" si="3"/>
        <v>0</v>
      </c>
      <c r="N45" s="75">
        <f t="shared" si="4"/>
        <v>0</v>
      </c>
      <c r="O45" s="75">
        <f>'Dala Sales &amp; Deliveries'!L7</f>
        <v>0</v>
      </c>
      <c r="P45" s="75">
        <f t="shared" si="5"/>
        <v>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0</v>
      </c>
      <c r="V45" s="75">
        <f t="shared" si="8"/>
        <v>0</v>
      </c>
      <c r="W45" s="75">
        <f>'Client Restocking'!L7</f>
        <v>0</v>
      </c>
    </row>
    <row r="46">
      <c r="B46" s="117" t="s">
        <v>20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>
        <v>3.5</v>
      </c>
      <c r="L46" s="113">
        <v>3.5</v>
      </c>
      <c r="M46" s="75">
        <f t="shared" si="3"/>
        <v>0</v>
      </c>
      <c r="N46" s="75">
        <f t="shared" si="4"/>
        <v>0</v>
      </c>
      <c r="O46" s="75">
        <f>'Dala Sales &amp; Deliveries'!L8</f>
        <v>2</v>
      </c>
      <c r="P46" s="75">
        <f t="shared" si="5"/>
        <v>1710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0</v>
      </c>
      <c r="V46" s="75">
        <f t="shared" si="8"/>
        <v>0</v>
      </c>
      <c r="W46" s="75">
        <f>'Client Restocking'!L8</f>
        <v>0</v>
      </c>
    </row>
    <row r="47">
      <c r="B47" s="117" t="s">
        <v>93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/>
      <c r="L47" s="113"/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94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3.5</v>
      </c>
      <c r="L69" s="121">
        <f t="shared" si="10"/>
        <v>3.5</v>
      </c>
      <c r="M69" s="121">
        <f t="shared" si="10"/>
        <v>0</v>
      </c>
      <c r="N69" s="121">
        <f t="shared" si="10"/>
        <v>0</v>
      </c>
      <c r="O69" s="121">
        <f t="shared" si="10"/>
        <v>4</v>
      </c>
      <c r="P69" s="121">
        <f t="shared" si="10"/>
        <v>3345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0</v>
      </c>
      <c r="V69" s="75">
        <f t="shared" si="10"/>
        <v>0</v>
      </c>
      <c r="W69" s="75">
        <f t="shared" si="10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