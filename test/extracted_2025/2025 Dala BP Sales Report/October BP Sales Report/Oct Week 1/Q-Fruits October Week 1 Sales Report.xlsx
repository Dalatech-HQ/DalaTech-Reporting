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Data'!$A$2:$G$22</definedName>
    <definedName hidden="1" localSheetId="2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<sst xmlns="http://schemas.openxmlformats.org/spreadsheetml/2006/main" count="109" uniqueCount="33">
  <si>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</si>
  <si>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</si>
  <si>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</si>
  <si>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</si>
  <si>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</si>
  <si>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</si>
  <si>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</si>
  <si>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</si>
  <si>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</si>
  <si>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</si>
  <si>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</si>
  <si>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</si>
  <si>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</si>
  <si>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</si>
  <si>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</si>
  <si>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</si>
  <si>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D'Emperor Superstore</t>
  </si>
  <si>
    <t>Sales</t>
  </si>
  <si>
    <t>DT:002756</t>
  </si>
  <si>
    <t>500ml Mixed Juice (1x)</t>
  </si>
  <si>
    <t>Lady Ricky Catering Service/ Smooth and Sweet Swallow</t>
  </si>
  <si>
    <t>DT:002795</t>
  </si>
  <si>
    <t>Renees Supermarket, LEKKI CENTRAL MOSQUE</t>
  </si>
  <si>
    <t>DT:002829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</si>
  <si>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</si>
  <si>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</si>
  <si>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</si>
  <si>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</si>
  <si>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</si>
  <si>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</si>
  <si>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500ml Orange Juice (1x)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</si>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</sst>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5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5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Pineapple Juice (1x)"/>
        <s v="500ml Mixed Juice (1x)"/>
        <m/>
      </sharedItems>
    </cacheField>
    <cacheField name="Date" numFmtId="164">
      <sharedItems containsDate="1" containsString="0" containsBlank="1">
        <d v="2025-02-10T00:00:00Z"/>
        <d v="2025-03-10T00:00:00Z"/>
        <d v="2025-08-10T00:00:00Z"/>
        <m/>
      </sharedItems>
    </cacheField>
    <cacheField name="Particulars" numFmtId="0">
      <sharedItems containsBlank="1">
        <s v="D'Emperor Superstore"/>
        <s v="Lady Ricky Catering Service/ Smooth and Sweet Swallow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95"/>
        <s v="DT:002829"/>
        <m/>
      </sharedItems>
    </cacheField>
    <cacheField name="Quantity" numFmtId="4">
      <sharedItems containsString="0" containsBlank="1" containsNumber="1" containsInteger="1">
        <n v="12.0"/>
        <n v="18.0"/>
        <m/>
      </sharedItems>
    </cacheField>
    <cacheField name="Value" numFmtId="4">
      <sharedItems containsString="0" containsBlank="1" containsNumber="1" containsInteger="1">
        <n v="24000.0"/>
        <n v="36000.0"/>
        <m/>
      </sharedItems>
    </cacheField>
    <cacheField name="Total Value" numFmtId="4">
      <sharedItems containsSemiMixedTypes="0" containsString="0" containsNumber="1" containsInteger="1">
        <n v="24000.0"/>
        <n v="48000.0"/>
        <n v="360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45698.0</v>
      </c>
      <c r="C3" s="15" t="s">
        <v>16</v>
      </c>
      <c r="D3" s="15" t="s">
        <v>17</v>
      </c>
      <c r="E3" s="16" t="s">
        <v>18</v>
      </c>
      <c r="F3" s="17">
        <v>12.0</v>
      </c>
      <c r="G3" s="18">
        <v>24000.0</v>
      </c>
      <c r="H3" s="19"/>
      <c r="I3" s="20" t="str">
        <f>IFERROR(__xludf.DUMMYFUNCTION("IFERROR(
  FILTER($A$3:$G1844, LEN($A$3:$A1844), LOWER(TRIM($D$3:$D1844))=""sales""),
)"),"500ml Pineapple Juice (1x)")</f>
        <v>500ml Pineapple Juice (1x)</v>
      </c>
      <c r="J3" s="14">
        <f>IFERROR(__xludf.DUMMYFUNCTION("""COMPUTED_VALUE"""),45698.0)</f>
        <v>45698</v>
      </c>
      <c r="K3" s="15" t="str">
        <f>IFERROR(__xludf.DUMMYFUNCTION("""COMPUTED_VALUE"""),"D'Emperor Superstore")</f>
        <v>D'Emperor Superstore</v>
      </c>
      <c r="L3" s="15" t="str">
        <f>IFERROR(__xludf.DUMMYFUNCTION("""COMPUTED_VALUE"""),"Sales")</f>
        <v>Sales</v>
      </c>
      <c r="M3" s="16" t="str">
        <f>IFERROR(__xludf.DUMMYFUNCTION("""COMPUTED_VALUE"""),"DT:002756")</f>
        <v>DT:002756</v>
      </c>
      <c r="N3" s="17">
        <f>IFERROR(__xludf.DUMMYFUNCTION("""COMPUTED_VALUE"""),12.0)</f>
        <v>12</v>
      </c>
      <c r="O3" s="18">
        <f>IFERROR(__xludf.DUMMYFUNCTION("""COMPUTED_VALUE"""),24000.0)</f>
        <v>24000</v>
      </c>
      <c r="P3" s="7">
        <f t="shared" ref="P3:P22" si="1">SUMIF(M:M,M3,O:O)</f>
        <v>24000</v>
      </c>
      <c r="Q3" s="20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16"/>
      <c r="V3" s="17"/>
      <c r="W3" s="18"/>
      <c r="Y3" s="21"/>
      <c r="Z3" s="21"/>
      <c r="AA3" s="21"/>
      <c r="AB3" s="21"/>
      <c r="AC3" s="21"/>
      <c r="AD3" s="21"/>
      <c r="AE3" s="21"/>
      <c r="AF3" s="21"/>
      <c r="AG3" s="20" t="str">
        <f>IFERROR(__xludf.DUMMYFUNCTION("IFERROR(
  FILTER($A$3:$G1844, LEN($A$3:$A1844), LOWER(TRIM($D$3:$D1844))=""purchase inv-brand partner""),
)"),"")</f>
        <v/>
      </c>
      <c r="AH3" s="14"/>
      <c r="AI3" s="15"/>
      <c r="AJ3" s="15"/>
      <c r="AK3" s="16"/>
      <c r="AL3" s="17"/>
      <c r="AM3" s="18"/>
      <c r="AO3" s="22" t="str">
        <f>IFERROR(__xludf.DUMMYFUNCTION("IFERROR(
  FILTER($A$3:$G1844, LEN($A$3:$A1844), LOWER(TRIM($D$3:$D1844))=""purchase inv-dala""),
)"),"")</f>
        <v/>
      </c>
      <c r="AP3" s="23"/>
      <c r="AQ3" s="24"/>
      <c r="AR3" s="24"/>
      <c r="AS3" s="2"/>
      <c r="AT3" s="25"/>
      <c r="AU3" s="26"/>
    </row>
    <row r="4">
      <c r="A4" s="13" t="s">
        <v>19</v>
      </c>
      <c r="B4" s="14">
        <v>45726.0</v>
      </c>
      <c r="C4" s="15" t="s">
        <v>20</v>
      </c>
      <c r="D4" s="15" t="s">
        <v>17</v>
      </c>
      <c r="E4" s="16" t="s">
        <v>21</v>
      </c>
      <c r="F4" s="17">
        <v>12.0</v>
      </c>
      <c r="G4" s="18">
        <v>24000.0</v>
      </c>
      <c r="I4" s="20" t="str">
        <f>IFERROR(__xludf.DUMMYFUNCTION("""COMPUTED_VALUE"""),"500ml Mixed Juice (1x)")</f>
        <v>500ml Mixed Juice (1x)</v>
      </c>
      <c r="J4" s="14">
        <f>IFERROR(__xludf.DUMMYFUNCTION("""COMPUTED_VALUE"""),45726.0)</f>
        <v>45726</v>
      </c>
      <c r="K4" s="15" t="str">
        <f>IFERROR(__xludf.DUMMYFUNCTION("""COMPUTED_VALUE"""),"Lady Ricky Catering Service/ Smooth and Sweet Swallow")</f>
        <v>Lady Ricky Catering Service/ Smooth and Sweet Swallow</v>
      </c>
      <c r="L4" s="15" t="str">
        <f>IFERROR(__xludf.DUMMYFUNCTION("""COMPUTED_VALUE"""),"Sales")</f>
        <v>Sales</v>
      </c>
      <c r="M4" s="16" t="str">
        <f>IFERROR(__xludf.DUMMYFUNCTION("""COMPUTED_VALUE"""),"DT:002795")</f>
        <v>DT:002795</v>
      </c>
      <c r="N4" s="17">
        <f>IFERROR(__xludf.DUMMYFUNCTION("""COMPUTED_VALUE"""),12.0)</f>
        <v>12</v>
      </c>
      <c r="O4" s="18">
        <f>IFERROR(__xludf.DUMMYFUNCTION("""COMPUTED_VALUE"""),24000.0)</f>
        <v>24000</v>
      </c>
      <c r="P4" s="7">
        <f t="shared" si="1"/>
        <v>48000</v>
      </c>
      <c r="Q4" s="20"/>
      <c r="R4" s="14"/>
      <c r="S4" s="15"/>
      <c r="T4" s="15"/>
      <c r="U4" s="16"/>
      <c r="V4" s="17"/>
      <c r="W4" s="18"/>
      <c r="Y4" s="21"/>
      <c r="Z4" s="21"/>
      <c r="AA4" s="21"/>
      <c r="AB4" s="21"/>
      <c r="AC4" s="21"/>
      <c r="AD4" s="21"/>
      <c r="AE4" s="21"/>
      <c r="AF4" s="21"/>
      <c r="AG4" s="20"/>
      <c r="AH4" s="14"/>
      <c r="AI4" s="15"/>
      <c r="AJ4" s="15"/>
      <c r="AK4" s="16"/>
      <c r="AL4" s="17"/>
      <c r="AM4" s="18"/>
      <c r="AO4" s="22"/>
      <c r="AP4" s="23"/>
      <c r="AQ4" s="24"/>
      <c r="AR4" s="24"/>
      <c r="AS4" s="2"/>
      <c r="AT4" s="27"/>
      <c r="AU4" s="28"/>
    </row>
    <row r="5">
      <c r="A5" s="13" t="s">
        <v>15</v>
      </c>
      <c r="B5" s="14">
        <v>45726.0</v>
      </c>
      <c r="C5" s="15" t="s">
        <v>20</v>
      </c>
      <c r="D5" s="15" t="s">
        <v>17</v>
      </c>
      <c r="E5" s="16" t="s">
        <v>21</v>
      </c>
      <c r="F5" s="17">
        <v>12.0</v>
      </c>
      <c r="G5" s="18">
        <v>24000.0</v>
      </c>
      <c r="I5" s="20" t="str">
        <f>IFERROR(__xludf.DUMMYFUNCTION("""COMPUTED_VALUE"""),"500ml Pineapple Juice (1x)")</f>
        <v>500ml Pineapple Juice (1x)</v>
      </c>
      <c r="J5" s="14">
        <f>IFERROR(__xludf.DUMMYFUNCTION("""COMPUTED_VALUE"""),45726.0)</f>
        <v>45726</v>
      </c>
      <c r="K5" s="15" t="str">
        <f>IFERROR(__xludf.DUMMYFUNCTION("""COMPUTED_VALUE"""),"Lady Ricky Catering Service/ Smooth and Sweet Swallow")</f>
        <v>Lady Ricky Catering Service/ Smooth and Sweet Swallow</v>
      </c>
      <c r="L5" s="15" t="str">
        <f>IFERROR(__xludf.DUMMYFUNCTION("""COMPUTED_VALUE"""),"Sales")</f>
        <v>Sales</v>
      </c>
      <c r="M5" s="16" t="str">
        <f>IFERROR(__xludf.DUMMYFUNCTION("""COMPUTED_VALUE"""),"DT:002795")</f>
        <v>DT:002795</v>
      </c>
      <c r="N5" s="16">
        <f>IFERROR(__xludf.DUMMYFUNCTION("""COMPUTED_VALUE"""),12.0)</f>
        <v>12</v>
      </c>
      <c r="O5" s="18">
        <f>IFERROR(__xludf.DUMMYFUNCTION("""COMPUTED_VALUE"""),24000.0)</f>
        <v>24000</v>
      </c>
      <c r="P5" s="7">
        <f t="shared" si="1"/>
        <v>48000</v>
      </c>
      <c r="Q5" s="20"/>
      <c r="R5" s="14"/>
      <c r="S5" s="15"/>
      <c r="T5" s="15"/>
      <c r="U5" s="16"/>
      <c r="V5" s="17"/>
      <c r="W5" s="18"/>
      <c r="Y5" s="21"/>
      <c r="Z5" s="21"/>
      <c r="AA5" s="21"/>
      <c r="AB5" s="21"/>
      <c r="AC5" s="21"/>
      <c r="AD5" s="21"/>
      <c r="AE5" s="21"/>
      <c r="AF5" s="21"/>
      <c r="AG5" s="20"/>
      <c r="AH5" s="14"/>
      <c r="AI5" s="15"/>
      <c r="AJ5" s="15"/>
      <c r="AK5" s="16"/>
      <c r="AL5" s="17"/>
      <c r="AM5" s="18"/>
      <c r="AO5" s="22"/>
      <c r="AP5" s="23"/>
      <c r="AQ5" s="24"/>
      <c r="AR5" s="24"/>
      <c r="AS5" s="2"/>
      <c r="AT5" s="27"/>
      <c r="AU5" s="28"/>
    </row>
    <row r="6">
      <c r="A6" s="13" t="s">
        <v>15</v>
      </c>
      <c r="B6" s="14">
        <v>45879.0</v>
      </c>
      <c r="C6" s="15" t="s">
        <v>22</v>
      </c>
      <c r="D6" s="15" t="s">
        <v>17</v>
      </c>
      <c r="E6" s="16" t="s">
        <v>23</v>
      </c>
      <c r="F6" s="16">
        <v>18.0</v>
      </c>
      <c r="G6" s="18">
        <v>36000.0</v>
      </c>
      <c r="I6" s="20" t="str">
        <f>IFERROR(__xludf.DUMMYFUNCTION("""COMPUTED_VALUE"""),"500ml Pineapple Juice (1x)")</f>
        <v>500ml Pineapple Juice (1x)</v>
      </c>
      <c r="J6" s="14">
        <f>IFERROR(__xludf.DUMMYFUNCTION("""COMPUTED_VALUE"""),45879.0)</f>
        <v>45879</v>
      </c>
      <c r="K6" s="15" t="str">
        <f>IFERROR(__xludf.DUMMYFUNCTION("""COMPUTED_VALUE"""),"Renees Supermarket, LEKKI CENTRAL MOSQUE")</f>
        <v>Renees Supermarket, LEKKI CENTRAL MOSQUE</v>
      </c>
      <c r="L6" s="15" t="str">
        <f>IFERROR(__xludf.DUMMYFUNCTION("""COMPUTED_VALUE"""),"Sales")</f>
        <v>Sales</v>
      </c>
      <c r="M6" s="16" t="str">
        <f>IFERROR(__xludf.DUMMYFUNCTION("""COMPUTED_VALUE"""),"DT:002829")</f>
        <v>DT:002829</v>
      </c>
      <c r="N6" s="17">
        <f>IFERROR(__xludf.DUMMYFUNCTION("""COMPUTED_VALUE"""),18.0)</f>
        <v>18</v>
      </c>
      <c r="O6" s="18">
        <f>IFERROR(__xludf.DUMMYFUNCTION("""COMPUTED_VALUE"""),36000.0)</f>
        <v>36000</v>
      </c>
      <c r="P6" s="7">
        <f t="shared" si="1"/>
        <v>36000</v>
      </c>
      <c r="Q6" s="20"/>
      <c r="R6" s="14"/>
      <c r="S6" s="15"/>
      <c r="T6" s="15"/>
      <c r="U6" s="16"/>
      <c r="V6" s="16"/>
      <c r="W6" s="18"/>
      <c r="Y6" s="21"/>
      <c r="Z6" s="21"/>
      <c r="AA6" s="21"/>
      <c r="AB6" s="21"/>
      <c r="AC6" s="21"/>
      <c r="AD6" s="21"/>
      <c r="AE6" s="21"/>
      <c r="AF6" s="21"/>
      <c r="AG6" s="29"/>
      <c r="AH6" s="23"/>
      <c r="AI6" s="24"/>
      <c r="AJ6" s="24"/>
      <c r="AK6" s="2"/>
      <c r="AL6" s="30"/>
      <c r="AM6" s="28"/>
      <c r="AO6" s="22"/>
      <c r="AP6" s="23"/>
      <c r="AQ6" s="24"/>
      <c r="AR6" s="24"/>
      <c r="AS6" s="2"/>
      <c r="AT6" s="27"/>
      <c r="AU6" s="28"/>
    </row>
    <row r="7">
      <c r="A7" s="31"/>
      <c r="B7" s="23"/>
      <c r="C7" s="24"/>
      <c r="D7" s="24"/>
      <c r="E7" s="2"/>
      <c r="F7" s="27"/>
      <c r="G7" s="28"/>
      <c r="I7" s="20"/>
      <c r="J7" s="14"/>
      <c r="K7" s="15"/>
      <c r="L7" s="15"/>
      <c r="M7" s="16"/>
      <c r="N7" s="17"/>
      <c r="O7" s="18"/>
      <c r="P7" s="7">
        <f t="shared" si="1"/>
        <v>0</v>
      </c>
      <c r="Q7" s="29"/>
      <c r="R7" s="23"/>
      <c r="S7" s="32"/>
      <c r="T7" s="24"/>
      <c r="U7" s="2"/>
      <c r="V7" s="30"/>
      <c r="W7" s="33"/>
      <c r="Y7" s="21"/>
      <c r="Z7" s="21"/>
      <c r="AA7" s="21"/>
      <c r="AB7" s="21"/>
      <c r="AC7" s="21"/>
      <c r="AD7" s="21"/>
      <c r="AE7" s="21"/>
      <c r="AF7" s="21"/>
      <c r="AG7" s="29"/>
      <c r="AH7" s="23"/>
      <c r="AI7" s="24"/>
      <c r="AJ7" s="24"/>
      <c r="AK7" s="2"/>
      <c r="AL7" s="2"/>
      <c r="AM7" s="33"/>
      <c r="AO7" s="22"/>
      <c r="AP7" s="23"/>
      <c r="AQ7" s="24"/>
      <c r="AR7" s="24"/>
      <c r="AS7" s="2"/>
      <c r="AT7" s="27"/>
      <c r="AU7" s="28"/>
    </row>
    <row r="8">
      <c r="A8" s="31"/>
      <c r="B8" s="23"/>
      <c r="C8" s="24"/>
      <c r="D8" s="24"/>
      <c r="E8" s="2"/>
      <c r="F8" s="27"/>
      <c r="G8" s="28"/>
      <c r="I8" s="20"/>
      <c r="J8" s="14"/>
      <c r="K8" s="15"/>
      <c r="L8" s="15"/>
      <c r="M8" s="16"/>
      <c r="N8" s="17"/>
      <c r="O8" s="18"/>
      <c r="P8" s="7">
        <f t="shared" si="1"/>
        <v>0</v>
      </c>
      <c r="Q8" s="29"/>
      <c r="R8" s="23"/>
      <c r="S8" s="24"/>
      <c r="T8" s="24"/>
      <c r="U8" s="2"/>
      <c r="V8" s="30"/>
      <c r="W8" s="33"/>
      <c r="Y8" s="21"/>
      <c r="Z8" s="21"/>
      <c r="AA8" s="21"/>
      <c r="AB8" s="21"/>
      <c r="AC8" s="21"/>
      <c r="AD8" s="21"/>
      <c r="AE8" s="21"/>
      <c r="AF8" s="21"/>
      <c r="AG8" s="29"/>
      <c r="AH8" s="23"/>
      <c r="AI8" s="24"/>
      <c r="AJ8" s="24"/>
      <c r="AK8" s="2"/>
      <c r="AL8" s="30"/>
      <c r="AM8" s="33"/>
      <c r="AP8" s="34"/>
      <c r="AU8" s="12"/>
    </row>
    <row r="9">
      <c r="A9" s="31"/>
      <c r="B9" s="23"/>
      <c r="C9" s="24"/>
      <c r="D9" s="24"/>
      <c r="E9" s="2"/>
      <c r="F9" s="27"/>
      <c r="G9" s="28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29"/>
      <c r="R9" s="23"/>
      <c r="S9" s="24"/>
      <c r="T9" s="24"/>
      <c r="U9" s="2"/>
      <c r="V9" s="2"/>
      <c r="W9" s="33"/>
      <c r="AP9" s="34"/>
      <c r="AU9" s="12"/>
    </row>
    <row r="10">
      <c r="A10" s="31"/>
      <c r="B10" s="23"/>
      <c r="C10" s="24"/>
      <c r="D10" s="24"/>
      <c r="E10" s="2"/>
      <c r="F10" s="27"/>
      <c r="G10" s="28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9"/>
      <c r="R10" s="23"/>
      <c r="S10" s="24"/>
      <c r="T10" s="24"/>
      <c r="U10" s="2"/>
      <c r="V10" s="30"/>
      <c r="W10" s="33"/>
      <c r="AP10" s="34"/>
      <c r="AU10" s="12"/>
    </row>
    <row r="11">
      <c r="A11" s="31"/>
      <c r="B11" s="23"/>
      <c r="C11" s="24"/>
      <c r="D11" s="24"/>
      <c r="E11" s="2"/>
      <c r="F11" s="27"/>
      <c r="G11" s="28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9"/>
      <c r="R11" s="23"/>
      <c r="S11" s="24"/>
      <c r="T11" s="24"/>
      <c r="U11" s="2"/>
      <c r="V11" s="2"/>
      <c r="W11" s="33"/>
      <c r="AP11" s="34"/>
      <c r="AU11" s="12"/>
    </row>
    <row r="12">
      <c r="A12" s="31"/>
      <c r="B12" s="23"/>
      <c r="C12" s="24"/>
      <c r="D12" s="24"/>
      <c r="E12" s="2"/>
      <c r="F12" s="30"/>
      <c r="G12" s="28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9"/>
      <c r="R12" s="23"/>
      <c r="S12" s="24"/>
      <c r="T12" s="24"/>
      <c r="U12" s="2"/>
      <c r="V12" s="30"/>
      <c r="W12" s="33"/>
      <c r="AP12" s="34"/>
      <c r="AU12" s="12"/>
    </row>
    <row r="13">
      <c r="A13" s="31"/>
      <c r="B13" s="23"/>
      <c r="C13" s="24"/>
      <c r="D13" s="24"/>
      <c r="E13" s="2"/>
      <c r="F13" s="27"/>
      <c r="G13" s="28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9"/>
      <c r="R13" s="23"/>
      <c r="S13" s="32"/>
      <c r="T13" s="24"/>
      <c r="U13" s="2"/>
      <c r="V13" s="2"/>
      <c r="W13" s="33"/>
      <c r="AP13" s="34"/>
      <c r="AU13" s="12"/>
    </row>
    <row r="14">
      <c r="A14" s="31"/>
      <c r="B14" s="23"/>
      <c r="C14" s="24"/>
      <c r="D14" s="24"/>
      <c r="E14" s="2"/>
      <c r="F14" s="27"/>
      <c r="G14" s="28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9"/>
      <c r="R14" s="23"/>
      <c r="S14" s="32"/>
      <c r="T14" s="24"/>
      <c r="U14" s="2"/>
      <c r="V14" s="30"/>
      <c r="W14" s="33"/>
      <c r="AP14" s="34"/>
      <c r="AU14" s="12"/>
    </row>
    <row r="15">
      <c r="A15" s="31"/>
      <c r="B15" s="23"/>
      <c r="C15" s="24"/>
      <c r="D15" s="24"/>
      <c r="E15" s="2"/>
      <c r="F15" s="30"/>
      <c r="G15" s="28"/>
      <c r="I15" s="35"/>
      <c r="J15" s="36"/>
      <c r="K15" s="37"/>
      <c r="L15" s="37"/>
      <c r="M15" s="38"/>
      <c r="N15" s="38"/>
      <c r="O15" s="39"/>
      <c r="P15" s="7">
        <f t="shared" si="1"/>
        <v>0</v>
      </c>
      <c r="Q15" s="29"/>
      <c r="R15" s="23"/>
      <c r="S15" s="24"/>
      <c r="T15" s="24"/>
      <c r="U15" s="2"/>
      <c r="V15" s="30"/>
      <c r="W15" s="33"/>
      <c r="AP15" s="34"/>
      <c r="AU15" s="12"/>
    </row>
    <row r="16">
      <c r="A16" s="31"/>
      <c r="B16" s="23"/>
      <c r="C16" s="24"/>
      <c r="D16" s="24"/>
      <c r="E16" s="2"/>
      <c r="F16" s="27"/>
      <c r="G16" s="28"/>
      <c r="I16" s="35"/>
      <c r="J16" s="36"/>
      <c r="K16" s="37"/>
      <c r="L16" s="37"/>
      <c r="M16" s="38"/>
      <c r="N16" s="40"/>
      <c r="O16" s="39"/>
      <c r="P16" s="7">
        <f t="shared" si="1"/>
        <v>0</v>
      </c>
      <c r="Q16" s="29"/>
      <c r="R16" s="23"/>
      <c r="S16" s="24"/>
      <c r="T16" s="24"/>
      <c r="U16" s="2"/>
      <c r="V16" s="30"/>
      <c r="W16" s="33"/>
      <c r="AP16" s="34"/>
      <c r="AU16" s="12"/>
    </row>
    <row r="17">
      <c r="A17" s="31"/>
      <c r="B17" s="23"/>
      <c r="C17" s="24"/>
      <c r="D17" s="24"/>
      <c r="E17" s="2"/>
      <c r="F17" s="30"/>
      <c r="G17" s="28"/>
      <c r="I17" s="35"/>
      <c r="J17" s="36"/>
      <c r="K17" s="37"/>
      <c r="L17" s="37"/>
      <c r="M17" s="38"/>
      <c r="N17" s="38"/>
      <c r="O17" s="39"/>
      <c r="P17" s="7">
        <f t="shared" si="1"/>
        <v>0</v>
      </c>
      <c r="Q17" s="29"/>
      <c r="R17" s="23"/>
      <c r="S17" s="24"/>
      <c r="T17" s="24"/>
      <c r="U17" s="2"/>
      <c r="V17" s="30"/>
      <c r="W17" s="33"/>
      <c r="AP17" s="34"/>
      <c r="AU17" s="12"/>
    </row>
    <row r="18">
      <c r="A18" s="35"/>
      <c r="B18" s="36"/>
      <c r="C18" s="37"/>
      <c r="D18" s="37"/>
      <c r="E18" s="38"/>
      <c r="F18" s="40"/>
      <c r="G18" s="39"/>
      <c r="I18" s="35"/>
      <c r="J18" s="36"/>
      <c r="K18" s="37"/>
      <c r="L18" s="37"/>
      <c r="M18" s="38"/>
      <c r="N18" s="40"/>
      <c r="O18" s="39"/>
      <c r="P18" s="7">
        <f t="shared" si="1"/>
        <v>0</v>
      </c>
      <c r="Q18" s="29"/>
      <c r="R18" s="23"/>
      <c r="S18" s="24"/>
      <c r="T18" s="24"/>
      <c r="U18" s="2"/>
      <c r="V18" s="30"/>
      <c r="W18" s="33"/>
      <c r="AP18" s="34"/>
      <c r="AU18" s="12"/>
    </row>
    <row r="19">
      <c r="A19" s="35"/>
      <c r="B19" s="36"/>
      <c r="C19" s="37"/>
      <c r="D19" s="37"/>
      <c r="E19" s="38"/>
      <c r="F19" s="38"/>
      <c r="G19" s="39"/>
      <c r="I19" s="35"/>
      <c r="J19" s="36"/>
      <c r="K19" s="37"/>
      <c r="L19" s="37"/>
      <c r="M19" s="38"/>
      <c r="N19" s="38"/>
      <c r="O19" s="39"/>
      <c r="P19" s="7">
        <f t="shared" si="1"/>
        <v>0</v>
      </c>
      <c r="Q19" s="29"/>
      <c r="R19" s="23"/>
      <c r="S19" s="24"/>
      <c r="T19" s="24"/>
      <c r="U19" s="2"/>
      <c r="V19" s="30"/>
      <c r="W19" s="33"/>
      <c r="AP19" s="34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29"/>
      <c r="R20" s="23"/>
      <c r="S20" s="24"/>
      <c r="T20" s="24"/>
      <c r="U20" s="2"/>
      <c r="V20" s="30"/>
      <c r="W20" s="33"/>
      <c r="AP20" s="34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29"/>
      <c r="R21" s="23"/>
      <c r="S21" s="24"/>
      <c r="T21" s="24"/>
      <c r="U21" s="2"/>
      <c r="V21" s="30"/>
      <c r="W21" s="33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29"/>
      <c r="R22" s="23"/>
      <c r="S22" s="32"/>
      <c r="T22" s="24"/>
      <c r="U22" s="2"/>
      <c r="V22" s="30"/>
      <c r="W22" s="33"/>
      <c r="AP22" s="34"/>
      <c r="AU22" s="12"/>
    </row>
    <row r="23">
      <c r="A23" s="22"/>
      <c r="B23" s="23"/>
      <c r="C23" s="24"/>
      <c r="D23" s="24"/>
      <c r="E23" s="2"/>
      <c r="F23" s="41"/>
      <c r="G23" s="26"/>
      <c r="I23" s="29"/>
      <c r="J23" s="23"/>
      <c r="K23" s="24"/>
      <c r="L23" s="24"/>
      <c r="M23" s="2"/>
      <c r="N23" s="41"/>
      <c r="O23" s="26"/>
      <c r="P23" s="7"/>
      <c r="Q23" s="29"/>
      <c r="R23" s="23"/>
      <c r="S23" s="32"/>
      <c r="T23" s="24"/>
      <c r="U23" s="2"/>
      <c r="V23" s="30"/>
      <c r="W23" s="33"/>
      <c r="AP23" s="34"/>
      <c r="AU23" s="12"/>
    </row>
    <row r="24">
      <c r="A24" s="22"/>
      <c r="B24" s="23"/>
      <c r="C24" s="32"/>
      <c r="D24" s="24"/>
      <c r="E24" s="2"/>
      <c r="F24" s="30"/>
      <c r="G24" s="28"/>
      <c r="I24" s="29"/>
      <c r="J24" s="23"/>
      <c r="K24" s="32"/>
      <c r="L24" s="24"/>
      <c r="M24" s="2"/>
      <c r="N24" s="30"/>
      <c r="O24" s="28"/>
      <c r="P24" s="7"/>
      <c r="Q24" s="29"/>
      <c r="R24" s="23"/>
      <c r="S24" s="32"/>
      <c r="T24" s="24"/>
      <c r="U24" s="2"/>
      <c r="V24" s="2"/>
      <c r="W24" s="33"/>
      <c r="AP24" s="34"/>
      <c r="AU24" s="12"/>
    </row>
    <row r="25">
      <c r="A25" s="22"/>
      <c r="B25" s="23"/>
      <c r="C25" s="24"/>
      <c r="D25" s="24"/>
      <c r="E25" s="2"/>
      <c r="F25" s="30"/>
      <c r="G25" s="28"/>
      <c r="I25" s="29"/>
      <c r="J25" s="23"/>
      <c r="K25" s="32"/>
      <c r="L25" s="24"/>
      <c r="M25" s="2"/>
      <c r="N25" s="30"/>
      <c r="O25" s="28"/>
      <c r="P25" s="7"/>
      <c r="Q25" s="29"/>
      <c r="R25" s="23"/>
      <c r="S25" s="24"/>
      <c r="T25" s="24"/>
      <c r="U25" s="2"/>
      <c r="V25" s="30"/>
      <c r="W25" s="33"/>
      <c r="AP25" s="34"/>
      <c r="AU25" s="12"/>
    </row>
    <row r="26">
      <c r="A26" s="22"/>
      <c r="B26" s="23"/>
      <c r="C26" s="24"/>
      <c r="D26" s="24"/>
      <c r="E26" s="2"/>
      <c r="F26" s="30"/>
      <c r="G26" s="28"/>
      <c r="I26" s="29"/>
      <c r="J26" s="23"/>
      <c r="K26" s="32"/>
      <c r="L26" s="24"/>
      <c r="M26" s="2"/>
      <c r="N26" s="30"/>
      <c r="O26" s="28"/>
      <c r="P26" s="7"/>
      <c r="Q26" s="29"/>
      <c r="R26" s="23"/>
      <c r="S26" s="24"/>
      <c r="T26" s="24"/>
      <c r="U26" s="2"/>
      <c r="V26" s="2"/>
      <c r="W26" s="33"/>
      <c r="AP26" s="34"/>
      <c r="AU26" s="12"/>
    </row>
    <row r="27">
      <c r="A27" s="22"/>
      <c r="B27" s="23"/>
      <c r="C27" s="24"/>
      <c r="D27" s="24"/>
      <c r="E27" s="2"/>
      <c r="F27" s="30"/>
      <c r="G27" s="28"/>
      <c r="I27" s="29"/>
      <c r="J27" s="23"/>
      <c r="K27" s="32"/>
      <c r="L27" s="24"/>
      <c r="M27" s="2"/>
      <c r="N27" s="30"/>
      <c r="O27" s="28"/>
      <c r="P27" s="7"/>
      <c r="Q27" s="29"/>
      <c r="R27" s="23"/>
      <c r="S27" s="24"/>
      <c r="T27" s="24"/>
      <c r="U27" s="2"/>
      <c r="V27" s="30"/>
      <c r="W27" s="33"/>
      <c r="AP27" s="34"/>
      <c r="AU27" s="12"/>
    </row>
    <row r="28">
      <c r="A28" s="29"/>
      <c r="B28" s="23"/>
      <c r="C28" s="24"/>
      <c r="D28" s="24"/>
      <c r="E28" s="2"/>
      <c r="F28" s="30"/>
      <c r="G28" s="28"/>
      <c r="I28" s="29"/>
      <c r="J28" s="23"/>
      <c r="K28" s="24"/>
      <c r="L28" s="24"/>
      <c r="M28" s="2"/>
      <c r="N28" s="30"/>
      <c r="O28" s="28"/>
      <c r="P28" s="7"/>
      <c r="Q28" s="29"/>
      <c r="R28" s="23"/>
      <c r="S28" s="24"/>
      <c r="T28" s="24"/>
      <c r="U28" s="2"/>
      <c r="V28" s="2"/>
      <c r="W28" s="33"/>
      <c r="AP28" s="34"/>
      <c r="AU28" s="12"/>
    </row>
    <row r="29">
      <c r="A29" s="29"/>
      <c r="B29" s="23"/>
      <c r="C29" s="32"/>
      <c r="D29" s="24"/>
      <c r="E29" s="2"/>
      <c r="F29" s="30"/>
      <c r="G29" s="28"/>
      <c r="I29" s="29"/>
      <c r="J29" s="23"/>
      <c r="K29" s="24"/>
      <c r="L29" s="24"/>
      <c r="M29" s="2"/>
      <c r="N29" s="30"/>
      <c r="O29" s="28"/>
      <c r="P29" s="7"/>
      <c r="Q29" s="29"/>
      <c r="R29" s="23"/>
      <c r="S29" s="24"/>
      <c r="T29" s="24"/>
      <c r="U29" s="2"/>
      <c r="V29" s="30"/>
      <c r="W29" s="33"/>
      <c r="AP29" s="34"/>
      <c r="AU29" s="12"/>
    </row>
    <row r="30">
      <c r="A30" s="29"/>
      <c r="B30" s="23"/>
      <c r="C30" s="32"/>
      <c r="D30" s="24"/>
      <c r="E30" s="2"/>
      <c r="F30" s="30"/>
      <c r="G30" s="28"/>
      <c r="I30" s="29"/>
      <c r="J30" s="23"/>
      <c r="K30" s="32"/>
      <c r="L30" s="24"/>
      <c r="M30" s="2"/>
      <c r="N30" s="30"/>
      <c r="O30" s="28"/>
      <c r="P30" s="7"/>
      <c r="Q30" s="29"/>
      <c r="R30" s="23"/>
      <c r="S30" s="24"/>
      <c r="T30" s="24"/>
      <c r="U30" s="2"/>
      <c r="V30" s="2"/>
      <c r="W30" s="33"/>
      <c r="AP30" s="34"/>
      <c r="AU30" s="12"/>
    </row>
    <row r="31">
      <c r="A31" s="29"/>
      <c r="B31" s="23"/>
      <c r="C31" s="32"/>
      <c r="D31" s="24"/>
      <c r="E31" s="2"/>
      <c r="F31" s="30"/>
      <c r="G31" s="28"/>
      <c r="I31" s="29"/>
      <c r="J31" s="23"/>
      <c r="K31" s="32"/>
      <c r="L31" s="24"/>
      <c r="M31" s="2"/>
      <c r="N31" s="30"/>
      <c r="O31" s="28"/>
      <c r="P31" s="7"/>
      <c r="Q31" s="29"/>
      <c r="R31" s="23"/>
      <c r="S31" s="24"/>
      <c r="T31" s="24"/>
      <c r="U31" s="2"/>
      <c r="V31" s="30"/>
      <c r="W31" s="33"/>
      <c r="AP31" s="34"/>
      <c r="AU31" s="12"/>
    </row>
    <row r="32">
      <c r="A32" s="29"/>
      <c r="B32" s="23"/>
      <c r="C32" s="24"/>
      <c r="D32" s="24"/>
      <c r="E32" s="2"/>
      <c r="F32" s="30"/>
      <c r="G32" s="28"/>
      <c r="I32" s="29"/>
      <c r="J32" s="23"/>
      <c r="K32" s="32"/>
      <c r="L32" s="24"/>
      <c r="M32" s="2"/>
      <c r="N32" s="30"/>
      <c r="O32" s="28"/>
      <c r="P32" s="7"/>
      <c r="Q32" s="29"/>
      <c r="R32" s="23"/>
      <c r="S32" s="24"/>
      <c r="T32" s="24"/>
      <c r="U32" s="2"/>
      <c r="V32" s="2"/>
      <c r="W32" s="33"/>
      <c r="AP32" s="34"/>
      <c r="AU32" s="12"/>
    </row>
    <row r="33">
      <c r="A33" s="29"/>
      <c r="B33" s="23"/>
      <c r="C33" s="24"/>
      <c r="D33" s="24"/>
      <c r="E33" s="2"/>
      <c r="F33" s="30"/>
      <c r="G33" s="28"/>
      <c r="I33" s="29"/>
      <c r="J33" s="23"/>
      <c r="K33" s="32"/>
      <c r="L33" s="24"/>
      <c r="M33" s="2"/>
      <c r="N33" s="30"/>
      <c r="O33" s="28"/>
      <c r="P33" s="7"/>
      <c r="Q33" s="29"/>
      <c r="R33" s="23"/>
      <c r="S33" s="32"/>
      <c r="T33" s="24"/>
      <c r="U33" s="2"/>
      <c r="V33" s="30"/>
      <c r="W33" s="33"/>
      <c r="AP33" s="34"/>
      <c r="AU33" s="12"/>
    </row>
    <row r="34">
      <c r="A34" s="29"/>
      <c r="B34" s="23"/>
      <c r="C34" s="32"/>
      <c r="D34" s="24"/>
      <c r="E34" s="2"/>
      <c r="F34" s="30"/>
      <c r="G34" s="28"/>
      <c r="I34" s="29"/>
      <c r="J34" s="23"/>
      <c r="K34" s="32"/>
      <c r="L34" s="24"/>
      <c r="M34" s="2"/>
      <c r="N34" s="30"/>
      <c r="O34" s="28"/>
      <c r="P34" s="7"/>
      <c r="Q34" s="29"/>
      <c r="R34" s="23"/>
      <c r="S34" s="32"/>
      <c r="T34" s="24"/>
      <c r="U34" s="2"/>
      <c r="V34" s="2"/>
      <c r="W34" s="33"/>
      <c r="AP34" s="34"/>
      <c r="AU34" s="12"/>
    </row>
    <row r="35">
      <c r="A35" s="29"/>
      <c r="B35" s="23"/>
      <c r="C35" s="32"/>
      <c r="D35" s="24"/>
      <c r="E35" s="2"/>
      <c r="F35" s="30"/>
      <c r="G35" s="28"/>
      <c r="I35" s="29"/>
      <c r="J35" s="23"/>
      <c r="K35" s="32"/>
      <c r="L35" s="24"/>
      <c r="M35" s="2"/>
      <c r="N35" s="30"/>
      <c r="O35" s="28"/>
      <c r="P35" s="7"/>
      <c r="Q35" s="29"/>
      <c r="R35" s="23"/>
      <c r="S35" s="24"/>
      <c r="T35" s="24"/>
      <c r="U35" s="2"/>
      <c r="V35" s="30"/>
      <c r="W35" s="33"/>
      <c r="AP35" s="34"/>
      <c r="AU35" s="12"/>
    </row>
    <row r="36">
      <c r="A36" s="29"/>
      <c r="B36" s="23"/>
      <c r="C36" s="32"/>
      <c r="D36" s="24"/>
      <c r="E36" s="2"/>
      <c r="F36" s="30"/>
      <c r="G36" s="28"/>
      <c r="I36" s="29"/>
      <c r="J36" s="23"/>
      <c r="K36" s="32"/>
      <c r="L36" s="24"/>
      <c r="M36" s="2"/>
      <c r="N36" s="30"/>
      <c r="O36" s="28"/>
      <c r="P36" s="7"/>
      <c r="Q36" s="29"/>
      <c r="R36" s="23"/>
      <c r="S36" s="24"/>
      <c r="T36" s="24"/>
      <c r="U36" s="2"/>
      <c r="V36" s="30"/>
      <c r="W36" s="33"/>
      <c r="AP36" s="34"/>
      <c r="AU36" s="12"/>
    </row>
    <row r="37">
      <c r="A37" s="29"/>
      <c r="B37" s="23"/>
      <c r="C37" s="32"/>
      <c r="D37" s="24"/>
      <c r="E37" s="2"/>
      <c r="F37" s="30"/>
      <c r="G37" s="28"/>
      <c r="I37" s="29"/>
      <c r="J37" s="23"/>
      <c r="K37" s="32"/>
      <c r="L37" s="24"/>
      <c r="M37" s="2"/>
      <c r="N37" s="30"/>
      <c r="O37" s="28"/>
      <c r="P37" s="7"/>
      <c r="Q37" s="29"/>
      <c r="R37" s="23"/>
      <c r="S37" s="32"/>
      <c r="T37" s="24"/>
      <c r="U37" s="2"/>
      <c r="V37" s="30"/>
      <c r="W37" s="33"/>
      <c r="AP37" s="34"/>
      <c r="AU37" s="12"/>
    </row>
    <row r="38">
      <c r="A38" s="29"/>
      <c r="B38" s="23"/>
      <c r="C38" s="32"/>
      <c r="D38" s="24"/>
      <c r="E38" s="2"/>
      <c r="F38" s="30"/>
      <c r="G38" s="28"/>
      <c r="I38" s="29"/>
      <c r="J38" s="23"/>
      <c r="K38" s="32"/>
      <c r="L38" s="24"/>
      <c r="M38" s="2"/>
      <c r="N38" s="30"/>
      <c r="O38" s="28"/>
      <c r="P38" s="7"/>
      <c r="Q38" s="29"/>
      <c r="R38" s="23"/>
      <c r="S38" s="24"/>
      <c r="T38" s="24"/>
      <c r="U38" s="2"/>
      <c r="V38" s="30"/>
      <c r="W38" s="33"/>
      <c r="AP38" s="34"/>
      <c r="AU38" s="12"/>
    </row>
    <row r="39">
      <c r="A39" s="29"/>
      <c r="B39" s="23"/>
      <c r="C39" s="32"/>
      <c r="D39" s="24"/>
      <c r="E39" s="2"/>
      <c r="F39" s="30"/>
      <c r="G39" s="28"/>
      <c r="J39" s="34"/>
      <c r="O39" s="12"/>
      <c r="P39" s="7"/>
      <c r="Q39" s="29"/>
      <c r="R39" s="23"/>
      <c r="S39" s="24"/>
      <c r="T39" s="24"/>
      <c r="U39" s="2"/>
      <c r="V39" s="30"/>
      <c r="W39" s="33"/>
      <c r="AP39" s="34"/>
      <c r="AU39" s="12"/>
    </row>
    <row r="40">
      <c r="A40" s="29"/>
      <c r="B40" s="23"/>
      <c r="C40" s="32"/>
      <c r="D40" s="24"/>
      <c r="E40" s="2"/>
      <c r="F40" s="30"/>
      <c r="G40" s="28"/>
      <c r="J40" s="34"/>
      <c r="O40" s="12"/>
      <c r="P40" s="7"/>
      <c r="Q40" s="29"/>
      <c r="R40" s="23"/>
      <c r="S40" s="24"/>
      <c r="T40" s="24"/>
      <c r="U40" s="2"/>
      <c r="V40" s="30"/>
      <c r="W40" s="33"/>
      <c r="AP40" s="34"/>
      <c r="AU40" s="12"/>
    </row>
    <row r="41">
      <c r="A41" s="29"/>
      <c r="B41" s="23"/>
      <c r="C41" s="32"/>
      <c r="D41" s="24"/>
      <c r="E41" s="2"/>
      <c r="F41" s="30"/>
      <c r="G41" s="28"/>
      <c r="J41" s="34"/>
      <c r="O41" s="12"/>
      <c r="P41" s="7"/>
      <c r="Q41" s="29"/>
      <c r="R41" s="23"/>
      <c r="S41" s="32"/>
      <c r="T41" s="24"/>
      <c r="U41" s="2"/>
      <c r="V41" s="30"/>
      <c r="W41" s="33"/>
      <c r="AP41" s="34"/>
      <c r="AU41" s="12"/>
    </row>
    <row r="42">
      <c r="B42" s="34"/>
      <c r="G42" s="12"/>
      <c r="J42" s="34"/>
      <c r="O42" s="12"/>
      <c r="P42" s="7"/>
      <c r="Q42" s="29"/>
      <c r="R42" s="23"/>
      <c r="S42" s="24"/>
      <c r="T42" s="24"/>
      <c r="U42" s="2"/>
      <c r="V42" s="30"/>
      <c r="W42" s="33"/>
      <c r="AP42" s="34"/>
      <c r="AU42" s="12"/>
    </row>
    <row r="43">
      <c r="B43" s="34"/>
      <c r="G43" s="12"/>
      <c r="J43" s="34"/>
      <c r="O43" s="12"/>
      <c r="P43" s="7"/>
      <c r="Q43" s="21"/>
      <c r="R43" s="42"/>
      <c r="S43" s="43"/>
      <c r="T43" s="43"/>
      <c r="U43" s="44"/>
      <c r="V43" s="45"/>
      <c r="W43" s="46"/>
      <c r="AP43" s="34"/>
      <c r="AU43" s="12"/>
    </row>
    <row r="44">
      <c r="B44" s="34"/>
      <c r="G44" s="12"/>
      <c r="J44" s="34"/>
      <c r="O44" s="12"/>
      <c r="P44" s="7"/>
      <c r="Q44" s="29"/>
      <c r="R44" s="23"/>
      <c r="S44" s="24"/>
      <c r="T44" s="24"/>
      <c r="U44" s="2"/>
      <c r="V44" s="2"/>
      <c r="W44" s="33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3.5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25</v>
      </c>
      <c r="I1" s="50">
        <v>3.0</v>
      </c>
      <c r="K1" s="6" t="s">
        <v>26</v>
      </c>
      <c r="L1" s="6" t="s">
        <v>27</v>
      </c>
      <c r="M1" s="6" t="s">
        <v>13</v>
      </c>
    </row>
    <row r="2">
      <c r="H2" s="49" t="s">
        <v>28</v>
      </c>
      <c r="I2" s="50">
        <v>3.0</v>
      </c>
      <c r="K2" s="51" t="s">
        <v>19</v>
      </c>
      <c r="L2" s="50">
        <v>12.0</v>
      </c>
      <c r="M2" s="50">
        <v>24000.0</v>
      </c>
      <c r="N2" s="52"/>
    </row>
    <row r="3">
      <c r="H3" s="49" t="s">
        <v>29</v>
      </c>
      <c r="I3" s="50">
        <v>108000.0</v>
      </c>
      <c r="K3" s="51" t="s">
        <v>15</v>
      </c>
      <c r="L3" s="50">
        <v>42.0</v>
      </c>
      <c r="M3" s="50">
        <v>84000.0</v>
      </c>
      <c r="N3" s="52"/>
    </row>
    <row r="4">
      <c r="H4" s="1"/>
      <c r="K4" s="51" t="s">
        <v>30</v>
      </c>
      <c r="L4" s="50">
        <v>0.0</v>
      </c>
      <c r="M4" s="50">
        <v>0.0</v>
      </c>
      <c r="N4" s="52"/>
    </row>
    <row r="5">
      <c r="H5" s="1"/>
      <c r="K5" s="51"/>
      <c r="L5" s="50">
        <v>0.0</v>
      </c>
      <c r="M5" s="50">
        <v>0.0</v>
      </c>
      <c r="N5" s="52"/>
    </row>
    <row r="6">
      <c r="K6" s="51"/>
      <c r="L6" s="50">
        <v>0.0</v>
      </c>
      <c r="M6" s="50">
        <v>0.0</v>
      </c>
    </row>
    <row r="7">
      <c r="K7" s="51"/>
      <c r="L7" s="50">
        <v>0.0</v>
      </c>
      <c r="M7" s="50">
        <v>0.0</v>
      </c>
    </row>
    <row r="8">
      <c r="K8" s="51"/>
      <c r="L8" s="50">
        <v>0.0</v>
      </c>
      <c r="M8" s="50">
        <v>0.0</v>
      </c>
    </row>
    <row r="9">
      <c r="K9" s="51"/>
      <c r="L9" s="50">
        <v>0.0</v>
      </c>
      <c r="M9" s="50">
        <v>0.0</v>
      </c>
    </row>
    <row r="10">
      <c r="K10" s="51"/>
      <c r="L10" s="50">
        <v>0.0</v>
      </c>
      <c r="M10" s="50">
        <v>0.0</v>
      </c>
    </row>
    <row r="11">
      <c r="K11" s="51"/>
      <c r="L11" s="50">
        <v>0.0</v>
      </c>
      <c r="M11" s="50">
        <v>0.0</v>
      </c>
    </row>
    <row r="12">
      <c r="A12" s="34"/>
      <c r="K12" s="51"/>
      <c r="L12" s="50">
        <v>0.0</v>
      </c>
      <c r="M12" s="50">
        <v>0.0</v>
      </c>
    </row>
    <row r="13">
      <c r="K13" s="51"/>
      <c r="L13" s="50">
        <v>0.0</v>
      </c>
      <c r="M13" s="50">
        <v>0.0</v>
      </c>
    </row>
    <row r="14">
      <c r="A14" s="47" t="s">
        <v>8</v>
      </c>
      <c r="B14" s="47" t="s">
        <v>11</v>
      </c>
      <c r="C14" s="47" t="s">
        <v>9</v>
      </c>
      <c r="D14" s="47" t="s">
        <v>7</v>
      </c>
      <c r="E14" s="47" t="s">
        <v>12</v>
      </c>
      <c r="F14" s="47" t="s">
        <v>13</v>
      </c>
    </row>
    <row r="15">
      <c r="A15" s="48"/>
      <c r="E15" s="7"/>
      <c r="F15" s="7"/>
      <c r="I15" s="7"/>
    </row>
    <row r="16" hidden="1"/>
    <row r="17" hidden="1"/>
    <row r="18">
      <c r="A18" s="48">
        <v>45698.0</v>
      </c>
      <c r="B18" s="47" t="s">
        <v>18</v>
      </c>
      <c r="C18" s="47" t="s">
        <v>16</v>
      </c>
      <c r="D18" s="47" t="s">
        <v>15</v>
      </c>
      <c r="E18" s="7">
        <v>12.0</v>
      </c>
      <c r="F18" s="7">
        <v>24000.0</v>
      </c>
      <c r="I18" s="7"/>
    </row>
    <row r="19" hidden="1"/>
    <row r="20" hidden="1"/>
    <row r="21">
      <c r="A21" s="48">
        <v>45726.0</v>
      </c>
      <c r="B21" s="47" t="s">
        <v>21</v>
      </c>
      <c r="C21" s="47" t="s">
        <v>20</v>
      </c>
      <c r="D21" s="47" t="s">
        <v>19</v>
      </c>
      <c r="E21" s="7">
        <v>12.0</v>
      </c>
      <c r="F21" s="7">
        <v>24000.0</v>
      </c>
      <c r="I21" s="7"/>
    </row>
    <row r="22" hidden="1"/>
    <row r="23" hidden="1"/>
    <row r="24">
      <c r="D24" s="47" t="s">
        <v>15</v>
      </c>
      <c r="E24" s="47">
        <v>12.0</v>
      </c>
      <c r="F24" s="7">
        <v>24000.0</v>
      </c>
      <c r="I24" s="7"/>
    </row>
    <row r="25" hidden="1"/>
    <row r="26" hidden="1"/>
    <row r="27">
      <c r="A27" s="48">
        <v>45879.0</v>
      </c>
      <c r="B27" s="47" t="s">
        <v>23</v>
      </c>
      <c r="C27" s="47" t="s">
        <v>22</v>
      </c>
      <c r="D27" s="47" t="s">
        <v>15</v>
      </c>
      <c r="E27" s="7">
        <v>18.0</v>
      </c>
      <c r="F27" s="7">
        <v>36000.0</v>
      </c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6,000.00"/>
        <filter val="24,000.00"/>
      </filters>
    </filterColumn>
    <filterColumn colId="3">
      <filters>
        <filter val="500ml Pineapple Juice (1x)"/>
        <filter val="500ml Mixed Juice (1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21.13"/>
    <col customWidth="1" min="4" max="4" width="15.13"/>
  </cols>
  <sheetData>
    <row r="1">
      <c r="A1" s="53" t="s">
        <v>31</v>
      </c>
      <c r="B1" s="53" t="s">
        <v>8</v>
      </c>
      <c r="C1" s="53" t="s">
        <v>9</v>
      </c>
      <c r="D1" s="53" t="s">
        <v>32</v>
      </c>
    </row>
    <row r="2">
      <c r="A2" s="54">
        <v>1.0</v>
      </c>
      <c r="B2" s="55">
        <v>45939.0</v>
      </c>
      <c r="C2" s="56" t="s">
        <v>19</v>
      </c>
      <c r="D2" s="56">
        <v>22.0</v>
      </c>
    </row>
    <row r="3">
      <c r="A3" s="54">
        <v>2.0</v>
      </c>
      <c r="B3" s="55">
        <v>45939.0</v>
      </c>
      <c r="C3" s="56" t="s">
        <v>15</v>
      </c>
      <c r="D3" s="56">
        <v>1.0</v>
      </c>
    </row>
    <row r="4">
      <c r="A4" s="54">
        <v>3.0</v>
      </c>
      <c r="B4" s="55">
        <v>45939.0</v>
      </c>
      <c r="C4" s="56" t="s">
        <v>30</v>
      </c>
      <c r="D4" s="56">
        <v>15.0</v>
      </c>
    </row>
  </sheetData>
  <drawing r:id="rId1"/>
</worksheet>
</file>