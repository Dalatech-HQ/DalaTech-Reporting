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<sst xmlns="http://schemas.openxmlformats.org/spreadsheetml/2006/main" count="666" uniqueCount="181">
  <si>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</si>
  <si>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</si>
  <si>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</si>
  <si>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</si>
  <si>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</si>
  <si>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</si>
  <si>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</si>
  <si>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</si>
  <si>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</si>
  <si>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</si>
  <si>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</si>
  <si>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</si>
  <si>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</si>
  <si>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</si>
  <si>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</si>
  <si>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</si>
  <si>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</si>
  <si>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</si>
  <si>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</si>
  <si>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</si>
  <si>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</si>
  <si>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</si>
  <si>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250g Dates powder (6x)</t>
  </si>
  <si>
    <t>Eloha</t>
  </si>
  <si>
    <t>Inventory Pickup by Dala</t>
  </si>
  <si>
    <t>Kortsy</t>
  </si>
  <si>
    <t>Sales</t>
  </si>
  <si>
    <t>DT:003222</t>
  </si>
  <si>
    <t>Value Exchange Supermarket, AREPO</t>
  </si>
  <si>
    <t>DT:003226</t>
  </si>
  <si>
    <t>Twins Faja Supermarket, LASU-IPAYE</t>
  </si>
  <si>
    <t>DT:003242</t>
  </si>
  <si>
    <t>Renees Supermarket, IKOYI</t>
  </si>
  <si>
    <t>DT:003252</t>
  </si>
  <si>
    <t>Hutoos Supermarket, Ogba</t>
  </si>
  <si>
    <t>DT:003261</t>
  </si>
  <si>
    <t>Buymore Supermarket, ISHERI</t>
  </si>
  <si>
    <t>DT:003266</t>
  </si>
  <si>
    <t>Renees Supermarket, FREEDOM WAY</t>
  </si>
  <si>
    <t>DT:003277</t>
  </si>
  <si>
    <t>Prince Ebeano, OLOGOLO</t>
  </si>
  <si>
    <t>DT:003289</t>
  </si>
  <si>
    <t>Q Mart Supermarket</t>
  </si>
  <si>
    <t>DT:003352</t>
  </si>
  <si>
    <t>Jendol Supermarket, ALAKUKO</t>
  </si>
  <si>
    <t>DT:003353</t>
  </si>
  <si>
    <t>B Kay Stores</t>
  </si>
  <si>
    <t>DT:003371</t>
  </si>
  <si>
    <t>Mega Mart</t>
  </si>
  <si>
    <t>DT:003373</t>
  </si>
  <si>
    <t>Twins Faja Supermarket, OLAKUNLE</t>
  </si>
  <si>
    <t>DT:003396</t>
  </si>
  <si>
    <t>Jendol Supermarket, OJODU</t>
  </si>
  <si>
    <t>DT:003406</t>
  </si>
  <si>
    <t>Mitch &amp; Good Supermarket</t>
  </si>
  <si>
    <t>DT:003414</t>
  </si>
  <si>
    <t>Ozzy Supermarket, VICTORY PARK EST.</t>
  </si>
  <si>
    <t>DT:003418</t>
  </si>
  <si>
    <t>DT:003426</t>
  </si>
  <si>
    <t>Katta Supermarket</t>
  </si>
  <si>
    <t>DT:003439</t>
  </si>
  <si>
    <t>Prince Ebeano, ELEGANZA</t>
  </si>
  <si>
    <t>DT:003441</t>
  </si>
  <si>
    <t>Jendol Supermarket, U-TURN</t>
  </si>
  <si>
    <t>DT:003443</t>
  </si>
  <si>
    <t>DT:003449</t>
  </si>
  <si>
    <t>Jendol Supermarket, IBAFO</t>
  </si>
  <si>
    <t>DT:003599</t>
  </si>
  <si>
    <t>Sobees Supermarket</t>
  </si>
  <si>
    <t>DT:003520</t>
  </si>
  <si>
    <t>DT:003503</t>
  </si>
  <si>
    <t>Compramart Supermarket, MOBILE Rd.</t>
  </si>
  <si>
    <t>DT:003543</t>
  </si>
  <si>
    <t>Jendol Supermarket, AJAH</t>
  </si>
  <si>
    <t>DT:003544</t>
  </si>
  <si>
    <t>DT:003499</t>
  </si>
  <si>
    <t>Jendol Supermarket, ODOGUNYA</t>
  </si>
  <si>
    <t>DT:003561</t>
  </si>
  <si>
    <t>Jendol Supermarket, EGBEDA</t>
  </si>
  <si>
    <t>DT:003570</t>
  </si>
  <si>
    <t>Blenco Supermarket, ADO</t>
  </si>
  <si>
    <t>DT:003603</t>
  </si>
  <si>
    <t>DT:003612</t>
  </si>
  <si>
    <t>DT:003643</t>
  </si>
  <si>
    <t>Jendol Supermarket, ISOLO</t>
  </si>
  <si>
    <t>DT:003649</t>
  </si>
  <si>
    <t>K &amp; P Supermarket, OKOTA</t>
  </si>
  <si>
    <t>DT:003623</t>
  </si>
  <si>
    <t>K &amp; P Supermarket</t>
  </si>
  <si>
    <t>DT:003633</t>
  </si>
  <si>
    <t>DT:003665</t>
  </si>
  <si>
    <t>Buymore Supermarket, IBAFO</t>
  </si>
  <si>
    <t>DT:003672</t>
  </si>
  <si>
    <t>DT:003681</t>
  </si>
  <si>
    <t>DT:003683</t>
  </si>
  <si>
    <t>Xtrarite Supermarket</t>
  </si>
  <si>
    <t>DT:003656</t>
  </si>
  <si>
    <t>DT:003723</t>
  </si>
  <si>
    <t>Blenco Supermarket, ILASAN-CHISCO</t>
  </si>
  <si>
    <t>DT:003721</t>
  </si>
  <si>
    <t>80g Kuli Kuli (12x)</t>
  </si>
  <si>
    <t>Sambethel Supermarket</t>
  </si>
  <si>
    <t>DT:003218</t>
  </si>
  <si>
    <t>DT:003256</t>
  </si>
  <si>
    <t>Texon Supermarket, OGUDU</t>
  </si>
  <si>
    <t>DT:003311</t>
  </si>
  <si>
    <t>Surplus Supermarket</t>
  </si>
  <si>
    <t>DT:003492</t>
  </si>
  <si>
    <t>D-Arena Supermarket, LEKKI</t>
  </si>
  <si>
    <t>DT:003615</t>
  </si>
  <si>
    <t>Eleyor Shopping Mall, OWODE</t>
  </si>
  <si>
    <t>DT:003634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</si>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</sst>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horizontal="right" vertical="top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10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2" fontId="11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12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6" numFmtId="0" xfId="0" applyAlignment="1" applyBorder="1" applyFont="1">
      <alignment vertical="bottom"/>
    </xf>
    <xf borderId="12" fillId="0" fontId="13" numFmtId="0" xfId="0" applyAlignment="1" applyBorder="1" applyFont="1">
      <alignment vertical="bottom"/>
    </xf>
    <xf borderId="12" fillId="0" fontId="13" numFmtId="0" xfId="0" applyAlignment="1" applyBorder="1" applyFont="1">
      <alignment vertical="bottom"/>
    </xf>
    <xf borderId="12" fillId="0" fontId="6" numFmtId="4" xfId="0" applyAlignment="1" applyBorder="1" applyFont="1" applyNumberFormat="1">
      <alignment horizontal="right" vertical="bottom"/>
    </xf>
    <xf borderId="8" fillId="0" fontId="13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>
      <sharedItems containsDate="1" containsString="0" containsBlank="1" containsMixedTypes="1">
        <d v="2025-11-01T00:00:00Z"/>
        <d v="2025-11-03T00:00:00Z"/>
        <d v="2025-11-04T00:00:00Z"/>
        <d v="2025-11-05T00:00:00Z"/>
        <d v="2025-11-06T00:00:00Z"/>
        <d v="2025-11-08T00:00:00Z"/>
        <d v="2025-11-10T00:00:00Z"/>
        <d v="2025-11-11T00:00:00Z"/>
        <d v="2025-11-12T00:00:00Z"/>
        <d v="2025-11-13T00:00:00Z"/>
        <d v="2025-11-15T00:00:00Z"/>
        <d v="2025-11-17T00:00:00Z"/>
        <d v="2025-11-18T00:00:00Z"/>
        <d v="2025-11-19T00:00:00Z"/>
        <d v="2025-11-21T00:00:00Z"/>
        <d v="2025-11-24T00:00:00Z"/>
        <d v="2025-11-25T00:00:00Z"/>
        <d v="2025-11-26T00:00:00Z"/>
        <d v="2025-11-27T00:00:00Z"/>
        <d v="2025-11-28T00:00:00Z"/>
        <n v="45967.0"/>
        <m/>
      </sharedItems>
    </cacheField>
    <cacheField name="Column 3" numFmtId="0">
      <sharedItems containsBlank="1">
        <s v="Kortsy"/>
        <s v="Value Exchange Supermarket, AREPO"/>
        <s v="Twins Faja Supermarket, LASU-IPAYE"/>
        <s v="Renees Supermarket, IKOYI"/>
        <s v="Hutoos Supermarket, Ogba"/>
        <s v="Buymore Supermarket, ISHERI"/>
        <s v="Renees Supermarket, FREEDOM WAY"/>
        <s v="Prince Ebeano, OLOGOLO"/>
        <s v="Q Mart Supermarket"/>
        <s v="Jendol Supermarket, ALAKUKO"/>
        <s v="B Kay Stores"/>
        <s v="Mega Mart"/>
        <s v="Twins Faja Supermarket, OLAKUNLE"/>
        <s v="Jendol Supermarket, OJODU"/>
        <s v="Mitch &amp; Good Supermarket"/>
        <s v="Ozzy Supermarket, VICTORY PARK EST."/>
        <s v="Katta Supermarket"/>
        <s v="Prince Ebeano, ELEGANZA"/>
        <s v="Jendol Supermarket, U-TURN"/>
        <s v="Jendol Supermarket, IBAFO"/>
        <s v="Sobees Supermarket"/>
        <s v="Compramart Supermarket, MOBILE Rd."/>
        <s v="Jendol Supermarket, AJAH"/>
        <s v="Jendol Supermarket, ODOGUNYA"/>
        <s v="Jendol Supermarket, EGBEDA"/>
        <s v="Blenco Supermarket, ADO"/>
        <s v="Jendol Supermarket, ISOLO"/>
        <s v="K &amp; P Supermarket, OKOTA"/>
        <s v="K &amp; P Supermarket"/>
        <s v="Buymore Supermarket, IBAFO"/>
        <s v="Xtrarite Supermarket"/>
        <s v="Blenco Supermarket, ILASAN-CHISCO"/>
        <s v="Sambethel Supermarket"/>
        <s v="Texon Supermarket, OGUDU"/>
        <s v="Surplus Supermarket"/>
        <s v="D-Arena Supermarket, LEKKI"/>
        <s v="Eleyor Shopping Mall, OWODE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3222"/>
        <s v="DT:003226"/>
        <s v="DT:003242"/>
        <s v="DT:003252"/>
        <s v="DT:003261"/>
        <s v="DT:003266"/>
        <s v="DT:003277"/>
        <s v="DT:003289"/>
        <s v="DT:003352"/>
        <s v="DT:003353"/>
        <s v="DT:003371"/>
        <s v="DT:003373"/>
        <s v="DT:003396"/>
        <s v="DT:003406"/>
        <s v="DT:003414"/>
        <s v="DT:003418"/>
        <s v="DT:003426"/>
        <s v="DT:003439"/>
        <s v="DT:003441"/>
        <s v="DT:003443"/>
        <s v="DT:003449"/>
        <s v="DT:003599"/>
        <s v="DT:003520"/>
        <s v="DT:003503"/>
        <s v="DT:003543"/>
        <s v="DT:003544"/>
        <s v="DT:003499"/>
        <s v="DT:003561"/>
        <s v="DT:003570"/>
        <s v="DT:003603"/>
        <s v="DT:003612"/>
        <s v="DT:003643"/>
        <s v="DT:003649"/>
        <s v="DT:003623"/>
        <s v="DT:003633"/>
        <s v="DT:003665"/>
        <s v="DT:003672"/>
        <s v="DT:003681"/>
        <s v="DT:003683"/>
        <s v="DT:003656"/>
        <s v="DT:003723"/>
        <s v="DT:003721"/>
        <s v="DT:003218"/>
        <s v="DT:003256"/>
        <s v="DT:003311"/>
        <s v="DT:003492"/>
        <s v="DT:003615"/>
        <s v="DT:003634"/>
        <m/>
      </sharedItems>
    </cacheField>
    <cacheField name="Column 6" numFmtId="4">
      <sharedItems containsString="0" containsBlank="1" containsNumber="1">
        <n v="0.5"/>
        <n v="1.0"/>
        <n v="0.3"/>
        <n v="2.0"/>
        <n v="3.0"/>
        <n v="4.0"/>
        <n v="5.0"/>
        <m/>
      </sharedItems>
    </cacheField>
    <cacheField name="Column 7" numFmtId="4">
      <sharedItems containsString="0" containsBlank="1" containsNumber="1" containsInteger="1">
        <n v="6000.0"/>
        <n v="12000.0"/>
        <n v="3600.0"/>
        <n v="24000.0"/>
        <n v="36000.0"/>
        <n v="48000.0"/>
        <n v="7200.0"/>
        <n v="14400.0"/>
        <m/>
      </sharedItems>
    </cacheField>
    <cacheField name="Total Value" numFmtId="0">
      <sharedItems containsString="0" containsBlank="1" containsNumber="1" containsInteger="1">
        <n v="6000.0"/>
        <n v="12000.0"/>
        <n v="3600.0"/>
        <n v="24000.0"/>
        <n v="36000.0"/>
        <n v="19200.0"/>
        <n v="48000.0"/>
        <n v="31200.0"/>
        <n v="7200.0"/>
        <n v="144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>
      <sharedItems containsDate="1" containsString="0" containsBlank="1" containsMixedTypes="1">
        <d v="2025-11-01T00:00:00Z"/>
        <d v="2025-11-03T00:00:00Z"/>
        <d v="2025-11-04T00:00:00Z"/>
        <d v="2025-11-05T00:00:00Z"/>
        <d v="2025-11-06T00:00:00Z"/>
        <d v="2025-11-08T00:00:00Z"/>
        <d v="2025-11-10T00:00:00Z"/>
        <d v="2025-11-11T00:00:00Z"/>
        <d v="2025-11-12T00:00:00Z"/>
        <d v="2025-11-13T00:00:00Z"/>
        <d v="2025-11-15T00:00:00Z"/>
        <d v="2025-11-17T00:00:00Z"/>
        <d v="2025-11-18T00:00:00Z"/>
        <d v="2025-11-19T00:00:00Z"/>
        <d v="2025-11-21T00:00:00Z"/>
        <d v="2025-11-24T00:00:00Z"/>
        <d v="2025-11-25T00:00:00Z"/>
        <d v="2025-11-26T00:00:00Z"/>
        <d v="2025-11-27T00:00:00Z"/>
        <d v="2025-11-28T00:00:00Z"/>
        <n v="45967.0"/>
        <m/>
      </sharedItems>
    </cacheField>
    <cacheField name="Column 3" numFmtId="0">
      <sharedItems containsBlank="1">
        <s v="Kortsy"/>
        <s v="Value Exchange Supermarket, AREPO"/>
        <s v="Twins Faja Supermarket, LASU-IPAYE"/>
        <s v="Renees Supermarket, IKOYI"/>
        <s v="Hutoos Supermarket, Ogba"/>
        <s v="Buymore Supermarket, ISHERI"/>
        <s v="Renees Supermarket, FREEDOM WAY"/>
        <s v="Prince Ebeano, OLOGOLO"/>
        <s v="Q Mart Supermarket"/>
        <s v="Jendol Supermarket, ALAKUKO"/>
        <s v="B Kay Stores"/>
        <s v="Mega Mart"/>
        <s v="Twins Faja Supermarket, OLAKUNLE"/>
        <s v="Jendol Supermarket, OJODU"/>
        <s v="Mitch &amp; Good Supermarket"/>
        <s v="Ozzy Supermarket, VICTORY PARK EST."/>
        <s v="Katta Supermarket"/>
        <s v="Prince Ebeano, ELEGANZA"/>
        <s v="Jendol Supermarket, U-TURN"/>
        <s v="Jendol Supermarket, IBAFO"/>
        <s v="Sobees Supermarket"/>
        <s v="Compramart Supermarket, MOBILE Rd."/>
        <s v="Jendol Supermarket, AJAH"/>
        <s v="Jendol Supermarket, ODOGUNYA"/>
        <s v="Jendol Supermarket, EGBEDA"/>
        <s v="Blenco Supermarket, ADO"/>
        <s v="Jendol Supermarket, ISOLO"/>
        <s v="K &amp; P Supermarket, OKOTA"/>
        <s v="K &amp; P Supermarket"/>
        <s v="Buymore Supermarket, IBAFO"/>
        <s v="Xtrarite Supermarket"/>
        <s v="Blenco Supermarket, ILASAN-CHISCO"/>
        <s v="Sambethel Supermarket"/>
        <s v="Texon Supermarket, OGUDU"/>
        <s v="Surplus Supermarket"/>
        <s v="D-Arena Supermarket, LEKKI"/>
        <s v="Eleyor Shopping Mall, OWODE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3222"/>
        <s v="DT:003226"/>
        <s v="DT:003242"/>
        <s v="DT:003252"/>
        <s v="DT:003261"/>
        <s v="DT:003266"/>
        <s v="DT:003277"/>
        <s v="DT:003289"/>
        <s v="DT:003352"/>
        <s v="DT:003353"/>
        <s v="DT:003371"/>
        <s v="DT:003373"/>
        <s v="DT:003396"/>
        <s v="DT:003406"/>
        <s v="DT:003414"/>
        <s v="DT:003418"/>
        <s v="DT:003426"/>
        <s v="DT:003439"/>
        <s v="DT:003441"/>
        <s v="DT:003443"/>
        <s v="DT:003449"/>
        <s v="DT:003599"/>
        <s v="DT:003520"/>
        <s v="DT:003503"/>
        <s v="DT:003543"/>
        <s v="DT:003544"/>
        <s v="DT:003499"/>
        <s v="DT:003561"/>
        <s v="DT:003570"/>
        <s v="DT:003603"/>
        <s v="DT:003612"/>
        <s v="DT:003643"/>
        <s v="DT:003649"/>
        <s v="DT:003623"/>
        <s v="DT:003633"/>
        <s v="DT:003665"/>
        <s v="DT:003672"/>
        <s v="DT:003681"/>
        <s v="DT:003683"/>
        <s v="DT:003656"/>
        <s v="DT:003723"/>
        <s v="DT:003721"/>
        <s v="DT:003218"/>
        <s v="DT:003256"/>
        <s v="DT:003311"/>
        <s v="DT:003492"/>
        <s v="DT:003615"/>
        <s v="DT:003634"/>
        <m/>
      </sharedItems>
    </cacheField>
    <cacheField name="Column 6" numFmtId="4">
      <sharedItems containsString="0" containsBlank="1" containsNumber="1">
        <n v="0.5"/>
        <n v="1.0"/>
        <n v="0.3"/>
        <n v="2.0"/>
        <n v="3.0"/>
        <n v="4.0"/>
        <n v="5.0"/>
        <m/>
      </sharedItems>
    </cacheField>
    <cacheField name="Column 7" numFmtId="4">
      <sharedItems containsString="0" containsBlank="1" containsNumber="1" containsInteger="1">
        <n v="6000.0"/>
        <n v="12000.0"/>
        <n v="3600.0"/>
        <n v="24000.0"/>
        <n v="36000.0"/>
        <n v="48000.0"/>
        <n v="7200.0"/>
        <n v="144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11-07T00:00:00Z"/>
        <d v="2025-11-20T00:00:00Z"/>
        <m/>
      </sharedItems>
    </cacheField>
    <cacheField name="Particulars" numFmtId="0">
      <sharedItems containsBlank="1">
        <s v="Eloh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43.0"/>
        <n v="2022055.0"/>
        <m/>
      </sharedItems>
    </cacheField>
    <cacheField name="Quantity" numFmtId="4">
      <sharedItems containsString="0" containsBlank="1" containsNumber="1" containsInteger="1">
        <n v="25.0"/>
        <n v="50.0"/>
        <n v="10.0"/>
        <m/>
      </sharedItems>
    </cacheField>
    <cacheField name="Value" numFmtId="4">
      <sharedItems containsString="0" containsBlank="1" containsNumber="1" containsInteger="1">
        <n v="300000.0"/>
        <n v="600000.0"/>
        <n v="72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0" firstHeaderRow="0" firstDataRow="4" firstDataCol="0"/>
  <pivotFields>
    <pivotField name="Column 1" compact="0" outline="0" multipleItemSelectionAllowed="1" showAll="0">
      <items>
        <item x="0"/>
        <item x="1"/>
        <item x="2"/>
        <item t="default"/>
      </items>
    </pivotField>
    <pivotField name="Column 2" axis="axisRow" compact="0" outline="0" multipleItemSelectionAllowed="1" showAll="0" sortType="ascending" defaultSubtotal="0">
      <items>
        <item sd="0" x="21"/>
        <item x="0"/>
        <item x="1"/>
        <item x="2"/>
        <item x="3"/>
        <item x="4"/>
        <item x="20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name="Column 3" axis="axisRow" compact="0" outline="0" multipleItemSelectionAllowed="1" showAll="0" sortType="ascending" defaultSubtotal="0">
      <items>
        <item x="37"/>
        <item x="10"/>
        <item x="25"/>
        <item x="31"/>
        <item x="29"/>
        <item x="5"/>
        <item x="21"/>
        <item x="35"/>
        <item x="36"/>
        <item x="4"/>
        <item x="22"/>
        <item x="9"/>
        <item x="24"/>
        <item x="19"/>
        <item x="26"/>
        <item x="23"/>
        <item x="13"/>
        <item x="18"/>
        <item x="28"/>
        <item x="27"/>
        <item x="16"/>
        <item x="0"/>
        <item x="11"/>
        <item x="14"/>
        <item x="15"/>
        <item x="17"/>
        <item x="7"/>
        <item x="8"/>
        <item x="6"/>
        <item x="3"/>
        <item x="32"/>
        <item x="20"/>
        <item x="34"/>
        <item x="33"/>
        <item x="2"/>
        <item x="12"/>
        <item x="1"/>
        <item x="30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48"/>
        <item x="42"/>
        <item x="0"/>
        <item x="1"/>
        <item x="2"/>
        <item x="3"/>
        <item x="43"/>
        <item x="4"/>
        <item x="5"/>
        <item x="6"/>
        <item x="7"/>
        <item x="4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45"/>
        <item x="26"/>
        <item x="23"/>
        <item x="22"/>
        <item x="24"/>
        <item x="25"/>
        <item x="27"/>
        <item x="28"/>
        <item x="21"/>
        <item x="29"/>
        <item x="30"/>
        <item x="46"/>
        <item x="33"/>
        <item x="34"/>
        <item x="47"/>
        <item x="31"/>
        <item x="32"/>
        <item x="39"/>
        <item x="35"/>
        <item x="36"/>
        <item x="37"/>
        <item x="38"/>
        <item x="41"/>
        <item x="40"/>
      </items>
    </pivotField>
    <pivotField name="Column 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Value" axis="axisRow" compact="0" outline="0" multipleItemSelectionAllowed="1" showAll="0" sortType="ascending">
      <items>
        <item x="11"/>
        <item x="10"/>
        <item x="2"/>
        <item x="0"/>
        <item x="8"/>
        <item x="1"/>
        <item x="9"/>
        <item x="5"/>
        <item x="3"/>
        <item x="7"/>
        <item x="4"/>
        <item x="6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5" firstHeaderRow="0" firstDataRow="6" firstDataCol="0"/>
  <pivotFields>
    <pivotField name="Column 1" axis="axisRow" compact="0" outline="0" multipleItemSelectionAllowed="1" showAll="0" sortType="ascending" defaultSubtotal="0">
      <items>
        <item x="2"/>
        <item x="0"/>
        <item x="1"/>
      </items>
    </pivotField>
    <pivotField name="Column 2" axis="axisRow" compact="0" outline="0" multipleItemSelectionAllowed="1" showAll="0" sortType="ascending" defaultSubtotal="0">
      <items>
        <item x="21"/>
        <item x="0"/>
        <item x="1"/>
        <item x="2"/>
        <item x="3"/>
        <item x="4"/>
        <item x="20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name="Column 3" axis="axisRow" compact="0" outline="0" multipleItemSelectionAllowed="1" showAll="0" sortType="ascending" defaultSubtotal="0">
      <items>
        <item x="37"/>
        <item x="10"/>
        <item x="25"/>
        <item x="31"/>
        <item x="29"/>
        <item x="5"/>
        <item x="21"/>
        <item x="35"/>
        <item x="36"/>
        <item x="4"/>
        <item x="22"/>
        <item x="9"/>
        <item x="24"/>
        <item x="19"/>
        <item x="26"/>
        <item x="23"/>
        <item x="13"/>
        <item x="18"/>
        <item x="28"/>
        <item x="27"/>
        <item x="16"/>
        <item x="0"/>
        <item x="11"/>
        <item x="14"/>
        <item x="15"/>
        <item x="17"/>
        <item x="7"/>
        <item x="8"/>
        <item x="6"/>
        <item x="3"/>
        <item x="32"/>
        <item x="20"/>
        <item x="34"/>
        <item x="33"/>
        <item x="2"/>
        <item x="12"/>
        <item x="1"/>
        <item x="30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48"/>
        <item x="42"/>
        <item x="0"/>
        <item x="1"/>
        <item x="2"/>
        <item x="3"/>
        <item x="43"/>
        <item x="4"/>
        <item x="5"/>
        <item x="6"/>
        <item x="7"/>
        <item x="4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45"/>
        <item x="26"/>
        <item x="23"/>
        <item x="22"/>
        <item x="24"/>
        <item x="25"/>
        <item x="27"/>
        <item x="28"/>
        <item x="21"/>
        <item x="29"/>
        <item x="30"/>
        <item x="46"/>
        <item x="33"/>
        <item x="34"/>
        <item x="47"/>
        <item x="31"/>
        <item x="32"/>
        <item x="39"/>
        <item x="35"/>
        <item x="36"/>
        <item x="37"/>
        <item x="38"/>
        <item x="41"/>
        <item x="40"/>
      </items>
    </pivotField>
    <pivotField name="Column 6" axis="axisRow" compact="0" numFmtId="4" outline="0" multipleItemSelectionAllowed="1" showAll="0" sortType="ascending" defaultSubtotal="0">
      <items>
        <item x="7"/>
        <item x="2"/>
        <item x="0"/>
        <item x="1"/>
        <item x="3"/>
        <item x="4"/>
        <item x="5"/>
        <item x="6"/>
      </items>
    </pivotField>
    <pivotField name="Column 7" axis="axisRow" compact="0" numFmtId="4" outline="0" multipleItemSelectionAllowed="1" showAll="0" sortType="ascending">
      <items>
        <item x="8"/>
        <item x="2"/>
        <item x="0"/>
        <item x="6"/>
        <item x="1"/>
        <item x="7"/>
        <item x="3"/>
        <item x="4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3" t="s">
        <v>7</v>
      </c>
      <c r="B3" s="14" t="s">
        <v>8</v>
      </c>
      <c r="C3" s="15" t="s">
        <v>9</v>
      </c>
      <c r="D3" s="15" t="s">
        <v>10</v>
      </c>
      <c r="E3" s="14" t="s">
        <v>11</v>
      </c>
      <c r="F3" s="16" t="s">
        <v>12</v>
      </c>
      <c r="G3" s="16" t="s">
        <v>13</v>
      </c>
      <c r="I3" s="17" t="s">
        <v>14</v>
      </c>
      <c r="J3" s="18" t="s">
        <v>15</v>
      </c>
      <c r="K3" s="19" t="s">
        <v>16</v>
      </c>
      <c r="L3" s="20" t="s">
        <v>17</v>
      </c>
      <c r="M3" s="18" t="s">
        <v>18</v>
      </c>
      <c r="N3" s="21" t="s">
        <v>19</v>
      </c>
      <c r="O3" s="21" t="s">
        <v>20</v>
      </c>
      <c r="P3" s="22" t="s">
        <v>21</v>
      </c>
      <c r="R3" s="1" t="s">
        <v>7</v>
      </c>
      <c r="S3" s="23" t="s">
        <v>8</v>
      </c>
      <c r="T3" s="24" t="s">
        <v>9</v>
      </c>
      <c r="U3" s="25" t="s">
        <v>10</v>
      </c>
      <c r="V3" s="23" t="s">
        <v>11</v>
      </c>
      <c r="W3" s="26" t="s">
        <v>12</v>
      </c>
      <c r="X3" s="26" t="s">
        <v>13</v>
      </c>
      <c r="Z3" s="1" t="s">
        <v>7</v>
      </c>
      <c r="AA3" s="23" t="s">
        <v>8</v>
      </c>
      <c r="AB3" s="24" t="s">
        <v>9</v>
      </c>
      <c r="AC3" s="25" t="s">
        <v>10</v>
      </c>
      <c r="AD3" s="23" t="s">
        <v>11</v>
      </c>
      <c r="AE3" s="26" t="s">
        <v>12</v>
      </c>
      <c r="AF3" s="26" t="s">
        <v>13</v>
      </c>
      <c r="AG3" s="1"/>
      <c r="AH3" s="1" t="s">
        <v>7</v>
      </c>
      <c r="AI3" s="23" t="s">
        <v>8</v>
      </c>
      <c r="AJ3" s="24" t="s">
        <v>9</v>
      </c>
      <c r="AK3" s="25" t="s">
        <v>10</v>
      </c>
      <c r="AL3" s="23" t="s">
        <v>11</v>
      </c>
      <c r="AM3" s="26" t="s">
        <v>12</v>
      </c>
      <c r="AN3" s="26" t="s">
        <v>13</v>
      </c>
      <c r="AO3" s="5"/>
      <c r="AP3" s="1" t="s">
        <v>7</v>
      </c>
      <c r="AQ3" s="23" t="s">
        <v>8</v>
      </c>
      <c r="AR3" s="24" t="s">
        <v>9</v>
      </c>
      <c r="AS3" s="25" t="s">
        <v>10</v>
      </c>
      <c r="AT3" s="23" t="s">
        <v>11</v>
      </c>
      <c r="AU3" s="26" t="s">
        <v>12</v>
      </c>
      <c r="AV3" s="26" t="s">
        <v>13</v>
      </c>
      <c r="AW3" s="5"/>
      <c r="AX3" s="5">
        <f t="array" ref="AX3">counta(unique(C:C))-2</f>
        <v>37</v>
      </c>
    </row>
    <row r="4" ht="22.5" customHeight="1">
      <c r="A4" s="27" t="s">
        <v>22</v>
      </c>
      <c r="B4" s="28">
        <v>45968.0</v>
      </c>
      <c r="C4" s="29" t="s">
        <v>23</v>
      </c>
      <c r="D4" s="29" t="s">
        <v>24</v>
      </c>
      <c r="E4" s="23">
        <v>2022043.0</v>
      </c>
      <c r="F4" s="30">
        <v>25.0</v>
      </c>
      <c r="G4" s="31">
        <v>300000.0</v>
      </c>
      <c r="I4" s="32" t="str">
        <f>IFERROR(__xludf.DUMMYFUNCTION("IFERROR(
  FILTER($A$4:$G1845, LEN($A$4:$A1845), LOWER(TRIM($D$4:$D1845))=""sales""),
)"),"250g Dates powder (6x)")</f>
        <v>250g Dates powder (6x)</v>
      </c>
      <c r="J4" s="33">
        <f>IFERROR(__xludf.DUMMYFUNCTION("""COMPUTED_VALUE"""),45962.0)</f>
        <v>45962</v>
      </c>
      <c r="K4" s="34" t="str">
        <f>IFERROR(__xludf.DUMMYFUNCTION("""COMPUTED_VALUE"""),"Kortsy")</f>
        <v>Kortsy</v>
      </c>
      <c r="L4" s="34" t="str">
        <f>IFERROR(__xludf.DUMMYFUNCTION("""COMPUTED_VALUE"""),"Sales")</f>
        <v>Sales</v>
      </c>
      <c r="M4" s="35" t="str">
        <f>IFERROR(__xludf.DUMMYFUNCTION("""COMPUTED_VALUE"""),"DT:003222")</f>
        <v>DT:003222</v>
      </c>
      <c r="N4" s="36">
        <f>IFERROR(__xludf.DUMMYFUNCTION("""COMPUTED_VALUE"""),0.5)</f>
        <v>0.5</v>
      </c>
      <c r="O4" s="37">
        <f>IFERROR(__xludf.DUMMYFUNCTION("""COMPUTED_VALUE"""),6000.0)</f>
        <v>6000</v>
      </c>
      <c r="P4" s="38">
        <f t="shared" ref="P4:P70" si="1">sumif(M:M,M4,O:O)</f>
        <v>6000</v>
      </c>
      <c r="R4" s="39" t="str">
        <f>IFERROR(__xludf.DUMMYFUNCTION("IFERROR(
  FILTER($A$4:$G1845, LEN($A$4:$A1845), REGEXMATCH(LOWER(TRIM($D$4:$D1845)), ""\bjournal\b"")),
)
"),"")</f>
        <v/>
      </c>
      <c r="S4" s="40"/>
      <c r="T4" s="41"/>
      <c r="U4" s="41"/>
      <c r="V4" s="2"/>
      <c r="W4" s="2"/>
      <c r="X4" s="42"/>
      <c r="Z4" s="43"/>
      <c r="AA4" s="43"/>
      <c r="AB4" s="43"/>
      <c r="AC4" s="43"/>
      <c r="AD4" s="43"/>
      <c r="AE4" s="43"/>
      <c r="AF4" s="43"/>
      <c r="AG4" s="43"/>
      <c r="AH4" s="44" t="str">
        <f>IFERROR(__xludf.DUMMYFUNCTION("IFERROR(FILTER($A$3:$G1845, LEN($A$3:$A1845), LOWER(TRIM($D$3:$D1845))=""Inventory Supplied by Brands""),)"),"")</f>
        <v/>
      </c>
      <c r="AP4" s="45" t="str">
        <f>IFERROR(__xludf.DUMMYFUNCTION("IFERROR(FILTER($A$3:$G1845, LEN($A$3:$A1845), LOWER(TRIM($D$3:$D1845))=""Inventory Pickup by Dala""),)
"),"250g Dates powder (6x)")</f>
        <v>250g Dates powder (6x)</v>
      </c>
      <c r="AQ4" s="40">
        <f>IFERROR(__xludf.DUMMYFUNCTION("""COMPUTED_VALUE"""),45968.0)</f>
        <v>45968</v>
      </c>
      <c r="AR4" s="41" t="str">
        <f>IFERROR(__xludf.DUMMYFUNCTION("""COMPUTED_VALUE"""),"Eloha")</f>
        <v>Eloha</v>
      </c>
      <c r="AS4" s="41" t="str">
        <f>IFERROR(__xludf.DUMMYFUNCTION("""COMPUTED_VALUE"""),"Inventory Pickup by Dala")</f>
        <v>Inventory Pickup by Dala</v>
      </c>
      <c r="AT4" s="2">
        <f>IFERROR(__xludf.DUMMYFUNCTION("""COMPUTED_VALUE"""),2022043.0)</f>
        <v>2022043</v>
      </c>
      <c r="AU4" s="30">
        <f>IFERROR(__xludf.DUMMYFUNCTION("""COMPUTED_VALUE"""),25.0)</f>
        <v>25</v>
      </c>
      <c r="AV4" s="31">
        <f>IFERROR(__xludf.DUMMYFUNCTION("""COMPUTED_VALUE"""),300000.0)</f>
        <v>300000</v>
      </c>
    </row>
    <row r="5" ht="22.5" customHeight="1">
      <c r="A5" s="27" t="s">
        <v>22</v>
      </c>
      <c r="B5" s="28">
        <v>45981.0</v>
      </c>
      <c r="C5" s="29" t="s">
        <v>23</v>
      </c>
      <c r="D5" s="29" t="s">
        <v>24</v>
      </c>
      <c r="E5" s="23">
        <v>2022055.0</v>
      </c>
      <c r="F5" s="30">
        <v>50.0</v>
      </c>
      <c r="G5" s="31">
        <v>600000.0</v>
      </c>
      <c r="I5" s="32" t="str">
        <f>IFERROR(__xludf.DUMMYFUNCTION("""COMPUTED_VALUE"""),"250g Dates powder (6x)")</f>
        <v>250g Dates powder (6x)</v>
      </c>
      <c r="J5" s="33">
        <f>IFERROR(__xludf.DUMMYFUNCTION("""COMPUTED_VALUE"""),45962.0)</f>
        <v>45962</v>
      </c>
      <c r="K5" s="34" t="str">
        <f>IFERROR(__xludf.DUMMYFUNCTION("""COMPUTED_VALUE"""),"Value Exchange Supermarket, AREPO")</f>
        <v>Value Exchange Supermarket, AREPO</v>
      </c>
      <c r="L5" s="34" t="str">
        <f>IFERROR(__xludf.DUMMYFUNCTION("""COMPUTED_VALUE"""),"Sales")</f>
        <v>Sales</v>
      </c>
      <c r="M5" s="35" t="str">
        <f>IFERROR(__xludf.DUMMYFUNCTION("""COMPUTED_VALUE"""),"DT:003226")</f>
        <v>DT:003226</v>
      </c>
      <c r="N5" s="36">
        <f>IFERROR(__xludf.DUMMYFUNCTION("""COMPUTED_VALUE"""),1.0)</f>
        <v>1</v>
      </c>
      <c r="O5" s="37">
        <f>IFERROR(__xludf.DUMMYFUNCTION("""COMPUTED_VALUE"""),12000.0)</f>
        <v>12000</v>
      </c>
      <c r="P5" s="38">
        <f t="shared" si="1"/>
        <v>12000</v>
      </c>
      <c r="R5" s="39"/>
      <c r="S5" s="40"/>
      <c r="T5" s="46"/>
      <c r="U5" s="41"/>
      <c r="V5" s="2"/>
      <c r="W5" s="47"/>
      <c r="X5" s="42"/>
      <c r="Z5" s="43"/>
      <c r="AA5" s="43"/>
      <c r="AB5" s="43"/>
      <c r="AC5" s="43"/>
      <c r="AD5" s="43"/>
      <c r="AE5" s="43"/>
      <c r="AF5" s="43"/>
      <c r="AG5" s="43"/>
      <c r="AP5" s="39" t="str">
        <f>IFERROR(__xludf.DUMMYFUNCTION("""COMPUTED_VALUE"""),"250g Dates powder (6x)")</f>
        <v>250g Dates powder (6x)</v>
      </c>
      <c r="AQ5" s="40">
        <f>IFERROR(__xludf.DUMMYFUNCTION("""COMPUTED_VALUE"""),45981.0)</f>
        <v>45981</v>
      </c>
      <c r="AR5" s="41" t="str">
        <f>IFERROR(__xludf.DUMMYFUNCTION("""COMPUTED_VALUE"""),"Eloha")</f>
        <v>Eloha</v>
      </c>
      <c r="AS5" s="41" t="str">
        <f>IFERROR(__xludf.DUMMYFUNCTION("""COMPUTED_VALUE"""),"Inventory Pickup by Dala")</f>
        <v>Inventory Pickup by Dala</v>
      </c>
      <c r="AT5" s="2">
        <f>IFERROR(__xludf.DUMMYFUNCTION("""COMPUTED_VALUE"""),2022055.0)</f>
        <v>2022055</v>
      </c>
      <c r="AU5" s="48">
        <f>IFERROR(__xludf.DUMMYFUNCTION("""COMPUTED_VALUE"""),50.0)</f>
        <v>50</v>
      </c>
      <c r="AV5" s="49">
        <f>IFERROR(__xludf.DUMMYFUNCTION("""COMPUTED_VALUE"""),600000.0)</f>
        <v>600000</v>
      </c>
    </row>
    <row r="6" ht="22.5" customHeight="1">
      <c r="A6" s="27" t="s">
        <v>22</v>
      </c>
      <c r="B6" s="28">
        <v>45962.0</v>
      </c>
      <c r="C6" s="29" t="s">
        <v>25</v>
      </c>
      <c r="D6" s="29" t="s">
        <v>26</v>
      </c>
      <c r="E6" s="23" t="s">
        <v>27</v>
      </c>
      <c r="F6" s="30">
        <v>0.5</v>
      </c>
      <c r="G6" s="31">
        <v>6000.0</v>
      </c>
      <c r="I6" s="32" t="str">
        <f>IFERROR(__xludf.DUMMYFUNCTION("""COMPUTED_VALUE"""),"250g Dates powder (6x)")</f>
        <v>250g Dates powder (6x)</v>
      </c>
      <c r="J6" s="33">
        <f>IFERROR(__xludf.DUMMYFUNCTION("""COMPUTED_VALUE"""),45964.0)</f>
        <v>45964</v>
      </c>
      <c r="K6" s="34" t="str">
        <f>IFERROR(__xludf.DUMMYFUNCTION("""COMPUTED_VALUE"""),"Twins Faja Supermarket, LASU-IPAYE")</f>
        <v>Twins Faja Supermarket, LASU-IPAYE</v>
      </c>
      <c r="L6" s="34" t="str">
        <f>IFERROR(__xludf.DUMMYFUNCTION("""COMPUTED_VALUE"""),"Sales")</f>
        <v>Sales</v>
      </c>
      <c r="M6" s="35" t="str">
        <f>IFERROR(__xludf.DUMMYFUNCTION("""COMPUTED_VALUE"""),"DT:003242")</f>
        <v>DT:003242</v>
      </c>
      <c r="N6" s="36">
        <f>IFERROR(__xludf.DUMMYFUNCTION("""COMPUTED_VALUE"""),0.3)</f>
        <v>0.3</v>
      </c>
      <c r="O6" s="37">
        <f>IFERROR(__xludf.DUMMYFUNCTION("""COMPUTED_VALUE"""),3600.0)</f>
        <v>3600</v>
      </c>
      <c r="P6" s="38">
        <f t="shared" si="1"/>
        <v>3600</v>
      </c>
      <c r="R6" s="39"/>
      <c r="S6" s="40"/>
      <c r="T6" s="41"/>
      <c r="U6" s="41"/>
      <c r="V6" s="2"/>
      <c r="W6" s="47"/>
      <c r="X6" s="42"/>
      <c r="Z6" s="43"/>
      <c r="AA6" s="43"/>
      <c r="AB6" s="43"/>
      <c r="AC6" s="43"/>
      <c r="AD6" s="43"/>
      <c r="AE6" s="43"/>
      <c r="AF6" s="43"/>
      <c r="AG6" s="43"/>
      <c r="AP6" s="39" t="str">
        <f>IFERROR(__xludf.DUMMYFUNCTION("""COMPUTED_VALUE"""),"80g Kuli Kuli (12x)")</f>
        <v>80g Kuli Kuli (12x)</v>
      </c>
      <c r="AQ6" s="40">
        <f>IFERROR(__xludf.DUMMYFUNCTION("""COMPUTED_VALUE"""),45981.0)</f>
        <v>45981</v>
      </c>
      <c r="AR6" s="41" t="str">
        <f>IFERROR(__xludf.DUMMYFUNCTION("""COMPUTED_VALUE"""),"Eloha")</f>
        <v>Eloha</v>
      </c>
      <c r="AS6" s="41" t="str">
        <f>IFERROR(__xludf.DUMMYFUNCTION("""COMPUTED_VALUE"""),"Inventory Pickup by Dala")</f>
        <v>Inventory Pickup by Dala</v>
      </c>
      <c r="AT6" s="2">
        <f>IFERROR(__xludf.DUMMYFUNCTION("""COMPUTED_VALUE"""),2022055.0)</f>
        <v>2022055</v>
      </c>
      <c r="AU6" s="48">
        <f>IFERROR(__xludf.DUMMYFUNCTION("""COMPUTED_VALUE"""),10.0)</f>
        <v>10</v>
      </c>
      <c r="AV6" s="49">
        <f>IFERROR(__xludf.DUMMYFUNCTION("""COMPUTED_VALUE"""),72000.0)</f>
        <v>72000</v>
      </c>
    </row>
    <row r="7" ht="22.5" customHeight="1">
      <c r="A7" s="27" t="s">
        <v>22</v>
      </c>
      <c r="B7" s="28">
        <v>45962.0</v>
      </c>
      <c r="C7" s="29" t="s">
        <v>28</v>
      </c>
      <c r="D7" s="29" t="s">
        <v>26</v>
      </c>
      <c r="E7" s="23" t="s">
        <v>29</v>
      </c>
      <c r="F7" s="30">
        <v>1.0</v>
      </c>
      <c r="G7" s="31">
        <v>12000.0</v>
      </c>
      <c r="I7" s="32" t="str">
        <f>IFERROR(__xludf.DUMMYFUNCTION("""COMPUTED_VALUE"""),"250g Dates powder (6x)")</f>
        <v>250g Dates powder (6x)</v>
      </c>
      <c r="J7" s="33">
        <f>IFERROR(__xludf.DUMMYFUNCTION("""COMPUTED_VALUE"""),45965.0)</f>
        <v>45965</v>
      </c>
      <c r="K7" s="34" t="str">
        <f>IFERROR(__xludf.DUMMYFUNCTION("""COMPUTED_VALUE"""),"Renees Supermarket, IKOYI")</f>
        <v>Renees Supermarket, IKOYI</v>
      </c>
      <c r="L7" s="34" t="str">
        <f>IFERROR(__xludf.DUMMYFUNCTION("""COMPUTED_VALUE"""),"Sales")</f>
        <v>Sales</v>
      </c>
      <c r="M7" s="35" t="str">
        <f>IFERROR(__xludf.DUMMYFUNCTION("""COMPUTED_VALUE"""),"DT:003252")</f>
        <v>DT:003252</v>
      </c>
      <c r="N7" s="36">
        <f>IFERROR(__xludf.DUMMYFUNCTION("""COMPUTED_VALUE"""),0.5)</f>
        <v>0.5</v>
      </c>
      <c r="O7" s="37">
        <f>IFERROR(__xludf.DUMMYFUNCTION("""COMPUTED_VALUE"""),6000.0)</f>
        <v>6000</v>
      </c>
      <c r="P7" s="38">
        <f t="shared" si="1"/>
        <v>6000</v>
      </c>
      <c r="R7" s="39"/>
      <c r="S7" s="40"/>
      <c r="T7" s="41"/>
      <c r="U7" s="41"/>
      <c r="V7" s="2"/>
      <c r="W7" s="2"/>
      <c r="X7" s="42"/>
      <c r="Z7" s="43"/>
      <c r="AA7" s="43"/>
      <c r="AB7" s="43"/>
      <c r="AC7" s="43"/>
      <c r="AD7" s="43"/>
      <c r="AE7" s="43"/>
      <c r="AF7" s="43"/>
      <c r="AG7" s="43"/>
      <c r="AP7" s="45"/>
      <c r="AQ7" s="50"/>
      <c r="AR7" s="44"/>
      <c r="AS7" s="44"/>
      <c r="AT7" s="51"/>
      <c r="AU7" s="52"/>
      <c r="AV7" s="53"/>
    </row>
    <row r="8" ht="22.5" customHeight="1">
      <c r="A8" s="27" t="s">
        <v>22</v>
      </c>
      <c r="B8" s="28">
        <v>45964.0</v>
      </c>
      <c r="C8" s="29" t="s">
        <v>30</v>
      </c>
      <c r="D8" s="29" t="s">
        <v>26</v>
      </c>
      <c r="E8" s="23" t="s">
        <v>31</v>
      </c>
      <c r="F8" s="30">
        <v>0.3</v>
      </c>
      <c r="G8" s="31">
        <v>3600.0</v>
      </c>
      <c r="I8" s="32" t="str">
        <f>IFERROR(__xludf.DUMMYFUNCTION("""COMPUTED_VALUE"""),"250g Dates powder (6x)")</f>
        <v>250g Dates powder (6x)</v>
      </c>
      <c r="J8" s="33">
        <f>IFERROR(__xludf.DUMMYFUNCTION("""COMPUTED_VALUE"""),45965.0)</f>
        <v>45965</v>
      </c>
      <c r="K8" s="34" t="str">
        <f>IFERROR(__xludf.DUMMYFUNCTION("""COMPUTED_VALUE"""),"Hutoos Supermarket, Ogba")</f>
        <v>Hutoos Supermarket, Ogba</v>
      </c>
      <c r="L8" s="34" t="str">
        <f>IFERROR(__xludf.DUMMYFUNCTION("""COMPUTED_VALUE"""),"Sales")</f>
        <v>Sales</v>
      </c>
      <c r="M8" s="35" t="str">
        <f>IFERROR(__xludf.DUMMYFUNCTION("""COMPUTED_VALUE"""),"DT:003261")</f>
        <v>DT:003261</v>
      </c>
      <c r="N8" s="36">
        <f>IFERROR(__xludf.DUMMYFUNCTION("""COMPUTED_VALUE"""),1.0)</f>
        <v>1</v>
      </c>
      <c r="O8" s="37">
        <f>IFERROR(__xludf.DUMMYFUNCTION("""COMPUTED_VALUE"""),12000.0)</f>
        <v>12000</v>
      </c>
      <c r="P8" s="38">
        <f t="shared" si="1"/>
        <v>12000</v>
      </c>
      <c r="R8" s="39"/>
      <c r="S8" s="40"/>
      <c r="T8" s="46"/>
      <c r="U8" s="41"/>
      <c r="V8" s="2"/>
      <c r="W8" s="47"/>
      <c r="X8" s="42"/>
      <c r="Z8" s="43"/>
      <c r="AA8" s="43"/>
      <c r="AB8" s="43"/>
      <c r="AC8" s="43"/>
      <c r="AD8" s="43"/>
      <c r="AE8" s="43"/>
      <c r="AF8" s="43"/>
      <c r="AG8" s="43"/>
      <c r="AH8" s="39"/>
      <c r="AI8" s="40"/>
      <c r="AJ8" s="41"/>
      <c r="AK8" s="41"/>
      <c r="AL8" s="2"/>
      <c r="AM8" s="2"/>
      <c r="AN8" s="42"/>
      <c r="AP8" s="54"/>
      <c r="AQ8" s="40"/>
      <c r="AR8" s="41"/>
      <c r="AS8" s="41"/>
      <c r="AT8" s="2"/>
      <c r="AU8" s="48"/>
      <c r="AV8" s="49"/>
    </row>
    <row r="9" ht="22.5" customHeight="1">
      <c r="A9" s="27" t="s">
        <v>22</v>
      </c>
      <c r="B9" s="28">
        <v>45965.0</v>
      </c>
      <c r="C9" s="29" t="s">
        <v>32</v>
      </c>
      <c r="D9" s="29" t="s">
        <v>26</v>
      </c>
      <c r="E9" s="23" t="s">
        <v>33</v>
      </c>
      <c r="F9" s="30">
        <v>0.5</v>
      </c>
      <c r="G9" s="31">
        <v>6000.0</v>
      </c>
      <c r="I9" s="32" t="str">
        <f>IFERROR(__xludf.DUMMYFUNCTION("""COMPUTED_VALUE"""),"250g Dates powder (6x)")</f>
        <v>250g Dates powder (6x)</v>
      </c>
      <c r="J9" s="33">
        <f>IFERROR(__xludf.DUMMYFUNCTION("""COMPUTED_VALUE"""),45965.0)</f>
        <v>45965</v>
      </c>
      <c r="K9" s="34" t="str">
        <f>IFERROR(__xludf.DUMMYFUNCTION("""COMPUTED_VALUE"""),"Buymore Supermarket, ISHERI")</f>
        <v>Buymore Supermarket, ISHERI</v>
      </c>
      <c r="L9" s="34" t="str">
        <f>IFERROR(__xludf.DUMMYFUNCTION("""COMPUTED_VALUE"""),"Sales")</f>
        <v>Sales</v>
      </c>
      <c r="M9" s="35" t="str">
        <f>IFERROR(__xludf.DUMMYFUNCTION("""COMPUTED_VALUE"""),"DT:003266")</f>
        <v>DT:003266</v>
      </c>
      <c r="N9" s="36">
        <f>IFERROR(__xludf.DUMMYFUNCTION("""COMPUTED_VALUE"""),1.0)</f>
        <v>1</v>
      </c>
      <c r="O9" s="37">
        <f>IFERROR(__xludf.DUMMYFUNCTION("""COMPUTED_VALUE"""),12000.0)</f>
        <v>12000</v>
      </c>
      <c r="P9" s="38">
        <f t="shared" si="1"/>
        <v>12000</v>
      </c>
      <c r="R9" s="39"/>
      <c r="S9" s="40"/>
      <c r="T9" s="41"/>
      <c r="U9" s="41"/>
      <c r="V9" s="2"/>
      <c r="W9" s="47"/>
      <c r="X9" s="42"/>
      <c r="Z9" s="43"/>
      <c r="AA9" s="43"/>
      <c r="AB9" s="43"/>
      <c r="AC9" s="43"/>
      <c r="AD9" s="43"/>
      <c r="AE9" s="43"/>
      <c r="AF9" s="43"/>
      <c r="AG9" s="43"/>
      <c r="AH9" s="39"/>
      <c r="AI9" s="40"/>
      <c r="AJ9" s="41"/>
      <c r="AK9" s="41"/>
      <c r="AL9" s="2"/>
      <c r="AM9" s="47"/>
      <c r="AN9" s="42"/>
      <c r="AQ9" s="55"/>
      <c r="AV9" s="56"/>
    </row>
    <row r="10" ht="22.5" customHeight="1">
      <c r="A10" s="27" t="s">
        <v>22</v>
      </c>
      <c r="B10" s="28">
        <v>45965.0</v>
      </c>
      <c r="C10" s="29" t="s">
        <v>34</v>
      </c>
      <c r="D10" s="29" t="s">
        <v>26</v>
      </c>
      <c r="E10" s="23" t="s">
        <v>35</v>
      </c>
      <c r="F10" s="30">
        <v>1.0</v>
      </c>
      <c r="G10" s="31">
        <v>12000.0</v>
      </c>
      <c r="I10" s="32" t="str">
        <f>IFERROR(__xludf.DUMMYFUNCTION("""COMPUTED_VALUE"""),"250g Dates powder (6x)")</f>
        <v>250g Dates powder (6x)</v>
      </c>
      <c r="J10" s="33">
        <f>IFERROR(__xludf.DUMMYFUNCTION("""COMPUTED_VALUE"""),45966.0)</f>
        <v>45966</v>
      </c>
      <c r="K10" s="34" t="str">
        <f>IFERROR(__xludf.DUMMYFUNCTION("""COMPUTED_VALUE"""),"Renees Supermarket, FREEDOM WAY")</f>
        <v>Renees Supermarket, FREEDOM WAY</v>
      </c>
      <c r="L10" s="34" t="str">
        <f>IFERROR(__xludf.DUMMYFUNCTION("""COMPUTED_VALUE"""),"Sales")</f>
        <v>Sales</v>
      </c>
      <c r="M10" s="35" t="str">
        <f>IFERROR(__xludf.DUMMYFUNCTION("""COMPUTED_VALUE"""),"DT:003277")</f>
        <v>DT:003277</v>
      </c>
      <c r="N10" s="36">
        <f>IFERROR(__xludf.DUMMYFUNCTION("""COMPUTED_VALUE"""),0.5)</f>
        <v>0.5</v>
      </c>
      <c r="O10" s="37">
        <f>IFERROR(__xludf.DUMMYFUNCTION("""COMPUTED_VALUE"""),6000.0)</f>
        <v>6000</v>
      </c>
      <c r="P10" s="38">
        <f t="shared" si="1"/>
        <v>6000</v>
      </c>
      <c r="R10" s="39"/>
      <c r="S10" s="40"/>
      <c r="T10" s="41"/>
      <c r="U10" s="41"/>
      <c r="V10" s="2"/>
      <c r="W10" s="2"/>
      <c r="X10" s="42"/>
      <c r="AQ10" s="55"/>
      <c r="AV10" s="56"/>
    </row>
    <row r="11" ht="22.5" customHeight="1">
      <c r="A11" s="27" t="s">
        <v>22</v>
      </c>
      <c r="B11" s="28">
        <v>45965.0</v>
      </c>
      <c r="C11" s="29" t="s">
        <v>36</v>
      </c>
      <c r="D11" s="29" t="s">
        <v>26</v>
      </c>
      <c r="E11" s="23" t="s">
        <v>37</v>
      </c>
      <c r="F11" s="30">
        <v>1.0</v>
      </c>
      <c r="G11" s="31">
        <v>12000.0</v>
      </c>
      <c r="I11" s="32" t="str">
        <f>IFERROR(__xludf.DUMMYFUNCTION("""COMPUTED_VALUE"""),"250g Dates powder (6x)")</f>
        <v>250g Dates powder (6x)</v>
      </c>
      <c r="J11" s="33">
        <f>IFERROR(__xludf.DUMMYFUNCTION("""COMPUTED_VALUE"""),45967.0)</f>
        <v>45967</v>
      </c>
      <c r="K11" s="34" t="str">
        <f>IFERROR(__xludf.DUMMYFUNCTION("""COMPUTED_VALUE"""),"Prince Ebeano, OLOGOLO")</f>
        <v>Prince Ebeano, OLOGOLO</v>
      </c>
      <c r="L11" s="34" t="str">
        <f>IFERROR(__xludf.DUMMYFUNCTION("""COMPUTED_VALUE"""),"Sales")</f>
        <v>Sales</v>
      </c>
      <c r="M11" s="35" t="str">
        <f>IFERROR(__xludf.DUMMYFUNCTION("""COMPUTED_VALUE"""),"DT:003289")</f>
        <v>DT:003289</v>
      </c>
      <c r="N11" s="36">
        <f>IFERROR(__xludf.DUMMYFUNCTION("""COMPUTED_VALUE"""),0.3)</f>
        <v>0.3</v>
      </c>
      <c r="O11" s="37">
        <f>IFERROR(__xludf.DUMMYFUNCTION("""COMPUTED_VALUE"""),3600.0)</f>
        <v>3600</v>
      </c>
      <c r="P11" s="38">
        <f t="shared" si="1"/>
        <v>3600</v>
      </c>
      <c r="R11" s="39"/>
      <c r="S11" s="40"/>
      <c r="T11" s="41"/>
      <c r="U11" s="41"/>
      <c r="V11" s="2"/>
      <c r="W11" s="47"/>
      <c r="X11" s="42"/>
      <c r="AQ11" s="55"/>
      <c r="AV11" s="56"/>
    </row>
    <row r="12" ht="22.5" customHeight="1">
      <c r="A12" s="27" t="s">
        <v>22</v>
      </c>
      <c r="B12" s="28">
        <v>45966.0</v>
      </c>
      <c r="C12" s="29" t="s">
        <v>38</v>
      </c>
      <c r="D12" s="29" t="s">
        <v>26</v>
      </c>
      <c r="E12" s="23" t="s">
        <v>39</v>
      </c>
      <c r="F12" s="30">
        <v>0.5</v>
      </c>
      <c r="G12" s="31">
        <v>6000.0</v>
      </c>
      <c r="I12" s="32" t="str">
        <f>IFERROR(__xludf.DUMMYFUNCTION("""COMPUTED_VALUE"""),"250g Dates powder (6x)")</f>
        <v>250g Dates powder (6x)</v>
      </c>
      <c r="J12" s="33">
        <f>IFERROR(__xludf.DUMMYFUNCTION("""COMPUTED_VALUE"""),45969.0)</f>
        <v>45969</v>
      </c>
      <c r="K12" s="34" t="str">
        <f>IFERROR(__xludf.DUMMYFUNCTION("""COMPUTED_VALUE"""),"Q Mart Supermarket")</f>
        <v>Q Mart Supermarket</v>
      </c>
      <c r="L12" s="34" t="str">
        <f>IFERROR(__xludf.DUMMYFUNCTION("""COMPUTED_VALUE"""),"Sales")</f>
        <v>Sales</v>
      </c>
      <c r="M12" s="35" t="str">
        <f>IFERROR(__xludf.DUMMYFUNCTION("""COMPUTED_VALUE"""),"DT:003352")</f>
        <v>DT:003352</v>
      </c>
      <c r="N12" s="36">
        <f>IFERROR(__xludf.DUMMYFUNCTION("""COMPUTED_VALUE"""),1.0)</f>
        <v>1</v>
      </c>
      <c r="O12" s="37">
        <f>IFERROR(__xludf.DUMMYFUNCTION("""COMPUTED_VALUE"""),12000.0)</f>
        <v>12000</v>
      </c>
      <c r="P12" s="38">
        <f t="shared" si="1"/>
        <v>12000</v>
      </c>
      <c r="R12" s="39"/>
      <c r="S12" s="40"/>
      <c r="T12" s="41"/>
      <c r="U12" s="41"/>
      <c r="V12" s="2"/>
      <c r="W12" s="2"/>
      <c r="X12" s="42"/>
      <c r="AQ12" s="55"/>
      <c r="AV12" s="56"/>
    </row>
    <row r="13" ht="22.5" customHeight="1">
      <c r="A13" s="27" t="s">
        <v>22</v>
      </c>
      <c r="B13" s="28">
        <v>45967.0</v>
      </c>
      <c r="C13" s="29" t="s">
        <v>40</v>
      </c>
      <c r="D13" s="29" t="s">
        <v>26</v>
      </c>
      <c r="E13" s="23" t="s">
        <v>41</v>
      </c>
      <c r="F13" s="30">
        <v>0.3</v>
      </c>
      <c r="G13" s="31">
        <v>3600.0</v>
      </c>
      <c r="I13" s="32" t="str">
        <f>IFERROR(__xludf.DUMMYFUNCTION("""COMPUTED_VALUE"""),"250g Dates powder (6x)")</f>
        <v>250g Dates powder (6x)</v>
      </c>
      <c r="J13" s="33">
        <f>IFERROR(__xludf.DUMMYFUNCTION("""COMPUTED_VALUE"""),45969.0)</f>
        <v>45969</v>
      </c>
      <c r="K13" s="34" t="str">
        <f>IFERROR(__xludf.DUMMYFUNCTION("""COMPUTED_VALUE"""),"Jendol Supermarket, ALAKUKO")</f>
        <v>Jendol Supermarket, ALAKUKO</v>
      </c>
      <c r="L13" s="34" t="str">
        <f>IFERROR(__xludf.DUMMYFUNCTION("""COMPUTED_VALUE"""),"Sales")</f>
        <v>Sales</v>
      </c>
      <c r="M13" s="35" t="str">
        <f>IFERROR(__xludf.DUMMYFUNCTION("""COMPUTED_VALUE"""),"DT:003353")</f>
        <v>DT:003353</v>
      </c>
      <c r="N13" s="57">
        <f>IFERROR(__xludf.DUMMYFUNCTION("""COMPUTED_VALUE"""),2.0)</f>
        <v>2</v>
      </c>
      <c r="O13" s="37">
        <f>IFERROR(__xludf.DUMMYFUNCTION("""COMPUTED_VALUE"""),24000.0)</f>
        <v>24000</v>
      </c>
      <c r="P13" s="38">
        <f t="shared" si="1"/>
        <v>24000</v>
      </c>
      <c r="R13" s="39"/>
      <c r="S13" s="40"/>
      <c r="T13" s="41"/>
      <c r="U13" s="41"/>
      <c r="V13" s="2"/>
      <c r="W13" s="47"/>
      <c r="X13" s="42"/>
      <c r="AQ13" s="55"/>
      <c r="AV13" s="56"/>
    </row>
    <row r="14" ht="22.5" customHeight="1">
      <c r="A14" s="27" t="s">
        <v>22</v>
      </c>
      <c r="B14" s="28">
        <v>45969.0</v>
      </c>
      <c r="C14" s="29" t="s">
        <v>42</v>
      </c>
      <c r="D14" s="29" t="s">
        <v>26</v>
      </c>
      <c r="E14" s="23" t="s">
        <v>43</v>
      </c>
      <c r="F14" s="30">
        <v>1.0</v>
      </c>
      <c r="G14" s="31">
        <v>12000.0</v>
      </c>
      <c r="I14" s="32" t="str">
        <f>IFERROR(__xludf.DUMMYFUNCTION("""COMPUTED_VALUE"""),"250g Dates powder (6x)")</f>
        <v>250g Dates powder (6x)</v>
      </c>
      <c r="J14" s="33">
        <f>IFERROR(__xludf.DUMMYFUNCTION("""COMPUTED_VALUE"""),45971.0)</f>
        <v>45971</v>
      </c>
      <c r="K14" s="34" t="str">
        <f>IFERROR(__xludf.DUMMYFUNCTION("""COMPUTED_VALUE"""),"B Kay Stores")</f>
        <v>B Kay Stores</v>
      </c>
      <c r="L14" s="34" t="str">
        <f>IFERROR(__xludf.DUMMYFUNCTION("""COMPUTED_VALUE"""),"Sales")</f>
        <v>Sales</v>
      </c>
      <c r="M14" s="35" t="str">
        <f>IFERROR(__xludf.DUMMYFUNCTION("""COMPUTED_VALUE"""),"DT:003371")</f>
        <v>DT:003371</v>
      </c>
      <c r="N14" s="57">
        <f>IFERROR(__xludf.DUMMYFUNCTION("""COMPUTED_VALUE"""),1.0)</f>
        <v>1</v>
      </c>
      <c r="O14" s="37">
        <f>IFERROR(__xludf.DUMMYFUNCTION("""COMPUTED_VALUE"""),12000.0)</f>
        <v>12000</v>
      </c>
      <c r="P14" s="38">
        <f t="shared" si="1"/>
        <v>12000</v>
      </c>
      <c r="R14" s="39"/>
      <c r="S14" s="40"/>
      <c r="T14" s="46"/>
      <c r="U14" s="41"/>
      <c r="V14" s="2"/>
      <c r="W14" s="2"/>
      <c r="X14" s="42"/>
      <c r="AQ14" s="55"/>
      <c r="AV14" s="56"/>
    </row>
    <row r="15" ht="22.5" customHeight="1">
      <c r="A15" s="27" t="s">
        <v>22</v>
      </c>
      <c r="B15" s="28">
        <v>45969.0</v>
      </c>
      <c r="C15" s="29" t="s">
        <v>44</v>
      </c>
      <c r="D15" s="29" t="s">
        <v>26</v>
      </c>
      <c r="E15" s="23" t="s">
        <v>45</v>
      </c>
      <c r="F15" s="30">
        <v>2.0</v>
      </c>
      <c r="G15" s="31">
        <v>24000.0</v>
      </c>
      <c r="I15" s="32" t="str">
        <f>IFERROR(__xludf.DUMMYFUNCTION("""COMPUTED_VALUE"""),"250g Dates powder (6x)")</f>
        <v>250g Dates powder (6x)</v>
      </c>
      <c r="J15" s="33">
        <f>IFERROR(__xludf.DUMMYFUNCTION("""COMPUTED_VALUE"""),45971.0)</f>
        <v>45971</v>
      </c>
      <c r="K15" s="34" t="str">
        <f>IFERROR(__xludf.DUMMYFUNCTION("""COMPUTED_VALUE"""),"Mega Mart")</f>
        <v>Mega Mart</v>
      </c>
      <c r="L15" s="34" t="str">
        <f>IFERROR(__xludf.DUMMYFUNCTION("""COMPUTED_VALUE"""),"Sales")</f>
        <v>Sales</v>
      </c>
      <c r="M15" s="35" t="str">
        <f>IFERROR(__xludf.DUMMYFUNCTION("""COMPUTED_VALUE"""),"DT:003373")</f>
        <v>DT:003373</v>
      </c>
      <c r="N15" s="57">
        <f>IFERROR(__xludf.DUMMYFUNCTION("""COMPUTED_VALUE"""),1.0)</f>
        <v>1</v>
      </c>
      <c r="O15" s="37">
        <f>IFERROR(__xludf.DUMMYFUNCTION("""COMPUTED_VALUE"""),12000.0)</f>
        <v>12000</v>
      </c>
      <c r="P15" s="38">
        <f t="shared" si="1"/>
        <v>12000</v>
      </c>
      <c r="R15" s="39"/>
      <c r="S15" s="40"/>
      <c r="T15" s="46"/>
      <c r="U15" s="41"/>
      <c r="V15" s="2"/>
      <c r="W15" s="47"/>
      <c r="X15" s="42"/>
      <c r="AQ15" s="55"/>
      <c r="AV15" s="56"/>
    </row>
    <row r="16" ht="22.5" customHeight="1">
      <c r="A16" s="27" t="s">
        <v>22</v>
      </c>
      <c r="B16" s="28">
        <v>45971.0</v>
      </c>
      <c r="C16" s="29" t="s">
        <v>46</v>
      </c>
      <c r="D16" s="29" t="s">
        <v>26</v>
      </c>
      <c r="E16" s="23" t="s">
        <v>47</v>
      </c>
      <c r="F16" s="58">
        <v>1.0</v>
      </c>
      <c r="G16" s="31">
        <v>12000.0</v>
      </c>
      <c r="I16" s="32" t="str">
        <f>IFERROR(__xludf.DUMMYFUNCTION("""COMPUTED_VALUE"""),"250g Dates powder (6x)")</f>
        <v>250g Dates powder (6x)</v>
      </c>
      <c r="J16" s="33">
        <f>IFERROR(__xludf.DUMMYFUNCTION("""COMPUTED_VALUE"""),45972.0)</f>
        <v>45972</v>
      </c>
      <c r="K16" s="34" t="str">
        <f>IFERROR(__xludf.DUMMYFUNCTION("""COMPUTED_VALUE"""),"Twins Faja Supermarket, OLAKUNLE")</f>
        <v>Twins Faja Supermarket, OLAKUNLE</v>
      </c>
      <c r="L16" s="34" t="str">
        <f>IFERROR(__xludf.DUMMYFUNCTION("""COMPUTED_VALUE"""),"Sales")</f>
        <v>Sales</v>
      </c>
      <c r="M16" s="35" t="str">
        <f>IFERROR(__xludf.DUMMYFUNCTION("""COMPUTED_VALUE"""),"DT:003396")</f>
        <v>DT:003396</v>
      </c>
      <c r="N16" s="57">
        <f>IFERROR(__xludf.DUMMYFUNCTION("""COMPUTED_VALUE"""),1.0)</f>
        <v>1</v>
      </c>
      <c r="O16" s="37">
        <f>IFERROR(__xludf.DUMMYFUNCTION("""COMPUTED_VALUE"""),12000.0)</f>
        <v>12000</v>
      </c>
      <c r="P16" s="38">
        <f t="shared" si="1"/>
        <v>12000</v>
      </c>
      <c r="R16" s="39"/>
      <c r="S16" s="40"/>
      <c r="T16" s="41"/>
      <c r="U16" s="41"/>
      <c r="V16" s="2"/>
      <c r="W16" s="47"/>
      <c r="X16" s="42"/>
      <c r="AQ16" s="55"/>
      <c r="AV16" s="56"/>
    </row>
    <row r="17" ht="22.5" customHeight="1">
      <c r="A17" s="27" t="s">
        <v>22</v>
      </c>
      <c r="B17" s="28">
        <v>45971.0</v>
      </c>
      <c r="C17" s="29" t="s">
        <v>48</v>
      </c>
      <c r="D17" s="29" t="s">
        <v>26</v>
      </c>
      <c r="E17" s="23" t="s">
        <v>49</v>
      </c>
      <c r="F17" s="58">
        <v>1.0</v>
      </c>
      <c r="G17" s="31">
        <v>12000.0</v>
      </c>
      <c r="I17" s="32" t="str">
        <f>IFERROR(__xludf.DUMMYFUNCTION("""COMPUTED_VALUE"""),"250g Dates powder (6x)")</f>
        <v>250g Dates powder (6x)</v>
      </c>
      <c r="J17" s="33">
        <f>IFERROR(__xludf.DUMMYFUNCTION("""COMPUTED_VALUE"""),45973.0)</f>
        <v>45973</v>
      </c>
      <c r="K17" s="34" t="str">
        <f>IFERROR(__xludf.DUMMYFUNCTION("""COMPUTED_VALUE"""),"Jendol Supermarket, OJODU")</f>
        <v>Jendol Supermarket, OJODU</v>
      </c>
      <c r="L17" s="34" t="str">
        <f>IFERROR(__xludf.DUMMYFUNCTION("""COMPUTED_VALUE"""),"Sales")</f>
        <v>Sales</v>
      </c>
      <c r="M17" s="35" t="str">
        <f>IFERROR(__xludf.DUMMYFUNCTION("""COMPUTED_VALUE"""),"DT:003406")</f>
        <v>DT:003406</v>
      </c>
      <c r="N17" s="57">
        <f>IFERROR(__xludf.DUMMYFUNCTION("""COMPUTED_VALUE"""),3.0)</f>
        <v>3</v>
      </c>
      <c r="O17" s="37">
        <f>IFERROR(__xludf.DUMMYFUNCTION("""COMPUTED_VALUE"""),36000.0)</f>
        <v>36000</v>
      </c>
      <c r="P17" s="38">
        <f t="shared" si="1"/>
        <v>36000</v>
      </c>
      <c r="R17" s="39"/>
      <c r="S17" s="40"/>
      <c r="T17" s="41"/>
      <c r="U17" s="41"/>
      <c r="V17" s="2"/>
      <c r="W17" s="47"/>
      <c r="X17" s="42"/>
      <c r="AQ17" s="55"/>
      <c r="AV17" s="56"/>
    </row>
    <row r="18" ht="22.5" customHeight="1">
      <c r="A18" s="27" t="s">
        <v>22</v>
      </c>
      <c r="B18" s="28">
        <v>45972.0</v>
      </c>
      <c r="C18" s="29" t="s">
        <v>50</v>
      </c>
      <c r="D18" s="29" t="s">
        <v>26</v>
      </c>
      <c r="E18" s="23" t="s">
        <v>51</v>
      </c>
      <c r="F18" s="58">
        <v>1.0</v>
      </c>
      <c r="G18" s="31">
        <v>12000.0</v>
      </c>
      <c r="I18" s="32" t="str">
        <f>IFERROR(__xludf.DUMMYFUNCTION("""COMPUTED_VALUE"""),"250g Dates powder (6x)")</f>
        <v>250g Dates powder (6x)</v>
      </c>
      <c r="J18" s="33">
        <f>IFERROR(__xludf.DUMMYFUNCTION("""COMPUTED_VALUE"""),45973.0)</f>
        <v>45973</v>
      </c>
      <c r="K18" s="34" t="str">
        <f>IFERROR(__xludf.DUMMYFUNCTION("""COMPUTED_VALUE"""),"Mitch &amp; Good Supermarket")</f>
        <v>Mitch &amp; Good Supermarket</v>
      </c>
      <c r="L18" s="34" t="str">
        <f>IFERROR(__xludf.DUMMYFUNCTION("""COMPUTED_VALUE"""),"Sales")</f>
        <v>Sales</v>
      </c>
      <c r="M18" s="35" t="str">
        <f>IFERROR(__xludf.DUMMYFUNCTION("""COMPUTED_VALUE"""),"DT:003414")</f>
        <v>DT:003414</v>
      </c>
      <c r="N18" s="57">
        <f>IFERROR(__xludf.DUMMYFUNCTION("""COMPUTED_VALUE"""),1.0)</f>
        <v>1</v>
      </c>
      <c r="O18" s="37">
        <f>IFERROR(__xludf.DUMMYFUNCTION("""COMPUTED_VALUE"""),12000.0)</f>
        <v>12000</v>
      </c>
      <c r="P18" s="38">
        <f t="shared" si="1"/>
        <v>12000</v>
      </c>
      <c r="R18" s="39"/>
      <c r="S18" s="40"/>
      <c r="T18" s="41"/>
      <c r="U18" s="41"/>
      <c r="V18" s="2"/>
      <c r="W18" s="47"/>
      <c r="X18" s="42"/>
      <c r="AQ18" s="55"/>
      <c r="AV18" s="56"/>
    </row>
    <row r="19" ht="22.5" customHeight="1">
      <c r="A19" s="27" t="s">
        <v>22</v>
      </c>
      <c r="B19" s="28">
        <v>45973.0</v>
      </c>
      <c r="C19" s="29" t="s">
        <v>52</v>
      </c>
      <c r="D19" s="29" t="s">
        <v>26</v>
      </c>
      <c r="E19" s="23" t="s">
        <v>53</v>
      </c>
      <c r="F19" s="58">
        <v>3.0</v>
      </c>
      <c r="G19" s="31">
        <v>36000.0</v>
      </c>
      <c r="I19" s="32" t="str">
        <f>IFERROR(__xludf.DUMMYFUNCTION("""COMPUTED_VALUE"""),"250g Dates powder (6x)")</f>
        <v>250g Dates powder (6x)</v>
      </c>
      <c r="J19" s="33">
        <f>IFERROR(__xludf.DUMMYFUNCTION("""COMPUTED_VALUE"""),45973.0)</f>
        <v>45973</v>
      </c>
      <c r="K19" s="34" t="str">
        <f>IFERROR(__xludf.DUMMYFUNCTION("""COMPUTED_VALUE"""),"Ozzy Supermarket, VICTORY PARK EST.")</f>
        <v>Ozzy Supermarket, VICTORY PARK EST.</v>
      </c>
      <c r="L19" s="34" t="str">
        <f>IFERROR(__xludf.DUMMYFUNCTION("""COMPUTED_VALUE"""),"Sales")</f>
        <v>Sales</v>
      </c>
      <c r="M19" s="35" t="str">
        <f>IFERROR(__xludf.DUMMYFUNCTION("""COMPUTED_VALUE"""),"DT:003418")</f>
        <v>DT:003418</v>
      </c>
      <c r="N19" s="57">
        <f>IFERROR(__xludf.DUMMYFUNCTION("""COMPUTED_VALUE"""),1.0)</f>
        <v>1</v>
      </c>
      <c r="O19" s="37">
        <f>IFERROR(__xludf.DUMMYFUNCTION("""COMPUTED_VALUE"""),12000.0)</f>
        <v>12000</v>
      </c>
      <c r="P19" s="38">
        <f t="shared" si="1"/>
        <v>12000</v>
      </c>
      <c r="R19" s="39"/>
      <c r="S19" s="40"/>
      <c r="T19" s="41"/>
      <c r="U19" s="41"/>
      <c r="V19" s="2"/>
      <c r="W19" s="47"/>
      <c r="X19" s="42"/>
      <c r="AQ19" s="55"/>
      <c r="AV19" s="56"/>
    </row>
    <row r="20" ht="22.5" customHeight="1">
      <c r="A20" s="27" t="s">
        <v>22</v>
      </c>
      <c r="B20" s="28">
        <v>45973.0</v>
      </c>
      <c r="C20" s="29" t="s">
        <v>54</v>
      </c>
      <c r="D20" s="29" t="s">
        <v>26</v>
      </c>
      <c r="E20" s="23" t="s">
        <v>55</v>
      </c>
      <c r="F20" s="58">
        <v>1.0</v>
      </c>
      <c r="G20" s="31">
        <v>12000.0</v>
      </c>
      <c r="I20" s="32" t="str">
        <f>IFERROR(__xludf.DUMMYFUNCTION("""COMPUTED_VALUE"""),"250g Dates powder (6x)")</f>
        <v>250g Dates powder (6x)</v>
      </c>
      <c r="J20" s="33">
        <f>IFERROR(__xludf.DUMMYFUNCTION("""COMPUTED_VALUE"""),45973.0)</f>
        <v>45973</v>
      </c>
      <c r="K20" s="34" t="str">
        <f>IFERROR(__xludf.DUMMYFUNCTION("""COMPUTED_VALUE"""),"Renees Supermarket, FREEDOM WAY")</f>
        <v>Renees Supermarket, FREEDOM WAY</v>
      </c>
      <c r="L20" s="34" t="str">
        <f>IFERROR(__xludf.DUMMYFUNCTION("""COMPUTED_VALUE"""),"Sales")</f>
        <v>Sales</v>
      </c>
      <c r="M20" s="35" t="str">
        <f>IFERROR(__xludf.DUMMYFUNCTION("""COMPUTED_VALUE"""),"DT:003426")</f>
        <v>DT:003426</v>
      </c>
      <c r="N20" s="57">
        <f>IFERROR(__xludf.DUMMYFUNCTION("""COMPUTED_VALUE"""),0.5)</f>
        <v>0.5</v>
      </c>
      <c r="O20" s="37">
        <f>IFERROR(__xludf.DUMMYFUNCTION("""COMPUTED_VALUE"""),6000.0)</f>
        <v>6000</v>
      </c>
      <c r="P20" s="38">
        <f t="shared" si="1"/>
        <v>6000</v>
      </c>
      <c r="R20" s="39"/>
      <c r="S20" s="40"/>
      <c r="T20" s="41"/>
      <c r="U20" s="41"/>
      <c r="V20" s="2"/>
      <c r="W20" s="47"/>
      <c r="X20" s="42"/>
      <c r="AQ20" s="55"/>
      <c r="AV20" s="56"/>
    </row>
    <row r="21" ht="22.5" customHeight="1">
      <c r="A21" s="27" t="s">
        <v>22</v>
      </c>
      <c r="B21" s="28">
        <v>45973.0</v>
      </c>
      <c r="C21" s="29" t="s">
        <v>56</v>
      </c>
      <c r="D21" s="29" t="s">
        <v>26</v>
      </c>
      <c r="E21" s="23" t="s">
        <v>57</v>
      </c>
      <c r="F21" s="58">
        <v>1.0</v>
      </c>
      <c r="G21" s="31">
        <v>12000.0</v>
      </c>
      <c r="I21" s="32" t="str">
        <f>IFERROR(__xludf.DUMMYFUNCTION("""COMPUTED_VALUE"""),"250g Dates powder (6x)")</f>
        <v>250g Dates powder (6x)</v>
      </c>
      <c r="J21" s="33">
        <f>IFERROR(__xludf.DUMMYFUNCTION("""COMPUTED_VALUE"""),45974.0)</f>
        <v>45974</v>
      </c>
      <c r="K21" s="34" t="str">
        <f>IFERROR(__xludf.DUMMYFUNCTION("""COMPUTED_VALUE"""),"Katta Supermarket")</f>
        <v>Katta Supermarket</v>
      </c>
      <c r="L21" s="34" t="str">
        <f>IFERROR(__xludf.DUMMYFUNCTION("""COMPUTED_VALUE"""),"Sales")</f>
        <v>Sales</v>
      </c>
      <c r="M21" s="35" t="str">
        <f>IFERROR(__xludf.DUMMYFUNCTION("""COMPUTED_VALUE"""),"DT:003439")</f>
        <v>DT:003439</v>
      </c>
      <c r="N21" s="57">
        <f>IFERROR(__xludf.DUMMYFUNCTION("""COMPUTED_VALUE"""),2.0)</f>
        <v>2</v>
      </c>
      <c r="O21" s="37">
        <f>IFERROR(__xludf.DUMMYFUNCTION("""COMPUTED_VALUE"""),24000.0)</f>
        <v>24000</v>
      </c>
      <c r="P21" s="38">
        <f t="shared" si="1"/>
        <v>24000</v>
      </c>
      <c r="R21" s="39"/>
      <c r="S21" s="40"/>
      <c r="T21" s="41"/>
      <c r="U21" s="41"/>
      <c r="V21" s="2"/>
      <c r="W21" s="47"/>
      <c r="X21" s="42"/>
      <c r="AQ21" s="55"/>
      <c r="AV21" s="56"/>
    </row>
    <row r="22" ht="22.5" customHeight="1">
      <c r="A22" s="27" t="s">
        <v>22</v>
      </c>
      <c r="B22" s="28">
        <v>45973.0</v>
      </c>
      <c r="C22" s="29" t="s">
        <v>38</v>
      </c>
      <c r="D22" s="29" t="s">
        <v>26</v>
      </c>
      <c r="E22" s="23" t="s">
        <v>58</v>
      </c>
      <c r="F22" s="58">
        <v>0.5</v>
      </c>
      <c r="G22" s="31">
        <v>6000.0</v>
      </c>
      <c r="I22" s="32" t="str">
        <f>IFERROR(__xludf.DUMMYFUNCTION("""COMPUTED_VALUE"""),"250g Dates powder (6x)")</f>
        <v>250g Dates powder (6x)</v>
      </c>
      <c r="J22" s="33">
        <f>IFERROR(__xludf.DUMMYFUNCTION("""COMPUTED_VALUE"""),45974.0)</f>
        <v>45974</v>
      </c>
      <c r="K22" s="34" t="str">
        <f>IFERROR(__xludf.DUMMYFUNCTION("""COMPUTED_VALUE"""),"Prince Ebeano, ELEGANZA")</f>
        <v>Prince Ebeano, ELEGANZA</v>
      </c>
      <c r="L22" s="34" t="str">
        <f>IFERROR(__xludf.DUMMYFUNCTION("""COMPUTED_VALUE"""),"Sales")</f>
        <v>Sales</v>
      </c>
      <c r="M22" s="35" t="str">
        <f>IFERROR(__xludf.DUMMYFUNCTION("""COMPUTED_VALUE"""),"DT:003441")</f>
        <v>DT:003441</v>
      </c>
      <c r="N22" s="57">
        <f>IFERROR(__xludf.DUMMYFUNCTION("""COMPUTED_VALUE"""),1.0)</f>
        <v>1</v>
      </c>
      <c r="O22" s="37">
        <f>IFERROR(__xludf.DUMMYFUNCTION("""COMPUTED_VALUE"""),12000.0)</f>
        <v>12000</v>
      </c>
      <c r="P22" s="38">
        <f t="shared" si="1"/>
        <v>12000</v>
      </c>
      <c r="R22" s="39"/>
      <c r="S22" s="40"/>
      <c r="T22" s="41"/>
      <c r="U22" s="41"/>
      <c r="V22" s="2"/>
      <c r="W22" s="47"/>
      <c r="X22" s="42"/>
      <c r="AQ22" s="55"/>
      <c r="AV22" s="56"/>
    </row>
    <row r="23" ht="22.5" customHeight="1">
      <c r="A23" s="27" t="s">
        <v>22</v>
      </c>
      <c r="B23" s="28">
        <v>45974.0</v>
      </c>
      <c r="C23" s="29" t="s">
        <v>59</v>
      </c>
      <c r="D23" s="29" t="s">
        <v>26</v>
      </c>
      <c r="E23" s="23" t="s">
        <v>60</v>
      </c>
      <c r="F23" s="58">
        <v>2.0</v>
      </c>
      <c r="G23" s="31">
        <v>24000.0</v>
      </c>
      <c r="I23" s="32" t="str">
        <f>IFERROR(__xludf.DUMMYFUNCTION("""COMPUTED_VALUE"""),"250g Dates powder (6x)")</f>
        <v>250g Dates powder (6x)</v>
      </c>
      <c r="J23" s="33">
        <f>IFERROR(__xludf.DUMMYFUNCTION("""COMPUTED_VALUE"""),45974.0)</f>
        <v>45974</v>
      </c>
      <c r="K23" s="34" t="str">
        <f>IFERROR(__xludf.DUMMYFUNCTION("""COMPUTED_VALUE"""),"Jendol Supermarket, U-TURN")</f>
        <v>Jendol Supermarket, U-TURN</v>
      </c>
      <c r="L23" s="34" t="str">
        <f>IFERROR(__xludf.DUMMYFUNCTION("""COMPUTED_VALUE"""),"Sales")</f>
        <v>Sales</v>
      </c>
      <c r="M23" s="35" t="str">
        <f>IFERROR(__xludf.DUMMYFUNCTION("""COMPUTED_VALUE"""),"DT:003443")</f>
        <v>DT:003443</v>
      </c>
      <c r="N23" s="57">
        <f>IFERROR(__xludf.DUMMYFUNCTION("""COMPUTED_VALUE"""),2.0)</f>
        <v>2</v>
      </c>
      <c r="O23" s="37">
        <f>IFERROR(__xludf.DUMMYFUNCTION("""COMPUTED_VALUE"""),24000.0)</f>
        <v>24000</v>
      </c>
      <c r="P23" s="38">
        <f t="shared" si="1"/>
        <v>24000</v>
      </c>
      <c r="R23" s="39"/>
      <c r="S23" s="40"/>
      <c r="T23" s="46"/>
      <c r="U23" s="41"/>
      <c r="V23" s="2"/>
      <c r="W23" s="47"/>
      <c r="X23" s="42"/>
      <c r="AQ23" s="55"/>
      <c r="AV23" s="56"/>
    </row>
    <row r="24" ht="22.5" customHeight="1">
      <c r="A24" s="27" t="s">
        <v>22</v>
      </c>
      <c r="B24" s="28">
        <v>45974.0</v>
      </c>
      <c r="C24" s="29" t="s">
        <v>61</v>
      </c>
      <c r="D24" s="29" t="s">
        <v>26</v>
      </c>
      <c r="E24" s="23" t="s">
        <v>62</v>
      </c>
      <c r="F24" s="58">
        <v>1.0</v>
      </c>
      <c r="G24" s="31">
        <v>12000.0</v>
      </c>
      <c r="I24" s="32" t="str">
        <f>IFERROR(__xludf.DUMMYFUNCTION("""COMPUTED_VALUE"""),"250g Dates powder (6x)")</f>
        <v>250g Dates powder (6x)</v>
      </c>
      <c r="J24" s="33">
        <f>IFERROR(__xludf.DUMMYFUNCTION("""COMPUTED_VALUE"""),45974.0)</f>
        <v>45974</v>
      </c>
      <c r="K24" s="34" t="str">
        <f>IFERROR(__xludf.DUMMYFUNCTION("""COMPUTED_VALUE"""),"Renees Supermarket, IKOYI")</f>
        <v>Renees Supermarket, IKOYI</v>
      </c>
      <c r="L24" s="34" t="str">
        <f>IFERROR(__xludf.DUMMYFUNCTION("""COMPUTED_VALUE"""),"Sales")</f>
        <v>Sales</v>
      </c>
      <c r="M24" s="35" t="str">
        <f>IFERROR(__xludf.DUMMYFUNCTION("""COMPUTED_VALUE"""),"DT:003449")</f>
        <v>DT:003449</v>
      </c>
      <c r="N24" s="57">
        <f>IFERROR(__xludf.DUMMYFUNCTION("""COMPUTED_VALUE"""),1.0)</f>
        <v>1</v>
      </c>
      <c r="O24" s="37">
        <f>IFERROR(__xludf.DUMMYFUNCTION("""COMPUTED_VALUE"""),12000.0)</f>
        <v>12000</v>
      </c>
      <c r="P24" s="38">
        <f t="shared" si="1"/>
        <v>12000</v>
      </c>
      <c r="R24" s="39"/>
      <c r="S24" s="40"/>
      <c r="T24" s="46"/>
      <c r="U24" s="41"/>
      <c r="V24" s="2"/>
      <c r="W24" s="47"/>
      <c r="X24" s="42"/>
      <c r="AQ24" s="55"/>
      <c r="AV24" s="56"/>
    </row>
    <row r="25" ht="22.5" customHeight="1">
      <c r="A25" s="27" t="s">
        <v>22</v>
      </c>
      <c r="B25" s="28">
        <v>45974.0</v>
      </c>
      <c r="C25" s="29" t="s">
        <v>63</v>
      </c>
      <c r="D25" s="29" t="s">
        <v>26</v>
      </c>
      <c r="E25" s="23" t="s">
        <v>64</v>
      </c>
      <c r="F25" s="58">
        <v>2.0</v>
      </c>
      <c r="G25" s="31">
        <v>24000.0</v>
      </c>
      <c r="I25" s="32" t="str">
        <f>IFERROR(__xludf.DUMMYFUNCTION("""COMPUTED_VALUE"""),"250g Dates powder (6x)")</f>
        <v>250g Dates powder (6x)</v>
      </c>
      <c r="J25" s="33">
        <f>IFERROR(__xludf.DUMMYFUNCTION("""COMPUTED_VALUE"""),45976.0)</f>
        <v>45976</v>
      </c>
      <c r="K25" s="34" t="str">
        <f>IFERROR(__xludf.DUMMYFUNCTION("""COMPUTED_VALUE"""),"Jendol Supermarket, IBAFO")</f>
        <v>Jendol Supermarket, IBAFO</v>
      </c>
      <c r="L25" s="34" t="str">
        <f>IFERROR(__xludf.DUMMYFUNCTION("""COMPUTED_VALUE"""),"Sales")</f>
        <v>Sales</v>
      </c>
      <c r="M25" s="35" t="str">
        <f>IFERROR(__xludf.DUMMYFUNCTION("""COMPUTED_VALUE"""),"DT:003599")</f>
        <v>DT:003599</v>
      </c>
      <c r="N25" s="57">
        <f>IFERROR(__xludf.DUMMYFUNCTION("""COMPUTED_VALUE"""),1.0)</f>
        <v>1</v>
      </c>
      <c r="O25" s="37">
        <f>IFERROR(__xludf.DUMMYFUNCTION("""COMPUTED_VALUE"""),12000.0)</f>
        <v>12000</v>
      </c>
      <c r="P25" s="38">
        <f t="shared" si="1"/>
        <v>12000</v>
      </c>
      <c r="R25" s="39"/>
      <c r="S25" s="40"/>
      <c r="T25" s="46"/>
      <c r="U25" s="41"/>
      <c r="V25" s="2"/>
      <c r="W25" s="2"/>
      <c r="X25" s="42"/>
      <c r="AQ25" s="55"/>
      <c r="AV25" s="56"/>
    </row>
    <row r="26" ht="22.5" customHeight="1">
      <c r="A26" s="27" t="s">
        <v>22</v>
      </c>
      <c r="B26" s="28">
        <v>45974.0</v>
      </c>
      <c r="C26" s="29" t="s">
        <v>32</v>
      </c>
      <c r="D26" s="29" t="s">
        <v>26</v>
      </c>
      <c r="E26" s="23" t="s">
        <v>65</v>
      </c>
      <c r="F26" s="58">
        <v>1.0</v>
      </c>
      <c r="G26" s="31">
        <v>12000.0</v>
      </c>
      <c r="I26" s="32" t="str">
        <f>IFERROR(__xludf.DUMMYFUNCTION("""COMPUTED_VALUE"""),"250g Dates powder (6x)")</f>
        <v>250g Dates powder (6x)</v>
      </c>
      <c r="J26" s="33">
        <f>IFERROR(__xludf.DUMMYFUNCTION("""COMPUTED_VALUE"""),45978.0)</f>
        <v>45978</v>
      </c>
      <c r="K26" s="34" t="str">
        <f>IFERROR(__xludf.DUMMYFUNCTION("""COMPUTED_VALUE"""),"Sobees Supermarket")</f>
        <v>Sobees Supermarket</v>
      </c>
      <c r="L26" s="34" t="str">
        <f>IFERROR(__xludf.DUMMYFUNCTION("""COMPUTED_VALUE"""),"Sales")</f>
        <v>Sales</v>
      </c>
      <c r="M26" s="35" t="str">
        <f>IFERROR(__xludf.DUMMYFUNCTION("""COMPUTED_VALUE"""),"DT:003520")</f>
        <v>DT:003520</v>
      </c>
      <c r="N26" s="57">
        <f>IFERROR(__xludf.DUMMYFUNCTION("""COMPUTED_VALUE"""),1.0)</f>
        <v>1</v>
      </c>
      <c r="O26" s="37">
        <f>IFERROR(__xludf.DUMMYFUNCTION("""COMPUTED_VALUE"""),12000.0)</f>
        <v>12000</v>
      </c>
      <c r="P26" s="38">
        <f t="shared" si="1"/>
        <v>12000</v>
      </c>
      <c r="R26" s="39"/>
      <c r="S26" s="40"/>
      <c r="T26" s="41"/>
      <c r="U26" s="41"/>
      <c r="V26" s="2"/>
      <c r="W26" s="47"/>
      <c r="X26" s="42"/>
      <c r="AQ26" s="55"/>
      <c r="AV26" s="56"/>
    </row>
    <row r="27" ht="22.5" customHeight="1">
      <c r="A27" s="27" t="s">
        <v>22</v>
      </c>
      <c r="B27" s="28">
        <v>45976.0</v>
      </c>
      <c r="C27" s="29" t="s">
        <v>66</v>
      </c>
      <c r="D27" s="29" t="s">
        <v>26</v>
      </c>
      <c r="E27" s="23" t="s">
        <v>67</v>
      </c>
      <c r="F27" s="58">
        <v>1.0</v>
      </c>
      <c r="G27" s="31">
        <v>12000.0</v>
      </c>
      <c r="I27" s="32" t="str">
        <f>IFERROR(__xludf.DUMMYFUNCTION("""COMPUTED_VALUE"""),"250g Dates powder (6x)")</f>
        <v>250g Dates powder (6x)</v>
      </c>
      <c r="J27" s="33">
        <f>IFERROR(__xludf.DUMMYFUNCTION("""COMPUTED_VALUE"""),45979.0)</f>
        <v>45979</v>
      </c>
      <c r="K27" s="34" t="str">
        <f>IFERROR(__xludf.DUMMYFUNCTION("""COMPUTED_VALUE"""),"Hutoos Supermarket, Ogba")</f>
        <v>Hutoos Supermarket, Ogba</v>
      </c>
      <c r="L27" s="34" t="str">
        <f>IFERROR(__xludf.DUMMYFUNCTION("""COMPUTED_VALUE"""),"Sales")</f>
        <v>Sales</v>
      </c>
      <c r="M27" s="35" t="str">
        <f>IFERROR(__xludf.DUMMYFUNCTION("""COMPUTED_VALUE"""),"DT:003503")</f>
        <v>DT:003503</v>
      </c>
      <c r="N27" s="57">
        <f>IFERROR(__xludf.DUMMYFUNCTION("""COMPUTED_VALUE"""),2.0)</f>
        <v>2</v>
      </c>
      <c r="O27" s="37">
        <f>IFERROR(__xludf.DUMMYFUNCTION("""COMPUTED_VALUE"""),24000.0)</f>
        <v>24000</v>
      </c>
      <c r="P27" s="38">
        <f t="shared" si="1"/>
        <v>24000</v>
      </c>
      <c r="R27" s="39"/>
      <c r="S27" s="40"/>
      <c r="T27" s="41"/>
      <c r="U27" s="41"/>
      <c r="V27" s="2"/>
      <c r="W27" s="2"/>
      <c r="X27" s="42"/>
      <c r="AQ27" s="55"/>
      <c r="AV27" s="56"/>
    </row>
    <row r="28" ht="22.5" customHeight="1">
      <c r="A28" s="27" t="s">
        <v>22</v>
      </c>
      <c r="B28" s="28">
        <v>45978.0</v>
      </c>
      <c r="C28" s="29" t="s">
        <v>68</v>
      </c>
      <c r="D28" s="29" t="s">
        <v>26</v>
      </c>
      <c r="E28" s="23" t="s">
        <v>69</v>
      </c>
      <c r="F28" s="58">
        <v>1.0</v>
      </c>
      <c r="G28" s="31">
        <v>12000.0</v>
      </c>
      <c r="I28" s="32" t="str">
        <f>IFERROR(__xludf.DUMMYFUNCTION("""COMPUTED_VALUE"""),"250g Dates powder (6x)")</f>
        <v>250g Dates powder (6x)</v>
      </c>
      <c r="J28" s="33">
        <f>IFERROR(__xludf.DUMMYFUNCTION("""COMPUTED_VALUE"""),45979.0)</f>
        <v>45979</v>
      </c>
      <c r="K28" s="34" t="str">
        <f>IFERROR(__xludf.DUMMYFUNCTION("""COMPUTED_VALUE"""),"Compramart Supermarket, MOBILE Rd.")</f>
        <v>Compramart Supermarket, MOBILE Rd.</v>
      </c>
      <c r="L28" s="34" t="str">
        <f>IFERROR(__xludf.DUMMYFUNCTION("""COMPUTED_VALUE"""),"Sales")</f>
        <v>Sales</v>
      </c>
      <c r="M28" s="35" t="str">
        <f>IFERROR(__xludf.DUMMYFUNCTION("""COMPUTED_VALUE"""),"DT:003543")</f>
        <v>DT:003543</v>
      </c>
      <c r="N28" s="57">
        <f>IFERROR(__xludf.DUMMYFUNCTION("""COMPUTED_VALUE"""),1.0)</f>
        <v>1</v>
      </c>
      <c r="O28" s="37">
        <f>IFERROR(__xludf.DUMMYFUNCTION("""COMPUTED_VALUE"""),12000.0)</f>
        <v>12000</v>
      </c>
      <c r="P28" s="38">
        <f t="shared" si="1"/>
        <v>12000</v>
      </c>
      <c r="R28" s="39"/>
      <c r="S28" s="40"/>
      <c r="T28" s="41"/>
      <c r="U28" s="41"/>
      <c r="V28" s="2"/>
      <c r="W28" s="47"/>
      <c r="X28" s="42"/>
      <c r="AQ28" s="55"/>
      <c r="AV28" s="56"/>
    </row>
    <row r="29" ht="22.5" customHeight="1">
      <c r="A29" s="27" t="s">
        <v>22</v>
      </c>
      <c r="B29" s="28">
        <v>45979.0</v>
      </c>
      <c r="C29" s="29" t="s">
        <v>34</v>
      </c>
      <c r="D29" s="29" t="s">
        <v>26</v>
      </c>
      <c r="E29" s="23" t="s">
        <v>70</v>
      </c>
      <c r="F29" s="58">
        <v>2.0</v>
      </c>
      <c r="G29" s="31">
        <v>24000.0</v>
      </c>
      <c r="I29" s="32" t="str">
        <f>IFERROR(__xludf.DUMMYFUNCTION("""COMPUTED_VALUE"""),"250g Dates powder (6x)")</f>
        <v>250g Dates powder (6x)</v>
      </c>
      <c r="J29" s="33">
        <f>IFERROR(__xludf.DUMMYFUNCTION("""COMPUTED_VALUE"""),45979.0)</f>
        <v>45979</v>
      </c>
      <c r="K29" s="34" t="str">
        <f>IFERROR(__xludf.DUMMYFUNCTION("""COMPUTED_VALUE"""),"Jendol Supermarket, AJAH")</f>
        <v>Jendol Supermarket, AJAH</v>
      </c>
      <c r="L29" s="34" t="str">
        <f>IFERROR(__xludf.DUMMYFUNCTION("""COMPUTED_VALUE"""),"Sales")</f>
        <v>Sales</v>
      </c>
      <c r="M29" s="35" t="str">
        <f>IFERROR(__xludf.DUMMYFUNCTION("""COMPUTED_VALUE"""),"DT:003544")</f>
        <v>DT:003544</v>
      </c>
      <c r="N29" s="57">
        <f>IFERROR(__xludf.DUMMYFUNCTION("""COMPUTED_VALUE"""),2.0)</f>
        <v>2</v>
      </c>
      <c r="O29" s="37">
        <f>IFERROR(__xludf.DUMMYFUNCTION("""COMPUTED_VALUE"""),24000.0)</f>
        <v>24000</v>
      </c>
      <c r="P29" s="38">
        <f t="shared" si="1"/>
        <v>24000</v>
      </c>
      <c r="R29" s="39"/>
      <c r="S29" s="40"/>
      <c r="T29" s="41"/>
      <c r="U29" s="41"/>
      <c r="V29" s="2"/>
      <c r="W29" s="2"/>
      <c r="X29" s="42"/>
      <c r="AQ29" s="55"/>
      <c r="AV29" s="56"/>
    </row>
    <row r="30" ht="22.5" customHeight="1">
      <c r="A30" s="27" t="s">
        <v>22</v>
      </c>
      <c r="B30" s="40">
        <v>45979.0</v>
      </c>
      <c r="C30" s="41" t="s">
        <v>71</v>
      </c>
      <c r="D30" s="41" t="s">
        <v>26</v>
      </c>
      <c r="E30" s="2" t="s">
        <v>72</v>
      </c>
      <c r="F30" s="47">
        <v>1.0</v>
      </c>
      <c r="G30" s="49">
        <v>12000.0</v>
      </c>
      <c r="I30" s="32" t="str">
        <f>IFERROR(__xludf.DUMMYFUNCTION("""COMPUTED_VALUE"""),"250g Dates powder (6x)")</f>
        <v>250g Dates powder (6x)</v>
      </c>
      <c r="J30" s="33">
        <f>IFERROR(__xludf.DUMMYFUNCTION("""COMPUTED_VALUE"""),45980.0)</f>
        <v>45980</v>
      </c>
      <c r="K30" s="34" t="str">
        <f>IFERROR(__xludf.DUMMYFUNCTION("""COMPUTED_VALUE"""),"Renees Supermarket, FREEDOM WAY")</f>
        <v>Renees Supermarket, FREEDOM WAY</v>
      </c>
      <c r="L30" s="34" t="str">
        <f>IFERROR(__xludf.DUMMYFUNCTION("""COMPUTED_VALUE"""),"Sales")</f>
        <v>Sales</v>
      </c>
      <c r="M30" s="35" t="str">
        <f>IFERROR(__xludf.DUMMYFUNCTION("""COMPUTED_VALUE"""),"DT:003499")</f>
        <v>DT:003499</v>
      </c>
      <c r="N30" s="57">
        <f>IFERROR(__xludf.DUMMYFUNCTION("""COMPUTED_VALUE"""),1.0)</f>
        <v>1</v>
      </c>
      <c r="O30" s="37">
        <f>IFERROR(__xludf.DUMMYFUNCTION("""COMPUTED_VALUE"""),12000.0)</f>
        <v>12000</v>
      </c>
      <c r="P30" s="38">
        <f t="shared" si="1"/>
        <v>12000</v>
      </c>
      <c r="R30" s="39"/>
      <c r="S30" s="40"/>
      <c r="T30" s="41"/>
      <c r="U30" s="41"/>
      <c r="V30" s="2"/>
      <c r="W30" s="47"/>
      <c r="X30" s="42"/>
      <c r="AQ30" s="55"/>
      <c r="AV30" s="56"/>
    </row>
    <row r="31" ht="22.5" customHeight="1">
      <c r="A31" s="27" t="s">
        <v>22</v>
      </c>
      <c r="B31" s="40">
        <v>45979.0</v>
      </c>
      <c r="C31" s="41" t="s">
        <v>73</v>
      </c>
      <c r="D31" s="41" t="s">
        <v>26</v>
      </c>
      <c r="E31" s="2" t="s">
        <v>74</v>
      </c>
      <c r="F31" s="2">
        <v>2.0</v>
      </c>
      <c r="G31" s="49">
        <v>24000.0</v>
      </c>
      <c r="I31" s="32" t="str">
        <f>IFERROR(__xludf.DUMMYFUNCTION("""COMPUTED_VALUE"""),"250g Dates powder (6x)")</f>
        <v>250g Dates powder (6x)</v>
      </c>
      <c r="J31" s="33">
        <f>IFERROR(__xludf.DUMMYFUNCTION("""COMPUTED_VALUE"""),45982.0)</f>
        <v>45982</v>
      </c>
      <c r="K31" s="34" t="str">
        <f>IFERROR(__xludf.DUMMYFUNCTION("""COMPUTED_VALUE"""),"Jendol Supermarket, ODOGUNYA")</f>
        <v>Jendol Supermarket, ODOGUNYA</v>
      </c>
      <c r="L31" s="34" t="str">
        <f>IFERROR(__xludf.DUMMYFUNCTION("""COMPUTED_VALUE"""),"Sales")</f>
        <v>Sales</v>
      </c>
      <c r="M31" s="35" t="str">
        <f>IFERROR(__xludf.DUMMYFUNCTION("""COMPUTED_VALUE"""),"DT:003561")</f>
        <v>DT:003561</v>
      </c>
      <c r="N31" s="57">
        <f>IFERROR(__xludf.DUMMYFUNCTION("""COMPUTED_VALUE"""),2.0)</f>
        <v>2</v>
      </c>
      <c r="O31" s="37">
        <f>IFERROR(__xludf.DUMMYFUNCTION("""COMPUTED_VALUE"""),24000.0)</f>
        <v>24000</v>
      </c>
      <c r="P31" s="38">
        <f t="shared" si="1"/>
        <v>24000</v>
      </c>
      <c r="R31" s="39"/>
      <c r="S31" s="40"/>
      <c r="T31" s="41"/>
      <c r="U31" s="41"/>
      <c r="V31" s="2"/>
      <c r="W31" s="2"/>
      <c r="X31" s="42"/>
      <c r="AQ31" s="55"/>
      <c r="AV31" s="56"/>
    </row>
    <row r="32" ht="22.5" customHeight="1">
      <c r="A32" s="27" t="s">
        <v>22</v>
      </c>
      <c r="B32" s="40">
        <v>45980.0</v>
      </c>
      <c r="C32" s="41" t="s">
        <v>38</v>
      </c>
      <c r="D32" s="41" t="s">
        <v>26</v>
      </c>
      <c r="E32" s="2" t="s">
        <v>75</v>
      </c>
      <c r="F32" s="2">
        <v>1.0</v>
      </c>
      <c r="G32" s="49">
        <v>12000.0</v>
      </c>
      <c r="I32" s="32" t="str">
        <f>IFERROR(__xludf.DUMMYFUNCTION("""COMPUTED_VALUE"""),"250g Dates powder (6x)")</f>
        <v>250g Dates powder (6x)</v>
      </c>
      <c r="J32" s="33">
        <f>IFERROR(__xludf.DUMMYFUNCTION("""COMPUTED_VALUE"""),45982.0)</f>
        <v>45982</v>
      </c>
      <c r="K32" s="34" t="str">
        <f>IFERROR(__xludf.DUMMYFUNCTION("""COMPUTED_VALUE"""),"Jendol Supermarket, EGBEDA")</f>
        <v>Jendol Supermarket, EGBEDA</v>
      </c>
      <c r="L32" s="34" t="str">
        <f>IFERROR(__xludf.DUMMYFUNCTION("""COMPUTED_VALUE"""),"Sales")</f>
        <v>Sales</v>
      </c>
      <c r="M32" s="35" t="str">
        <f>IFERROR(__xludf.DUMMYFUNCTION("""COMPUTED_VALUE"""),"DT:003570")</f>
        <v>DT:003570</v>
      </c>
      <c r="N32" s="57">
        <f>IFERROR(__xludf.DUMMYFUNCTION("""COMPUTED_VALUE"""),1.0)</f>
        <v>1</v>
      </c>
      <c r="O32" s="37">
        <f>IFERROR(__xludf.DUMMYFUNCTION("""COMPUTED_VALUE"""),12000.0)</f>
        <v>12000</v>
      </c>
      <c r="P32" s="38">
        <f t="shared" si="1"/>
        <v>12000</v>
      </c>
      <c r="R32" s="39"/>
      <c r="S32" s="40"/>
      <c r="T32" s="41"/>
      <c r="U32" s="41"/>
      <c r="V32" s="2"/>
      <c r="W32" s="47"/>
      <c r="X32" s="42"/>
      <c r="AQ32" s="55"/>
      <c r="AV32" s="56"/>
    </row>
    <row r="33" ht="22.5" customHeight="1">
      <c r="A33" s="27" t="s">
        <v>22</v>
      </c>
      <c r="B33" s="40">
        <v>45982.0</v>
      </c>
      <c r="C33" s="41" t="s">
        <v>76</v>
      </c>
      <c r="D33" s="41" t="s">
        <v>26</v>
      </c>
      <c r="E33" s="2" t="s">
        <v>77</v>
      </c>
      <c r="F33" s="2">
        <v>2.0</v>
      </c>
      <c r="G33" s="49">
        <v>24000.0</v>
      </c>
      <c r="I33" s="32" t="str">
        <f>IFERROR(__xludf.DUMMYFUNCTION("""COMPUTED_VALUE"""),"250g Dates powder (6x)")</f>
        <v>250g Dates powder (6x)</v>
      </c>
      <c r="J33" s="33">
        <f>IFERROR(__xludf.DUMMYFUNCTION("""COMPUTED_VALUE"""),45985.0)</f>
        <v>45985</v>
      </c>
      <c r="K33" s="34" t="str">
        <f>IFERROR(__xludf.DUMMYFUNCTION("""COMPUTED_VALUE"""),"Blenco Supermarket, ADO")</f>
        <v>Blenco Supermarket, ADO</v>
      </c>
      <c r="L33" s="34" t="str">
        <f>IFERROR(__xludf.DUMMYFUNCTION("""COMPUTED_VALUE"""),"Sales")</f>
        <v>Sales</v>
      </c>
      <c r="M33" s="35" t="str">
        <f>IFERROR(__xludf.DUMMYFUNCTION("""COMPUTED_VALUE"""),"DT:003603")</f>
        <v>DT:003603</v>
      </c>
      <c r="N33" s="57">
        <f>IFERROR(__xludf.DUMMYFUNCTION("""COMPUTED_VALUE"""),2.0)</f>
        <v>2</v>
      </c>
      <c r="O33" s="37">
        <f>IFERROR(__xludf.DUMMYFUNCTION("""COMPUTED_VALUE"""),24000.0)</f>
        <v>24000</v>
      </c>
      <c r="P33" s="38">
        <f t="shared" si="1"/>
        <v>24000</v>
      </c>
      <c r="R33" s="39"/>
      <c r="S33" s="40"/>
      <c r="T33" s="41"/>
      <c r="U33" s="41"/>
      <c r="V33" s="2"/>
      <c r="W33" s="2"/>
      <c r="X33" s="42"/>
      <c r="AQ33" s="55"/>
      <c r="AV33" s="56"/>
    </row>
    <row r="34" ht="22.5" customHeight="1">
      <c r="A34" s="27" t="s">
        <v>22</v>
      </c>
      <c r="B34" s="40">
        <v>45982.0</v>
      </c>
      <c r="C34" s="41" t="s">
        <v>78</v>
      </c>
      <c r="D34" s="41" t="s">
        <v>26</v>
      </c>
      <c r="E34" s="2" t="s">
        <v>79</v>
      </c>
      <c r="F34" s="2">
        <v>1.0</v>
      </c>
      <c r="G34" s="49">
        <v>12000.0</v>
      </c>
      <c r="I34" s="32" t="str">
        <f>IFERROR(__xludf.DUMMYFUNCTION("""COMPUTED_VALUE"""),"250g Dates powder (6x)")</f>
        <v>250g Dates powder (6x)</v>
      </c>
      <c r="J34" s="33">
        <f>IFERROR(__xludf.DUMMYFUNCTION("""COMPUTED_VALUE"""),45985.0)</f>
        <v>45985</v>
      </c>
      <c r="K34" s="34" t="str">
        <f>IFERROR(__xludf.DUMMYFUNCTION("""COMPUTED_VALUE"""),"Prince Ebeano, OLOGOLO")</f>
        <v>Prince Ebeano, OLOGOLO</v>
      </c>
      <c r="L34" s="34" t="str">
        <f>IFERROR(__xludf.DUMMYFUNCTION("""COMPUTED_VALUE"""),"Sales")</f>
        <v>Sales</v>
      </c>
      <c r="M34" s="35" t="str">
        <f>IFERROR(__xludf.DUMMYFUNCTION("""COMPUTED_VALUE"""),"DT:003612")</f>
        <v>DT:003612</v>
      </c>
      <c r="N34" s="57">
        <f>IFERROR(__xludf.DUMMYFUNCTION("""COMPUTED_VALUE"""),2.0)</f>
        <v>2</v>
      </c>
      <c r="O34" s="37">
        <f>IFERROR(__xludf.DUMMYFUNCTION("""COMPUTED_VALUE"""),24000.0)</f>
        <v>24000</v>
      </c>
      <c r="P34" s="38">
        <f t="shared" si="1"/>
        <v>24000</v>
      </c>
      <c r="R34" s="39"/>
      <c r="S34" s="40"/>
      <c r="T34" s="46"/>
      <c r="U34" s="41"/>
      <c r="V34" s="2"/>
      <c r="W34" s="47"/>
      <c r="X34" s="42"/>
      <c r="AQ34" s="55"/>
      <c r="AV34" s="56"/>
    </row>
    <row r="35" ht="22.5" customHeight="1">
      <c r="A35" s="59" t="s">
        <v>22</v>
      </c>
      <c r="B35" s="28">
        <v>45985.0</v>
      </c>
      <c r="C35" s="29" t="s">
        <v>80</v>
      </c>
      <c r="D35" s="29" t="s">
        <v>26</v>
      </c>
      <c r="E35" s="23" t="s">
        <v>81</v>
      </c>
      <c r="F35" s="58">
        <v>2.0</v>
      </c>
      <c r="G35" s="31">
        <v>24000.0</v>
      </c>
      <c r="I35" s="32" t="str">
        <f>IFERROR(__xludf.DUMMYFUNCTION("""COMPUTED_VALUE"""),"250g Dates powder (6x)")</f>
        <v>250g Dates powder (6x)</v>
      </c>
      <c r="J35" s="33">
        <f>IFERROR(__xludf.DUMMYFUNCTION("""COMPUTED_VALUE"""),45986.0)</f>
        <v>45986</v>
      </c>
      <c r="K35" s="34" t="str">
        <f>IFERROR(__xludf.DUMMYFUNCTION("""COMPUTED_VALUE"""),"Twins Faja Supermarket, LASU-IPAYE")</f>
        <v>Twins Faja Supermarket, LASU-IPAYE</v>
      </c>
      <c r="L35" s="34" t="str">
        <f>IFERROR(__xludf.DUMMYFUNCTION("""COMPUTED_VALUE"""),"Sales")</f>
        <v>Sales</v>
      </c>
      <c r="M35" s="35" t="str">
        <f>IFERROR(__xludf.DUMMYFUNCTION("""COMPUTED_VALUE"""),"DT:003643")</f>
        <v>DT:003643</v>
      </c>
      <c r="N35" s="57">
        <f>IFERROR(__xludf.DUMMYFUNCTION("""COMPUTED_VALUE"""),1.0)</f>
        <v>1</v>
      </c>
      <c r="O35" s="37">
        <f>IFERROR(__xludf.DUMMYFUNCTION("""COMPUTED_VALUE"""),12000.0)</f>
        <v>12000</v>
      </c>
      <c r="P35" s="38">
        <f t="shared" si="1"/>
        <v>12000</v>
      </c>
      <c r="R35" s="39"/>
      <c r="S35" s="40"/>
      <c r="T35" s="46"/>
      <c r="U35" s="41"/>
      <c r="V35" s="2"/>
      <c r="W35" s="2"/>
      <c r="X35" s="42"/>
      <c r="AQ35" s="55"/>
      <c r="AV35" s="56"/>
    </row>
    <row r="36" ht="22.5" customHeight="1">
      <c r="A36" s="59" t="s">
        <v>22</v>
      </c>
      <c r="B36" s="28">
        <v>45985.0</v>
      </c>
      <c r="C36" s="29" t="s">
        <v>40</v>
      </c>
      <c r="D36" s="29" t="s">
        <v>26</v>
      </c>
      <c r="E36" s="23" t="s">
        <v>82</v>
      </c>
      <c r="F36" s="58">
        <v>2.0</v>
      </c>
      <c r="G36" s="31">
        <v>24000.0</v>
      </c>
      <c r="I36" s="32" t="str">
        <f>IFERROR(__xludf.DUMMYFUNCTION("""COMPUTED_VALUE"""),"250g Dates powder (6x)")</f>
        <v>250g Dates powder (6x)</v>
      </c>
      <c r="J36" s="33">
        <f>IFERROR(__xludf.DUMMYFUNCTION("""COMPUTED_VALUE"""),45986.0)</f>
        <v>45986</v>
      </c>
      <c r="K36" s="34" t="str">
        <f>IFERROR(__xludf.DUMMYFUNCTION("""COMPUTED_VALUE"""),"Jendol Supermarket, ISOLO")</f>
        <v>Jendol Supermarket, ISOLO</v>
      </c>
      <c r="L36" s="34" t="str">
        <f>IFERROR(__xludf.DUMMYFUNCTION("""COMPUTED_VALUE"""),"Sales")</f>
        <v>Sales</v>
      </c>
      <c r="M36" s="35" t="str">
        <f>IFERROR(__xludf.DUMMYFUNCTION("""COMPUTED_VALUE"""),"DT:003649")</f>
        <v>DT:003649</v>
      </c>
      <c r="N36" s="57">
        <f>IFERROR(__xludf.DUMMYFUNCTION("""COMPUTED_VALUE"""),1.0)</f>
        <v>1</v>
      </c>
      <c r="O36" s="37">
        <f>IFERROR(__xludf.DUMMYFUNCTION("""COMPUTED_VALUE"""),12000.0)</f>
        <v>12000</v>
      </c>
      <c r="P36" s="38">
        <f t="shared" si="1"/>
        <v>12000</v>
      </c>
      <c r="R36" s="39"/>
      <c r="S36" s="40"/>
      <c r="T36" s="41"/>
      <c r="U36" s="41"/>
      <c r="V36" s="2"/>
      <c r="W36" s="47"/>
      <c r="X36" s="42"/>
      <c r="AQ36" s="55"/>
      <c r="AV36" s="56"/>
    </row>
    <row r="37" ht="22.5" customHeight="1">
      <c r="A37" s="59" t="s">
        <v>22</v>
      </c>
      <c r="B37" s="40">
        <v>45986.0</v>
      </c>
      <c r="C37" s="29" t="s">
        <v>30</v>
      </c>
      <c r="D37" s="41" t="s">
        <v>26</v>
      </c>
      <c r="E37" s="2" t="s">
        <v>83</v>
      </c>
      <c r="F37" s="2">
        <v>1.0</v>
      </c>
      <c r="G37" s="49">
        <v>12000.0</v>
      </c>
      <c r="I37" s="32" t="str">
        <f>IFERROR(__xludf.DUMMYFUNCTION("""COMPUTED_VALUE"""),"250g Dates powder (6x)")</f>
        <v>250g Dates powder (6x)</v>
      </c>
      <c r="J37" s="33">
        <f>IFERROR(__xludf.DUMMYFUNCTION("""COMPUTED_VALUE"""),45987.0)</f>
        <v>45987</v>
      </c>
      <c r="K37" s="34" t="str">
        <f>IFERROR(__xludf.DUMMYFUNCTION("""COMPUTED_VALUE"""),"K &amp; P Supermarket, OKOTA")</f>
        <v>K &amp; P Supermarket, OKOTA</v>
      </c>
      <c r="L37" s="34" t="str">
        <f>IFERROR(__xludf.DUMMYFUNCTION("""COMPUTED_VALUE"""),"Sales")</f>
        <v>Sales</v>
      </c>
      <c r="M37" s="35" t="str">
        <f>IFERROR(__xludf.DUMMYFUNCTION("""COMPUTED_VALUE"""),"DT:003623")</f>
        <v>DT:003623</v>
      </c>
      <c r="N37" s="57">
        <f>IFERROR(__xludf.DUMMYFUNCTION("""COMPUTED_VALUE"""),1.0)</f>
        <v>1</v>
      </c>
      <c r="O37" s="37">
        <f>IFERROR(__xludf.DUMMYFUNCTION("""COMPUTED_VALUE"""),12000.0)</f>
        <v>12000</v>
      </c>
      <c r="P37" s="38">
        <f t="shared" si="1"/>
        <v>19200</v>
      </c>
      <c r="R37" s="39"/>
      <c r="S37" s="40"/>
      <c r="T37" s="41"/>
      <c r="U37" s="41"/>
      <c r="V37" s="2"/>
      <c r="W37" s="47"/>
      <c r="X37" s="42"/>
      <c r="AQ37" s="55"/>
      <c r="AV37" s="56"/>
    </row>
    <row r="38" ht="22.5" customHeight="1">
      <c r="A38" s="27" t="s">
        <v>22</v>
      </c>
      <c r="B38" s="28">
        <v>45986.0</v>
      </c>
      <c r="C38" s="29" t="s">
        <v>84</v>
      </c>
      <c r="D38" s="29" t="s">
        <v>26</v>
      </c>
      <c r="E38" s="23" t="s">
        <v>85</v>
      </c>
      <c r="F38" s="58">
        <v>1.0</v>
      </c>
      <c r="G38" s="31">
        <v>12000.0</v>
      </c>
      <c r="I38" s="32" t="str">
        <f>IFERROR(__xludf.DUMMYFUNCTION("""COMPUTED_VALUE"""),"250g Dates powder (6x)")</f>
        <v>250g Dates powder (6x)</v>
      </c>
      <c r="J38" s="33">
        <f>IFERROR(__xludf.DUMMYFUNCTION("""COMPUTED_VALUE"""),45987.0)</f>
        <v>45987</v>
      </c>
      <c r="K38" s="34" t="str">
        <f>IFERROR(__xludf.DUMMYFUNCTION("""COMPUTED_VALUE"""),"K &amp; P Supermarket")</f>
        <v>K &amp; P Supermarket</v>
      </c>
      <c r="L38" s="34" t="str">
        <f>IFERROR(__xludf.DUMMYFUNCTION("""COMPUTED_VALUE"""),"Sales")</f>
        <v>Sales</v>
      </c>
      <c r="M38" s="35" t="str">
        <f>IFERROR(__xludf.DUMMYFUNCTION("""COMPUTED_VALUE"""),"DT:003633")</f>
        <v>DT:003633</v>
      </c>
      <c r="N38" s="57">
        <f>IFERROR(__xludf.DUMMYFUNCTION("""COMPUTED_VALUE"""),1.0)</f>
        <v>1</v>
      </c>
      <c r="O38" s="37">
        <f>IFERROR(__xludf.DUMMYFUNCTION("""COMPUTED_VALUE"""),12000.0)</f>
        <v>12000</v>
      </c>
      <c r="P38" s="38">
        <f t="shared" si="1"/>
        <v>12000</v>
      </c>
      <c r="R38" s="39"/>
      <c r="S38" s="40"/>
      <c r="T38" s="46"/>
      <c r="U38" s="41"/>
      <c r="V38" s="2"/>
      <c r="W38" s="47"/>
      <c r="X38" s="42"/>
      <c r="AQ38" s="55"/>
      <c r="AV38" s="56"/>
    </row>
    <row r="39" ht="22.5" customHeight="1">
      <c r="A39" s="27" t="s">
        <v>22</v>
      </c>
      <c r="B39" s="28">
        <v>45987.0</v>
      </c>
      <c r="C39" s="29" t="s">
        <v>86</v>
      </c>
      <c r="D39" s="29" t="s">
        <v>26</v>
      </c>
      <c r="E39" s="23" t="s">
        <v>87</v>
      </c>
      <c r="F39" s="58">
        <v>1.0</v>
      </c>
      <c r="G39" s="31">
        <v>12000.0</v>
      </c>
      <c r="I39" s="32" t="str">
        <f>IFERROR(__xludf.DUMMYFUNCTION("""COMPUTED_VALUE"""),"250g Dates powder (6x)")</f>
        <v>250g Dates powder (6x)</v>
      </c>
      <c r="J39" s="33">
        <f>IFERROR(__xludf.DUMMYFUNCTION("""COMPUTED_VALUE"""),45987.0)</f>
        <v>45987</v>
      </c>
      <c r="K39" s="34" t="str">
        <f>IFERROR(__xludf.DUMMYFUNCTION("""COMPUTED_VALUE"""),"Mitch &amp; Good Supermarket")</f>
        <v>Mitch &amp; Good Supermarket</v>
      </c>
      <c r="L39" s="34" t="str">
        <f>IFERROR(__xludf.DUMMYFUNCTION("""COMPUTED_VALUE"""),"Sales")</f>
        <v>Sales</v>
      </c>
      <c r="M39" s="35" t="str">
        <f>IFERROR(__xludf.DUMMYFUNCTION("""COMPUTED_VALUE"""),"DT:003665")</f>
        <v>DT:003665</v>
      </c>
      <c r="N39" s="57">
        <f>IFERROR(__xludf.DUMMYFUNCTION("""COMPUTED_VALUE"""),4.0)</f>
        <v>4</v>
      </c>
      <c r="O39" s="37">
        <f>IFERROR(__xludf.DUMMYFUNCTION("""COMPUTED_VALUE"""),48000.0)</f>
        <v>48000</v>
      </c>
      <c r="P39" s="38">
        <f t="shared" si="1"/>
        <v>48000</v>
      </c>
      <c r="R39" s="39"/>
      <c r="S39" s="40"/>
      <c r="T39" s="41"/>
      <c r="U39" s="41"/>
      <c r="V39" s="2"/>
      <c r="W39" s="47"/>
      <c r="X39" s="42"/>
      <c r="AQ39" s="55"/>
      <c r="AV39" s="56"/>
    </row>
    <row r="40" ht="22.5" customHeight="1">
      <c r="A40" s="27" t="s">
        <v>22</v>
      </c>
      <c r="B40" s="28">
        <v>45987.0</v>
      </c>
      <c r="C40" s="29" t="s">
        <v>88</v>
      </c>
      <c r="D40" s="29" t="s">
        <v>26</v>
      </c>
      <c r="E40" s="23" t="s">
        <v>89</v>
      </c>
      <c r="F40" s="58">
        <v>1.0</v>
      </c>
      <c r="G40" s="31">
        <v>12000.0</v>
      </c>
      <c r="I40" s="32" t="str">
        <f>IFERROR(__xludf.DUMMYFUNCTION("""COMPUTED_VALUE"""),"250g Dates powder (6x)")</f>
        <v>250g Dates powder (6x)</v>
      </c>
      <c r="J40" s="33">
        <f>IFERROR(__xludf.DUMMYFUNCTION("""COMPUTED_VALUE"""),45987.0)</f>
        <v>45987</v>
      </c>
      <c r="K40" s="34" t="str">
        <f>IFERROR(__xludf.DUMMYFUNCTION("""COMPUTED_VALUE"""),"Buymore Supermarket, IBAFO")</f>
        <v>Buymore Supermarket, IBAFO</v>
      </c>
      <c r="L40" s="34" t="str">
        <f>IFERROR(__xludf.DUMMYFUNCTION("""COMPUTED_VALUE"""),"Sales")</f>
        <v>Sales</v>
      </c>
      <c r="M40" s="35" t="str">
        <f>IFERROR(__xludf.DUMMYFUNCTION("""COMPUTED_VALUE"""),"DT:003672")</f>
        <v>DT:003672</v>
      </c>
      <c r="N40" s="57">
        <f>IFERROR(__xludf.DUMMYFUNCTION("""COMPUTED_VALUE"""),1.0)</f>
        <v>1</v>
      </c>
      <c r="O40" s="37">
        <f>IFERROR(__xludf.DUMMYFUNCTION("""COMPUTED_VALUE"""),12000.0)</f>
        <v>12000</v>
      </c>
      <c r="P40" s="38">
        <f t="shared" si="1"/>
        <v>12000</v>
      </c>
      <c r="R40" s="39"/>
      <c r="S40" s="40"/>
      <c r="T40" s="41"/>
      <c r="U40" s="41"/>
      <c r="V40" s="2"/>
      <c r="W40" s="47"/>
      <c r="X40" s="42"/>
      <c r="AQ40" s="55"/>
      <c r="AV40" s="56"/>
    </row>
    <row r="41" ht="22.5" customHeight="1">
      <c r="A41" s="27" t="s">
        <v>22</v>
      </c>
      <c r="B41" s="28">
        <v>45987.0</v>
      </c>
      <c r="C41" s="29" t="s">
        <v>54</v>
      </c>
      <c r="D41" s="29" t="s">
        <v>26</v>
      </c>
      <c r="E41" s="23" t="s">
        <v>90</v>
      </c>
      <c r="F41" s="58">
        <v>4.0</v>
      </c>
      <c r="G41" s="31">
        <v>48000.0</v>
      </c>
      <c r="I41" s="32" t="str">
        <f>IFERROR(__xludf.DUMMYFUNCTION("""COMPUTED_VALUE"""),"250g Dates powder (6x)")</f>
        <v>250g Dates powder (6x)</v>
      </c>
      <c r="J41" s="33">
        <f>IFERROR(__xludf.DUMMYFUNCTION("""COMPUTED_VALUE"""),45987.0)</f>
        <v>45987</v>
      </c>
      <c r="K41" s="34" t="str">
        <f>IFERROR(__xludf.DUMMYFUNCTION("""COMPUTED_VALUE"""),"Renees Supermarket, FREEDOM WAY")</f>
        <v>Renees Supermarket, FREEDOM WAY</v>
      </c>
      <c r="L41" s="34" t="str">
        <f>IFERROR(__xludf.DUMMYFUNCTION("""COMPUTED_VALUE"""),"Sales")</f>
        <v>Sales</v>
      </c>
      <c r="M41" s="35" t="str">
        <f>IFERROR(__xludf.DUMMYFUNCTION("""COMPUTED_VALUE"""),"DT:003681")</f>
        <v>DT:003681</v>
      </c>
      <c r="N41" s="57">
        <f>IFERROR(__xludf.DUMMYFUNCTION("""COMPUTED_VALUE"""),2.0)</f>
        <v>2</v>
      </c>
      <c r="O41" s="37">
        <f>IFERROR(__xludf.DUMMYFUNCTION("""COMPUTED_VALUE"""),24000.0)</f>
        <v>24000</v>
      </c>
      <c r="P41" s="38">
        <f t="shared" si="1"/>
        <v>24000</v>
      </c>
      <c r="R41" s="39"/>
      <c r="S41" s="40"/>
      <c r="T41" s="41"/>
      <c r="U41" s="41"/>
      <c r="V41" s="2"/>
      <c r="W41" s="47"/>
      <c r="X41" s="42"/>
      <c r="AQ41" s="55"/>
      <c r="AV41" s="56"/>
    </row>
    <row r="42" ht="22.5" customHeight="1">
      <c r="A42" s="27" t="s">
        <v>22</v>
      </c>
      <c r="B42" s="40">
        <v>45987.0</v>
      </c>
      <c r="C42" s="41" t="s">
        <v>91</v>
      </c>
      <c r="D42" s="41" t="s">
        <v>26</v>
      </c>
      <c r="E42" s="2" t="s">
        <v>92</v>
      </c>
      <c r="F42" s="47">
        <v>1.0</v>
      </c>
      <c r="G42" s="49">
        <v>12000.0</v>
      </c>
      <c r="I42" s="32" t="str">
        <f>IFERROR(__xludf.DUMMYFUNCTION("""COMPUTED_VALUE"""),"250g Dates powder (6x)")</f>
        <v>250g Dates powder (6x)</v>
      </c>
      <c r="J42" s="33">
        <f>IFERROR(__xludf.DUMMYFUNCTION("""COMPUTED_VALUE"""),45987.0)</f>
        <v>45987</v>
      </c>
      <c r="K42" s="34" t="str">
        <f>IFERROR(__xludf.DUMMYFUNCTION("""COMPUTED_VALUE"""),"Jendol Supermarket, U-TURN")</f>
        <v>Jendol Supermarket, U-TURN</v>
      </c>
      <c r="L42" s="34" t="str">
        <f>IFERROR(__xludf.DUMMYFUNCTION("""COMPUTED_VALUE"""),"Sales")</f>
        <v>Sales</v>
      </c>
      <c r="M42" s="35" t="str">
        <f>IFERROR(__xludf.DUMMYFUNCTION("""COMPUTED_VALUE"""),"DT:003683")</f>
        <v>DT:003683</v>
      </c>
      <c r="N42" s="57">
        <f>IFERROR(__xludf.DUMMYFUNCTION("""COMPUTED_VALUE"""),2.0)</f>
        <v>2</v>
      </c>
      <c r="O42" s="37">
        <f>IFERROR(__xludf.DUMMYFUNCTION("""COMPUTED_VALUE"""),24000.0)</f>
        <v>24000</v>
      </c>
      <c r="P42" s="38">
        <f t="shared" si="1"/>
        <v>24000</v>
      </c>
      <c r="R42" s="39"/>
      <c r="S42" s="40"/>
      <c r="T42" s="46"/>
      <c r="U42" s="41"/>
      <c r="V42" s="2"/>
      <c r="W42" s="47"/>
      <c r="X42" s="42"/>
      <c r="AQ42" s="55"/>
      <c r="AV42" s="56"/>
    </row>
    <row r="43" ht="22.5" customHeight="1">
      <c r="A43" s="27" t="s">
        <v>22</v>
      </c>
      <c r="B43" s="40">
        <v>45987.0</v>
      </c>
      <c r="C43" s="41" t="s">
        <v>38</v>
      </c>
      <c r="D43" s="41" t="s">
        <v>26</v>
      </c>
      <c r="E43" s="2" t="s">
        <v>93</v>
      </c>
      <c r="F43" s="2">
        <v>2.0</v>
      </c>
      <c r="G43" s="49">
        <v>24000.0</v>
      </c>
      <c r="I43" s="32" t="str">
        <f>IFERROR(__xludf.DUMMYFUNCTION("""COMPUTED_VALUE"""),"250g Dates powder (6x)")</f>
        <v>250g Dates powder (6x)</v>
      </c>
      <c r="J43" s="33">
        <f>IFERROR(__xludf.DUMMYFUNCTION("""COMPUTED_VALUE"""),45988.0)</f>
        <v>45988</v>
      </c>
      <c r="K43" s="34" t="str">
        <f>IFERROR(__xludf.DUMMYFUNCTION("""COMPUTED_VALUE"""),"Xtrarite Supermarket")</f>
        <v>Xtrarite Supermarket</v>
      </c>
      <c r="L43" s="34" t="str">
        <f>IFERROR(__xludf.DUMMYFUNCTION("""COMPUTED_VALUE"""),"Sales")</f>
        <v>Sales</v>
      </c>
      <c r="M43" s="35" t="str">
        <f>IFERROR(__xludf.DUMMYFUNCTION("""COMPUTED_VALUE"""),"DT:003656")</f>
        <v>DT:003656</v>
      </c>
      <c r="N43" s="57">
        <f>IFERROR(__xludf.DUMMYFUNCTION("""COMPUTED_VALUE"""),1.0)</f>
        <v>1</v>
      </c>
      <c r="O43" s="37">
        <f>IFERROR(__xludf.DUMMYFUNCTION("""COMPUTED_VALUE"""),12000.0)</f>
        <v>12000</v>
      </c>
      <c r="P43" s="38">
        <f t="shared" si="1"/>
        <v>12000</v>
      </c>
      <c r="R43" s="39"/>
      <c r="S43" s="40"/>
      <c r="T43" s="41"/>
      <c r="U43" s="41"/>
      <c r="V43" s="2"/>
      <c r="W43" s="47"/>
      <c r="X43" s="42"/>
      <c r="AQ43" s="55"/>
      <c r="AV43" s="56"/>
    </row>
    <row r="44" ht="22.5" customHeight="1">
      <c r="A44" s="59" t="s">
        <v>22</v>
      </c>
      <c r="B44" s="28">
        <v>45987.0</v>
      </c>
      <c r="C44" s="29" t="s">
        <v>63</v>
      </c>
      <c r="D44" s="29" t="s">
        <v>26</v>
      </c>
      <c r="E44" s="23" t="s">
        <v>94</v>
      </c>
      <c r="F44" s="58">
        <v>2.0</v>
      </c>
      <c r="G44" s="31">
        <v>24000.0</v>
      </c>
      <c r="I44" s="32" t="str">
        <f>IFERROR(__xludf.DUMMYFUNCTION("""COMPUTED_VALUE"""),"250g Dates powder (6x)")</f>
        <v>250g Dates powder (6x)</v>
      </c>
      <c r="J44" s="33">
        <f>IFERROR(__xludf.DUMMYFUNCTION("""COMPUTED_VALUE"""),45988.0)</f>
        <v>45988</v>
      </c>
      <c r="K44" s="34" t="str">
        <f>IFERROR(__xludf.DUMMYFUNCTION("""COMPUTED_VALUE"""),"Jendol Supermarket, EGBEDA")</f>
        <v>Jendol Supermarket, EGBEDA</v>
      </c>
      <c r="L44" s="34" t="str">
        <f>IFERROR(__xludf.DUMMYFUNCTION("""COMPUTED_VALUE"""),"Sales")</f>
        <v>Sales</v>
      </c>
      <c r="M44" s="35" t="str">
        <f>IFERROR(__xludf.DUMMYFUNCTION("""COMPUTED_VALUE"""),"DT:003723")</f>
        <v>DT:003723</v>
      </c>
      <c r="N44" s="57">
        <f>IFERROR(__xludf.DUMMYFUNCTION("""COMPUTED_VALUE"""),1.0)</f>
        <v>1</v>
      </c>
      <c r="O44" s="37">
        <f>IFERROR(__xludf.DUMMYFUNCTION("""COMPUTED_VALUE"""),12000.0)</f>
        <v>12000</v>
      </c>
      <c r="P44" s="38">
        <f t="shared" si="1"/>
        <v>12000</v>
      </c>
      <c r="R44" s="43"/>
      <c r="S44" s="60"/>
      <c r="T44" s="61"/>
      <c r="U44" s="61"/>
      <c r="V44" s="62"/>
      <c r="W44" s="63"/>
      <c r="X44" s="64"/>
      <c r="AQ44" s="55"/>
      <c r="AV44" s="56"/>
    </row>
    <row r="45" ht="22.5" customHeight="1">
      <c r="A45" s="59" t="s">
        <v>22</v>
      </c>
      <c r="B45" s="28">
        <v>45988.0</v>
      </c>
      <c r="C45" s="29" t="s">
        <v>95</v>
      </c>
      <c r="D45" s="29" t="s">
        <v>26</v>
      </c>
      <c r="E45" s="23" t="s">
        <v>96</v>
      </c>
      <c r="F45" s="58">
        <v>1.0</v>
      </c>
      <c r="G45" s="31">
        <v>12000.0</v>
      </c>
      <c r="I45" s="32" t="str">
        <f>IFERROR(__xludf.DUMMYFUNCTION("""COMPUTED_VALUE"""),"250g Dates powder (6x)")</f>
        <v>250g Dates powder (6x)</v>
      </c>
      <c r="J45" s="33">
        <f>IFERROR(__xludf.DUMMYFUNCTION("""COMPUTED_VALUE"""),45989.0)</f>
        <v>45989</v>
      </c>
      <c r="K45" s="34" t="str">
        <f>IFERROR(__xludf.DUMMYFUNCTION("""COMPUTED_VALUE"""),"Blenco Supermarket, ILASAN-CHISCO")</f>
        <v>Blenco Supermarket, ILASAN-CHISCO</v>
      </c>
      <c r="L45" s="34" t="str">
        <f>IFERROR(__xludf.DUMMYFUNCTION("""COMPUTED_VALUE"""),"Sales")</f>
        <v>Sales</v>
      </c>
      <c r="M45" s="35" t="str">
        <f>IFERROR(__xludf.DUMMYFUNCTION("""COMPUTED_VALUE"""),"DT:003721")</f>
        <v>DT:003721</v>
      </c>
      <c r="N45" s="57">
        <f>IFERROR(__xludf.DUMMYFUNCTION("""COMPUTED_VALUE"""),2.0)</f>
        <v>2</v>
      </c>
      <c r="O45" s="37">
        <f>IFERROR(__xludf.DUMMYFUNCTION("""COMPUTED_VALUE"""),24000.0)</f>
        <v>24000</v>
      </c>
      <c r="P45" s="38">
        <f t="shared" si="1"/>
        <v>31200</v>
      </c>
      <c r="R45" s="39"/>
      <c r="S45" s="40"/>
      <c r="T45" s="41"/>
      <c r="U45" s="41"/>
      <c r="V45" s="2"/>
      <c r="W45" s="2"/>
      <c r="X45" s="42"/>
      <c r="AQ45" s="55"/>
      <c r="AV45" s="56"/>
    </row>
    <row r="46" ht="22.5" customHeight="1">
      <c r="A46" s="59" t="s">
        <v>22</v>
      </c>
      <c r="B46" s="40">
        <v>45988.0</v>
      </c>
      <c r="C46" s="29" t="s">
        <v>78</v>
      </c>
      <c r="D46" s="41" t="s">
        <v>26</v>
      </c>
      <c r="E46" s="2" t="s">
        <v>97</v>
      </c>
      <c r="F46" s="2">
        <v>1.0</v>
      </c>
      <c r="G46" s="49">
        <v>12000.0</v>
      </c>
      <c r="I46" s="32" t="str">
        <f>IFERROR(__xludf.DUMMYFUNCTION("""COMPUTED_VALUE"""),"80g Kuli Kuli (12x)")</f>
        <v>80g Kuli Kuli (12x)</v>
      </c>
      <c r="J46" s="33">
        <f>IFERROR(__xludf.DUMMYFUNCTION("""COMPUTED_VALUE"""),45962.0)</f>
        <v>45962</v>
      </c>
      <c r="K46" s="34" t="str">
        <f>IFERROR(__xludf.DUMMYFUNCTION("""COMPUTED_VALUE"""),"Sambethel Supermarket")</f>
        <v>Sambethel Supermarket</v>
      </c>
      <c r="L46" s="34" t="str">
        <f>IFERROR(__xludf.DUMMYFUNCTION("""COMPUTED_VALUE"""),"Sales")</f>
        <v>Sales</v>
      </c>
      <c r="M46" s="35" t="str">
        <f>IFERROR(__xludf.DUMMYFUNCTION("""COMPUTED_VALUE"""),"DT:003218")</f>
        <v>DT:003218</v>
      </c>
      <c r="N46" s="57">
        <f>IFERROR(__xludf.DUMMYFUNCTION("""COMPUTED_VALUE"""),0.5)</f>
        <v>0.5</v>
      </c>
      <c r="O46" s="37">
        <f>IFERROR(__xludf.DUMMYFUNCTION("""COMPUTED_VALUE"""),3600.0)</f>
        <v>3600</v>
      </c>
      <c r="P46" s="38">
        <f t="shared" si="1"/>
        <v>3600</v>
      </c>
      <c r="AQ46" s="55"/>
      <c r="AV46" s="56"/>
    </row>
    <row r="47" ht="22.5" customHeight="1">
      <c r="A47" s="27" t="s">
        <v>22</v>
      </c>
      <c r="B47" s="28">
        <v>45989.0</v>
      </c>
      <c r="C47" s="29" t="s">
        <v>98</v>
      </c>
      <c r="D47" s="29" t="s">
        <v>26</v>
      </c>
      <c r="E47" s="23" t="s">
        <v>99</v>
      </c>
      <c r="F47" s="58">
        <v>2.0</v>
      </c>
      <c r="G47" s="31">
        <v>24000.0</v>
      </c>
      <c r="I47" s="65" t="str">
        <f>IFERROR(__xludf.DUMMYFUNCTION("""COMPUTED_VALUE"""),"80g Kuli Kuli (12x)")</f>
        <v>80g Kuli Kuli (12x)</v>
      </c>
      <c r="J47" s="66">
        <f>IFERROR(__xludf.DUMMYFUNCTION("""COMPUTED_VALUE"""),45965.0)</f>
        <v>45965</v>
      </c>
      <c r="K47" s="67" t="str">
        <f>IFERROR(__xludf.DUMMYFUNCTION("""COMPUTED_VALUE"""),"Blenco Supermarket, ILASAN-CHISCO")</f>
        <v>Blenco Supermarket, ILASAN-CHISCO</v>
      </c>
      <c r="L47" s="67" t="str">
        <f>IFERROR(__xludf.DUMMYFUNCTION("""COMPUTED_VALUE"""),"Sales")</f>
        <v>Sales</v>
      </c>
      <c r="M47" s="68" t="str">
        <f>IFERROR(__xludf.DUMMYFUNCTION("""COMPUTED_VALUE"""),"DT:003256")</f>
        <v>DT:003256</v>
      </c>
      <c r="N47" s="69">
        <f>IFERROR(__xludf.DUMMYFUNCTION("""COMPUTED_VALUE"""),1.0)</f>
        <v>1</v>
      </c>
      <c r="O47" s="70">
        <f>IFERROR(__xludf.DUMMYFUNCTION("""COMPUTED_VALUE"""),7200.0)</f>
        <v>7200</v>
      </c>
      <c r="P47" s="38">
        <f t="shared" si="1"/>
        <v>7200</v>
      </c>
      <c r="AQ47" s="55"/>
      <c r="AV47" s="56"/>
    </row>
    <row r="48" ht="22.5" customHeight="1">
      <c r="A48" s="27" t="s">
        <v>100</v>
      </c>
      <c r="B48" s="28">
        <v>45981.0</v>
      </c>
      <c r="C48" s="29" t="s">
        <v>23</v>
      </c>
      <c r="D48" s="29" t="s">
        <v>24</v>
      </c>
      <c r="E48" s="23">
        <v>2022055.0</v>
      </c>
      <c r="F48" s="58">
        <v>10.0</v>
      </c>
      <c r="G48" s="31">
        <v>72000.0</v>
      </c>
      <c r="I48" s="38" t="str">
        <f>IFERROR(__xludf.DUMMYFUNCTION("""COMPUTED_VALUE"""),"80g Kuli Kuli (12x)")</f>
        <v>80g Kuli Kuli (12x)</v>
      </c>
      <c r="J48" s="71">
        <f>IFERROR(__xludf.DUMMYFUNCTION("""COMPUTED_VALUE"""),45967.0)</f>
        <v>45967</v>
      </c>
      <c r="K48" s="38" t="str">
        <f>IFERROR(__xludf.DUMMYFUNCTION("""COMPUTED_VALUE"""),"Texon Supermarket, OGUDU")</f>
        <v>Texon Supermarket, OGUDU</v>
      </c>
      <c r="L48" s="38" t="str">
        <f>IFERROR(__xludf.DUMMYFUNCTION("""COMPUTED_VALUE"""),"Sales")</f>
        <v>Sales</v>
      </c>
      <c r="M48" s="38" t="str">
        <f>IFERROR(__xludf.DUMMYFUNCTION("""COMPUTED_VALUE"""),"DT:003311")</f>
        <v>DT:003311</v>
      </c>
      <c r="N48" s="72">
        <f>IFERROR(__xludf.DUMMYFUNCTION("""COMPUTED_VALUE"""),5.0)</f>
        <v>5</v>
      </c>
      <c r="O48" s="72">
        <f>IFERROR(__xludf.DUMMYFUNCTION("""COMPUTED_VALUE"""),36000.0)</f>
        <v>36000</v>
      </c>
      <c r="P48" s="38">
        <f t="shared" si="1"/>
        <v>36000</v>
      </c>
      <c r="AQ48" s="55"/>
      <c r="AV48" s="56"/>
    </row>
    <row r="49" ht="22.5" customHeight="1">
      <c r="A49" s="27" t="s">
        <v>100</v>
      </c>
      <c r="B49" s="28">
        <v>45962.0</v>
      </c>
      <c r="C49" s="29" t="s">
        <v>101</v>
      </c>
      <c r="D49" s="29" t="s">
        <v>26</v>
      </c>
      <c r="E49" s="23" t="s">
        <v>102</v>
      </c>
      <c r="F49" s="58">
        <v>0.5</v>
      </c>
      <c r="G49" s="31">
        <v>3600.0</v>
      </c>
      <c r="I49" s="65" t="str">
        <f>IFERROR(__xludf.DUMMYFUNCTION("""COMPUTED_VALUE"""),"80g Kuli Kuli (12x)")</f>
        <v>80g Kuli Kuli (12x)</v>
      </c>
      <c r="J49" s="66">
        <f>IFERROR(__xludf.DUMMYFUNCTION("""COMPUTED_VALUE"""),45979.0)</f>
        <v>45979</v>
      </c>
      <c r="K49" s="67" t="str">
        <f>IFERROR(__xludf.DUMMYFUNCTION("""COMPUTED_VALUE"""),"Surplus Supermarket")</f>
        <v>Surplus Supermarket</v>
      </c>
      <c r="L49" s="67" t="str">
        <f>IFERROR(__xludf.DUMMYFUNCTION("""COMPUTED_VALUE"""),"Sales")</f>
        <v>Sales</v>
      </c>
      <c r="M49" s="68" t="str">
        <f>IFERROR(__xludf.DUMMYFUNCTION("""COMPUTED_VALUE"""),"DT:003492")</f>
        <v>DT:003492</v>
      </c>
      <c r="N49" s="69">
        <f>IFERROR(__xludf.DUMMYFUNCTION("""COMPUTED_VALUE"""),1.0)</f>
        <v>1</v>
      </c>
      <c r="O49" s="70">
        <f>IFERROR(__xludf.DUMMYFUNCTION("""COMPUTED_VALUE"""),7200.0)</f>
        <v>7200</v>
      </c>
      <c r="P49" s="38">
        <f t="shared" si="1"/>
        <v>7200</v>
      </c>
      <c r="AQ49" s="55"/>
      <c r="AV49" s="56"/>
    </row>
    <row r="50" ht="22.5" customHeight="1">
      <c r="A50" s="59" t="s">
        <v>100</v>
      </c>
      <c r="B50" s="28">
        <v>45965.0</v>
      </c>
      <c r="C50" s="29" t="s">
        <v>98</v>
      </c>
      <c r="D50" s="29" t="s">
        <v>26</v>
      </c>
      <c r="E50" s="23" t="s">
        <v>103</v>
      </c>
      <c r="F50" s="58">
        <v>1.0</v>
      </c>
      <c r="G50" s="31">
        <v>7200.0</v>
      </c>
      <c r="I50" s="65" t="str">
        <f>IFERROR(__xludf.DUMMYFUNCTION("""COMPUTED_VALUE"""),"80g Kuli Kuli (12x)")</f>
        <v>80g Kuli Kuli (12x)</v>
      </c>
      <c r="J50" s="66">
        <f>IFERROR(__xludf.DUMMYFUNCTION("""COMPUTED_VALUE"""),45985.0)</f>
        <v>45985</v>
      </c>
      <c r="K50" s="67" t="str">
        <f>IFERROR(__xludf.DUMMYFUNCTION("""COMPUTED_VALUE"""),"D-Arena Supermarket, LEKKI")</f>
        <v>D-Arena Supermarket, LEKKI</v>
      </c>
      <c r="L50" s="67" t="str">
        <f>IFERROR(__xludf.DUMMYFUNCTION("""COMPUTED_VALUE"""),"Sales")</f>
        <v>Sales</v>
      </c>
      <c r="M50" s="68" t="str">
        <f>IFERROR(__xludf.DUMMYFUNCTION("""COMPUTED_VALUE"""),"DT:003615")</f>
        <v>DT:003615</v>
      </c>
      <c r="N50" s="69">
        <f>IFERROR(__xludf.DUMMYFUNCTION("""COMPUTED_VALUE"""),2.0)</f>
        <v>2</v>
      </c>
      <c r="O50" s="70">
        <f>IFERROR(__xludf.DUMMYFUNCTION("""COMPUTED_VALUE"""),14400.0)</f>
        <v>14400</v>
      </c>
      <c r="P50" s="38">
        <f t="shared" si="1"/>
        <v>14400</v>
      </c>
      <c r="AQ50" s="55"/>
      <c r="AV50" s="56"/>
    </row>
    <row r="51" ht="22.5" customHeight="1">
      <c r="A51" s="59" t="s">
        <v>100</v>
      </c>
      <c r="B51" s="28">
        <v>45967.0</v>
      </c>
      <c r="C51" s="29" t="s">
        <v>104</v>
      </c>
      <c r="D51" s="29" t="s">
        <v>26</v>
      </c>
      <c r="E51" s="23" t="s">
        <v>105</v>
      </c>
      <c r="F51" s="58">
        <v>5.0</v>
      </c>
      <c r="G51" s="31">
        <v>36000.0</v>
      </c>
      <c r="I51" s="65" t="str">
        <f>IFERROR(__xludf.DUMMYFUNCTION("""COMPUTED_VALUE"""),"80g Kuli Kuli (12x)")</f>
        <v>80g Kuli Kuli (12x)</v>
      </c>
      <c r="J51" s="66">
        <f>IFERROR(__xludf.DUMMYFUNCTION("""COMPUTED_VALUE"""),45987.0)</f>
        <v>45987</v>
      </c>
      <c r="K51" s="67" t="str">
        <f>IFERROR(__xludf.DUMMYFUNCTION("""COMPUTED_VALUE"""),"K &amp; P Supermarket, OKOTA")</f>
        <v>K &amp; P Supermarket, OKOTA</v>
      </c>
      <c r="L51" s="67" t="str">
        <f>IFERROR(__xludf.DUMMYFUNCTION("""COMPUTED_VALUE"""),"Sales")</f>
        <v>Sales</v>
      </c>
      <c r="M51" s="68" t="str">
        <f>IFERROR(__xludf.DUMMYFUNCTION("""COMPUTED_VALUE"""),"DT:003623")</f>
        <v>DT:003623</v>
      </c>
      <c r="N51" s="69">
        <f>IFERROR(__xludf.DUMMYFUNCTION("""COMPUTED_VALUE"""),1.0)</f>
        <v>1</v>
      </c>
      <c r="O51" s="70">
        <f>IFERROR(__xludf.DUMMYFUNCTION("""COMPUTED_VALUE"""),7200.0)</f>
        <v>7200</v>
      </c>
      <c r="P51" s="38">
        <f t="shared" si="1"/>
        <v>19200</v>
      </c>
      <c r="AQ51" s="55"/>
      <c r="AV51" s="56"/>
    </row>
    <row r="52" ht="22.5" customHeight="1">
      <c r="A52" s="59" t="s">
        <v>100</v>
      </c>
      <c r="B52" s="40">
        <v>45979.0</v>
      </c>
      <c r="C52" s="29" t="s">
        <v>106</v>
      </c>
      <c r="D52" s="41" t="s">
        <v>26</v>
      </c>
      <c r="E52" s="2" t="s">
        <v>107</v>
      </c>
      <c r="F52" s="2">
        <v>1.0</v>
      </c>
      <c r="G52" s="49">
        <v>7200.0</v>
      </c>
      <c r="I52" s="65" t="str">
        <f>IFERROR(__xludf.DUMMYFUNCTION("""COMPUTED_VALUE"""),"80g Kuli Kuli (12x)")</f>
        <v>80g Kuli Kuli (12x)</v>
      </c>
      <c r="J52" s="66">
        <f>IFERROR(__xludf.DUMMYFUNCTION("""COMPUTED_VALUE"""),45988.0)</f>
        <v>45988</v>
      </c>
      <c r="K52" s="67" t="str">
        <f>IFERROR(__xludf.DUMMYFUNCTION("""COMPUTED_VALUE"""),"Eleyor Shopping Mall, OWODE")</f>
        <v>Eleyor Shopping Mall, OWODE</v>
      </c>
      <c r="L52" s="67" t="str">
        <f>IFERROR(__xludf.DUMMYFUNCTION("""COMPUTED_VALUE"""),"Sales")</f>
        <v>Sales</v>
      </c>
      <c r="M52" s="68" t="str">
        <f>IFERROR(__xludf.DUMMYFUNCTION("""COMPUTED_VALUE"""),"DT:003634")</f>
        <v>DT:003634</v>
      </c>
      <c r="N52" s="69">
        <f>IFERROR(__xludf.DUMMYFUNCTION("""COMPUTED_VALUE"""),1.0)</f>
        <v>1</v>
      </c>
      <c r="O52" s="70">
        <f>IFERROR(__xludf.DUMMYFUNCTION("""COMPUTED_VALUE"""),7200.0)</f>
        <v>7200</v>
      </c>
      <c r="P52" s="38">
        <f t="shared" si="1"/>
        <v>7200</v>
      </c>
      <c r="AQ52" s="55"/>
      <c r="AV52" s="56"/>
    </row>
    <row r="53" ht="22.5" customHeight="1">
      <c r="A53" s="27" t="s">
        <v>100</v>
      </c>
      <c r="B53" s="28">
        <v>45985.0</v>
      </c>
      <c r="C53" s="29" t="s">
        <v>108</v>
      </c>
      <c r="D53" s="29" t="s">
        <v>26</v>
      </c>
      <c r="E53" s="23" t="s">
        <v>109</v>
      </c>
      <c r="F53" s="58">
        <v>2.0</v>
      </c>
      <c r="G53" s="31">
        <v>14400.0</v>
      </c>
      <c r="I53" s="65" t="str">
        <f>IFERROR(__xludf.DUMMYFUNCTION("""COMPUTED_VALUE"""),"80g Kuli Kuli (12x)")</f>
        <v>80g Kuli Kuli (12x)</v>
      </c>
      <c r="J53" s="66">
        <f>IFERROR(__xludf.DUMMYFUNCTION("""COMPUTED_VALUE"""),45989.0)</f>
        <v>45989</v>
      </c>
      <c r="K53" s="67" t="str">
        <f>IFERROR(__xludf.DUMMYFUNCTION("""COMPUTED_VALUE"""),"Blenco Supermarket, ILASAN-CHISCO")</f>
        <v>Blenco Supermarket, ILASAN-CHISCO</v>
      </c>
      <c r="L53" s="67" t="str">
        <f>IFERROR(__xludf.DUMMYFUNCTION("""COMPUTED_VALUE"""),"Sales")</f>
        <v>Sales</v>
      </c>
      <c r="M53" s="68" t="str">
        <f>IFERROR(__xludf.DUMMYFUNCTION("""COMPUTED_VALUE"""),"DT:003721")</f>
        <v>DT:003721</v>
      </c>
      <c r="N53" s="69">
        <f>IFERROR(__xludf.DUMMYFUNCTION("""COMPUTED_VALUE"""),1.0)</f>
        <v>1</v>
      </c>
      <c r="O53" s="70">
        <f>IFERROR(__xludf.DUMMYFUNCTION("""COMPUTED_VALUE"""),7200.0)</f>
        <v>7200</v>
      </c>
      <c r="P53" s="38">
        <f t="shared" si="1"/>
        <v>31200</v>
      </c>
      <c r="AQ53" s="55"/>
      <c r="AV53" s="56"/>
    </row>
    <row r="54" ht="22.5" customHeight="1">
      <c r="A54" s="27" t="s">
        <v>100</v>
      </c>
      <c r="B54" s="28">
        <v>45987.0</v>
      </c>
      <c r="C54" s="29" t="s">
        <v>86</v>
      </c>
      <c r="D54" s="29" t="s">
        <v>26</v>
      </c>
      <c r="E54" s="23" t="s">
        <v>87</v>
      </c>
      <c r="F54" s="58">
        <v>1.0</v>
      </c>
      <c r="G54" s="31">
        <v>7200.0</v>
      </c>
      <c r="I54" s="65"/>
      <c r="J54" s="66"/>
      <c r="K54" s="67"/>
      <c r="L54" s="67"/>
      <c r="M54" s="68"/>
      <c r="N54" s="69"/>
      <c r="O54" s="70"/>
      <c r="P54" s="38">
        <f t="shared" si="1"/>
        <v>0</v>
      </c>
      <c r="AQ54" s="55"/>
      <c r="AV54" s="56"/>
    </row>
    <row r="55" ht="22.5" customHeight="1">
      <c r="A55" s="27" t="s">
        <v>100</v>
      </c>
      <c r="B55" s="28">
        <v>45988.0</v>
      </c>
      <c r="C55" s="29" t="s">
        <v>110</v>
      </c>
      <c r="D55" s="29" t="s">
        <v>26</v>
      </c>
      <c r="E55" s="23" t="s">
        <v>111</v>
      </c>
      <c r="F55" s="58">
        <v>1.0</v>
      </c>
      <c r="G55" s="31">
        <v>7200.0</v>
      </c>
      <c r="I55" s="65"/>
      <c r="J55" s="66"/>
      <c r="K55" s="67"/>
      <c r="L55" s="67"/>
      <c r="M55" s="68"/>
      <c r="N55" s="69"/>
      <c r="O55" s="70"/>
      <c r="P55" s="38">
        <f t="shared" si="1"/>
        <v>0</v>
      </c>
      <c r="AQ55" s="55"/>
    </row>
    <row r="56" ht="22.5" customHeight="1">
      <c r="A56" s="27" t="s">
        <v>100</v>
      </c>
      <c r="B56" s="28">
        <v>45989.0</v>
      </c>
      <c r="C56" s="29" t="s">
        <v>98</v>
      </c>
      <c r="D56" s="29" t="s">
        <v>26</v>
      </c>
      <c r="E56" s="23" t="s">
        <v>99</v>
      </c>
      <c r="F56" s="58">
        <v>1.0</v>
      </c>
      <c r="G56" s="31">
        <v>7200.0</v>
      </c>
      <c r="I56" s="65"/>
      <c r="J56" s="66"/>
      <c r="K56" s="67"/>
      <c r="L56" s="67"/>
      <c r="M56" s="68"/>
      <c r="N56" s="69"/>
      <c r="O56" s="70"/>
      <c r="P56" s="38">
        <f t="shared" si="1"/>
        <v>0</v>
      </c>
      <c r="AQ56" s="55"/>
    </row>
    <row r="57" ht="22.5" customHeight="1">
      <c r="A57" s="45"/>
      <c r="B57" s="50"/>
      <c r="C57" s="44"/>
      <c r="D57" s="44"/>
      <c r="E57" s="51"/>
      <c r="F57" s="51"/>
      <c r="G57" s="53"/>
      <c r="I57" s="65"/>
      <c r="J57" s="66"/>
      <c r="K57" s="67"/>
      <c r="L57" s="67"/>
      <c r="M57" s="68"/>
      <c r="N57" s="69"/>
      <c r="O57" s="70"/>
      <c r="P57" s="38">
        <f t="shared" si="1"/>
        <v>0</v>
      </c>
      <c r="AQ57" s="55"/>
    </row>
    <row r="58" ht="22.5" customHeight="1">
      <c r="A58" s="45"/>
      <c r="B58" s="50"/>
      <c r="C58" s="44"/>
      <c r="D58" s="44"/>
      <c r="E58" s="51"/>
      <c r="F58" s="51"/>
      <c r="G58" s="53"/>
      <c r="I58" s="65"/>
      <c r="J58" s="66"/>
      <c r="K58" s="67"/>
      <c r="L58" s="67"/>
      <c r="M58" s="68"/>
      <c r="N58" s="69"/>
      <c r="O58" s="70"/>
      <c r="P58" s="38">
        <f t="shared" si="1"/>
        <v>0</v>
      </c>
      <c r="AQ58" s="55"/>
    </row>
    <row r="59" ht="22.5" customHeight="1">
      <c r="A59" s="45"/>
      <c r="B59" s="50"/>
      <c r="C59" s="44"/>
      <c r="D59" s="44"/>
      <c r="E59" s="51"/>
      <c r="F59" s="51"/>
      <c r="G59" s="53"/>
      <c r="I59" s="73"/>
      <c r="J59" s="74"/>
      <c r="K59" s="75"/>
      <c r="L59" s="75"/>
      <c r="M59" s="76"/>
      <c r="N59" s="77"/>
      <c r="O59" s="78"/>
      <c r="P59" s="38">
        <f t="shared" si="1"/>
        <v>0</v>
      </c>
      <c r="AQ59" s="55"/>
    </row>
    <row r="60" ht="22.5" customHeight="1">
      <c r="A60" s="45"/>
      <c r="B60" s="50"/>
      <c r="C60" s="44"/>
      <c r="D60" s="44"/>
      <c r="E60" s="51"/>
      <c r="F60" s="51"/>
      <c r="G60" s="53"/>
      <c r="I60" s="73"/>
      <c r="J60" s="74"/>
      <c r="K60" s="75"/>
      <c r="L60" s="75"/>
      <c r="M60" s="76"/>
      <c r="N60" s="77"/>
      <c r="O60" s="78"/>
      <c r="P60" s="38">
        <f t="shared" si="1"/>
        <v>0</v>
      </c>
      <c r="AQ60" s="55"/>
    </row>
    <row r="61" ht="22.5" customHeight="1">
      <c r="A61" s="45"/>
      <c r="B61" s="50"/>
      <c r="C61" s="44"/>
      <c r="D61" s="44"/>
      <c r="E61" s="51"/>
      <c r="F61" s="51"/>
      <c r="G61" s="53"/>
      <c r="I61" s="73"/>
      <c r="J61" s="74"/>
      <c r="K61" s="75"/>
      <c r="L61" s="75"/>
      <c r="M61" s="76"/>
      <c r="N61" s="77"/>
      <c r="O61" s="78"/>
      <c r="P61" s="38">
        <f t="shared" si="1"/>
        <v>0</v>
      </c>
      <c r="AQ61" s="55"/>
    </row>
    <row r="62" ht="22.5" customHeight="1">
      <c r="A62" s="45"/>
      <c r="B62" s="50"/>
      <c r="C62" s="44"/>
      <c r="D62" s="44"/>
      <c r="E62" s="51"/>
      <c r="F62" s="51"/>
      <c r="G62" s="53"/>
      <c r="I62" s="73"/>
      <c r="J62" s="74"/>
      <c r="K62" s="75"/>
      <c r="L62" s="75"/>
      <c r="M62" s="76"/>
      <c r="N62" s="77"/>
      <c r="O62" s="78"/>
      <c r="P62" s="38">
        <f t="shared" si="1"/>
        <v>0</v>
      </c>
      <c r="AQ62" s="55"/>
    </row>
    <row r="63" ht="22.5" customHeight="1">
      <c r="B63" s="55"/>
      <c r="G63" s="56"/>
      <c r="I63" s="73"/>
      <c r="J63" s="74"/>
      <c r="K63" s="75"/>
      <c r="L63" s="75"/>
      <c r="M63" s="76"/>
      <c r="N63" s="77"/>
      <c r="O63" s="78"/>
      <c r="P63" s="38">
        <f t="shared" si="1"/>
        <v>0</v>
      </c>
      <c r="AQ63" s="55"/>
    </row>
    <row r="64" ht="22.5" customHeight="1">
      <c r="B64" s="55"/>
      <c r="G64" s="56"/>
      <c r="I64" s="73"/>
      <c r="J64" s="74"/>
      <c r="K64" s="75"/>
      <c r="L64" s="75"/>
      <c r="M64" s="76"/>
      <c r="N64" s="77"/>
      <c r="O64" s="78"/>
      <c r="P64" s="38">
        <f t="shared" si="1"/>
        <v>0</v>
      </c>
      <c r="AQ64" s="55"/>
    </row>
    <row r="65" ht="22.5" customHeight="1">
      <c r="B65" s="55"/>
      <c r="G65" s="56"/>
      <c r="I65" s="73"/>
      <c r="J65" s="74"/>
      <c r="K65" s="75"/>
      <c r="L65" s="75"/>
      <c r="M65" s="76"/>
      <c r="N65" s="77"/>
      <c r="O65" s="78"/>
      <c r="P65" s="38">
        <f t="shared" si="1"/>
        <v>0</v>
      </c>
      <c r="AQ65" s="55"/>
    </row>
    <row r="66" ht="22.5" customHeight="1">
      <c r="B66" s="55"/>
      <c r="G66" s="56"/>
      <c r="I66" s="73"/>
      <c r="J66" s="74"/>
      <c r="K66" s="75"/>
      <c r="L66" s="75"/>
      <c r="M66" s="76"/>
      <c r="N66" s="77"/>
      <c r="O66" s="78"/>
      <c r="P66" s="38">
        <f t="shared" si="1"/>
        <v>0</v>
      </c>
      <c r="AQ66" s="55"/>
    </row>
    <row r="67" ht="22.5" customHeight="1">
      <c r="B67" s="55"/>
      <c r="G67" s="56"/>
      <c r="I67" s="73"/>
      <c r="J67" s="74"/>
      <c r="K67" s="75"/>
      <c r="L67" s="75"/>
      <c r="M67" s="76"/>
      <c r="N67" s="77"/>
      <c r="O67" s="78"/>
      <c r="P67" s="38">
        <f t="shared" si="1"/>
        <v>0</v>
      </c>
      <c r="AQ67" s="55"/>
    </row>
    <row r="68" ht="22.5" customHeight="1">
      <c r="B68" s="55"/>
      <c r="G68" s="56"/>
      <c r="I68" s="73"/>
      <c r="J68" s="74"/>
      <c r="K68" s="75"/>
      <c r="L68" s="75"/>
      <c r="M68" s="76"/>
      <c r="N68" s="77"/>
      <c r="O68" s="78"/>
      <c r="P68" s="38">
        <f t="shared" si="1"/>
        <v>0</v>
      </c>
      <c r="AQ68" s="55"/>
    </row>
    <row r="69" ht="22.5" customHeight="1">
      <c r="B69" s="55"/>
      <c r="G69" s="56"/>
      <c r="I69" s="73"/>
      <c r="J69" s="74"/>
      <c r="K69" s="75"/>
      <c r="L69" s="75"/>
      <c r="M69" s="76"/>
      <c r="N69" s="77"/>
      <c r="O69" s="78"/>
      <c r="P69" s="38">
        <f t="shared" si="1"/>
        <v>0</v>
      </c>
      <c r="AQ69" s="55"/>
    </row>
    <row r="70" ht="22.5" customHeight="1">
      <c r="B70" s="55"/>
      <c r="G70" s="56"/>
      <c r="I70" s="73"/>
      <c r="J70" s="74"/>
      <c r="K70" s="75"/>
      <c r="L70" s="75"/>
      <c r="M70" s="76"/>
      <c r="N70" s="77"/>
      <c r="O70" s="78"/>
      <c r="P70" s="38">
        <f t="shared" si="1"/>
        <v>0</v>
      </c>
      <c r="AQ70" s="55"/>
    </row>
    <row r="71" ht="22.5" customHeight="1">
      <c r="B71" s="55"/>
      <c r="G71" s="56"/>
      <c r="I71" s="73"/>
      <c r="J71" s="74"/>
      <c r="K71" s="75"/>
      <c r="L71" s="75"/>
      <c r="M71" s="76"/>
      <c r="N71" s="77"/>
      <c r="O71" s="78"/>
      <c r="AQ71" s="55"/>
    </row>
    <row r="72" ht="22.5" customHeight="1">
      <c r="B72" s="55"/>
      <c r="G72" s="56"/>
      <c r="I72" s="73"/>
      <c r="J72" s="74"/>
      <c r="K72" s="75"/>
      <c r="L72" s="75"/>
      <c r="M72" s="76"/>
      <c r="N72" s="77"/>
      <c r="O72" s="78"/>
      <c r="AQ72" s="55"/>
    </row>
    <row r="73" ht="22.5" customHeight="1">
      <c r="B73" s="55"/>
      <c r="G73" s="56"/>
      <c r="I73" s="73"/>
      <c r="J73" s="74"/>
      <c r="K73" s="75"/>
      <c r="L73" s="75"/>
      <c r="M73" s="76"/>
      <c r="N73" s="77"/>
      <c r="O73" s="78"/>
      <c r="AQ73" s="55"/>
    </row>
    <row r="74" ht="22.5" customHeight="1">
      <c r="B74" s="55"/>
      <c r="G74" s="56"/>
      <c r="I74" s="73"/>
      <c r="J74" s="74"/>
      <c r="K74" s="75"/>
      <c r="L74" s="75"/>
      <c r="M74" s="76"/>
      <c r="N74" s="77"/>
      <c r="O74" s="78"/>
      <c r="AQ74" s="55"/>
    </row>
    <row r="75" ht="22.5" customHeight="1">
      <c r="B75" s="55"/>
      <c r="G75" s="56"/>
      <c r="I75" s="73"/>
      <c r="J75" s="74"/>
      <c r="K75" s="75"/>
      <c r="L75" s="75"/>
      <c r="M75" s="76"/>
      <c r="N75" s="77"/>
      <c r="O75" s="78"/>
      <c r="AQ75" s="55"/>
    </row>
    <row r="76" ht="22.5" customHeight="1">
      <c r="B76" s="55"/>
      <c r="G76" s="56"/>
      <c r="I76" s="73"/>
      <c r="J76" s="74"/>
      <c r="K76" s="75"/>
      <c r="L76" s="75"/>
      <c r="M76" s="76"/>
      <c r="N76" s="77"/>
      <c r="O76" s="78"/>
      <c r="AQ76" s="55"/>
    </row>
    <row r="77" ht="22.5" customHeight="1">
      <c r="B77" s="55"/>
      <c r="G77" s="56"/>
      <c r="I77" s="73"/>
      <c r="J77" s="74"/>
      <c r="K77" s="75"/>
      <c r="L77" s="75"/>
      <c r="M77" s="76"/>
      <c r="N77" s="77"/>
      <c r="O77" s="78"/>
      <c r="AQ77" s="55"/>
    </row>
    <row r="78" ht="22.5" customHeight="1">
      <c r="B78" s="55"/>
      <c r="G78" s="56"/>
      <c r="I78" s="73"/>
      <c r="J78" s="74"/>
      <c r="K78" s="75"/>
      <c r="L78" s="75"/>
      <c r="M78" s="76"/>
      <c r="N78" s="77"/>
      <c r="O78" s="78"/>
      <c r="AQ78" s="55"/>
    </row>
    <row r="79" ht="22.5" customHeight="1">
      <c r="B79" s="55"/>
      <c r="G79" s="56"/>
      <c r="I79" s="73"/>
      <c r="J79" s="74"/>
      <c r="K79" s="75"/>
      <c r="L79" s="75"/>
      <c r="M79" s="76"/>
      <c r="N79" s="77"/>
      <c r="O79" s="78"/>
      <c r="AQ79" s="55"/>
    </row>
    <row r="80" ht="22.5" customHeight="1">
      <c r="B80" s="55"/>
      <c r="G80" s="56"/>
      <c r="I80" s="73"/>
      <c r="J80" s="74"/>
      <c r="K80" s="75"/>
      <c r="L80" s="75"/>
      <c r="M80" s="76"/>
      <c r="N80" s="77"/>
      <c r="O80" s="78"/>
      <c r="AQ80" s="55"/>
    </row>
    <row r="81" ht="22.5" customHeight="1">
      <c r="B81" s="55"/>
      <c r="G81" s="56"/>
      <c r="I81" s="73"/>
      <c r="J81" s="74"/>
      <c r="K81" s="75"/>
      <c r="L81" s="75"/>
      <c r="M81" s="76"/>
      <c r="N81" s="77"/>
      <c r="O81" s="78"/>
      <c r="AQ81" s="55"/>
    </row>
    <row r="82" ht="22.5" customHeight="1">
      <c r="B82" s="55"/>
      <c r="G82" s="56"/>
      <c r="I82" s="73"/>
      <c r="J82" s="74"/>
      <c r="K82" s="75"/>
      <c r="L82" s="75"/>
      <c r="M82" s="76"/>
      <c r="N82" s="77"/>
      <c r="O82" s="78"/>
      <c r="AQ82" s="55"/>
    </row>
    <row r="83" ht="22.5" customHeight="1">
      <c r="B83" s="55"/>
      <c r="G83" s="56"/>
      <c r="I83" s="73"/>
      <c r="J83" s="74"/>
      <c r="K83" s="75"/>
      <c r="L83" s="75"/>
      <c r="M83" s="76"/>
      <c r="N83" s="77"/>
      <c r="O83" s="78"/>
      <c r="AQ83" s="55"/>
    </row>
    <row r="84" ht="22.5" customHeight="1">
      <c r="B84" s="55"/>
      <c r="G84" s="56"/>
      <c r="I84" s="73"/>
      <c r="J84" s="74"/>
      <c r="K84" s="75"/>
      <c r="L84" s="75"/>
      <c r="M84" s="76"/>
      <c r="N84" s="77"/>
      <c r="O84" s="78"/>
      <c r="AQ84" s="55"/>
    </row>
    <row r="85" ht="22.5" customHeight="1">
      <c r="B85" s="55"/>
      <c r="G85" s="56"/>
      <c r="I85" s="73"/>
      <c r="J85" s="74"/>
      <c r="K85" s="75"/>
      <c r="L85" s="75"/>
      <c r="M85" s="76"/>
      <c r="N85" s="77"/>
      <c r="O85" s="78"/>
      <c r="AQ85" s="55"/>
    </row>
    <row r="86" ht="22.5" customHeight="1">
      <c r="B86" s="55"/>
      <c r="G86" s="56"/>
      <c r="I86" s="73"/>
      <c r="J86" s="74"/>
      <c r="K86" s="75"/>
      <c r="L86" s="75"/>
      <c r="M86" s="76"/>
      <c r="N86" s="77"/>
      <c r="O86" s="78"/>
      <c r="AQ86" s="55"/>
    </row>
    <row r="87" ht="22.5" customHeight="1">
      <c r="B87" s="55"/>
      <c r="G87" s="56"/>
      <c r="I87" s="73"/>
      <c r="J87" s="74"/>
      <c r="K87" s="75"/>
      <c r="L87" s="75"/>
      <c r="M87" s="76"/>
      <c r="N87" s="77"/>
      <c r="O87" s="78"/>
      <c r="AQ87" s="55"/>
    </row>
    <row r="88" ht="22.5" customHeight="1">
      <c r="B88" s="55"/>
      <c r="G88" s="56"/>
      <c r="I88" s="73"/>
      <c r="J88" s="74"/>
      <c r="K88" s="75"/>
      <c r="L88" s="75"/>
      <c r="M88" s="76"/>
      <c r="N88" s="77"/>
      <c r="O88" s="78"/>
      <c r="AQ88" s="55"/>
    </row>
    <row r="89" ht="22.5" customHeight="1">
      <c r="B89" s="55"/>
      <c r="G89" s="56"/>
      <c r="I89" s="73"/>
      <c r="J89" s="74"/>
      <c r="K89" s="75"/>
      <c r="L89" s="75"/>
      <c r="M89" s="76"/>
      <c r="N89" s="77"/>
      <c r="O89" s="78"/>
      <c r="AQ89" s="55"/>
    </row>
    <row r="90" ht="22.5" customHeight="1">
      <c r="B90" s="55"/>
      <c r="G90" s="56"/>
      <c r="I90" s="73"/>
      <c r="J90" s="74"/>
      <c r="K90" s="75"/>
      <c r="L90" s="75"/>
      <c r="M90" s="76"/>
      <c r="N90" s="77"/>
      <c r="O90" s="78"/>
      <c r="AQ90" s="55"/>
    </row>
    <row r="91" ht="22.5" customHeight="1">
      <c r="B91" s="55"/>
      <c r="G91" s="56"/>
      <c r="I91" s="73"/>
      <c r="J91" s="74"/>
      <c r="K91" s="75"/>
      <c r="L91" s="75"/>
      <c r="M91" s="76"/>
      <c r="N91" s="77"/>
      <c r="O91" s="78"/>
      <c r="AQ91" s="55"/>
    </row>
    <row r="92" ht="22.5" customHeight="1">
      <c r="B92" s="55"/>
      <c r="G92" s="56"/>
      <c r="I92" s="73"/>
      <c r="J92" s="74"/>
      <c r="K92" s="75"/>
      <c r="L92" s="75"/>
      <c r="M92" s="76"/>
      <c r="N92" s="77"/>
      <c r="O92" s="78"/>
      <c r="AQ92" s="55"/>
    </row>
    <row r="93" ht="22.5" customHeight="1">
      <c r="B93" s="55"/>
      <c r="G93" s="56"/>
      <c r="I93" s="73"/>
      <c r="J93" s="74"/>
      <c r="K93" s="75"/>
      <c r="L93" s="75"/>
      <c r="M93" s="76"/>
      <c r="N93" s="77"/>
      <c r="O93" s="78"/>
      <c r="AQ93" s="55"/>
    </row>
    <row r="94" ht="22.5" customHeight="1">
      <c r="B94" s="55"/>
      <c r="G94" s="56"/>
      <c r="I94" s="73"/>
      <c r="J94" s="74"/>
      <c r="K94" s="75"/>
      <c r="L94" s="75"/>
      <c r="M94" s="76"/>
      <c r="N94" s="77"/>
      <c r="O94" s="78"/>
      <c r="AQ94" s="55"/>
    </row>
    <row r="95" ht="22.5" customHeight="1">
      <c r="B95" s="55"/>
      <c r="G95" s="56"/>
      <c r="I95" s="73"/>
      <c r="J95" s="74"/>
      <c r="K95" s="75"/>
      <c r="L95" s="75"/>
      <c r="M95" s="76"/>
      <c r="N95" s="77"/>
      <c r="O95" s="78"/>
      <c r="AQ95" s="55"/>
    </row>
    <row r="96" ht="22.5" customHeight="1">
      <c r="B96" s="55"/>
      <c r="G96" s="56"/>
      <c r="I96" s="73"/>
      <c r="J96" s="74"/>
      <c r="K96" s="75"/>
      <c r="L96" s="75"/>
      <c r="M96" s="76"/>
      <c r="N96" s="77"/>
      <c r="O96" s="78"/>
      <c r="AQ96" s="55"/>
    </row>
    <row r="97" ht="22.5" customHeight="1">
      <c r="B97" s="55"/>
      <c r="G97" s="56"/>
      <c r="I97" s="73"/>
      <c r="J97" s="74"/>
      <c r="K97" s="75"/>
      <c r="L97" s="75"/>
      <c r="M97" s="76"/>
      <c r="N97" s="77"/>
      <c r="O97" s="78"/>
      <c r="AQ97" s="55"/>
    </row>
    <row r="98" ht="22.5" customHeight="1">
      <c r="B98" s="55"/>
      <c r="G98" s="56"/>
      <c r="I98" s="73"/>
      <c r="J98" s="74"/>
      <c r="K98" s="75"/>
      <c r="L98" s="75"/>
      <c r="M98" s="76"/>
      <c r="N98" s="77"/>
      <c r="O98" s="78"/>
      <c r="AQ98" s="55"/>
    </row>
    <row r="99" ht="22.5" customHeight="1">
      <c r="B99" s="55"/>
      <c r="G99" s="56"/>
      <c r="I99" s="73"/>
      <c r="J99" s="74"/>
      <c r="K99" s="75"/>
      <c r="L99" s="75"/>
      <c r="M99" s="76"/>
      <c r="N99" s="77"/>
      <c r="O99" s="78"/>
      <c r="AQ99" s="55"/>
    </row>
    <row r="100" ht="22.5" customHeight="1">
      <c r="B100" s="55"/>
      <c r="G100" s="56"/>
      <c r="I100" s="73"/>
      <c r="J100" s="74"/>
      <c r="K100" s="75"/>
      <c r="L100" s="75"/>
      <c r="M100" s="76"/>
      <c r="N100" s="77"/>
      <c r="O100" s="78"/>
      <c r="AQ100" s="55"/>
    </row>
    <row r="101" ht="22.5" customHeight="1">
      <c r="B101" s="55"/>
      <c r="G101" s="56"/>
      <c r="I101" s="73"/>
      <c r="J101" s="74"/>
      <c r="K101" s="75"/>
      <c r="L101" s="75"/>
      <c r="M101" s="76"/>
      <c r="N101" s="77"/>
      <c r="O101" s="78"/>
      <c r="AQ101" s="55"/>
    </row>
    <row r="102" ht="22.5" customHeight="1">
      <c r="B102" s="55"/>
      <c r="G102" s="56"/>
      <c r="I102" s="73"/>
      <c r="J102" s="74"/>
      <c r="K102" s="75"/>
      <c r="L102" s="75"/>
      <c r="M102" s="76"/>
      <c r="N102" s="77"/>
      <c r="O102" s="78"/>
      <c r="AQ102" s="55"/>
    </row>
    <row r="103" ht="22.5" customHeight="1">
      <c r="B103" s="55"/>
      <c r="G103" s="56"/>
      <c r="I103" s="73"/>
      <c r="J103" s="74"/>
      <c r="K103" s="75"/>
      <c r="L103" s="75"/>
      <c r="M103" s="76"/>
      <c r="N103" s="77"/>
      <c r="O103" s="78"/>
      <c r="AQ103" s="55"/>
    </row>
    <row r="104" ht="22.5" customHeight="1">
      <c r="B104" s="55"/>
      <c r="G104" s="56"/>
      <c r="I104" s="73"/>
      <c r="J104" s="74"/>
      <c r="K104" s="75"/>
      <c r="L104" s="75"/>
      <c r="M104" s="76"/>
      <c r="N104" s="77"/>
      <c r="O104" s="78"/>
      <c r="AQ104" s="55"/>
    </row>
    <row r="105" ht="22.5" customHeight="1">
      <c r="B105" s="55"/>
      <c r="G105" s="56"/>
      <c r="I105" s="73"/>
      <c r="J105" s="74"/>
      <c r="K105" s="75"/>
      <c r="L105" s="75"/>
      <c r="M105" s="76"/>
      <c r="N105" s="77"/>
      <c r="O105" s="78"/>
      <c r="AQ105" s="55"/>
    </row>
    <row r="106" ht="22.5" customHeight="1">
      <c r="B106" s="55"/>
      <c r="G106" s="56"/>
      <c r="I106" s="73"/>
      <c r="J106" s="74"/>
      <c r="K106" s="75"/>
      <c r="L106" s="75"/>
      <c r="M106" s="76"/>
      <c r="N106" s="77"/>
      <c r="O106" s="78"/>
      <c r="AQ106" s="55"/>
    </row>
    <row r="107" ht="22.5" customHeight="1">
      <c r="B107" s="55"/>
      <c r="G107" s="56"/>
      <c r="I107" s="73"/>
      <c r="J107" s="74"/>
      <c r="K107" s="75"/>
      <c r="L107" s="75"/>
      <c r="M107" s="76"/>
      <c r="N107" s="77"/>
      <c r="O107" s="78"/>
      <c r="AQ107" s="55"/>
    </row>
    <row r="108" ht="22.5" customHeight="1">
      <c r="B108" s="55"/>
      <c r="G108" s="56"/>
      <c r="I108" s="73"/>
      <c r="J108" s="74"/>
      <c r="K108" s="75"/>
      <c r="L108" s="75"/>
      <c r="M108" s="76"/>
      <c r="N108" s="77"/>
      <c r="O108" s="78"/>
      <c r="AQ108" s="55"/>
    </row>
    <row r="109" ht="22.5" customHeight="1">
      <c r="B109" s="55"/>
      <c r="G109" s="56"/>
      <c r="I109" s="73"/>
      <c r="J109" s="74"/>
      <c r="K109" s="75"/>
      <c r="L109" s="75"/>
      <c r="M109" s="76"/>
      <c r="N109" s="77"/>
      <c r="O109" s="78"/>
      <c r="AQ109" s="55"/>
    </row>
    <row r="110" ht="22.5" customHeight="1">
      <c r="B110" s="55"/>
      <c r="G110" s="56"/>
      <c r="I110" s="73"/>
      <c r="J110" s="74"/>
      <c r="K110" s="75"/>
      <c r="L110" s="75"/>
      <c r="M110" s="76"/>
      <c r="N110" s="77"/>
      <c r="O110" s="78"/>
      <c r="AQ110" s="55"/>
    </row>
    <row r="111" ht="22.5" customHeight="1">
      <c r="B111" s="55"/>
      <c r="G111" s="56"/>
      <c r="I111" s="73"/>
      <c r="J111" s="74"/>
      <c r="K111" s="75"/>
      <c r="L111" s="75"/>
      <c r="M111" s="76"/>
      <c r="N111" s="77"/>
      <c r="O111" s="78"/>
      <c r="AQ111" s="55"/>
    </row>
    <row r="112" ht="22.5" customHeight="1">
      <c r="B112" s="55"/>
      <c r="G112" s="56"/>
      <c r="I112" s="73"/>
      <c r="J112" s="74"/>
      <c r="K112" s="75"/>
      <c r="L112" s="75"/>
      <c r="M112" s="76"/>
      <c r="N112" s="77"/>
      <c r="O112" s="78"/>
      <c r="AQ112" s="55"/>
    </row>
    <row r="113" ht="22.5" customHeight="1">
      <c r="B113" s="55"/>
      <c r="G113" s="56"/>
      <c r="I113" s="73"/>
      <c r="J113" s="74"/>
      <c r="K113" s="75"/>
      <c r="L113" s="75"/>
      <c r="M113" s="76"/>
      <c r="N113" s="77"/>
      <c r="O113" s="78"/>
      <c r="AQ113" s="55"/>
    </row>
    <row r="114" ht="22.5" customHeight="1">
      <c r="B114" s="55"/>
      <c r="G114" s="56"/>
      <c r="I114" s="73"/>
      <c r="J114" s="74"/>
      <c r="K114" s="75"/>
      <c r="L114" s="75"/>
      <c r="M114" s="76"/>
      <c r="N114" s="77"/>
      <c r="O114" s="78"/>
      <c r="AQ114" s="55"/>
    </row>
    <row r="115" ht="22.5" customHeight="1">
      <c r="B115" s="55"/>
      <c r="G115" s="56"/>
      <c r="I115" s="73"/>
      <c r="J115" s="74"/>
      <c r="K115" s="75"/>
      <c r="L115" s="75"/>
      <c r="M115" s="76"/>
      <c r="N115" s="77"/>
      <c r="O115" s="78"/>
      <c r="AQ115" s="55"/>
    </row>
    <row r="116" ht="22.5" customHeight="1">
      <c r="B116" s="55"/>
      <c r="G116" s="56"/>
      <c r="I116" s="73"/>
      <c r="J116" s="74"/>
      <c r="K116" s="75"/>
      <c r="L116" s="75"/>
      <c r="M116" s="76"/>
      <c r="N116" s="77"/>
      <c r="O116" s="78"/>
      <c r="AQ116" s="55"/>
    </row>
    <row r="117" ht="22.5" customHeight="1">
      <c r="B117" s="55"/>
      <c r="G117" s="56"/>
      <c r="I117" s="73"/>
      <c r="J117" s="74"/>
      <c r="K117" s="75"/>
      <c r="L117" s="75"/>
      <c r="M117" s="76"/>
      <c r="N117" s="77"/>
      <c r="O117" s="78"/>
      <c r="AQ117" s="55"/>
    </row>
    <row r="118" ht="22.5" customHeight="1">
      <c r="B118" s="55"/>
      <c r="G118" s="56"/>
      <c r="I118" s="73"/>
      <c r="J118" s="74"/>
      <c r="K118" s="75"/>
      <c r="L118" s="75"/>
      <c r="M118" s="76"/>
      <c r="N118" s="77"/>
      <c r="O118" s="78"/>
      <c r="AQ118" s="55"/>
    </row>
    <row r="119" ht="22.5" customHeight="1">
      <c r="B119" s="55"/>
      <c r="G119" s="56"/>
      <c r="I119" s="73"/>
      <c r="J119" s="74"/>
      <c r="K119" s="75"/>
      <c r="L119" s="75"/>
      <c r="M119" s="76"/>
      <c r="N119" s="77"/>
      <c r="O119" s="78"/>
      <c r="AQ119" s="55"/>
    </row>
    <row r="120" ht="22.5" customHeight="1">
      <c r="B120" s="55"/>
      <c r="G120" s="56"/>
      <c r="I120" s="73"/>
      <c r="J120" s="74"/>
      <c r="K120" s="75"/>
      <c r="L120" s="75"/>
      <c r="M120" s="76"/>
      <c r="N120" s="77"/>
      <c r="O120" s="78"/>
      <c r="AQ120" s="55"/>
    </row>
    <row r="121" ht="22.5" customHeight="1">
      <c r="B121" s="55"/>
      <c r="G121" s="56"/>
      <c r="I121" s="73"/>
      <c r="J121" s="74"/>
      <c r="K121" s="75"/>
      <c r="L121" s="75"/>
      <c r="M121" s="76"/>
      <c r="N121" s="77"/>
      <c r="O121" s="78"/>
      <c r="AQ121" s="55"/>
    </row>
    <row r="122" ht="22.5" customHeight="1">
      <c r="B122" s="55"/>
      <c r="G122" s="56"/>
      <c r="I122" s="73"/>
      <c r="J122" s="74"/>
      <c r="K122" s="75"/>
      <c r="L122" s="75"/>
      <c r="M122" s="76"/>
      <c r="N122" s="77"/>
      <c r="O122" s="78"/>
      <c r="AQ122" s="55"/>
    </row>
    <row r="123" ht="22.5" customHeight="1">
      <c r="B123" s="55"/>
      <c r="G123" s="56"/>
      <c r="I123" s="73"/>
      <c r="J123" s="74"/>
      <c r="K123" s="75"/>
      <c r="L123" s="75"/>
      <c r="M123" s="76"/>
      <c r="N123" s="77"/>
      <c r="O123" s="78"/>
      <c r="AQ123" s="55"/>
    </row>
    <row r="124" ht="22.5" customHeight="1">
      <c r="B124" s="55"/>
      <c r="G124" s="56"/>
      <c r="I124" s="73"/>
      <c r="J124" s="74"/>
      <c r="K124" s="75"/>
      <c r="L124" s="75"/>
      <c r="M124" s="76"/>
      <c r="N124" s="77"/>
      <c r="O124" s="78"/>
      <c r="AQ124" s="55"/>
    </row>
    <row r="125" ht="22.5" customHeight="1">
      <c r="B125" s="55"/>
      <c r="G125" s="56"/>
      <c r="I125" s="73"/>
      <c r="J125" s="74"/>
      <c r="K125" s="75"/>
      <c r="L125" s="75"/>
      <c r="M125" s="76"/>
      <c r="N125" s="77"/>
      <c r="O125" s="78"/>
      <c r="AQ125" s="55"/>
    </row>
    <row r="126" ht="22.5" customHeight="1">
      <c r="B126" s="55"/>
      <c r="G126" s="56"/>
      <c r="I126" s="73"/>
      <c r="J126" s="74"/>
      <c r="K126" s="75"/>
      <c r="L126" s="75"/>
      <c r="M126" s="76"/>
      <c r="N126" s="77"/>
      <c r="O126" s="78"/>
      <c r="AQ126" s="55"/>
    </row>
    <row r="127" ht="22.5" customHeight="1">
      <c r="B127" s="55"/>
      <c r="G127" s="56"/>
      <c r="I127" s="73"/>
      <c r="J127" s="74"/>
      <c r="K127" s="75"/>
      <c r="L127" s="75"/>
      <c r="M127" s="76"/>
      <c r="N127" s="77"/>
      <c r="O127" s="78"/>
      <c r="AQ127" s="55"/>
    </row>
    <row r="128" ht="22.5" customHeight="1">
      <c r="B128" s="55"/>
      <c r="G128" s="56"/>
      <c r="I128" s="73"/>
      <c r="J128" s="74"/>
      <c r="K128" s="75"/>
      <c r="L128" s="75"/>
      <c r="M128" s="76"/>
      <c r="N128" s="77"/>
      <c r="O128" s="78"/>
      <c r="AQ128" s="55"/>
    </row>
    <row r="129" ht="22.5" customHeight="1">
      <c r="B129" s="55"/>
      <c r="G129" s="56"/>
      <c r="I129" s="73"/>
      <c r="J129" s="74"/>
      <c r="K129" s="75"/>
      <c r="L129" s="75"/>
      <c r="M129" s="76"/>
      <c r="N129" s="77"/>
      <c r="O129" s="78"/>
      <c r="AQ129" s="55"/>
    </row>
    <row r="130" ht="22.5" customHeight="1">
      <c r="B130" s="55"/>
      <c r="G130" s="56"/>
      <c r="I130" s="73"/>
      <c r="J130" s="74"/>
      <c r="K130" s="75"/>
      <c r="L130" s="75"/>
      <c r="M130" s="76"/>
      <c r="N130" s="77"/>
      <c r="O130" s="78"/>
      <c r="AQ130" s="55"/>
    </row>
    <row r="131" ht="22.5" customHeight="1">
      <c r="B131" s="55"/>
      <c r="G131" s="56"/>
      <c r="I131" s="73"/>
      <c r="J131" s="74"/>
      <c r="K131" s="75"/>
      <c r="L131" s="75"/>
      <c r="M131" s="76"/>
      <c r="N131" s="77"/>
      <c r="O131" s="78"/>
      <c r="AQ131" s="55"/>
    </row>
    <row r="132" ht="22.5" customHeight="1">
      <c r="B132" s="55"/>
      <c r="G132" s="56"/>
      <c r="I132" s="73"/>
      <c r="J132" s="74"/>
      <c r="K132" s="75"/>
      <c r="L132" s="75"/>
      <c r="M132" s="76"/>
      <c r="N132" s="77"/>
      <c r="O132" s="78"/>
      <c r="AQ132" s="55"/>
    </row>
    <row r="133" ht="22.5" customHeight="1">
      <c r="B133" s="55"/>
      <c r="G133" s="56"/>
      <c r="I133" s="73"/>
      <c r="J133" s="74"/>
      <c r="K133" s="75"/>
      <c r="L133" s="75"/>
      <c r="M133" s="76"/>
      <c r="N133" s="77"/>
      <c r="O133" s="78"/>
      <c r="AQ133" s="55"/>
    </row>
    <row r="134" ht="22.5" customHeight="1">
      <c r="B134" s="55"/>
      <c r="G134" s="56"/>
      <c r="I134" s="73"/>
      <c r="J134" s="74"/>
      <c r="K134" s="75"/>
      <c r="L134" s="75"/>
      <c r="M134" s="76"/>
      <c r="N134" s="77"/>
      <c r="O134" s="78"/>
      <c r="AQ134" s="55"/>
    </row>
    <row r="135" ht="22.5" customHeight="1">
      <c r="B135" s="55"/>
      <c r="G135" s="56"/>
      <c r="I135" s="73"/>
      <c r="J135" s="74"/>
      <c r="K135" s="75"/>
      <c r="L135" s="75"/>
      <c r="M135" s="76"/>
      <c r="N135" s="77"/>
      <c r="O135" s="78"/>
      <c r="AQ135" s="55"/>
    </row>
    <row r="136" ht="22.5" customHeight="1">
      <c r="B136" s="55"/>
      <c r="G136" s="56"/>
      <c r="I136" s="73"/>
      <c r="J136" s="74"/>
      <c r="K136" s="75"/>
      <c r="L136" s="75"/>
      <c r="M136" s="76"/>
      <c r="N136" s="77"/>
      <c r="O136" s="78"/>
      <c r="AQ136" s="55"/>
    </row>
    <row r="137" ht="22.5" customHeight="1">
      <c r="B137" s="55"/>
      <c r="G137" s="56"/>
      <c r="I137" s="73"/>
      <c r="J137" s="74"/>
      <c r="K137" s="75"/>
      <c r="L137" s="75"/>
      <c r="M137" s="76"/>
      <c r="N137" s="77"/>
      <c r="O137" s="78"/>
      <c r="AQ137" s="55"/>
    </row>
    <row r="138" ht="22.5" customHeight="1">
      <c r="B138" s="55"/>
      <c r="G138" s="56"/>
      <c r="I138" s="73"/>
      <c r="J138" s="74"/>
      <c r="K138" s="75"/>
      <c r="L138" s="75"/>
      <c r="M138" s="76"/>
      <c r="N138" s="77"/>
      <c r="O138" s="78"/>
      <c r="AQ138" s="55"/>
    </row>
    <row r="139" ht="22.5" customHeight="1">
      <c r="B139" s="55"/>
      <c r="G139" s="56"/>
      <c r="I139" s="73"/>
      <c r="J139" s="74"/>
      <c r="K139" s="75"/>
      <c r="L139" s="75"/>
      <c r="M139" s="76"/>
      <c r="N139" s="77"/>
      <c r="O139" s="78"/>
      <c r="AQ139" s="55"/>
    </row>
    <row r="140" ht="22.5" customHeight="1">
      <c r="B140" s="55"/>
      <c r="G140" s="56"/>
      <c r="I140" s="73"/>
      <c r="J140" s="74"/>
      <c r="K140" s="75"/>
      <c r="L140" s="75"/>
      <c r="M140" s="76"/>
      <c r="N140" s="77"/>
      <c r="O140" s="78"/>
      <c r="AQ140" s="55"/>
    </row>
    <row r="141" ht="22.5" customHeight="1">
      <c r="B141" s="55"/>
      <c r="G141" s="56"/>
      <c r="I141" s="73"/>
      <c r="J141" s="74"/>
      <c r="K141" s="75"/>
      <c r="L141" s="75"/>
      <c r="M141" s="76"/>
      <c r="N141" s="77"/>
      <c r="O141" s="78"/>
      <c r="AQ141" s="55"/>
    </row>
    <row r="142" ht="22.5" customHeight="1">
      <c r="B142" s="55"/>
      <c r="G142" s="56"/>
      <c r="I142" s="73"/>
      <c r="J142" s="74"/>
      <c r="K142" s="75"/>
      <c r="L142" s="75"/>
      <c r="M142" s="76"/>
      <c r="N142" s="77"/>
      <c r="O142" s="78"/>
      <c r="AQ142" s="55"/>
    </row>
    <row r="143" ht="22.5" customHeight="1">
      <c r="B143" s="55"/>
      <c r="G143" s="56"/>
      <c r="I143" s="73"/>
      <c r="J143" s="74"/>
      <c r="K143" s="75"/>
      <c r="L143" s="75"/>
      <c r="M143" s="76"/>
      <c r="N143" s="77"/>
      <c r="O143" s="78"/>
      <c r="AQ143" s="55"/>
    </row>
    <row r="144" ht="22.5" customHeight="1">
      <c r="B144" s="55"/>
      <c r="G144" s="56"/>
      <c r="I144" s="73"/>
      <c r="J144" s="74"/>
      <c r="K144" s="75"/>
      <c r="L144" s="75"/>
      <c r="M144" s="76"/>
      <c r="N144" s="77"/>
      <c r="O144" s="78"/>
      <c r="AQ144" s="55"/>
    </row>
    <row r="145" ht="22.5" customHeight="1">
      <c r="B145" s="55"/>
      <c r="G145" s="56"/>
      <c r="I145" s="73"/>
      <c r="J145" s="74"/>
      <c r="K145" s="75"/>
      <c r="L145" s="75"/>
      <c r="M145" s="76"/>
      <c r="N145" s="77"/>
      <c r="O145" s="78"/>
      <c r="AQ145" s="55"/>
    </row>
    <row r="146" ht="22.5" customHeight="1">
      <c r="B146" s="55"/>
      <c r="G146" s="56"/>
      <c r="I146" s="73"/>
      <c r="J146" s="74"/>
      <c r="K146" s="75"/>
      <c r="L146" s="75"/>
      <c r="M146" s="76"/>
      <c r="N146" s="77"/>
      <c r="O146" s="78"/>
      <c r="AQ146" s="55"/>
    </row>
    <row r="147" ht="22.5" customHeight="1">
      <c r="B147" s="55"/>
      <c r="G147" s="56"/>
      <c r="I147" s="73"/>
      <c r="J147" s="74"/>
      <c r="K147" s="75"/>
      <c r="L147" s="75"/>
      <c r="M147" s="76"/>
      <c r="N147" s="77"/>
      <c r="O147" s="78"/>
      <c r="AQ147" s="55"/>
    </row>
    <row r="148" ht="22.5" customHeight="1">
      <c r="B148" s="55"/>
      <c r="G148" s="56"/>
      <c r="I148" s="73"/>
      <c r="J148" s="74"/>
      <c r="K148" s="75"/>
      <c r="L148" s="75"/>
      <c r="M148" s="76"/>
      <c r="N148" s="77"/>
      <c r="O148" s="78"/>
      <c r="AQ148" s="55"/>
    </row>
    <row r="149" ht="22.5" customHeight="1">
      <c r="B149" s="55"/>
      <c r="G149" s="56"/>
      <c r="I149" s="73"/>
      <c r="J149" s="74"/>
      <c r="K149" s="75"/>
      <c r="L149" s="75"/>
      <c r="M149" s="76"/>
      <c r="N149" s="77"/>
      <c r="O149" s="78"/>
      <c r="AQ149" s="55"/>
    </row>
    <row r="150" ht="22.5" customHeight="1">
      <c r="B150" s="55"/>
      <c r="G150" s="56"/>
      <c r="I150" s="73"/>
      <c r="J150" s="74"/>
      <c r="K150" s="75"/>
      <c r="L150" s="75"/>
      <c r="M150" s="76"/>
      <c r="N150" s="77"/>
      <c r="O150" s="78"/>
      <c r="AQ150" s="55"/>
    </row>
    <row r="151" ht="22.5" customHeight="1">
      <c r="B151" s="55"/>
      <c r="G151" s="56"/>
      <c r="I151" s="73"/>
      <c r="J151" s="74"/>
      <c r="K151" s="75"/>
      <c r="L151" s="75"/>
      <c r="M151" s="76"/>
      <c r="N151" s="77"/>
      <c r="O151" s="78"/>
      <c r="AQ151" s="55"/>
    </row>
    <row r="152" ht="22.5" customHeight="1">
      <c r="B152" s="55"/>
      <c r="G152" s="56"/>
      <c r="I152" s="73"/>
      <c r="J152" s="74"/>
      <c r="K152" s="75"/>
      <c r="L152" s="75"/>
      <c r="M152" s="76"/>
      <c r="N152" s="77"/>
      <c r="O152" s="78"/>
      <c r="AQ152" s="55"/>
    </row>
    <row r="153" ht="22.5" customHeight="1">
      <c r="B153" s="55"/>
      <c r="G153" s="56"/>
      <c r="I153" s="73"/>
      <c r="J153" s="74"/>
      <c r="K153" s="75"/>
      <c r="L153" s="75"/>
      <c r="M153" s="76"/>
      <c r="N153" s="77"/>
      <c r="O153" s="78"/>
      <c r="AQ153" s="55"/>
    </row>
    <row r="154" ht="22.5" customHeight="1">
      <c r="B154" s="55"/>
      <c r="G154" s="56"/>
      <c r="I154" s="73"/>
      <c r="J154" s="74"/>
      <c r="K154" s="75"/>
      <c r="L154" s="75"/>
      <c r="M154" s="76"/>
      <c r="N154" s="77"/>
      <c r="O154" s="78"/>
      <c r="AQ154" s="55"/>
    </row>
    <row r="155" ht="22.5" customHeight="1">
      <c r="B155" s="55"/>
      <c r="G155" s="56"/>
      <c r="I155" s="73"/>
      <c r="J155" s="74"/>
      <c r="K155" s="75"/>
      <c r="L155" s="75"/>
      <c r="M155" s="76"/>
      <c r="N155" s="77"/>
      <c r="O155" s="78"/>
      <c r="AQ155" s="55"/>
    </row>
    <row r="156" ht="22.5" customHeight="1">
      <c r="B156" s="55"/>
      <c r="G156" s="56"/>
      <c r="I156" s="73"/>
      <c r="J156" s="74"/>
      <c r="K156" s="75"/>
      <c r="L156" s="75"/>
      <c r="M156" s="76"/>
      <c r="N156" s="77"/>
      <c r="O156" s="78"/>
      <c r="AQ156" s="55"/>
    </row>
    <row r="157" ht="22.5" customHeight="1">
      <c r="B157" s="55"/>
      <c r="G157" s="56"/>
      <c r="I157" s="73"/>
      <c r="J157" s="74"/>
      <c r="K157" s="75"/>
      <c r="L157" s="75"/>
      <c r="M157" s="76"/>
      <c r="N157" s="77"/>
      <c r="O157" s="78"/>
      <c r="AQ157" s="55"/>
    </row>
    <row r="158" ht="22.5" customHeight="1">
      <c r="B158" s="55"/>
      <c r="G158" s="56"/>
      <c r="I158" s="73"/>
      <c r="J158" s="74"/>
      <c r="K158" s="75"/>
      <c r="L158" s="75"/>
      <c r="M158" s="76"/>
      <c r="N158" s="77"/>
      <c r="O158" s="78"/>
      <c r="AQ158" s="55"/>
    </row>
    <row r="159" ht="22.5" customHeight="1">
      <c r="B159" s="55"/>
      <c r="G159" s="56"/>
      <c r="I159" s="73"/>
      <c r="J159" s="74"/>
      <c r="K159" s="75"/>
      <c r="L159" s="75"/>
      <c r="M159" s="76"/>
      <c r="N159" s="77"/>
      <c r="O159" s="78"/>
      <c r="AQ159" s="55"/>
    </row>
    <row r="160" ht="22.5" customHeight="1">
      <c r="B160" s="55"/>
      <c r="G160" s="56"/>
      <c r="I160" s="73"/>
      <c r="J160" s="74"/>
      <c r="K160" s="75"/>
      <c r="L160" s="75"/>
      <c r="M160" s="76"/>
      <c r="N160" s="77"/>
      <c r="O160" s="78"/>
      <c r="AQ160" s="55"/>
    </row>
    <row r="161" ht="22.5" customHeight="1">
      <c r="B161" s="55"/>
      <c r="G161" s="56"/>
      <c r="I161" s="73"/>
      <c r="J161" s="74"/>
      <c r="K161" s="75"/>
      <c r="L161" s="75"/>
      <c r="M161" s="76"/>
      <c r="N161" s="77"/>
      <c r="O161" s="78"/>
      <c r="AQ161" s="55"/>
    </row>
    <row r="162" ht="22.5" customHeight="1">
      <c r="B162" s="55"/>
      <c r="G162" s="56"/>
      <c r="I162" s="73"/>
      <c r="J162" s="74"/>
      <c r="K162" s="75"/>
      <c r="L162" s="75"/>
      <c r="M162" s="76"/>
      <c r="N162" s="77"/>
      <c r="O162" s="78"/>
      <c r="AQ162" s="55"/>
    </row>
    <row r="163" ht="22.5" customHeight="1">
      <c r="B163" s="55"/>
      <c r="G163" s="56"/>
      <c r="I163" s="73"/>
      <c r="J163" s="74"/>
      <c r="K163" s="75"/>
      <c r="L163" s="75"/>
      <c r="M163" s="76"/>
      <c r="N163" s="77"/>
      <c r="O163" s="78"/>
      <c r="AQ163" s="55"/>
    </row>
    <row r="164" ht="22.5" customHeight="1">
      <c r="B164" s="55"/>
      <c r="G164" s="56"/>
      <c r="I164" s="73"/>
      <c r="J164" s="74"/>
      <c r="K164" s="75"/>
      <c r="L164" s="75"/>
      <c r="M164" s="76"/>
      <c r="N164" s="77"/>
      <c r="O164" s="78"/>
      <c r="AQ164" s="55"/>
    </row>
    <row r="165" ht="22.5" customHeight="1">
      <c r="B165" s="55"/>
      <c r="G165" s="56"/>
      <c r="I165" s="73"/>
      <c r="J165" s="74"/>
      <c r="K165" s="75"/>
      <c r="L165" s="75"/>
      <c r="M165" s="76"/>
      <c r="N165" s="77"/>
      <c r="O165" s="78"/>
      <c r="AQ165" s="55"/>
    </row>
    <row r="166" ht="22.5" customHeight="1">
      <c r="B166" s="55"/>
      <c r="G166" s="56"/>
      <c r="I166" s="73"/>
      <c r="J166" s="74"/>
      <c r="K166" s="75"/>
      <c r="L166" s="75"/>
      <c r="M166" s="76"/>
      <c r="N166" s="77"/>
      <c r="O166" s="78"/>
      <c r="AQ166" s="55"/>
    </row>
    <row r="167" ht="22.5" customHeight="1">
      <c r="B167" s="55"/>
      <c r="G167" s="56"/>
      <c r="I167" s="73"/>
      <c r="J167" s="74"/>
      <c r="K167" s="75"/>
      <c r="L167" s="75"/>
      <c r="M167" s="76"/>
      <c r="N167" s="77"/>
      <c r="O167" s="78"/>
      <c r="AQ167" s="55"/>
    </row>
    <row r="168" ht="22.5" customHeight="1">
      <c r="B168" s="55"/>
      <c r="G168" s="56"/>
      <c r="I168" s="73"/>
      <c r="J168" s="74"/>
      <c r="K168" s="75"/>
      <c r="L168" s="75"/>
      <c r="M168" s="76"/>
      <c r="N168" s="77"/>
      <c r="O168" s="78"/>
      <c r="AQ168" s="55"/>
    </row>
    <row r="169" ht="22.5" customHeight="1">
      <c r="B169" s="55"/>
      <c r="G169" s="56"/>
      <c r="I169" s="73"/>
      <c r="J169" s="74"/>
      <c r="K169" s="75"/>
      <c r="L169" s="75"/>
      <c r="M169" s="76"/>
      <c r="N169" s="77"/>
      <c r="O169" s="78"/>
      <c r="AQ169" s="55"/>
    </row>
    <row r="170" ht="22.5" customHeight="1">
      <c r="B170" s="55"/>
      <c r="G170" s="56"/>
      <c r="I170" s="73"/>
      <c r="J170" s="74"/>
      <c r="K170" s="75"/>
      <c r="L170" s="75"/>
      <c r="M170" s="76"/>
      <c r="N170" s="77"/>
      <c r="O170" s="78"/>
      <c r="AQ170" s="55"/>
    </row>
    <row r="171" ht="22.5" customHeight="1">
      <c r="B171" s="55"/>
      <c r="G171" s="56"/>
      <c r="I171" s="73"/>
      <c r="J171" s="74"/>
      <c r="K171" s="75"/>
      <c r="L171" s="75"/>
      <c r="M171" s="76"/>
      <c r="N171" s="77"/>
      <c r="O171" s="78"/>
      <c r="AQ171" s="55"/>
    </row>
    <row r="172" ht="22.5" customHeight="1">
      <c r="B172" s="55"/>
      <c r="G172" s="56"/>
      <c r="I172" s="73"/>
      <c r="J172" s="74"/>
      <c r="K172" s="75"/>
      <c r="L172" s="75"/>
      <c r="M172" s="76"/>
      <c r="N172" s="77"/>
      <c r="O172" s="78"/>
      <c r="AQ172" s="55"/>
    </row>
    <row r="173" ht="22.5" customHeight="1">
      <c r="B173" s="55"/>
      <c r="G173" s="56"/>
      <c r="I173" s="73"/>
      <c r="J173" s="74"/>
      <c r="K173" s="75"/>
      <c r="L173" s="75"/>
      <c r="M173" s="76"/>
      <c r="N173" s="77"/>
      <c r="O173" s="78"/>
      <c r="AQ173" s="55"/>
    </row>
    <row r="174" ht="22.5" customHeight="1">
      <c r="B174" s="55"/>
      <c r="G174" s="56"/>
      <c r="I174" s="73"/>
      <c r="J174" s="74"/>
      <c r="K174" s="75"/>
      <c r="L174" s="75"/>
      <c r="M174" s="76"/>
      <c r="N174" s="77"/>
      <c r="O174" s="78"/>
      <c r="AQ174" s="55"/>
    </row>
    <row r="175" ht="22.5" customHeight="1">
      <c r="B175" s="55"/>
      <c r="G175" s="56"/>
      <c r="I175" s="73"/>
      <c r="J175" s="74"/>
      <c r="K175" s="75"/>
      <c r="L175" s="75"/>
      <c r="M175" s="76"/>
      <c r="N175" s="77"/>
      <c r="O175" s="78"/>
      <c r="AQ175" s="55"/>
    </row>
    <row r="176" ht="22.5" customHeight="1">
      <c r="B176" s="55"/>
      <c r="G176" s="56"/>
      <c r="I176" s="73"/>
      <c r="J176" s="74"/>
      <c r="K176" s="75"/>
      <c r="L176" s="75"/>
      <c r="M176" s="76"/>
      <c r="N176" s="77"/>
      <c r="O176" s="78"/>
      <c r="AQ176" s="55"/>
    </row>
    <row r="177" ht="22.5" customHeight="1">
      <c r="B177" s="55"/>
      <c r="G177" s="56"/>
      <c r="I177" s="73"/>
      <c r="J177" s="74"/>
      <c r="K177" s="75"/>
      <c r="L177" s="75"/>
      <c r="M177" s="76"/>
      <c r="N177" s="77"/>
      <c r="O177" s="78"/>
      <c r="AQ177" s="55"/>
    </row>
    <row r="178" ht="22.5" customHeight="1">
      <c r="B178" s="55"/>
      <c r="G178" s="56"/>
      <c r="I178" s="73"/>
      <c r="J178" s="74"/>
      <c r="K178" s="75"/>
      <c r="L178" s="75"/>
      <c r="M178" s="76"/>
      <c r="N178" s="77"/>
      <c r="O178" s="78"/>
      <c r="AQ178" s="55"/>
    </row>
    <row r="179" ht="22.5" customHeight="1">
      <c r="B179" s="55"/>
      <c r="G179" s="56"/>
      <c r="I179" s="73"/>
      <c r="J179" s="74"/>
      <c r="K179" s="75"/>
      <c r="L179" s="75"/>
      <c r="M179" s="76"/>
      <c r="N179" s="77"/>
      <c r="O179" s="78"/>
      <c r="AQ179" s="55"/>
    </row>
    <row r="180" ht="22.5" customHeight="1">
      <c r="B180" s="55"/>
      <c r="G180" s="56"/>
      <c r="I180" s="73"/>
      <c r="J180" s="74"/>
      <c r="K180" s="75"/>
      <c r="L180" s="75"/>
      <c r="M180" s="76"/>
      <c r="N180" s="77"/>
      <c r="O180" s="78"/>
      <c r="AQ180" s="55"/>
    </row>
    <row r="181" ht="22.5" customHeight="1">
      <c r="B181" s="55"/>
      <c r="G181" s="56"/>
      <c r="I181" s="73"/>
      <c r="J181" s="74"/>
      <c r="K181" s="75"/>
      <c r="L181" s="75"/>
      <c r="M181" s="76"/>
      <c r="N181" s="77"/>
      <c r="O181" s="78"/>
      <c r="AQ181" s="55"/>
    </row>
    <row r="182" ht="22.5" customHeight="1">
      <c r="B182" s="55"/>
      <c r="G182" s="56"/>
      <c r="I182" s="73"/>
      <c r="J182" s="74"/>
      <c r="K182" s="75"/>
      <c r="L182" s="75"/>
      <c r="M182" s="76"/>
      <c r="N182" s="77"/>
      <c r="O182" s="78"/>
      <c r="AQ182" s="55"/>
    </row>
    <row r="183" ht="22.5" customHeight="1">
      <c r="B183" s="55"/>
      <c r="G183" s="56"/>
      <c r="I183" s="73"/>
      <c r="J183" s="74"/>
      <c r="K183" s="75"/>
      <c r="L183" s="75"/>
      <c r="M183" s="76"/>
      <c r="N183" s="77"/>
      <c r="O183" s="78"/>
      <c r="AQ183" s="55"/>
    </row>
    <row r="184" ht="22.5" customHeight="1">
      <c r="B184" s="55"/>
      <c r="G184" s="56"/>
      <c r="I184" s="73"/>
      <c r="J184" s="74"/>
      <c r="K184" s="75"/>
      <c r="L184" s="75"/>
      <c r="M184" s="76"/>
      <c r="N184" s="77"/>
      <c r="O184" s="78"/>
      <c r="AQ184" s="55"/>
    </row>
    <row r="185" ht="22.5" customHeight="1">
      <c r="B185" s="55"/>
      <c r="G185" s="56"/>
      <c r="I185" s="73"/>
      <c r="J185" s="74"/>
      <c r="K185" s="75"/>
      <c r="L185" s="75"/>
      <c r="M185" s="76"/>
      <c r="N185" s="77"/>
      <c r="O185" s="78"/>
      <c r="AQ185" s="55"/>
    </row>
    <row r="186" ht="22.5" customHeight="1">
      <c r="B186" s="55"/>
      <c r="G186" s="56"/>
      <c r="I186" s="73"/>
      <c r="J186" s="74"/>
      <c r="K186" s="75"/>
      <c r="L186" s="75"/>
      <c r="M186" s="76"/>
      <c r="N186" s="77"/>
      <c r="O186" s="78"/>
      <c r="AQ186" s="55"/>
    </row>
    <row r="187" ht="22.5" customHeight="1">
      <c r="B187" s="55"/>
      <c r="G187" s="56"/>
      <c r="I187" s="73"/>
      <c r="J187" s="74"/>
      <c r="K187" s="75"/>
      <c r="L187" s="75"/>
      <c r="M187" s="76"/>
      <c r="N187" s="77"/>
      <c r="O187" s="78"/>
      <c r="AQ187" s="55"/>
    </row>
    <row r="188" ht="22.5" customHeight="1">
      <c r="B188" s="55"/>
      <c r="G188" s="56"/>
      <c r="I188" s="73"/>
      <c r="J188" s="74"/>
      <c r="K188" s="75"/>
      <c r="L188" s="75"/>
      <c r="M188" s="76"/>
      <c r="N188" s="77"/>
      <c r="O188" s="78"/>
      <c r="AQ188" s="55"/>
    </row>
    <row r="189" ht="22.5" customHeight="1">
      <c r="B189" s="55"/>
      <c r="G189" s="56"/>
      <c r="I189" s="73"/>
      <c r="J189" s="74"/>
      <c r="K189" s="75"/>
      <c r="L189" s="75"/>
      <c r="M189" s="76"/>
      <c r="N189" s="77"/>
      <c r="O189" s="78"/>
      <c r="AQ189" s="55"/>
    </row>
    <row r="190" ht="22.5" customHeight="1">
      <c r="B190" s="55"/>
      <c r="G190" s="56"/>
      <c r="I190" s="73"/>
      <c r="J190" s="74"/>
      <c r="K190" s="75"/>
      <c r="L190" s="75"/>
      <c r="M190" s="76"/>
      <c r="N190" s="77"/>
      <c r="O190" s="78"/>
      <c r="AQ190" s="55"/>
    </row>
    <row r="191" ht="22.5" customHeight="1">
      <c r="B191" s="55"/>
      <c r="G191" s="56"/>
      <c r="I191" s="73"/>
      <c r="J191" s="74"/>
      <c r="K191" s="75"/>
      <c r="L191" s="75"/>
      <c r="M191" s="76"/>
      <c r="N191" s="77"/>
      <c r="O191" s="78"/>
      <c r="AQ191" s="55"/>
    </row>
    <row r="192" ht="22.5" customHeight="1">
      <c r="B192" s="55"/>
      <c r="G192" s="56"/>
      <c r="I192" s="73"/>
      <c r="J192" s="74"/>
      <c r="K192" s="75"/>
      <c r="L192" s="75"/>
      <c r="M192" s="76"/>
      <c r="N192" s="77"/>
      <c r="O192" s="78"/>
      <c r="AQ192" s="55"/>
    </row>
    <row r="193" ht="22.5" customHeight="1">
      <c r="B193" s="55"/>
      <c r="G193" s="56"/>
      <c r="I193" s="73"/>
      <c r="J193" s="74"/>
      <c r="K193" s="75"/>
      <c r="L193" s="75"/>
      <c r="M193" s="76"/>
      <c r="N193" s="77"/>
      <c r="O193" s="78"/>
      <c r="AQ193" s="55"/>
    </row>
    <row r="194" ht="22.5" customHeight="1">
      <c r="B194" s="55"/>
      <c r="G194" s="56"/>
      <c r="I194" s="73"/>
      <c r="J194" s="74"/>
      <c r="K194" s="75"/>
      <c r="L194" s="75"/>
      <c r="M194" s="76"/>
      <c r="N194" s="77"/>
      <c r="O194" s="78"/>
      <c r="AQ194" s="55"/>
    </row>
    <row r="195" ht="22.5" customHeight="1">
      <c r="B195" s="55"/>
      <c r="G195" s="56"/>
      <c r="I195" s="73"/>
      <c r="J195" s="74"/>
      <c r="K195" s="75"/>
      <c r="L195" s="75"/>
      <c r="M195" s="76"/>
      <c r="N195" s="77"/>
      <c r="O195" s="78"/>
      <c r="AQ195" s="55"/>
    </row>
    <row r="196" ht="22.5" customHeight="1">
      <c r="B196" s="55"/>
      <c r="G196" s="56"/>
      <c r="I196" s="73"/>
      <c r="J196" s="74"/>
      <c r="K196" s="75"/>
      <c r="L196" s="75"/>
      <c r="M196" s="76"/>
      <c r="N196" s="77"/>
      <c r="O196" s="78"/>
      <c r="AQ196" s="55"/>
    </row>
    <row r="197" ht="22.5" customHeight="1">
      <c r="B197" s="55"/>
      <c r="G197" s="56"/>
      <c r="I197" s="73"/>
      <c r="J197" s="74"/>
      <c r="K197" s="75"/>
      <c r="L197" s="75"/>
      <c r="M197" s="76"/>
      <c r="N197" s="77"/>
      <c r="O197" s="78"/>
      <c r="AQ197" s="55"/>
    </row>
    <row r="198" ht="22.5" customHeight="1">
      <c r="B198" s="55"/>
      <c r="G198" s="56"/>
      <c r="I198" s="73"/>
      <c r="J198" s="74"/>
      <c r="K198" s="75"/>
      <c r="L198" s="75"/>
      <c r="M198" s="76"/>
      <c r="N198" s="77"/>
      <c r="O198" s="78"/>
      <c r="AQ198" s="55"/>
    </row>
    <row r="199" ht="22.5" customHeight="1">
      <c r="B199" s="55"/>
      <c r="G199" s="56"/>
      <c r="I199" s="73"/>
      <c r="J199" s="74"/>
      <c r="K199" s="75"/>
      <c r="L199" s="75"/>
      <c r="M199" s="76"/>
      <c r="N199" s="77"/>
      <c r="O199" s="78"/>
      <c r="AQ199" s="55"/>
    </row>
    <row r="200" ht="22.5" customHeight="1">
      <c r="B200" s="55"/>
      <c r="G200" s="56"/>
      <c r="I200" s="73"/>
      <c r="J200" s="74"/>
      <c r="K200" s="75"/>
      <c r="L200" s="75"/>
      <c r="M200" s="76"/>
      <c r="N200" s="77"/>
      <c r="O200" s="78"/>
      <c r="AQ200" s="55"/>
    </row>
    <row r="201" ht="22.5" customHeight="1">
      <c r="B201" s="55"/>
      <c r="G201" s="56"/>
      <c r="I201" s="73"/>
      <c r="J201" s="74"/>
      <c r="K201" s="75"/>
      <c r="L201" s="75"/>
      <c r="M201" s="76"/>
      <c r="N201" s="77"/>
      <c r="O201" s="78"/>
      <c r="AQ201" s="55"/>
    </row>
    <row r="202" ht="22.5" customHeight="1">
      <c r="B202" s="55"/>
      <c r="G202" s="56"/>
      <c r="I202" s="73"/>
      <c r="J202" s="74"/>
      <c r="K202" s="75"/>
      <c r="L202" s="75"/>
      <c r="M202" s="76"/>
      <c r="N202" s="77"/>
      <c r="O202" s="78"/>
      <c r="AQ202" s="55"/>
    </row>
    <row r="203" ht="22.5" customHeight="1">
      <c r="B203" s="55"/>
      <c r="G203" s="56"/>
      <c r="I203" s="73"/>
      <c r="J203" s="74"/>
      <c r="K203" s="75"/>
      <c r="L203" s="75"/>
      <c r="M203" s="76"/>
      <c r="N203" s="77"/>
      <c r="O203" s="78"/>
      <c r="AQ203" s="55"/>
    </row>
    <row r="204" ht="22.5" customHeight="1">
      <c r="B204" s="55"/>
      <c r="G204" s="56"/>
      <c r="I204" s="73"/>
      <c r="J204" s="74"/>
      <c r="K204" s="75"/>
      <c r="L204" s="75"/>
      <c r="M204" s="76"/>
      <c r="N204" s="77"/>
      <c r="O204" s="78"/>
      <c r="AQ204" s="55"/>
    </row>
    <row r="205" ht="22.5" customHeight="1">
      <c r="B205" s="55"/>
      <c r="G205" s="56"/>
      <c r="I205" s="73"/>
      <c r="J205" s="74"/>
      <c r="K205" s="75"/>
      <c r="L205" s="75"/>
      <c r="M205" s="76"/>
      <c r="N205" s="77"/>
      <c r="O205" s="78"/>
      <c r="AQ205" s="55"/>
    </row>
    <row r="206" ht="22.5" customHeight="1">
      <c r="B206" s="55"/>
      <c r="G206" s="56"/>
      <c r="I206" s="73"/>
      <c r="J206" s="74"/>
      <c r="K206" s="75"/>
      <c r="L206" s="75"/>
      <c r="M206" s="76"/>
      <c r="N206" s="77"/>
      <c r="O206" s="78"/>
      <c r="AQ206" s="55"/>
    </row>
    <row r="207" ht="22.5" customHeight="1">
      <c r="B207" s="55"/>
      <c r="G207" s="56"/>
      <c r="I207" s="73"/>
      <c r="J207" s="74"/>
      <c r="K207" s="75"/>
      <c r="L207" s="75"/>
      <c r="M207" s="76"/>
      <c r="N207" s="77"/>
      <c r="O207" s="78"/>
      <c r="AQ207" s="55"/>
    </row>
    <row r="208" ht="22.5" customHeight="1">
      <c r="B208" s="55"/>
      <c r="G208" s="56"/>
      <c r="I208" s="73"/>
      <c r="J208" s="74"/>
      <c r="K208" s="75"/>
      <c r="L208" s="75"/>
      <c r="M208" s="76"/>
      <c r="N208" s="77"/>
      <c r="O208" s="78"/>
      <c r="AQ208" s="55"/>
    </row>
    <row r="209" ht="22.5" customHeight="1">
      <c r="B209" s="55"/>
      <c r="G209" s="56"/>
      <c r="I209" s="73"/>
      <c r="J209" s="74"/>
      <c r="K209" s="75"/>
      <c r="L209" s="75"/>
      <c r="M209" s="76"/>
      <c r="N209" s="77"/>
      <c r="O209" s="78"/>
      <c r="AQ209" s="55"/>
    </row>
    <row r="210" ht="22.5" customHeight="1">
      <c r="B210" s="55"/>
      <c r="G210" s="56"/>
      <c r="I210" s="73"/>
      <c r="J210" s="74"/>
      <c r="K210" s="75"/>
      <c r="L210" s="75"/>
      <c r="M210" s="76"/>
      <c r="N210" s="77"/>
      <c r="O210" s="78"/>
      <c r="AQ210" s="55"/>
    </row>
    <row r="211" ht="22.5" customHeight="1">
      <c r="B211" s="55"/>
      <c r="G211" s="56"/>
      <c r="I211" s="73"/>
      <c r="J211" s="74"/>
      <c r="K211" s="75"/>
      <c r="L211" s="75"/>
      <c r="M211" s="76"/>
      <c r="N211" s="77"/>
      <c r="O211" s="78"/>
      <c r="AQ211" s="55"/>
    </row>
    <row r="212" ht="22.5" customHeight="1">
      <c r="B212" s="55"/>
      <c r="G212" s="56"/>
      <c r="I212" s="73"/>
      <c r="J212" s="74"/>
      <c r="K212" s="75"/>
      <c r="L212" s="75"/>
      <c r="M212" s="76"/>
      <c r="N212" s="77"/>
      <c r="O212" s="78"/>
      <c r="AQ212" s="55"/>
    </row>
    <row r="213" ht="22.5" customHeight="1">
      <c r="B213" s="55"/>
      <c r="G213" s="56"/>
      <c r="I213" s="73"/>
      <c r="J213" s="74"/>
      <c r="K213" s="75"/>
      <c r="L213" s="75"/>
      <c r="M213" s="76"/>
      <c r="N213" s="77"/>
      <c r="O213" s="78"/>
      <c r="AQ213" s="55"/>
    </row>
    <row r="214" ht="22.5" customHeight="1">
      <c r="B214" s="55"/>
      <c r="G214" s="56"/>
      <c r="I214" s="73"/>
      <c r="J214" s="74"/>
      <c r="K214" s="75"/>
      <c r="L214" s="75"/>
      <c r="M214" s="76"/>
      <c r="N214" s="77"/>
      <c r="O214" s="78"/>
      <c r="AQ214" s="55"/>
    </row>
    <row r="215" ht="22.5" customHeight="1">
      <c r="B215" s="55"/>
      <c r="G215" s="56"/>
      <c r="I215" s="73"/>
      <c r="J215" s="74"/>
      <c r="K215" s="75"/>
      <c r="L215" s="75"/>
      <c r="M215" s="76"/>
      <c r="N215" s="77"/>
      <c r="O215" s="78"/>
      <c r="AQ215" s="55"/>
    </row>
    <row r="216" ht="22.5" customHeight="1">
      <c r="B216" s="55"/>
      <c r="G216" s="56"/>
      <c r="I216" s="73"/>
      <c r="J216" s="74"/>
      <c r="K216" s="75"/>
      <c r="L216" s="75"/>
      <c r="M216" s="76"/>
      <c r="N216" s="77"/>
      <c r="O216" s="78"/>
      <c r="AQ216" s="55"/>
    </row>
    <row r="217" ht="22.5" customHeight="1">
      <c r="B217" s="55"/>
      <c r="G217" s="56"/>
      <c r="I217" s="73"/>
      <c r="J217" s="74"/>
      <c r="K217" s="75"/>
      <c r="L217" s="75"/>
      <c r="M217" s="76"/>
      <c r="N217" s="77"/>
      <c r="O217" s="78"/>
      <c r="AQ217" s="55"/>
    </row>
    <row r="218" ht="22.5" customHeight="1">
      <c r="B218" s="55"/>
      <c r="G218" s="56"/>
      <c r="I218" s="73"/>
      <c r="J218" s="74"/>
      <c r="K218" s="75"/>
      <c r="L218" s="75"/>
      <c r="M218" s="76"/>
      <c r="N218" s="77"/>
      <c r="O218" s="78"/>
      <c r="AQ218" s="55"/>
    </row>
    <row r="219" ht="22.5" customHeight="1">
      <c r="B219" s="55"/>
      <c r="G219" s="56"/>
      <c r="I219" s="73"/>
      <c r="J219" s="74"/>
      <c r="K219" s="75"/>
      <c r="L219" s="75"/>
      <c r="M219" s="76"/>
      <c r="N219" s="77"/>
      <c r="O219" s="78"/>
      <c r="AQ219" s="55"/>
    </row>
    <row r="220" ht="22.5" customHeight="1">
      <c r="B220" s="55"/>
      <c r="G220" s="56"/>
      <c r="I220" s="73"/>
      <c r="J220" s="74"/>
      <c r="K220" s="75"/>
      <c r="L220" s="75"/>
      <c r="M220" s="76"/>
      <c r="N220" s="77"/>
      <c r="O220" s="78"/>
      <c r="AQ220" s="55"/>
    </row>
    <row r="221" ht="22.5" customHeight="1">
      <c r="B221" s="55"/>
      <c r="G221" s="56"/>
      <c r="I221" s="73"/>
      <c r="J221" s="74"/>
      <c r="K221" s="75"/>
      <c r="L221" s="75"/>
      <c r="M221" s="76"/>
      <c r="N221" s="77"/>
      <c r="O221" s="78"/>
      <c r="AQ221" s="55"/>
    </row>
    <row r="222" ht="22.5" customHeight="1">
      <c r="B222" s="55"/>
      <c r="G222" s="56"/>
      <c r="I222" s="73"/>
      <c r="J222" s="74"/>
      <c r="K222" s="75"/>
      <c r="L222" s="75"/>
      <c r="M222" s="76"/>
      <c r="N222" s="77"/>
      <c r="O222" s="78"/>
      <c r="AQ222" s="55"/>
    </row>
    <row r="223" ht="22.5" customHeight="1">
      <c r="B223" s="55"/>
      <c r="G223" s="56"/>
      <c r="I223" s="73"/>
      <c r="J223" s="74"/>
      <c r="K223" s="75"/>
      <c r="L223" s="75"/>
      <c r="M223" s="76"/>
      <c r="N223" s="77"/>
      <c r="O223" s="78"/>
      <c r="AQ223" s="55"/>
    </row>
    <row r="224" ht="22.5" customHeight="1">
      <c r="B224" s="55"/>
      <c r="G224" s="56"/>
      <c r="I224" s="73"/>
      <c r="J224" s="74"/>
      <c r="K224" s="75"/>
      <c r="L224" s="75"/>
      <c r="M224" s="76"/>
      <c r="N224" s="77"/>
      <c r="O224" s="78"/>
      <c r="AQ224" s="55"/>
    </row>
    <row r="225" ht="22.5" customHeight="1">
      <c r="B225" s="55"/>
      <c r="G225" s="56"/>
      <c r="I225" s="73"/>
      <c r="J225" s="74"/>
      <c r="K225" s="75"/>
      <c r="L225" s="75"/>
      <c r="M225" s="76"/>
      <c r="N225" s="77"/>
      <c r="O225" s="78"/>
      <c r="AQ225" s="55"/>
    </row>
    <row r="226" ht="22.5" customHeight="1">
      <c r="B226" s="55"/>
      <c r="G226" s="56"/>
      <c r="I226" s="73"/>
      <c r="J226" s="74"/>
      <c r="K226" s="75"/>
      <c r="L226" s="75"/>
      <c r="M226" s="76"/>
      <c r="N226" s="77"/>
      <c r="O226" s="78"/>
      <c r="AQ226" s="55"/>
    </row>
    <row r="227" ht="22.5" customHeight="1">
      <c r="B227" s="55"/>
      <c r="G227" s="56"/>
      <c r="I227" s="73"/>
      <c r="J227" s="74"/>
      <c r="K227" s="75"/>
      <c r="L227" s="75"/>
      <c r="M227" s="76"/>
      <c r="N227" s="77"/>
      <c r="O227" s="78"/>
      <c r="AQ227" s="55"/>
    </row>
    <row r="228" ht="22.5" customHeight="1">
      <c r="B228" s="55"/>
      <c r="G228" s="56"/>
      <c r="I228" s="73"/>
      <c r="J228" s="74"/>
      <c r="K228" s="75"/>
      <c r="L228" s="75"/>
      <c r="M228" s="76"/>
      <c r="N228" s="77"/>
      <c r="O228" s="78"/>
      <c r="AQ228" s="55"/>
    </row>
    <row r="229" ht="22.5" customHeight="1">
      <c r="B229" s="55"/>
      <c r="G229" s="56"/>
      <c r="I229" s="73"/>
      <c r="J229" s="74"/>
      <c r="K229" s="75"/>
      <c r="L229" s="75"/>
      <c r="M229" s="76"/>
      <c r="N229" s="77"/>
      <c r="O229" s="78"/>
      <c r="AQ229" s="55"/>
    </row>
    <row r="230" ht="22.5" customHeight="1">
      <c r="B230" s="55"/>
      <c r="G230" s="56"/>
      <c r="I230" s="73"/>
      <c r="J230" s="74"/>
      <c r="K230" s="75"/>
      <c r="L230" s="75"/>
      <c r="M230" s="76"/>
      <c r="N230" s="77"/>
      <c r="O230" s="78"/>
      <c r="AQ230" s="55"/>
    </row>
    <row r="231" ht="22.5" customHeight="1">
      <c r="B231" s="55"/>
      <c r="G231" s="56"/>
      <c r="I231" s="73"/>
      <c r="J231" s="74"/>
      <c r="K231" s="75"/>
      <c r="L231" s="75"/>
      <c r="M231" s="76"/>
      <c r="N231" s="77"/>
      <c r="O231" s="78"/>
      <c r="AQ231" s="55"/>
    </row>
    <row r="232" ht="22.5" customHeight="1">
      <c r="B232" s="55"/>
      <c r="G232" s="56"/>
      <c r="I232" s="73"/>
      <c r="J232" s="74"/>
      <c r="K232" s="75"/>
      <c r="L232" s="75"/>
      <c r="M232" s="76"/>
      <c r="N232" s="77"/>
      <c r="O232" s="78"/>
      <c r="AQ232" s="55"/>
    </row>
    <row r="233" ht="22.5" customHeight="1">
      <c r="B233" s="55"/>
      <c r="G233" s="56"/>
      <c r="I233" s="73"/>
      <c r="J233" s="74"/>
      <c r="K233" s="75"/>
      <c r="L233" s="75"/>
      <c r="M233" s="76"/>
      <c r="N233" s="77"/>
      <c r="O233" s="78"/>
      <c r="AQ233" s="55"/>
    </row>
    <row r="234" ht="22.5" customHeight="1">
      <c r="B234" s="55"/>
      <c r="G234" s="56"/>
      <c r="I234" s="73"/>
      <c r="J234" s="74"/>
      <c r="K234" s="75"/>
      <c r="L234" s="75"/>
      <c r="M234" s="76"/>
      <c r="N234" s="77"/>
      <c r="O234" s="78"/>
      <c r="AQ234" s="55"/>
    </row>
    <row r="235" ht="22.5" customHeight="1">
      <c r="B235" s="55"/>
      <c r="G235" s="56"/>
      <c r="I235" s="73"/>
      <c r="J235" s="74"/>
      <c r="K235" s="75"/>
      <c r="L235" s="75"/>
      <c r="M235" s="76"/>
      <c r="N235" s="77"/>
      <c r="O235" s="78"/>
      <c r="AQ235" s="55"/>
    </row>
    <row r="236" ht="22.5" customHeight="1">
      <c r="B236" s="55"/>
      <c r="G236" s="56"/>
      <c r="I236" s="73"/>
      <c r="J236" s="74"/>
      <c r="K236" s="75"/>
      <c r="L236" s="75"/>
      <c r="M236" s="76"/>
      <c r="N236" s="77"/>
      <c r="O236" s="78"/>
      <c r="AQ236" s="55"/>
    </row>
    <row r="237" ht="22.5" customHeight="1">
      <c r="B237" s="55"/>
      <c r="G237" s="56"/>
      <c r="I237" s="73"/>
      <c r="J237" s="74"/>
      <c r="K237" s="75"/>
      <c r="L237" s="75"/>
      <c r="M237" s="76"/>
      <c r="N237" s="77"/>
      <c r="O237" s="78"/>
      <c r="AQ237" s="55"/>
    </row>
    <row r="238" ht="22.5" customHeight="1">
      <c r="B238" s="55"/>
      <c r="G238" s="56"/>
      <c r="I238" s="73"/>
      <c r="J238" s="74"/>
      <c r="K238" s="75"/>
      <c r="L238" s="75"/>
      <c r="M238" s="76"/>
      <c r="N238" s="77"/>
      <c r="O238" s="78"/>
      <c r="AQ238" s="55"/>
    </row>
    <row r="239" ht="22.5" customHeight="1">
      <c r="B239" s="55"/>
      <c r="G239" s="56"/>
      <c r="I239" s="73"/>
      <c r="J239" s="74"/>
      <c r="K239" s="75"/>
      <c r="L239" s="75"/>
      <c r="M239" s="76"/>
      <c r="N239" s="77"/>
      <c r="O239" s="78"/>
      <c r="AQ239" s="55"/>
    </row>
    <row r="240" ht="22.5" customHeight="1">
      <c r="B240" s="55"/>
      <c r="G240" s="56"/>
      <c r="I240" s="73"/>
      <c r="J240" s="74"/>
      <c r="K240" s="75"/>
      <c r="L240" s="75"/>
      <c r="M240" s="76"/>
      <c r="N240" s="77"/>
      <c r="O240" s="78"/>
      <c r="AQ240" s="55"/>
    </row>
    <row r="241" ht="22.5" customHeight="1">
      <c r="B241" s="55"/>
      <c r="G241" s="56"/>
      <c r="I241" s="73"/>
      <c r="J241" s="74"/>
      <c r="K241" s="75"/>
      <c r="L241" s="75"/>
      <c r="M241" s="76"/>
      <c r="N241" s="77"/>
      <c r="O241" s="78"/>
      <c r="AQ241" s="55"/>
    </row>
    <row r="242" ht="22.5" customHeight="1">
      <c r="B242" s="55"/>
      <c r="G242" s="56"/>
      <c r="I242" s="73"/>
      <c r="J242" s="74"/>
      <c r="K242" s="75"/>
      <c r="L242" s="75"/>
      <c r="M242" s="76"/>
      <c r="N242" s="77"/>
      <c r="O242" s="78"/>
      <c r="AQ242" s="55"/>
    </row>
    <row r="243" ht="22.5" customHeight="1">
      <c r="B243" s="55"/>
      <c r="G243" s="56"/>
      <c r="I243" s="73"/>
      <c r="J243" s="74"/>
      <c r="K243" s="75"/>
      <c r="L243" s="75"/>
      <c r="M243" s="76"/>
      <c r="N243" s="77"/>
      <c r="O243" s="78"/>
      <c r="AQ243" s="55"/>
    </row>
    <row r="244" ht="22.5" customHeight="1">
      <c r="B244" s="55"/>
      <c r="G244" s="56"/>
      <c r="I244" s="73"/>
      <c r="J244" s="74"/>
      <c r="K244" s="75"/>
      <c r="L244" s="75"/>
      <c r="M244" s="76"/>
      <c r="N244" s="77"/>
      <c r="O244" s="78"/>
      <c r="AQ244" s="55"/>
    </row>
    <row r="245" ht="22.5" customHeight="1">
      <c r="B245" s="55"/>
      <c r="G245" s="56"/>
      <c r="I245" s="73"/>
      <c r="J245" s="74"/>
      <c r="K245" s="75"/>
      <c r="L245" s="75"/>
      <c r="M245" s="76"/>
      <c r="N245" s="77"/>
      <c r="O245" s="78"/>
      <c r="AQ245" s="55"/>
    </row>
    <row r="246" ht="22.5" customHeight="1">
      <c r="B246" s="55"/>
      <c r="G246" s="56"/>
      <c r="I246" s="73"/>
      <c r="J246" s="74"/>
      <c r="K246" s="75"/>
      <c r="L246" s="75"/>
      <c r="M246" s="76"/>
      <c r="N246" s="77"/>
      <c r="O246" s="78"/>
      <c r="AQ246" s="55"/>
    </row>
    <row r="247" ht="22.5" customHeight="1">
      <c r="B247" s="55"/>
      <c r="G247" s="56"/>
      <c r="I247" s="73"/>
      <c r="J247" s="74"/>
      <c r="K247" s="75"/>
      <c r="L247" s="75"/>
      <c r="M247" s="76"/>
      <c r="N247" s="77"/>
      <c r="O247" s="78"/>
      <c r="AQ247" s="55"/>
    </row>
    <row r="248" ht="22.5" customHeight="1">
      <c r="B248" s="55"/>
      <c r="G248" s="56"/>
      <c r="I248" s="73"/>
      <c r="J248" s="74"/>
      <c r="K248" s="75"/>
      <c r="L248" s="75"/>
      <c r="M248" s="76"/>
      <c r="N248" s="77"/>
      <c r="O248" s="78"/>
      <c r="AQ248" s="55"/>
    </row>
    <row r="249" ht="22.5" customHeight="1">
      <c r="B249" s="55"/>
      <c r="G249" s="56"/>
      <c r="I249" s="73"/>
      <c r="J249" s="74"/>
      <c r="K249" s="75"/>
      <c r="L249" s="75"/>
      <c r="M249" s="76"/>
      <c r="N249" s="77"/>
      <c r="O249" s="78"/>
      <c r="AQ249" s="55"/>
    </row>
    <row r="250" ht="22.5" customHeight="1">
      <c r="B250" s="55"/>
      <c r="G250" s="56"/>
      <c r="I250" s="73"/>
      <c r="J250" s="74"/>
      <c r="K250" s="75"/>
      <c r="L250" s="75"/>
      <c r="M250" s="76"/>
      <c r="N250" s="77"/>
      <c r="O250" s="78"/>
      <c r="AQ250" s="55"/>
    </row>
    <row r="251" ht="22.5" customHeight="1">
      <c r="B251" s="55"/>
      <c r="G251" s="56"/>
      <c r="I251" s="73"/>
      <c r="J251" s="74"/>
      <c r="K251" s="75"/>
      <c r="L251" s="75"/>
      <c r="M251" s="76"/>
      <c r="N251" s="77"/>
      <c r="O251" s="78"/>
      <c r="AQ251" s="55"/>
    </row>
    <row r="252" ht="22.5" customHeight="1">
      <c r="B252" s="55"/>
      <c r="G252" s="56"/>
      <c r="I252" s="73"/>
      <c r="J252" s="74"/>
      <c r="K252" s="75"/>
      <c r="L252" s="75"/>
      <c r="M252" s="76"/>
      <c r="N252" s="77"/>
      <c r="O252" s="78"/>
      <c r="AQ252" s="55"/>
    </row>
    <row r="253" ht="22.5" customHeight="1">
      <c r="B253" s="55"/>
      <c r="G253" s="56"/>
      <c r="I253" s="73"/>
      <c r="J253" s="74"/>
      <c r="K253" s="75"/>
      <c r="L253" s="75"/>
      <c r="M253" s="76"/>
      <c r="N253" s="77"/>
      <c r="O253" s="78"/>
      <c r="AQ253" s="55"/>
    </row>
    <row r="254" ht="22.5" customHeight="1">
      <c r="B254" s="55"/>
      <c r="G254" s="56"/>
      <c r="I254" s="73"/>
      <c r="J254" s="74"/>
      <c r="K254" s="75"/>
      <c r="L254" s="75"/>
      <c r="M254" s="76"/>
      <c r="N254" s="77"/>
      <c r="O254" s="78"/>
      <c r="AQ254" s="55"/>
    </row>
    <row r="255" ht="22.5" customHeight="1">
      <c r="B255" s="55"/>
      <c r="G255" s="56"/>
      <c r="I255" s="73"/>
      <c r="J255" s="74"/>
      <c r="K255" s="75"/>
      <c r="L255" s="75"/>
      <c r="M255" s="76"/>
      <c r="N255" s="77"/>
      <c r="O255" s="78"/>
      <c r="AQ255" s="55"/>
    </row>
    <row r="256" ht="22.5" customHeight="1">
      <c r="B256" s="55"/>
      <c r="G256" s="56"/>
      <c r="I256" s="73"/>
      <c r="J256" s="74"/>
      <c r="K256" s="75"/>
      <c r="L256" s="75"/>
      <c r="M256" s="76"/>
      <c r="N256" s="77"/>
      <c r="O256" s="78"/>
      <c r="AQ256" s="55"/>
    </row>
    <row r="257" ht="22.5" customHeight="1">
      <c r="B257" s="55"/>
      <c r="G257" s="56"/>
      <c r="I257" s="73"/>
      <c r="J257" s="74"/>
      <c r="K257" s="75"/>
      <c r="L257" s="75"/>
      <c r="M257" s="76"/>
      <c r="N257" s="77"/>
      <c r="O257" s="78"/>
      <c r="AQ257" s="55"/>
    </row>
    <row r="258" ht="22.5" customHeight="1">
      <c r="B258" s="55"/>
      <c r="G258" s="56"/>
      <c r="I258" s="73"/>
      <c r="J258" s="74"/>
      <c r="K258" s="75"/>
      <c r="L258" s="75"/>
      <c r="M258" s="76"/>
      <c r="N258" s="77"/>
      <c r="O258" s="78"/>
      <c r="AQ258" s="55"/>
    </row>
    <row r="259" ht="22.5" customHeight="1">
      <c r="B259" s="55"/>
      <c r="G259" s="56"/>
      <c r="I259" s="73"/>
      <c r="J259" s="74"/>
      <c r="K259" s="75"/>
      <c r="L259" s="75"/>
      <c r="M259" s="76"/>
      <c r="N259" s="77"/>
      <c r="O259" s="78"/>
      <c r="AQ259" s="55"/>
    </row>
    <row r="260" ht="22.5" customHeight="1">
      <c r="B260" s="55"/>
      <c r="G260" s="56"/>
      <c r="I260" s="73"/>
      <c r="J260" s="74"/>
      <c r="K260" s="75"/>
      <c r="L260" s="75"/>
      <c r="M260" s="76"/>
      <c r="N260" s="77"/>
      <c r="O260" s="78"/>
      <c r="AQ260" s="55"/>
    </row>
    <row r="261" ht="22.5" customHeight="1">
      <c r="B261" s="55"/>
      <c r="G261" s="56"/>
      <c r="I261" s="73"/>
      <c r="J261" s="74"/>
      <c r="K261" s="75"/>
      <c r="L261" s="75"/>
      <c r="M261" s="76"/>
      <c r="N261" s="77"/>
      <c r="O261" s="78"/>
      <c r="AQ261" s="55"/>
    </row>
    <row r="262" ht="22.5" customHeight="1">
      <c r="B262" s="55"/>
      <c r="G262" s="56"/>
      <c r="I262" s="73"/>
      <c r="J262" s="74"/>
      <c r="K262" s="75"/>
      <c r="L262" s="75"/>
      <c r="M262" s="76"/>
      <c r="N262" s="77"/>
      <c r="O262" s="78"/>
      <c r="AQ262" s="55"/>
    </row>
    <row r="263" ht="22.5" customHeight="1">
      <c r="B263" s="55"/>
      <c r="G263" s="56"/>
      <c r="I263" s="73"/>
      <c r="J263" s="74"/>
      <c r="K263" s="75"/>
      <c r="L263" s="75"/>
      <c r="M263" s="76"/>
      <c r="N263" s="77"/>
      <c r="O263" s="78"/>
      <c r="AQ263" s="55"/>
    </row>
    <row r="264" ht="22.5" customHeight="1">
      <c r="B264" s="55"/>
      <c r="G264" s="56"/>
      <c r="I264" s="73"/>
      <c r="J264" s="74"/>
      <c r="K264" s="75"/>
      <c r="L264" s="75"/>
      <c r="M264" s="76"/>
      <c r="N264" s="77"/>
      <c r="O264" s="78"/>
      <c r="AQ264" s="55"/>
    </row>
    <row r="265" ht="22.5" customHeight="1">
      <c r="B265" s="55"/>
      <c r="G265" s="56"/>
      <c r="I265" s="73"/>
      <c r="J265" s="74"/>
      <c r="K265" s="75"/>
      <c r="L265" s="75"/>
      <c r="M265" s="76"/>
      <c r="N265" s="77"/>
      <c r="O265" s="78"/>
      <c r="AQ265" s="55"/>
    </row>
    <row r="266" ht="22.5" customHeight="1">
      <c r="B266" s="55"/>
      <c r="G266" s="56"/>
      <c r="I266" s="73"/>
      <c r="J266" s="74"/>
      <c r="K266" s="75"/>
      <c r="L266" s="75"/>
      <c r="M266" s="76"/>
      <c r="N266" s="77"/>
      <c r="O266" s="78"/>
      <c r="AQ266" s="55"/>
    </row>
    <row r="267" ht="22.5" customHeight="1">
      <c r="B267" s="55"/>
      <c r="G267" s="56"/>
      <c r="I267" s="73"/>
      <c r="J267" s="74"/>
      <c r="K267" s="75"/>
      <c r="L267" s="75"/>
      <c r="M267" s="76"/>
      <c r="N267" s="77"/>
      <c r="O267" s="78"/>
      <c r="AQ267" s="55"/>
    </row>
    <row r="268" ht="22.5" customHeight="1">
      <c r="B268" s="55"/>
      <c r="G268" s="56"/>
      <c r="I268" s="73"/>
      <c r="J268" s="74"/>
      <c r="K268" s="75"/>
      <c r="L268" s="75"/>
      <c r="M268" s="76"/>
      <c r="N268" s="77"/>
      <c r="O268" s="78"/>
      <c r="AQ268" s="55"/>
    </row>
    <row r="269" ht="22.5" customHeight="1">
      <c r="B269" s="55"/>
      <c r="G269" s="56"/>
      <c r="I269" s="73"/>
      <c r="J269" s="74"/>
      <c r="K269" s="75"/>
      <c r="L269" s="75"/>
      <c r="M269" s="76"/>
      <c r="N269" s="77"/>
      <c r="O269" s="78"/>
      <c r="AQ269" s="55"/>
    </row>
    <row r="270" ht="22.5" customHeight="1">
      <c r="B270" s="55"/>
      <c r="G270" s="56"/>
      <c r="I270" s="73"/>
      <c r="J270" s="74"/>
      <c r="K270" s="75"/>
      <c r="L270" s="75"/>
      <c r="M270" s="76"/>
      <c r="N270" s="77"/>
      <c r="O270" s="78"/>
      <c r="AQ270" s="55"/>
    </row>
    <row r="271" ht="22.5" customHeight="1">
      <c r="B271" s="55"/>
      <c r="G271" s="56"/>
      <c r="I271" s="73"/>
      <c r="J271" s="74"/>
      <c r="K271" s="75"/>
      <c r="L271" s="75"/>
      <c r="M271" s="76"/>
      <c r="N271" s="77"/>
      <c r="O271" s="78"/>
      <c r="AQ271" s="55"/>
    </row>
    <row r="272" ht="22.5" customHeight="1">
      <c r="B272" s="55"/>
      <c r="G272" s="56"/>
      <c r="I272" s="73"/>
      <c r="J272" s="74"/>
      <c r="K272" s="75"/>
      <c r="L272" s="75"/>
      <c r="M272" s="76"/>
      <c r="N272" s="77"/>
      <c r="O272" s="78"/>
      <c r="AQ272" s="55"/>
    </row>
    <row r="273" ht="22.5" customHeight="1">
      <c r="B273" s="55"/>
      <c r="G273" s="56"/>
      <c r="I273" s="73"/>
      <c r="J273" s="74"/>
      <c r="K273" s="75"/>
      <c r="L273" s="75"/>
      <c r="M273" s="76"/>
      <c r="N273" s="77"/>
      <c r="O273" s="78"/>
      <c r="AQ273" s="55"/>
    </row>
    <row r="274" ht="22.5" customHeight="1">
      <c r="B274" s="55"/>
      <c r="G274" s="56"/>
      <c r="I274" s="73"/>
      <c r="J274" s="74"/>
      <c r="K274" s="75"/>
      <c r="L274" s="75"/>
      <c r="M274" s="76"/>
      <c r="N274" s="77"/>
      <c r="O274" s="78"/>
      <c r="AQ274" s="55"/>
    </row>
    <row r="275" ht="22.5" customHeight="1">
      <c r="B275" s="55"/>
      <c r="G275" s="56"/>
      <c r="I275" s="73"/>
      <c r="J275" s="74"/>
      <c r="K275" s="75"/>
      <c r="L275" s="75"/>
      <c r="M275" s="76"/>
      <c r="N275" s="77"/>
      <c r="O275" s="78"/>
      <c r="AQ275" s="55"/>
    </row>
    <row r="276" ht="22.5" customHeight="1">
      <c r="B276" s="55"/>
      <c r="G276" s="56"/>
      <c r="I276" s="73"/>
      <c r="J276" s="74"/>
      <c r="K276" s="75"/>
      <c r="L276" s="75"/>
      <c r="M276" s="76"/>
      <c r="N276" s="77"/>
      <c r="O276" s="78"/>
      <c r="AQ276" s="55"/>
    </row>
    <row r="277" ht="22.5" customHeight="1">
      <c r="B277" s="55"/>
      <c r="G277" s="56"/>
      <c r="I277" s="73"/>
      <c r="J277" s="74"/>
      <c r="K277" s="75"/>
      <c r="L277" s="75"/>
      <c r="M277" s="76"/>
      <c r="N277" s="77"/>
      <c r="O277" s="78"/>
      <c r="AQ277" s="55"/>
    </row>
    <row r="278" ht="22.5" customHeight="1">
      <c r="B278" s="55"/>
      <c r="G278" s="56"/>
      <c r="I278" s="73"/>
      <c r="J278" s="74"/>
      <c r="K278" s="75"/>
      <c r="L278" s="75"/>
      <c r="M278" s="76"/>
      <c r="N278" s="77"/>
      <c r="O278" s="78"/>
      <c r="AQ278" s="55"/>
    </row>
    <row r="279" ht="22.5" customHeight="1">
      <c r="B279" s="55"/>
      <c r="G279" s="56"/>
      <c r="I279" s="73"/>
      <c r="J279" s="74"/>
      <c r="K279" s="75"/>
      <c r="L279" s="75"/>
      <c r="M279" s="76"/>
      <c r="N279" s="77"/>
      <c r="O279" s="78"/>
      <c r="AQ279" s="55"/>
    </row>
    <row r="280" ht="22.5" customHeight="1">
      <c r="B280" s="55"/>
      <c r="G280" s="56"/>
      <c r="I280" s="73"/>
      <c r="J280" s="74"/>
      <c r="K280" s="75"/>
      <c r="L280" s="75"/>
      <c r="M280" s="76"/>
      <c r="N280" s="77"/>
      <c r="O280" s="78"/>
      <c r="AQ280" s="55"/>
    </row>
    <row r="281" ht="22.5" customHeight="1">
      <c r="B281" s="55"/>
      <c r="G281" s="56"/>
      <c r="I281" s="73"/>
      <c r="J281" s="74"/>
      <c r="K281" s="75"/>
      <c r="L281" s="75"/>
      <c r="M281" s="76"/>
      <c r="N281" s="77"/>
      <c r="O281" s="78"/>
      <c r="AQ281" s="55"/>
    </row>
    <row r="282" ht="22.5" customHeight="1">
      <c r="B282" s="55"/>
      <c r="G282" s="56"/>
      <c r="I282" s="73"/>
      <c r="J282" s="74"/>
      <c r="K282" s="75"/>
      <c r="L282" s="75"/>
      <c r="M282" s="76"/>
      <c r="N282" s="77"/>
      <c r="O282" s="78"/>
      <c r="AQ282" s="55"/>
    </row>
    <row r="283" ht="22.5" customHeight="1">
      <c r="B283" s="55"/>
      <c r="G283" s="56"/>
      <c r="I283" s="73"/>
      <c r="J283" s="74"/>
      <c r="K283" s="75"/>
      <c r="L283" s="75"/>
      <c r="M283" s="76"/>
      <c r="N283" s="77"/>
      <c r="O283" s="78"/>
      <c r="AQ283" s="55"/>
    </row>
    <row r="284" ht="22.5" customHeight="1">
      <c r="B284" s="55"/>
      <c r="G284" s="56"/>
      <c r="I284" s="73"/>
      <c r="J284" s="74"/>
      <c r="K284" s="75"/>
      <c r="L284" s="75"/>
      <c r="M284" s="76"/>
      <c r="N284" s="77"/>
      <c r="O284" s="78"/>
      <c r="AQ284" s="55"/>
    </row>
    <row r="285" ht="22.5" customHeight="1">
      <c r="B285" s="55"/>
      <c r="G285" s="56"/>
      <c r="I285" s="73"/>
      <c r="J285" s="74"/>
      <c r="K285" s="75"/>
      <c r="L285" s="75"/>
      <c r="M285" s="76"/>
      <c r="N285" s="77"/>
      <c r="O285" s="78"/>
      <c r="AQ285" s="55"/>
    </row>
    <row r="286" ht="22.5" customHeight="1">
      <c r="B286" s="55"/>
      <c r="G286" s="56"/>
      <c r="I286" s="73"/>
      <c r="J286" s="74"/>
      <c r="K286" s="75"/>
      <c r="L286" s="75"/>
      <c r="M286" s="76"/>
      <c r="N286" s="77"/>
      <c r="O286" s="78"/>
      <c r="AQ286" s="55"/>
    </row>
    <row r="287" ht="22.5" customHeight="1">
      <c r="B287" s="55"/>
      <c r="G287" s="56"/>
      <c r="I287" s="73"/>
      <c r="J287" s="74"/>
      <c r="K287" s="75"/>
      <c r="L287" s="75"/>
      <c r="M287" s="76"/>
      <c r="N287" s="77"/>
      <c r="O287" s="78"/>
      <c r="AQ287" s="55"/>
    </row>
    <row r="288" ht="22.5" customHeight="1">
      <c r="B288" s="55"/>
      <c r="G288" s="56"/>
      <c r="I288" s="73"/>
      <c r="J288" s="74"/>
      <c r="K288" s="75"/>
      <c r="L288" s="75"/>
      <c r="M288" s="76"/>
      <c r="N288" s="77"/>
      <c r="O288" s="78"/>
      <c r="AQ288" s="55"/>
    </row>
    <row r="289" ht="22.5" customHeight="1">
      <c r="B289" s="55"/>
      <c r="G289" s="56"/>
      <c r="I289" s="73"/>
      <c r="J289" s="74"/>
      <c r="K289" s="75"/>
      <c r="L289" s="75"/>
      <c r="M289" s="76"/>
      <c r="N289" s="77"/>
      <c r="O289" s="78"/>
      <c r="AQ289" s="55"/>
    </row>
    <row r="290" ht="22.5" customHeight="1">
      <c r="B290" s="55"/>
      <c r="G290" s="56"/>
      <c r="I290" s="73"/>
      <c r="J290" s="74"/>
      <c r="K290" s="75"/>
      <c r="L290" s="75"/>
      <c r="M290" s="76"/>
      <c r="N290" s="77"/>
      <c r="O290" s="78"/>
      <c r="AQ290" s="55"/>
    </row>
    <row r="291" ht="22.5" customHeight="1">
      <c r="B291" s="55"/>
      <c r="G291" s="56"/>
      <c r="I291" s="73"/>
      <c r="J291" s="74"/>
      <c r="K291" s="75"/>
      <c r="L291" s="75"/>
      <c r="M291" s="76"/>
      <c r="N291" s="77"/>
      <c r="O291" s="78"/>
      <c r="AQ291" s="55"/>
    </row>
    <row r="292" ht="22.5" customHeight="1">
      <c r="B292" s="55"/>
      <c r="G292" s="56"/>
      <c r="I292" s="73"/>
      <c r="J292" s="74"/>
      <c r="K292" s="75"/>
      <c r="L292" s="75"/>
      <c r="M292" s="76"/>
      <c r="N292" s="77"/>
      <c r="O292" s="78"/>
      <c r="AQ292" s="55"/>
    </row>
    <row r="293" ht="22.5" customHeight="1">
      <c r="B293" s="55"/>
      <c r="G293" s="56"/>
      <c r="I293" s="73"/>
      <c r="J293" s="74"/>
      <c r="K293" s="75"/>
      <c r="L293" s="75"/>
      <c r="M293" s="76"/>
      <c r="N293" s="77"/>
      <c r="O293" s="78"/>
      <c r="AQ293" s="55"/>
    </row>
    <row r="294" ht="22.5" customHeight="1">
      <c r="B294" s="55"/>
      <c r="G294" s="56"/>
      <c r="I294" s="73"/>
      <c r="J294" s="74"/>
      <c r="K294" s="75"/>
      <c r="L294" s="75"/>
      <c r="M294" s="76"/>
      <c r="N294" s="77"/>
      <c r="O294" s="78"/>
      <c r="AQ294" s="55"/>
    </row>
    <row r="295" ht="22.5" customHeight="1">
      <c r="B295" s="55"/>
      <c r="G295" s="56"/>
      <c r="I295" s="73"/>
      <c r="J295" s="74"/>
      <c r="K295" s="75"/>
      <c r="L295" s="75"/>
      <c r="M295" s="76"/>
      <c r="N295" s="77"/>
      <c r="O295" s="78"/>
      <c r="AQ295" s="55"/>
    </row>
    <row r="296" ht="22.5" customHeight="1">
      <c r="B296" s="55"/>
      <c r="G296" s="56"/>
      <c r="I296" s="73"/>
      <c r="J296" s="74"/>
      <c r="K296" s="75"/>
      <c r="L296" s="75"/>
      <c r="M296" s="76"/>
      <c r="N296" s="77"/>
      <c r="O296" s="78"/>
      <c r="AQ296" s="55"/>
    </row>
    <row r="297" ht="22.5" customHeight="1">
      <c r="B297" s="55"/>
      <c r="G297" s="56"/>
      <c r="I297" s="73"/>
      <c r="J297" s="74"/>
      <c r="K297" s="75"/>
      <c r="L297" s="75"/>
      <c r="M297" s="76"/>
      <c r="N297" s="77"/>
      <c r="O297" s="78"/>
      <c r="AQ297" s="55"/>
    </row>
    <row r="298" ht="22.5" customHeight="1">
      <c r="B298" s="55"/>
      <c r="G298" s="56"/>
      <c r="I298" s="73"/>
      <c r="J298" s="74"/>
      <c r="K298" s="75"/>
      <c r="L298" s="75"/>
      <c r="M298" s="76"/>
      <c r="N298" s="77"/>
      <c r="O298" s="78"/>
      <c r="AQ298" s="55"/>
    </row>
    <row r="299" ht="22.5" customHeight="1">
      <c r="B299" s="55"/>
      <c r="G299" s="56"/>
      <c r="I299" s="73"/>
      <c r="J299" s="74"/>
      <c r="K299" s="75"/>
      <c r="L299" s="75"/>
      <c r="M299" s="76"/>
      <c r="N299" s="77"/>
      <c r="O299" s="78"/>
      <c r="AQ299" s="55"/>
    </row>
    <row r="300" ht="22.5" customHeight="1">
      <c r="B300" s="55"/>
      <c r="G300" s="56"/>
      <c r="I300" s="73"/>
      <c r="J300" s="74"/>
      <c r="K300" s="75"/>
      <c r="L300" s="75"/>
      <c r="M300" s="76"/>
      <c r="N300" s="77"/>
      <c r="O300" s="78"/>
      <c r="AQ300" s="55"/>
    </row>
    <row r="301" ht="22.5" customHeight="1">
      <c r="B301" s="55"/>
      <c r="G301" s="56"/>
      <c r="I301" s="73"/>
      <c r="J301" s="74"/>
      <c r="K301" s="75"/>
      <c r="L301" s="75"/>
      <c r="M301" s="76"/>
      <c r="N301" s="77"/>
      <c r="O301" s="78"/>
      <c r="AQ301" s="55"/>
    </row>
    <row r="302" ht="22.5" customHeight="1">
      <c r="B302" s="55"/>
      <c r="G302" s="56"/>
      <c r="I302" s="73"/>
      <c r="J302" s="74"/>
      <c r="K302" s="75"/>
      <c r="L302" s="75"/>
      <c r="M302" s="76"/>
      <c r="N302" s="77"/>
      <c r="O302" s="78"/>
      <c r="AQ302" s="55"/>
    </row>
    <row r="303" ht="22.5" customHeight="1">
      <c r="B303" s="55"/>
      <c r="G303" s="56"/>
      <c r="I303" s="73"/>
      <c r="J303" s="74"/>
      <c r="K303" s="75"/>
      <c r="L303" s="75"/>
      <c r="M303" s="76"/>
      <c r="N303" s="77"/>
      <c r="O303" s="78"/>
      <c r="AQ303" s="55"/>
    </row>
    <row r="304" ht="22.5" customHeight="1">
      <c r="B304" s="55"/>
      <c r="G304" s="56"/>
      <c r="I304" s="73"/>
      <c r="J304" s="74"/>
      <c r="K304" s="75"/>
      <c r="L304" s="75"/>
      <c r="M304" s="76"/>
      <c r="N304" s="77"/>
      <c r="O304" s="78"/>
      <c r="AQ304" s="55"/>
    </row>
    <row r="305" ht="22.5" customHeight="1">
      <c r="B305" s="55"/>
      <c r="G305" s="56"/>
      <c r="I305" s="73"/>
      <c r="J305" s="74"/>
      <c r="K305" s="75"/>
      <c r="L305" s="75"/>
      <c r="M305" s="76"/>
      <c r="N305" s="77"/>
      <c r="O305" s="78"/>
      <c r="AQ305" s="55"/>
    </row>
    <row r="306" ht="22.5" customHeight="1">
      <c r="B306" s="55"/>
      <c r="G306" s="56"/>
      <c r="I306" s="73"/>
      <c r="J306" s="74"/>
      <c r="K306" s="75"/>
      <c r="L306" s="75"/>
      <c r="M306" s="76"/>
      <c r="N306" s="77"/>
      <c r="O306" s="78"/>
      <c r="AQ306" s="55"/>
    </row>
    <row r="307" ht="22.5" customHeight="1">
      <c r="B307" s="55"/>
      <c r="G307" s="56"/>
      <c r="I307" s="73"/>
      <c r="J307" s="74"/>
      <c r="K307" s="75"/>
      <c r="L307" s="75"/>
      <c r="M307" s="76"/>
      <c r="N307" s="77"/>
      <c r="O307" s="78"/>
      <c r="AQ307" s="55"/>
    </row>
    <row r="308" ht="22.5" customHeight="1">
      <c r="B308" s="55"/>
      <c r="G308" s="56"/>
      <c r="I308" s="73"/>
      <c r="J308" s="74"/>
      <c r="K308" s="75"/>
      <c r="L308" s="75"/>
      <c r="M308" s="76"/>
      <c r="N308" s="77"/>
      <c r="O308" s="78"/>
      <c r="AQ308" s="55"/>
    </row>
    <row r="309" ht="22.5" customHeight="1">
      <c r="B309" s="55"/>
      <c r="G309" s="56"/>
      <c r="I309" s="73"/>
      <c r="J309" s="74"/>
      <c r="K309" s="75"/>
      <c r="L309" s="75"/>
      <c r="M309" s="76"/>
      <c r="N309" s="77"/>
      <c r="O309" s="78"/>
      <c r="AQ309" s="55"/>
    </row>
    <row r="310" ht="22.5" customHeight="1">
      <c r="B310" s="55"/>
      <c r="G310" s="56"/>
      <c r="I310" s="73"/>
      <c r="J310" s="74"/>
      <c r="K310" s="75"/>
      <c r="L310" s="75"/>
      <c r="M310" s="76"/>
      <c r="N310" s="77"/>
      <c r="O310" s="78"/>
      <c r="AQ310" s="55"/>
    </row>
    <row r="311" ht="22.5" customHeight="1">
      <c r="B311" s="55"/>
      <c r="G311" s="56"/>
      <c r="I311" s="73"/>
      <c r="J311" s="74"/>
      <c r="K311" s="75"/>
      <c r="L311" s="75"/>
      <c r="M311" s="76"/>
      <c r="N311" s="77"/>
      <c r="O311" s="78"/>
      <c r="AQ311" s="55"/>
    </row>
    <row r="312" ht="22.5" customHeight="1">
      <c r="B312" s="55"/>
      <c r="G312" s="56"/>
      <c r="I312" s="73"/>
      <c r="J312" s="74"/>
      <c r="K312" s="75"/>
      <c r="L312" s="75"/>
      <c r="M312" s="76"/>
      <c r="N312" s="77"/>
      <c r="O312" s="78"/>
      <c r="AQ312" s="55"/>
    </row>
    <row r="313" ht="22.5" customHeight="1">
      <c r="B313" s="55"/>
      <c r="G313" s="56"/>
      <c r="I313" s="73"/>
      <c r="J313" s="74"/>
      <c r="K313" s="75"/>
      <c r="L313" s="75"/>
      <c r="M313" s="76"/>
      <c r="N313" s="77"/>
      <c r="O313" s="78"/>
      <c r="AQ313" s="55"/>
    </row>
    <row r="314" ht="22.5" customHeight="1">
      <c r="B314" s="55"/>
      <c r="G314" s="56"/>
      <c r="I314" s="73"/>
      <c r="J314" s="74"/>
      <c r="K314" s="75"/>
      <c r="L314" s="75"/>
      <c r="M314" s="76"/>
      <c r="N314" s="77"/>
      <c r="O314" s="78"/>
      <c r="AQ314" s="55"/>
    </row>
    <row r="315" ht="22.5" customHeight="1">
      <c r="B315" s="55"/>
      <c r="G315" s="56"/>
      <c r="I315" s="73"/>
      <c r="J315" s="74"/>
      <c r="K315" s="75"/>
      <c r="L315" s="75"/>
      <c r="M315" s="76"/>
      <c r="N315" s="77"/>
      <c r="O315" s="78"/>
      <c r="AQ315" s="55"/>
    </row>
    <row r="316" ht="22.5" customHeight="1">
      <c r="B316" s="55"/>
      <c r="G316" s="56"/>
      <c r="I316" s="73"/>
      <c r="J316" s="74"/>
      <c r="K316" s="75"/>
      <c r="L316" s="75"/>
      <c r="M316" s="76"/>
      <c r="N316" s="77"/>
      <c r="O316" s="78"/>
      <c r="AQ316" s="55"/>
    </row>
    <row r="317" ht="22.5" customHeight="1">
      <c r="B317" s="55"/>
      <c r="G317" s="56"/>
      <c r="I317" s="73"/>
      <c r="J317" s="74"/>
      <c r="K317" s="75"/>
      <c r="L317" s="75"/>
      <c r="M317" s="76"/>
      <c r="N317" s="77"/>
      <c r="O317" s="78"/>
      <c r="AQ317" s="55"/>
    </row>
    <row r="318" ht="22.5" customHeight="1">
      <c r="B318" s="55"/>
      <c r="G318" s="56"/>
      <c r="I318" s="73"/>
      <c r="J318" s="74"/>
      <c r="K318" s="75"/>
      <c r="L318" s="75"/>
      <c r="M318" s="76"/>
      <c r="N318" s="77"/>
      <c r="O318" s="78"/>
      <c r="AQ318" s="55"/>
    </row>
    <row r="319" ht="22.5" customHeight="1">
      <c r="B319" s="55"/>
      <c r="G319" s="56"/>
      <c r="I319" s="73"/>
      <c r="J319" s="74"/>
      <c r="K319" s="75"/>
      <c r="L319" s="75"/>
      <c r="M319" s="76"/>
      <c r="N319" s="77"/>
      <c r="O319" s="78"/>
      <c r="AQ319" s="55"/>
    </row>
    <row r="320" ht="22.5" customHeight="1">
      <c r="B320" s="55"/>
      <c r="G320" s="56"/>
      <c r="I320" s="73"/>
      <c r="J320" s="74"/>
      <c r="K320" s="75"/>
      <c r="L320" s="75"/>
      <c r="M320" s="76"/>
      <c r="N320" s="77"/>
      <c r="O320" s="78"/>
      <c r="AQ320" s="55"/>
    </row>
    <row r="321" ht="22.5" customHeight="1">
      <c r="B321" s="55"/>
      <c r="G321" s="56"/>
      <c r="I321" s="73"/>
      <c r="J321" s="74"/>
      <c r="K321" s="75"/>
      <c r="L321" s="75"/>
      <c r="M321" s="76"/>
      <c r="N321" s="77"/>
      <c r="O321" s="78"/>
      <c r="AQ321" s="55"/>
    </row>
    <row r="322" ht="22.5" customHeight="1">
      <c r="B322" s="55"/>
      <c r="G322" s="56"/>
      <c r="I322" s="73"/>
      <c r="J322" s="74"/>
      <c r="K322" s="75"/>
      <c r="L322" s="75"/>
      <c r="M322" s="76"/>
      <c r="N322" s="77"/>
      <c r="O322" s="78"/>
      <c r="AQ322" s="55"/>
    </row>
    <row r="323" ht="22.5" customHeight="1">
      <c r="B323" s="55"/>
      <c r="G323" s="56"/>
      <c r="I323" s="73"/>
      <c r="J323" s="74"/>
      <c r="K323" s="75"/>
      <c r="L323" s="75"/>
      <c r="M323" s="76"/>
      <c r="N323" s="77"/>
      <c r="O323" s="78"/>
      <c r="AQ323" s="55"/>
    </row>
    <row r="324" ht="22.5" customHeight="1">
      <c r="B324" s="55"/>
      <c r="G324" s="56"/>
      <c r="I324" s="73"/>
      <c r="J324" s="74"/>
      <c r="K324" s="75"/>
      <c r="L324" s="75"/>
      <c r="M324" s="76"/>
      <c r="N324" s="77"/>
      <c r="O324" s="78"/>
      <c r="AQ324" s="55"/>
    </row>
    <row r="325" ht="22.5" customHeight="1">
      <c r="B325" s="55"/>
      <c r="G325" s="56"/>
      <c r="I325" s="73"/>
      <c r="J325" s="74"/>
      <c r="K325" s="75"/>
      <c r="L325" s="75"/>
      <c r="M325" s="76"/>
      <c r="N325" s="77"/>
      <c r="O325" s="78"/>
      <c r="AQ325" s="55"/>
    </row>
    <row r="326" ht="22.5" customHeight="1">
      <c r="B326" s="55"/>
      <c r="G326" s="56"/>
      <c r="I326" s="73"/>
      <c r="J326" s="74"/>
      <c r="K326" s="75"/>
      <c r="L326" s="75"/>
      <c r="M326" s="76"/>
      <c r="N326" s="77"/>
      <c r="O326" s="78"/>
      <c r="AQ326" s="55"/>
    </row>
    <row r="327" ht="22.5" customHeight="1">
      <c r="B327" s="55"/>
      <c r="G327" s="56"/>
      <c r="I327" s="73"/>
      <c r="J327" s="74"/>
      <c r="K327" s="75"/>
      <c r="L327" s="75"/>
      <c r="M327" s="76"/>
      <c r="N327" s="77"/>
      <c r="O327" s="78"/>
      <c r="AQ327" s="55"/>
    </row>
    <row r="328" ht="22.5" customHeight="1">
      <c r="B328" s="55"/>
      <c r="G328" s="56"/>
      <c r="I328" s="73"/>
      <c r="J328" s="74"/>
      <c r="K328" s="75"/>
      <c r="L328" s="75"/>
      <c r="M328" s="76"/>
      <c r="N328" s="77"/>
      <c r="O328" s="78"/>
      <c r="AQ328" s="55"/>
    </row>
    <row r="329" ht="22.5" customHeight="1">
      <c r="B329" s="55"/>
      <c r="G329" s="56"/>
      <c r="I329" s="73"/>
      <c r="J329" s="74"/>
      <c r="K329" s="75"/>
      <c r="L329" s="75"/>
      <c r="M329" s="76"/>
      <c r="N329" s="77"/>
      <c r="O329" s="78"/>
      <c r="AQ329" s="55"/>
    </row>
    <row r="330" ht="22.5" customHeight="1">
      <c r="B330" s="55"/>
      <c r="G330" s="56"/>
      <c r="I330" s="73"/>
      <c r="J330" s="74"/>
      <c r="K330" s="75"/>
      <c r="L330" s="75"/>
      <c r="M330" s="76"/>
      <c r="N330" s="77"/>
      <c r="O330" s="78"/>
      <c r="AQ330" s="55"/>
    </row>
    <row r="331" ht="22.5" customHeight="1">
      <c r="B331" s="55"/>
      <c r="G331" s="56"/>
      <c r="I331" s="73"/>
      <c r="J331" s="74"/>
      <c r="K331" s="75"/>
      <c r="L331" s="75"/>
      <c r="M331" s="76"/>
      <c r="N331" s="77"/>
      <c r="O331" s="78"/>
      <c r="AQ331" s="55"/>
    </row>
    <row r="332" ht="22.5" customHeight="1">
      <c r="B332" s="55"/>
      <c r="G332" s="56"/>
      <c r="I332" s="73"/>
      <c r="J332" s="74"/>
      <c r="K332" s="75"/>
      <c r="L332" s="75"/>
      <c r="M332" s="76"/>
      <c r="N332" s="77"/>
      <c r="O332" s="78"/>
      <c r="AQ332" s="55"/>
    </row>
    <row r="333" ht="22.5" customHeight="1">
      <c r="B333" s="55"/>
      <c r="G333" s="56"/>
      <c r="I333" s="73"/>
      <c r="J333" s="74"/>
      <c r="K333" s="75"/>
      <c r="L333" s="75"/>
      <c r="M333" s="76"/>
      <c r="N333" s="77"/>
      <c r="O333" s="78"/>
      <c r="AQ333" s="55"/>
    </row>
    <row r="334" ht="22.5" customHeight="1">
      <c r="B334" s="55"/>
      <c r="G334" s="56"/>
      <c r="I334" s="73"/>
      <c r="J334" s="74"/>
      <c r="K334" s="75"/>
      <c r="L334" s="75"/>
      <c r="M334" s="76"/>
      <c r="N334" s="77"/>
      <c r="O334" s="78"/>
      <c r="AQ334" s="55"/>
    </row>
    <row r="335" ht="22.5" customHeight="1">
      <c r="B335" s="55"/>
      <c r="G335" s="56"/>
      <c r="I335" s="73"/>
      <c r="J335" s="74"/>
      <c r="K335" s="75"/>
      <c r="L335" s="75"/>
      <c r="M335" s="76"/>
      <c r="N335" s="77"/>
      <c r="O335" s="78"/>
      <c r="AQ335" s="55"/>
    </row>
    <row r="336" ht="22.5" customHeight="1">
      <c r="B336" s="55"/>
      <c r="G336" s="56"/>
      <c r="I336" s="73"/>
      <c r="J336" s="74"/>
      <c r="K336" s="75"/>
      <c r="L336" s="75"/>
      <c r="M336" s="76"/>
      <c r="N336" s="77"/>
      <c r="O336" s="78"/>
      <c r="AQ336" s="55"/>
    </row>
    <row r="337" ht="22.5" customHeight="1">
      <c r="B337" s="55"/>
      <c r="G337" s="56"/>
      <c r="I337" s="73"/>
      <c r="J337" s="74"/>
      <c r="K337" s="75"/>
      <c r="L337" s="75"/>
      <c r="M337" s="76"/>
      <c r="N337" s="77"/>
      <c r="O337" s="78"/>
      <c r="AQ337" s="55"/>
    </row>
    <row r="338" ht="22.5" customHeight="1">
      <c r="B338" s="55"/>
      <c r="G338" s="56"/>
      <c r="I338" s="73"/>
      <c r="J338" s="74"/>
      <c r="K338" s="75"/>
      <c r="L338" s="75"/>
      <c r="M338" s="76"/>
      <c r="N338" s="77"/>
      <c r="O338" s="78"/>
      <c r="AQ338" s="55"/>
    </row>
    <row r="339" ht="22.5" customHeight="1">
      <c r="B339" s="55"/>
      <c r="G339" s="56"/>
      <c r="I339" s="73"/>
      <c r="J339" s="74"/>
      <c r="K339" s="75"/>
      <c r="L339" s="75"/>
      <c r="M339" s="76"/>
      <c r="N339" s="77"/>
      <c r="O339" s="78"/>
      <c r="AQ339" s="55"/>
    </row>
    <row r="340" ht="22.5" customHeight="1">
      <c r="B340" s="55"/>
      <c r="G340" s="56"/>
      <c r="I340" s="73"/>
      <c r="J340" s="74"/>
      <c r="K340" s="75"/>
      <c r="L340" s="75"/>
      <c r="M340" s="76"/>
      <c r="N340" s="77"/>
      <c r="O340" s="78"/>
      <c r="AQ340" s="55"/>
    </row>
    <row r="341" ht="22.5" customHeight="1">
      <c r="B341" s="55"/>
      <c r="G341" s="56"/>
      <c r="I341" s="73"/>
      <c r="J341" s="74"/>
      <c r="K341" s="75"/>
      <c r="L341" s="75"/>
      <c r="M341" s="76"/>
      <c r="N341" s="77"/>
      <c r="O341" s="78"/>
      <c r="AQ341" s="55"/>
    </row>
    <row r="342" ht="22.5" customHeight="1">
      <c r="B342" s="55"/>
      <c r="G342" s="56"/>
      <c r="I342" s="73"/>
      <c r="J342" s="74"/>
      <c r="K342" s="75"/>
      <c r="L342" s="75"/>
      <c r="M342" s="76"/>
      <c r="N342" s="77"/>
      <c r="O342" s="78"/>
      <c r="AQ342" s="55"/>
    </row>
    <row r="343" ht="22.5" customHeight="1">
      <c r="B343" s="55"/>
      <c r="G343" s="56"/>
      <c r="I343" s="73"/>
      <c r="J343" s="74"/>
      <c r="K343" s="75"/>
      <c r="L343" s="75"/>
      <c r="M343" s="76"/>
      <c r="N343" s="77"/>
      <c r="O343" s="78"/>
      <c r="AQ343" s="55"/>
    </row>
    <row r="344" ht="22.5" customHeight="1">
      <c r="B344" s="55"/>
      <c r="G344" s="56"/>
      <c r="I344" s="73"/>
      <c r="J344" s="74"/>
      <c r="K344" s="75"/>
      <c r="L344" s="75"/>
      <c r="M344" s="76"/>
      <c r="N344" s="77"/>
      <c r="O344" s="78"/>
      <c r="AQ344" s="55"/>
    </row>
    <row r="345" ht="22.5" customHeight="1">
      <c r="B345" s="55"/>
      <c r="G345" s="56"/>
      <c r="I345" s="73"/>
      <c r="J345" s="74"/>
      <c r="K345" s="75"/>
      <c r="L345" s="75"/>
      <c r="M345" s="76"/>
      <c r="N345" s="77"/>
      <c r="O345" s="78"/>
      <c r="AQ345" s="55"/>
    </row>
    <row r="346" ht="22.5" customHeight="1">
      <c r="B346" s="55"/>
      <c r="G346" s="56"/>
      <c r="I346" s="73"/>
      <c r="J346" s="74"/>
      <c r="K346" s="75"/>
      <c r="L346" s="75"/>
      <c r="M346" s="76"/>
      <c r="N346" s="77"/>
      <c r="O346" s="78"/>
      <c r="AQ346" s="55"/>
    </row>
    <row r="347" ht="22.5" customHeight="1">
      <c r="B347" s="55"/>
      <c r="G347" s="56"/>
      <c r="I347" s="73"/>
      <c r="J347" s="74"/>
      <c r="K347" s="75"/>
      <c r="L347" s="75"/>
      <c r="M347" s="76"/>
      <c r="N347" s="77"/>
      <c r="O347" s="78"/>
      <c r="AQ347" s="55"/>
    </row>
    <row r="348" ht="22.5" customHeight="1">
      <c r="B348" s="55"/>
      <c r="G348" s="56"/>
      <c r="I348" s="73"/>
      <c r="J348" s="74"/>
      <c r="K348" s="75"/>
      <c r="L348" s="75"/>
      <c r="M348" s="76"/>
      <c r="N348" s="77"/>
      <c r="O348" s="78"/>
      <c r="AQ348" s="55"/>
    </row>
    <row r="349" ht="22.5" customHeight="1">
      <c r="B349" s="55"/>
      <c r="G349" s="56"/>
      <c r="I349" s="73"/>
      <c r="J349" s="74"/>
      <c r="K349" s="75"/>
      <c r="L349" s="75"/>
      <c r="M349" s="76"/>
      <c r="N349" s="77"/>
      <c r="O349" s="78"/>
      <c r="AQ349" s="55"/>
    </row>
    <row r="350" ht="22.5" customHeight="1">
      <c r="B350" s="55"/>
      <c r="G350" s="56"/>
      <c r="I350" s="73"/>
      <c r="J350" s="74"/>
      <c r="K350" s="75"/>
      <c r="L350" s="75"/>
      <c r="M350" s="76"/>
      <c r="N350" s="77"/>
      <c r="O350" s="78"/>
      <c r="AQ350" s="55"/>
    </row>
    <row r="351" ht="22.5" customHeight="1">
      <c r="B351" s="55"/>
      <c r="G351" s="56"/>
      <c r="I351" s="73"/>
      <c r="J351" s="74"/>
      <c r="K351" s="75"/>
      <c r="L351" s="75"/>
      <c r="M351" s="76"/>
      <c r="N351" s="77"/>
      <c r="O351" s="78"/>
      <c r="AQ351" s="55"/>
    </row>
    <row r="352" ht="22.5" customHeight="1">
      <c r="B352" s="55"/>
      <c r="G352" s="56"/>
      <c r="I352" s="73"/>
      <c r="J352" s="74"/>
      <c r="K352" s="75"/>
      <c r="L352" s="75"/>
      <c r="M352" s="76"/>
      <c r="N352" s="77"/>
      <c r="O352" s="78"/>
      <c r="AQ352" s="55"/>
    </row>
    <row r="353" ht="22.5" customHeight="1">
      <c r="B353" s="55"/>
      <c r="G353" s="56"/>
      <c r="I353" s="73"/>
      <c r="J353" s="74"/>
      <c r="K353" s="75"/>
      <c r="L353" s="75"/>
      <c r="M353" s="76"/>
      <c r="N353" s="77"/>
      <c r="O353" s="78"/>
      <c r="AQ353" s="55"/>
    </row>
    <row r="354" ht="22.5" customHeight="1">
      <c r="B354" s="55"/>
      <c r="G354" s="56"/>
      <c r="I354" s="73"/>
      <c r="J354" s="74"/>
      <c r="K354" s="75"/>
      <c r="L354" s="75"/>
      <c r="M354" s="76"/>
      <c r="N354" s="77"/>
      <c r="O354" s="78"/>
      <c r="AQ354" s="55"/>
    </row>
    <row r="355" ht="22.5" customHeight="1">
      <c r="B355" s="55"/>
      <c r="G355" s="56"/>
      <c r="I355" s="73"/>
      <c r="J355" s="74"/>
      <c r="K355" s="75"/>
      <c r="L355" s="75"/>
      <c r="M355" s="76"/>
      <c r="N355" s="77"/>
      <c r="O355" s="78"/>
      <c r="AQ355" s="55"/>
    </row>
    <row r="356" ht="22.5" customHeight="1">
      <c r="B356" s="55"/>
      <c r="G356" s="56"/>
      <c r="I356" s="73"/>
      <c r="J356" s="74"/>
      <c r="K356" s="75"/>
      <c r="L356" s="75"/>
      <c r="M356" s="76"/>
      <c r="N356" s="77"/>
      <c r="O356" s="78"/>
      <c r="AQ356" s="55"/>
    </row>
    <row r="357" ht="22.5" customHeight="1">
      <c r="B357" s="55"/>
      <c r="G357" s="56"/>
      <c r="I357" s="73"/>
      <c r="J357" s="74"/>
      <c r="K357" s="75"/>
      <c r="L357" s="75"/>
      <c r="M357" s="76"/>
      <c r="N357" s="77"/>
      <c r="O357" s="78"/>
      <c r="AQ357" s="55"/>
    </row>
    <row r="358" ht="22.5" customHeight="1">
      <c r="B358" s="55"/>
      <c r="G358" s="56"/>
      <c r="I358" s="73"/>
      <c r="J358" s="74"/>
      <c r="K358" s="75"/>
      <c r="L358" s="75"/>
      <c r="M358" s="76"/>
      <c r="N358" s="77"/>
      <c r="O358" s="78"/>
      <c r="AQ358" s="55"/>
    </row>
    <row r="359" ht="22.5" customHeight="1">
      <c r="B359" s="55"/>
      <c r="G359" s="56"/>
      <c r="I359" s="73"/>
      <c r="J359" s="74"/>
      <c r="K359" s="75"/>
      <c r="L359" s="75"/>
      <c r="M359" s="76"/>
      <c r="N359" s="77"/>
      <c r="O359" s="78"/>
      <c r="AQ359" s="55"/>
    </row>
    <row r="360" ht="22.5" customHeight="1">
      <c r="B360" s="55"/>
      <c r="G360" s="56"/>
      <c r="I360" s="73"/>
      <c r="J360" s="74"/>
      <c r="K360" s="75"/>
      <c r="L360" s="75"/>
      <c r="M360" s="76"/>
      <c r="N360" s="77"/>
      <c r="O360" s="78"/>
      <c r="AQ360" s="55"/>
    </row>
    <row r="361" ht="22.5" customHeight="1">
      <c r="B361" s="55"/>
      <c r="G361" s="56"/>
      <c r="I361" s="73"/>
      <c r="J361" s="74"/>
      <c r="K361" s="75"/>
      <c r="L361" s="75"/>
      <c r="M361" s="76"/>
      <c r="N361" s="77"/>
      <c r="O361" s="78"/>
      <c r="AQ361" s="55"/>
    </row>
    <row r="362" ht="22.5" customHeight="1">
      <c r="B362" s="55"/>
      <c r="G362" s="56"/>
      <c r="I362" s="73"/>
      <c r="J362" s="74"/>
      <c r="K362" s="75"/>
      <c r="L362" s="75"/>
      <c r="M362" s="76"/>
      <c r="N362" s="77"/>
      <c r="O362" s="78"/>
      <c r="AQ362" s="55"/>
    </row>
    <row r="363" ht="22.5" customHeight="1">
      <c r="B363" s="55"/>
      <c r="G363" s="56"/>
      <c r="I363" s="73"/>
      <c r="J363" s="74"/>
      <c r="K363" s="75"/>
      <c r="L363" s="75"/>
      <c r="M363" s="76"/>
      <c r="N363" s="77"/>
      <c r="O363" s="78"/>
      <c r="AQ363" s="55"/>
    </row>
    <row r="364" ht="22.5" customHeight="1">
      <c r="B364" s="55"/>
      <c r="G364" s="56"/>
      <c r="I364" s="73"/>
      <c r="J364" s="74"/>
      <c r="K364" s="75"/>
      <c r="L364" s="75"/>
      <c r="M364" s="76"/>
      <c r="N364" s="77"/>
      <c r="O364" s="78"/>
      <c r="AQ364" s="55"/>
    </row>
    <row r="365" ht="22.5" customHeight="1">
      <c r="B365" s="55"/>
      <c r="G365" s="56"/>
      <c r="I365" s="73"/>
      <c r="J365" s="74"/>
      <c r="K365" s="75"/>
      <c r="L365" s="75"/>
      <c r="M365" s="76"/>
      <c r="N365" s="77"/>
      <c r="O365" s="78"/>
      <c r="AQ365" s="55"/>
    </row>
    <row r="366" ht="22.5" customHeight="1">
      <c r="B366" s="55"/>
      <c r="G366" s="56"/>
      <c r="I366" s="73"/>
      <c r="J366" s="74"/>
      <c r="K366" s="75"/>
      <c r="L366" s="75"/>
      <c r="M366" s="76"/>
      <c r="N366" s="77"/>
      <c r="O366" s="78"/>
      <c r="AQ366" s="55"/>
    </row>
    <row r="367" ht="22.5" customHeight="1">
      <c r="B367" s="55"/>
      <c r="G367" s="56"/>
      <c r="I367" s="73"/>
      <c r="J367" s="74"/>
      <c r="K367" s="75"/>
      <c r="L367" s="75"/>
      <c r="M367" s="76"/>
      <c r="N367" s="77"/>
      <c r="O367" s="78"/>
      <c r="AQ367" s="55"/>
    </row>
    <row r="368" ht="22.5" customHeight="1">
      <c r="B368" s="55"/>
      <c r="G368" s="56"/>
      <c r="I368" s="73"/>
      <c r="J368" s="74"/>
      <c r="K368" s="75"/>
      <c r="L368" s="75"/>
      <c r="M368" s="76"/>
      <c r="N368" s="77"/>
      <c r="O368" s="78"/>
      <c r="AQ368" s="55"/>
    </row>
    <row r="369" ht="22.5" customHeight="1">
      <c r="B369" s="55"/>
      <c r="G369" s="56"/>
      <c r="I369" s="73"/>
      <c r="J369" s="74"/>
      <c r="K369" s="75"/>
      <c r="L369" s="75"/>
      <c r="M369" s="76"/>
      <c r="N369" s="77"/>
      <c r="O369" s="78"/>
      <c r="AQ369" s="55"/>
    </row>
    <row r="370" ht="22.5" customHeight="1">
      <c r="B370" s="55"/>
      <c r="G370" s="56"/>
      <c r="I370" s="73"/>
      <c r="J370" s="74"/>
      <c r="K370" s="75"/>
      <c r="L370" s="75"/>
      <c r="M370" s="76"/>
      <c r="N370" s="77"/>
      <c r="O370" s="78"/>
      <c r="AQ370" s="55"/>
    </row>
    <row r="371" ht="22.5" customHeight="1">
      <c r="B371" s="55"/>
      <c r="G371" s="56"/>
      <c r="I371" s="73"/>
      <c r="J371" s="74"/>
      <c r="K371" s="75"/>
      <c r="L371" s="75"/>
      <c r="M371" s="76"/>
      <c r="N371" s="77"/>
      <c r="O371" s="78"/>
      <c r="AQ371" s="55"/>
    </row>
    <row r="372" ht="22.5" customHeight="1">
      <c r="B372" s="55"/>
      <c r="G372" s="56"/>
      <c r="I372" s="73"/>
      <c r="J372" s="74"/>
      <c r="K372" s="75"/>
      <c r="L372" s="75"/>
      <c r="M372" s="76"/>
      <c r="N372" s="77"/>
      <c r="O372" s="78"/>
      <c r="AQ372" s="55"/>
    </row>
    <row r="373" ht="22.5" customHeight="1">
      <c r="B373" s="55"/>
      <c r="G373" s="56"/>
      <c r="I373" s="73"/>
      <c r="J373" s="74"/>
      <c r="K373" s="75"/>
      <c r="L373" s="75"/>
      <c r="M373" s="76"/>
      <c r="N373" s="77"/>
      <c r="O373" s="78"/>
      <c r="AQ373" s="55"/>
    </row>
    <row r="374" ht="22.5" customHeight="1">
      <c r="B374" s="55"/>
      <c r="G374" s="56"/>
      <c r="I374" s="73"/>
      <c r="J374" s="74"/>
      <c r="K374" s="75"/>
      <c r="L374" s="75"/>
      <c r="M374" s="76"/>
      <c r="N374" s="77"/>
      <c r="O374" s="78"/>
      <c r="AQ374" s="55"/>
    </row>
    <row r="375" ht="22.5" customHeight="1">
      <c r="B375" s="55"/>
      <c r="G375" s="56"/>
      <c r="I375" s="73"/>
      <c r="J375" s="74"/>
      <c r="K375" s="75"/>
      <c r="L375" s="75"/>
      <c r="M375" s="76"/>
      <c r="N375" s="77"/>
      <c r="O375" s="78"/>
      <c r="AQ375" s="55"/>
    </row>
    <row r="376" ht="22.5" customHeight="1">
      <c r="B376" s="55"/>
      <c r="G376" s="56"/>
      <c r="I376" s="73"/>
      <c r="J376" s="74"/>
      <c r="K376" s="75"/>
      <c r="L376" s="75"/>
      <c r="M376" s="76"/>
      <c r="N376" s="77"/>
      <c r="O376" s="78"/>
      <c r="AQ376" s="55"/>
    </row>
    <row r="377">
      <c r="B377" s="55"/>
      <c r="G377" s="56"/>
      <c r="J377" s="55"/>
      <c r="O377" s="56"/>
      <c r="AQ377" s="55"/>
    </row>
    <row r="378">
      <c r="B378" s="55"/>
      <c r="G378" s="56"/>
      <c r="J378" s="55"/>
      <c r="O378" s="56"/>
      <c r="AQ378" s="55"/>
    </row>
    <row r="379">
      <c r="B379" s="55"/>
      <c r="G379" s="56"/>
      <c r="J379" s="55"/>
      <c r="O379" s="56"/>
      <c r="AQ379" s="55"/>
    </row>
    <row r="380">
      <c r="B380" s="55"/>
      <c r="G380" s="56"/>
      <c r="J380" s="55"/>
      <c r="O380" s="56"/>
      <c r="AQ380" s="55"/>
    </row>
    <row r="381">
      <c r="B381" s="55"/>
      <c r="G381" s="56"/>
      <c r="J381" s="55"/>
      <c r="O381" s="56"/>
      <c r="AQ381" s="55"/>
    </row>
    <row r="382">
      <c r="B382" s="55"/>
      <c r="G382" s="56"/>
      <c r="J382" s="55"/>
      <c r="O382" s="56"/>
      <c r="AQ382" s="55"/>
    </row>
    <row r="383">
      <c r="B383" s="55"/>
      <c r="G383" s="56"/>
      <c r="J383" s="55"/>
      <c r="O383" s="56"/>
      <c r="AQ383" s="55"/>
    </row>
    <row r="384">
      <c r="B384" s="55"/>
      <c r="G384" s="56"/>
      <c r="J384" s="55"/>
      <c r="O384" s="56"/>
      <c r="AQ384" s="55"/>
    </row>
    <row r="385">
      <c r="B385" s="55"/>
      <c r="G385" s="56"/>
      <c r="J385" s="55"/>
      <c r="O385" s="56"/>
      <c r="AQ385" s="55"/>
    </row>
    <row r="386">
      <c r="B386" s="55"/>
      <c r="G386" s="56"/>
      <c r="J386" s="55"/>
      <c r="O386" s="56"/>
      <c r="AQ386" s="55"/>
    </row>
    <row r="387">
      <c r="B387" s="55"/>
      <c r="G387" s="56"/>
      <c r="J387" s="55"/>
      <c r="O387" s="56"/>
      <c r="AQ387" s="55"/>
    </row>
    <row r="388">
      <c r="B388" s="55"/>
      <c r="G388" s="56"/>
      <c r="J388" s="55"/>
      <c r="O388" s="56"/>
      <c r="AQ388" s="55"/>
    </row>
    <row r="389">
      <c r="B389" s="55"/>
      <c r="G389" s="56"/>
      <c r="J389" s="55"/>
      <c r="O389" s="56"/>
      <c r="AQ389" s="55"/>
    </row>
    <row r="390">
      <c r="B390" s="55"/>
      <c r="G390" s="56"/>
      <c r="J390" s="55"/>
      <c r="O390" s="56"/>
      <c r="AQ390" s="55"/>
    </row>
    <row r="391">
      <c r="B391" s="55"/>
      <c r="G391" s="56"/>
      <c r="J391" s="55"/>
      <c r="O391" s="56"/>
      <c r="AQ391" s="55"/>
    </row>
    <row r="392">
      <c r="B392" s="55"/>
      <c r="G392" s="56"/>
      <c r="J392" s="55"/>
      <c r="O392" s="56"/>
      <c r="AQ392" s="55"/>
    </row>
    <row r="393">
      <c r="B393" s="55"/>
      <c r="G393" s="56"/>
      <c r="J393" s="55"/>
      <c r="O393" s="56"/>
      <c r="AQ393" s="55"/>
    </row>
    <row r="394">
      <c r="B394" s="55"/>
      <c r="G394" s="56"/>
      <c r="J394" s="55"/>
      <c r="O394" s="56"/>
      <c r="AQ394" s="55"/>
    </row>
    <row r="395">
      <c r="B395" s="55"/>
      <c r="G395" s="56"/>
      <c r="J395" s="55"/>
      <c r="O395" s="56"/>
      <c r="AQ395" s="55"/>
    </row>
    <row r="396">
      <c r="B396" s="55"/>
      <c r="G396" s="56"/>
      <c r="J396" s="55"/>
      <c r="O396" s="56"/>
      <c r="AQ396" s="55"/>
    </row>
    <row r="397">
      <c r="B397" s="55"/>
      <c r="G397" s="56"/>
      <c r="J397" s="55"/>
      <c r="O397" s="56"/>
      <c r="AQ397" s="55"/>
    </row>
    <row r="398">
      <c r="B398" s="55"/>
      <c r="G398" s="56"/>
      <c r="J398" s="55"/>
      <c r="O398" s="56"/>
      <c r="AQ398" s="55"/>
    </row>
    <row r="399">
      <c r="B399" s="55"/>
      <c r="G399" s="56"/>
      <c r="J399" s="55"/>
      <c r="O399" s="56"/>
      <c r="AQ399" s="55"/>
    </row>
    <row r="400">
      <c r="B400" s="55"/>
      <c r="G400" s="56"/>
      <c r="J400" s="55"/>
      <c r="O400" s="56"/>
      <c r="AQ400" s="55"/>
    </row>
    <row r="401">
      <c r="B401" s="55"/>
      <c r="G401" s="56"/>
      <c r="J401" s="55"/>
      <c r="O401" s="56"/>
      <c r="AQ401" s="55"/>
    </row>
    <row r="402">
      <c r="B402" s="55"/>
      <c r="G402" s="56"/>
      <c r="J402" s="55"/>
      <c r="O402" s="56"/>
      <c r="AQ402" s="55"/>
    </row>
    <row r="403">
      <c r="B403" s="55"/>
      <c r="G403" s="56"/>
      <c r="J403" s="55"/>
      <c r="O403" s="56"/>
      <c r="AQ403" s="55"/>
    </row>
    <row r="404">
      <c r="B404" s="55"/>
      <c r="G404" s="56"/>
      <c r="J404" s="55"/>
      <c r="O404" s="56"/>
      <c r="AQ404" s="55"/>
    </row>
    <row r="405">
      <c r="B405" s="55"/>
      <c r="G405" s="56"/>
      <c r="J405" s="55"/>
      <c r="O405" s="56"/>
      <c r="AQ405" s="55"/>
    </row>
    <row r="406">
      <c r="B406" s="55"/>
      <c r="G406" s="56"/>
      <c r="J406" s="55"/>
      <c r="O406" s="56"/>
      <c r="AQ406" s="55"/>
    </row>
    <row r="407">
      <c r="B407" s="55"/>
      <c r="G407" s="56"/>
      <c r="J407" s="55"/>
      <c r="O407" s="56"/>
      <c r="AQ407" s="55"/>
    </row>
    <row r="408">
      <c r="B408" s="55"/>
      <c r="G408" s="56"/>
      <c r="J408" s="55"/>
      <c r="O408" s="56"/>
      <c r="AQ408" s="55"/>
    </row>
    <row r="409">
      <c r="B409" s="55"/>
      <c r="G409" s="56"/>
      <c r="J409" s="55"/>
      <c r="O409" s="56"/>
      <c r="AQ409" s="55"/>
    </row>
    <row r="410">
      <c r="B410" s="55"/>
      <c r="G410" s="56"/>
      <c r="J410" s="55"/>
      <c r="O410" s="56"/>
      <c r="AQ410" s="55"/>
    </row>
    <row r="411">
      <c r="B411" s="55"/>
      <c r="G411" s="56"/>
      <c r="J411" s="55"/>
      <c r="O411" s="56"/>
      <c r="AQ411" s="55"/>
    </row>
    <row r="412">
      <c r="B412" s="55"/>
      <c r="G412" s="56"/>
      <c r="J412" s="55"/>
      <c r="O412" s="56"/>
      <c r="AQ412" s="55"/>
    </row>
    <row r="413">
      <c r="B413" s="55"/>
      <c r="G413" s="56"/>
      <c r="J413" s="55"/>
      <c r="O413" s="56"/>
      <c r="AQ413" s="55"/>
    </row>
    <row r="414">
      <c r="B414" s="55"/>
      <c r="G414" s="56"/>
      <c r="J414" s="55"/>
      <c r="O414" s="56"/>
      <c r="AQ414" s="55"/>
    </row>
    <row r="415">
      <c r="B415" s="55"/>
      <c r="G415" s="56"/>
      <c r="J415" s="55"/>
      <c r="O415" s="56"/>
      <c r="AQ415" s="55"/>
    </row>
    <row r="416">
      <c r="B416" s="55"/>
      <c r="G416" s="56"/>
      <c r="J416" s="55"/>
      <c r="O416" s="56"/>
      <c r="AQ416" s="55"/>
    </row>
    <row r="417">
      <c r="B417" s="55"/>
      <c r="G417" s="56"/>
      <c r="J417" s="55"/>
      <c r="O417" s="56"/>
      <c r="AQ417" s="55"/>
    </row>
    <row r="418">
      <c r="B418" s="55"/>
      <c r="G418" s="56"/>
      <c r="J418" s="55"/>
      <c r="O418" s="56"/>
      <c r="AQ418" s="55"/>
    </row>
    <row r="419">
      <c r="B419" s="55"/>
      <c r="G419" s="56"/>
      <c r="J419" s="55"/>
      <c r="O419" s="56"/>
      <c r="AQ419" s="55"/>
    </row>
    <row r="420">
      <c r="B420" s="55"/>
      <c r="G420" s="56"/>
      <c r="J420" s="55"/>
      <c r="O420" s="56"/>
      <c r="AQ420" s="55"/>
    </row>
    <row r="421">
      <c r="B421" s="55"/>
      <c r="G421" s="56"/>
      <c r="J421" s="55"/>
      <c r="O421" s="56"/>
      <c r="AQ421" s="55"/>
    </row>
    <row r="422">
      <c r="B422" s="55"/>
      <c r="G422" s="56"/>
      <c r="J422" s="55"/>
      <c r="O422" s="56"/>
      <c r="AQ422" s="55"/>
    </row>
    <row r="423">
      <c r="B423" s="55"/>
      <c r="G423" s="56"/>
      <c r="J423" s="55"/>
      <c r="O423" s="56"/>
      <c r="AQ423" s="55"/>
    </row>
    <row r="424">
      <c r="B424" s="55"/>
      <c r="G424" s="56"/>
      <c r="J424" s="55"/>
      <c r="O424" s="56"/>
      <c r="AQ424" s="55"/>
    </row>
    <row r="425">
      <c r="B425" s="55"/>
      <c r="G425" s="56"/>
      <c r="J425" s="55"/>
      <c r="O425" s="56"/>
      <c r="AQ425" s="55"/>
    </row>
    <row r="426">
      <c r="B426" s="55"/>
      <c r="G426" s="56"/>
      <c r="J426" s="55"/>
      <c r="O426" s="56"/>
      <c r="AQ426" s="55"/>
    </row>
    <row r="427">
      <c r="B427" s="55"/>
      <c r="G427" s="56"/>
      <c r="J427" s="55"/>
      <c r="O427" s="56"/>
      <c r="AQ427" s="55"/>
    </row>
    <row r="428">
      <c r="B428" s="55"/>
      <c r="G428" s="56"/>
      <c r="J428" s="55"/>
      <c r="O428" s="56"/>
      <c r="AQ428" s="55"/>
    </row>
    <row r="429">
      <c r="B429" s="55"/>
      <c r="G429" s="56"/>
      <c r="J429" s="55"/>
      <c r="O429" s="56"/>
      <c r="AQ429" s="55"/>
    </row>
    <row r="430">
      <c r="B430" s="55"/>
      <c r="G430" s="56"/>
      <c r="J430" s="55"/>
      <c r="O430" s="56"/>
      <c r="AQ430" s="55"/>
    </row>
    <row r="431">
      <c r="B431" s="55"/>
      <c r="G431" s="56"/>
      <c r="J431" s="55"/>
      <c r="O431" s="56"/>
      <c r="AQ431" s="55"/>
    </row>
    <row r="432">
      <c r="B432" s="55"/>
      <c r="G432" s="56"/>
      <c r="J432" s="55"/>
      <c r="O432" s="56"/>
      <c r="AQ432" s="55"/>
    </row>
    <row r="433">
      <c r="B433" s="55"/>
      <c r="G433" s="56"/>
      <c r="J433" s="55"/>
      <c r="O433" s="56"/>
      <c r="AQ433" s="55"/>
    </row>
    <row r="434">
      <c r="B434" s="55"/>
      <c r="G434" s="56"/>
      <c r="J434" s="55"/>
      <c r="O434" s="56"/>
      <c r="AQ434" s="55"/>
    </row>
    <row r="435">
      <c r="B435" s="55"/>
      <c r="G435" s="56"/>
      <c r="J435" s="55"/>
      <c r="O435" s="56"/>
      <c r="AQ435" s="55"/>
    </row>
    <row r="436">
      <c r="B436" s="55"/>
      <c r="G436" s="56"/>
      <c r="J436" s="55"/>
      <c r="O436" s="56"/>
      <c r="AQ436" s="55"/>
    </row>
    <row r="437">
      <c r="B437" s="55"/>
      <c r="G437" s="56"/>
      <c r="J437" s="55"/>
      <c r="O437" s="56"/>
      <c r="AQ437" s="55"/>
    </row>
    <row r="438">
      <c r="B438" s="55"/>
      <c r="G438" s="56"/>
      <c r="J438" s="55"/>
      <c r="O438" s="56"/>
      <c r="AQ438" s="55"/>
    </row>
    <row r="439">
      <c r="B439" s="55"/>
      <c r="G439" s="56"/>
      <c r="J439" s="55"/>
      <c r="O439" s="56"/>
      <c r="AQ439" s="55"/>
    </row>
    <row r="440">
      <c r="B440" s="55"/>
      <c r="G440" s="56"/>
      <c r="J440" s="55"/>
      <c r="O440" s="56"/>
      <c r="AQ440" s="55"/>
    </row>
    <row r="441">
      <c r="B441" s="55"/>
      <c r="G441" s="56"/>
      <c r="J441" s="55"/>
      <c r="O441" s="56"/>
      <c r="AQ441" s="55"/>
    </row>
    <row r="442">
      <c r="B442" s="55"/>
      <c r="G442" s="56"/>
      <c r="J442" s="55"/>
      <c r="O442" s="56"/>
      <c r="AQ442" s="55"/>
    </row>
    <row r="443">
      <c r="B443" s="55"/>
      <c r="G443" s="56"/>
      <c r="J443" s="55"/>
      <c r="O443" s="56"/>
      <c r="AQ443" s="55"/>
    </row>
    <row r="444">
      <c r="B444" s="55"/>
      <c r="G444" s="56"/>
      <c r="J444" s="55"/>
      <c r="O444" s="56"/>
      <c r="AQ444" s="55"/>
    </row>
    <row r="445">
      <c r="B445" s="55"/>
      <c r="G445" s="56"/>
      <c r="J445" s="55"/>
      <c r="O445" s="56"/>
      <c r="AQ445" s="55"/>
    </row>
    <row r="446">
      <c r="B446" s="55"/>
      <c r="G446" s="56"/>
      <c r="J446" s="55"/>
      <c r="O446" s="56"/>
      <c r="AQ446" s="55"/>
    </row>
    <row r="447">
      <c r="B447" s="55"/>
      <c r="G447" s="56"/>
      <c r="J447" s="55"/>
      <c r="O447" s="56"/>
      <c r="AQ447" s="55"/>
    </row>
    <row r="448">
      <c r="B448" s="55"/>
      <c r="G448" s="56"/>
      <c r="J448" s="55"/>
      <c r="O448" s="56"/>
      <c r="AQ448" s="55"/>
    </row>
    <row r="449">
      <c r="B449" s="55"/>
      <c r="G449" s="56"/>
      <c r="J449" s="55"/>
      <c r="O449" s="56"/>
      <c r="AQ449" s="55"/>
    </row>
    <row r="450">
      <c r="B450" s="55"/>
      <c r="G450" s="56"/>
      <c r="J450" s="55"/>
      <c r="O450" s="56"/>
      <c r="AQ450" s="55"/>
    </row>
    <row r="451">
      <c r="B451" s="55"/>
      <c r="G451" s="56"/>
      <c r="J451" s="55"/>
      <c r="O451" s="56"/>
      <c r="AQ451" s="55"/>
    </row>
    <row r="452">
      <c r="B452" s="55"/>
      <c r="G452" s="56"/>
      <c r="J452" s="55"/>
      <c r="O452" s="56"/>
      <c r="AQ452" s="55"/>
    </row>
    <row r="453">
      <c r="B453" s="55"/>
      <c r="G453" s="56"/>
      <c r="J453" s="55"/>
      <c r="O453" s="56"/>
      <c r="AQ453" s="55"/>
    </row>
    <row r="454">
      <c r="B454" s="55"/>
      <c r="G454" s="56"/>
      <c r="J454" s="55"/>
      <c r="O454" s="56"/>
      <c r="AQ454" s="55"/>
    </row>
    <row r="455">
      <c r="B455" s="55"/>
      <c r="G455" s="56"/>
      <c r="J455" s="55"/>
      <c r="O455" s="56"/>
      <c r="AQ455" s="55"/>
    </row>
    <row r="456">
      <c r="B456" s="55"/>
      <c r="G456" s="56"/>
      <c r="J456" s="55"/>
      <c r="O456" s="56"/>
      <c r="AQ456" s="55"/>
    </row>
    <row r="457">
      <c r="B457" s="55"/>
      <c r="G457" s="56"/>
      <c r="J457" s="55"/>
      <c r="O457" s="56"/>
      <c r="AQ457" s="55"/>
    </row>
    <row r="458">
      <c r="B458" s="55"/>
      <c r="G458" s="56"/>
      <c r="J458" s="55"/>
      <c r="O458" s="56"/>
      <c r="AQ458" s="55"/>
    </row>
    <row r="459">
      <c r="B459" s="55"/>
      <c r="G459" s="56"/>
      <c r="J459" s="55"/>
      <c r="O459" s="56"/>
      <c r="AQ459" s="55"/>
    </row>
    <row r="460">
      <c r="B460" s="55"/>
      <c r="G460" s="56"/>
      <c r="J460" s="55"/>
      <c r="O460" s="56"/>
      <c r="AQ460" s="55"/>
    </row>
    <row r="461">
      <c r="B461" s="55"/>
      <c r="G461" s="56"/>
      <c r="J461" s="55"/>
      <c r="O461" s="56"/>
      <c r="AQ461" s="55"/>
    </row>
    <row r="462">
      <c r="B462" s="55"/>
      <c r="G462" s="56"/>
      <c r="J462" s="55"/>
      <c r="O462" s="56"/>
      <c r="AQ462" s="55"/>
    </row>
    <row r="463">
      <c r="B463" s="55"/>
      <c r="G463" s="56"/>
      <c r="J463" s="55"/>
      <c r="O463" s="56"/>
      <c r="AQ463" s="55"/>
    </row>
    <row r="464">
      <c r="B464" s="55"/>
      <c r="G464" s="56"/>
      <c r="J464" s="55"/>
      <c r="O464" s="56"/>
      <c r="AQ464" s="55"/>
    </row>
    <row r="465">
      <c r="B465" s="55"/>
      <c r="G465" s="56"/>
      <c r="J465" s="55"/>
      <c r="O465" s="56"/>
      <c r="AQ465" s="55"/>
    </row>
    <row r="466">
      <c r="B466" s="55"/>
      <c r="G466" s="56"/>
      <c r="J466" s="55"/>
      <c r="O466" s="56"/>
      <c r="AQ466" s="55"/>
    </row>
    <row r="467">
      <c r="B467" s="55"/>
      <c r="G467" s="56"/>
      <c r="J467" s="55"/>
      <c r="O467" s="56"/>
      <c r="AQ467" s="55"/>
    </row>
    <row r="468">
      <c r="B468" s="55"/>
      <c r="G468" s="56"/>
      <c r="J468" s="55"/>
      <c r="O468" s="56"/>
      <c r="AQ468" s="55"/>
    </row>
    <row r="469">
      <c r="B469" s="55"/>
      <c r="G469" s="56"/>
      <c r="J469" s="55"/>
      <c r="O469" s="56"/>
      <c r="AQ469" s="55"/>
    </row>
    <row r="470">
      <c r="B470" s="55"/>
      <c r="G470" s="56"/>
      <c r="J470" s="55"/>
      <c r="O470" s="56"/>
      <c r="AQ470" s="55"/>
    </row>
    <row r="471">
      <c r="B471" s="55"/>
      <c r="G471" s="56"/>
      <c r="J471" s="55"/>
      <c r="O471" s="56"/>
      <c r="AQ471" s="55"/>
    </row>
    <row r="472">
      <c r="B472" s="55"/>
      <c r="G472" s="56"/>
      <c r="J472" s="55"/>
      <c r="O472" s="56"/>
      <c r="AQ472" s="55"/>
    </row>
    <row r="473">
      <c r="B473" s="55"/>
      <c r="G473" s="56"/>
      <c r="J473" s="55"/>
      <c r="O473" s="56"/>
      <c r="AQ473" s="55"/>
    </row>
    <row r="474">
      <c r="B474" s="55"/>
      <c r="G474" s="56"/>
      <c r="J474" s="55"/>
      <c r="O474" s="56"/>
      <c r="AQ474" s="55"/>
    </row>
    <row r="475">
      <c r="B475" s="55"/>
      <c r="G475" s="56"/>
      <c r="J475" s="55"/>
      <c r="O475" s="56"/>
      <c r="AQ475" s="55"/>
    </row>
    <row r="476">
      <c r="B476" s="55"/>
      <c r="G476" s="56"/>
      <c r="J476" s="55"/>
      <c r="O476" s="56"/>
      <c r="AQ476" s="55"/>
    </row>
    <row r="477">
      <c r="B477" s="55"/>
      <c r="G477" s="56"/>
      <c r="J477" s="55"/>
      <c r="O477" s="56"/>
      <c r="AQ477" s="55"/>
    </row>
    <row r="478">
      <c r="B478" s="55"/>
      <c r="G478" s="56"/>
      <c r="J478" s="55"/>
      <c r="O478" s="56"/>
      <c r="AQ478" s="55"/>
    </row>
    <row r="479">
      <c r="B479" s="55"/>
      <c r="G479" s="56"/>
      <c r="J479" s="55"/>
      <c r="O479" s="56"/>
      <c r="AQ479" s="55"/>
    </row>
    <row r="480">
      <c r="B480" s="55"/>
      <c r="G480" s="56"/>
      <c r="J480" s="55"/>
      <c r="O480" s="56"/>
      <c r="AQ480" s="55"/>
    </row>
    <row r="481">
      <c r="B481" s="55"/>
      <c r="G481" s="56"/>
      <c r="J481" s="55"/>
      <c r="O481" s="56"/>
      <c r="AQ481" s="55"/>
    </row>
    <row r="482">
      <c r="B482" s="55"/>
      <c r="G482" s="56"/>
      <c r="J482" s="55"/>
      <c r="O482" s="56"/>
      <c r="AQ482" s="55"/>
    </row>
    <row r="483">
      <c r="B483" s="55"/>
      <c r="G483" s="56"/>
      <c r="J483" s="55"/>
      <c r="O483" s="56"/>
      <c r="AQ483" s="55"/>
    </row>
    <row r="484">
      <c r="B484" s="55"/>
      <c r="G484" s="56"/>
      <c r="J484" s="55"/>
      <c r="O484" s="56"/>
      <c r="AQ484" s="55"/>
    </row>
    <row r="485">
      <c r="B485" s="55"/>
      <c r="G485" s="56"/>
      <c r="J485" s="55"/>
      <c r="O485" s="56"/>
      <c r="AQ485" s="55"/>
    </row>
    <row r="486">
      <c r="B486" s="55"/>
      <c r="G486" s="56"/>
      <c r="J486" s="55"/>
      <c r="O486" s="56"/>
      <c r="AQ486" s="55"/>
    </row>
    <row r="487">
      <c r="B487" s="55"/>
      <c r="G487" s="56"/>
      <c r="J487" s="55"/>
      <c r="O487" s="56"/>
      <c r="AQ487" s="55"/>
    </row>
    <row r="488">
      <c r="B488" s="55"/>
      <c r="G488" s="56"/>
      <c r="J488" s="55"/>
      <c r="O488" s="56"/>
      <c r="AQ488" s="55"/>
    </row>
    <row r="489">
      <c r="B489" s="55"/>
      <c r="G489" s="56"/>
      <c r="J489" s="55"/>
      <c r="O489" s="56"/>
      <c r="AQ489" s="55"/>
    </row>
    <row r="490">
      <c r="B490" s="55"/>
      <c r="G490" s="56"/>
      <c r="J490" s="55"/>
      <c r="O490" s="56"/>
      <c r="AQ490" s="55"/>
    </row>
    <row r="491">
      <c r="B491" s="55"/>
      <c r="G491" s="56"/>
      <c r="J491" s="55"/>
      <c r="O491" s="56"/>
      <c r="AQ491" s="55"/>
    </row>
    <row r="492">
      <c r="B492" s="55"/>
      <c r="G492" s="56"/>
      <c r="J492" s="55"/>
      <c r="O492" s="56"/>
      <c r="AQ492" s="55"/>
    </row>
    <row r="493">
      <c r="B493" s="55"/>
      <c r="G493" s="56"/>
      <c r="J493" s="55"/>
      <c r="O493" s="56"/>
      <c r="AQ493" s="55"/>
    </row>
    <row r="494">
      <c r="B494" s="55"/>
      <c r="G494" s="56"/>
      <c r="J494" s="55"/>
      <c r="O494" s="56"/>
      <c r="AQ494" s="55"/>
    </row>
    <row r="495">
      <c r="B495" s="55"/>
      <c r="G495" s="56"/>
      <c r="J495" s="55"/>
      <c r="O495" s="56"/>
      <c r="AQ495" s="55"/>
    </row>
    <row r="496">
      <c r="B496" s="55"/>
      <c r="G496" s="56"/>
      <c r="J496" s="55"/>
      <c r="O496" s="56"/>
      <c r="AQ496" s="55"/>
    </row>
    <row r="497">
      <c r="B497" s="55"/>
      <c r="G497" s="56"/>
      <c r="J497" s="55"/>
      <c r="O497" s="56"/>
      <c r="AQ497" s="55"/>
    </row>
    <row r="498">
      <c r="B498" s="55"/>
      <c r="G498" s="56"/>
      <c r="J498" s="55"/>
      <c r="O498" s="56"/>
      <c r="AQ498" s="55"/>
    </row>
    <row r="499">
      <c r="B499" s="55"/>
      <c r="G499" s="56"/>
      <c r="J499" s="55"/>
      <c r="O499" s="56"/>
      <c r="AQ499" s="55"/>
    </row>
    <row r="500">
      <c r="B500" s="55"/>
      <c r="G500" s="56"/>
      <c r="J500" s="55"/>
      <c r="O500" s="56"/>
      <c r="AQ500" s="55"/>
    </row>
    <row r="501">
      <c r="B501" s="55"/>
      <c r="G501" s="56"/>
      <c r="J501" s="55"/>
      <c r="O501" s="56"/>
      <c r="AQ501" s="55"/>
    </row>
    <row r="502">
      <c r="B502" s="55"/>
      <c r="G502" s="56"/>
      <c r="J502" s="55"/>
      <c r="O502" s="56"/>
      <c r="AQ502" s="55"/>
    </row>
    <row r="503">
      <c r="B503" s="55"/>
      <c r="G503" s="56"/>
      <c r="J503" s="55"/>
      <c r="O503" s="56"/>
      <c r="AQ503" s="55"/>
    </row>
    <row r="504">
      <c r="B504" s="55"/>
      <c r="G504" s="56"/>
      <c r="J504" s="55"/>
      <c r="O504" s="56"/>
      <c r="AQ504" s="55"/>
    </row>
    <row r="505">
      <c r="B505" s="55"/>
      <c r="G505" s="56"/>
      <c r="J505" s="55"/>
      <c r="O505" s="56"/>
      <c r="AQ505" s="55"/>
    </row>
    <row r="506">
      <c r="B506" s="55"/>
      <c r="G506" s="56"/>
      <c r="J506" s="55"/>
      <c r="O506" s="56"/>
      <c r="AQ506" s="55"/>
    </row>
    <row r="507">
      <c r="B507" s="55"/>
      <c r="G507" s="56"/>
      <c r="J507" s="55"/>
      <c r="O507" s="56"/>
      <c r="AQ507" s="55"/>
    </row>
    <row r="508">
      <c r="B508" s="55"/>
      <c r="G508" s="56"/>
      <c r="J508" s="55"/>
      <c r="O508" s="56"/>
      <c r="AQ508" s="55"/>
    </row>
    <row r="509">
      <c r="B509" s="55"/>
      <c r="G509" s="56"/>
      <c r="J509" s="55"/>
      <c r="O509" s="56"/>
      <c r="AQ509" s="55"/>
    </row>
    <row r="510">
      <c r="B510" s="55"/>
      <c r="G510" s="56"/>
      <c r="J510" s="55"/>
      <c r="O510" s="56"/>
      <c r="AQ510" s="55"/>
    </row>
    <row r="511">
      <c r="B511" s="55"/>
      <c r="G511" s="56"/>
      <c r="J511" s="55"/>
      <c r="O511" s="56"/>
      <c r="AQ511" s="55"/>
    </row>
    <row r="512">
      <c r="B512" s="55"/>
      <c r="G512" s="56"/>
      <c r="J512" s="55"/>
      <c r="O512" s="56"/>
      <c r="AQ512" s="55"/>
    </row>
    <row r="513">
      <c r="B513" s="55"/>
      <c r="G513" s="56"/>
      <c r="J513" s="55"/>
      <c r="O513" s="56"/>
      <c r="AQ513" s="55"/>
    </row>
    <row r="514">
      <c r="B514" s="55"/>
      <c r="G514" s="56"/>
      <c r="J514" s="55"/>
      <c r="O514" s="56"/>
      <c r="AQ514" s="55"/>
    </row>
    <row r="515">
      <c r="B515" s="55"/>
      <c r="G515" s="56"/>
      <c r="J515" s="55"/>
      <c r="O515" s="56"/>
      <c r="AQ515" s="55"/>
    </row>
    <row r="516">
      <c r="B516" s="55"/>
      <c r="G516" s="56"/>
      <c r="J516" s="55"/>
      <c r="O516" s="56"/>
      <c r="AQ516" s="55"/>
    </row>
    <row r="517">
      <c r="B517" s="55"/>
      <c r="G517" s="56"/>
      <c r="J517" s="55"/>
      <c r="O517" s="56"/>
      <c r="AQ517" s="55"/>
    </row>
    <row r="518">
      <c r="B518" s="55"/>
      <c r="G518" s="56"/>
      <c r="J518" s="55"/>
      <c r="O518" s="56"/>
      <c r="AQ518" s="55"/>
    </row>
    <row r="519">
      <c r="B519" s="55"/>
      <c r="G519" s="56"/>
      <c r="J519" s="55"/>
      <c r="O519" s="56"/>
    </row>
    <row r="520">
      <c r="B520" s="55"/>
      <c r="G520" s="56"/>
      <c r="J520" s="55"/>
      <c r="O520" s="56"/>
    </row>
    <row r="521">
      <c r="B521" s="55"/>
      <c r="G521" s="56"/>
      <c r="J521" s="55"/>
      <c r="O521" s="56"/>
    </row>
    <row r="522">
      <c r="B522" s="55"/>
      <c r="G522" s="56"/>
      <c r="J522" s="55"/>
      <c r="O522" s="56"/>
    </row>
    <row r="523">
      <c r="B523" s="55"/>
      <c r="G523" s="56"/>
      <c r="J523" s="55"/>
      <c r="O523" s="56"/>
    </row>
    <row r="524">
      <c r="B524" s="55"/>
      <c r="G524" s="56"/>
      <c r="J524" s="55"/>
      <c r="O524" s="56"/>
    </row>
    <row r="525">
      <c r="B525" s="55"/>
      <c r="G525" s="56"/>
      <c r="J525" s="55"/>
      <c r="O525" s="56"/>
    </row>
    <row r="526">
      <c r="B526" s="55"/>
      <c r="G526" s="56"/>
      <c r="J526" s="55"/>
      <c r="O526" s="56"/>
    </row>
    <row r="527">
      <c r="B527" s="55"/>
      <c r="G527" s="56"/>
      <c r="J527" s="55"/>
      <c r="O527" s="56"/>
    </row>
    <row r="528">
      <c r="B528" s="55"/>
      <c r="G528" s="56"/>
      <c r="J528" s="55"/>
      <c r="O528" s="56"/>
    </row>
    <row r="529">
      <c r="B529" s="55"/>
      <c r="G529" s="56"/>
      <c r="J529" s="55"/>
      <c r="O529" s="56"/>
    </row>
    <row r="530">
      <c r="B530" s="55"/>
      <c r="G530" s="56"/>
      <c r="J530" s="55"/>
      <c r="O530" s="56"/>
    </row>
    <row r="531">
      <c r="B531" s="55"/>
      <c r="G531" s="56"/>
      <c r="J531" s="55"/>
      <c r="O531" s="56"/>
    </row>
    <row r="532">
      <c r="B532" s="55"/>
      <c r="G532" s="56"/>
      <c r="J532" s="55"/>
      <c r="O532" s="56"/>
    </row>
    <row r="533">
      <c r="B533" s="55"/>
      <c r="G533" s="56"/>
      <c r="J533" s="55"/>
      <c r="O533" s="56"/>
    </row>
    <row r="534">
      <c r="B534" s="55"/>
      <c r="G534" s="56"/>
      <c r="J534" s="55"/>
      <c r="O534" s="56"/>
    </row>
    <row r="535">
      <c r="B535" s="55"/>
      <c r="G535" s="56"/>
      <c r="J535" s="55"/>
      <c r="O535" s="56"/>
    </row>
    <row r="536">
      <c r="B536" s="55"/>
      <c r="G536" s="56"/>
      <c r="J536" s="55"/>
      <c r="O536" s="56"/>
    </row>
    <row r="537">
      <c r="B537" s="55"/>
      <c r="G537" s="56"/>
      <c r="J537" s="55"/>
      <c r="O537" s="56"/>
    </row>
    <row r="538">
      <c r="B538" s="55"/>
      <c r="G538" s="56"/>
      <c r="J538" s="55"/>
      <c r="O538" s="56"/>
    </row>
    <row r="539">
      <c r="B539" s="55"/>
      <c r="G539" s="56"/>
      <c r="J539" s="55"/>
      <c r="O539" s="56"/>
    </row>
    <row r="540">
      <c r="B540" s="55"/>
      <c r="G540" s="56"/>
      <c r="J540" s="55"/>
      <c r="O540" s="56"/>
    </row>
    <row r="541">
      <c r="B541" s="55"/>
      <c r="G541" s="56"/>
      <c r="J541" s="55"/>
      <c r="O541" s="56"/>
    </row>
    <row r="542">
      <c r="B542" s="55"/>
      <c r="G542" s="56"/>
      <c r="J542" s="55"/>
      <c r="O542" s="56"/>
    </row>
    <row r="543">
      <c r="B543" s="55"/>
      <c r="G543" s="56"/>
      <c r="J543" s="55"/>
      <c r="O543" s="56"/>
    </row>
    <row r="544">
      <c r="B544" s="55"/>
      <c r="G544" s="56"/>
      <c r="J544" s="55"/>
      <c r="O544" s="56"/>
    </row>
    <row r="545">
      <c r="B545" s="55"/>
      <c r="G545" s="56"/>
      <c r="J545" s="55"/>
      <c r="O545" s="56"/>
    </row>
    <row r="546">
      <c r="B546" s="55"/>
      <c r="G546" s="56"/>
      <c r="J546" s="55"/>
      <c r="O546" s="56"/>
    </row>
    <row r="547">
      <c r="B547" s="55"/>
      <c r="G547" s="56"/>
      <c r="J547" s="55"/>
      <c r="O547" s="56"/>
    </row>
    <row r="548">
      <c r="B548" s="55"/>
      <c r="G548" s="56"/>
      <c r="J548" s="55"/>
      <c r="O548" s="56"/>
    </row>
    <row r="549">
      <c r="B549" s="55"/>
      <c r="G549" s="56"/>
      <c r="J549" s="55"/>
      <c r="O549" s="56"/>
    </row>
    <row r="550">
      <c r="B550" s="55"/>
      <c r="G550" s="56"/>
      <c r="J550" s="55"/>
      <c r="O550" s="56"/>
    </row>
    <row r="551">
      <c r="B551" s="55"/>
      <c r="G551" s="56"/>
      <c r="J551" s="55"/>
      <c r="O551" s="56"/>
    </row>
    <row r="552">
      <c r="B552" s="55"/>
      <c r="G552" s="56"/>
      <c r="J552" s="55"/>
      <c r="O552" s="56"/>
    </row>
    <row r="553">
      <c r="B553" s="55"/>
      <c r="G553" s="56"/>
      <c r="J553" s="55"/>
      <c r="O553" s="56"/>
    </row>
    <row r="554">
      <c r="B554" s="55"/>
      <c r="G554" s="56"/>
      <c r="J554" s="55"/>
      <c r="O554" s="56"/>
    </row>
    <row r="555">
      <c r="B555" s="55"/>
      <c r="G555" s="56"/>
      <c r="J555" s="55"/>
      <c r="O555" s="56"/>
    </row>
    <row r="556">
      <c r="B556" s="55"/>
      <c r="G556" s="56"/>
      <c r="J556" s="55"/>
      <c r="O556" s="56"/>
    </row>
    <row r="557">
      <c r="B557" s="55"/>
      <c r="G557" s="56"/>
      <c r="J557" s="55"/>
      <c r="O557" s="56"/>
    </row>
    <row r="558">
      <c r="B558" s="55"/>
      <c r="G558" s="56"/>
      <c r="J558" s="55"/>
      <c r="O558" s="56"/>
    </row>
    <row r="559">
      <c r="B559" s="55"/>
      <c r="G559" s="56"/>
      <c r="J559" s="55"/>
      <c r="O559" s="56"/>
    </row>
    <row r="560">
      <c r="B560" s="55"/>
      <c r="G560" s="56"/>
      <c r="J560" s="55"/>
      <c r="O560" s="56"/>
    </row>
    <row r="561">
      <c r="B561" s="55"/>
      <c r="G561" s="56"/>
      <c r="J561" s="55"/>
      <c r="O561" s="56"/>
    </row>
    <row r="562">
      <c r="B562" s="55"/>
      <c r="G562" s="56"/>
      <c r="J562" s="55"/>
      <c r="O562" s="56"/>
    </row>
    <row r="563">
      <c r="B563" s="55"/>
      <c r="G563" s="56"/>
      <c r="J563" s="55"/>
      <c r="O563" s="56"/>
    </row>
    <row r="564">
      <c r="B564" s="55"/>
      <c r="G564" s="56"/>
      <c r="J564" s="55"/>
      <c r="O564" s="56"/>
    </row>
    <row r="565">
      <c r="B565" s="55"/>
      <c r="G565" s="56"/>
      <c r="J565" s="55"/>
      <c r="O565" s="56"/>
    </row>
    <row r="566">
      <c r="B566" s="55"/>
      <c r="G566" s="56"/>
      <c r="J566" s="55"/>
      <c r="O566" s="56"/>
    </row>
    <row r="567">
      <c r="B567" s="55"/>
      <c r="G567" s="56"/>
      <c r="J567" s="55"/>
      <c r="O567" s="56"/>
    </row>
    <row r="568">
      <c r="B568" s="55"/>
      <c r="G568" s="56"/>
      <c r="J568" s="55"/>
      <c r="O568" s="56"/>
    </row>
    <row r="569">
      <c r="B569" s="55"/>
      <c r="G569" s="56"/>
      <c r="J569" s="55"/>
      <c r="O569" s="56"/>
    </row>
    <row r="570">
      <c r="B570" s="55"/>
      <c r="G570" s="56"/>
      <c r="J570" s="55"/>
      <c r="O570" s="56"/>
    </row>
    <row r="571">
      <c r="B571" s="55"/>
      <c r="G571" s="56"/>
      <c r="J571" s="55"/>
      <c r="O571" s="56"/>
    </row>
    <row r="572">
      <c r="B572" s="55"/>
      <c r="G572" s="56"/>
      <c r="J572" s="55"/>
      <c r="O572" s="56"/>
    </row>
    <row r="573">
      <c r="B573" s="55"/>
      <c r="G573" s="56"/>
      <c r="J573" s="55"/>
      <c r="O573" s="56"/>
    </row>
    <row r="574">
      <c r="B574" s="55"/>
      <c r="G574" s="56"/>
      <c r="J574" s="55"/>
      <c r="O574" s="56"/>
    </row>
    <row r="575">
      <c r="B575" s="55"/>
      <c r="G575" s="56"/>
      <c r="J575" s="55"/>
      <c r="O575" s="56"/>
    </row>
    <row r="576">
      <c r="B576" s="55"/>
      <c r="G576" s="56"/>
      <c r="J576" s="55"/>
      <c r="O576" s="56"/>
    </row>
    <row r="577">
      <c r="B577" s="55"/>
      <c r="G577" s="56"/>
      <c r="J577" s="55"/>
      <c r="O577" s="56"/>
    </row>
    <row r="578">
      <c r="B578" s="55"/>
      <c r="G578" s="56"/>
      <c r="J578" s="55"/>
      <c r="O578" s="56"/>
    </row>
    <row r="579">
      <c r="B579" s="55"/>
      <c r="G579" s="56"/>
      <c r="J579" s="55"/>
      <c r="O579" s="56"/>
    </row>
    <row r="580">
      <c r="B580" s="55"/>
      <c r="G580" s="56"/>
      <c r="J580" s="55"/>
      <c r="O580" s="56"/>
    </row>
    <row r="581">
      <c r="B581" s="55"/>
      <c r="G581" s="56"/>
      <c r="J581" s="55"/>
      <c r="O581" s="56"/>
    </row>
    <row r="582">
      <c r="B582" s="55"/>
      <c r="G582" s="56"/>
      <c r="J582" s="55"/>
      <c r="O582" s="56"/>
    </row>
    <row r="583">
      <c r="B583" s="55"/>
      <c r="G583" s="56"/>
      <c r="J583" s="55"/>
      <c r="O583" s="56"/>
    </row>
    <row r="584">
      <c r="B584" s="55"/>
      <c r="G584" s="56"/>
      <c r="J584" s="55"/>
      <c r="O584" s="56"/>
    </row>
    <row r="585">
      <c r="B585" s="55"/>
      <c r="G585" s="56"/>
      <c r="J585" s="55"/>
      <c r="O585" s="56"/>
    </row>
    <row r="586">
      <c r="B586" s="55"/>
      <c r="G586" s="56"/>
      <c r="J586" s="55"/>
      <c r="O586" s="56"/>
    </row>
    <row r="587">
      <c r="B587" s="55"/>
      <c r="G587" s="56"/>
      <c r="J587" s="55"/>
      <c r="O587" s="56"/>
    </row>
    <row r="588">
      <c r="B588" s="55"/>
      <c r="G588" s="56"/>
      <c r="J588" s="55"/>
      <c r="O588" s="56"/>
    </row>
    <row r="589">
      <c r="B589" s="55"/>
      <c r="G589" s="56"/>
      <c r="J589" s="55"/>
      <c r="O589" s="56"/>
    </row>
    <row r="590">
      <c r="B590" s="55"/>
      <c r="G590" s="56"/>
      <c r="J590" s="55"/>
      <c r="O590" s="56"/>
    </row>
    <row r="591">
      <c r="B591" s="55"/>
      <c r="G591" s="56"/>
      <c r="J591" s="55"/>
      <c r="O591" s="56"/>
    </row>
    <row r="592">
      <c r="B592" s="55"/>
      <c r="G592" s="56"/>
      <c r="J592" s="55"/>
      <c r="O592" s="56"/>
    </row>
    <row r="593">
      <c r="B593" s="55"/>
      <c r="G593" s="56"/>
      <c r="J593" s="55"/>
      <c r="O593" s="56"/>
    </row>
    <row r="594">
      <c r="B594" s="55"/>
      <c r="G594" s="56"/>
      <c r="J594" s="55"/>
      <c r="O594" s="56"/>
    </row>
    <row r="595">
      <c r="B595" s="55"/>
      <c r="G595" s="56"/>
      <c r="J595" s="55"/>
      <c r="O595" s="56"/>
    </row>
    <row r="596">
      <c r="B596" s="55"/>
      <c r="G596" s="56"/>
      <c r="J596" s="55"/>
      <c r="O596" s="56"/>
    </row>
    <row r="597">
      <c r="B597" s="55"/>
      <c r="G597" s="56"/>
      <c r="J597" s="55"/>
      <c r="O597" s="56"/>
    </row>
    <row r="598">
      <c r="B598" s="55"/>
      <c r="G598" s="56"/>
      <c r="J598" s="55"/>
      <c r="O598" s="56"/>
    </row>
    <row r="599">
      <c r="B599" s="55"/>
      <c r="G599" s="56"/>
      <c r="J599" s="55"/>
      <c r="O599" s="56"/>
    </row>
    <row r="600">
      <c r="B600" s="55"/>
      <c r="G600" s="56"/>
      <c r="J600" s="55"/>
      <c r="O600" s="56"/>
    </row>
    <row r="601">
      <c r="B601" s="55"/>
      <c r="G601" s="56"/>
      <c r="J601" s="55"/>
      <c r="O601" s="56"/>
    </row>
    <row r="602">
      <c r="B602" s="55"/>
      <c r="G602" s="56"/>
      <c r="J602" s="55"/>
      <c r="O602" s="56"/>
    </row>
    <row r="603">
      <c r="B603" s="55"/>
      <c r="G603" s="56"/>
      <c r="J603" s="55"/>
      <c r="O603" s="56"/>
    </row>
    <row r="604">
      <c r="B604" s="55"/>
      <c r="G604" s="56"/>
      <c r="J604" s="55"/>
      <c r="O604" s="56"/>
    </row>
    <row r="605">
      <c r="B605" s="55"/>
      <c r="G605" s="56"/>
      <c r="J605" s="55"/>
      <c r="O605" s="56"/>
    </row>
    <row r="606">
      <c r="B606" s="55"/>
      <c r="G606" s="56"/>
      <c r="J606" s="55"/>
      <c r="O606" s="56"/>
    </row>
    <row r="607">
      <c r="B607" s="55"/>
      <c r="G607" s="56"/>
      <c r="J607" s="55"/>
      <c r="O607" s="56"/>
    </row>
    <row r="608">
      <c r="B608" s="55"/>
      <c r="G608" s="56"/>
      <c r="J608" s="55"/>
      <c r="O608" s="56"/>
    </row>
    <row r="609">
      <c r="B609" s="55"/>
      <c r="G609" s="56"/>
      <c r="J609" s="55"/>
      <c r="O609" s="56"/>
    </row>
    <row r="610">
      <c r="B610" s="55"/>
      <c r="G610" s="56"/>
      <c r="J610" s="55"/>
      <c r="O610" s="56"/>
    </row>
    <row r="611">
      <c r="B611" s="55"/>
      <c r="G611" s="56"/>
      <c r="J611" s="55"/>
      <c r="O611" s="56"/>
    </row>
    <row r="612">
      <c r="B612" s="55"/>
      <c r="G612" s="56"/>
      <c r="J612" s="55"/>
      <c r="O612" s="56"/>
    </row>
    <row r="613">
      <c r="B613" s="55"/>
      <c r="G613" s="56"/>
      <c r="J613" s="55"/>
      <c r="O613" s="56"/>
    </row>
    <row r="614">
      <c r="B614" s="55"/>
      <c r="G614" s="56"/>
      <c r="J614" s="55"/>
      <c r="O614" s="56"/>
    </row>
    <row r="615">
      <c r="B615" s="55"/>
      <c r="G615" s="56"/>
      <c r="J615" s="55"/>
      <c r="O615" s="56"/>
    </row>
    <row r="616">
      <c r="B616" s="55"/>
      <c r="G616" s="56"/>
      <c r="J616" s="55"/>
      <c r="O616" s="56"/>
    </row>
    <row r="617">
      <c r="B617" s="55"/>
      <c r="G617" s="56"/>
      <c r="J617" s="55"/>
      <c r="O617" s="56"/>
    </row>
    <row r="618">
      <c r="B618" s="55"/>
      <c r="G618" s="56"/>
      <c r="J618" s="55"/>
      <c r="O618" s="56"/>
    </row>
    <row r="619">
      <c r="B619" s="55"/>
      <c r="G619" s="56"/>
      <c r="J619" s="55"/>
      <c r="O619" s="56"/>
    </row>
    <row r="620">
      <c r="B620" s="55"/>
      <c r="G620" s="56"/>
      <c r="J620" s="55"/>
      <c r="O620" s="56"/>
    </row>
    <row r="621">
      <c r="B621" s="55"/>
      <c r="G621" s="56"/>
      <c r="J621" s="55"/>
      <c r="O621" s="56"/>
    </row>
    <row r="622">
      <c r="B622" s="55"/>
      <c r="G622" s="56"/>
      <c r="J622" s="55"/>
      <c r="O622" s="56"/>
    </row>
    <row r="623">
      <c r="B623" s="55"/>
      <c r="G623" s="56"/>
      <c r="J623" s="55"/>
      <c r="O623" s="56"/>
    </row>
    <row r="624">
      <c r="B624" s="55"/>
      <c r="G624" s="56"/>
      <c r="J624" s="55"/>
      <c r="O624" s="56"/>
    </row>
    <row r="625">
      <c r="B625" s="55"/>
      <c r="G625" s="56"/>
      <c r="J625" s="55"/>
      <c r="O625" s="56"/>
    </row>
    <row r="626">
      <c r="B626" s="55"/>
      <c r="G626" s="56"/>
      <c r="J626" s="55"/>
      <c r="O626" s="56"/>
    </row>
    <row r="627">
      <c r="B627" s="55"/>
      <c r="G627" s="56"/>
      <c r="J627" s="55"/>
      <c r="O627" s="56"/>
    </row>
    <row r="628">
      <c r="B628" s="55"/>
      <c r="G628" s="56"/>
      <c r="J628" s="55"/>
      <c r="O628" s="56"/>
    </row>
    <row r="629">
      <c r="B629" s="55"/>
      <c r="G629" s="56"/>
      <c r="J629" s="55"/>
      <c r="O629" s="56"/>
    </row>
    <row r="630">
      <c r="B630" s="55"/>
      <c r="G630" s="56"/>
      <c r="J630" s="55"/>
      <c r="O630" s="56"/>
    </row>
    <row r="631">
      <c r="B631" s="55"/>
      <c r="G631" s="56"/>
      <c r="J631" s="55"/>
      <c r="O631" s="56"/>
    </row>
    <row r="632">
      <c r="B632" s="55"/>
      <c r="G632" s="56"/>
      <c r="J632" s="55"/>
      <c r="O632" s="56"/>
    </row>
    <row r="633">
      <c r="B633" s="55"/>
      <c r="G633" s="56"/>
      <c r="J633" s="55"/>
      <c r="O633" s="56"/>
    </row>
    <row r="634">
      <c r="B634" s="55"/>
      <c r="G634" s="56"/>
      <c r="J634" s="55"/>
      <c r="O634" s="56"/>
    </row>
    <row r="635">
      <c r="B635" s="55"/>
      <c r="G635" s="56"/>
      <c r="J635" s="55"/>
      <c r="O635" s="56"/>
    </row>
    <row r="636">
      <c r="B636" s="55"/>
      <c r="G636" s="56"/>
      <c r="J636" s="55"/>
      <c r="O636" s="56"/>
    </row>
    <row r="637">
      <c r="B637" s="55"/>
      <c r="G637" s="56"/>
      <c r="J637" s="55"/>
      <c r="O637" s="56"/>
    </row>
    <row r="638">
      <c r="B638" s="55"/>
      <c r="G638" s="56"/>
      <c r="J638" s="55"/>
      <c r="O638" s="56"/>
    </row>
    <row r="639">
      <c r="B639" s="55"/>
      <c r="G639" s="56"/>
      <c r="J639" s="55"/>
      <c r="O639" s="56"/>
    </row>
    <row r="640">
      <c r="B640" s="55"/>
      <c r="G640" s="56"/>
      <c r="J640" s="55"/>
      <c r="O640" s="56"/>
    </row>
    <row r="641">
      <c r="B641" s="55"/>
      <c r="G641" s="56"/>
      <c r="J641" s="55"/>
      <c r="O641" s="56"/>
    </row>
    <row r="642">
      <c r="B642" s="55"/>
      <c r="G642" s="56"/>
      <c r="J642" s="55"/>
      <c r="O642" s="56"/>
    </row>
    <row r="643">
      <c r="B643" s="55"/>
      <c r="G643" s="56"/>
      <c r="J643" s="55"/>
      <c r="O643" s="56"/>
    </row>
    <row r="644">
      <c r="B644" s="55"/>
      <c r="G644" s="56"/>
      <c r="J644" s="55"/>
      <c r="O644" s="56"/>
    </row>
    <row r="645">
      <c r="B645" s="55"/>
      <c r="G645" s="56"/>
      <c r="J645" s="55"/>
      <c r="O645" s="56"/>
    </row>
    <row r="646">
      <c r="B646" s="55"/>
      <c r="G646" s="56"/>
      <c r="J646" s="55"/>
      <c r="O646" s="56"/>
    </row>
    <row r="647">
      <c r="B647" s="55"/>
      <c r="G647" s="56"/>
      <c r="J647" s="55"/>
      <c r="O647" s="56"/>
    </row>
    <row r="648">
      <c r="B648" s="55"/>
      <c r="G648" s="56"/>
      <c r="J648" s="55"/>
      <c r="O648" s="56"/>
    </row>
    <row r="649">
      <c r="B649" s="55"/>
      <c r="G649" s="56"/>
      <c r="J649" s="55"/>
      <c r="O649" s="56"/>
    </row>
    <row r="650">
      <c r="B650" s="55"/>
      <c r="G650" s="56"/>
      <c r="J650" s="55"/>
      <c r="O650" s="56"/>
    </row>
    <row r="651">
      <c r="B651" s="55"/>
      <c r="G651" s="56"/>
      <c r="J651" s="55"/>
      <c r="O651" s="56"/>
    </row>
    <row r="652">
      <c r="B652" s="55"/>
      <c r="G652" s="56"/>
      <c r="J652" s="55"/>
      <c r="O652" s="56"/>
    </row>
    <row r="653">
      <c r="B653" s="55"/>
      <c r="G653" s="56"/>
      <c r="J653" s="55"/>
      <c r="O653" s="56"/>
    </row>
    <row r="654">
      <c r="B654" s="55"/>
      <c r="G654" s="56"/>
      <c r="J654" s="55"/>
      <c r="O654" s="56"/>
    </row>
    <row r="655">
      <c r="B655" s="55"/>
      <c r="G655" s="56"/>
      <c r="J655" s="55"/>
      <c r="O655" s="56"/>
    </row>
    <row r="656">
      <c r="B656" s="55"/>
      <c r="G656" s="56"/>
      <c r="J656" s="55"/>
      <c r="O656" s="56"/>
    </row>
    <row r="657">
      <c r="B657" s="55"/>
      <c r="G657" s="56"/>
      <c r="J657" s="55"/>
      <c r="O657" s="56"/>
    </row>
    <row r="658">
      <c r="B658" s="55"/>
      <c r="G658" s="56"/>
      <c r="J658" s="55"/>
      <c r="O658" s="56"/>
    </row>
    <row r="659">
      <c r="B659" s="55"/>
      <c r="G659" s="56"/>
      <c r="J659" s="55"/>
      <c r="O659" s="56"/>
    </row>
    <row r="660">
      <c r="B660" s="55"/>
      <c r="G660" s="56"/>
      <c r="J660" s="55"/>
      <c r="O660" s="56"/>
    </row>
    <row r="661">
      <c r="B661" s="55"/>
      <c r="G661" s="56"/>
      <c r="J661" s="55"/>
    </row>
    <row r="662">
      <c r="B662" s="55"/>
      <c r="G662" s="56"/>
    </row>
    <row r="663">
      <c r="B663" s="55"/>
      <c r="G663" s="56"/>
    </row>
    <row r="664">
      <c r="B664" s="55"/>
      <c r="G664" s="56"/>
    </row>
    <row r="665">
      <c r="B665" s="55"/>
      <c r="G665" s="56"/>
    </row>
    <row r="666">
      <c r="B666" s="55"/>
      <c r="G666" s="56"/>
    </row>
    <row r="667">
      <c r="B667" s="55"/>
      <c r="G667" s="56"/>
    </row>
    <row r="668">
      <c r="B668" s="55"/>
      <c r="G668" s="56"/>
    </row>
    <row r="669">
      <c r="B669" s="55"/>
      <c r="G669" s="56"/>
    </row>
    <row r="670">
      <c r="B670" s="55"/>
      <c r="G670" s="56"/>
    </row>
    <row r="671">
      <c r="B671" s="55"/>
      <c r="G671" s="56"/>
    </row>
    <row r="672">
      <c r="B672" s="55"/>
      <c r="G672" s="56"/>
    </row>
    <row r="673">
      <c r="B673" s="55"/>
      <c r="G673" s="56"/>
    </row>
    <row r="674">
      <c r="B674" s="55"/>
      <c r="G674" s="56"/>
    </row>
    <row r="675">
      <c r="B675" s="55"/>
      <c r="G675" s="56"/>
    </row>
    <row r="676">
      <c r="B676" s="55"/>
      <c r="G676" s="56"/>
    </row>
    <row r="677">
      <c r="B677" s="55"/>
      <c r="G677" s="56"/>
    </row>
    <row r="678">
      <c r="B678" s="55"/>
      <c r="G678" s="56"/>
    </row>
    <row r="679">
      <c r="B679" s="55"/>
      <c r="G679" s="56"/>
    </row>
    <row r="680">
      <c r="B680" s="55"/>
      <c r="G680" s="56"/>
    </row>
    <row r="681">
      <c r="B681" s="55"/>
      <c r="G681" s="56"/>
    </row>
    <row r="682">
      <c r="B682" s="55"/>
      <c r="G682" s="56"/>
    </row>
    <row r="683">
      <c r="B683" s="55"/>
      <c r="G683" s="56"/>
    </row>
    <row r="684">
      <c r="B684" s="55"/>
      <c r="G684" s="56"/>
    </row>
    <row r="685">
      <c r="B685" s="55"/>
      <c r="G685" s="56"/>
    </row>
    <row r="686">
      <c r="B686" s="55"/>
      <c r="G686" s="56"/>
    </row>
    <row r="687">
      <c r="B687" s="55"/>
      <c r="G687" s="56"/>
    </row>
    <row r="688">
      <c r="B688" s="55"/>
      <c r="G688" s="56"/>
    </row>
    <row r="689">
      <c r="B689" s="55"/>
      <c r="G689" s="56"/>
    </row>
    <row r="690">
      <c r="B690" s="55"/>
      <c r="G690" s="56"/>
    </row>
    <row r="691">
      <c r="B691" s="55"/>
      <c r="G691" s="56"/>
    </row>
    <row r="692">
      <c r="B692" s="55"/>
      <c r="G692" s="56"/>
    </row>
    <row r="693">
      <c r="B693" s="55"/>
      <c r="G693" s="56"/>
    </row>
    <row r="694">
      <c r="B694" s="55"/>
      <c r="G694" s="56"/>
    </row>
    <row r="695">
      <c r="B695" s="55"/>
      <c r="G695" s="56"/>
    </row>
    <row r="696">
      <c r="B696" s="55"/>
      <c r="G696" s="56"/>
    </row>
    <row r="697">
      <c r="B697" s="55"/>
      <c r="G697" s="56"/>
    </row>
    <row r="698">
      <c r="B698" s="55"/>
      <c r="G698" s="56"/>
    </row>
    <row r="699">
      <c r="B699" s="55"/>
      <c r="G699" s="56"/>
    </row>
    <row r="700">
      <c r="B700" s="55"/>
      <c r="G700" s="56"/>
    </row>
    <row r="701">
      <c r="B701" s="55"/>
      <c r="G701" s="56"/>
    </row>
    <row r="702">
      <c r="B702" s="55"/>
      <c r="G702" s="56"/>
    </row>
    <row r="703">
      <c r="B703" s="55"/>
      <c r="G703" s="56"/>
    </row>
    <row r="704">
      <c r="B704" s="55"/>
      <c r="G704" s="56"/>
    </row>
    <row r="705">
      <c r="B705" s="55"/>
      <c r="G705" s="56"/>
    </row>
    <row r="706">
      <c r="B706" s="55"/>
      <c r="G706" s="56"/>
    </row>
    <row r="707">
      <c r="B707" s="55"/>
      <c r="G707" s="56"/>
    </row>
    <row r="708">
      <c r="B708" s="55"/>
      <c r="G708" s="56"/>
    </row>
    <row r="709">
      <c r="B709" s="55"/>
      <c r="G709" s="56"/>
    </row>
    <row r="710">
      <c r="B710" s="55"/>
      <c r="G710" s="56"/>
    </row>
    <row r="711">
      <c r="B711" s="55"/>
      <c r="G711" s="56"/>
    </row>
    <row r="712">
      <c r="B712" s="55"/>
      <c r="G712" s="56"/>
    </row>
    <row r="713">
      <c r="B713" s="55"/>
      <c r="G713" s="56"/>
    </row>
    <row r="714">
      <c r="B714" s="55"/>
      <c r="G714" s="56"/>
    </row>
    <row r="715">
      <c r="B715" s="55"/>
      <c r="G715" s="56"/>
    </row>
    <row r="716">
      <c r="B716" s="55"/>
    </row>
    <row r="717">
      <c r="B717" s="55"/>
    </row>
    <row r="718">
      <c r="B718" s="55"/>
    </row>
    <row r="719">
      <c r="B719" s="55"/>
    </row>
    <row r="720">
      <c r="B720" s="55"/>
    </row>
    <row r="721">
      <c r="B721" s="55"/>
    </row>
    <row r="722">
      <c r="B722" s="55"/>
    </row>
    <row r="723">
      <c r="B723" s="55"/>
    </row>
    <row r="724">
      <c r="B724" s="55"/>
    </row>
    <row r="725">
      <c r="B725" s="55"/>
    </row>
    <row r="726">
      <c r="B726" s="55"/>
    </row>
    <row r="727">
      <c r="B727" s="55"/>
    </row>
    <row r="728">
      <c r="B728" s="55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>
      <c r="D51" s="80"/>
    </row>
    <row r="52">
      <c r="D52" s="80"/>
    </row>
    <row r="53">
      <c r="D53" s="80"/>
    </row>
    <row r="54">
      <c r="D54" s="80"/>
    </row>
    <row r="55">
      <c r="D55" s="80"/>
    </row>
    <row r="56">
      <c r="D56" s="80"/>
    </row>
    <row r="57">
      <c r="D57" s="80"/>
    </row>
    <row r="58">
      <c r="D58" s="80"/>
    </row>
    <row r="59">
      <c r="D59" s="80"/>
    </row>
    <row r="60">
      <c r="D60" s="80"/>
    </row>
    <row r="61">
      <c r="D61" s="80"/>
    </row>
    <row r="62">
      <c r="D62" s="80"/>
    </row>
    <row r="63">
      <c r="D63" s="80"/>
    </row>
    <row r="64">
      <c r="D64" s="80"/>
    </row>
    <row r="65">
      <c r="D65" s="80"/>
    </row>
    <row r="66">
      <c r="D66" s="80"/>
    </row>
    <row r="67">
      <c r="D67" s="80"/>
    </row>
    <row r="68">
      <c r="D68" s="80"/>
    </row>
    <row r="69">
      <c r="D69" s="80"/>
    </row>
    <row r="70">
      <c r="D70" s="80"/>
    </row>
    <row r="71">
      <c r="D71" s="80"/>
    </row>
    <row r="72">
      <c r="D72" s="80"/>
    </row>
    <row r="73">
      <c r="D73" s="80"/>
    </row>
    <row r="74">
      <c r="D74" s="80"/>
    </row>
    <row r="75">
      <c r="D75" s="80"/>
    </row>
    <row r="76">
      <c r="D76" s="80"/>
    </row>
    <row r="77">
      <c r="D77" s="80"/>
    </row>
    <row r="78">
      <c r="D78" s="80"/>
    </row>
    <row r="79">
      <c r="D79" s="80"/>
    </row>
    <row r="80">
      <c r="D80" s="80"/>
    </row>
    <row r="81">
      <c r="D81" s="80"/>
    </row>
    <row r="82">
      <c r="D82" s="80"/>
    </row>
    <row r="83">
      <c r="D83" s="80"/>
    </row>
    <row r="84">
      <c r="D84" s="80"/>
    </row>
    <row r="85">
      <c r="D85" s="80"/>
    </row>
    <row r="86">
      <c r="D86" s="80"/>
    </row>
    <row r="87">
      <c r="D87" s="80"/>
    </row>
    <row r="88">
      <c r="D88" s="80"/>
    </row>
    <row r="89">
      <c r="D89" s="80"/>
    </row>
    <row r="90">
      <c r="D90" s="80"/>
    </row>
    <row r="91">
      <c r="D91" s="80"/>
    </row>
    <row r="92">
      <c r="D92" s="80"/>
    </row>
    <row r="93">
      <c r="D93" s="80"/>
    </row>
    <row r="94">
      <c r="D94" s="80"/>
    </row>
    <row r="95">
      <c r="D95" s="80"/>
    </row>
    <row r="96">
      <c r="D96" s="80"/>
    </row>
    <row r="97">
      <c r="D97" s="80"/>
    </row>
    <row r="98">
      <c r="D98" s="80"/>
    </row>
    <row r="99">
      <c r="D99" s="80"/>
    </row>
    <row r="100">
      <c r="D100" s="80"/>
    </row>
    <row r="101">
      <c r="D101" s="80"/>
    </row>
    <row r="102">
      <c r="D102" s="80"/>
    </row>
    <row r="103">
      <c r="D103" s="80"/>
    </row>
    <row r="104">
      <c r="D104" s="80"/>
    </row>
    <row r="105">
      <c r="D105" s="80"/>
    </row>
    <row r="106">
      <c r="D106" s="80"/>
    </row>
    <row r="107">
      <c r="D107" s="80"/>
    </row>
    <row r="108">
      <c r="D108" s="80"/>
    </row>
    <row r="109">
      <c r="D109" s="80"/>
    </row>
    <row r="110">
      <c r="D110" s="80"/>
    </row>
    <row r="111">
      <c r="D111" s="80"/>
    </row>
    <row r="112">
      <c r="D112" s="80"/>
    </row>
    <row r="113">
      <c r="D113" s="80"/>
    </row>
    <row r="114">
      <c r="D114" s="80"/>
    </row>
    <row r="115">
      <c r="D115" s="80"/>
    </row>
    <row r="116">
      <c r="D116" s="80"/>
    </row>
    <row r="117">
      <c r="D117" s="80"/>
    </row>
    <row r="118">
      <c r="D118" s="80"/>
    </row>
    <row r="119">
      <c r="D119" s="80"/>
    </row>
    <row r="120">
      <c r="D120" s="80"/>
    </row>
    <row r="121">
      <c r="D121" s="80"/>
    </row>
    <row r="122">
      <c r="D122" s="80"/>
    </row>
    <row r="123">
      <c r="D123" s="80"/>
    </row>
    <row r="124">
      <c r="D124" s="80"/>
    </row>
    <row r="125">
      <c r="D125" s="80"/>
    </row>
    <row r="126">
      <c r="D126" s="80"/>
    </row>
    <row r="127">
      <c r="D127" s="80"/>
    </row>
    <row r="128">
      <c r="D128" s="80"/>
    </row>
    <row r="129">
      <c r="D129" s="80"/>
    </row>
    <row r="130">
      <c r="D130" s="80"/>
    </row>
    <row r="131">
      <c r="D131" s="80"/>
    </row>
    <row r="132">
      <c r="D132" s="80"/>
    </row>
    <row r="133">
      <c r="D133" s="80"/>
    </row>
    <row r="134">
      <c r="D134" s="80"/>
    </row>
    <row r="135">
      <c r="D135" s="80"/>
    </row>
    <row r="136">
      <c r="D136" s="80"/>
    </row>
    <row r="137">
      <c r="D137" s="80"/>
    </row>
    <row r="138">
      <c r="D138" s="80"/>
    </row>
    <row r="139">
      <c r="D139" s="80"/>
    </row>
    <row r="140">
      <c r="D140" s="80"/>
    </row>
    <row r="141">
      <c r="D141" s="80"/>
    </row>
    <row r="142">
      <c r="D142" s="80"/>
    </row>
    <row r="143">
      <c r="D143" s="80"/>
    </row>
    <row r="144">
      <c r="D144" s="80"/>
    </row>
    <row r="145">
      <c r="D145" s="80"/>
    </row>
    <row r="146">
      <c r="D146" s="80"/>
    </row>
    <row r="147">
      <c r="D147" s="80"/>
    </row>
    <row r="148">
      <c r="D148" s="80"/>
    </row>
    <row r="149">
      <c r="D149" s="80"/>
    </row>
    <row r="150">
      <c r="D150" s="80"/>
    </row>
    <row r="151">
      <c r="D151" s="80"/>
    </row>
    <row r="152">
      <c r="D152" s="80"/>
    </row>
    <row r="153">
      <c r="D153" s="80"/>
    </row>
    <row r="154">
      <c r="D154" s="80"/>
    </row>
    <row r="155">
      <c r="D155" s="80"/>
    </row>
    <row r="156">
      <c r="D156" s="80"/>
    </row>
    <row r="157">
      <c r="D157" s="80"/>
    </row>
    <row r="158">
      <c r="D158" s="80"/>
    </row>
    <row r="159">
      <c r="D159" s="80"/>
    </row>
    <row r="160">
      <c r="D160" s="80"/>
    </row>
    <row r="161">
      <c r="D161" s="80"/>
    </row>
    <row r="162">
      <c r="D162" s="80"/>
    </row>
    <row r="163">
      <c r="D163" s="80"/>
    </row>
    <row r="164">
      <c r="D164" s="80"/>
    </row>
    <row r="165">
      <c r="D165" s="80"/>
    </row>
    <row r="166">
      <c r="D166" s="80"/>
    </row>
    <row r="167">
      <c r="D167" s="80"/>
    </row>
    <row r="168">
      <c r="D168" s="80"/>
    </row>
    <row r="169">
      <c r="D169" s="80"/>
    </row>
    <row r="170">
      <c r="D170" s="80"/>
    </row>
    <row r="171">
      <c r="D171" s="80"/>
    </row>
    <row r="172">
      <c r="D172" s="80"/>
    </row>
    <row r="173">
      <c r="D173" s="80"/>
    </row>
    <row r="174">
      <c r="D174" s="80"/>
    </row>
    <row r="175">
      <c r="D175" s="80"/>
    </row>
    <row r="176">
      <c r="D176" s="80"/>
    </row>
    <row r="177">
      <c r="D177" s="80"/>
    </row>
    <row r="178">
      <c r="D178" s="80"/>
    </row>
    <row r="179">
      <c r="D179" s="80"/>
    </row>
    <row r="180">
      <c r="D180" s="80"/>
    </row>
    <row r="181">
      <c r="D181" s="80"/>
    </row>
    <row r="182">
      <c r="D182" s="80"/>
    </row>
    <row r="183">
      <c r="D183" s="80"/>
    </row>
    <row r="184">
      <c r="D184" s="80"/>
    </row>
    <row r="185">
      <c r="D185" s="80"/>
    </row>
    <row r="186">
      <c r="D186" s="80"/>
    </row>
    <row r="187">
      <c r="D187" s="80"/>
    </row>
    <row r="188">
      <c r="D188" s="80"/>
    </row>
    <row r="189">
      <c r="D189" s="80"/>
    </row>
    <row r="190">
      <c r="D190" s="80"/>
    </row>
    <row r="191">
      <c r="D191" s="80"/>
    </row>
    <row r="192">
      <c r="D192" s="80"/>
    </row>
    <row r="193">
      <c r="D193" s="80"/>
    </row>
    <row r="194">
      <c r="D194" s="80"/>
    </row>
    <row r="195">
      <c r="D195" s="80"/>
    </row>
    <row r="196">
      <c r="D196" s="80"/>
    </row>
    <row r="197">
      <c r="D197" s="80"/>
    </row>
    <row r="198">
      <c r="D198" s="80"/>
    </row>
    <row r="199">
      <c r="D199" s="80"/>
    </row>
    <row r="200">
      <c r="D200" s="80"/>
    </row>
    <row r="201">
      <c r="D201" s="80"/>
    </row>
    <row r="202">
      <c r="D202" s="80"/>
    </row>
    <row r="203">
      <c r="D203" s="80"/>
    </row>
    <row r="204">
      <c r="D204" s="80"/>
    </row>
    <row r="205">
      <c r="D205" s="80"/>
    </row>
    <row r="206">
      <c r="D206" s="80"/>
    </row>
    <row r="207">
      <c r="D207" s="80"/>
    </row>
    <row r="208">
      <c r="D208" s="80"/>
    </row>
    <row r="209">
      <c r="D209" s="80"/>
    </row>
    <row r="210">
      <c r="D210" s="80"/>
    </row>
    <row r="211">
      <c r="D211" s="80"/>
    </row>
    <row r="212">
      <c r="D212" s="80"/>
    </row>
    <row r="213">
      <c r="D213" s="80"/>
    </row>
    <row r="214">
      <c r="D214" s="80"/>
    </row>
    <row r="215">
      <c r="D215" s="80"/>
    </row>
    <row r="216">
      <c r="D216" s="80"/>
    </row>
    <row r="217">
      <c r="D217" s="80"/>
    </row>
    <row r="218">
      <c r="D218" s="80"/>
    </row>
    <row r="219">
      <c r="D219" s="80"/>
    </row>
    <row r="220">
      <c r="D220" s="80"/>
    </row>
    <row r="221">
      <c r="D221" s="80"/>
    </row>
    <row r="222">
      <c r="D222" s="80"/>
    </row>
    <row r="223">
      <c r="D223" s="80"/>
    </row>
    <row r="224">
      <c r="D224" s="80"/>
    </row>
    <row r="225">
      <c r="D225" s="80"/>
    </row>
    <row r="226">
      <c r="D226" s="80"/>
    </row>
    <row r="227">
      <c r="D227" s="80"/>
    </row>
    <row r="228">
      <c r="D228" s="80"/>
    </row>
    <row r="229">
      <c r="D229" s="80"/>
    </row>
    <row r="230">
      <c r="D230" s="80"/>
    </row>
    <row r="231">
      <c r="D231" s="80"/>
    </row>
    <row r="232">
      <c r="D232" s="80"/>
    </row>
    <row r="233">
      <c r="D233" s="80"/>
    </row>
    <row r="234">
      <c r="D234" s="80"/>
    </row>
    <row r="235">
      <c r="D235" s="80"/>
    </row>
    <row r="236">
      <c r="D236" s="80"/>
    </row>
    <row r="237">
      <c r="D237" s="80"/>
    </row>
    <row r="238">
      <c r="D238" s="80"/>
    </row>
    <row r="239">
      <c r="D239" s="80"/>
    </row>
    <row r="240">
      <c r="D240" s="80"/>
    </row>
    <row r="241">
      <c r="D241" s="80"/>
    </row>
    <row r="242">
      <c r="D242" s="80"/>
    </row>
    <row r="243">
      <c r="D243" s="80"/>
    </row>
    <row r="244">
      <c r="D244" s="80"/>
    </row>
    <row r="245">
      <c r="D245" s="80"/>
    </row>
    <row r="246">
      <c r="D246" s="80"/>
    </row>
    <row r="247">
      <c r="D247" s="80"/>
    </row>
    <row r="248">
      <c r="D248" s="80"/>
    </row>
    <row r="249">
      <c r="D249" s="80"/>
    </row>
    <row r="250">
      <c r="D250" s="80"/>
    </row>
    <row r="251">
      <c r="D251" s="80"/>
    </row>
    <row r="252">
      <c r="D252" s="80"/>
    </row>
    <row r="253">
      <c r="D253" s="80"/>
    </row>
    <row r="254">
      <c r="D254" s="80"/>
    </row>
    <row r="255">
      <c r="D255" s="80"/>
    </row>
    <row r="256">
      <c r="D256" s="80"/>
    </row>
    <row r="257">
      <c r="D257" s="80"/>
    </row>
    <row r="258">
      <c r="D258" s="80"/>
    </row>
    <row r="259">
      <c r="D259" s="80"/>
    </row>
    <row r="260">
      <c r="D260" s="80"/>
    </row>
    <row r="261">
      <c r="D261" s="80"/>
    </row>
    <row r="262">
      <c r="D262" s="80"/>
    </row>
    <row r="263">
      <c r="D263" s="80"/>
    </row>
    <row r="264">
      <c r="D264" s="80"/>
    </row>
    <row r="265">
      <c r="D265" s="80"/>
    </row>
    <row r="266">
      <c r="D266" s="80"/>
    </row>
    <row r="267">
      <c r="D267" s="80"/>
    </row>
    <row r="268">
      <c r="D268" s="80"/>
    </row>
    <row r="269">
      <c r="D269" s="80"/>
    </row>
    <row r="270">
      <c r="D270" s="80"/>
    </row>
    <row r="271">
      <c r="D271" s="80"/>
    </row>
    <row r="272">
      <c r="D272" s="80"/>
    </row>
    <row r="273">
      <c r="D273" s="80"/>
    </row>
    <row r="274">
      <c r="D274" s="80"/>
    </row>
    <row r="275">
      <c r="D275" s="80"/>
    </row>
    <row r="276">
      <c r="D276" s="80"/>
    </row>
    <row r="277">
      <c r="D277" s="80"/>
    </row>
    <row r="278">
      <c r="D278" s="80"/>
    </row>
    <row r="279">
      <c r="D279" s="80"/>
    </row>
    <row r="280">
      <c r="D280" s="80"/>
    </row>
    <row r="281">
      <c r="D281" s="80"/>
    </row>
    <row r="282">
      <c r="D282" s="80"/>
    </row>
    <row r="283">
      <c r="D283" s="80"/>
    </row>
    <row r="284">
      <c r="D284" s="80"/>
    </row>
    <row r="285">
      <c r="D285" s="80"/>
    </row>
    <row r="286">
      <c r="D286" s="80"/>
    </row>
    <row r="287">
      <c r="D287" s="80"/>
    </row>
    <row r="288">
      <c r="D288" s="80"/>
    </row>
    <row r="289">
      <c r="D289" s="80"/>
    </row>
    <row r="290">
      <c r="D290" s="80"/>
    </row>
    <row r="291">
      <c r="D291" s="80"/>
    </row>
    <row r="292">
      <c r="D292" s="80"/>
    </row>
    <row r="293">
      <c r="D293" s="80"/>
    </row>
    <row r="294">
      <c r="D294" s="80"/>
    </row>
    <row r="295">
      <c r="D295" s="80"/>
    </row>
    <row r="296">
      <c r="D296" s="80"/>
    </row>
    <row r="297">
      <c r="D297" s="80"/>
    </row>
    <row r="298">
      <c r="D298" s="80"/>
    </row>
    <row r="299">
      <c r="D299" s="80"/>
    </row>
    <row r="300">
      <c r="D300" s="80"/>
    </row>
    <row r="301">
      <c r="D301" s="80"/>
    </row>
    <row r="302">
      <c r="D302" s="80"/>
    </row>
    <row r="303">
      <c r="D303" s="80"/>
    </row>
    <row r="304">
      <c r="D304" s="80"/>
    </row>
    <row r="305">
      <c r="D305" s="80"/>
    </row>
    <row r="306">
      <c r="D306" s="80"/>
    </row>
    <row r="307">
      <c r="D307" s="80"/>
    </row>
    <row r="308">
      <c r="D308" s="80"/>
    </row>
    <row r="309">
      <c r="D309" s="80"/>
    </row>
    <row r="310">
      <c r="D310" s="80"/>
    </row>
    <row r="311">
      <c r="D311" s="80"/>
    </row>
    <row r="312">
      <c r="D312" s="80"/>
    </row>
    <row r="313">
      <c r="D313" s="80"/>
    </row>
    <row r="314">
      <c r="D314" s="80"/>
    </row>
    <row r="315">
      <c r="D315" s="80"/>
    </row>
    <row r="316">
      <c r="D316" s="80"/>
    </row>
    <row r="317">
      <c r="D317" s="80"/>
    </row>
    <row r="318">
      <c r="D318" s="80"/>
    </row>
    <row r="319">
      <c r="D319" s="80"/>
    </row>
    <row r="320">
      <c r="D320" s="80"/>
    </row>
    <row r="321">
      <c r="D321" s="80"/>
    </row>
    <row r="322">
      <c r="D322" s="80"/>
    </row>
    <row r="323">
      <c r="D323" s="80"/>
    </row>
    <row r="324">
      <c r="D324" s="80"/>
    </row>
    <row r="325">
      <c r="D325" s="80"/>
    </row>
    <row r="326">
      <c r="D326" s="80"/>
    </row>
    <row r="327">
      <c r="D327" s="80"/>
    </row>
    <row r="328">
      <c r="D328" s="80"/>
    </row>
    <row r="329">
      <c r="D329" s="80"/>
    </row>
    <row r="330">
      <c r="D330" s="80"/>
    </row>
    <row r="331">
      <c r="D331" s="80"/>
    </row>
    <row r="332">
      <c r="D332" s="80"/>
    </row>
    <row r="333">
      <c r="D333" s="80"/>
    </row>
    <row r="334">
      <c r="D334" s="80"/>
    </row>
    <row r="335">
      <c r="D335" s="80"/>
    </row>
    <row r="336">
      <c r="D336" s="80"/>
    </row>
    <row r="337">
      <c r="D337" s="80"/>
    </row>
    <row r="338">
      <c r="D338" s="80"/>
    </row>
    <row r="339">
      <c r="D339" s="80"/>
    </row>
    <row r="340">
      <c r="D340" s="80"/>
    </row>
    <row r="341">
      <c r="D341" s="80"/>
    </row>
    <row r="342">
      <c r="D342" s="80"/>
    </row>
    <row r="343">
      <c r="D343" s="80"/>
    </row>
    <row r="344">
      <c r="D344" s="80"/>
    </row>
    <row r="345">
      <c r="D345" s="80"/>
    </row>
    <row r="346">
      <c r="D346" s="80"/>
    </row>
    <row r="347">
      <c r="D347" s="80"/>
    </row>
    <row r="348">
      <c r="D348" s="80"/>
    </row>
    <row r="349">
      <c r="D349" s="80"/>
    </row>
    <row r="350">
      <c r="D350" s="80"/>
    </row>
    <row r="351">
      <c r="D351" s="80"/>
    </row>
    <row r="352">
      <c r="D352" s="80"/>
    </row>
    <row r="353">
      <c r="D353" s="80"/>
    </row>
    <row r="354">
      <c r="D354" s="80"/>
    </row>
    <row r="355">
      <c r="D355" s="80"/>
    </row>
    <row r="356">
      <c r="D356" s="80"/>
    </row>
    <row r="357">
      <c r="D357" s="80"/>
    </row>
    <row r="358">
      <c r="D358" s="80"/>
    </row>
    <row r="359">
      <c r="D359" s="80"/>
    </row>
    <row r="360">
      <c r="D360" s="80"/>
    </row>
    <row r="361">
      <c r="D361" s="80"/>
    </row>
    <row r="362">
      <c r="D362" s="80"/>
    </row>
    <row r="363">
      <c r="D363" s="80"/>
    </row>
    <row r="364">
      <c r="D364" s="80"/>
    </row>
    <row r="365">
      <c r="D365" s="80"/>
    </row>
    <row r="366">
      <c r="D366" s="80"/>
    </row>
    <row r="367">
      <c r="D367" s="80"/>
    </row>
    <row r="368">
      <c r="D368" s="80"/>
    </row>
    <row r="369">
      <c r="D369" s="80"/>
    </row>
    <row r="370">
      <c r="D370" s="80"/>
    </row>
    <row r="371">
      <c r="D371" s="80"/>
    </row>
    <row r="372">
      <c r="D372" s="80"/>
    </row>
    <row r="373">
      <c r="D373" s="80"/>
    </row>
    <row r="374">
      <c r="D374" s="80"/>
    </row>
    <row r="375">
      <c r="D375" s="80"/>
    </row>
    <row r="376">
      <c r="D376" s="80"/>
    </row>
    <row r="377">
      <c r="D377" s="80"/>
    </row>
    <row r="378">
      <c r="D378" s="80"/>
    </row>
    <row r="379">
      <c r="D379" s="80"/>
    </row>
    <row r="380">
      <c r="D380" s="80"/>
    </row>
    <row r="381">
      <c r="D381" s="80"/>
    </row>
    <row r="382">
      <c r="D382" s="80"/>
    </row>
    <row r="383">
      <c r="D383" s="80"/>
    </row>
    <row r="384">
      <c r="D384" s="80"/>
    </row>
    <row r="385">
      <c r="D385" s="80"/>
    </row>
    <row r="386">
      <c r="D386" s="80"/>
    </row>
    <row r="387">
      <c r="D387" s="80"/>
    </row>
    <row r="388">
      <c r="D388" s="80"/>
    </row>
    <row r="389">
      <c r="D389" s="80"/>
    </row>
    <row r="390">
      <c r="D390" s="80"/>
    </row>
    <row r="391">
      <c r="D391" s="80"/>
    </row>
    <row r="392">
      <c r="D392" s="80"/>
    </row>
    <row r="393">
      <c r="D393" s="80"/>
    </row>
    <row r="394">
      <c r="D394" s="80"/>
    </row>
    <row r="395">
      <c r="D395" s="80"/>
    </row>
    <row r="396">
      <c r="D396" s="80"/>
    </row>
    <row r="397">
      <c r="D397" s="80"/>
    </row>
    <row r="398">
      <c r="D398" s="80"/>
    </row>
    <row r="399">
      <c r="D399" s="80"/>
    </row>
    <row r="400">
      <c r="D400" s="80"/>
    </row>
    <row r="401">
      <c r="D401" s="80"/>
    </row>
    <row r="402">
      <c r="D402" s="80"/>
    </row>
    <row r="403">
      <c r="D403" s="80"/>
    </row>
    <row r="404">
      <c r="D404" s="80"/>
    </row>
    <row r="405">
      <c r="D405" s="80"/>
    </row>
    <row r="406">
      <c r="D406" s="80"/>
    </row>
    <row r="407">
      <c r="D407" s="80"/>
    </row>
    <row r="408">
      <c r="D408" s="80"/>
    </row>
    <row r="409">
      <c r="D409" s="80"/>
    </row>
    <row r="410">
      <c r="D410" s="80"/>
    </row>
    <row r="411">
      <c r="D411" s="80"/>
    </row>
    <row r="412">
      <c r="D412" s="80"/>
    </row>
    <row r="413">
      <c r="D413" s="80"/>
    </row>
    <row r="414">
      <c r="D414" s="80"/>
    </row>
    <row r="415">
      <c r="D415" s="80"/>
    </row>
    <row r="416">
      <c r="D416" s="80"/>
    </row>
    <row r="417">
      <c r="D417" s="80"/>
    </row>
    <row r="418">
      <c r="D418" s="80"/>
    </row>
    <row r="419">
      <c r="D419" s="80"/>
    </row>
    <row r="420">
      <c r="D420" s="80"/>
    </row>
    <row r="421">
      <c r="D421" s="80"/>
    </row>
    <row r="422">
      <c r="D422" s="80"/>
    </row>
    <row r="423">
      <c r="D423" s="80"/>
    </row>
    <row r="424">
      <c r="D424" s="80"/>
    </row>
    <row r="425">
      <c r="D425" s="80"/>
    </row>
    <row r="426">
      <c r="D426" s="80"/>
    </row>
    <row r="427">
      <c r="D427" s="80"/>
    </row>
    <row r="428">
      <c r="D428" s="80"/>
    </row>
    <row r="429">
      <c r="D429" s="80"/>
    </row>
    <row r="430">
      <c r="D430" s="80"/>
    </row>
    <row r="431">
      <c r="D431" s="80"/>
    </row>
    <row r="432">
      <c r="D432" s="80"/>
    </row>
    <row r="433">
      <c r="D433" s="80"/>
    </row>
    <row r="434">
      <c r="D434" s="80"/>
    </row>
    <row r="435">
      <c r="D435" s="80"/>
    </row>
    <row r="436">
      <c r="D436" s="80"/>
    </row>
    <row r="437">
      <c r="D437" s="80"/>
    </row>
    <row r="438">
      <c r="D438" s="80"/>
    </row>
    <row r="439">
      <c r="D439" s="80"/>
    </row>
    <row r="440">
      <c r="D440" s="80"/>
    </row>
    <row r="441">
      <c r="D441" s="80"/>
    </row>
    <row r="442">
      <c r="D442" s="80"/>
    </row>
    <row r="443">
      <c r="D443" s="80"/>
    </row>
    <row r="444">
      <c r="D444" s="80"/>
    </row>
    <row r="445">
      <c r="D445" s="80"/>
    </row>
    <row r="446">
      <c r="D446" s="80"/>
    </row>
    <row r="447">
      <c r="D447" s="80"/>
    </row>
    <row r="448">
      <c r="D448" s="80"/>
    </row>
    <row r="449">
      <c r="D449" s="80"/>
    </row>
    <row r="450">
      <c r="D450" s="80"/>
    </row>
    <row r="451">
      <c r="D451" s="80"/>
    </row>
    <row r="452">
      <c r="D452" s="80"/>
    </row>
    <row r="453">
      <c r="D453" s="80"/>
    </row>
    <row r="454">
      <c r="D454" s="80"/>
    </row>
    <row r="455">
      <c r="D455" s="80"/>
    </row>
    <row r="456">
      <c r="D456" s="80"/>
    </row>
    <row r="457">
      <c r="D457" s="80"/>
    </row>
    <row r="458">
      <c r="D458" s="80"/>
    </row>
    <row r="459">
      <c r="D459" s="80"/>
    </row>
    <row r="460">
      <c r="D460" s="80"/>
    </row>
    <row r="461">
      <c r="D461" s="80"/>
    </row>
    <row r="462">
      <c r="D462" s="80"/>
    </row>
    <row r="463">
      <c r="D463" s="80"/>
    </row>
    <row r="464">
      <c r="D464" s="80"/>
    </row>
    <row r="465">
      <c r="D465" s="80"/>
    </row>
    <row r="466">
      <c r="D466" s="80"/>
    </row>
    <row r="467">
      <c r="D467" s="80"/>
    </row>
    <row r="468">
      <c r="D468" s="80"/>
    </row>
    <row r="469">
      <c r="D469" s="80"/>
    </row>
    <row r="470">
      <c r="D470" s="80"/>
    </row>
    <row r="471">
      <c r="D471" s="80"/>
    </row>
    <row r="472">
      <c r="D472" s="80"/>
    </row>
    <row r="473">
      <c r="D473" s="80"/>
    </row>
    <row r="474">
      <c r="D474" s="80"/>
    </row>
    <row r="475">
      <c r="D475" s="80"/>
    </row>
    <row r="476">
      <c r="D476" s="80"/>
    </row>
    <row r="477">
      <c r="D477" s="80"/>
    </row>
    <row r="478">
      <c r="D478" s="80"/>
    </row>
    <row r="479">
      <c r="D479" s="80"/>
    </row>
    <row r="480">
      <c r="D480" s="80"/>
    </row>
    <row r="481">
      <c r="D481" s="80"/>
    </row>
    <row r="482">
      <c r="D482" s="80"/>
    </row>
    <row r="483">
      <c r="D483" s="80"/>
    </row>
    <row r="484">
      <c r="D484" s="80"/>
    </row>
    <row r="485">
      <c r="D485" s="80"/>
    </row>
    <row r="486">
      <c r="D486" s="80"/>
    </row>
    <row r="487">
      <c r="D487" s="80"/>
    </row>
    <row r="488">
      <c r="D488" s="80"/>
    </row>
    <row r="489">
      <c r="D489" s="80"/>
    </row>
    <row r="490">
      <c r="D490" s="80"/>
    </row>
    <row r="491">
      <c r="D491" s="80"/>
    </row>
    <row r="492">
      <c r="D492" s="80"/>
    </row>
    <row r="493">
      <c r="D493" s="80"/>
    </row>
    <row r="494">
      <c r="D494" s="80"/>
    </row>
    <row r="495">
      <c r="D495" s="80"/>
    </row>
    <row r="496">
      <c r="D496" s="80"/>
    </row>
    <row r="497">
      <c r="D497" s="80"/>
    </row>
    <row r="498">
      <c r="D498" s="80"/>
    </row>
    <row r="499">
      <c r="D499" s="80"/>
    </row>
    <row r="500">
      <c r="D500" s="80"/>
    </row>
    <row r="501">
      <c r="D501" s="80"/>
    </row>
    <row r="502">
      <c r="D502" s="80"/>
    </row>
    <row r="503">
      <c r="D503" s="80"/>
    </row>
    <row r="504">
      <c r="D504" s="80"/>
    </row>
    <row r="505">
      <c r="D505" s="80"/>
    </row>
    <row r="506">
      <c r="D506" s="80"/>
    </row>
    <row r="507">
      <c r="D507" s="80"/>
    </row>
    <row r="508">
      <c r="D508" s="80"/>
    </row>
    <row r="509">
      <c r="D509" s="80"/>
    </row>
    <row r="510">
      <c r="D510" s="80"/>
    </row>
    <row r="511">
      <c r="D511" s="80"/>
    </row>
    <row r="512">
      <c r="D512" s="80"/>
    </row>
    <row r="513">
      <c r="D513" s="80"/>
    </row>
    <row r="514">
      <c r="D514" s="80"/>
    </row>
    <row r="515">
      <c r="D515" s="80"/>
    </row>
    <row r="516">
      <c r="D516" s="80"/>
    </row>
    <row r="517">
      <c r="D517" s="80"/>
    </row>
    <row r="518">
      <c r="D518" s="80"/>
    </row>
    <row r="519">
      <c r="D519" s="80"/>
    </row>
    <row r="520">
      <c r="D520" s="80"/>
    </row>
    <row r="521">
      <c r="D521" s="80"/>
    </row>
    <row r="522">
      <c r="D522" s="80"/>
    </row>
    <row r="523">
      <c r="D523" s="80"/>
    </row>
    <row r="524">
      <c r="D524" s="80"/>
    </row>
    <row r="525">
      <c r="D525" s="80"/>
    </row>
    <row r="526">
      <c r="D526" s="80"/>
    </row>
    <row r="527">
      <c r="D527" s="80"/>
    </row>
    <row r="528">
      <c r="D528" s="80"/>
    </row>
    <row r="529">
      <c r="D529" s="80"/>
    </row>
    <row r="530">
      <c r="D530" s="80"/>
    </row>
    <row r="531">
      <c r="D531" s="80"/>
    </row>
    <row r="532">
      <c r="D532" s="80"/>
    </row>
    <row r="533">
      <c r="D533" s="80"/>
    </row>
    <row r="534">
      <c r="D534" s="80"/>
    </row>
    <row r="535">
      <c r="D535" s="80"/>
    </row>
    <row r="536">
      <c r="D536" s="80"/>
    </row>
    <row r="537">
      <c r="D537" s="80"/>
    </row>
    <row r="538">
      <c r="D538" s="80"/>
    </row>
    <row r="539">
      <c r="D539" s="80"/>
    </row>
    <row r="540">
      <c r="D540" s="80"/>
    </row>
    <row r="541">
      <c r="D541" s="80"/>
    </row>
    <row r="542">
      <c r="D542" s="80"/>
    </row>
    <row r="543">
      <c r="D543" s="80"/>
    </row>
    <row r="544">
      <c r="D544" s="80"/>
    </row>
    <row r="545">
      <c r="D545" s="80"/>
    </row>
    <row r="546">
      <c r="D546" s="80"/>
    </row>
    <row r="547">
      <c r="D547" s="80"/>
    </row>
    <row r="548">
      <c r="D548" s="80"/>
    </row>
    <row r="549">
      <c r="D549" s="80"/>
    </row>
    <row r="550">
      <c r="D550" s="80"/>
    </row>
    <row r="551">
      <c r="D551" s="80"/>
    </row>
    <row r="552">
      <c r="D552" s="80"/>
    </row>
    <row r="553">
      <c r="D553" s="80"/>
    </row>
    <row r="554">
      <c r="D554" s="80"/>
    </row>
    <row r="555">
      <c r="D555" s="80"/>
    </row>
    <row r="556">
      <c r="D556" s="80"/>
    </row>
    <row r="557">
      <c r="D557" s="80"/>
    </row>
    <row r="558">
      <c r="D558" s="80"/>
    </row>
    <row r="559">
      <c r="D559" s="80"/>
    </row>
    <row r="560">
      <c r="D560" s="80"/>
    </row>
    <row r="561">
      <c r="D561" s="80"/>
    </row>
    <row r="562">
      <c r="D562" s="80"/>
    </row>
    <row r="563">
      <c r="D563" s="80"/>
    </row>
    <row r="564">
      <c r="D564" s="80"/>
    </row>
    <row r="565">
      <c r="D565" s="80"/>
    </row>
    <row r="566">
      <c r="D566" s="80"/>
    </row>
    <row r="567">
      <c r="D567" s="80"/>
    </row>
    <row r="568">
      <c r="D568" s="80"/>
    </row>
    <row r="569">
      <c r="D569" s="80"/>
    </row>
    <row r="570">
      <c r="D570" s="80"/>
    </row>
    <row r="571">
      <c r="D571" s="80"/>
    </row>
    <row r="572">
      <c r="D572" s="80"/>
    </row>
    <row r="573">
      <c r="D573" s="80"/>
    </row>
    <row r="574">
      <c r="D574" s="80"/>
    </row>
    <row r="575">
      <c r="D575" s="80"/>
    </row>
    <row r="576">
      <c r="D576" s="80"/>
    </row>
    <row r="577">
      <c r="D577" s="80"/>
    </row>
    <row r="578">
      <c r="D578" s="80"/>
    </row>
    <row r="579">
      <c r="D579" s="80"/>
    </row>
    <row r="580">
      <c r="D580" s="80"/>
    </row>
    <row r="581">
      <c r="D581" s="80"/>
    </row>
    <row r="582">
      <c r="D582" s="80"/>
    </row>
    <row r="583">
      <c r="D583" s="80"/>
    </row>
    <row r="584">
      <c r="D584" s="80"/>
    </row>
    <row r="585">
      <c r="D585" s="80"/>
    </row>
    <row r="586">
      <c r="D586" s="80"/>
    </row>
    <row r="587">
      <c r="D587" s="80"/>
    </row>
    <row r="588">
      <c r="D588" s="80"/>
    </row>
    <row r="589">
      <c r="D589" s="80"/>
    </row>
    <row r="590">
      <c r="D590" s="80"/>
    </row>
    <row r="591">
      <c r="D591" s="80"/>
    </row>
    <row r="592">
      <c r="D592" s="80"/>
    </row>
    <row r="593">
      <c r="D593" s="80"/>
    </row>
    <row r="594">
      <c r="D594" s="80"/>
    </row>
    <row r="595">
      <c r="D595" s="80"/>
    </row>
    <row r="596">
      <c r="D596" s="80"/>
    </row>
    <row r="597">
      <c r="D597" s="80"/>
    </row>
    <row r="598">
      <c r="D598" s="80"/>
    </row>
    <row r="599">
      <c r="D599" s="80"/>
    </row>
    <row r="600">
      <c r="D600" s="80"/>
    </row>
    <row r="601">
      <c r="D601" s="80"/>
    </row>
    <row r="602">
      <c r="D602" s="80"/>
    </row>
    <row r="603">
      <c r="D603" s="80"/>
    </row>
    <row r="604">
      <c r="D604" s="80"/>
    </row>
    <row r="605">
      <c r="D605" s="80"/>
    </row>
    <row r="606">
      <c r="D606" s="80"/>
    </row>
    <row r="607">
      <c r="D607" s="80"/>
    </row>
    <row r="608">
      <c r="D608" s="80"/>
    </row>
    <row r="609">
      <c r="D609" s="80"/>
    </row>
    <row r="610">
      <c r="D610" s="80"/>
    </row>
    <row r="611">
      <c r="D611" s="80"/>
    </row>
    <row r="612">
      <c r="D612" s="80"/>
    </row>
    <row r="613">
      <c r="D613" s="80"/>
    </row>
    <row r="614">
      <c r="D614" s="80"/>
    </row>
    <row r="615">
      <c r="D615" s="80"/>
    </row>
    <row r="616">
      <c r="D616" s="80"/>
    </row>
    <row r="617">
      <c r="D617" s="80"/>
    </row>
    <row r="618">
      <c r="D618" s="80"/>
    </row>
    <row r="619">
      <c r="D619" s="80"/>
    </row>
    <row r="620">
      <c r="D620" s="80"/>
    </row>
    <row r="621">
      <c r="D621" s="80"/>
    </row>
    <row r="622">
      <c r="D622" s="80"/>
    </row>
    <row r="623">
      <c r="D623" s="80"/>
    </row>
    <row r="624">
      <c r="D624" s="80"/>
    </row>
    <row r="625">
      <c r="D625" s="80"/>
    </row>
    <row r="626">
      <c r="D626" s="80"/>
    </row>
    <row r="627">
      <c r="D627" s="80"/>
    </row>
    <row r="628">
      <c r="D628" s="80"/>
    </row>
    <row r="629">
      <c r="D629" s="80"/>
    </row>
    <row r="630">
      <c r="D630" s="80"/>
    </row>
    <row r="631">
      <c r="D631" s="80"/>
    </row>
    <row r="632">
      <c r="D632" s="80"/>
    </row>
    <row r="633">
      <c r="D633" s="80"/>
    </row>
    <row r="634">
      <c r="D634" s="80"/>
    </row>
    <row r="635">
      <c r="D635" s="80"/>
    </row>
    <row r="636">
      <c r="D636" s="80"/>
    </row>
    <row r="637">
      <c r="D637" s="80"/>
    </row>
    <row r="638">
      <c r="D638" s="80"/>
    </row>
    <row r="639">
      <c r="D639" s="80"/>
    </row>
    <row r="640">
      <c r="D640" s="80"/>
    </row>
    <row r="641">
      <c r="D641" s="80"/>
    </row>
    <row r="642">
      <c r="D642" s="80"/>
    </row>
    <row r="643">
      <c r="D643" s="80"/>
    </row>
    <row r="644">
      <c r="D644" s="80"/>
    </row>
    <row r="645">
      <c r="D645" s="80"/>
    </row>
    <row r="646">
      <c r="D646" s="80"/>
    </row>
    <row r="647">
      <c r="D647" s="80"/>
    </row>
    <row r="648">
      <c r="D648" s="80"/>
    </row>
    <row r="649">
      <c r="D649" s="80"/>
    </row>
    <row r="650">
      <c r="D650" s="80"/>
    </row>
    <row r="651">
      <c r="D651" s="80"/>
    </row>
    <row r="652">
      <c r="D652" s="80"/>
    </row>
    <row r="653">
      <c r="D653" s="80"/>
    </row>
    <row r="654">
      <c r="D654" s="80"/>
    </row>
    <row r="655">
      <c r="D655" s="80"/>
    </row>
    <row r="656">
      <c r="D656" s="80"/>
    </row>
    <row r="657">
      <c r="D657" s="80"/>
    </row>
    <row r="658">
      <c r="D658" s="80"/>
    </row>
    <row r="659">
      <c r="D659" s="80"/>
    </row>
    <row r="660">
      <c r="D660" s="80"/>
    </row>
    <row r="661">
      <c r="D661" s="80"/>
    </row>
    <row r="662">
      <c r="D662" s="80"/>
    </row>
    <row r="663">
      <c r="D663" s="80"/>
    </row>
    <row r="664">
      <c r="D664" s="80"/>
    </row>
    <row r="665">
      <c r="D665" s="80"/>
    </row>
    <row r="666">
      <c r="D666" s="80"/>
    </row>
    <row r="667">
      <c r="D667" s="80"/>
    </row>
    <row r="668">
      <c r="D668" s="80"/>
    </row>
    <row r="669">
      <c r="D669" s="80"/>
    </row>
    <row r="670">
      <c r="D670" s="80"/>
    </row>
    <row r="671">
      <c r="D671" s="80"/>
    </row>
    <row r="672">
      <c r="D672" s="80"/>
    </row>
    <row r="673">
      <c r="D673" s="80"/>
    </row>
    <row r="674">
      <c r="D674" s="80"/>
    </row>
    <row r="675">
      <c r="D675" s="80"/>
    </row>
    <row r="676">
      <c r="D676" s="80"/>
    </row>
    <row r="677">
      <c r="D677" s="80"/>
    </row>
    <row r="678">
      <c r="D678" s="80"/>
    </row>
    <row r="679">
      <c r="D679" s="80"/>
    </row>
    <row r="680">
      <c r="D680" s="80"/>
    </row>
    <row r="681">
      <c r="D681" s="80"/>
    </row>
    <row r="682">
      <c r="D682" s="80"/>
    </row>
    <row r="683">
      <c r="D683" s="80"/>
    </row>
    <row r="684">
      <c r="D684" s="80"/>
    </row>
    <row r="685">
      <c r="D685" s="80"/>
    </row>
    <row r="686">
      <c r="D686" s="80"/>
    </row>
    <row r="687">
      <c r="D687" s="80"/>
    </row>
    <row r="688">
      <c r="D688" s="80"/>
    </row>
    <row r="689">
      <c r="D689" s="80"/>
    </row>
    <row r="690">
      <c r="D690" s="80"/>
    </row>
    <row r="691">
      <c r="D691" s="80"/>
    </row>
    <row r="692">
      <c r="D692" s="80"/>
    </row>
    <row r="693">
      <c r="D693" s="80"/>
    </row>
    <row r="694">
      <c r="D694" s="80"/>
    </row>
    <row r="695">
      <c r="D695" s="80"/>
    </row>
    <row r="696">
      <c r="D696" s="80"/>
    </row>
    <row r="697">
      <c r="D697" s="80"/>
    </row>
    <row r="698">
      <c r="D698" s="80"/>
    </row>
    <row r="699">
      <c r="D699" s="80"/>
    </row>
    <row r="700">
      <c r="D700" s="80"/>
    </row>
    <row r="701">
      <c r="D701" s="80"/>
    </row>
    <row r="702">
      <c r="D702" s="80"/>
    </row>
    <row r="703">
      <c r="D703" s="80"/>
    </row>
    <row r="704">
      <c r="D704" s="80"/>
    </row>
    <row r="705">
      <c r="D705" s="80"/>
    </row>
    <row r="706">
      <c r="D706" s="80"/>
    </row>
    <row r="707">
      <c r="D707" s="80"/>
    </row>
    <row r="708">
      <c r="D708" s="80"/>
    </row>
    <row r="709">
      <c r="D709" s="80"/>
    </row>
    <row r="710">
      <c r="D710" s="80"/>
    </row>
    <row r="711">
      <c r="D711" s="80"/>
    </row>
    <row r="712">
      <c r="D712" s="80"/>
    </row>
    <row r="713">
      <c r="D713" s="80"/>
    </row>
    <row r="714">
      <c r="D714" s="80"/>
    </row>
    <row r="715">
      <c r="D715" s="80"/>
    </row>
    <row r="716">
      <c r="D716" s="80"/>
    </row>
    <row r="717">
      <c r="D717" s="80"/>
    </row>
    <row r="718">
      <c r="D718" s="80"/>
    </row>
    <row r="719">
      <c r="D719" s="80"/>
    </row>
    <row r="720">
      <c r="D720" s="80"/>
    </row>
    <row r="721">
      <c r="D721" s="80"/>
    </row>
    <row r="722">
      <c r="D722" s="80"/>
    </row>
    <row r="723">
      <c r="D723" s="80"/>
    </row>
    <row r="724">
      <c r="D724" s="80"/>
    </row>
    <row r="725">
      <c r="D725" s="80"/>
    </row>
    <row r="726">
      <c r="D726" s="80"/>
    </row>
    <row r="727">
      <c r="D727" s="80"/>
    </row>
    <row r="728">
      <c r="D728" s="80"/>
    </row>
    <row r="729">
      <c r="D729" s="80"/>
    </row>
    <row r="730">
      <c r="D730" s="80"/>
    </row>
    <row r="731">
      <c r="D731" s="80"/>
    </row>
    <row r="732">
      <c r="D732" s="80"/>
    </row>
    <row r="733">
      <c r="D733" s="80"/>
    </row>
    <row r="734">
      <c r="D734" s="80"/>
    </row>
    <row r="735">
      <c r="D735" s="80"/>
    </row>
    <row r="736">
      <c r="D736" s="80"/>
    </row>
    <row r="737">
      <c r="D737" s="80"/>
    </row>
    <row r="738">
      <c r="D738" s="80"/>
    </row>
    <row r="739">
      <c r="D739" s="80"/>
    </row>
    <row r="740">
      <c r="D740" s="80"/>
    </row>
    <row r="741">
      <c r="D741" s="80"/>
    </row>
    <row r="742">
      <c r="D742" s="80"/>
    </row>
    <row r="743">
      <c r="D743" s="80"/>
    </row>
    <row r="744">
      <c r="D744" s="80"/>
    </row>
    <row r="745">
      <c r="D745" s="80"/>
    </row>
    <row r="746">
      <c r="D746" s="80"/>
    </row>
    <row r="747">
      <c r="D747" s="80"/>
    </row>
    <row r="748">
      <c r="D748" s="80"/>
    </row>
    <row r="749">
      <c r="D749" s="80"/>
    </row>
    <row r="750">
      <c r="D750" s="80"/>
    </row>
    <row r="751">
      <c r="D751" s="80"/>
    </row>
    <row r="752">
      <c r="D752" s="80"/>
    </row>
    <row r="753">
      <c r="D753" s="80"/>
    </row>
    <row r="754">
      <c r="D754" s="80"/>
    </row>
    <row r="755">
      <c r="D755" s="80"/>
    </row>
    <row r="756">
      <c r="D756" s="80"/>
    </row>
    <row r="757">
      <c r="D757" s="80"/>
    </row>
    <row r="758">
      <c r="D758" s="80"/>
    </row>
    <row r="759">
      <c r="D759" s="80"/>
    </row>
    <row r="760">
      <c r="D760" s="80"/>
    </row>
    <row r="761">
      <c r="D761" s="80"/>
    </row>
    <row r="762">
      <c r="D762" s="80"/>
    </row>
    <row r="763">
      <c r="D763" s="80"/>
    </row>
    <row r="764">
      <c r="D764" s="80"/>
    </row>
    <row r="765">
      <c r="D765" s="80"/>
    </row>
    <row r="766">
      <c r="D766" s="80"/>
    </row>
    <row r="767">
      <c r="D767" s="80"/>
    </row>
    <row r="768">
      <c r="D768" s="80"/>
    </row>
    <row r="769">
      <c r="D769" s="80"/>
    </row>
    <row r="770">
      <c r="D770" s="80"/>
    </row>
    <row r="771">
      <c r="D771" s="80"/>
    </row>
    <row r="772">
      <c r="D772" s="80"/>
    </row>
    <row r="773">
      <c r="D773" s="80"/>
    </row>
    <row r="774">
      <c r="D774" s="80"/>
    </row>
    <row r="775">
      <c r="D775" s="80"/>
    </row>
    <row r="776">
      <c r="D776" s="80"/>
    </row>
    <row r="777">
      <c r="D777" s="80"/>
    </row>
    <row r="778">
      <c r="D778" s="80"/>
    </row>
    <row r="779">
      <c r="D779" s="80"/>
    </row>
    <row r="780">
      <c r="D780" s="80"/>
    </row>
    <row r="781">
      <c r="D781" s="80"/>
    </row>
    <row r="782">
      <c r="D782" s="80"/>
    </row>
    <row r="783">
      <c r="D783" s="80"/>
    </row>
    <row r="784">
      <c r="D784" s="80"/>
    </row>
    <row r="785">
      <c r="D785" s="80"/>
    </row>
    <row r="786">
      <c r="D786" s="80"/>
    </row>
    <row r="787">
      <c r="D787" s="80"/>
    </row>
    <row r="788">
      <c r="D788" s="80"/>
    </row>
    <row r="789">
      <c r="D789" s="80"/>
    </row>
    <row r="790">
      <c r="D790" s="80"/>
    </row>
    <row r="791">
      <c r="D791" s="80"/>
    </row>
    <row r="792">
      <c r="D792" s="80"/>
    </row>
    <row r="793">
      <c r="D793" s="80"/>
    </row>
    <row r="794">
      <c r="D794" s="80"/>
    </row>
    <row r="795">
      <c r="D795" s="80"/>
    </row>
    <row r="796">
      <c r="D796" s="80"/>
    </row>
    <row r="797">
      <c r="D797" s="80"/>
    </row>
    <row r="798">
      <c r="D798" s="80"/>
    </row>
    <row r="799">
      <c r="D799" s="80"/>
    </row>
    <row r="800">
      <c r="D800" s="80"/>
    </row>
    <row r="801">
      <c r="D801" s="80"/>
    </row>
    <row r="802">
      <c r="D802" s="80"/>
    </row>
    <row r="803">
      <c r="D803" s="80"/>
    </row>
    <row r="804">
      <c r="D804" s="80"/>
    </row>
    <row r="805">
      <c r="D805" s="80"/>
    </row>
    <row r="806">
      <c r="D806" s="80"/>
    </row>
    <row r="807">
      <c r="D807" s="80"/>
    </row>
    <row r="808">
      <c r="D808" s="80"/>
    </row>
    <row r="809">
      <c r="D809" s="80"/>
    </row>
    <row r="810">
      <c r="D810" s="80"/>
    </row>
    <row r="811">
      <c r="D811" s="80"/>
    </row>
    <row r="812">
      <c r="D812" s="80"/>
    </row>
    <row r="813">
      <c r="D813" s="80"/>
    </row>
    <row r="814">
      <c r="D814" s="80"/>
    </row>
    <row r="815">
      <c r="D815" s="80"/>
    </row>
    <row r="816">
      <c r="D816" s="80"/>
    </row>
    <row r="817">
      <c r="D817" s="80"/>
    </row>
    <row r="818">
      <c r="D818" s="80"/>
    </row>
    <row r="819">
      <c r="D819" s="80"/>
    </row>
    <row r="820">
      <c r="D820" s="80"/>
    </row>
    <row r="821">
      <c r="D821" s="80"/>
    </row>
    <row r="822">
      <c r="D822" s="80"/>
    </row>
    <row r="823">
      <c r="D823" s="80"/>
    </row>
    <row r="824">
      <c r="D824" s="80"/>
    </row>
    <row r="825">
      <c r="D825" s="80"/>
    </row>
    <row r="826">
      <c r="D826" s="80"/>
    </row>
    <row r="827">
      <c r="D827" s="80"/>
    </row>
    <row r="828">
      <c r="D828" s="80"/>
    </row>
    <row r="829">
      <c r="D829" s="80"/>
    </row>
    <row r="830">
      <c r="D830" s="80"/>
    </row>
    <row r="831">
      <c r="D831" s="80"/>
    </row>
    <row r="832">
      <c r="D832" s="80"/>
    </row>
    <row r="833">
      <c r="D833" s="80"/>
    </row>
    <row r="834">
      <c r="D834" s="80"/>
    </row>
    <row r="835">
      <c r="D835" s="80"/>
    </row>
    <row r="836">
      <c r="D836" s="80"/>
    </row>
    <row r="837">
      <c r="D837" s="80"/>
    </row>
    <row r="838">
      <c r="D838" s="80"/>
    </row>
    <row r="839">
      <c r="D839" s="80"/>
    </row>
    <row r="840">
      <c r="D840" s="80"/>
    </row>
    <row r="841">
      <c r="D841" s="80"/>
    </row>
    <row r="842">
      <c r="D842" s="80"/>
    </row>
    <row r="843">
      <c r="D843" s="80"/>
    </row>
    <row r="844">
      <c r="D844" s="80"/>
    </row>
    <row r="845">
      <c r="D845" s="80"/>
    </row>
    <row r="846">
      <c r="D846" s="80"/>
    </row>
    <row r="847">
      <c r="D847" s="80"/>
    </row>
    <row r="848">
      <c r="D848" s="80"/>
    </row>
    <row r="849">
      <c r="D849" s="80"/>
    </row>
    <row r="850">
      <c r="D850" s="80"/>
    </row>
    <row r="851">
      <c r="D851" s="80"/>
    </row>
    <row r="852">
      <c r="D852" s="80"/>
    </row>
    <row r="853">
      <c r="D853" s="80"/>
    </row>
    <row r="854">
      <c r="D854" s="80"/>
    </row>
    <row r="855">
      <c r="D855" s="80"/>
    </row>
    <row r="856">
      <c r="D856" s="80"/>
    </row>
    <row r="857">
      <c r="D857" s="80"/>
    </row>
    <row r="858">
      <c r="D858" s="80"/>
    </row>
    <row r="859">
      <c r="D859" s="80"/>
    </row>
    <row r="860">
      <c r="D860" s="80"/>
    </row>
    <row r="861">
      <c r="D861" s="80"/>
    </row>
    <row r="862">
      <c r="D862" s="80"/>
    </row>
    <row r="863">
      <c r="D863" s="80"/>
    </row>
    <row r="864">
      <c r="D864" s="80"/>
    </row>
    <row r="865">
      <c r="D865" s="80"/>
    </row>
    <row r="866">
      <c r="D866" s="80"/>
    </row>
    <row r="867">
      <c r="D867" s="80"/>
    </row>
    <row r="868">
      <c r="D868" s="80"/>
    </row>
    <row r="869">
      <c r="D869" s="80"/>
    </row>
    <row r="870">
      <c r="D870" s="80"/>
    </row>
    <row r="871">
      <c r="D871" s="80"/>
    </row>
    <row r="872">
      <c r="D872" s="80"/>
    </row>
    <row r="873">
      <c r="D873" s="80"/>
    </row>
    <row r="874">
      <c r="D874" s="80"/>
    </row>
    <row r="875">
      <c r="D875" s="80"/>
    </row>
    <row r="876">
      <c r="D876" s="80"/>
    </row>
    <row r="877">
      <c r="D877" s="80"/>
    </row>
    <row r="878">
      <c r="D878" s="80"/>
    </row>
    <row r="879">
      <c r="D879" s="80"/>
    </row>
    <row r="880">
      <c r="D880" s="80"/>
    </row>
    <row r="881">
      <c r="D881" s="80"/>
    </row>
    <row r="882">
      <c r="D882" s="80"/>
    </row>
    <row r="883">
      <c r="D883" s="80"/>
    </row>
    <row r="884">
      <c r="D884" s="80"/>
    </row>
    <row r="885">
      <c r="D885" s="80"/>
    </row>
    <row r="886">
      <c r="D886" s="80"/>
    </row>
    <row r="887">
      <c r="D887" s="80"/>
    </row>
    <row r="888">
      <c r="D888" s="80"/>
    </row>
    <row r="889">
      <c r="D889" s="80"/>
    </row>
    <row r="890">
      <c r="D890" s="80"/>
    </row>
    <row r="891">
      <c r="D891" s="80"/>
    </row>
    <row r="892">
      <c r="D892" s="80"/>
    </row>
    <row r="893">
      <c r="D893" s="80"/>
    </row>
    <row r="894">
      <c r="D894" s="80"/>
    </row>
    <row r="895">
      <c r="D895" s="80"/>
    </row>
    <row r="896">
      <c r="D896" s="80"/>
    </row>
    <row r="897">
      <c r="D897" s="80"/>
    </row>
    <row r="898">
      <c r="D898" s="80"/>
    </row>
    <row r="899">
      <c r="D899" s="80"/>
    </row>
    <row r="900">
      <c r="D900" s="80"/>
    </row>
    <row r="901">
      <c r="D901" s="80"/>
    </row>
    <row r="902">
      <c r="D902" s="80"/>
    </row>
    <row r="903">
      <c r="D903" s="80"/>
    </row>
    <row r="904">
      <c r="D904" s="80"/>
    </row>
    <row r="905">
      <c r="D905" s="80"/>
    </row>
    <row r="906">
      <c r="D906" s="80"/>
    </row>
    <row r="907">
      <c r="D907" s="80"/>
    </row>
    <row r="908">
      <c r="D908" s="80"/>
    </row>
    <row r="909">
      <c r="D909" s="80"/>
    </row>
    <row r="910">
      <c r="D910" s="80"/>
    </row>
    <row r="911">
      <c r="D911" s="80"/>
    </row>
    <row r="912">
      <c r="D912" s="80"/>
    </row>
    <row r="913">
      <c r="D913" s="80"/>
    </row>
    <row r="914">
      <c r="D914" s="80"/>
    </row>
    <row r="915">
      <c r="D915" s="80"/>
    </row>
    <row r="916">
      <c r="D916" s="80"/>
    </row>
    <row r="917">
      <c r="D917" s="80"/>
    </row>
    <row r="918">
      <c r="D918" s="80"/>
    </row>
    <row r="919">
      <c r="D919" s="80"/>
    </row>
    <row r="920">
      <c r="D920" s="80"/>
    </row>
    <row r="921">
      <c r="D921" s="80"/>
    </row>
    <row r="922">
      <c r="D922" s="80"/>
    </row>
    <row r="923">
      <c r="D923" s="80"/>
    </row>
    <row r="924">
      <c r="D924" s="80"/>
    </row>
    <row r="925">
      <c r="D925" s="80"/>
    </row>
    <row r="926">
      <c r="D926" s="80"/>
    </row>
    <row r="927">
      <c r="D927" s="80"/>
    </row>
    <row r="928">
      <c r="D928" s="80"/>
    </row>
    <row r="929">
      <c r="D929" s="80"/>
    </row>
    <row r="930">
      <c r="D930" s="80"/>
    </row>
    <row r="931">
      <c r="D931" s="80"/>
    </row>
    <row r="932">
      <c r="D932" s="80"/>
    </row>
    <row r="933">
      <c r="D933" s="80"/>
    </row>
    <row r="934">
      <c r="D934" s="80"/>
    </row>
    <row r="935">
      <c r="D935" s="80"/>
    </row>
    <row r="936">
      <c r="D936" s="80"/>
    </row>
    <row r="937">
      <c r="D937" s="80"/>
    </row>
    <row r="938">
      <c r="D938" s="80"/>
    </row>
    <row r="939">
      <c r="D939" s="80"/>
    </row>
    <row r="940">
      <c r="D940" s="80"/>
    </row>
    <row r="941">
      <c r="D941" s="80"/>
    </row>
    <row r="942">
      <c r="D942" s="80"/>
    </row>
    <row r="943">
      <c r="D943" s="80"/>
    </row>
    <row r="944">
      <c r="D944" s="80"/>
    </row>
    <row r="945">
      <c r="D945" s="80"/>
    </row>
    <row r="946">
      <c r="D946" s="80"/>
    </row>
    <row r="947">
      <c r="D947" s="80"/>
    </row>
    <row r="948">
      <c r="D948" s="80"/>
    </row>
    <row r="949">
      <c r="D949" s="80"/>
    </row>
    <row r="950">
      <c r="D950" s="80"/>
    </row>
    <row r="951">
      <c r="D951" s="80"/>
    </row>
    <row r="952">
      <c r="D952" s="80"/>
    </row>
    <row r="953">
      <c r="D953" s="80"/>
    </row>
    <row r="954">
      <c r="D954" s="80"/>
    </row>
    <row r="955">
      <c r="D955" s="80"/>
    </row>
    <row r="956">
      <c r="D956" s="80"/>
    </row>
    <row r="957">
      <c r="D957" s="80"/>
    </row>
    <row r="958">
      <c r="D958" s="80"/>
    </row>
    <row r="959">
      <c r="D959" s="80"/>
    </row>
    <row r="960">
      <c r="D960" s="80"/>
    </row>
    <row r="961">
      <c r="D961" s="80"/>
    </row>
    <row r="962">
      <c r="D962" s="80"/>
    </row>
    <row r="963">
      <c r="D963" s="80"/>
    </row>
    <row r="964">
      <c r="D964" s="80"/>
    </row>
    <row r="965">
      <c r="D965" s="80"/>
    </row>
    <row r="966">
      <c r="D966" s="80"/>
    </row>
    <row r="967">
      <c r="D967" s="80"/>
    </row>
    <row r="968">
      <c r="D968" s="80"/>
    </row>
    <row r="969">
      <c r="D969" s="80"/>
    </row>
    <row r="970">
      <c r="D970" s="80"/>
    </row>
    <row r="971">
      <c r="D971" s="80"/>
    </row>
    <row r="972">
      <c r="D972" s="80"/>
    </row>
    <row r="973">
      <c r="D973" s="80"/>
    </row>
    <row r="974">
      <c r="D974" s="80"/>
    </row>
    <row r="975">
      <c r="D975" s="80"/>
    </row>
    <row r="976">
      <c r="D976" s="80"/>
    </row>
    <row r="977">
      <c r="D977" s="80"/>
    </row>
    <row r="978">
      <c r="D978" s="80"/>
    </row>
    <row r="979">
      <c r="D979" s="80"/>
    </row>
    <row r="980">
      <c r="D980" s="80"/>
    </row>
    <row r="981">
      <c r="D981" s="80"/>
    </row>
    <row r="982">
      <c r="D982" s="80"/>
    </row>
    <row r="983">
      <c r="D983" s="80"/>
    </row>
    <row r="984">
      <c r="D984" s="80"/>
    </row>
    <row r="985">
      <c r="D985" s="80"/>
    </row>
    <row r="986">
      <c r="D986" s="80"/>
    </row>
    <row r="987">
      <c r="D987" s="80"/>
    </row>
    <row r="988">
      <c r="D988" s="80"/>
    </row>
    <row r="989">
      <c r="D989" s="80"/>
    </row>
    <row r="990">
      <c r="D990" s="80"/>
    </row>
    <row r="991">
      <c r="D991" s="80"/>
    </row>
    <row r="992">
      <c r="D992" s="80"/>
    </row>
    <row r="993">
      <c r="D993" s="80"/>
    </row>
    <row r="994">
      <c r="D994" s="80"/>
    </row>
    <row r="995">
      <c r="D995" s="80"/>
    </row>
    <row r="996">
      <c r="D996" s="80"/>
    </row>
    <row r="997">
      <c r="D997" s="80"/>
    </row>
    <row r="998">
      <c r="D998" s="80"/>
    </row>
    <row r="999">
      <c r="D999" s="80"/>
    </row>
    <row r="1000">
      <c r="D1000" s="8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82" t="s">
        <v>113</v>
      </c>
      <c r="I1" s="83">
        <f>countifs(B:B,"&lt;&gt;",F:F,"&lt;&gt;")-1</f>
        <v>48</v>
      </c>
      <c r="K1" s="6" t="s">
        <v>114</v>
      </c>
      <c r="L1" s="6" t="s">
        <v>115</v>
      </c>
      <c r="M1" s="6" t="s">
        <v>13</v>
      </c>
    </row>
    <row r="2">
      <c r="H2" s="82" t="s">
        <v>116</v>
      </c>
      <c r="I2" s="83">
        <f t="array" ref="I2">(COUNTA(UNIQUE(C:C))-1)</f>
        <v>37</v>
      </c>
      <c r="K2" s="84" t="str">
        <f>'Internal Summary'!B41</f>
        <v>250g Dates powder (6x)</v>
      </c>
      <c r="L2" s="83">
        <f t="shared" ref="L2:L13" si="1">sumif(D:D,K2,E:E)</f>
        <v>54.6</v>
      </c>
      <c r="M2" s="83">
        <f t="shared" ref="M2:M13" si="2">sumif(D:D,K2,F:F)</f>
        <v>655200</v>
      </c>
      <c r="N2" s="85"/>
    </row>
    <row r="3">
      <c r="H3" s="82" t="s">
        <v>117</v>
      </c>
      <c r="I3" s="83">
        <f>sum(F:F)</f>
        <v>745200</v>
      </c>
      <c r="K3" s="84" t="str">
        <f>'Internal Summary'!B42</f>
        <v>80g Kuli Kuli (12x)</v>
      </c>
      <c r="L3" s="83">
        <f t="shared" si="1"/>
        <v>12.5</v>
      </c>
      <c r="M3" s="83">
        <f t="shared" si="2"/>
        <v>90000</v>
      </c>
      <c r="N3" s="85"/>
    </row>
    <row r="4">
      <c r="H4" s="1"/>
      <c r="K4" s="84" t="str">
        <f>'Internal Summary'!B43</f>
        <v/>
      </c>
      <c r="L4" s="83">
        <f t="shared" si="1"/>
        <v>0</v>
      </c>
      <c r="M4" s="83">
        <f t="shared" si="2"/>
        <v>0</v>
      </c>
      <c r="N4" s="85"/>
    </row>
    <row r="5">
      <c r="H5" s="1"/>
      <c r="K5" s="84" t="str">
        <f>'Internal Summary'!B44</f>
        <v/>
      </c>
      <c r="L5" s="83">
        <f t="shared" si="1"/>
        <v>0</v>
      </c>
      <c r="M5" s="83">
        <f t="shared" si="2"/>
        <v>0</v>
      </c>
      <c r="N5" s="85"/>
    </row>
    <row r="6">
      <c r="K6" s="84" t="str">
        <f>'Internal Summary'!B45</f>
        <v/>
      </c>
      <c r="L6" s="83">
        <f t="shared" si="1"/>
        <v>0</v>
      </c>
      <c r="M6" s="83">
        <f t="shared" si="2"/>
        <v>0</v>
      </c>
    </row>
    <row r="7">
      <c r="K7" s="84" t="str">
        <f>'Internal Summary'!B46</f>
        <v/>
      </c>
      <c r="L7" s="83">
        <f t="shared" si="1"/>
        <v>0</v>
      </c>
      <c r="M7" s="83">
        <f t="shared" si="2"/>
        <v>0</v>
      </c>
    </row>
    <row r="8">
      <c r="K8" s="84" t="str">
        <f>'Internal Summary'!B47</f>
        <v/>
      </c>
      <c r="L8" s="83">
        <f t="shared" si="1"/>
        <v>0</v>
      </c>
      <c r="M8" s="83">
        <f t="shared" si="2"/>
        <v>0</v>
      </c>
    </row>
    <row r="9">
      <c r="K9" s="84" t="str">
        <f>'Internal Summary'!B48</f>
        <v/>
      </c>
      <c r="L9" s="83">
        <f t="shared" si="1"/>
        <v>0</v>
      </c>
      <c r="M9" s="83">
        <f t="shared" si="2"/>
        <v>0</v>
      </c>
    </row>
    <row r="10">
      <c r="K10" s="84" t="str">
        <f>'Internal Summary'!B49</f>
        <v/>
      </c>
      <c r="L10" s="83">
        <f t="shared" si="1"/>
        <v>0</v>
      </c>
      <c r="M10" s="83">
        <f t="shared" si="2"/>
        <v>0</v>
      </c>
    </row>
    <row r="11">
      <c r="K11" s="84" t="str">
        <f>'Internal Summary'!B50</f>
        <v/>
      </c>
      <c r="L11" s="83">
        <f t="shared" si="1"/>
        <v>0</v>
      </c>
      <c r="M11" s="83">
        <f t="shared" si="2"/>
        <v>0</v>
      </c>
    </row>
    <row r="12">
      <c r="A12" s="55"/>
      <c r="K12" s="84" t="str">
        <f>'Internal Summary'!B51</f>
        <v/>
      </c>
      <c r="L12" s="83">
        <f t="shared" si="1"/>
        <v>0</v>
      </c>
      <c r="M12" s="83">
        <f t="shared" si="2"/>
        <v>0</v>
      </c>
    </row>
    <row r="13">
      <c r="K13" s="84" t="str">
        <f>'Internal Summary'!B52</f>
        <v/>
      </c>
      <c r="L13" s="83">
        <f t="shared" si="1"/>
        <v>0</v>
      </c>
      <c r="M13" s="83">
        <f t="shared" si="2"/>
        <v>0</v>
      </c>
    </row>
    <row r="14"/>
    <row r="15">
      <c r="I15" s="80"/>
    </row>
    <row r="16"/>
    <row r="17"/>
    <row r="18">
      <c r="I18" s="80"/>
    </row>
    <row r="19"/>
    <row r="20"/>
    <row r="21">
      <c r="I21" s="80"/>
    </row>
    <row r="22"/>
    <row r="23"/>
    <row r="24">
      <c r="I24" s="80"/>
    </row>
    <row r="25"/>
    <row r="26"/>
    <row r="27">
      <c r="I27" s="80"/>
    </row>
    <row r="28"/>
    <row r="29"/>
    <row r="30">
      <c r="I30" s="80"/>
    </row>
    <row r="31"/>
    <row r="32"/>
    <row r="33">
      <c r="I33" s="80"/>
    </row>
    <row r="34"/>
    <row r="35"/>
    <row r="36">
      <c r="I36" s="80"/>
    </row>
    <row r="37"/>
    <row r="38"/>
    <row r="39">
      <c r="I39" s="80"/>
    </row>
    <row r="40"/>
    <row r="41"/>
    <row r="42">
      <c r="I42" s="80"/>
    </row>
    <row r="43"/>
    <row r="44"/>
    <row r="45">
      <c r="I45" s="80"/>
    </row>
    <row r="46"/>
    <row r="47"/>
    <row r="48">
      <c r="I48" s="80"/>
    </row>
    <row r="49"/>
    <row r="50"/>
    <row r="51">
      <c r="I51" s="80"/>
    </row>
    <row r="52"/>
    <row r="53"/>
    <row r="54">
      <c r="I54" s="80"/>
    </row>
    <row r="55"/>
    <row r="56"/>
    <row r="57">
      <c r="I57" s="80"/>
    </row>
    <row r="58"/>
    <row r="59"/>
    <row r="60">
      <c r="I60" s="80"/>
    </row>
    <row r="61"/>
    <row r="62"/>
    <row r="63">
      <c r="I63" s="80"/>
    </row>
    <row r="64"/>
    <row r="65"/>
    <row r="66">
      <c r="I66" s="80"/>
    </row>
    <row r="69">
      <c r="I69" s="80"/>
    </row>
    <row r="72">
      <c r="I72" s="80"/>
    </row>
    <row r="75">
      <c r="I75" s="80"/>
    </row>
    <row r="78">
      <c r="I78" s="80"/>
    </row>
    <row r="81">
      <c r="I81" s="80"/>
    </row>
    <row r="84">
      <c r="I84" s="80"/>
    </row>
    <row r="87">
      <c r="I87" s="80"/>
    </row>
    <row r="90">
      <c r="I90" s="80"/>
    </row>
    <row r="93">
      <c r="I93" s="80"/>
    </row>
    <row r="96">
      <c r="I96" s="80"/>
    </row>
    <row r="99">
      <c r="I99" s="80"/>
    </row>
    <row r="102">
      <c r="I102" s="80"/>
    </row>
    <row r="105">
      <c r="I105" s="80"/>
    </row>
    <row r="108">
      <c r="I108" s="80"/>
    </row>
    <row r="111">
      <c r="I111" s="80"/>
    </row>
    <row r="114">
      <c r="I114" s="80"/>
    </row>
    <row r="117">
      <c r="I117" s="80"/>
    </row>
    <row r="120">
      <c r="I120" s="80"/>
    </row>
    <row r="123">
      <c r="I123" s="80"/>
    </row>
    <row r="126">
      <c r="I126" s="80"/>
    </row>
    <row r="129">
      <c r="I129" s="80"/>
    </row>
    <row r="132">
      <c r="I132" s="80"/>
    </row>
    <row r="135">
      <c r="I135" s="80"/>
    </row>
    <row r="138">
      <c r="I138" s="80"/>
    </row>
    <row r="141">
      <c r="I141" s="80"/>
    </row>
    <row r="144">
      <c r="I144" s="80"/>
    </row>
    <row r="147">
      <c r="I147" s="80"/>
    </row>
    <row r="150">
      <c r="I150" s="80"/>
    </row>
    <row r="153">
      <c r="I153" s="80"/>
    </row>
    <row r="156">
      <c r="I156" s="80"/>
    </row>
    <row r="159">
      <c r="I159" s="80"/>
    </row>
    <row r="162">
      <c r="I162" s="80"/>
    </row>
    <row r="165">
      <c r="I165" s="80"/>
    </row>
    <row r="168">
      <c r="I168" s="80"/>
    </row>
    <row r="171">
      <c r="I171" s="80"/>
    </row>
    <row r="174">
      <c r="I174" s="80"/>
    </row>
    <row r="177">
      <c r="I177" s="80"/>
    </row>
    <row r="180">
      <c r="I180" s="80"/>
    </row>
    <row r="183">
      <c r="I183" s="80"/>
    </row>
    <row r="186">
      <c r="I186" s="80"/>
    </row>
    <row r="189">
      <c r="I189" s="80"/>
    </row>
    <row r="192">
      <c r="I192" s="80"/>
    </row>
    <row r="195">
      <c r="I195" s="80"/>
    </row>
    <row r="198">
      <c r="I198" s="80"/>
    </row>
    <row r="201">
      <c r="I201" s="80"/>
    </row>
    <row r="204">
      <c r="I204" s="80"/>
    </row>
    <row r="207">
      <c r="I207" s="80"/>
    </row>
    <row r="210">
      <c r="I210" s="80"/>
    </row>
    <row r="213">
      <c r="I213" s="80"/>
    </row>
    <row r="216">
      <c r="I216" s="80"/>
    </row>
    <row r="219">
      <c r="I219" s="80"/>
    </row>
    <row r="222">
      <c r="I222" s="80"/>
    </row>
    <row r="225">
      <c r="I225" s="80"/>
    </row>
    <row r="228">
      <c r="I228" s="80"/>
    </row>
    <row r="231">
      <c r="I231" s="80"/>
    </row>
    <row r="234">
      <c r="I234" s="80"/>
    </row>
    <row r="237">
      <c r="I237" s="80"/>
    </row>
    <row r="240">
      <c r="I240" s="80"/>
    </row>
    <row r="243">
      <c r="I243" s="80"/>
    </row>
    <row r="318">
      <c r="I318" s="80"/>
    </row>
    <row r="321">
      <c r="I321" s="80"/>
    </row>
    <row r="324">
      <c r="I324" s="80"/>
    </row>
    <row r="327">
      <c r="I327" s="80"/>
    </row>
    <row r="330">
      <c r="I330" s="80"/>
    </row>
    <row r="333">
      <c r="I333" s="80"/>
    </row>
    <row r="336">
      <c r="I336" s="80"/>
    </row>
    <row r="339">
      <c r="I339" s="80"/>
    </row>
    <row r="342">
      <c r="I342" s="80"/>
    </row>
    <row r="345">
      <c r="I345" s="80"/>
    </row>
    <row r="348">
      <c r="I348" s="80"/>
    </row>
    <row r="351">
      <c r="I351" s="80"/>
    </row>
    <row r="354">
      <c r="I354" s="80"/>
    </row>
    <row r="357">
      <c r="I357" s="80"/>
    </row>
    <row r="360">
      <c r="I360" s="80"/>
    </row>
    <row r="363">
      <c r="I363" s="80"/>
    </row>
    <row r="366">
      <c r="I366" s="80"/>
    </row>
    <row r="369">
      <c r="I369" s="80"/>
    </row>
    <row r="372">
      <c r="I372" s="80"/>
    </row>
    <row r="375">
      <c r="I375" s="80"/>
    </row>
    <row r="378">
      <c r="I378" s="80"/>
    </row>
    <row r="381">
      <c r="I381" s="80"/>
    </row>
    <row r="384">
      <c r="I384" s="80"/>
    </row>
    <row r="387">
      <c r="I387" s="80"/>
    </row>
    <row r="390">
      <c r="I390" s="80"/>
    </row>
    <row r="393">
      <c r="I393" s="80"/>
    </row>
    <row r="396">
      <c r="I396" s="80"/>
    </row>
    <row r="399">
      <c r="I399" s="80"/>
    </row>
    <row r="402">
      <c r="I402" s="80"/>
    </row>
    <row r="405">
      <c r="I405" s="80"/>
    </row>
    <row r="408">
      <c r="I408" s="80"/>
    </row>
    <row r="411">
      <c r="I411" s="80"/>
    </row>
    <row r="414">
      <c r="I414" s="80"/>
    </row>
    <row r="417">
      <c r="I417" s="80"/>
    </row>
    <row r="420">
      <c r="I420" s="80"/>
    </row>
    <row r="423">
      <c r="I423" s="80"/>
    </row>
    <row r="426">
      <c r="I426" s="80"/>
    </row>
    <row r="429">
      <c r="I429" s="80"/>
    </row>
    <row r="432">
      <c r="I432" s="80"/>
    </row>
    <row r="435">
      <c r="I435" s="80"/>
    </row>
    <row r="438">
      <c r="I438" s="80"/>
    </row>
    <row r="441">
      <c r="I441" s="80"/>
    </row>
    <row r="444">
      <c r="I444" s="80"/>
    </row>
    <row r="447">
      <c r="I447" s="80"/>
    </row>
    <row r="450">
      <c r="I450" s="80"/>
    </row>
    <row r="453">
      <c r="I453" s="80"/>
    </row>
    <row r="456">
      <c r="I456" s="80"/>
    </row>
    <row r="459">
      <c r="I459" s="80"/>
    </row>
    <row r="462">
      <c r="I462" s="80"/>
    </row>
    <row r="465">
      <c r="I465" s="80"/>
    </row>
    <row r="468">
      <c r="I468" s="80"/>
    </row>
    <row r="471">
      <c r="I471" s="80"/>
    </row>
    <row r="474">
      <c r="I474" s="80"/>
    </row>
    <row r="477">
      <c r="I477" s="80"/>
    </row>
    <row r="480">
      <c r="I480" s="80"/>
    </row>
    <row r="483">
      <c r="I483" s="80"/>
    </row>
    <row r="486">
      <c r="I486" s="80"/>
    </row>
    <row r="489">
      <c r="I489" s="80"/>
    </row>
    <row r="492">
      <c r="I492" s="80"/>
    </row>
    <row r="495">
      <c r="I495" s="80"/>
    </row>
    <row r="498">
      <c r="I498" s="80"/>
    </row>
    <row r="501">
      <c r="I501" s="80"/>
    </row>
    <row r="504">
      <c r="I504" s="80"/>
    </row>
    <row r="507">
      <c r="I507" s="80"/>
    </row>
    <row r="510">
      <c r="I510" s="80"/>
    </row>
    <row r="513">
      <c r="I513" s="80"/>
    </row>
    <row r="516">
      <c r="I516" s="80"/>
    </row>
    <row r="519">
      <c r="I519" s="80"/>
    </row>
    <row r="522">
      <c r="I522" s="80"/>
    </row>
    <row r="525">
      <c r="I525" s="80"/>
    </row>
    <row r="528">
      <c r="I528" s="80"/>
    </row>
    <row r="531">
      <c r="I531" s="80"/>
    </row>
    <row r="534">
      <c r="I534" s="80"/>
    </row>
    <row r="537">
      <c r="I537" s="80"/>
    </row>
    <row r="540">
      <c r="I540" s="80"/>
    </row>
    <row r="543">
      <c r="I543" s="80"/>
    </row>
    <row r="546">
      <c r="I546" s="80"/>
    </row>
    <row r="549">
      <c r="I549" s="80"/>
    </row>
    <row r="552">
      <c r="I552" s="80"/>
    </row>
    <row r="555">
      <c r="I555" s="80"/>
    </row>
    <row r="558">
      <c r="I558" s="80"/>
    </row>
    <row r="561">
      <c r="I561" s="80"/>
    </row>
    <row r="564">
      <c r="I564" s="80"/>
    </row>
    <row r="567">
      <c r="I567" s="80"/>
    </row>
    <row r="570">
      <c r="I570" s="80"/>
    </row>
    <row r="573">
      <c r="I573" s="80"/>
    </row>
    <row r="576">
      <c r="I576" s="80"/>
    </row>
    <row r="579">
      <c r="I579" s="80"/>
    </row>
    <row r="582">
      <c r="I582" s="80"/>
    </row>
    <row r="585">
      <c r="I585" s="80"/>
    </row>
    <row r="588">
      <c r="I588" s="80"/>
    </row>
    <row r="591">
      <c r="I591" s="80"/>
    </row>
    <row r="594">
      <c r="I594" s="80"/>
    </row>
    <row r="597">
      <c r="I597" s="80"/>
    </row>
    <row r="600">
      <c r="I600" s="80"/>
    </row>
    <row r="603">
      <c r="I603" s="80"/>
    </row>
    <row r="606">
      <c r="I606" s="8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82" t="s">
        <v>113</v>
      </c>
      <c r="I1" s="83">
        <f>countifs(B:B,"&lt;&gt;",F:F,"&lt;&gt;")-1</f>
        <v>0</v>
      </c>
      <c r="K1" s="84" t="s">
        <v>114</v>
      </c>
      <c r="L1" s="84" t="s">
        <v>115</v>
      </c>
      <c r="M1" s="84" t="s">
        <v>13</v>
      </c>
    </row>
    <row r="2">
      <c r="H2" s="82" t="s">
        <v>116</v>
      </c>
      <c r="I2" s="83">
        <f t="array" ref="I2">(COUNTA(UNIQUE(C:C))-1)</f>
        <v>0</v>
      </c>
      <c r="K2" s="84" t="str">
        <f>'Internal Summary'!B41</f>
        <v>250g Dates powder (6x)</v>
      </c>
      <c r="L2" s="83">
        <f t="shared" ref="L2:L13" si="1">sumif(D:D,K2,E:E)</f>
        <v>0</v>
      </c>
      <c r="M2" s="83">
        <f t="shared" ref="M2:M13" si="2">sumif(D:D,K2,F:F)</f>
        <v>0</v>
      </c>
    </row>
    <row r="3">
      <c r="H3" s="82" t="s">
        <v>117</v>
      </c>
      <c r="I3" s="83">
        <f>sum(F:F)</f>
        <v>0</v>
      </c>
      <c r="K3" s="84" t="str">
        <f>'Internal Summary'!B42</f>
        <v>80g Kuli Kuli (12x)</v>
      </c>
      <c r="L3" s="83">
        <f t="shared" si="1"/>
        <v>0</v>
      </c>
      <c r="M3" s="83">
        <f t="shared" si="2"/>
        <v>0</v>
      </c>
    </row>
    <row r="4">
      <c r="H4" s="1"/>
      <c r="K4" s="84" t="str">
        <f>'Internal Summary'!B43</f>
        <v/>
      </c>
      <c r="L4" s="83">
        <f t="shared" si="1"/>
        <v>0</v>
      </c>
      <c r="M4" s="83">
        <f t="shared" si="2"/>
        <v>0</v>
      </c>
    </row>
    <row r="5">
      <c r="H5" s="1"/>
      <c r="K5" s="84" t="str">
        <f>'Internal Summary'!B44</f>
        <v/>
      </c>
      <c r="L5" s="83">
        <f t="shared" si="1"/>
        <v>0</v>
      </c>
      <c r="M5" s="83">
        <f t="shared" si="2"/>
        <v>0</v>
      </c>
    </row>
    <row r="6">
      <c r="K6" s="84" t="str">
        <f>'Internal Summary'!B45</f>
        <v/>
      </c>
      <c r="L6" s="83">
        <f t="shared" si="1"/>
        <v>0</v>
      </c>
      <c r="M6" s="83">
        <f t="shared" si="2"/>
        <v>0</v>
      </c>
    </row>
    <row r="7">
      <c r="K7" s="84" t="str">
        <f>'Internal Summary'!B46</f>
        <v/>
      </c>
      <c r="L7" s="83">
        <f t="shared" si="1"/>
        <v>0</v>
      </c>
      <c r="M7" s="83">
        <f t="shared" si="2"/>
        <v>0</v>
      </c>
    </row>
    <row r="8">
      <c r="K8" s="84" t="str">
        <f>'Internal Summary'!B47</f>
        <v/>
      </c>
      <c r="L8" s="83">
        <f t="shared" si="1"/>
        <v>0</v>
      </c>
      <c r="M8" s="83">
        <f t="shared" si="2"/>
        <v>0</v>
      </c>
    </row>
    <row r="9">
      <c r="K9" s="84" t="str">
        <f>'Internal Summary'!B48</f>
        <v/>
      </c>
      <c r="L9" s="83">
        <f t="shared" si="1"/>
        <v>0</v>
      </c>
      <c r="M9" s="83">
        <f t="shared" si="2"/>
        <v>0</v>
      </c>
    </row>
    <row r="10">
      <c r="K10" s="84" t="str">
        <f>'Internal Summary'!B49</f>
        <v/>
      </c>
      <c r="L10" s="83">
        <f t="shared" si="1"/>
        <v>0</v>
      </c>
      <c r="M10" s="83">
        <f t="shared" si="2"/>
        <v>0</v>
      </c>
    </row>
    <row r="11">
      <c r="K11" s="84" t="str">
        <f>'Internal Summary'!B50</f>
        <v/>
      </c>
      <c r="L11" s="83">
        <f t="shared" si="1"/>
        <v>0</v>
      </c>
      <c r="M11" s="83">
        <f t="shared" si="2"/>
        <v>0</v>
      </c>
    </row>
    <row r="12">
      <c r="K12" s="84" t="str">
        <f>'Internal Summary'!B51</f>
        <v/>
      </c>
      <c r="L12" s="83">
        <f t="shared" si="1"/>
        <v>0</v>
      </c>
      <c r="M12" s="83">
        <f t="shared" si="2"/>
        <v>0</v>
      </c>
    </row>
    <row r="13">
      <c r="K13" s="84" t="str">
        <f>'Internal Summary'!B52</f>
        <v/>
      </c>
      <c r="L13" s="83">
        <f t="shared" si="1"/>
        <v>0</v>
      </c>
      <c r="M13" s="8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82" t="s">
        <v>113</v>
      </c>
      <c r="I1" s="83">
        <f>countifs(B:B,"&lt;&gt;",F:F,"&lt;&gt;")-1</f>
        <v>0</v>
      </c>
      <c r="K1" s="84" t="s">
        <v>114</v>
      </c>
      <c r="L1" s="84" t="s">
        <v>118</v>
      </c>
      <c r="M1" s="84" t="s">
        <v>13</v>
      </c>
    </row>
    <row r="2">
      <c r="H2" s="82" t="s">
        <v>116</v>
      </c>
      <c r="I2" s="83">
        <f t="array" ref="I2">(COUNTA(UNIQUE(C:C))-1)</f>
        <v>0</v>
      </c>
      <c r="K2" s="84" t="str">
        <f>'Internal Summary'!B41</f>
        <v>250g Dates powder (6x)</v>
      </c>
      <c r="L2" s="83">
        <f t="shared" ref="L2:L13" si="1">sumif(D:D,K2,E:E)</f>
        <v>0</v>
      </c>
      <c r="M2" s="86">
        <f t="shared" ref="M2:M13" si="2">sumif(D:D,K2,F:F)</f>
        <v>0</v>
      </c>
    </row>
    <row r="3">
      <c r="H3" s="82" t="s">
        <v>117</v>
      </c>
      <c r="I3" s="83">
        <f>sum(F:F)</f>
        <v>0</v>
      </c>
      <c r="K3" s="84" t="str">
        <f>'Internal Summary'!B42</f>
        <v>80g Kuli Kuli (12x)</v>
      </c>
      <c r="L3" s="83">
        <f t="shared" si="1"/>
        <v>0</v>
      </c>
      <c r="M3" s="86">
        <f t="shared" si="2"/>
        <v>0</v>
      </c>
    </row>
    <row r="4">
      <c r="H4" s="1"/>
      <c r="K4" s="84" t="str">
        <f>'Internal Summary'!B43</f>
        <v/>
      </c>
      <c r="L4" s="83">
        <f t="shared" si="1"/>
        <v>0</v>
      </c>
      <c r="M4" s="86">
        <f t="shared" si="2"/>
        <v>0</v>
      </c>
    </row>
    <row r="5">
      <c r="H5" s="1"/>
      <c r="K5" s="84" t="str">
        <f>'Internal Summary'!B44</f>
        <v/>
      </c>
      <c r="L5" s="83">
        <f t="shared" si="1"/>
        <v>0</v>
      </c>
      <c r="M5" s="86">
        <f t="shared" si="2"/>
        <v>0</v>
      </c>
    </row>
    <row r="6">
      <c r="K6" s="84" t="str">
        <f>'Internal Summary'!B45</f>
        <v/>
      </c>
      <c r="L6" s="83">
        <f t="shared" si="1"/>
        <v>0</v>
      </c>
      <c r="M6" s="86">
        <f t="shared" si="2"/>
        <v>0</v>
      </c>
    </row>
    <row r="7">
      <c r="K7" s="84" t="str">
        <f>'Internal Summary'!B46</f>
        <v/>
      </c>
      <c r="L7" s="83">
        <f t="shared" si="1"/>
        <v>0</v>
      </c>
      <c r="M7" s="86">
        <f t="shared" si="2"/>
        <v>0</v>
      </c>
    </row>
    <row r="8">
      <c r="K8" s="84" t="str">
        <f>'Internal Summary'!B47</f>
        <v/>
      </c>
      <c r="L8" s="83">
        <f t="shared" si="1"/>
        <v>0</v>
      </c>
      <c r="M8" s="86">
        <f t="shared" si="2"/>
        <v>0</v>
      </c>
    </row>
    <row r="9">
      <c r="K9" s="84" t="str">
        <f>'Internal Summary'!B48</f>
        <v/>
      </c>
      <c r="L9" s="83">
        <f t="shared" si="1"/>
        <v>0</v>
      </c>
      <c r="M9" s="86">
        <f t="shared" si="2"/>
        <v>0</v>
      </c>
    </row>
    <row r="10">
      <c r="K10" s="84" t="str">
        <f>'Internal Summary'!B49</f>
        <v/>
      </c>
      <c r="L10" s="83">
        <f t="shared" si="1"/>
        <v>0</v>
      </c>
      <c r="M10" s="86">
        <f t="shared" si="2"/>
        <v>0</v>
      </c>
    </row>
    <row r="11">
      <c r="K11" s="84" t="str">
        <f>'Internal Summary'!B50</f>
        <v/>
      </c>
      <c r="L11" s="83">
        <f t="shared" si="1"/>
        <v>0</v>
      </c>
      <c r="M11" s="86">
        <f t="shared" si="2"/>
        <v>0</v>
      </c>
    </row>
    <row r="12">
      <c r="K12" s="84" t="str">
        <f>'Internal Summary'!B51</f>
        <v/>
      </c>
      <c r="L12" s="83">
        <f t="shared" si="1"/>
        <v>0</v>
      </c>
      <c r="M12" s="86">
        <f t="shared" si="2"/>
        <v>0</v>
      </c>
    </row>
    <row r="13">
      <c r="K13" s="84" t="str">
        <f>'Internal Summary'!B52</f>
        <v/>
      </c>
      <c r="L13" s="83">
        <f t="shared" si="1"/>
        <v>0</v>
      </c>
      <c r="M13" s="8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82" t="s">
        <v>113</v>
      </c>
      <c r="I1" s="83">
        <f>countifs(B:B,"&lt;&gt;",F:F,"&lt;&gt;")-1</f>
        <v>2</v>
      </c>
      <c r="K1" s="84" t="s">
        <v>114</v>
      </c>
      <c r="L1" s="84" t="s">
        <v>115</v>
      </c>
    </row>
    <row r="2">
      <c r="H2" s="82" t="s">
        <v>116</v>
      </c>
      <c r="I2" s="83">
        <f t="array" ref="I2">(COUNTA(UNIQUE(C:C,,0))-1)</f>
        <v>1</v>
      </c>
      <c r="K2" s="84" t="str">
        <f>'Internal Summary'!B41</f>
        <v>250g Dates powder (6x)</v>
      </c>
      <c r="L2" s="83">
        <f t="shared" ref="L2:L13" si="1">sumif(D:D,K2,E:E)</f>
        <v>75</v>
      </c>
    </row>
    <row r="3">
      <c r="H3" s="82" t="s">
        <v>117</v>
      </c>
      <c r="I3" s="83">
        <f>sum(F:F)</f>
        <v>972000</v>
      </c>
      <c r="K3" s="84" t="str">
        <f>'Internal Summary'!B42</f>
        <v>80g Kuli Kuli (12x)</v>
      </c>
      <c r="L3" s="83">
        <f t="shared" si="1"/>
        <v>10</v>
      </c>
    </row>
    <row r="4">
      <c r="H4" s="1"/>
      <c r="K4" s="84" t="str">
        <f>'Internal Summary'!B43</f>
        <v/>
      </c>
      <c r="L4" s="83">
        <f t="shared" si="1"/>
        <v>0</v>
      </c>
    </row>
    <row r="5">
      <c r="H5" s="1"/>
      <c r="K5" s="84" t="str">
        <f>'Internal Summary'!B44</f>
        <v/>
      </c>
      <c r="L5" s="83">
        <f t="shared" si="1"/>
        <v>0</v>
      </c>
    </row>
    <row r="6">
      <c r="K6" s="84" t="str">
        <f>'Internal Summary'!B45</f>
        <v/>
      </c>
      <c r="L6" s="83">
        <f t="shared" si="1"/>
        <v>0</v>
      </c>
    </row>
    <row r="7">
      <c r="K7" s="84" t="str">
        <f>'Internal Summary'!B46</f>
        <v/>
      </c>
      <c r="L7" s="83">
        <f t="shared" si="1"/>
        <v>0</v>
      </c>
    </row>
    <row r="8">
      <c r="K8" s="84" t="str">
        <f>'Internal Summary'!B47</f>
        <v/>
      </c>
      <c r="L8" s="83">
        <f t="shared" si="1"/>
        <v>0</v>
      </c>
    </row>
    <row r="9">
      <c r="K9" s="84" t="str">
        <f>'Internal Summary'!B48</f>
        <v/>
      </c>
      <c r="L9" s="83">
        <f t="shared" si="1"/>
        <v>0</v>
      </c>
    </row>
    <row r="10">
      <c r="K10" s="84" t="str">
        <f>'Internal Summary'!B49</f>
        <v/>
      </c>
      <c r="L10" s="83">
        <f t="shared" si="1"/>
        <v>0</v>
      </c>
    </row>
    <row r="11">
      <c r="K11" s="84" t="str">
        <f>'Internal Summary'!B50</f>
        <v/>
      </c>
      <c r="L11" s="83">
        <f t="shared" si="1"/>
        <v>0</v>
      </c>
    </row>
    <row r="12">
      <c r="K12" s="84" t="str">
        <f>'Internal Summary'!B51</f>
        <v/>
      </c>
      <c r="L12" s="83">
        <f t="shared" si="1"/>
        <v>0</v>
      </c>
    </row>
    <row r="13">
      <c r="K13" s="84" t="str">
        <f>'Internal Summary'!B52</f>
        <v/>
      </c>
      <c r="L13" s="83">
        <f t="shared" si="1"/>
        <v>0</v>
      </c>
    </row>
    <row r="14"/>
    <row r="15"/>
    <row r="16"/>
    <row r="17"/>
    <row r="18"/>
    <row r="132" ht="14.25" customHeight="1"/>
    <row r="138">
      <c r="A138" s="8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82" t="s">
        <v>113</v>
      </c>
      <c r="I1" s="83">
        <f>countifs(B:B,"&lt;&gt;",F:F,"&lt;&gt;")-1</f>
        <v>0</v>
      </c>
      <c r="K1" s="84" t="s">
        <v>114</v>
      </c>
      <c r="L1" s="84" t="s">
        <v>115</v>
      </c>
    </row>
    <row r="2">
      <c r="H2" s="82" t="s">
        <v>116</v>
      </c>
      <c r="I2" s="83">
        <f t="array" ref="I2">(COUNTA(UNIQUE(C:C,,0))-1)</f>
        <v>0</v>
      </c>
      <c r="K2" s="84" t="str">
        <f>'Internal Summary'!B41</f>
        <v>250g Dates powder (6x)</v>
      </c>
      <c r="L2" s="83">
        <f t="shared" ref="L2:L13" si="1">sumif(D:D,K2,E:E)</f>
        <v>0</v>
      </c>
    </row>
    <row r="3">
      <c r="H3" s="82" t="s">
        <v>117</v>
      </c>
      <c r="I3" s="83">
        <f>sum(F:F)</f>
        <v>0</v>
      </c>
      <c r="K3" s="84" t="str">
        <f>'Internal Summary'!B42</f>
        <v>80g Kuli Kuli (12x)</v>
      </c>
      <c r="L3" s="83">
        <f t="shared" si="1"/>
        <v>0</v>
      </c>
    </row>
    <row r="4">
      <c r="H4" s="1"/>
      <c r="K4" s="84" t="str">
        <f>'Internal Summary'!B43</f>
        <v/>
      </c>
      <c r="L4" s="83">
        <f t="shared" si="1"/>
        <v>0</v>
      </c>
    </row>
    <row r="5">
      <c r="H5" s="1"/>
      <c r="K5" s="84" t="str">
        <f>'Internal Summary'!B44</f>
        <v/>
      </c>
      <c r="L5" s="83">
        <f t="shared" si="1"/>
        <v>0</v>
      </c>
    </row>
    <row r="6">
      <c r="K6" s="84" t="str">
        <f>'Internal Summary'!B45</f>
        <v/>
      </c>
      <c r="L6" s="83">
        <f t="shared" si="1"/>
        <v>0</v>
      </c>
    </row>
    <row r="7">
      <c r="K7" s="84" t="str">
        <f>'Internal Summary'!B46</f>
        <v/>
      </c>
      <c r="L7" s="83">
        <f t="shared" si="1"/>
        <v>0</v>
      </c>
    </row>
    <row r="8">
      <c r="K8" s="84" t="str">
        <f>'Internal Summary'!B47</f>
        <v/>
      </c>
      <c r="L8" s="83">
        <f t="shared" si="1"/>
        <v>0</v>
      </c>
    </row>
    <row r="9">
      <c r="K9" s="84" t="str">
        <f>'Internal Summary'!B48</f>
        <v/>
      </c>
      <c r="L9" s="83">
        <f t="shared" si="1"/>
        <v>0</v>
      </c>
    </row>
    <row r="10">
      <c r="K10" s="84" t="str">
        <f>'Internal Summary'!B49</f>
        <v/>
      </c>
      <c r="L10" s="83">
        <f t="shared" si="1"/>
        <v>0</v>
      </c>
    </row>
    <row r="11">
      <c r="K11" s="84" t="str">
        <f>'Internal Summary'!B50</f>
        <v/>
      </c>
      <c r="L11" s="83">
        <f t="shared" si="1"/>
        <v>0</v>
      </c>
    </row>
    <row r="12">
      <c r="K12" s="84" t="str">
        <f>'Internal Summary'!B51</f>
        <v/>
      </c>
      <c r="L12" s="83">
        <f t="shared" si="1"/>
        <v>0</v>
      </c>
    </row>
    <row r="13">
      <c r="K13" s="84" t="str">
        <f>'Internal Summary'!B52</f>
        <v/>
      </c>
      <c r="L13" s="83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8"/>
      <c r="B1" s="82" t="s">
        <v>119</v>
      </c>
      <c r="C1" s="82" t="s">
        <v>115</v>
      </c>
      <c r="D1" s="82" t="s">
        <v>120</v>
      </c>
      <c r="E1" s="82" t="s">
        <v>121</v>
      </c>
      <c r="F1" s="89"/>
    </row>
    <row r="2">
      <c r="A2" s="90" t="s">
        <v>122</v>
      </c>
      <c r="B2" s="91" t="s">
        <v>113</v>
      </c>
      <c r="C2" s="92"/>
      <c r="D2" s="93"/>
      <c r="E2" s="94">
        <f>'Dala Sales &amp; Deliveries'!I1+'External Delivery Fulfillment'!I1</f>
        <v>48</v>
      </c>
      <c r="F2" s="89"/>
    </row>
    <row r="3">
      <c r="A3" s="95"/>
      <c r="B3" s="91" t="s">
        <v>123</v>
      </c>
      <c r="C3" s="92"/>
      <c r="D3" s="92"/>
      <c r="E3" s="91">
        <f>'Raw Data'!AX3</f>
        <v>37</v>
      </c>
      <c r="F3" s="89"/>
    </row>
    <row r="4">
      <c r="B4" s="96" t="s">
        <v>124</v>
      </c>
      <c r="C4" s="89"/>
      <c r="D4" s="97"/>
      <c r="E4" s="98">
        <f>'Dala Sales &amp; Deliveries'!I3</f>
        <v>745200</v>
      </c>
      <c r="F4" s="89"/>
    </row>
    <row r="5">
      <c r="B5" s="96" t="s">
        <v>125</v>
      </c>
      <c r="C5" s="89"/>
      <c r="D5" s="97"/>
      <c r="E5" s="98">
        <f>'External Delivery Fulfillment'!I3</f>
        <v>0</v>
      </c>
      <c r="F5" s="89"/>
    </row>
    <row r="6">
      <c r="A6" s="99"/>
      <c r="B6" s="100" t="s">
        <v>126</v>
      </c>
      <c r="C6" s="101"/>
      <c r="D6" s="92"/>
      <c r="E6" s="102">
        <f>E4*1.075-E4</f>
        <v>55890</v>
      </c>
      <c r="F6" s="89"/>
    </row>
    <row r="7">
      <c r="A7" s="103"/>
      <c r="B7" s="104" t="s">
        <v>127</v>
      </c>
      <c r="C7" s="105"/>
      <c r="D7" s="105"/>
      <c r="E7" s="106">
        <f>sum(E4:E6)</f>
        <v>801090</v>
      </c>
      <c r="F7" s="89"/>
    </row>
    <row r="8">
      <c r="A8" s="90" t="s">
        <v>128</v>
      </c>
      <c r="B8" s="91" t="s">
        <v>129</v>
      </c>
      <c r="C8" s="92"/>
      <c r="D8" s="107"/>
      <c r="E8" s="108"/>
    </row>
    <row r="9">
      <c r="A9" s="103"/>
      <c r="B9" s="104" t="s">
        <v>130</v>
      </c>
      <c r="C9" s="109">
        <v>0.1</v>
      </c>
      <c r="D9" s="110"/>
      <c r="E9" s="106">
        <f>E8*(C9+100%)-E8</f>
        <v>0</v>
      </c>
      <c r="K9" s="80"/>
      <c r="L9" s="80"/>
      <c r="M9" s="80"/>
    </row>
    <row r="10">
      <c r="A10" s="111" t="s">
        <v>131</v>
      </c>
      <c r="B10" s="104" t="s">
        <v>132</v>
      </c>
      <c r="C10" s="105"/>
      <c r="D10" s="110"/>
      <c r="E10" s="106">
        <f>E7-E8-E9</f>
        <v>801090</v>
      </c>
    </row>
    <row r="11">
      <c r="A11" s="90" t="s">
        <v>133</v>
      </c>
      <c r="B11" s="91" t="s">
        <v>134</v>
      </c>
      <c r="C11" s="112"/>
      <c r="D11" s="113">
        <v>150000.0</v>
      </c>
      <c r="E11" s="113">
        <f>C11*D11</f>
        <v>0</v>
      </c>
    </row>
    <row r="12">
      <c r="A12" s="95"/>
      <c r="B12" s="91" t="s">
        <v>130</v>
      </c>
      <c r="C12" s="114"/>
      <c r="D12" s="107"/>
      <c r="E12" s="113">
        <f>E10*C9</f>
        <v>80109</v>
      </c>
    </row>
    <row r="13">
      <c r="A13" s="95"/>
      <c r="B13" s="115" t="s">
        <v>135</v>
      </c>
      <c r="C13" s="116"/>
      <c r="D13" s="117"/>
      <c r="E13" s="118">
        <f>C27</f>
        <v>69040</v>
      </c>
    </row>
    <row r="14">
      <c r="A14" s="95"/>
      <c r="B14" s="115" t="s">
        <v>136</v>
      </c>
      <c r="C14" s="119"/>
      <c r="D14" s="120" t="s">
        <v>137</v>
      </c>
      <c r="E14" s="118">
        <f>C29+C23</f>
        <v>47500</v>
      </c>
    </row>
    <row r="15">
      <c r="A15" s="95"/>
      <c r="B15" s="91" t="s">
        <v>138</v>
      </c>
      <c r="C15" s="107"/>
      <c r="D15" s="107"/>
      <c r="E15" s="121">
        <v>0.0</v>
      </c>
    </row>
    <row r="16">
      <c r="A16" s="95"/>
      <c r="B16" s="91" t="s">
        <v>139</v>
      </c>
      <c r="C16" s="107"/>
      <c r="D16" s="107"/>
      <c r="E16" s="113">
        <f>C31</f>
        <v>0</v>
      </c>
    </row>
    <row r="17">
      <c r="A17" s="103"/>
      <c r="B17" s="104" t="s">
        <v>140</v>
      </c>
      <c r="C17" s="110"/>
      <c r="D17" s="110"/>
      <c r="E17" s="106">
        <f>sum(E11:E16)</f>
        <v>196649</v>
      </c>
      <c r="H17" s="1"/>
      <c r="I17" s="1"/>
    </row>
    <row r="18">
      <c r="A18" s="111" t="s">
        <v>141</v>
      </c>
      <c r="B18" s="104" t="s">
        <v>142</v>
      </c>
      <c r="C18" s="110"/>
      <c r="D18" s="110"/>
      <c r="E18" s="106">
        <f>E10-E17+C37</f>
        <v>604441</v>
      </c>
      <c r="H18" s="1"/>
      <c r="I18" s="102"/>
      <c r="J18" s="122"/>
      <c r="K18" s="122"/>
      <c r="L18" s="122"/>
      <c r="M18" s="122"/>
      <c r="N18" s="122"/>
    </row>
    <row r="19">
      <c r="A19" s="123"/>
      <c r="B19" s="123"/>
      <c r="C19" s="123"/>
      <c r="D19" s="123"/>
      <c r="E19" s="123"/>
      <c r="H19" s="1"/>
      <c r="I19" s="1"/>
      <c r="J19" s="122"/>
      <c r="K19" s="122"/>
      <c r="L19" s="122"/>
      <c r="M19" s="122"/>
      <c r="N19" s="122"/>
    </row>
    <row r="20">
      <c r="A20" s="1"/>
      <c r="B20" s="123"/>
      <c r="C20" s="123"/>
      <c r="D20" s="123"/>
      <c r="E20" s="123"/>
      <c r="H20" s="1"/>
      <c r="I20" s="1"/>
      <c r="J20" s="122"/>
      <c r="K20" s="122"/>
      <c r="L20" s="122"/>
      <c r="M20" s="122"/>
      <c r="N20" s="122"/>
    </row>
    <row r="21">
      <c r="A21" s="1" t="s">
        <v>143</v>
      </c>
      <c r="B21" s="123"/>
      <c r="C21" s="123"/>
      <c r="D21" s="123"/>
      <c r="E21" s="123"/>
      <c r="H21" s="1"/>
      <c r="I21" s="1"/>
      <c r="J21" s="122"/>
      <c r="K21" s="122"/>
      <c r="L21" s="122"/>
      <c r="M21" s="122"/>
      <c r="N21" s="122"/>
    </row>
    <row r="22">
      <c r="A22" s="123"/>
      <c r="B22" s="82" t="s">
        <v>144</v>
      </c>
      <c r="C22" s="124">
        <f>U70</f>
        <v>85</v>
      </c>
      <c r="H22" s="1"/>
      <c r="I22" s="1"/>
      <c r="J22" s="125"/>
      <c r="K22" s="125"/>
      <c r="L22" s="126"/>
      <c r="M22" s="122"/>
      <c r="N22" s="122"/>
    </row>
    <row r="23">
      <c r="A23" s="123"/>
      <c r="B23" s="82" t="s">
        <v>145</v>
      </c>
      <c r="C23" s="124">
        <f>V70</f>
        <v>47500</v>
      </c>
      <c r="H23" s="1"/>
      <c r="I23" s="1"/>
      <c r="J23" s="125"/>
      <c r="K23" s="125"/>
      <c r="L23" s="126"/>
      <c r="M23" s="122"/>
      <c r="N23" s="122"/>
    </row>
    <row r="24">
      <c r="A24" s="123"/>
      <c r="B24" s="82" t="s">
        <v>146</v>
      </c>
      <c r="C24" s="124">
        <f>S70</f>
        <v>0</v>
      </c>
      <c r="H24" s="1"/>
      <c r="I24" s="1"/>
      <c r="J24" s="125"/>
      <c r="K24" s="125"/>
      <c r="L24" s="126"/>
      <c r="M24" s="122"/>
      <c r="N24" s="122"/>
    </row>
    <row r="25">
      <c r="A25" s="123"/>
      <c r="B25" s="82" t="s">
        <v>147</v>
      </c>
      <c r="C25" s="124">
        <f>T70</f>
        <v>0</v>
      </c>
      <c r="H25" s="1"/>
      <c r="I25" s="102"/>
      <c r="J25" s="125"/>
      <c r="K25" s="125"/>
      <c r="L25" s="126"/>
      <c r="M25" s="122"/>
      <c r="N25" s="122"/>
    </row>
    <row r="26">
      <c r="A26" s="123"/>
      <c r="B26" s="82" t="s">
        <v>148</v>
      </c>
      <c r="C26" s="124">
        <f>67</f>
        <v>67</v>
      </c>
      <c r="H26" s="1"/>
      <c r="I26" s="1"/>
    </row>
    <row r="27">
      <c r="A27" s="123"/>
      <c r="B27" s="82" t="s">
        <v>149</v>
      </c>
      <c r="C27" s="127">
        <f>P70</f>
        <v>69040</v>
      </c>
      <c r="H27" s="1"/>
      <c r="I27" s="1"/>
    </row>
    <row r="28">
      <c r="A28" s="123"/>
      <c r="B28" s="82" t="s">
        <v>150</v>
      </c>
      <c r="C28" s="83">
        <f>Q70</f>
        <v>0</v>
      </c>
      <c r="H28" s="1"/>
      <c r="I28" s="1"/>
    </row>
    <row r="29">
      <c r="A29" s="123"/>
      <c r="B29" s="82" t="s">
        <v>151</v>
      </c>
      <c r="C29" s="83">
        <f>R70</f>
        <v>0</v>
      </c>
      <c r="H29" s="1"/>
      <c r="I29" s="1"/>
    </row>
    <row r="30">
      <c r="A30" s="123"/>
      <c r="B30" s="82" t="s">
        <v>152</v>
      </c>
      <c r="C30" s="124">
        <f>F70</f>
        <v>0</v>
      </c>
      <c r="D30" s="123"/>
      <c r="H30" s="1"/>
      <c r="I30" s="1"/>
    </row>
    <row r="31">
      <c r="A31" s="123"/>
      <c r="B31" s="82" t="s">
        <v>153</v>
      </c>
      <c r="C31" s="124">
        <f>G70</f>
        <v>0</v>
      </c>
      <c r="D31" s="123"/>
      <c r="H31" s="1"/>
      <c r="I31" s="1"/>
    </row>
    <row r="32">
      <c r="A32" s="123"/>
      <c r="B32" s="82" t="s">
        <v>154</v>
      </c>
      <c r="C32" s="124">
        <f>I70</f>
        <v>0</v>
      </c>
      <c r="D32" s="123"/>
      <c r="H32" s="1"/>
      <c r="I32" s="1"/>
    </row>
    <row r="33">
      <c r="A33" s="123"/>
      <c r="B33" s="82" t="s">
        <v>155</v>
      </c>
      <c r="C33" s="124">
        <f>J70</f>
        <v>0</v>
      </c>
      <c r="D33" s="123"/>
      <c r="H33" s="1"/>
      <c r="I33" s="1"/>
    </row>
    <row r="34">
      <c r="B34" s="82" t="s">
        <v>156</v>
      </c>
      <c r="C34" s="124">
        <v>0.0</v>
      </c>
    </row>
    <row r="35">
      <c r="B35" s="82" t="s">
        <v>157</v>
      </c>
      <c r="C35" s="83">
        <f>K70</f>
        <v>0</v>
      </c>
    </row>
    <row r="36">
      <c r="B36" s="82" t="s">
        <v>158</v>
      </c>
      <c r="C36" s="124">
        <v>0.0</v>
      </c>
    </row>
    <row r="37">
      <c r="B37" s="82" t="s">
        <v>159</v>
      </c>
      <c r="C37" s="124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82" t="s">
        <v>160</v>
      </c>
      <c r="C40" s="82" t="s">
        <v>161</v>
      </c>
      <c r="D40" s="82" t="s">
        <v>162</v>
      </c>
      <c r="E40" s="82" t="s">
        <v>163</v>
      </c>
      <c r="F40" s="84" t="s">
        <v>164</v>
      </c>
      <c r="G40" s="84" t="s">
        <v>165</v>
      </c>
      <c r="H40" s="84" t="s">
        <v>166</v>
      </c>
      <c r="I40" s="84" t="s">
        <v>167</v>
      </c>
      <c r="J40" s="84" t="s">
        <v>168</v>
      </c>
      <c r="K40" s="84" t="s">
        <v>169</v>
      </c>
      <c r="L40" s="84" t="s">
        <v>156</v>
      </c>
      <c r="M40" s="84" t="s">
        <v>158</v>
      </c>
      <c r="N40" s="84" t="s">
        <v>170</v>
      </c>
      <c r="O40" s="84" t="s">
        <v>171</v>
      </c>
      <c r="P40" s="84" t="s">
        <v>172</v>
      </c>
      <c r="Q40" s="84" t="s">
        <v>173</v>
      </c>
      <c r="R40" s="84" t="s">
        <v>174</v>
      </c>
      <c r="S40" s="84" t="s">
        <v>175</v>
      </c>
      <c r="T40" s="84" t="s">
        <v>147</v>
      </c>
      <c r="U40" s="84" t="s">
        <v>176</v>
      </c>
      <c r="V40" s="84" t="s">
        <v>177</v>
      </c>
      <c r="W40" s="84" t="s">
        <v>178</v>
      </c>
    </row>
    <row r="41">
      <c r="B41" s="128" t="s">
        <v>22</v>
      </c>
      <c r="C41" s="129">
        <v>24000.0</v>
      </c>
      <c r="D41" s="128">
        <v>600.0</v>
      </c>
      <c r="E41" s="129">
        <v>1150.0</v>
      </c>
      <c r="F41" s="128"/>
      <c r="G41" s="86">
        <f t="shared" ref="G41:G69" si="1">F41*C41</f>
        <v>0</v>
      </c>
      <c r="H41" s="128"/>
      <c r="I41" s="128"/>
      <c r="J41" s="128"/>
      <c r="K41" s="128"/>
      <c r="L41" s="84"/>
      <c r="M41" s="86">
        <f t="shared" ref="M41:M69" si="2">K41-L41</f>
        <v>0</v>
      </c>
      <c r="N41" s="86">
        <f t="shared" ref="N41:N69" si="3">M41*C41</f>
        <v>0</v>
      </c>
      <c r="O41" s="83">
        <f>'Dala Sales &amp; Deliveries'!L2</f>
        <v>54.6</v>
      </c>
      <c r="P41" s="86">
        <f t="shared" ref="P41:P69" si="4">O41*E41</f>
        <v>62790</v>
      </c>
      <c r="Q41" s="83">
        <f>'External Delivery Fulfillment'!L2</f>
        <v>0</v>
      </c>
      <c r="R41" s="86">
        <f t="shared" ref="R41:R69" si="5">Q41*E41</f>
        <v>0</v>
      </c>
      <c r="S41" s="83">
        <f>'Forwarding From Client'!L2</f>
        <v>0</v>
      </c>
      <c r="T41" s="86">
        <f t="shared" ref="T41:T69" si="6">S41*E41</f>
        <v>0</v>
      </c>
      <c r="U41" s="83">
        <f>'Dala Restocking'!L2</f>
        <v>75</v>
      </c>
      <c r="V41" s="86">
        <f t="shared" ref="V41:V69" si="7">U41*D41</f>
        <v>45000</v>
      </c>
      <c r="W41" s="83">
        <f>'Client Restocking'!L2</f>
        <v>0</v>
      </c>
    </row>
    <row r="42">
      <c r="B42" s="128" t="s">
        <v>100</v>
      </c>
      <c r="C42" s="129">
        <v>7200.0</v>
      </c>
      <c r="D42" s="128">
        <v>250.0</v>
      </c>
      <c r="E42" s="129">
        <v>500.0</v>
      </c>
      <c r="F42" s="130"/>
      <c r="G42" s="86">
        <f t="shared" si="1"/>
        <v>0</v>
      </c>
      <c r="H42" s="128"/>
      <c r="I42" s="128"/>
      <c r="J42" s="130"/>
      <c r="K42" s="128"/>
      <c r="L42" s="84"/>
      <c r="M42" s="86">
        <f t="shared" si="2"/>
        <v>0</v>
      </c>
      <c r="N42" s="86">
        <f t="shared" si="3"/>
        <v>0</v>
      </c>
      <c r="O42" s="83">
        <f>'Dala Sales &amp; Deliveries'!L3</f>
        <v>12.5</v>
      </c>
      <c r="P42" s="86">
        <f t="shared" si="4"/>
        <v>6250</v>
      </c>
      <c r="Q42" s="83">
        <f>'External Delivery Fulfillment'!L3</f>
        <v>0</v>
      </c>
      <c r="R42" s="86">
        <f t="shared" si="5"/>
        <v>0</v>
      </c>
      <c r="S42" s="83">
        <f>'Forwarding From Client'!L3</f>
        <v>0</v>
      </c>
      <c r="T42" s="86">
        <f t="shared" si="6"/>
        <v>0</v>
      </c>
      <c r="U42" s="83">
        <f>'Dala Restocking'!L3</f>
        <v>10</v>
      </c>
      <c r="V42" s="86">
        <f t="shared" si="7"/>
        <v>2500</v>
      </c>
      <c r="W42" s="83">
        <f>'Client Restocking'!L3</f>
        <v>0</v>
      </c>
    </row>
    <row r="43">
      <c r="B43" s="128"/>
      <c r="C43" s="129"/>
      <c r="D43" s="128"/>
      <c r="E43" s="129"/>
      <c r="F43" s="130"/>
      <c r="G43" s="86">
        <f t="shared" si="1"/>
        <v>0</v>
      </c>
      <c r="H43" s="128"/>
      <c r="I43" s="128"/>
      <c r="J43" s="130"/>
      <c r="K43" s="128"/>
      <c r="L43" s="84"/>
      <c r="M43" s="86">
        <f t="shared" si="2"/>
        <v>0</v>
      </c>
      <c r="N43" s="86">
        <f t="shared" si="3"/>
        <v>0</v>
      </c>
      <c r="O43" s="83">
        <f>'Dala Sales &amp; Deliveries'!L4</f>
        <v>0</v>
      </c>
      <c r="P43" s="86">
        <f t="shared" si="4"/>
        <v>0</v>
      </c>
      <c r="Q43" s="83">
        <f>'External Delivery Fulfillment'!L4</f>
        <v>0</v>
      </c>
      <c r="R43" s="86">
        <f t="shared" si="5"/>
        <v>0</v>
      </c>
      <c r="S43" s="83">
        <f>'Forwarding From Client'!L4</f>
        <v>0</v>
      </c>
      <c r="T43" s="86">
        <f t="shared" si="6"/>
        <v>0</v>
      </c>
      <c r="U43" s="83">
        <f>'Dala Restocking'!L4</f>
        <v>0</v>
      </c>
      <c r="V43" s="86">
        <f t="shared" si="7"/>
        <v>0</v>
      </c>
      <c r="W43" s="83">
        <f>'Client Restocking'!L4</f>
        <v>0</v>
      </c>
    </row>
    <row r="44">
      <c r="B44" s="128"/>
      <c r="C44" s="129"/>
      <c r="D44" s="128"/>
      <c r="E44" s="129"/>
      <c r="F44" s="130"/>
      <c r="G44" s="86">
        <f t="shared" si="1"/>
        <v>0</v>
      </c>
      <c r="H44" s="128"/>
      <c r="I44" s="128"/>
      <c r="J44" s="130"/>
      <c r="K44" s="130"/>
      <c r="L44" s="84"/>
      <c r="M44" s="86">
        <f t="shared" si="2"/>
        <v>0</v>
      </c>
      <c r="N44" s="86">
        <f t="shared" si="3"/>
        <v>0</v>
      </c>
      <c r="O44" s="83">
        <f>'Dala Sales &amp; Deliveries'!L5</f>
        <v>0</v>
      </c>
      <c r="P44" s="86">
        <f t="shared" si="4"/>
        <v>0</v>
      </c>
      <c r="Q44" s="83">
        <f>'External Delivery Fulfillment'!L5</f>
        <v>0</v>
      </c>
      <c r="R44" s="86">
        <f t="shared" si="5"/>
        <v>0</v>
      </c>
      <c r="S44" s="83">
        <f>'Forwarding From Client'!L5</f>
        <v>0</v>
      </c>
      <c r="T44" s="86">
        <f t="shared" si="6"/>
        <v>0</v>
      </c>
      <c r="U44" s="83">
        <f>'Dala Restocking'!L5</f>
        <v>0</v>
      </c>
      <c r="V44" s="86">
        <f t="shared" si="7"/>
        <v>0</v>
      </c>
      <c r="W44" s="83">
        <f>'Client Restocking'!L5</f>
        <v>0</v>
      </c>
    </row>
    <row r="45">
      <c r="B45" s="128"/>
      <c r="C45" s="129"/>
      <c r="D45" s="128"/>
      <c r="E45" s="129"/>
      <c r="F45" s="130"/>
      <c r="G45" s="86">
        <f t="shared" si="1"/>
        <v>0</v>
      </c>
      <c r="H45" s="128"/>
      <c r="I45" s="128"/>
      <c r="J45" s="130"/>
      <c r="K45" s="130"/>
      <c r="L45" s="84"/>
      <c r="M45" s="86">
        <f t="shared" si="2"/>
        <v>0</v>
      </c>
      <c r="N45" s="86">
        <f t="shared" si="3"/>
        <v>0</v>
      </c>
      <c r="O45" s="83">
        <f>'Dala Sales &amp; Deliveries'!L6</f>
        <v>0</v>
      </c>
      <c r="P45" s="86">
        <f t="shared" si="4"/>
        <v>0</v>
      </c>
      <c r="Q45" s="83">
        <f>'External Delivery Fulfillment'!L6</f>
        <v>0</v>
      </c>
      <c r="R45" s="86">
        <f t="shared" si="5"/>
        <v>0</v>
      </c>
      <c r="S45" s="83">
        <f>'Forwarding From Client'!L6</f>
        <v>0</v>
      </c>
      <c r="T45" s="86">
        <f t="shared" si="6"/>
        <v>0</v>
      </c>
      <c r="U45" s="83">
        <f>'Dala Restocking'!L6</f>
        <v>0</v>
      </c>
      <c r="V45" s="86">
        <f t="shared" si="7"/>
        <v>0</v>
      </c>
      <c r="W45" s="83">
        <f>'Client Restocking'!L6</f>
        <v>0</v>
      </c>
    </row>
    <row r="46">
      <c r="B46" s="128"/>
      <c r="C46" s="129"/>
      <c r="D46" s="128"/>
      <c r="E46" s="129"/>
      <c r="F46" s="130"/>
      <c r="G46" s="86">
        <f t="shared" si="1"/>
        <v>0</v>
      </c>
      <c r="H46" s="130"/>
      <c r="I46" s="130"/>
      <c r="J46" s="130"/>
      <c r="K46" s="130"/>
      <c r="L46" s="84"/>
      <c r="M46" s="86">
        <f t="shared" si="2"/>
        <v>0</v>
      </c>
      <c r="N46" s="86">
        <f t="shared" si="3"/>
        <v>0</v>
      </c>
      <c r="O46" s="83">
        <f>'Dala Sales &amp; Deliveries'!L7</f>
        <v>0</v>
      </c>
      <c r="P46" s="86">
        <f t="shared" si="4"/>
        <v>0</v>
      </c>
      <c r="Q46" s="83">
        <f>'External Delivery Fulfillment'!L7</f>
        <v>0</v>
      </c>
      <c r="R46" s="86">
        <f t="shared" si="5"/>
        <v>0</v>
      </c>
      <c r="S46" s="83">
        <f>'Forwarding From Client'!L7</f>
        <v>0</v>
      </c>
      <c r="T46" s="86">
        <f t="shared" si="6"/>
        <v>0</v>
      </c>
      <c r="U46" s="83">
        <f>'Dala Restocking'!L7</f>
        <v>0</v>
      </c>
      <c r="V46" s="86">
        <f t="shared" si="7"/>
        <v>0</v>
      </c>
      <c r="W46" s="83">
        <f>'Client Restocking'!L7</f>
        <v>0</v>
      </c>
    </row>
    <row r="47">
      <c r="B47" s="128"/>
      <c r="C47" s="129"/>
      <c r="D47" s="128"/>
      <c r="E47" s="129"/>
      <c r="F47" s="130"/>
      <c r="G47" s="86">
        <f t="shared" si="1"/>
        <v>0</v>
      </c>
      <c r="H47" s="130"/>
      <c r="I47" s="130"/>
      <c r="J47" s="130"/>
      <c r="K47" s="130"/>
      <c r="L47" s="127">
        <f t="shared" ref="L47:L69" si="8">H47+U47+W47-O47-Q47-I47-J47</f>
        <v>0</v>
      </c>
      <c r="M47" s="83">
        <f t="shared" si="2"/>
        <v>0</v>
      </c>
      <c r="N47" s="86">
        <f t="shared" si="3"/>
        <v>0</v>
      </c>
      <c r="O47" s="83">
        <f>'Dala Sales &amp; Deliveries'!L8</f>
        <v>0</v>
      </c>
      <c r="P47" s="86">
        <f t="shared" si="4"/>
        <v>0</v>
      </c>
      <c r="Q47" s="83">
        <f>'External Delivery Fulfillment'!L8</f>
        <v>0</v>
      </c>
      <c r="R47" s="86">
        <f t="shared" si="5"/>
        <v>0</v>
      </c>
      <c r="S47" s="83">
        <f>'Forwarding From Client'!L8</f>
        <v>0</v>
      </c>
      <c r="T47" s="86">
        <f t="shared" si="6"/>
        <v>0</v>
      </c>
      <c r="U47" s="83">
        <f>'Dala Restocking'!L8</f>
        <v>0</v>
      </c>
      <c r="V47" s="86">
        <f t="shared" si="7"/>
        <v>0</v>
      </c>
      <c r="W47" s="83">
        <f>'Client Restocking'!L8</f>
        <v>0</v>
      </c>
    </row>
    <row r="48">
      <c r="B48" s="128"/>
      <c r="C48" s="129"/>
      <c r="D48" s="128"/>
      <c r="E48" s="129"/>
      <c r="F48" s="130"/>
      <c r="G48" s="86">
        <f t="shared" si="1"/>
        <v>0</v>
      </c>
      <c r="H48" s="130"/>
      <c r="I48" s="130"/>
      <c r="J48" s="130"/>
      <c r="K48" s="130"/>
      <c r="L48" s="127">
        <f t="shared" si="8"/>
        <v>0</v>
      </c>
      <c r="M48" s="83">
        <f t="shared" si="2"/>
        <v>0</v>
      </c>
      <c r="N48" s="86">
        <f t="shared" si="3"/>
        <v>0</v>
      </c>
      <c r="O48" s="83">
        <f>'Dala Sales &amp; Deliveries'!L9</f>
        <v>0</v>
      </c>
      <c r="P48" s="86">
        <f t="shared" si="4"/>
        <v>0</v>
      </c>
      <c r="Q48" s="83">
        <f>'External Delivery Fulfillment'!L9</f>
        <v>0</v>
      </c>
      <c r="R48" s="86">
        <f t="shared" si="5"/>
        <v>0</v>
      </c>
      <c r="S48" s="83">
        <f>'Forwarding From Client'!L9</f>
        <v>0</v>
      </c>
      <c r="T48" s="86">
        <f t="shared" si="6"/>
        <v>0</v>
      </c>
      <c r="U48" s="83">
        <f>'Dala Restocking'!L9</f>
        <v>0</v>
      </c>
      <c r="V48" s="86">
        <f t="shared" si="7"/>
        <v>0</v>
      </c>
      <c r="W48" s="83">
        <f>'Client Restocking'!L9</f>
        <v>0</v>
      </c>
    </row>
    <row r="49">
      <c r="B49" s="128"/>
      <c r="C49" s="129"/>
      <c r="D49" s="128"/>
      <c r="E49" s="129"/>
      <c r="F49" s="130"/>
      <c r="G49" s="86">
        <f t="shared" si="1"/>
        <v>0</v>
      </c>
      <c r="H49" s="130"/>
      <c r="I49" s="130"/>
      <c r="J49" s="130"/>
      <c r="K49" s="130"/>
      <c r="L49" s="127">
        <f t="shared" si="8"/>
        <v>0</v>
      </c>
      <c r="M49" s="83">
        <f t="shared" si="2"/>
        <v>0</v>
      </c>
      <c r="N49" s="86">
        <f t="shared" si="3"/>
        <v>0</v>
      </c>
      <c r="O49" s="83">
        <f>'Dala Sales &amp; Deliveries'!L10</f>
        <v>0</v>
      </c>
      <c r="P49" s="86">
        <f t="shared" si="4"/>
        <v>0</v>
      </c>
      <c r="Q49" s="83">
        <f>'External Delivery Fulfillment'!L10</f>
        <v>0</v>
      </c>
      <c r="R49" s="86">
        <f t="shared" si="5"/>
        <v>0</v>
      </c>
      <c r="S49" s="83">
        <f>'Forwarding From Client'!L10</f>
        <v>0</v>
      </c>
      <c r="T49" s="86">
        <f t="shared" si="6"/>
        <v>0</v>
      </c>
      <c r="U49" s="83">
        <f>'Dala Restocking'!L10</f>
        <v>0</v>
      </c>
      <c r="V49" s="86">
        <f t="shared" si="7"/>
        <v>0</v>
      </c>
      <c r="W49" s="83">
        <f>'Client Restocking'!L10</f>
        <v>0</v>
      </c>
    </row>
    <row r="50">
      <c r="B50" s="128"/>
      <c r="C50" s="129"/>
      <c r="D50" s="128"/>
      <c r="E50" s="129"/>
      <c r="F50" s="130"/>
      <c r="G50" s="86">
        <f t="shared" si="1"/>
        <v>0</v>
      </c>
      <c r="H50" s="130"/>
      <c r="I50" s="130"/>
      <c r="J50" s="130"/>
      <c r="K50" s="130"/>
      <c r="L50" s="127">
        <f t="shared" si="8"/>
        <v>0</v>
      </c>
      <c r="M50" s="83">
        <f t="shared" si="2"/>
        <v>0</v>
      </c>
      <c r="N50" s="86">
        <f t="shared" si="3"/>
        <v>0</v>
      </c>
      <c r="O50" s="83">
        <f>'Dala Sales &amp; Deliveries'!L11</f>
        <v>0</v>
      </c>
      <c r="P50" s="86">
        <f t="shared" si="4"/>
        <v>0</v>
      </c>
      <c r="Q50" s="83">
        <f>'External Delivery Fulfillment'!L11</f>
        <v>0</v>
      </c>
      <c r="R50" s="86">
        <f t="shared" si="5"/>
        <v>0</v>
      </c>
      <c r="S50" s="83">
        <f>'Forwarding From Client'!L11</f>
        <v>0</v>
      </c>
      <c r="T50" s="86">
        <f t="shared" si="6"/>
        <v>0</v>
      </c>
      <c r="U50" s="83">
        <f>'Dala Restocking'!L11</f>
        <v>0</v>
      </c>
      <c r="V50" s="86">
        <f t="shared" si="7"/>
        <v>0</v>
      </c>
      <c r="W50" s="83">
        <f>'Client Restocking'!L11</f>
        <v>0</v>
      </c>
    </row>
    <row r="51">
      <c r="B51" s="128"/>
      <c r="C51" s="129"/>
      <c r="D51" s="128"/>
      <c r="E51" s="129"/>
      <c r="F51" s="130"/>
      <c r="G51" s="86">
        <f t="shared" si="1"/>
        <v>0</v>
      </c>
      <c r="H51" s="130"/>
      <c r="I51" s="130"/>
      <c r="J51" s="130"/>
      <c r="K51" s="130"/>
      <c r="L51" s="127">
        <f t="shared" si="8"/>
        <v>0</v>
      </c>
      <c r="M51" s="83">
        <f t="shared" si="2"/>
        <v>0</v>
      </c>
      <c r="N51" s="86">
        <f t="shared" si="3"/>
        <v>0</v>
      </c>
      <c r="O51" s="83">
        <f>'Dala Sales &amp; Deliveries'!L12</f>
        <v>0</v>
      </c>
      <c r="P51" s="86">
        <f t="shared" si="4"/>
        <v>0</v>
      </c>
      <c r="Q51" s="83">
        <f>'External Delivery Fulfillment'!L12</f>
        <v>0</v>
      </c>
      <c r="R51" s="86">
        <f t="shared" si="5"/>
        <v>0</v>
      </c>
      <c r="S51" s="83">
        <f>'Forwarding From Client'!L12</f>
        <v>0</v>
      </c>
      <c r="T51" s="86">
        <f t="shared" si="6"/>
        <v>0</v>
      </c>
      <c r="U51" s="83">
        <f>'Dala Restocking'!L12</f>
        <v>0</v>
      </c>
      <c r="V51" s="86">
        <f t="shared" si="7"/>
        <v>0</v>
      </c>
      <c r="W51" s="83">
        <f>'Client Restocking'!L12</f>
        <v>0</v>
      </c>
    </row>
    <row r="52">
      <c r="B52" s="128"/>
      <c r="C52" s="129"/>
      <c r="D52" s="128"/>
      <c r="E52" s="129"/>
      <c r="F52" s="130"/>
      <c r="G52" s="86">
        <f t="shared" si="1"/>
        <v>0</v>
      </c>
      <c r="H52" s="130"/>
      <c r="I52" s="130"/>
      <c r="J52" s="130"/>
      <c r="K52" s="130"/>
      <c r="L52" s="127">
        <f t="shared" si="8"/>
        <v>0</v>
      </c>
      <c r="M52" s="83">
        <f t="shared" si="2"/>
        <v>0</v>
      </c>
      <c r="N52" s="86">
        <f t="shared" si="3"/>
        <v>0</v>
      </c>
      <c r="O52" s="83">
        <f>'Dala Sales &amp; Deliveries'!L13</f>
        <v>0</v>
      </c>
      <c r="P52" s="86">
        <f t="shared" si="4"/>
        <v>0</v>
      </c>
      <c r="Q52" s="83">
        <f>'External Delivery Fulfillment'!L13</f>
        <v>0</v>
      </c>
      <c r="R52" s="86">
        <f t="shared" si="5"/>
        <v>0</v>
      </c>
      <c r="S52" s="83">
        <f>'Forwarding From Client'!L13</f>
        <v>0</v>
      </c>
      <c r="T52" s="86">
        <f t="shared" si="6"/>
        <v>0</v>
      </c>
      <c r="U52" s="83">
        <f>'Dala Restocking'!L13</f>
        <v>0</v>
      </c>
      <c r="V52" s="86">
        <f t="shared" si="7"/>
        <v>0</v>
      </c>
      <c r="W52" s="83">
        <f>'Client Restocking'!L13</f>
        <v>0</v>
      </c>
    </row>
    <row r="53">
      <c r="B53" s="130"/>
      <c r="C53" s="130"/>
      <c r="D53" s="130"/>
      <c r="E53" s="130"/>
      <c r="F53" s="130"/>
      <c r="G53" s="86">
        <f t="shared" si="1"/>
        <v>0</v>
      </c>
      <c r="H53" s="130"/>
      <c r="I53" s="130"/>
      <c r="J53" s="130"/>
      <c r="K53" s="130"/>
      <c r="L53" s="84">
        <f t="shared" si="8"/>
        <v>0</v>
      </c>
      <c r="M53" s="86">
        <f t="shared" si="2"/>
        <v>0</v>
      </c>
      <c r="N53" s="86">
        <f t="shared" si="3"/>
        <v>0</v>
      </c>
      <c r="O53" s="86" t="str">
        <f>'Dala Sales &amp; Deliveries'!L14</f>
        <v/>
      </c>
      <c r="P53" s="86">
        <f t="shared" si="4"/>
        <v>0</v>
      </c>
      <c r="Q53" s="86" t="str">
        <f>'External Delivery Fulfillment'!L14</f>
        <v/>
      </c>
      <c r="R53" s="86">
        <f t="shared" si="5"/>
        <v>0</v>
      </c>
      <c r="S53" s="86" t="str">
        <f>'Forwarding From Client'!L14</f>
        <v/>
      </c>
      <c r="T53" s="86">
        <f t="shared" si="6"/>
        <v>0</v>
      </c>
      <c r="U53" s="86" t="str">
        <f>'Dala Restocking'!L14</f>
        <v/>
      </c>
      <c r="V53" s="86">
        <f t="shared" si="7"/>
        <v>0</v>
      </c>
      <c r="W53" s="86" t="str">
        <f>'Client Restocking'!L14</f>
        <v/>
      </c>
    </row>
    <row r="54">
      <c r="B54" s="130"/>
      <c r="C54" s="130"/>
      <c r="D54" s="130"/>
      <c r="E54" s="130"/>
      <c r="F54" s="130"/>
      <c r="G54" s="86">
        <f t="shared" si="1"/>
        <v>0</v>
      </c>
      <c r="H54" s="130"/>
      <c r="I54" s="130"/>
      <c r="J54" s="130"/>
      <c r="K54" s="130"/>
      <c r="L54" s="84">
        <f t="shared" si="8"/>
        <v>0</v>
      </c>
      <c r="M54" s="86">
        <f t="shared" si="2"/>
        <v>0</v>
      </c>
      <c r="N54" s="86">
        <f t="shared" si="3"/>
        <v>0</v>
      </c>
      <c r="O54" s="86" t="str">
        <f>'Dala Sales &amp; Deliveries'!L15</f>
        <v/>
      </c>
      <c r="P54" s="86">
        <f t="shared" si="4"/>
        <v>0</v>
      </c>
      <c r="Q54" s="86" t="str">
        <f>'External Delivery Fulfillment'!L15</f>
        <v/>
      </c>
      <c r="R54" s="86">
        <f t="shared" si="5"/>
        <v>0</v>
      </c>
      <c r="S54" s="86" t="str">
        <f>'Forwarding From Client'!L15</f>
        <v/>
      </c>
      <c r="T54" s="86">
        <f t="shared" si="6"/>
        <v>0</v>
      </c>
      <c r="U54" s="86" t="str">
        <f>'Dala Restocking'!L15</f>
        <v/>
      </c>
      <c r="V54" s="86">
        <f t="shared" si="7"/>
        <v>0</v>
      </c>
      <c r="W54" s="86" t="str">
        <f>'Client Restocking'!L15</f>
        <v/>
      </c>
    </row>
    <row r="55">
      <c r="B55" s="130"/>
      <c r="C55" s="130"/>
      <c r="D55" s="130"/>
      <c r="E55" s="130"/>
      <c r="F55" s="130"/>
      <c r="G55" s="86">
        <f t="shared" si="1"/>
        <v>0</v>
      </c>
      <c r="H55" s="130"/>
      <c r="I55" s="130"/>
      <c r="J55" s="130"/>
      <c r="K55" s="130"/>
      <c r="L55" s="84">
        <f t="shared" si="8"/>
        <v>0</v>
      </c>
      <c r="M55" s="86">
        <f t="shared" si="2"/>
        <v>0</v>
      </c>
      <c r="N55" s="86">
        <f t="shared" si="3"/>
        <v>0</v>
      </c>
      <c r="O55" s="86" t="str">
        <f>'Dala Sales &amp; Deliveries'!L16</f>
        <v/>
      </c>
      <c r="P55" s="86">
        <f t="shared" si="4"/>
        <v>0</v>
      </c>
      <c r="Q55" s="86" t="str">
        <f>'External Delivery Fulfillment'!L16</f>
        <v/>
      </c>
      <c r="R55" s="86">
        <f t="shared" si="5"/>
        <v>0</v>
      </c>
      <c r="S55" s="86" t="str">
        <f>'Forwarding From Client'!L16</f>
        <v/>
      </c>
      <c r="T55" s="86">
        <f t="shared" si="6"/>
        <v>0</v>
      </c>
      <c r="U55" s="86" t="str">
        <f>'Dala Restocking'!L16</f>
        <v/>
      </c>
      <c r="V55" s="86">
        <f t="shared" si="7"/>
        <v>0</v>
      </c>
      <c r="W55" s="86" t="str">
        <f>'Client Restocking'!L16</f>
        <v/>
      </c>
    </row>
    <row r="56">
      <c r="B56" s="130"/>
      <c r="C56" s="130"/>
      <c r="D56" s="130"/>
      <c r="E56" s="130"/>
      <c r="F56" s="130"/>
      <c r="G56" s="86">
        <f t="shared" si="1"/>
        <v>0</v>
      </c>
      <c r="H56" s="130"/>
      <c r="I56" s="130"/>
      <c r="J56" s="130"/>
      <c r="K56" s="130"/>
      <c r="L56" s="84">
        <f t="shared" si="8"/>
        <v>0</v>
      </c>
      <c r="M56" s="86">
        <f t="shared" si="2"/>
        <v>0</v>
      </c>
      <c r="N56" s="86">
        <f t="shared" si="3"/>
        <v>0</v>
      </c>
      <c r="O56" s="86" t="str">
        <f>'Dala Sales &amp; Deliveries'!L17</f>
        <v/>
      </c>
      <c r="P56" s="86">
        <f t="shared" si="4"/>
        <v>0</v>
      </c>
      <c r="Q56" s="86" t="str">
        <f>'External Delivery Fulfillment'!L17</f>
        <v/>
      </c>
      <c r="R56" s="86">
        <f t="shared" si="5"/>
        <v>0</v>
      </c>
      <c r="S56" s="86" t="str">
        <f>'Forwarding From Client'!L17</f>
        <v/>
      </c>
      <c r="T56" s="86">
        <f t="shared" si="6"/>
        <v>0</v>
      </c>
      <c r="U56" s="86" t="str">
        <f>'Dala Restocking'!L17</f>
        <v/>
      </c>
      <c r="V56" s="86">
        <f t="shared" si="7"/>
        <v>0</v>
      </c>
      <c r="W56" s="86" t="str">
        <f>'Client Restocking'!L17</f>
        <v/>
      </c>
    </row>
    <row r="57">
      <c r="B57" s="130"/>
      <c r="C57" s="130"/>
      <c r="D57" s="130"/>
      <c r="E57" s="130"/>
      <c r="F57" s="130"/>
      <c r="G57" s="86">
        <f t="shared" si="1"/>
        <v>0</v>
      </c>
      <c r="H57" s="130"/>
      <c r="I57" s="130"/>
      <c r="J57" s="130"/>
      <c r="K57" s="130"/>
      <c r="L57" s="84">
        <f t="shared" si="8"/>
        <v>0</v>
      </c>
      <c r="M57" s="86">
        <f t="shared" si="2"/>
        <v>0</v>
      </c>
      <c r="N57" s="86">
        <f t="shared" si="3"/>
        <v>0</v>
      </c>
      <c r="O57" s="86" t="str">
        <f>'Dala Sales &amp; Deliveries'!L18</f>
        <v/>
      </c>
      <c r="P57" s="86">
        <f t="shared" si="4"/>
        <v>0</v>
      </c>
      <c r="Q57" s="86" t="str">
        <f>'External Delivery Fulfillment'!L18</f>
        <v/>
      </c>
      <c r="R57" s="86">
        <f t="shared" si="5"/>
        <v>0</v>
      </c>
      <c r="S57" s="86" t="str">
        <f>'Forwarding From Client'!L18</f>
        <v/>
      </c>
      <c r="T57" s="86">
        <f t="shared" si="6"/>
        <v>0</v>
      </c>
      <c r="U57" s="86" t="str">
        <f>'Dala Restocking'!L18</f>
        <v/>
      </c>
      <c r="V57" s="86">
        <f t="shared" si="7"/>
        <v>0</v>
      </c>
      <c r="W57" s="86" t="str">
        <f>'Client Restocking'!L18</f>
        <v/>
      </c>
    </row>
    <row r="58">
      <c r="B58" s="130"/>
      <c r="C58" s="130"/>
      <c r="D58" s="130"/>
      <c r="E58" s="130"/>
      <c r="F58" s="130"/>
      <c r="G58" s="86">
        <f t="shared" si="1"/>
        <v>0</v>
      </c>
      <c r="H58" s="130"/>
      <c r="I58" s="130"/>
      <c r="J58" s="130"/>
      <c r="K58" s="130"/>
      <c r="L58" s="84">
        <f t="shared" si="8"/>
        <v>0</v>
      </c>
      <c r="M58" s="86">
        <f t="shared" si="2"/>
        <v>0</v>
      </c>
      <c r="N58" s="86">
        <f t="shared" si="3"/>
        <v>0</v>
      </c>
      <c r="O58" s="86" t="str">
        <f>'Dala Sales &amp; Deliveries'!L19</f>
        <v/>
      </c>
      <c r="P58" s="86">
        <f t="shared" si="4"/>
        <v>0</v>
      </c>
      <c r="Q58" s="86" t="str">
        <f>'External Delivery Fulfillment'!L19</f>
        <v/>
      </c>
      <c r="R58" s="86">
        <f t="shared" si="5"/>
        <v>0</v>
      </c>
      <c r="S58" s="86" t="str">
        <f>'Forwarding From Client'!L19</f>
        <v/>
      </c>
      <c r="T58" s="86">
        <f t="shared" si="6"/>
        <v>0</v>
      </c>
      <c r="U58" s="86" t="str">
        <f>'Dala Restocking'!L19</f>
        <v/>
      </c>
      <c r="V58" s="86">
        <f t="shared" si="7"/>
        <v>0</v>
      </c>
      <c r="W58" s="86" t="str">
        <f>'Client Restocking'!L19</f>
        <v/>
      </c>
    </row>
    <row r="59">
      <c r="B59" s="130"/>
      <c r="C59" s="130"/>
      <c r="D59" s="130"/>
      <c r="E59" s="130"/>
      <c r="F59" s="130"/>
      <c r="G59" s="86">
        <f t="shared" si="1"/>
        <v>0</v>
      </c>
      <c r="H59" s="130"/>
      <c r="I59" s="130"/>
      <c r="J59" s="130"/>
      <c r="K59" s="130"/>
      <c r="L59" s="84">
        <f t="shared" si="8"/>
        <v>0</v>
      </c>
      <c r="M59" s="86">
        <f t="shared" si="2"/>
        <v>0</v>
      </c>
      <c r="N59" s="86">
        <f t="shared" si="3"/>
        <v>0</v>
      </c>
      <c r="O59" s="86" t="str">
        <f>'Dala Sales &amp; Deliveries'!L20</f>
        <v/>
      </c>
      <c r="P59" s="86">
        <f t="shared" si="4"/>
        <v>0</v>
      </c>
      <c r="Q59" s="86" t="str">
        <f>'External Delivery Fulfillment'!L20</f>
        <v/>
      </c>
      <c r="R59" s="86">
        <f t="shared" si="5"/>
        <v>0</v>
      </c>
      <c r="S59" s="86" t="str">
        <f>'Forwarding From Client'!L20</f>
        <v/>
      </c>
      <c r="T59" s="86">
        <f t="shared" si="6"/>
        <v>0</v>
      </c>
      <c r="U59" s="86" t="str">
        <f>'Dala Restocking'!L20</f>
        <v/>
      </c>
      <c r="V59" s="86">
        <f t="shared" si="7"/>
        <v>0</v>
      </c>
      <c r="W59" s="86" t="str">
        <f>'Client Restocking'!L20</f>
        <v/>
      </c>
    </row>
    <row r="60">
      <c r="B60" s="130"/>
      <c r="C60" s="130"/>
      <c r="D60" s="130"/>
      <c r="E60" s="130"/>
      <c r="F60" s="130"/>
      <c r="G60" s="86">
        <f t="shared" si="1"/>
        <v>0</v>
      </c>
      <c r="H60" s="130"/>
      <c r="I60" s="130"/>
      <c r="J60" s="130"/>
      <c r="K60" s="130"/>
      <c r="L60" s="84">
        <f t="shared" si="8"/>
        <v>0</v>
      </c>
      <c r="M60" s="86">
        <f t="shared" si="2"/>
        <v>0</v>
      </c>
      <c r="N60" s="86">
        <f t="shared" si="3"/>
        <v>0</v>
      </c>
      <c r="O60" s="86" t="str">
        <f>'Dala Sales &amp; Deliveries'!L21</f>
        <v/>
      </c>
      <c r="P60" s="86">
        <f t="shared" si="4"/>
        <v>0</v>
      </c>
      <c r="Q60" s="86" t="str">
        <f>'External Delivery Fulfillment'!L21</f>
        <v/>
      </c>
      <c r="R60" s="86">
        <f t="shared" si="5"/>
        <v>0</v>
      </c>
      <c r="S60" s="86" t="str">
        <f>'Forwarding From Client'!L21</f>
        <v/>
      </c>
      <c r="T60" s="86">
        <f t="shared" si="6"/>
        <v>0</v>
      </c>
      <c r="U60" s="86" t="str">
        <f>'Dala Restocking'!L21</f>
        <v/>
      </c>
      <c r="V60" s="86">
        <f t="shared" si="7"/>
        <v>0</v>
      </c>
      <c r="W60" s="86" t="str">
        <f>'Client Restocking'!L21</f>
        <v/>
      </c>
    </row>
    <row r="61">
      <c r="B61" s="130"/>
      <c r="C61" s="130"/>
      <c r="D61" s="130"/>
      <c r="E61" s="130"/>
      <c r="F61" s="130"/>
      <c r="G61" s="86">
        <f t="shared" si="1"/>
        <v>0</v>
      </c>
      <c r="H61" s="130"/>
      <c r="I61" s="130"/>
      <c r="J61" s="130"/>
      <c r="K61" s="130"/>
      <c r="L61" s="84">
        <f t="shared" si="8"/>
        <v>0</v>
      </c>
      <c r="M61" s="86">
        <f t="shared" si="2"/>
        <v>0</v>
      </c>
      <c r="N61" s="86">
        <f t="shared" si="3"/>
        <v>0</v>
      </c>
      <c r="O61" s="86" t="str">
        <f>'Dala Sales &amp; Deliveries'!L22</f>
        <v/>
      </c>
      <c r="P61" s="86">
        <f t="shared" si="4"/>
        <v>0</v>
      </c>
      <c r="Q61" s="86" t="str">
        <f>'External Delivery Fulfillment'!L22</f>
        <v/>
      </c>
      <c r="R61" s="86">
        <f t="shared" si="5"/>
        <v>0</v>
      </c>
      <c r="S61" s="86" t="str">
        <f>'Forwarding From Client'!L22</f>
        <v/>
      </c>
      <c r="T61" s="86">
        <f t="shared" si="6"/>
        <v>0</v>
      </c>
      <c r="U61" s="86" t="str">
        <f>'Dala Restocking'!L22</f>
        <v/>
      </c>
      <c r="V61" s="86">
        <f t="shared" si="7"/>
        <v>0</v>
      </c>
      <c r="W61" s="86" t="str">
        <f>'Client Restocking'!L22</f>
        <v/>
      </c>
    </row>
    <row r="62">
      <c r="B62" s="130"/>
      <c r="C62" s="130"/>
      <c r="D62" s="130"/>
      <c r="E62" s="130"/>
      <c r="F62" s="130"/>
      <c r="G62" s="86">
        <f t="shared" si="1"/>
        <v>0</v>
      </c>
      <c r="H62" s="130"/>
      <c r="I62" s="130"/>
      <c r="J62" s="130"/>
      <c r="K62" s="130"/>
      <c r="L62" s="84">
        <f t="shared" si="8"/>
        <v>0</v>
      </c>
      <c r="M62" s="86">
        <f t="shared" si="2"/>
        <v>0</v>
      </c>
      <c r="N62" s="86">
        <f t="shared" si="3"/>
        <v>0</v>
      </c>
      <c r="O62" s="86" t="str">
        <f>'Dala Sales &amp; Deliveries'!L23</f>
        <v/>
      </c>
      <c r="P62" s="86">
        <f t="shared" si="4"/>
        <v>0</v>
      </c>
      <c r="Q62" s="86" t="str">
        <f>'External Delivery Fulfillment'!L23</f>
        <v/>
      </c>
      <c r="R62" s="86">
        <f t="shared" si="5"/>
        <v>0</v>
      </c>
      <c r="S62" s="86" t="str">
        <f>'Forwarding From Client'!L23</f>
        <v/>
      </c>
      <c r="T62" s="86">
        <f t="shared" si="6"/>
        <v>0</v>
      </c>
      <c r="U62" s="86" t="str">
        <f>'Dala Restocking'!L23</f>
        <v/>
      </c>
      <c r="V62" s="86">
        <f t="shared" si="7"/>
        <v>0</v>
      </c>
      <c r="W62" s="86" t="str">
        <f>'Client Restocking'!L23</f>
        <v/>
      </c>
    </row>
    <row r="63">
      <c r="B63" s="130"/>
      <c r="C63" s="130"/>
      <c r="D63" s="130"/>
      <c r="E63" s="130"/>
      <c r="F63" s="130"/>
      <c r="G63" s="86">
        <f t="shared" si="1"/>
        <v>0</v>
      </c>
      <c r="H63" s="130"/>
      <c r="I63" s="130"/>
      <c r="J63" s="130"/>
      <c r="K63" s="130"/>
      <c r="L63" s="84">
        <f t="shared" si="8"/>
        <v>0</v>
      </c>
      <c r="M63" s="86">
        <f t="shared" si="2"/>
        <v>0</v>
      </c>
      <c r="N63" s="86">
        <f t="shared" si="3"/>
        <v>0</v>
      </c>
      <c r="O63" s="86" t="str">
        <f>'Dala Sales &amp; Deliveries'!L24</f>
        <v/>
      </c>
      <c r="P63" s="86">
        <f t="shared" si="4"/>
        <v>0</v>
      </c>
      <c r="Q63" s="86" t="str">
        <f>'External Delivery Fulfillment'!L24</f>
        <v/>
      </c>
      <c r="R63" s="86">
        <f t="shared" si="5"/>
        <v>0</v>
      </c>
      <c r="S63" s="86" t="str">
        <f>'Forwarding From Client'!L24</f>
        <v/>
      </c>
      <c r="T63" s="86">
        <f t="shared" si="6"/>
        <v>0</v>
      </c>
      <c r="U63" s="86" t="str">
        <f>'Dala Restocking'!L24</f>
        <v/>
      </c>
      <c r="V63" s="86">
        <f t="shared" si="7"/>
        <v>0</v>
      </c>
      <c r="W63" s="86" t="str">
        <f>'Client Restocking'!L24</f>
        <v/>
      </c>
    </row>
    <row r="64">
      <c r="B64" s="130"/>
      <c r="C64" s="130"/>
      <c r="D64" s="130"/>
      <c r="E64" s="130"/>
      <c r="F64" s="130"/>
      <c r="G64" s="86">
        <f t="shared" si="1"/>
        <v>0</v>
      </c>
      <c r="H64" s="130"/>
      <c r="I64" s="130"/>
      <c r="J64" s="130"/>
      <c r="K64" s="130"/>
      <c r="L64" s="84">
        <f t="shared" si="8"/>
        <v>0</v>
      </c>
      <c r="M64" s="86">
        <f t="shared" si="2"/>
        <v>0</v>
      </c>
      <c r="N64" s="86">
        <f t="shared" si="3"/>
        <v>0</v>
      </c>
      <c r="O64" s="86" t="str">
        <f>'Dala Sales &amp; Deliveries'!L25</f>
        <v/>
      </c>
      <c r="P64" s="86">
        <f t="shared" si="4"/>
        <v>0</v>
      </c>
      <c r="Q64" s="86" t="str">
        <f>'External Delivery Fulfillment'!L25</f>
        <v/>
      </c>
      <c r="R64" s="86">
        <f t="shared" si="5"/>
        <v>0</v>
      </c>
      <c r="S64" s="86" t="str">
        <f>'Forwarding From Client'!L25</f>
        <v/>
      </c>
      <c r="T64" s="86">
        <f t="shared" si="6"/>
        <v>0</v>
      </c>
      <c r="U64" s="86" t="str">
        <f>'Dala Restocking'!L25</f>
        <v/>
      </c>
      <c r="V64" s="86">
        <f t="shared" si="7"/>
        <v>0</v>
      </c>
      <c r="W64" s="86" t="str">
        <f>'Client Restocking'!L25</f>
        <v/>
      </c>
    </row>
    <row r="65">
      <c r="B65" s="130"/>
      <c r="C65" s="130"/>
      <c r="D65" s="130"/>
      <c r="E65" s="130"/>
      <c r="F65" s="130"/>
      <c r="G65" s="86">
        <f t="shared" si="1"/>
        <v>0</v>
      </c>
      <c r="H65" s="130"/>
      <c r="I65" s="130"/>
      <c r="J65" s="130"/>
      <c r="K65" s="130"/>
      <c r="L65" s="84">
        <f t="shared" si="8"/>
        <v>0</v>
      </c>
      <c r="M65" s="86">
        <f t="shared" si="2"/>
        <v>0</v>
      </c>
      <c r="N65" s="86">
        <f t="shared" si="3"/>
        <v>0</v>
      </c>
      <c r="O65" s="86" t="str">
        <f>'Dala Sales &amp; Deliveries'!L26</f>
        <v/>
      </c>
      <c r="P65" s="86">
        <f t="shared" si="4"/>
        <v>0</v>
      </c>
      <c r="Q65" s="86" t="str">
        <f>'External Delivery Fulfillment'!L26</f>
        <v/>
      </c>
      <c r="R65" s="86">
        <f t="shared" si="5"/>
        <v>0</v>
      </c>
      <c r="S65" s="86" t="str">
        <f>'Forwarding From Client'!L26</f>
        <v/>
      </c>
      <c r="T65" s="86">
        <f t="shared" si="6"/>
        <v>0</v>
      </c>
      <c r="U65" s="86" t="str">
        <f>'Dala Restocking'!L26</f>
        <v/>
      </c>
      <c r="V65" s="86">
        <f t="shared" si="7"/>
        <v>0</v>
      </c>
      <c r="W65" s="86" t="str">
        <f>'Client Restocking'!L26</f>
        <v/>
      </c>
    </row>
    <row r="66">
      <c r="B66" s="130"/>
      <c r="C66" s="130"/>
      <c r="D66" s="130"/>
      <c r="E66" s="130"/>
      <c r="F66" s="130"/>
      <c r="G66" s="86">
        <f t="shared" si="1"/>
        <v>0</v>
      </c>
      <c r="H66" s="130"/>
      <c r="I66" s="130"/>
      <c r="J66" s="130"/>
      <c r="K66" s="130"/>
      <c r="L66" s="84">
        <f t="shared" si="8"/>
        <v>0</v>
      </c>
      <c r="M66" s="86">
        <f t="shared" si="2"/>
        <v>0</v>
      </c>
      <c r="N66" s="86">
        <f t="shared" si="3"/>
        <v>0</v>
      </c>
      <c r="O66" s="86" t="str">
        <f>'Dala Sales &amp; Deliveries'!L27</f>
        <v/>
      </c>
      <c r="P66" s="86">
        <f t="shared" si="4"/>
        <v>0</v>
      </c>
      <c r="Q66" s="86" t="str">
        <f>'External Delivery Fulfillment'!L27</f>
        <v/>
      </c>
      <c r="R66" s="86">
        <f t="shared" si="5"/>
        <v>0</v>
      </c>
      <c r="S66" s="86" t="str">
        <f>'Forwarding From Client'!L27</f>
        <v/>
      </c>
      <c r="T66" s="86">
        <f t="shared" si="6"/>
        <v>0</v>
      </c>
      <c r="U66" s="86" t="str">
        <f>'Dala Restocking'!L27</f>
        <v/>
      </c>
      <c r="V66" s="86">
        <f t="shared" si="7"/>
        <v>0</v>
      </c>
      <c r="W66" s="86" t="str">
        <f>'Client Restocking'!L27</f>
        <v/>
      </c>
    </row>
    <row r="67">
      <c r="B67" s="130"/>
      <c r="C67" s="130"/>
      <c r="D67" s="130"/>
      <c r="E67" s="130"/>
      <c r="F67" s="130"/>
      <c r="G67" s="86">
        <f t="shared" si="1"/>
        <v>0</v>
      </c>
      <c r="H67" s="130"/>
      <c r="I67" s="130"/>
      <c r="J67" s="130"/>
      <c r="K67" s="130"/>
      <c r="L67" s="84">
        <f t="shared" si="8"/>
        <v>0</v>
      </c>
      <c r="M67" s="86">
        <f t="shared" si="2"/>
        <v>0</v>
      </c>
      <c r="N67" s="86">
        <f t="shared" si="3"/>
        <v>0</v>
      </c>
      <c r="O67" s="86" t="str">
        <f>'Dala Sales &amp; Deliveries'!L28</f>
        <v/>
      </c>
      <c r="P67" s="86">
        <f t="shared" si="4"/>
        <v>0</v>
      </c>
      <c r="Q67" s="86" t="str">
        <f>'External Delivery Fulfillment'!L28</f>
        <v/>
      </c>
      <c r="R67" s="86">
        <f t="shared" si="5"/>
        <v>0</v>
      </c>
      <c r="S67" s="86" t="str">
        <f>'Forwarding From Client'!L28</f>
        <v/>
      </c>
      <c r="T67" s="86">
        <f t="shared" si="6"/>
        <v>0</v>
      </c>
      <c r="U67" s="86" t="str">
        <f>'Dala Restocking'!L28</f>
        <v/>
      </c>
      <c r="V67" s="86">
        <f t="shared" si="7"/>
        <v>0</v>
      </c>
      <c r="W67" s="86" t="str">
        <f>'Client Restocking'!L28</f>
        <v/>
      </c>
    </row>
    <row r="68">
      <c r="B68" s="130"/>
      <c r="C68" s="130"/>
      <c r="D68" s="130"/>
      <c r="E68" s="130"/>
      <c r="F68" s="130"/>
      <c r="G68" s="86">
        <f t="shared" si="1"/>
        <v>0</v>
      </c>
      <c r="H68" s="130"/>
      <c r="I68" s="130"/>
      <c r="J68" s="130"/>
      <c r="K68" s="130"/>
      <c r="L68" s="84">
        <f t="shared" si="8"/>
        <v>0</v>
      </c>
      <c r="M68" s="86">
        <f t="shared" si="2"/>
        <v>0</v>
      </c>
      <c r="N68" s="86">
        <f t="shared" si="3"/>
        <v>0</v>
      </c>
      <c r="O68" s="86" t="str">
        <f>'Dala Sales &amp; Deliveries'!L29</f>
        <v/>
      </c>
      <c r="P68" s="86">
        <f t="shared" si="4"/>
        <v>0</v>
      </c>
      <c r="Q68" s="86" t="str">
        <f>'External Delivery Fulfillment'!L29</f>
        <v/>
      </c>
      <c r="R68" s="86">
        <f t="shared" si="5"/>
        <v>0</v>
      </c>
      <c r="S68" s="86" t="str">
        <f>'Forwarding From Client'!L29</f>
        <v/>
      </c>
      <c r="T68" s="86">
        <f t="shared" si="6"/>
        <v>0</v>
      </c>
      <c r="U68" s="86" t="str">
        <f>'Dala Restocking'!L29</f>
        <v/>
      </c>
      <c r="V68" s="86">
        <f t="shared" si="7"/>
        <v>0</v>
      </c>
      <c r="W68" s="86" t="str">
        <f>'Client Restocking'!L29</f>
        <v/>
      </c>
    </row>
    <row r="69">
      <c r="B69" s="130"/>
      <c r="C69" s="130"/>
      <c r="D69" s="130"/>
      <c r="E69" s="130"/>
      <c r="F69" s="130"/>
      <c r="G69" s="86">
        <f t="shared" si="1"/>
        <v>0</v>
      </c>
      <c r="H69" s="130"/>
      <c r="I69" s="130"/>
      <c r="J69" s="130"/>
      <c r="K69" s="130"/>
      <c r="L69" s="84">
        <f t="shared" si="8"/>
        <v>0</v>
      </c>
      <c r="M69" s="86">
        <f t="shared" si="2"/>
        <v>0</v>
      </c>
      <c r="N69" s="86">
        <f t="shared" si="3"/>
        <v>0</v>
      </c>
      <c r="O69" s="86" t="str">
        <f>'Dala Sales &amp; Deliveries'!L30</f>
        <v/>
      </c>
      <c r="P69" s="86">
        <f t="shared" si="4"/>
        <v>0</v>
      </c>
      <c r="Q69" s="86" t="str">
        <f>'External Delivery Fulfillment'!L30</f>
        <v/>
      </c>
      <c r="R69" s="86">
        <f t="shared" si="5"/>
        <v>0</v>
      </c>
      <c r="S69" s="86" t="str">
        <f>'Forwarding From Client'!L30</f>
        <v/>
      </c>
      <c r="T69" s="86">
        <f t="shared" si="6"/>
        <v>0</v>
      </c>
      <c r="U69" s="86" t="str">
        <f>'Dala Restocking'!L30</f>
        <v/>
      </c>
      <c r="V69" s="86">
        <f t="shared" si="7"/>
        <v>0</v>
      </c>
      <c r="W69" s="86" t="str">
        <f>'Client Restocking'!L30</f>
        <v/>
      </c>
    </row>
    <row r="70">
      <c r="B70" s="84" t="s">
        <v>179</v>
      </c>
      <c r="C70" s="84"/>
      <c r="D70" s="84"/>
      <c r="E70" s="86"/>
      <c r="F70" s="131">
        <f t="shared" ref="F70:W70" si="9">sum(F41:F69)</f>
        <v>0</v>
      </c>
      <c r="G70" s="131">
        <f t="shared" si="9"/>
        <v>0</v>
      </c>
      <c r="H70" s="131">
        <f t="shared" si="9"/>
        <v>0</v>
      </c>
      <c r="I70" s="131">
        <f t="shared" si="9"/>
        <v>0</v>
      </c>
      <c r="J70" s="131">
        <f t="shared" si="9"/>
        <v>0</v>
      </c>
      <c r="K70" s="131">
        <f t="shared" si="9"/>
        <v>0</v>
      </c>
      <c r="L70" s="86">
        <f t="shared" si="9"/>
        <v>0</v>
      </c>
      <c r="M70" s="86">
        <f t="shared" si="9"/>
        <v>0</v>
      </c>
      <c r="N70" s="86">
        <f t="shared" si="9"/>
        <v>0</v>
      </c>
      <c r="O70" s="83">
        <f t="shared" si="9"/>
        <v>67.1</v>
      </c>
      <c r="P70" s="86">
        <f t="shared" si="9"/>
        <v>69040</v>
      </c>
      <c r="Q70" s="83">
        <f t="shared" si="9"/>
        <v>0</v>
      </c>
      <c r="R70" s="86">
        <f t="shared" si="9"/>
        <v>0</v>
      </c>
      <c r="S70" s="83">
        <f t="shared" si="9"/>
        <v>0</v>
      </c>
      <c r="T70" s="86">
        <f t="shared" si="9"/>
        <v>0</v>
      </c>
      <c r="U70" s="83">
        <f t="shared" si="9"/>
        <v>85</v>
      </c>
      <c r="V70" s="86">
        <f t="shared" si="9"/>
        <v>47500</v>
      </c>
      <c r="W70" s="83">
        <f t="shared" si="9"/>
        <v>0</v>
      </c>
    </row>
    <row r="71">
      <c r="C71" s="6" t="s">
        <v>180</v>
      </c>
      <c r="D71" s="6" t="s">
        <v>180</v>
      </c>
      <c r="E71" s="6" t="s">
        <v>180</v>
      </c>
      <c r="F71" s="6" t="s">
        <v>180</v>
      </c>
      <c r="G71" s="6" t="s">
        <v>180</v>
      </c>
      <c r="H71" s="6" t="s">
        <v>180</v>
      </c>
      <c r="I71" s="6" t="s">
        <v>180</v>
      </c>
      <c r="J71" s="6" t="s">
        <v>180</v>
      </c>
      <c r="K71" s="6" t="s">
        <v>180</v>
      </c>
      <c r="L71" s="6" t="s">
        <v>180</v>
      </c>
      <c r="M71" s="6" t="s">
        <v>180</v>
      </c>
      <c r="N71" s="6" t="s">
        <v>180</v>
      </c>
      <c r="O71" s="6" t="s">
        <v>180</v>
      </c>
      <c r="P71" s="6" t="s">
        <v>180</v>
      </c>
      <c r="Q71" s="6" t="s">
        <v>180</v>
      </c>
      <c r="R71" s="6" t="s">
        <v>180</v>
      </c>
      <c r="S71" s="6" t="s">
        <v>180</v>
      </c>
      <c r="T71" s="6" t="s">
        <v>180</v>
      </c>
      <c r="U71" s="6" t="s">
        <v>180</v>
      </c>
      <c r="V71" s="6" t="s">
        <v>180</v>
      </c>
      <c r="W71" s="6" t="s">
        <v>180</v>
      </c>
    </row>
  </sheetData>
  <drawing r:id="rId1"/>
</worksheet>
</file>