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<sst xmlns="http://schemas.openxmlformats.org/spreadsheetml/2006/main" count="244" uniqueCount="97">
  <si>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</si>
  <si>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</si>
  <si>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</si>
  <si>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</si>
  <si>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</si>
  <si>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</si>
  <si>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</si>
  <si>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</si>
  <si>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</si>
  <si>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</si>
  <si>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</si>
  <si>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</si>
  <si>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</si>
  <si>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</si>
  <si>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</si>
  <si>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BQ- RPLC 300g Ripe Plantain Chips (30x)</t>
  </si>
  <si>
    <t>Bboon Foods Ltd;</t>
  </si>
  <si>
    <t>Inventory Supplied by Brands</t>
  </si>
  <si>
    <t>BQ- PLC 300g UnRipe Plantain Chips (30x)</t>
  </si>
  <si>
    <t>BQ- PC 300g Sweet Potato Chips (24x)</t>
  </si>
  <si>
    <t>Winni Supermarket</t>
  </si>
  <si>
    <t>Sales</t>
  </si>
  <si>
    <t>DT:003488</t>
  </si>
  <si>
    <t>Renees Supermarket, FREEDOM WAY</t>
  </si>
  <si>
    <t>DT:003498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</si>
  <si>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</si>
  <si>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</si>
  <si>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</si>
  <si>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</si>
  <si>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</si>
  <si>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</si>
  <si>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</si>
  <si>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BQ- PC 300g Sweet Potato Chips (24x)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</si>
  <si>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</si>
  <si>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</si>
  <si>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</si>
  <si>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</si>
  <si>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</si>
  <si>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</si>
  <si>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</si>
  <si>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</si>
  <si>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</si>
  <si>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</si>
  <si>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</si>
  <si>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</si>
  <si>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</si>
  <si>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</si>
  <si>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</si>
  <si>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</si>
  <si>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</si>
  <si>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</si>
  <si>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</si>
  <si>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</si>
  <si>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</si>
  <si>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</si>
  <si>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</si>
  <si>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</si>
  <si>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</si>
  <si>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</si>
  <si>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</si>
  <si>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</si>
  <si>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</si>
  <si>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</si>
  <si>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</si>
  <si>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</si>
  <si>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</si>
  <si>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</si>
  <si>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</si>
  <si>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</si>
  <si>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</si>
  <si>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</si>
  <si>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</si>
  <si>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</si>
  <si>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</si>
  <si>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</si>
  <si>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</si>
  <si>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</si>
  <si>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</si>
  <si>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</si>
  <si>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</si>
  <si>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</si>
  <si>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</si>
  <si>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</si>
  <si>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</si>
  <si>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</si>
  <si>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</si>
  <si>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</si>
  <si>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</si>
  <si>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</si>
  <si>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</si>
  <si>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</si>
  <si>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</si>
  <si>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</si>
  <si>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</si>
  <si>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BQ- PLC 300g Ripe Plantain Chips (30x)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</si>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</sst>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7" numFmtId="0" xfId="0" applyAlignment="1" applyBorder="1" applyFont="1">
      <alignment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BQ- PC 300g Sweet Potato Chips (24x)"/>
        <m/>
      </sharedItems>
    </cacheField>
    <cacheField name="Date" numFmtId="164">
      <sharedItems containsDate="1" containsString="0" containsBlank="1">
        <d v="2025-11-18T00:00:00Z"/>
        <d v="2025-11-19T00:00:00Z"/>
        <m/>
      </sharedItems>
    </cacheField>
    <cacheField name="Particulars" numFmtId="0">
      <sharedItems containsBlank="1">
        <s v="Winni Supermarket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88"/>
        <s v="DT:003498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78139.53"/>
        <m/>
      </sharedItems>
    </cacheField>
    <cacheField name="Total value" numFmtId="4">
      <sharedItems containsString="0" containsBlank="1" containsNumber="1">
        <n v="78139.5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BQ- PC 300g Sweet Potato Chips (24x)"/>
        <m/>
      </sharedItems>
    </cacheField>
    <cacheField name="Date" numFmtId="164">
      <sharedItems containsDate="1" containsString="0" containsBlank="1">
        <d v="2025-11-18T00:00:00Z"/>
        <d v="2025-11-19T00:00:00Z"/>
        <m/>
      </sharedItems>
    </cacheField>
    <cacheField name="Particulars" numFmtId="0">
      <sharedItems containsBlank="1">
        <s v="Winni Supermarket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88"/>
        <s v="DT:003498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78139.5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BQ- RPLC 300g Ripe Plantain Chips (30x)"/>
        <s v="BQ- PLC 300g UnRipe Plantain Chips (30x)"/>
        <m/>
      </sharedItems>
    </cacheField>
    <cacheField name="Date" numFmtId="164">
      <sharedItems containsDate="1" containsString="0" containsBlank="1">
        <d v="2025-11-14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3.0"/>
        <m/>
      </sharedItems>
    </cacheField>
    <cacheField name="Quantity" numFmtId="4">
      <sharedItems containsString="0" containsBlank="1" containsNumber="1">
        <n v="2.83"/>
        <n v="0.5"/>
        <m/>
      </sharedItems>
    </cacheField>
    <cacheField name="Value" numFmtId="4">
      <sharedItems containsString="0" containsBlank="1" containsNumber="1" containsInteger="1">
        <n v="553800.0"/>
        <n v="975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</v>
      </c>
    </row>
    <row r="3">
      <c r="A3" s="11" t="s">
        <v>15</v>
      </c>
      <c r="B3" s="12">
        <v>45975.0</v>
      </c>
      <c r="C3" s="9" t="s">
        <v>16</v>
      </c>
      <c r="D3" s="9" t="s">
        <v>17</v>
      </c>
      <c r="E3" s="7">
        <v>2143.0</v>
      </c>
      <c r="F3" s="13">
        <v>2.83</v>
      </c>
      <c r="G3" s="14">
        <v>553800.0</v>
      </c>
      <c r="I3" s="15" t="str">
        <f>IFERROR(__xludf.DUMMYFUNCTION("IFERROR(
  FILTER($A$3:$G1844, LEN($A$3:$A1844), LOWER(TRIM($D$3:$D1844))=""sales""),
)"),"BQ- PC 300g Sweet Potato Chips (24x)")</f>
        <v>BQ- PC 300g Sweet Potato Chips (24x)</v>
      </c>
      <c r="J3" s="16">
        <f>IFERROR(__xludf.DUMMYFUNCTION("""COMPUTED_VALUE"""),45979.0)</f>
        <v>45979</v>
      </c>
      <c r="K3" s="17" t="str">
        <f>IFERROR(__xludf.DUMMYFUNCTION("""COMPUTED_VALUE"""),"Winni Supermarket")</f>
        <v>Winni Supermarket</v>
      </c>
      <c r="L3" s="17" t="str">
        <f>IFERROR(__xludf.DUMMYFUNCTION("""COMPUTED_VALUE"""),"Sales")</f>
        <v>Sales</v>
      </c>
      <c r="M3" s="18" t="str">
        <f>IFERROR(__xludf.DUMMYFUNCTION("""COMPUTED_VALUE"""),"DT:003488")</f>
        <v>DT:003488</v>
      </c>
      <c r="N3" s="19">
        <f>IFERROR(__xludf.DUMMYFUNCTION("""COMPUTED_VALUE"""),1.0)</f>
        <v>1</v>
      </c>
      <c r="O3" s="20">
        <f>IFERROR(__xludf.DUMMYFUNCTION("""COMPUTED_VALUE"""),78139.53)</f>
        <v>78139.53</v>
      </c>
      <c r="P3" s="21">
        <f t="shared" ref="P3:P83" si="1">sumif(M:M,M3,O:O)</f>
        <v>78139.53</v>
      </c>
      <c r="Q3" s="22"/>
      <c r="R3" s="23" t="str">
        <f>IFERROR(__xludf.DUMMYFUNCTION("IFERROR(
  FILTER($A$3:$G1844, LEN($A$3:$A1844), REGEXMATCH(LOWER(TRIM($D$3:$D1844)), ""\bjournal\b"")),
)
"),"")</f>
        <v/>
      </c>
      <c r="S3" s="24"/>
      <c r="T3" s="25"/>
      <c r="U3" s="25"/>
      <c r="V3" s="2"/>
      <c r="W3" s="2"/>
      <c r="X3" s="26"/>
      <c r="Z3" s="22"/>
      <c r="AA3" s="22"/>
      <c r="AB3" s="22"/>
      <c r="AC3" s="22"/>
      <c r="AD3" s="22"/>
      <c r="AE3" s="22"/>
      <c r="AF3" s="22"/>
      <c r="AG3" s="22"/>
      <c r="AH3" s="27" t="str">
        <f>IFERROR(__xludf.DUMMYFUNCTION("IFERROR(FILTER($A$3:$G1844, LEN($A$3:$A1844), LOWER(TRIM($D$3:$D1844))=""Inventory Supplied by Brands""),)"),"BQ- RPLC 300g Ripe Plantain Chips (30x)")</f>
        <v>BQ- RPLC 300g Ripe Plantain Chips (30x)</v>
      </c>
      <c r="AI3" s="16">
        <f>IFERROR(__xludf.DUMMYFUNCTION("""COMPUTED_VALUE"""),45975.0)</f>
        <v>45975</v>
      </c>
      <c r="AJ3" s="17" t="str">
        <f>IFERROR(__xludf.DUMMYFUNCTION("""COMPUTED_VALUE"""),"Bboon Foods Ltd;")</f>
        <v>Bboon Foods Ltd;</v>
      </c>
      <c r="AK3" s="17" t="str">
        <f>IFERROR(__xludf.DUMMYFUNCTION("""COMPUTED_VALUE"""),"Inventory Supplied by Brands")</f>
        <v>Inventory Supplied by Brands</v>
      </c>
      <c r="AL3" s="18">
        <f>IFERROR(__xludf.DUMMYFUNCTION("""COMPUTED_VALUE"""),2143.0)</f>
        <v>2143</v>
      </c>
      <c r="AM3" s="19">
        <f>IFERROR(__xludf.DUMMYFUNCTION("""COMPUTED_VALUE"""),2.83)</f>
        <v>2.83</v>
      </c>
      <c r="AN3" s="20">
        <f>IFERROR(__xludf.DUMMYFUNCTION("""COMPUTED_VALUE"""),553800.0)</f>
        <v>553800</v>
      </c>
      <c r="AP3" s="28" t="str">
        <f>IFERROR(__xludf.DUMMYFUNCTION("IFERROR(FILTER($A$3:$G1844, LEN($A$3:$A1844), LOWER(TRIM($D$3:$D1844))=""Inventory Pickup by Dala""),)
"),"")</f>
        <v/>
      </c>
      <c r="AQ3" s="24"/>
      <c r="AR3" s="25"/>
      <c r="AS3" s="25"/>
      <c r="AT3" s="2"/>
      <c r="AU3" s="29"/>
      <c r="AV3" s="30"/>
    </row>
    <row r="4">
      <c r="A4" s="11" t="s">
        <v>18</v>
      </c>
      <c r="B4" s="12">
        <v>45975.0</v>
      </c>
      <c r="C4" s="9" t="s">
        <v>16</v>
      </c>
      <c r="D4" s="9" t="s">
        <v>17</v>
      </c>
      <c r="E4" s="7">
        <v>2143.0</v>
      </c>
      <c r="F4" s="13">
        <v>0.5</v>
      </c>
      <c r="G4" s="14">
        <v>97500.0</v>
      </c>
      <c r="I4" s="15" t="str">
        <f>IFERROR(__xludf.DUMMYFUNCTION("""COMPUTED_VALUE"""),"BQ- PC 300g Sweet Potato Chips (24x)")</f>
        <v>BQ- PC 300g Sweet Potato Chips (24x)</v>
      </c>
      <c r="J4" s="16">
        <f>IFERROR(__xludf.DUMMYFUNCTION("""COMPUTED_VALUE"""),45980.0)</f>
        <v>45980</v>
      </c>
      <c r="K4" s="17" t="str">
        <f>IFERROR(__xludf.DUMMYFUNCTION("""COMPUTED_VALUE"""),"Renees Supermarket, FREEDOM WAY")</f>
        <v>Renees Supermarket, FREEDOM WAY</v>
      </c>
      <c r="L4" s="17" t="str">
        <f>IFERROR(__xludf.DUMMYFUNCTION("""COMPUTED_VALUE"""),"Sales")</f>
        <v>Sales</v>
      </c>
      <c r="M4" s="18" t="str">
        <f>IFERROR(__xludf.DUMMYFUNCTION("""COMPUTED_VALUE"""),"DT:003498")</f>
        <v>DT:003498</v>
      </c>
      <c r="N4" s="19">
        <f>IFERROR(__xludf.DUMMYFUNCTION("""COMPUTED_VALUE"""),1.0)</f>
        <v>1</v>
      </c>
      <c r="O4" s="20">
        <f>IFERROR(__xludf.DUMMYFUNCTION("""COMPUTED_VALUE"""),78139.53)</f>
        <v>78139.53</v>
      </c>
      <c r="P4" s="21">
        <f t="shared" si="1"/>
        <v>78139.53</v>
      </c>
      <c r="Q4" s="22"/>
      <c r="R4" s="23"/>
      <c r="S4" s="24"/>
      <c r="T4" s="31"/>
      <c r="U4" s="25"/>
      <c r="V4" s="2"/>
      <c r="W4" s="29"/>
      <c r="X4" s="26"/>
      <c r="Z4" s="22"/>
      <c r="AA4" s="22"/>
      <c r="AB4" s="22"/>
      <c r="AC4" s="22"/>
      <c r="AD4" s="22"/>
      <c r="AE4" s="22"/>
      <c r="AF4" s="22"/>
      <c r="AG4" s="22"/>
      <c r="AH4" s="23" t="str">
        <f>IFERROR(__xludf.DUMMYFUNCTION("""COMPUTED_VALUE"""),"BQ- PLC 300g UnRipe Plantain Chips (30x)")</f>
        <v>BQ- PLC 300g UnRipe Plantain Chips (30x)</v>
      </c>
      <c r="AI4" s="24">
        <f>IFERROR(__xludf.DUMMYFUNCTION("""COMPUTED_VALUE"""),45975.0)</f>
        <v>45975</v>
      </c>
      <c r="AJ4" s="25" t="str">
        <f>IFERROR(__xludf.DUMMYFUNCTION("""COMPUTED_VALUE"""),"Bboon Foods Ltd;")</f>
        <v>Bboon Foods Ltd;</v>
      </c>
      <c r="AK4" s="25" t="str">
        <f>IFERROR(__xludf.DUMMYFUNCTION("""COMPUTED_VALUE"""),"Inventory Supplied by Brands")</f>
        <v>Inventory Supplied by Brands</v>
      </c>
      <c r="AL4" s="2">
        <f>IFERROR(__xludf.DUMMYFUNCTION("""COMPUTED_VALUE"""),2143.0)</f>
        <v>2143</v>
      </c>
      <c r="AM4" s="32">
        <f>IFERROR(__xludf.DUMMYFUNCTION("""COMPUTED_VALUE"""),0.5)</f>
        <v>0.5</v>
      </c>
      <c r="AN4" s="30">
        <f>IFERROR(__xludf.DUMMYFUNCTION("""COMPUTED_VALUE"""),97500.0)</f>
        <v>97500</v>
      </c>
      <c r="AP4" s="23"/>
      <c r="AQ4" s="24"/>
      <c r="AR4" s="25"/>
      <c r="AS4" s="25"/>
      <c r="AT4" s="2"/>
      <c r="AU4" s="29"/>
      <c r="AV4" s="30"/>
    </row>
    <row r="5">
      <c r="A5" s="11" t="s">
        <v>19</v>
      </c>
      <c r="B5" s="12">
        <v>45979.0</v>
      </c>
      <c r="C5" s="9" t="s">
        <v>20</v>
      </c>
      <c r="D5" s="9" t="s">
        <v>21</v>
      </c>
      <c r="E5" s="7" t="s">
        <v>22</v>
      </c>
      <c r="F5" s="13">
        <v>1.0</v>
      </c>
      <c r="G5" s="14">
        <v>78139.53</v>
      </c>
      <c r="I5" s="15"/>
      <c r="J5" s="16"/>
      <c r="K5" s="17"/>
      <c r="L5" s="17"/>
      <c r="M5" s="18"/>
      <c r="N5" s="19"/>
      <c r="O5" s="20"/>
      <c r="P5" s="21">
        <f t="shared" si="1"/>
        <v>0</v>
      </c>
      <c r="Q5" s="22"/>
      <c r="R5" s="23"/>
      <c r="S5" s="24"/>
      <c r="T5" s="25"/>
      <c r="U5" s="25"/>
      <c r="V5" s="2"/>
      <c r="W5" s="29"/>
      <c r="X5" s="26"/>
      <c r="Z5" s="22"/>
      <c r="AA5" s="22"/>
      <c r="AB5" s="22"/>
      <c r="AC5" s="22"/>
      <c r="AD5" s="22"/>
      <c r="AE5" s="22"/>
      <c r="AF5" s="22"/>
      <c r="AG5" s="22"/>
      <c r="AH5" s="23"/>
      <c r="AI5" s="24"/>
      <c r="AJ5" s="25"/>
      <c r="AK5" s="25"/>
      <c r="AL5" s="2"/>
      <c r="AM5" s="32"/>
      <c r="AN5" s="30"/>
      <c r="AP5" s="23"/>
      <c r="AQ5" s="24"/>
      <c r="AR5" s="25"/>
      <c r="AS5" s="25"/>
      <c r="AT5" s="2"/>
      <c r="AU5" s="29"/>
      <c r="AV5" s="30"/>
    </row>
    <row r="6">
      <c r="A6" s="11" t="s">
        <v>19</v>
      </c>
      <c r="B6" s="12">
        <v>45980.0</v>
      </c>
      <c r="C6" s="9" t="s">
        <v>23</v>
      </c>
      <c r="D6" s="9" t="s">
        <v>21</v>
      </c>
      <c r="E6" s="7" t="s">
        <v>24</v>
      </c>
      <c r="F6" s="13">
        <v>1.0</v>
      </c>
      <c r="G6" s="14">
        <v>78139.53</v>
      </c>
      <c r="I6" s="15"/>
      <c r="J6" s="16"/>
      <c r="K6" s="17"/>
      <c r="L6" s="17"/>
      <c r="M6" s="18"/>
      <c r="N6" s="19"/>
      <c r="O6" s="20"/>
      <c r="P6" s="21">
        <f t="shared" si="1"/>
        <v>0</v>
      </c>
      <c r="Q6" s="22"/>
      <c r="R6" s="23"/>
      <c r="S6" s="24"/>
      <c r="T6" s="25"/>
      <c r="U6" s="25"/>
      <c r="V6" s="2"/>
      <c r="W6" s="2"/>
      <c r="X6" s="26"/>
      <c r="Z6" s="22"/>
      <c r="AA6" s="22"/>
      <c r="AB6" s="22"/>
      <c r="AC6" s="22"/>
      <c r="AD6" s="22"/>
      <c r="AE6" s="22"/>
      <c r="AF6" s="22"/>
      <c r="AG6" s="22"/>
      <c r="AH6" s="23"/>
      <c r="AI6" s="24"/>
      <c r="AJ6" s="25"/>
      <c r="AK6" s="25"/>
      <c r="AL6" s="2"/>
      <c r="AM6" s="29"/>
      <c r="AN6" s="30"/>
      <c r="AP6" s="23"/>
      <c r="AQ6" s="24"/>
      <c r="AR6" s="25"/>
      <c r="AS6" s="25"/>
      <c r="AT6" s="2"/>
      <c r="AU6" s="29"/>
      <c r="AV6" s="30"/>
    </row>
    <row r="7">
      <c r="A7" s="33"/>
      <c r="B7" s="16"/>
      <c r="C7" s="17"/>
      <c r="D7" s="17"/>
      <c r="E7" s="18"/>
      <c r="F7" s="19"/>
      <c r="G7" s="20"/>
      <c r="I7" s="15"/>
      <c r="J7" s="16"/>
      <c r="K7" s="17"/>
      <c r="L7" s="17"/>
      <c r="M7" s="18"/>
      <c r="N7" s="19"/>
      <c r="O7" s="20"/>
      <c r="P7" s="21">
        <f t="shared" si="1"/>
        <v>0</v>
      </c>
      <c r="Q7" s="22"/>
      <c r="R7" s="23"/>
      <c r="S7" s="24"/>
      <c r="T7" s="31"/>
      <c r="U7" s="25"/>
      <c r="V7" s="2"/>
      <c r="W7" s="29"/>
      <c r="X7" s="26"/>
      <c r="Z7" s="22"/>
      <c r="AA7" s="22"/>
      <c r="AB7" s="22"/>
      <c r="AC7" s="22"/>
      <c r="AD7" s="22"/>
      <c r="AE7" s="22"/>
      <c r="AF7" s="22"/>
      <c r="AG7" s="22"/>
      <c r="AH7" s="23"/>
      <c r="AI7" s="24"/>
      <c r="AJ7" s="25"/>
      <c r="AK7" s="25"/>
      <c r="AL7" s="2"/>
      <c r="AM7" s="2"/>
      <c r="AN7" s="26"/>
      <c r="AQ7" s="34"/>
      <c r="AV7" s="35"/>
    </row>
    <row r="8">
      <c r="A8" s="33"/>
      <c r="B8" s="16"/>
      <c r="C8" s="17"/>
      <c r="D8" s="17"/>
      <c r="E8" s="18"/>
      <c r="F8" s="19"/>
      <c r="G8" s="20"/>
      <c r="I8" s="15"/>
      <c r="J8" s="16"/>
      <c r="K8" s="17"/>
      <c r="L8" s="17"/>
      <c r="M8" s="18"/>
      <c r="N8" s="19"/>
      <c r="O8" s="20"/>
      <c r="P8" s="21">
        <f t="shared" si="1"/>
        <v>0</v>
      </c>
      <c r="Q8" s="22"/>
      <c r="R8" s="23"/>
      <c r="S8" s="24"/>
      <c r="T8" s="25"/>
      <c r="U8" s="25"/>
      <c r="V8" s="2"/>
      <c r="W8" s="29"/>
      <c r="X8" s="26"/>
      <c r="Z8" s="22"/>
      <c r="AA8" s="22"/>
      <c r="AB8" s="22"/>
      <c r="AC8" s="22"/>
      <c r="AD8" s="22"/>
      <c r="AE8" s="22"/>
      <c r="AF8" s="22"/>
      <c r="AG8" s="22"/>
      <c r="AH8" s="23"/>
      <c r="AI8" s="24"/>
      <c r="AJ8" s="25"/>
      <c r="AK8" s="25"/>
      <c r="AL8" s="2"/>
      <c r="AM8" s="29"/>
      <c r="AN8" s="26"/>
      <c r="AQ8" s="34"/>
      <c r="AV8" s="35"/>
    </row>
    <row r="9">
      <c r="A9" s="33"/>
      <c r="B9" s="16"/>
      <c r="C9" s="17"/>
      <c r="D9" s="17"/>
      <c r="E9" s="18"/>
      <c r="F9" s="19"/>
      <c r="G9" s="20"/>
      <c r="I9" s="15"/>
      <c r="J9" s="16"/>
      <c r="K9" s="17"/>
      <c r="L9" s="17"/>
      <c r="M9" s="18"/>
      <c r="N9" s="19"/>
      <c r="O9" s="20"/>
      <c r="P9" s="21">
        <f t="shared" si="1"/>
        <v>0</v>
      </c>
      <c r="Q9" s="22"/>
      <c r="R9" s="23"/>
      <c r="S9" s="24"/>
      <c r="T9" s="25"/>
      <c r="U9" s="25"/>
      <c r="V9" s="2"/>
      <c r="W9" s="2"/>
      <c r="X9" s="26"/>
      <c r="AQ9" s="34"/>
      <c r="AV9" s="35"/>
    </row>
    <row r="10">
      <c r="A10" s="36"/>
      <c r="B10" s="24"/>
      <c r="C10" s="25"/>
      <c r="D10" s="25"/>
      <c r="E10" s="2"/>
      <c r="F10" s="32"/>
      <c r="G10" s="30"/>
      <c r="I10" s="15"/>
      <c r="J10" s="16"/>
      <c r="K10" s="17"/>
      <c r="L10" s="17"/>
      <c r="M10" s="18"/>
      <c r="N10" s="19"/>
      <c r="O10" s="20"/>
      <c r="P10" s="21">
        <f t="shared" si="1"/>
        <v>0</v>
      </c>
      <c r="Q10" s="22"/>
      <c r="R10" s="23"/>
      <c r="S10" s="24"/>
      <c r="T10" s="25"/>
      <c r="U10" s="25"/>
      <c r="V10" s="2"/>
      <c r="W10" s="29"/>
      <c r="X10" s="26"/>
      <c r="AQ10" s="34"/>
      <c r="AV10" s="35"/>
    </row>
    <row r="11">
      <c r="A11" s="36"/>
      <c r="B11" s="24"/>
      <c r="C11" s="25"/>
      <c r="D11" s="25"/>
      <c r="E11" s="2"/>
      <c r="F11" s="32"/>
      <c r="G11" s="30"/>
      <c r="I11" s="15"/>
      <c r="J11" s="16"/>
      <c r="K11" s="17"/>
      <c r="L11" s="17"/>
      <c r="M11" s="18"/>
      <c r="N11" s="19"/>
      <c r="O11" s="20"/>
      <c r="P11" s="21">
        <f t="shared" si="1"/>
        <v>0</v>
      </c>
      <c r="Q11" s="22"/>
      <c r="R11" s="23"/>
      <c r="S11" s="24"/>
      <c r="T11" s="25"/>
      <c r="U11" s="25"/>
      <c r="V11" s="2"/>
      <c r="W11" s="2"/>
      <c r="X11" s="26"/>
      <c r="AQ11" s="34"/>
      <c r="AV11" s="35"/>
    </row>
    <row r="12">
      <c r="A12" s="36"/>
      <c r="B12" s="24"/>
      <c r="C12" s="25"/>
      <c r="D12" s="25"/>
      <c r="E12" s="2"/>
      <c r="F12" s="32"/>
      <c r="G12" s="30"/>
      <c r="I12" s="15"/>
      <c r="J12" s="16"/>
      <c r="K12" s="17"/>
      <c r="L12" s="17"/>
      <c r="M12" s="18"/>
      <c r="N12" s="19"/>
      <c r="O12" s="20"/>
      <c r="P12" s="21">
        <f t="shared" si="1"/>
        <v>0</v>
      </c>
      <c r="Q12" s="22"/>
      <c r="R12" s="23"/>
      <c r="S12" s="24"/>
      <c r="T12" s="25"/>
      <c r="U12" s="25"/>
      <c r="V12" s="2"/>
      <c r="W12" s="29"/>
      <c r="X12" s="26"/>
      <c r="AQ12" s="34"/>
      <c r="AV12" s="35"/>
    </row>
    <row r="13">
      <c r="A13" s="36"/>
      <c r="B13" s="24"/>
      <c r="C13" s="25"/>
      <c r="D13" s="25"/>
      <c r="E13" s="2"/>
      <c r="F13" s="32"/>
      <c r="G13" s="30"/>
      <c r="I13" s="15"/>
      <c r="J13" s="16"/>
      <c r="K13" s="17"/>
      <c r="L13" s="17"/>
      <c r="M13" s="18"/>
      <c r="N13" s="19"/>
      <c r="O13" s="20"/>
      <c r="P13" s="21">
        <f t="shared" si="1"/>
        <v>0</v>
      </c>
      <c r="Q13" s="22"/>
      <c r="R13" s="23"/>
      <c r="S13" s="24"/>
      <c r="T13" s="31"/>
      <c r="U13" s="25"/>
      <c r="V13" s="2"/>
      <c r="W13" s="2"/>
      <c r="X13" s="26"/>
      <c r="AQ13" s="34"/>
      <c r="AV13" s="35"/>
    </row>
    <row r="14">
      <c r="A14" s="36"/>
      <c r="B14" s="24"/>
      <c r="C14" s="25"/>
      <c r="D14" s="25"/>
      <c r="E14" s="2"/>
      <c r="F14" s="32"/>
      <c r="G14" s="30"/>
      <c r="I14" s="15"/>
      <c r="J14" s="16"/>
      <c r="K14" s="17"/>
      <c r="L14" s="17"/>
      <c r="M14" s="18"/>
      <c r="N14" s="18"/>
      <c r="O14" s="20"/>
      <c r="P14" s="21">
        <f t="shared" si="1"/>
        <v>0</v>
      </c>
      <c r="Q14" s="22"/>
      <c r="R14" s="23"/>
      <c r="S14" s="24"/>
      <c r="T14" s="31"/>
      <c r="U14" s="25"/>
      <c r="V14" s="2"/>
      <c r="W14" s="29"/>
      <c r="X14" s="26"/>
      <c r="AQ14" s="34"/>
      <c r="AV14" s="35"/>
    </row>
    <row r="15">
      <c r="A15" s="36"/>
      <c r="B15" s="24"/>
      <c r="C15" s="25"/>
      <c r="D15" s="25"/>
      <c r="E15" s="2"/>
      <c r="F15" s="29"/>
      <c r="G15" s="30"/>
      <c r="I15" s="15"/>
      <c r="J15" s="16"/>
      <c r="K15" s="17"/>
      <c r="L15" s="17"/>
      <c r="M15" s="18"/>
      <c r="N15" s="18"/>
      <c r="O15" s="20"/>
      <c r="P15" s="21">
        <f t="shared" si="1"/>
        <v>0</v>
      </c>
      <c r="Q15" s="22"/>
      <c r="R15" s="23"/>
      <c r="S15" s="24"/>
      <c r="T15" s="25"/>
      <c r="U15" s="25"/>
      <c r="V15" s="2"/>
      <c r="W15" s="29"/>
      <c r="X15" s="26"/>
      <c r="AQ15" s="34"/>
      <c r="AV15" s="35"/>
    </row>
    <row r="16">
      <c r="A16" s="36"/>
      <c r="B16" s="24"/>
      <c r="C16" s="25"/>
      <c r="D16" s="25"/>
      <c r="E16" s="2"/>
      <c r="F16" s="29"/>
      <c r="G16" s="30"/>
      <c r="I16" s="15"/>
      <c r="J16" s="16"/>
      <c r="K16" s="17"/>
      <c r="L16" s="17"/>
      <c r="M16" s="18"/>
      <c r="N16" s="18"/>
      <c r="O16" s="20"/>
      <c r="P16" s="21">
        <f t="shared" si="1"/>
        <v>0</v>
      </c>
      <c r="Q16" s="22"/>
      <c r="R16" s="23"/>
      <c r="S16" s="24"/>
      <c r="T16" s="25"/>
      <c r="U16" s="25"/>
      <c r="V16" s="2"/>
      <c r="W16" s="29"/>
      <c r="X16" s="26"/>
      <c r="AQ16" s="34"/>
      <c r="AV16" s="35"/>
    </row>
    <row r="17">
      <c r="A17" s="36"/>
      <c r="B17" s="24"/>
      <c r="C17" s="25"/>
      <c r="D17" s="25"/>
      <c r="E17" s="2"/>
      <c r="F17" s="29"/>
      <c r="G17" s="30"/>
      <c r="I17" s="15"/>
      <c r="J17" s="16"/>
      <c r="K17" s="17"/>
      <c r="L17" s="17"/>
      <c r="M17" s="18"/>
      <c r="N17" s="18"/>
      <c r="O17" s="20"/>
      <c r="P17" s="21">
        <f t="shared" si="1"/>
        <v>0</v>
      </c>
      <c r="Q17" s="22"/>
      <c r="R17" s="23"/>
      <c r="S17" s="24"/>
      <c r="T17" s="25"/>
      <c r="U17" s="25"/>
      <c r="V17" s="2"/>
      <c r="W17" s="29"/>
      <c r="X17" s="26"/>
      <c r="AQ17" s="34"/>
      <c r="AV17" s="35"/>
    </row>
    <row r="18">
      <c r="A18" s="36"/>
      <c r="B18" s="24"/>
      <c r="C18" s="25"/>
      <c r="D18" s="25"/>
      <c r="E18" s="2"/>
      <c r="F18" s="29"/>
      <c r="G18" s="30"/>
      <c r="I18" s="22"/>
      <c r="J18" s="37"/>
      <c r="K18" s="38"/>
      <c r="L18" s="38"/>
      <c r="M18" s="39"/>
      <c r="N18" s="40"/>
      <c r="O18" s="41"/>
      <c r="P18" s="21">
        <f t="shared" si="1"/>
        <v>0</v>
      </c>
      <c r="Q18" s="22"/>
      <c r="R18" s="23"/>
      <c r="S18" s="24"/>
      <c r="T18" s="25"/>
      <c r="U18" s="25"/>
      <c r="V18" s="2"/>
      <c r="W18" s="29"/>
      <c r="X18" s="26"/>
      <c r="AQ18" s="34"/>
      <c r="AV18" s="35"/>
    </row>
    <row r="19">
      <c r="A19" s="36"/>
      <c r="B19" s="24"/>
      <c r="C19" s="25"/>
      <c r="D19" s="25"/>
      <c r="E19" s="2"/>
      <c r="F19" s="29"/>
      <c r="G19" s="30"/>
      <c r="I19" s="42"/>
      <c r="J19" s="43"/>
      <c r="K19" s="44"/>
      <c r="L19" s="45"/>
      <c r="M19" s="46"/>
      <c r="N19" s="46"/>
      <c r="O19" s="47"/>
      <c r="P19" s="21">
        <f t="shared" si="1"/>
        <v>0</v>
      </c>
      <c r="Q19" s="22"/>
      <c r="R19" s="23"/>
      <c r="S19" s="24"/>
      <c r="T19" s="25"/>
      <c r="U19" s="25"/>
      <c r="V19" s="2"/>
      <c r="W19" s="29"/>
      <c r="X19" s="26"/>
      <c r="AQ19" s="34"/>
      <c r="AV19" s="35"/>
    </row>
    <row r="20">
      <c r="A20" s="42"/>
      <c r="B20" s="43"/>
      <c r="C20" s="44"/>
      <c r="D20" s="45"/>
      <c r="E20" s="46"/>
      <c r="F20" s="46"/>
      <c r="G20" s="47"/>
      <c r="I20" s="42"/>
      <c r="J20" s="43"/>
      <c r="K20" s="44"/>
      <c r="L20" s="45"/>
      <c r="M20" s="46"/>
      <c r="N20" s="46"/>
      <c r="O20" s="47"/>
      <c r="P20" s="21">
        <f t="shared" si="1"/>
        <v>0</v>
      </c>
      <c r="Q20" s="22"/>
      <c r="R20" s="23"/>
      <c r="S20" s="24"/>
      <c r="T20" s="25"/>
      <c r="U20" s="25"/>
      <c r="V20" s="2"/>
      <c r="W20" s="29"/>
      <c r="X20" s="26"/>
      <c r="AQ20" s="34"/>
      <c r="AV20" s="35"/>
    </row>
    <row r="21">
      <c r="A21" s="42"/>
      <c r="B21" s="43"/>
      <c r="C21" s="44"/>
      <c r="D21" s="45"/>
      <c r="E21" s="46"/>
      <c r="F21" s="46"/>
      <c r="G21" s="47"/>
      <c r="I21" s="23"/>
      <c r="J21" s="24"/>
      <c r="K21" s="31"/>
      <c r="L21" s="25"/>
      <c r="M21" s="2"/>
      <c r="N21" s="29"/>
      <c r="O21" s="30"/>
      <c r="P21" s="21">
        <f t="shared" si="1"/>
        <v>0</v>
      </c>
      <c r="Q21" s="22"/>
      <c r="R21" s="23"/>
      <c r="S21" s="24"/>
      <c r="T21" s="25"/>
      <c r="U21" s="25"/>
      <c r="V21" s="2"/>
      <c r="W21" s="29"/>
      <c r="X21" s="26"/>
      <c r="AQ21" s="34"/>
      <c r="AV21" s="35"/>
    </row>
    <row r="22">
      <c r="A22" s="23"/>
      <c r="B22" s="24"/>
      <c r="C22" s="31"/>
      <c r="D22" s="25"/>
      <c r="E22" s="2"/>
      <c r="F22" s="29"/>
      <c r="G22" s="30"/>
      <c r="I22" s="23"/>
      <c r="J22" s="24"/>
      <c r="K22" s="31"/>
      <c r="L22" s="25"/>
      <c r="M22" s="2"/>
      <c r="N22" s="29"/>
      <c r="O22" s="30"/>
      <c r="P22" s="21">
        <f t="shared" si="1"/>
        <v>0</v>
      </c>
      <c r="Q22" s="22"/>
      <c r="R22" s="23"/>
      <c r="S22" s="24"/>
      <c r="T22" s="31"/>
      <c r="U22" s="25"/>
      <c r="V22" s="2"/>
      <c r="W22" s="29"/>
      <c r="X22" s="26"/>
      <c r="AQ22" s="34"/>
      <c r="AV22" s="35"/>
    </row>
    <row r="23">
      <c r="A23" s="23"/>
      <c r="B23" s="24"/>
      <c r="C23" s="25"/>
      <c r="D23" s="25"/>
      <c r="E23" s="2"/>
      <c r="F23" s="29"/>
      <c r="G23" s="30"/>
      <c r="I23" s="23"/>
      <c r="J23" s="24"/>
      <c r="K23" s="31"/>
      <c r="L23" s="25"/>
      <c r="M23" s="2"/>
      <c r="N23" s="29"/>
      <c r="O23" s="30"/>
      <c r="P23" s="21">
        <f t="shared" si="1"/>
        <v>0</v>
      </c>
      <c r="Q23" s="22"/>
      <c r="R23" s="23"/>
      <c r="S23" s="24"/>
      <c r="T23" s="31"/>
      <c r="U23" s="25"/>
      <c r="V23" s="2"/>
      <c r="W23" s="29"/>
      <c r="X23" s="26"/>
      <c r="AQ23" s="34"/>
      <c r="AV23" s="35"/>
    </row>
    <row r="24">
      <c r="A24" s="23"/>
      <c r="B24" s="24"/>
      <c r="C24" s="31"/>
      <c r="D24" s="25"/>
      <c r="E24" s="2"/>
      <c r="F24" s="29"/>
      <c r="G24" s="30"/>
      <c r="I24" s="23"/>
      <c r="J24" s="24"/>
      <c r="K24" s="25"/>
      <c r="L24" s="25"/>
      <c r="M24" s="2"/>
      <c r="N24" s="29"/>
      <c r="O24" s="30"/>
      <c r="P24" s="21">
        <f t="shared" si="1"/>
        <v>0</v>
      </c>
      <c r="Q24" s="22"/>
      <c r="R24" s="23"/>
      <c r="S24" s="24"/>
      <c r="T24" s="31"/>
      <c r="U24" s="25"/>
      <c r="V24" s="2"/>
      <c r="W24" s="2"/>
      <c r="X24" s="26"/>
      <c r="AQ24" s="34"/>
      <c r="AV24" s="35"/>
    </row>
    <row r="25">
      <c r="A25" s="23"/>
      <c r="B25" s="24"/>
      <c r="C25" s="31"/>
      <c r="D25" s="25"/>
      <c r="E25" s="2"/>
      <c r="F25" s="29"/>
      <c r="G25" s="30"/>
      <c r="I25" s="23"/>
      <c r="J25" s="24"/>
      <c r="K25" s="25"/>
      <c r="L25" s="25"/>
      <c r="M25" s="2"/>
      <c r="N25" s="29"/>
      <c r="O25" s="30"/>
      <c r="P25" s="21">
        <f t="shared" si="1"/>
        <v>0</v>
      </c>
      <c r="Q25" s="22"/>
      <c r="R25" s="23"/>
      <c r="S25" s="24"/>
      <c r="T25" s="25"/>
      <c r="U25" s="25"/>
      <c r="V25" s="2"/>
      <c r="W25" s="29"/>
      <c r="X25" s="26"/>
      <c r="AQ25" s="34"/>
      <c r="AV25" s="35"/>
    </row>
    <row r="26">
      <c r="A26" s="23"/>
      <c r="B26" s="24"/>
      <c r="C26" s="31"/>
      <c r="D26" s="25"/>
      <c r="E26" s="2"/>
      <c r="F26" s="29"/>
      <c r="G26" s="30"/>
      <c r="I26" s="23"/>
      <c r="J26" s="24"/>
      <c r="K26" s="25"/>
      <c r="L26" s="25"/>
      <c r="M26" s="2"/>
      <c r="N26" s="29"/>
      <c r="O26" s="30"/>
      <c r="P26" s="21">
        <f t="shared" si="1"/>
        <v>0</v>
      </c>
      <c r="Q26" s="22"/>
      <c r="R26" s="23"/>
      <c r="S26" s="24"/>
      <c r="T26" s="25"/>
      <c r="U26" s="25"/>
      <c r="V26" s="2"/>
      <c r="W26" s="2"/>
      <c r="X26" s="26"/>
      <c r="AQ26" s="34"/>
      <c r="AV26" s="35"/>
    </row>
    <row r="27">
      <c r="A27" s="23"/>
      <c r="B27" s="24"/>
      <c r="C27" s="25"/>
      <c r="D27" s="25"/>
      <c r="E27" s="2"/>
      <c r="F27" s="29"/>
      <c r="G27" s="30"/>
      <c r="I27" s="23"/>
      <c r="J27" s="24"/>
      <c r="K27" s="25"/>
      <c r="L27" s="25"/>
      <c r="M27" s="2"/>
      <c r="N27" s="29"/>
      <c r="O27" s="30"/>
      <c r="P27" s="21">
        <f t="shared" si="1"/>
        <v>0</v>
      </c>
      <c r="Q27" s="22"/>
      <c r="R27" s="23"/>
      <c r="S27" s="24"/>
      <c r="T27" s="25"/>
      <c r="U27" s="25"/>
      <c r="V27" s="2"/>
      <c r="W27" s="29"/>
      <c r="X27" s="26"/>
      <c r="AQ27" s="34"/>
      <c r="AV27" s="35"/>
    </row>
    <row r="28">
      <c r="A28" s="23"/>
      <c r="B28" s="24"/>
      <c r="C28" s="25"/>
      <c r="D28" s="25"/>
      <c r="E28" s="2"/>
      <c r="F28" s="29"/>
      <c r="G28" s="30"/>
      <c r="I28" s="23"/>
      <c r="J28" s="24"/>
      <c r="K28" s="25"/>
      <c r="L28" s="25"/>
      <c r="M28" s="2"/>
      <c r="N28" s="29"/>
      <c r="O28" s="30"/>
      <c r="P28" s="21">
        <f t="shared" si="1"/>
        <v>0</v>
      </c>
      <c r="Q28" s="22"/>
      <c r="R28" s="23"/>
      <c r="S28" s="24"/>
      <c r="T28" s="25"/>
      <c r="U28" s="25"/>
      <c r="V28" s="2"/>
      <c r="W28" s="2"/>
      <c r="X28" s="26"/>
      <c r="AQ28" s="34"/>
      <c r="AV28" s="35"/>
    </row>
    <row r="29">
      <c r="A29" s="23"/>
      <c r="B29" s="24"/>
      <c r="C29" s="25"/>
      <c r="D29" s="25"/>
      <c r="E29" s="2"/>
      <c r="F29" s="29"/>
      <c r="G29" s="30"/>
      <c r="I29" s="23"/>
      <c r="J29" s="24"/>
      <c r="K29" s="25"/>
      <c r="L29" s="25"/>
      <c r="M29" s="2"/>
      <c r="N29" s="29"/>
      <c r="O29" s="30"/>
      <c r="P29" s="21">
        <f t="shared" si="1"/>
        <v>0</v>
      </c>
      <c r="Q29" s="22"/>
      <c r="R29" s="23"/>
      <c r="S29" s="24"/>
      <c r="T29" s="25"/>
      <c r="U29" s="25"/>
      <c r="V29" s="2"/>
      <c r="W29" s="29"/>
      <c r="X29" s="26"/>
      <c r="AQ29" s="34"/>
      <c r="AV29" s="35"/>
    </row>
    <row r="30">
      <c r="A30" s="23"/>
      <c r="B30" s="24"/>
      <c r="C30" s="25"/>
      <c r="D30" s="25"/>
      <c r="E30" s="2"/>
      <c r="F30" s="29"/>
      <c r="G30" s="30"/>
      <c r="I30" s="23"/>
      <c r="J30" s="24"/>
      <c r="K30" s="31"/>
      <c r="L30" s="25"/>
      <c r="M30" s="2"/>
      <c r="N30" s="29"/>
      <c r="O30" s="30"/>
      <c r="P30" s="21">
        <f t="shared" si="1"/>
        <v>0</v>
      </c>
      <c r="Q30" s="22"/>
      <c r="R30" s="23"/>
      <c r="S30" s="24"/>
      <c r="T30" s="25"/>
      <c r="U30" s="25"/>
      <c r="V30" s="2"/>
      <c r="W30" s="2"/>
      <c r="X30" s="26"/>
      <c r="AQ30" s="34"/>
      <c r="AV30" s="35"/>
    </row>
    <row r="31">
      <c r="A31" s="23"/>
      <c r="B31" s="24"/>
      <c r="C31" s="25"/>
      <c r="D31" s="25"/>
      <c r="E31" s="2"/>
      <c r="F31" s="29"/>
      <c r="G31" s="30"/>
      <c r="I31" s="23"/>
      <c r="J31" s="24"/>
      <c r="K31" s="31"/>
      <c r="L31" s="25"/>
      <c r="M31" s="2"/>
      <c r="N31" s="29"/>
      <c r="O31" s="30"/>
      <c r="P31" s="21">
        <f t="shared" si="1"/>
        <v>0</v>
      </c>
      <c r="Q31" s="22"/>
      <c r="R31" s="23"/>
      <c r="S31" s="24"/>
      <c r="T31" s="25"/>
      <c r="U31" s="25"/>
      <c r="V31" s="2"/>
      <c r="W31" s="29"/>
      <c r="X31" s="26"/>
      <c r="AQ31" s="34"/>
      <c r="AV31" s="35"/>
    </row>
    <row r="32">
      <c r="A32" s="23"/>
      <c r="B32" s="24"/>
      <c r="C32" s="25"/>
      <c r="D32" s="25"/>
      <c r="E32" s="2"/>
      <c r="F32" s="29"/>
      <c r="G32" s="30"/>
      <c r="I32" s="23"/>
      <c r="J32" s="24"/>
      <c r="K32" s="31"/>
      <c r="L32" s="25"/>
      <c r="M32" s="2"/>
      <c r="N32" s="29"/>
      <c r="O32" s="30"/>
      <c r="P32" s="21">
        <f t="shared" si="1"/>
        <v>0</v>
      </c>
      <c r="Q32" s="22"/>
      <c r="R32" s="23"/>
      <c r="S32" s="24"/>
      <c r="T32" s="25"/>
      <c r="U32" s="25"/>
      <c r="V32" s="2"/>
      <c r="W32" s="2"/>
      <c r="X32" s="26"/>
      <c r="AQ32" s="34"/>
      <c r="AV32" s="35"/>
    </row>
    <row r="33">
      <c r="A33" s="23"/>
      <c r="B33" s="24"/>
      <c r="C33" s="31"/>
      <c r="D33" s="25"/>
      <c r="E33" s="2"/>
      <c r="F33" s="29"/>
      <c r="G33" s="30"/>
      <c r="I33" s="23"/>
      <c r="J33" s="24"/>
      <c r="K33" s="25"/>
      <c r="L33" s="25"/>
      <c r="M33" s="2"/>
      <c r="N33" s="29"/>
      <c r="O33" s="30"/>
      <c r="P33" s="21">
        <f t="shared" si="1"/>
        <v>0</v>
      </c>
      <c r="Q33" s="22"/>
      <c r="R33" s="23"/>
      <c r="S33" s="24"/>
      <c r="T33" s="31"/>
      <c r="U33" s="25"/>
      <c r="V33" s="2"/>
      <c r="W33" s="29"/>
      <c r="X33" s="26"/>
      <c r="AQ33" s="34"/>
      <c r="AV33" s="35"/>
    </row>
    <row r="34">
      <c r="A34" s="23"/>
      <c r="B34" s="24"/>
      <c r="C34" s="31"/>
      <c r="D34" s="25"/>
      <c r="E34" s="2"/>
      <c r="F34" s="29"/>
      <c r="G34" s="30"/>
      <c r="I34" s="23"/>
      <c r="J34" s="24"/>
      <c r="K34" s="25"/>
      <c r="L34" s="25"/>
      <c r="M34" s="2"/>
      <c r="N34" s="29"/>
      <c r="O34" s="30"/>
      <c r="P34" s="21">
        <f t="shared" si="1"/>
        <v>0</v>
      </c>
      <c r="Q34" s="22"/>
      <c r="R34" s="23"/>
      <c r="S34" s="24"/>
      <c r="T34" s="31"/>
      <c r="U34" s="25"/>
      <c r="V34" s="2"/>
      <c r="W34" s="2"/>
      <c r="X34" s="26"/>
      <c r="AQ34" s="34"/>
      <c r="AV34" s="35"/>
    </row>
    <row r="35">
      <c r="A35" s="23"/>
      <c r="B35" s="24"/>
      <c r="C35" s="31"/>
      <c r="D35" s="25"/>
      <c r="E35" s="2"/>
      <c r="F35" s="29"/>
      <c r="G35" s="30"/>
      <c r="I35" s="23"/>
      <c r="J35" s="24"/>
      <c r="K35" s="25"/>
      <c r="L35" s="25"/>
      <c r="M35" s="2"/>
      <c r="N35" s="48"/>
      <c r="O35" s="49"/>
      <c r="P35" s="21">
        <f t="shared" si="1"/>
        <v>0</v>
      </c>
      <c r="Q35" s="22"/>
      <c r="R35" s="23"/>
      <c r="S35" s="24"/>
      <c r="T35" s="25"/>
      <c r="U35" s="25"/>
      <c r="V35" s="2"/>
      <c r="W35" s="29"/>
      <c r="X35" s="26"/>
      <c r="AQ35" s="34"/>
      <c r="AV35" s="35"/>
    </row>
    <row r="36">
      <c r="A36" s="23"/>
      <c r="B36" s="24"/>
      <c r="C36" s="25"/>
      <c r="D36" s="25"/>
      <c r="E36" s="2"/>
      <c r="F36" s="29"/>
      <c r="G36" s="30"/>
      <c r="I36" s="23"/>
      <c r="J36" s="24"/>
      <c r="K36" s="25"/>
      <c r="L36" s="25"/>
      <c r="M36" s="2"/>
      <c r="N36" s="29"/>
      <c r="O36" s="30"/>
      <c r="P36" s="21">
        <f t="shared" si="1"/>
        <v>0</v>
      </c>
      <c r="Q36" s="22"/>
      <c r="R36" s="23"/>
      <c r="S36" s="24"/>
      <c r="T36" s="25"/>
      <c r="U36" s="25"/>
      <c r="V36" s="2"/>
      <c r="W36" s="29"/>
      <c r="X36" s="26"/>
      <c r="AQ36" s="34"/>
      <c r="AV36" s="35"/>
    </row>
    <row r="37">
      <c r="A37" s="23"/>
      <c r="B37" s="24"/>
      <c r="C37" s="25"/>
      <c r="D37" s="25"/>
      <c r="E37" s="2"/>
      <c r="F37" s="29"/>
      <c r="G37" s="30"/>
      <c r="I37" s="23"/>
      <c r="J37" s="24"/>
      <c r="K37" s="31"/>
      <c r="L37" s="25"/>
      <c r="M37" s="2"/>
      <c r="N37" s="29"/>
      <c r="O37" s="30"/>
      <c r="P37" s="21">
        <f t="shared" si="1"/>
        <v>0</v>
      </c>
      <c r="Q37" s="22"/>
      <c r="R37" s="23"/>
      <c r="S37" s="24"/>
      <c r="T37" s="31"/>
      <c r="U37" s="25"/>
      <c r="V37" s="2"/>
      <c r="W37" s="29"/>
      <c r="X37" s="26"/>
      <c r="AQ37" s="34"/>
      <c r="AV37" s="35"/>
    </row>
    <row r="38">
      <c r="A38" s="23"/>
      <c r="B38" s="24"/>
      <c r="C38" s="25"/>
      <c r="D38" s="25"/>
      <c r="E38" s="2"/>
      <c r="F38" s="48"/>
      <c r="G38" s="49"/>
      <c r="I38" s="23"/>
      <c r="J38" s="24"/>
      <c r="K38" s="31"/>
      <c r="L38" s="25"/>
      <c r="M38" s="2"/>
      <c r="N38" s="48"/>
      <c r="O38" s="49"/>
      <c r="P38" s="21">
        <f t="shared" si="1"/>
        <v>0</v>
      </c>
      <c r="Q38" s="22"/>
      <c r="R38" s="23"/>
      <c r="S38" s="24"/>
      <c r="T38" s="25"/>
      <c r="U38" s="25"/>
      <c r="V38" s="2"/>
      <c r="W38" s="29"/>
      <c r="X38" s="26"/>
      <c r="AQ38" s="34"/>
      <c r="AV38" s="35"/>
    </row>
    <row r="39">
      <c r="A39" s="23"/>
      <c r="B39" s="24"/>
      <c r="C39" s="25"/>
      <c r="D39" s="25"/>
      <c r="E39" s="2"/>
      <c r="F39" s="29"/>
      <c r="G39" s="30"/>
      <c r="I39" s="23"/>
      <c r="J39" s="24"/>
      <c r="K39" s="31"/>
      <c r="L39" s="25"/>
      <c r="M39" s="2"/>
      <c r="N39" s="29"/>
      <c r="O39" s="30"/>
      <c r="P39" s="21">
        <f t="shared" si="1"/>
        <v>0</v>
      </c>
      <c r="Q39" s="22"/>
      <c r="R39" s="23"/>
      <c r="S39" s="24"/>
      <c r="T39" s="25"/>
      <c r="U39" s="25"/>
      <c r="V39" s="2"/>
      <c r="W39" s="29"/>
      <c r="X39" s="26"/>
      <c r="AQ39" s="34"/>
      <c r="AV39" s="35"/>
    </row>
    <row r="40">
      <c r="A40" s="23"/>
      <c r="B40" s="24"/>
      <c r="C40" s="31"/>
      <c r="D40" s="25"/>
      <c r="E40" s="2"/>
      <c r="F40" s="29"/>
      <c r="G40" s="30"/>
      <c r="I40" s="23"/>
      <c r="J40" s="24"/>
      <c r="K40" s="31"/>
      <c r="L40" s="25"/>
      <c r="M40" s="2"/>
      <c r="N40" s="29"/>
      <c r="O40" s="30"/>
      <c r="P40" s="21">
        <f t="shared" si="1"/>
        <v>0</v>
      </c>
      <c r="Q40" s="22"/>
      <c r="R40" s="23"/>
      <c r="S40" s="24"/>
      <c r="T40" s="25"/>
      <c r="U40" s="25"/>
      <c r="V40" s="2"/>
      <c r="W40" s="29"/>
      <c r="X40" s="26"/>
      <c r="AQ40" s="34"/>
      <c r="AV40" s="35"/>
    </row>
    <row r="41">
      <c r="A41" s="23"/>
      <c r="B41" s="24"/>
      <c r="C41" s="31"/>
      <c r="D41" s="25"/>
      <c r="E41" s="2"/>
      <c r="F41" s="48"/>
      <c r="G41" s="49"/>
      <c r="J41" s="34"/>
      <c r="O41" s="35"/>
      <c r="P41" s="21">
        <f t="shared" si="1"/>
        <v>0</v>
      </c>
      <c r="Q41" s="22"/>
      <c r="R41" s="23"/>
      <c r="S41" s="24"/>
      <c r="T41" s="31"/>
      <c r="U41" s="25"/>
      <c r="V41" s="2"/>
      <c r="W41" s="29"/>
      <c r="X41" s="26"/>
      <c r="AQ41" s="34"/>
      <c r="AV41" s="35"/>
    </row>
    <row r="42">
      <c r="A42" s="23"/>
      <c r="B42" s="24"/>
      <c r="C42" s="31"/>
      <c r="D42" s="25"/>
      <c r="E42" s="2"/>
      <c r="F42" s="29"/>
      <c r="G42" s="30"/>
      <c r="J42" s="34"/>
      <c r="O42" s="35"/>
      <c r="P42" s="21">
        <f t="shared" si="1"/>
        <v>0</v>
      </c>
      <c r="Q42" s="22"/>
      <c r="R42" s="23"/>
      <c r="S42" s="24"/>
      <c r="T42" s="25"/>
      <c r="U42" s="25"/>
      <c r="V42" s="2"/>
      <c r="W42" s="29"/>
      <c r="X42" s="26"/>
      <c r="AQ42" s="34"/>
      <c r="AV42" s="35"/>
    </row>
    <row r="43">
      <c r="A43" s="23"/>
      <c r="B43" s="24"/>
      <c r="C43" s="31"/>
      <c r="D43" s="25"/>
      <c r="E43" s="2"/>
      <c r="F43" s="29"/>
      <c r="G43" s="30"/>
      <c r="J43" s="34"/>
      <c r="O43" s="35"/>
      <c r="P43" s="21">
        <f t="shared" si="1"/>
        <v>0</v>
      </c>
      <c r="Q43" s="22"/>
      <c r="R43" s="22"/>
      <c r="S43" s="50"/>
      <c r="T43" s="51"/>
      <c r="U43" s="51"/>
      <c r="V43" s="52"/>
      <c r="W43" s="53"/>
      <c r="X43" s="54"/>
      <c r="AQ43" s="34"/>
      <c r="AV43" s="35"/>
    </row>
    <row r="44">
      <c r="B44" s="34"/>
      <c r="G44" s="35"/>
      <c r="J44" s="34"/>
      <c r="O44" s="35"/>
      <c r="P44" s="21">
        <f t="shared" si="1"/>
        <v>0</v>
      </c>
      <c r="Q44" s="22"/>
      <c r="R44" s="23"/>
      <c r="S44" s="24"/>
      <c r="T44" s="25"/>
      <c r="U44" s="25"/>
      <c r="V44" s="2"/>
      <c r="W44" s="2"/>
      <c r="X44" s="26"/>
      <c r="AQ44" s="34"/>
      <c r="AV44" s="35"/>
    </row>
    <row r="45">
      <c r="B45" s="34"/>
      <c r="G45" s="35"/>
      <c r="J45" s="34"/>
      <c r="O45" s="35"/>
      <c r="P45" s="21">
        <f t="shared" si="1"/>
        <v>0</v>
      </c>
      <c r="AQ45" s="34"/>
      <c r="AV45" s="35"/>
    </row>
    <row r="46">
      <c r="B46" s="34"/>
      <c r="G46" s="35"/>
      <c r="J46" s="34"/>
      <c r="O46" s="35"/>
      <c r="P46" s="21">
        <f t="shared" si="1"/>
        <v>0</v>
      </c>
      <c r="AQ46" s="34"/>
      <c r="AV46" s="35"/>
    </row>
    <row r="47">
      <c r="B47" s="34"/>
      <c r="G47" s="35"/>
      <c r="J47" s="34"/>
      <c r="O47" s="35"/>
      <c r="P47" s="21">
        <f t="shared" si="1"/>
        <v>0</v>
      </c>
      <c r="AQ47" s="34"/>
      <c r="AV47" s="35"/>
    </row>
    <row r="48">
      <c r="B48" s="34"/>
      <c r="G48" s="35"/>
      <c r="J48" s="34"/>
      <c r="O48" s="35"/>
      <c r="P48" s="21">
        <f t="shared" si="1"/>
        <v>0</v>
      </c>
      <c r="AQ48" s="34"/>
      <c r="AV48" s="35"/>
    </row>
    <row r="49">
      <c r="B49" s="34"/>
      <c r="G49" s="35"/>
      <c r="J49" s="34"/>
      <c r="O49" s="35"/>
      <c r="P49" s="21">
        <f t="shared" si="1"/>
        <v>0</v>
      </c>
      <c r="AQ49" s="34"/>
      <c r="AV49" s="35"/>
    </row>
    <row r="50">
      <c r="B50" s="34"/>
      <c r="G50" s="35"/>
      <c r="J50" s="34"/>
      <c r="O50" s="35"/>
      <c r="P50" s="21">
        <f t="shared" si="1"/>
        <v>0</v>
      </c>
      <c r="AQ50" s="34"/>
      <c r="AV50" s="35"/>
    </row>
    <row r="51">
      <c r="B51" s="34"/>
      <c r="G51" s="35"/>
      <c r="J51" s="34"/>
      <c r="O51" s="35"/>
      <c r="P51" s="21">
        <f t="shared" si="1"/>
        <v>0</v>
      </c>
      <c r="AQ51" s="34"/>
      <c r="AV51" s="35"/>
    </row>
    <row r="52">
      <c r="B52" s="34"/>
      <c r="G52" s="35"/>
      <c r="J52" s="34"/>
      <c r="O52" s="35"/>
      <c r="P52" s="21">
        <f t="shared" si="1"/>
        <v>0</v>
      </c>
      <c r="AQ52" s="34"/>
      <c r="AV52" s="35"/>
    </row>
    <row r="53">
      <c r="B53" s="34"/>
      <c r="G53" s="35"/>
      <c r="J53" s="34"/>
      <c r="O53" s="35"/>
      <c r="P53" s="21">
        <f t="shared" si="1"/>
        <v>0</v>
      </c>
      <c r="AQ53" s="34"/>
      <c r="AV53" s="35"/>
    </row>
    <row r="54">
      <c r="B54" s="34"/>
      <c r="G54" s="35"/>
      <c r="J54" s="34"/>
      <c r="O54" s="35"/>
      <c r="P54" s="21">
        <f t="shared" si="1"/>
        <v>0</v>
      </c>
      <c r="AQ54" s="34"/>
    </row>
    <row r="55">
      <c r="B55" s="34"/>
      <c r="G55" s="35"/>
      <c r="J55" s="34"/>
      <c r="O55" s="35"/>
      <c r="P55" s="21">
        <f t="shared" si="1"/>
        <v>0</v>
      </c>
      <c r="AQ55" s="34"/>
    </row>
    <row r="56">
      <c r="B56" s="34"/>
      <c r="G56" s="35"/>
      <c r="J56" s="34"/>
      <c r="O56" s="35"/>
      <c r="P56" s="21">
        <f t="shared" si="1"/>
        <v>0</v>
      </c>
      <c r="AQ56" s="34"/>
    </row>
    <row r="57">
      <c r="B57" s="34"/>
      <c r="G57" s="35"/>
      <c r="J57" s="34"/>
      <c r="O57" s="35"/>
      <c r="P57" s="21">
        <f t="shared" si="1"/>
        <v>0</v>
      </c>
      <c r="AQ57" s="34"/>
    </row>
    <row r="58">
      <c r="B58" s="34"/>
      <c r="G58" s="35"/>
      <c r="J58" s="34"/>
      <c r="O58" s="35"/>
      <c r="P58" s="21">
        <f t="shared" si="1"/>
        <v>0</v>
      </c>
      <c r="AQ58" s="34"/>
    </row>
    <row r="59">
      <c r="B59" s="34"/>
      <c r="G59" s="35"/>
      <c r="J59" s="34"/>
      <c r="O59" s="35"/>
      <c r="P59" s="21">
        <f t="shared" si="1"/>
        <v>0</v>
      </c>
      <c r="AQ59" s="34"/>
    </row>
    <row r="60">
      <c r="B60" s="34"/>
      <c r="G60" s="35"/>
      <c r="J60" s="34"/>
      <c r="O60" s="35"/>
      <c r="P60" s="21">
        <f t="shared" si="1"/>
        <v>0</v>
      </c>
      <c r="AQ60" s="34"/>
    </row>
    <row r="61">
      <c r="B61" s="34"/>
      <c r="G61" s="35"/>
      <c r="J61" s="34"/>
      <c r="O61" s="35"/>
      <c r="P61" s="21">
        <f t="shared" si="1"/>
        <v>0</v>
      </c>
      <c r="AQ61" s="34"/>
    </row>
    <row r="62">
      <c r="B62" s="34"/>
      <c r="G62" s="35"/>
      <c r="J62" s="34"/>
      <c r="O62" s="35"/>
      <c r="P62" s="21">
        <f t="shared" si="1"/>
        <v>0</v>
      </c>
      <c r="AQ62" s="34"/>
    </row>
    <row r="63">
      <c r="B63" s="34"/>
      <c r="G63" s="35"/>
      <c r="J63" s="34"/>
      <c r="O63" s="35"/>
      <c r="P63" s="21">
        <f t="shared" si="1"/>
        <v>0</v>
      </c>
      <c r="AQ63" s="34"/>
    </row>
    <row r="64">
      <c r="B64" s="34"/>
      <c r="G64" s="35"/>
      <c r="J64" s="34"/>
      <c r="O64" s="35"/>
      <c r="P64" s="21">
        <f t="shared" si="1"/>
        <v>0</v>
      </c>
      <c r="AQ64" s="34"/>
    </row>
    <row r="65">
      <c r="B65" s="34"/>
      <c r="G65" s="35"/>
      <c r="J65" s="34"/>
      <c r="O65" s="35"/>
      <c r="P65" s="21">
        <f t="shared" si="1"/>
        <v>0</v>
      </c>
      <c r="AQ65" s="34"/>
    </row>
    <row r="66">
      <c r="B66" s="34"/>
      <c r="G66" s="35"/>
      <c r="J66" s="34"/>
      <c r="O66" s="35"/>
      <c r="P66" s="21">
        <f t="shared" si="1"/>
        <v>0</v>
      </c>
      <c r="AQ66" s="34"/>
    </row>
    <row r="67">
      <c r="B67" s="34"/>
      <c r="G67" s="35"/>
      <c r="J67" s="34"/>
      <c r="O67" s="35"/>
      <c r="P67" s="21">
        <f t="shared" si="1"/>
        <v>0</v>
      </c>
      <c r="AQ67" s="34"/>
    </row>
    <row r="68">
      <c r="B68" s="34"/>
      <c r="G68" s="35"/>
      <c r="J68" s="34"/>
      <c r="O68" s="35"/>
      <c r="P68" s="21">
        <f t="shared" si="1"/>
        <v>0</v>
      </c>
      <c r="AQ68" s="34"/>
    </row>
    <row r="69">
      <c r="B69" s="34"/>
      <c r="G69" s="35"/>
      <c r="J69" s="34"/>
      <c r="O69" s="35"/>
      <c r="P69" s="21">
        <f t="shared" si="1"/>
        <v>0</v>
      </c>
      <c r="AQ69" s="34"/>
    </row>
    <row r="70">
      <c r="B70" s="34"/>
      <c r="G70" s="35"/>
      <c r="J70" s="34"/>
      <c r="O70" s="35"/>
      <c r="P70" s="21">
        <f t="shared" si="1"/>
        <v>0</v>
      </c>
      <c r="AQ70" s="34"/>
    </row>
    <row r="71">
      <c r="B71" s="34"/>
      <c r="G71" s="35"/>
      <c r="J71" s="34"/>
      <c r="O71" s="35"/>
      <c r="P71" s="21">
        <f t="shared" si="1"/>
        <v>0</v>
      </c>
      <c r="AQ71" s="34"/>
    </row>
    <row r="72">
      <c r="B72" s="34"/>
      <c r="G72" s="35"/>
      <c r="J72" s="34"/>
      <c r="O72" s="35"/>
      <c r="P72" s="21">
        <f t="shared" si="1"/>
        <v>0</v>
      </c>
      <c r="AQ72" s="34"/>
    </row>
    <row r="73">
      <c r="B73" s="34"/>
      <c r="G73" s="35"/>
      <c r="J73" s="34"/>
      <c r="O73" s="35"/>
      <c r="P73" s="21">
        <f t="shared" si="1"/>
        <v>0</v>
      </c>
      <c r="AQ73" s="34"/>
    </row>
    <row r="74">
      <c r="B74" s="34"/>
      <c r="G74" s="35"/>
      <c r="J74" s="34"/>
      <c r="O74" s="35"/>
      <c r="P74" s="21">
        <f t="shared" si="1"/>
        <v>0</v>
      </c>
      <c r="AQ74" s="34"/>
    </row>
    <row r="75">
      <c r="B75" s="34"/>
      <c r="G75" s="35"/>
      <c r="J75" s="34"/>
      <c r="O75" s="35"/>
      <c r="P75" s="21">
        <f t="shared" si="1"/>
        <v>0</v>
      </c>
      <c r="AQ75" s="34"/>
    </row>
    <row r="76">
      <c r="B76" s="34"/>
      <c r="G76" s="35"/>
      <c r="J76" s="34"/>
      <c r="O76" s="35"/>
      <c r="P76" s="21">
        <f t="shared" si="1"/>
        <v>0</v>
      </c>
      <c r="AQ76" s="34"/>
    </row>
    <row r="77">
      <c r="B77" s="34"/>
      <c r="G77" s="35"/>
      <c r="J77" s="34"/>
      <c r="O77" s="35"/>
      <c r="P77" s="21">
        <f t="shared" si="1"/>
        <v>0</v>
      </c>
      <c r="AQ77" s="34"/>
    </row>
    <row r="78">
      <c r="B78" s="34"/>
      <c r="G78" s="35"/>
      <c r="J78" s="34"/>
      <c r="O78" s="35"/>
      <c r="P78" s="21">
        <f t="shared" si="1"/>
        <v>0</v>
      </c>
      <c r="AQ78" s="34"/>
    </row>
    <row r="79">
      <c r="B79" s="34"/>
      <c r="G79" s="35"/>
      <c r="J79" s="34"/>
      <c r="O79" s="35"/>
      <c r="P79" s="21">
        <f t="shared" si="1"/>
        <v>0</v>
      </c>
      <c r="AQ79" s="34"/>
    </row>
    <row r="80">
      <c r="B80" s="34"/>
      <c r="G80" s="35"/>
      <c r="J80" s="34"/>
      <c r="O80" s="35"/>
      <c r="P80" s="21">
        <f t="shared" si="1"/>
        <v>0</v>
      </c>
      <c r="AQ80" s="34"/>
    </row>
    <row r="81">
      <c r="B81" s="34"/>
      <c r="G81" s="35"/>
      <c r="J81" s="34"/>
      <c r="O81" s="35"/>
      <c r="P81" s="21">
        <f t="shared" si="1"/>
        <v>0</v>
      </c>
      <c r="AQ81" s="34"/>
    </row>
    <row r="82">
      <c r="B82" s="34"/>
      <c r="G82" s="35"/>
      <c r="J82" s="34"/>
      <c r="O82" s="35"/>
      <c r="P82" s="21">
        <f t="shared" si="1"/>
        <v>0</v>
      </c>
      <c r="AQ82" s="34"/>
    </row>
    <row r="83">
      <c r="B83" s="34"/>
      <c r="G83" s="35"/>
      <c r="J83" s="34"/>
      <c r="O83" s="35"/>
      <c r="P83" s="21">
        <f t="shared" si="1"/>
        <v>0</v>
      </c>
      <c r="AQ83" s="34"/>
    </row>
    <row r="84">
      <c r="B84" s="34"/>
      <c r="G84" s="35"/>
      <c r="J84" s="34"/>
      <c r="O84" s="35"/>
      <c r="AQ84" s="34"/>
    </row>
    <row r="85">
      <c r="B85" s="34"/>
      <c r="G85" s="35"/>
      <c r="J85" s="34"/>
      <c r="O85" s="35"/>
      <c r="AQ85" s="34"/>
    </row>
    <row r="86">
      <c r="B86" s="34"/>
      <c r="G86" s="35"/>
      <c r="J86" s="34"/>
      <c r="O86" s="35"/>
      <c r="AQ86" s="34"/>
    </row>
    <row r="87">
      <c r="B87" s="34"/>
      <c r="G87" s="35"/>
      <c r="J87" s="34"/>
      <c r="O87" s="35"/>
      <c r="AQ87" s="34"/>
    </row>
    <row r="88">
      <c r="B88" s="34"/>
      <c r="G88" s="35"/>
      <c r="J88" s="34"/>
      <c r="O88" s="35"/>
      <c r="AQ88" s="34"/>
    </row>
    <row r="89">
      <c r="B89" s="34"/>
      <c r="G89" s="35"/>
      <c r="J89" s="34"/>
      <c r="O89" s="35"/>
      <c r="AQ89" s="34"/>
    </row>
    <row r="90">
      <c r="B90" s="34"/>
      <c r="G90" s="35"/>
      <c r="J90" s="34"/>
      <c r="O90" s="35"/>
      <c r="AQ90" s="34"/>
    </row>
    <row r="91">
      <c r="B91" s="34"/>
      <c r="G91" s="35"/>
      <c r="J91" s="34"/>
      <c r="O91" s="35"/>
      <c r="AQ91" s="34"/>
    </row>
    <row r="92">
      <c r="B92" s="34"/>
      <c r="G92" s="35"/>
      <c r="J92" s="34"/>
      <c r="O92" s="35"/>
      <c r="AQ92" s="34"/>
    </row>
    <row r="93">
      <c r="B93" s="34"/>
      <c r="G93" s="35"/>
      <c r="J93" s="34"/>
      <c r="O93" s="35"/>
      <c r="AQ93" s="34"/>
    </row>
    <row r="94">
      <c r="B94" s="34"/>
      <c r="G94" s="35"/>
      <c r="J94" s="34"/>
      <c r="O94" s="35"/>
      <c r="AQ94" s="34"/>
    </row>
    <row r="95">
      <c r="B95" s="34"/>
      <c r="G95" s="35"/>
      <c r="J95" s="34"/>
      <c r="O95" s="35"/>
      <c r="AQ95" s="34"/>
    </row>
    <row r="96">
      <c r="B96" s="34"/>
      <c r="G96" s="35"/>
      <c r="J96" s="34"/>
      <c r="O96" s="35"/>
      <c r="AQ96" s="34"/>
    </row>
    <row r="97">
      <c r="B97" s="34"/>
      <c r="G97" s="35"/>
      <c r="J97" s="34"/>
      <c r="O97" s="35"/>
      <c r="AQ97" s="34"/>
    </row>
    <row r="98">
      <c r="B98" s="34"/>
      <c r="G98" s="35"/>
      <c r="J98" s="34"/>
      <c r="O98" s="35"/>
      <c r="AQ98" s="34"/>
    </row>
    <row r="99">
      <c r="B99" s="34"/>
      <c r="G99" s="35"/>
      <c r="J99" s="34"/>
      <c r="O99" s="35"/>
      <c r="AQ99" s="34"/>
    </row>
    <row r="100">
      <c r="B100" s="34"/>
      <c r="G100" s="35"/>
      <c r="J100" s="34"/>
      <c r="O100" s="35"/>
      <c r="AQ100" s="34"/>
    </row>
    <row r="101">
      <c r="B101" s="34"/>
      <c r="G101" s="35"/>
      <c r="J101" s="34"/>
      <c r="O101" s="35"/>
      <c r="AQ101" s="34"/>
    </row>
    <row r="102">
      <c r="B102" s="34"/>
      <c r="G102" s="35"/>
      <c r="J102" s="34"/>
      <c r="O102" s="35"/>
      <c r="AQ102" s="34"/>
    </row>
    <row r="103">
      <c r="B103" s="34"/>
      <c r="G103" s="35"/>
      <c r="J103" s="34"/>
      <c r="O103" s="35"/>
      <c r="AQ103" s="34"/>
    </row>
    <row r="104">
      <c r="B104" s="34"/>
      <c r="G104" s="35"/>
      <c r="J104" s="34"/>
      <c r="O104" s="35"/>
      <c r="AQ104" s="34"/>
    </row>
    <row r="105">
      <c r="B105" s="34"/>
      <c r="G105" s="35"/>
      <c r="J105" s="34"/>
      <c r="O105" s="35"/>
      <c r="AQ105" s="34"/>
    </row>
    <row r="106">
      <c r="B106" s="34"/>
      <c r="G106" s="35"/>
      <c r="J106" s="34"/>
      <c r="O106" s="35"/>
      <c r="AQ106" s="34"/>
    </row>
    <row r="107">
      <c r="B107" s="34"/>
      <c r="G107" s="35"/>
      <c r="J107" s="34"/>
      <c r="O107" s="35"/>
      <c r="AQ107" s="34"/>
    </row>
    <row r="108">
      <c r="B108" s="34"/>
      <c r="G108" s="35"/>
      <c r="J108" s="34"/>
      <c r="O108" s="35"/>
      <c r="AQ108" s="34"/>
    </row>
    <row r="109">
      <c r="B109" s="34"/>
      <c r="G109" s="35"/>
      <c r="J109" s="34"/>
      <c r="O109" s="35"/>
      <c r="AQ109" s="34"/>
    </row>
    <row r="110">
      <c r="B110" s="34"/>
      <c r="G110" s="35"/>
      <c r="J110" s="34"/>
      <c r="O110" s="35"/>
      <c r="AQ110" s="34"/>
    </row>
    <row r="111">
      <c r="B111" s="34"/>
      <c r="G111" s="35"/>
      <c r="J111" s="34"/>
      <c r="O111" s="35"/>
      <c r="AQ111" s="34"/>
    </row>
    <row r="112">
      <c r="B112" s="34"/>
      <c r="G112" s="35"/>
      <c r="J112" s="34"/>
      <c r="O112" s="35"/>
      <c r="AQ112" s="34"/>
    </row>
    <row r="113">
      <c r="B113" s="34"/>
      <c r="G113" s="35"/>
      <c r="J113" s="34"/>
      <c r="O113" s="35"/>
      <c r="AQ113" s="34"/>
    </row>
    <row r="114">
      <c r="B114" s="34"/>
      <c r="G114" s="35"/>
      <c r="J114" s="34"/>
      <c r="O114" s="35"/>
      <c r="AQ114" s="34"/>
    </row>
    <row r="115">
      <c r="B115" s="34"/>
      <c r="G115" s="35"/>
      <c r="J115" s="34"/>
      <c r="O115" s="35"/>
      <c r="AQ115" s="34"/>
    </row>
    <row r="116">
      <c r="B116" s="34"/>
      <c r="G116" s="35"/>
      <c r="J116" s="34"/>
      <c r="O116" s="35"/>
      <c r="AQ116" s="34"/>
    </row>
    <row r="117">
      <c r="B117" s="34"/>
      <c r="G117" s="35"/>
      <c r="J117" s="34"/>
      <c r="O117" s="35"/>
      <c r="AQ117" s="34"/>
    </row>
    <row r="118">
      <c r="B118" s="34"/>
      <c r="G118" s="35"/>
      <c r="J118" s="34"/>
      <c r="O118" s="35"/>
      <c r="AQ118" s="34"/>
    </row>
    <row r="119">
      <c r="B119" s="34"/>
      <c r="G119" s="35"/>
      <c r="J119" s="34"/>
      <c r="O119" s="35"/>
      <c r="AQ119" s="34"/>
    </row>
    <row r="120">
      <c r="B120" s="34"/>
      <c r="G120" s="35"/>
      <c r="J120" s="34"/>
      <c r="O120" s="35"/>
      <c r="AQ120" s="34"/>
    </row>
    <row r="121">
      <c r="B121" s="34"/>
      <c r="G121" s="35"/>
      <c r="J121" s="34"/>
      <c r="O121" s="35"/>
      <c r="AQ121" s="34"/>
    </row>
    <row r="122">
      <c r="B122" s="34"/>
      <c r="G122" s="35"/>
      <c r="J122" s="34"/>
      <c r="O122" s="35"/>
      <c r="AQ122" s="34"/>
    </row>
    <row r="123">
      <c r="B123" s="34"/>
      <c r="G123" s="35"/>
      <c r="J123" s="34"/>
      <c r="O123" s="35"/>
      <c r="AQ123" s="34"/>
    </row>
    <row r="124">
      <c r="B124" s="34"/>
      <c r="G124" s="35"/>
      <c r="J124" s="34"/>
      <c r="O124" s="35"/>
      <c r="AQ124" s="34"/>
    </row>
    <row r="125">
      <c r="B125" s="34"/>
      <c r="G125" s="35"/>
      <c r="J125" s="34"/>
      <c r="O125" s="35"/>
      <c r="AQ125" s="34"/>
    </row>
    <row r="126">
      <c r="B126" s="34"/>
      <c r="G126" s="35"/>
      <c r="J126" s="34"/>
      <c r="O126" s="35"/>
      <c r="AQ126" s="34"/>
    </row>
    <row r="127">
      <c r="B127" s="34"/>
      <c r="G127" s="35"/>
      <c r="J127" s="34"/>
      <c r="O127" s="35"/>
      <c r="AQ127" s="34"/>
    </row>
    <row r="128">
      <c r="B128" s="34"/>
      <c r="G128" s="35"/>
      <c r="J128" s="34"/>
      <c r="O128" s="35"/>
      <c r="AQ128" s="34"/>
    </row>
    <row r="129">
      <c r="B129" s="34"/>
      <c r="G129" s="35"/>
      <c r="J129" s="34"/>
      <c r="O129" s="35"/>
      <c r="AQ129" s="34"/>
    </row>
    <row r="130">
      <c r="B130" s="34"/>
      <c r="G130" s="35"/>
      <c r="J130" s="34"/>
      <c r="O130" s="35"/>
      <c r="AQ130" s="34"/>
    </row>
    <row r="131">
      <c r="B131" s="34"/>
      <c r="G131" s="35"/>
      <c r="J131" s="34"/>
      <c r="O131" s="35"/>
      <c r="AQ131" s="34"/>
    </row>
    <row r="132">
      <c r="B132" s="34"/>
      <c r="G132" s="35"/>
      <c r="J132" s="34"/>
      <c r="O132" s="35"/>
      <c r="AQ132" s="34"/>
    </row>
    <row r="133">
      <c r="B133" s="34"/>
      <c r="G133" s="35"/>
      <c r="J133" s="34"/>
      <c r="O133" s="35"/>
      <c r="AQ133" s="34"/>
    </row>
    <row r="134">
      <c r="B134" s="34"/>
      <c r="G134" s="35"/>
      <c r="J134" s="34"/>
      <c r="O134" s="35"/>
      <c r="AQ134" s="34"/>
    </row>
    <row r="135">
      <c r="B135" s="34"/>
      <c r="G135" s="35"/>
      <c r="J135" s="34"/>
      <c r="O135" s="35"/>
      <c r="AQ135" s="34"/>
    </row>
    <row r="136">
      <c r="B136" s="34"/>
      <c r="G136" s="35"/>
      <c r="J136" s="34"/>
      <c r="O136" s="35"/>
      <c r="AQ136" s="34"/>
    </row>
    <row r="137">
      <c r="B137" s="34"/>
      <c r="G137" s="35"/>
      <c r="J137" s="34"/>
      <c r="O137" s="35"/>
      <c r="AQ137" s="34"/>
    </row>
    <row r="138">
      <c r="B138" s="34"/>
      <c r="G138" s="35"/>
      <c r="J138" s="34"/>
      <c r="O138" s="35"/>
      <c r="AQ138" s="34"/>
    </row>
    <row r="139">
      <c r="B139" s="34"/>
      <c r="G139" s="35"/>
      <c r="J139" s="34"/>
      <c r="O139" s="35"/>
      <c r="AQ139" s="34"/>
    </row>
    <row r="140">
      <c r="B140" s="34"/>
      <c r="G140" s="35"/>
      <c r="J140" s="34"/>
      <c r="O140" s="35"/>
      <c r="AQ140" s="34"/>
    </row>
    <row r="141">
      <c r="B141" s="34"/>
      <c r="G141" s="35"/>
      <c r="J141" s="34"/>
      <c r="O141" s="35"/>
      <c r="AQ141" s="34"/>
    </row>
    <row r="142">
      <c r="B142" s="34"/>
      <c r="G142" s="35"/>
      <c r="J142" s="34"/>
      <c r="O142" s="35"/>
      <c r="AQ142" s="34"/>
    </row>
    <row r="143">
      <c r="B143" s="34"/>
      <c r="G143" s="35"/>
      <c r="J143" s="34"/>
      <c r="O143" s="35"/>
      <c r="AQ143" s="34"/>
    </row>
    <row r="144">
      <c r="B144" s="34"/>
      <c r="G144" s="35"/>
      <c r="J144" s="34"/>
      <c r="O144" s="35"/>
      <c r="AQ144" s="34"/>
    </row>
    <row r="145">
      <c r="B145" s="34"/>
      <c r="G145" s="35"/>
      <c r="J145" s="34"/>
      <c r="O145" s="35"/>
      <c r="AQ145" s="34"/>
    </row>
    <row r="146">
      <c r="B146" s="34"/>
      <c r="G146" s="35"/>
      <c r="J146" s="34"/>
      <c r="O146" s="35"/>
      <c r="AQ146" s="34"/>
    </row>
    <row r="147">
      <c r="B147" s="34"/>
      <c r="G147" s="35"/>
      <c r="J147" s="34"/>
      <c r="O147" s="35"/>
      <c r="AQ147" s="34"/>
    </row>
    <row r="148">
      <c r="B148" s="34"/>
      <c r="G148" s="35"/>
      <c r="J148" s="34"/>
      <c r="O148" s="35"/>
      <c r="AQ148" s="34"/>
    </row>
    <row r="149">
      <c r="B149" s="34"/>
      <c r="G149" s="35"/>
      <c r="J149" s="34"/>
      <c r="O149" s="35"/>
      <c r="AQ149" s="34"/>
    </row>
    <row r="150">
      <c r="B150" s="34"/>
      <c r="G150" s="35"/>
      <c r="J150" s="34"/>
      <c r="O150" s="35"/>
      <c r="AQ150" s="34"/>
    </row>
    <row r="151">
      <c r="B151" s="34"/>
      <c r="G151" s="35"/>
      <c r="J151" s="34"/>
      <c r="O151" s="35"/>
      <c r="AQ151" s="34"/>
    </row>
    <row r="152">
      <c r="B152" s="34"/>
      <c r="G152" s="35"/>
      <c r="J152" s="34"/>
      <c r="O152" s="35"/>
      <c r="AQ152" s="34"/>
    </row>
    <row r="153">
      <c r="B153" s="34"/>
      <c r="G153" s="35"/>
      <c r="J153" s="34"/>
      <c r="O153" s="35"/>
      <c r="AQ153" s="34"/>
    </row>
    <row r="154">
      <c r="B154" s="34"/>
      <c r="G154" s="35"/>
      <c r="J154" s="34"/>
      <c r="O154" s="35"/>
      <c r="AQ154" s="34"/>
    </row>
    <row r="155">
      <c r="B155" s="34"/>
      <c r="G155" s="35"/>
      <c r="J155" s="34"/>
      <c r="O155" s="35"/>
      <c r="AQ155" s="34"/>
    </row>
    <row r="156">
      <c r="B156" s="34"/>
      <c r="G156" s="35"/>
      <c r="J156" s="34"/>
      <c r="O156" s="35"/>
      <c r="AQ156" s="34"/>
    </row>
    <row r="157">
      <c r="B157" s="34"/>
      <c r="G157" s="35"/>
      <c r="J157" s="34"/>
      <c r="O157" s="35"/>
      <c r="AQ157" s="34"/>
    </row>
    <row r="158">
      <c r="B158" s="34"/>
      <c r="G158" s="35"/>
      <c r="J158" s="34"/>
      <c r="O158" s="35"/>
      <c r="AQ158" s="34"/>
    </row>
    <row r="159">
      <c r="B159" s="34"/>
      <c r="G159" s="35"/>
      <c r="J159" s="34"/>
      <c r="O159" s="35"/>
      <c r="AQ159" s="34"/>
    </row>
    <row r="160">
      <c r="B160" s="34"/>
      <c r="G160" s="35"/>
      <c r="J160" s="34"/>
      <c r="O160" s="35"/>
      <c r="AQ160" s="34"/>
    </row>
    <row r="161">
      <c r="B161" s="34"/>
      <c r="G161" s="35"/>
      <c r="J161" s="34"/>
      <c r="O161" s="35"/>
      <c r="AQ161" s="34"/>
    </row>
    <row r="162">
      <c r="B162" s="34"/>
      <c r="G162" s="35"/>
      <c r="J162" s="34"/>
      <c r="O162" s="35"/>
      <c r="AQ162" s="34"/>
    </row>
    <row r="163">
      <c r="B163" s="34"/>
      <c r="G163" s="35"/>
      <c r="J163" s="34"/>
      <c r="O163" s="35"/>
      <c r="AQ163" s="34"/>
    </row>
    <row r="164">
      <c r="B164" s="34"/>
      <c r="G164" s="35"/>
      <c r="J164" s="34"/>
      <c r="O164" s="35"/>
      <c r="AQ164" s="34"/>
    </row>
    <row r="165">
      <c r="B165" s="34"/>
      <c r="G165" s="35"/>
      <c r="J165" s="34"/>
      <c r="O165" s="35"/>
      <c r="AQ165" s="34"/>
    </row>
    <row r="166">
      <c r="B166" s="34"/>
      <c r="G166" s="35"/>
      <c r="J166" s="34"/>
      <c r="O166" s="35"/>
      <c r="AQ166" s="34"/>
    </row>
    <row r="167">
      <c r="B167" s="34"/>
      <c r="G167" s="35"/>
      <c r="J167" s="34"/>
      <c r="O167" s="35"/>
      <c r="AQ167" s="34"/>
    </row>
    <row r="168">
      <c r="B168" s="34"/>
      <c r="G168" s="35"/>
      <c r="J168" s="34"/>
      <c r="O168" s="35"/>
      <c r="AQ168" s="34"/>
    </row>
    <row r="169">
      <c r="B169" s="34"/>
      <c r="G169" s="35"/>
      <c r="J169" s="34"/>
      <c r="O169" s="35"/>
      <c r="AQ169" s="34"/>
    </row>
    <row r="170">
      <c r="B170" s="34"/>
      <c r="G170" s="35"/>
      <c r="J170" s="34"/>
      <c r="O170" s="35"/>
      <c r="AQ170" s="34"/>
    </row>
    <row r="171">
      <c r="B171" s="34"/>
      <c r="G171" s="35"/>
      <c r="J171" s="34"/>
      <c r="O171" s="35"/>
      <c r="AQ171" s="34"/>
    </row>
    <row r="172">
      <c r="B172" s="34"/>
      <c r="G172" s="35"/>
      <c r="J172" s="34"/>
      <c r="O172" s="35"/>
      <c r="AQ172" s="34"/>
    </row>
    <row r="173">
      <c r="B173" s="34"/>
      <c r="G173" s="35"/>
      <c r="J173" s="34"/>
      <c r="O173" s="35"/>
      <c r="AQ173" s="34"/>
    </row>
    <row r="174">
      <c r="B174" s="34"/>
      <c r="G174" s="35"/>
      <c r="J174" s="34"/>
      <c r="O174" s="35"/>
      <c r="AQ174" s="34"/>
    </row>
    <row r="175">
      <c r="B175" s="34"/>
      <c r="G175" s="35"/>
      <c r="J175" s="34"/>
      <c r="O175" s="35"/>
      <c r="AQ175" s="34"/>
    </row>
    <row r="176">
      <c r="B176" s="34"/>
      <c r="G176" s="35"/>
      <c r="J176" s="34"/>
      <c r="O176" s="35"/>
      <c r="AQ176" s="34"/>
    </row>
    <row r="177">
      <c r="B177" s="34"/>
      <c r="G177" s="35"/>
      <c r="J177" s="34"/>
      <c r="O177" s="35"/>
      <c r="AQ177" s="34"/>
    </row>
    <row r="178">
      <c r="B178" s="34"/>
      <c r="G178" s="35"/>
      <c r="J178" s="34"/>
      <c r="O178" s="35"/>
      <c r="AQ178" s="34"/>
    </row>
    <row r="179">
      <c r="B179" s="34"/>
      <c r="G179" s="35"/>
      <c r="J179" s="34"/>
      <c r="O179" s="35"/>
      <c r="AQ179" s="34"/>
    </row>
    <row r="180">
      <c r="B180" s="34"/>
      <c r="G180" s="35"/>
      <c r="J180" s="34"/>
      <c r="O180" s="35"/>
      <c r="AQ180" s="34"/>
    </row>
    <row r="181">
      <c r="B181" s="34"/>
      <c r="G181" s="35"/>
      <c r="J181" s="34"/>
      <c r="O181" s="35"/>
      <c r="AQ181" s="34"/>
    </row>
    <row r="182">
      <c r="B182" s="34"/>
      <c r="G182" s="35"/>
      <c r="J182" s="34"/>
      <c r="O182" s="35"/>
      <c r="AQ182" s="34"/>
    </row>
    <row r="183">
      <c r="B183" s="34"/>
      <c r="G183" s="35"/>
      <c r="J183" s="34"/>
      <c r="O183" s="35"/>
      <c r="AQ183" s="34"/>
    </row>
    <row r="184">
      <c r="B184" s="34"/>
      <c r="G184" s="35"/>
      <c r="J184" s="34"/>
      <c r="O184" s="35"/>
      <c r="AQ184" s="34"/>
    </row>
    <row r="185">
      <c r="B185" s="34"/>
      <c r="G185" s="35"/>
      <c r="J185" s="34"/>
      <c r="O185" s="35"/>
      <c r="AQ185" s="34"/>
    </row>
    <row r="186">
      <c r="B186" s="34"/>
      <c r="G186" s="35"/>
      <c r="J186" s="34"/>
      <c r="O186" s="35"/>
      <c r="AQ186" s="34"/>
    </row>
    <row r="187">
      <c r="B187" s="34"/>
      <c r="G187" s="35"/>
      <c r="J187" s="34"/>
      <c r="O187" s="35"/>
      <c r="AQ187" s="34"/>
    </row>
    <row r="188">
      <c r="B188" s="34"/>
      <c r="G188" s="35"/>
      <c r="J188" s="34"/>
      <c r="O188" s="35"/>
      <c r="AQ188" s="34"/>
    </row>
    <row r="189">
      <c r="B189" s="34"/>
      <c r="G189" s="35"/>
      <c r="J189" s="34"/>
      <c r="O189" s="35"/>
      <c r="AQ189" s="34"/>
    </row>
    <row r="190">
      <c r="B190" s="34"/>
      <c r="G190" s="35"/>
      <c r="J190" s="34"/>
      <c r="O190" s="35"/>
      <c r="AQ190" s="34"/>
    </row>
    <row r="191">
      <c r="B191" s="34"/>
      <c r="G191" s="35"/>
      <c r="J191" s="34"/>
      <c r="O191" s="35"/>
      <c r="AQ191" s="34"/>
    </row>
    <row r="192">
      <c r="B192" s="34"/>
      <c r="G192" s="35"/>
      <c r="J192" s="34"/>
      <c r="O192" s="35"/>
      <c r="AQ192" s="34"/>
    </row>
    <row r="193">
      <c r="B193" s="34"/>
      <c r="G193" s="35"/>
      <c r="J193" s="34"/>
      <c r="O193" s="35"/>
      <c r="AQ193" s="34"/>
    </row>
    <row r="194">
      <c r="B194" s="34"/>
      <c r="G194" s="35"/>
      <c r="J194" s="34"/>
      <c r="O194" s="35"/>
      <c r="AQ194" s="34"/>
    </row>
    <row r="195">
      <c r="B195" s="34"/>
      <c r="G195" s="35"/>
      <c r="J195" s="34"/>
      <c r="O195" s="35"/>
      <c r="AQ195" s="34"/>
    </row>
    <row r="196">
      <c r="B196" s="34"/>
      <c r="G196" s="35"/>
      <c r="J196" s="34"/>
      <c r="O196" s="35"/>
      <c r="AQ196" s="34"/>
    </row>
    <row r="197">
      <c r="B197" s="34"/>
      <c r="G197" s="35"/>
      <c r="J197" s="34"/>
      <c r="O197" s="35"/>
      <c r="AQ197" s="34"/>
    </row>
    <row r="198">
      <c r="B198" s="34"/>
      <c r="G198" s="35"/>
      <c r="J198" s="34"/>
      <c r="O198" s="35"/>
      <c r="AQ198" s="34"/>
    </row>
    <row r="199">
      <c r="B199" s="34"/>
      <c r="G199" s="35"/>
      <c r="J199" s="34"/>
      <c r="O199" s="35"/>
      <c r="AQ199" s="34"/>
    </row>
    <row r="200">
      <c r="B200" s="34"/>
      <c r="G200" s="35"/>
      <c r="J200" s="34"/>
      <c r="O200" s="35"/>
      <c r="AQ200" s="34"/>
    </row>
    <row r="201">
      <c r="B201" s="34"/>
      <c r="G201" s="35"/>
      <c r="J201" s="34"/>
      <c r="O201" s="35"/>
      <c r="AQ201" s="34"/>
    </row>
    <row r="202">
      <c r="B202" s="34"/>
      <c r="G202" s="35"/>
      <c r="J202" s="34"/>
      <c r="O202" s="35"/>
      <c r="AQ202" s="34"/>
    </row>
    <row r="203">
      <c r="B203" s="34"/>
      <c r="G203" s="35"/>
      <c r="J203" s="34"/>
      <c r="O203" s="35"/>
      <c r="AQ203" s="34"/>
    </row>
    <row r="204">
      <c r="B204" s="34"/>
      <c r="G204" s="35"/>
      <c r="J204" s="34"/>
      <c r="O204" s="35"/>
      <c r="AQ204" s="34"/>
    </row>
    <row r="205">
      <c r="B205" s="34"/>
      <c r="G205" s="35"/>
      <c r="J205" s="34"/>
      <c r="O205" s="35"/>
      <c r="AQ205" s="34"/>
    </row>
    <row r="206">
      <c r="B206" s="34"/>
      <c r="G206" s="35"/>
      <c r="J206" s="34"/>
      <c r="O206" s="35"/>
      <c r="AQ206" s="34"/>
    </row>
    <row r="207">
      <c r="B207" s="34"/>
      <c r="G207" s="35"/>
      <c r="J207" s="34"/>
      <c r="O207" s="35"/>
      <c r="AQ207" s="34"/>
    </row>
    <row r="208">
      <c r="B208" s="34"/>
      <c r="G208" s="35"/>
      <c r="J208" s="34"/>
      <c r="O208" s="35"/>
      <c r="AQ208" s="34"/>
    </row>
    <row r="209">
      <c r="B209" s="34"/>
      <c r="G209" s="35"/>
      <c r="J209" s="34"/>
      <c r="O209" s="35"/>
      <c r="AQ209" s="34"/>
    </row>
    <row r="210">
      <c r="B210" s="34"/>
      <c r="G210" s="35"/>
      <c r="J210" s="34"/>
      <c r="O210" s="35"/>
      <c r="AQ210" s="34"/>
    </row>
    <row r="211">
      <c r="B211" s="34"/>
      <c r="G211" s="35"/>
      <c r="J211" s="34"/>
      <c r="O211" s="35"/>
      <c r="AQ211" s="34"/>
    </row>
    <row r="212">
      <c r="B212" s="34"/>
      <c r="G212" s="35"/>
      <c r="J212" s="34"/>
      <c r="O212" s="35"/>
      <c r="AQ212" s="34"/>
    </row>
    <row r="213">
      <c r="B213" s="34"/>
      <c r="G213" s="35"/>
      <c r="J213" s="34"/>
      <c r="O213" s="35"/>
      <c r="AQ213" s="34"/>
    </row>
    <row r="214">
      <c r="B214" s="34"/>
      <c r="G214" s="35"/>
      <c r="J214" s="34"/>
      <c r="O214" s="35"/>
      <c r="AQ214" s="34"/>
    </row>
    <row r="215">
      <c r="B215" s="34"/>
      <c r="G215" s="35"/>
      <c r="J215" s="34"/>
      <c r="O215" s="35"/>
      <c r="AQ215" s="34"/>
    </row>
    <row r="216">
      <c r="B216" s="34"/>
      <c r="G216" s="35"/>
      <c r="J216" s="34"/>
      <c r="O216" s="35"/>
      <c r="AQ216" s="34"/>
    </row>
    <row r="217">
      <c r="B217" s="34"/>
      <c r="G217" s="35"/>
      <c r="J217" s="34"/>
      <c r="O217" s="35"/>
      <c r="AQ217" s="34"/>
    </row>
    <row r="218">
      <c r="B218" s="34"/>
      <c r="G218" s="35"/>
      <c r="J218" s="34"/>
      <c r="O218" s="35"/>
      <c r="AQ218" s="34"/>
    </row>
    <row r="219">
      <c r="B219" s="34"/>
      <c r="G219" s="35"/>
      <c r="J219" s="34"/>
      <c r="O219" s="35"/>
      <c r="AQ219" s="34"/>
    </row>
    <row r="220">
      <c r="B220" s="34"/>
      <c r="G220" s="35"/>
      <c r="J220" s="34"/>
      <c r="O220" s="35"/>
      <c r="AQ220" s="34"/>
    </row>
    <row r="221">
      <c r="B221" s="34"/>
      <c r="G221" s="35"/>
      <c r="J221" s="34"/>
      <c r="O221" s="35"/>
      <c r="AQ221" s="34"/>
    </row>
    <row r="222">
      <c r="B222" s="34"/>
      <c r="G222" s="35"/>
      <c r="J222" s="34"/>
      <c r="O222" s="35"/>
      <c r="AQ222" s="34"/>
    </row>
    <row r="223">
      <c r="B223" s="34"/>
      <c r="G223" s="35"/>
      <c r="J223" s="34"/>
      <c r="O223" s="35"/>
      <c r="AQ223" s="34"/>
    </row>
    <row r="224">
      <c r="B224" s="34"/>
      <c r="G224" s="35"/>
      <c r="J224" s="34"/>
      <c r="O224" s="35"/>
      <c r="AQ224" s="34"/>
    </row>
    <row r="225">
      <c r="B225" s="34"/>
      <c r="G225" s="35"/>
      <c r="J225" s="34"/>
      <c r="O225" s="35"/>
      <c r="AQ225" s="34"/>
    </row>
    <row r="226">
      <c r="B226" s="34"/>
      <c r="G226" s="35"/>
      <c r="J226" s="34"/>
      <c r="O226" s="35"/>
      <c r="AQ226" s="34"/>
    </row>
    <row r="227">
      <c r="B227" s="34"/>
      <c r="G227" s="35"/>
      <c r="J227" s="34"/>
      <c r="O227" s="35"/>
      <c r="AQ227" s="34"/>
    </row>
    <row r="228">
      <c r="B228" s="34"/>
      <c r="G228" s="35"/>
      <c r="J228" s="34"/>
      <c r="O228" s="35"/>
      <c r="AQ228" s="34"/>
    </row>
    <row r="229">
      <c r="B229" s="34"/>
      <c r="G229" s="35"/>
      <c r="J229" s="34"/>
      <c r="O229" s="35"/>
      <c r="AQ229" s="34"/>
    </row>
    <row r="230">
      <c r="B230" s="34"/>
      <c r="G230" s="35"/>
      <c r="J230" s="34"/>
      <c r="O230" s="35"/>
      <c r="AQ230" s="34"/>
    </row>
    <row r="231">
      <c r="B231" s="34"/>
      <c r="G231" s="35"/>
      <c r="J231" s="34"/>
      <c r="O231" s="35"/>
      <c r="AQ231" s="34"/>
    </row>
    <row r="232">
      <c r="B232" s="34"/>
      <c r="G232" s="35"/>
      <c r="J232" s="34"/>
      <c r="O232" s="35"/>
      <c r="AQ232" s="34"/>
    </row>
    <row r="233">
      <c r="B233" s="34"/>
      <c r="G233" s="35"/>
      <c r="J233" s="34"/>
      <c r="O233" s="35"/>
      <c r="AQ233" s="34"/>
    </row>
    <row r="234">
      <c r="B234" s="34"/>
      <c r="G234" s="35"/>
      <c r="J234" s="34"/>
      <c r="O234" s="35"/>
      <c r="AQ234" s="34"/>
    </row>
    <row r="235">
      <c r="B235" s="34"/>
      <c r="G235" s="35"/>
      <c r="J235" s="34"/>
      <c r="O235" s="35"/>
      <c r="AQ235" s="34"/>
    </row>
    <row r="236">
      <c r="B236" s="34"/>
      <c r="G236" s="35"/>
      <c r="J236" s="34"/>
      <c r="O236" s="35"/>
      <c r="AQ236" s="34"/>
    </row>
    <row r="237">
      <c r="B237" s="34"/>
      <c r="G237" s="35"/>
      <c r="J237" s="34"/>
      <c r="O237" s="35"/>
      <c r="AQ237" s="34"/>
    </row>
    <row r="238">
      <c r="B238" s="34"/>
      <c r="G238" s="35"/>
      <c r="J238" s="34"/>
      <c r="O238" s="35"/>
      <c r="AQ238" s="34"/>
    </row>
    <row r="239">
      <c r="B239" s="34"/>
      <c r="G239" s="35"/>
      <c r="J239" s="34"/>
      <c r="O239" s="35"/>
      <c r="AQ239" s="34"/>
    </row>
    <row r="240">
      <c r="B240" s="34"/>
      <c r="G240" s="35"/>
      <c r="J240" s="34"/>
      <c r="O240" s="35"/>
      <c r="AQ240" s="34"/>
    </row>
    <row r="241">
      <c r="B241" s="34"/>
      <c r="G241" s="35"/>
      <c r="J241" s="34"/>
      <c r="O241" s="35"/>
      <c r="AQ241" s="34"/>
    </row>
    <row r="242">
      <c r="B242" s="34"/>
      <c r="G242" s="35"/>
      <c r="J242" s="34"/>
      <c r="O242" s="35"/>
      <c r="AQ242" s="34"/>
    </row>
    <row r="243">
      <c r="B243" s="34"/>
      <c r="G243" s="35"/>
      <c r="J243" s="34"/>
      <c r="O243" s="35"/>
      <c r="AQ243" s="34"/>
    </row>
    <row r="244">
      <c r="B244" s="34"/>
      <c r="G244" s="35"/>
      <c r="J244" s="34"/>
      <c r="O244" s="35"/>
      <c r="AQ244" s="34"/>
    </row>
    <row r="245">
      <c r="B245" s="34"/>
      <c r="G245" s="35"/>
      <c r="J245" s="34"/>
      <c r="O245" s="35"/>
      <c r="AQ245" s="34"/>
    </row>
    <row r="246">
      <c r="B246" s="34"/>
      <c r="G246" s="35"/>
      <c r="J246" s="34"/>
      <c r="O246" s="35"/>
      <c r="AQ246" s="34"/>
    </row>
    <row r="247">
      <c r="B247" s="34"/>
      <c r="G247" s="35"/>
      <c r="J247" s="34"/>
      <c r="O247" s="35"/>
      <c r="AQ247" s="34"/>
    </row>
    <row r="248">
      <c r="B248" s="34"/>
      <c r="G248" s="35"/>
      <c r="J248" s="34"/>
      <c r="O248" s="35"/>
      <c r="AQ248" s="34"/>
    </row>
    <row r="249">
      <c r="B249" s="34"/>
      <c r="G249" s="35"/>
      <c r="J249" s="34"/>
      <c r="O249" s="35"/>
      <c r="AQ249" s="34"/>
    </row>
    <row r="250">
      <c r="B250" s="34"/>
      <c r="G250" s="35"/>
      <c r="J250" s="34"/>
      <c r="O250" s="35"/>
      <c r="AQ250" s="34"/>
    </row>
    <row r="251">
      <c r="B251" s="34"/>
      <c r="G251" s="35"/>
      <c r="J251" s="34"/>
      <c r="O251" s="35"/>
      <c r="AQ251" s="34"/>
    </row>
    <row r="252">
      <c r="B252" s="34"/>
      <c r="G252" s="35"/>
      <c r="J252" s="34"/>
      <c r="O252" s="35"/>
      <c r="AQ252" s="34"/>
    </row>
    <row r="253">
      <c r="B253" s="34"/>
      <c r="G253" s="35"/>
      <c r="J253" s="34"/>
      <c r="O253" s="35"/>
      <c r="AQ253" s="34"/>
    </row>
    <row r="254">
      <c r="B254" s="34"/>
      <c r="G254" s="35"/>
      <c r="J254" s="34"/>
      <c r="O254" s="35"/>
      <c r="AQ254" s="34"/>
    </row>
    <row r="255">
      <c r="B255" s="34"/>
      <c r="G255" s="35"/>
      <c r="J255" s="34"/>
      <c r="O255" s="35"/>
      <c r="AQ255" s="34"/>
    </row>
    <row r="256">
      <c r="B256" s="34"/>
      <c r="G256" s="35"/>
      <c r="J256" s="34"/>
      <c r="O256" s="35"/>
      <c r="AQ256" s="34"/>
    </row>
    <row r="257">
      <c r="B257" s="34"/>
      <c r="G257" s="35"/>
      <c r="J257" s="34"/>
      <c r="O257" s="35"/>
      <c r="AQ257" s="34"/>
    </row>
    <row r="258">
      <c r="B258" s="34"/>
      <c r="G258" s="35"/>
      <c r="J258" s="34"/>
      <c r="O258" s="35"/>
      <c r="AQ258" s="34"/>
    </row>
    <row r="259">
      <c r="B259" s="34"/>
      <c r="G259" s="35"/>
      <c r="J259" s="34"/>
      <c r="O259" s="35"/>
      <c r="AQ259" s="34"/>
    </row>
    <row r="260">
      <c r="B260" s="34"/>
      <c r="G260" s="35"/>
      <c r="J260" s="34"/>
      <c r="O260" s="35"/>
      <c r="AQ260" s="34"/>
    </row>
    <row r="261">
      <c r="B261" s="34"/>
      <c r="G261" s="35"/>
      <c r="J261" s="34"/>
      <c r="O261" s="35"/>
      <c r="AQ261" s="34"/>
    </row>
    <row r="262">
      <c r="B262" s="34"/>
      <c r="G262" s="35"/>
      <c r="J262" s="34"/>
      <c r="O262" s="35"/>
      <c r="AQ262" s="34"/>
    </row>
    <row r="263">
      <c r="B263" s="34"/>
      <c r="G263" s="35"/>
      <c r="J263" s="34"/>
      <c r="O263" s="35"/>
      <c r="AQ263" s="34"/>
    </row>
    <row r="264">
      <c r="B264" s="34"/>
      <c r="G264" s="35"/>
      <c r="J264" s="34"/>
      <c r="O264" s="35"/>
      <c r="AQ264" s="34"/>
    </row>
    <row r="265">
      <c r="B265" s="34"/>
      <c r="G265" s="35"/>
      <c r="J265" s="34"/>
      <c r="O265" s="35"/>
      <c r="AQ265" s="34"/>
    </row>
    <row r="266">
      <c r="B266" s="34"/>
      <c r="G266" s="35"/>
      <c r="J266" s="34"/>
      <c r="O266" s="35"/>
      <c r="AQ266" s="34"/>
    </row>
    <row r="267">
      <c r="B267" s="34"/>
      <c r="G267" s="35"/>
      <c r="J267" s="34"/>
      <c r="O267" s="35"/>
      <c r="AQ267" s="34"/>
    </row>
    <row r="268">
      <c r="B268" s="34"/>
      <c r="G268" s="35"/>
      <c r="J268" s="34"/>
      <c r="O268" s="35"/>
      <c r="AQ268" s="34"/>
    </row>
    <row r="269">
      <c r="B269" s="34"/>
      <c r="G269" s="35"/>
      <c r="J269" s="34"/>
      <c r="O269" s="35"/>
      <c r="AQ269" s="34"/>
    </row>
    <row r="270">
      <c r="B270" s="34"/>
      <c r="G270" s="35"/>
      <c r="J270" s="34"/>
      <c r="O270" s="35"/>
      <c r="AQ270" s="34"/>
    </row>
    <row r="271">
      <c r="B271" s="34"/>
      <c r="G271" s="35"/>
      <c r="J271" s="34"/>
      <c r="O271" s="35"/>
      <c r="AQ271" s="34"/>
    </row>
    <row r="272">
      <c r="B272" s="34"/>
      <c r="G272" s="35"/>
      <c r="J272" s="34"/>
      <c r="O272" s="35"/>
      <c r="AQ272" s="34"/>
    </row>
    <row r="273">
      <c r="B273" s="34"/>
      <c r="G273" s="35"/>
      <c r="J273" s="34"/>
      <c r="O273" s="35"/>
      <c r="AQ273" s="34"/>
    </row>
    <row r="274">
      <c r="B274" s="34"/>
      <c r="G274" s="35"/>
      <c r="J274" s="34"/>
      <c r="O274" s="35"/>
      <c r="AQ274" s="34"/>
    </row>
    <row r="275">
      <c r="B275" s="34"/>
      <c r="G275" s="35"/>
      <c r="J275" s="34"/>
      <c r="O275" s="35"/>
      <c r="AQ275" s="34"/>
    </row>
    <row r="276">
      <c r="B276" s="34"/>
      <c r="G276" s="35"/>
      <c r="J276" s="34"/>
      <c r="O276" s="35"/>
      <c r="AQ276" s="34"/>
    </row>
    <row r="277">
      <c r="B277" s="34"/>
      <c r="G277" s="35"/>
      <c r="J277" s="34"/>
      <c r="O277" s="35"/>
      <c r="AQ277" s="34"/>
    </row>
    <row r="278">
      <c r="B278" s="34"/>
      <c r="G278" s="35"/>
      <c r="J278" s="34"/>
      <c r="O278" s="35"/>
      <c r="AQ278" s="34"/>
    </row>
    <row r="279">
      <c r="B279" s="34"/>
      <c r="G279" s="35"/>
      <c r="J279" s="34"/>
      <c r="O279" s="35"/>
      <c r="AQ279" s="34"/>
    </row>
    <row r="280">
      <c r="B280" s="34"/>
      <c r="G280" s="35"/>
      <c r="J280" s="34"/>
      <c r="O280" s="35"/>
      <c r="AQ280" s="34"/>
    </row>
    <row r="281">
      <c r="B281" s="34"/>
      <c r="G281" s="35"/>
      <c r="J281" s="34"/>
      <c r="O281" s="35"/>
      <c r="AQ281" s="34"/>
    </row>
    <row r="282">
      <c r="B282" s="34"/>
      <c r="G282" s="35"/>
      <c r="J282" s="34"/>
      <c r="O282" s="35"/>
      <c r="AQ282" s="34"/>
    </row>
    <row r="283">
      <c r="B283" s="34"/>
      <c r="G283" s="35"/>
      <c r="J283" s="34"/>
      <c r="O283" s="35"/>
      <c r="AQ283" s="34"/>
    </row>
    <row r="284">
      <c r="B284" s="34"/>
      <c r="G284" s="35"/>
      <c r="J284" s="34"/>
      <c r="O284" s="35"/>
      <c r="AQ284" s="34"/>
    </row>
    <row r="285">
      <c r="B285" s="34"/>
      <c r="G285" s="35"/>
      <c r="J285" s="34"/>
      <c r="O285" s="35"/>
      <c r="AQ285" s="34"/>
    </row>
    <row r="286">
      <c r="B286" s="34"/>
      <c r="G286" s="35"/>
      <c r="J286" s="34"/>
      <c r="O286" s="35"/>
      <c r="AQ286" s="34"/>
    </row>
    <row r="287">
      <c r="B287" s="34"/>
      <c r="G287" s="35"/>
      <c r="J287" s="34"/>
      <c r="O287" s="35"/>
      <c r="AQ287" s="34"/>
    </row>
    <row r="288">
      <c r="B288" s="34"/>
      <c r="G288" s="35"/>
      <c r="J288" s="34"/>
      <c r="O288" s="35"/>
      <c r="AQ288" s="34"/>
    </row>
    <row r="289">
      <c r="B289" s="34"/>
      <c r="G289" s="35"/>
      <c r="J289" s="34"/>
      <c r="O289" s="35"/>
      <c r="AQ289" s="34"/>
    </row>
    <row r="290">
      <c r="B290" s="34"/>
      <c r="G290" s="35"/>
      <c r="J290" s="34"/>
      <c r="O290" s="35"/>
      <c r="AQ290" s="34"/>
    </row>
    <row r="291">
      <c r="B291" s="34"/>
      <c r="G291" s="35"/>
      <c r="J291" s="34"/>
      <c r="O291" s="35"/>
      <c r="AQ291" s="34"/>
    </row>
    <row r="292">
      <c r="B292" s="34"/>
      <c r="G292" s="35"/>
      <c r="J292" s="34"/>
      <c r="O292" s="35"/>
      <c r="AQ292" s="34"/>
    </row>
    <row r="293">
      <c r="B293" s="34"/>
      <c r="G293" s="35"/>
      <c r="J293" s="34"/>
      <c r="O293" s="35"/>
      <c r="AQ293" s="34"/>
    </row>
    <row r="294">
      <c r="B294" s="34"/>
      <c r="G294" s="35"/>
      <c r="J294" s="34"/>
      <c r="O294" s="35"/>
      <c r="AQ294" s="34"/>
    </row>
    <row r="295">
      <c r="B295" s="34"/>
      <c r="G295" s="35"/>
      <c r="J295" s="34"/>
      <c r="O295" s="35"/>
      <c r="AQ295" s="34"/>
    </row>
    <row r="296">
      <c r="B296" s="34"/>
      <c r="G296" s="35"/>
      <c r="J296" s="34"/>
      <c r="O296" s="35"/>
      <c r="AQ296" s="34"/>
    </row>
    <row r="297">
      <c r="B297" s="34"/>
      <c r="G297" s="35"/>
      <c r="J297" s="34"/>
      <c r="O297" s="35"/>
      <c r="AQ297" s="34"/>
    </row>
    <row r="298">
      <c r="B298" s="34"/>
      <c r="G298" s="35"/>
      <c r="J298" s="34"/>
      <c r="O298" s="35"/>
      <c r="AQ298" s="34"/>
    </row>
    <row r="299">
      <c r="B299" s="34"/>
      <c r="G299" s="35"/>
      <c r="J299" s="34"/>
      <c r="O299" s="35"/>
      <c r="AQ299" s="34"/>
    </row>
    <row r="300">
      <c r="B300" s="34"/>
      <c r="G300" s="35"/>
      <c r="J300" s="34"/>
      <c r="O300" s="35"/>
      <c r="AQ300" s="34"/>
    </row>
    <row r="301">
      <c r="B301" s="34"/>
      <c r="G301" s="35"/>
      <c r="J301" s="34"/>
      <c r="O301" s="35"/>
      <c r="AQ301" s="34"/>
    </row>
    <row r="302">
      <c r="B302" s="34"/>
      <c r="G302" s="35"/>
      <c r="J302" s="34"/>
      <c r="O302" s="35"/>
      <c r="AQ302" s="34"/>
    </row>
    <row r="303">
      <c r="B303" s="34"/>
      <c r="G303" s="35"/>
      <c r="J303" s="34"/>
      <c r="O303" s="35"/>
      <c r="AQ303" s="34"/>
    </row>
    <row r="304">
      <c r="B304" s="34"/>
      <c r="G304" s="35"/>
      <c r="J304" s="34"/>
      <c r="O304" s="35"/>
      <c r="AQ304" s="34"/>
    </row>
    <row r="305">
      <c r="B305" s="34"/>
      <c r="G305" s="35"/>
      <c r="J305" s="34"/>
      <c r="O305" s="35"/>
      <c r="AQ305" s="34"/>
    </row>
    <row r="306">
      <c r="B306" s="34"/>
      <c r="G306" s="35"/>
      <c r="J306" s="34"/>
      <c r="O306" s="35"/>
      <c r="AQ306" s="34"/>
    </row>
    <row r="307">
      <c r="B307" s="34"/>
      <c r="G307" s="35"/>
      <c r="J307" s="34"/>
      <c r="O307" s="35"/>
      <c r="AQ307" s="34"/>
    </row>
    <row r="308">
      <c r="B308" s="34"/>
      <c r="G308" s="35"/>
      <c r="J308" s="34"/>
      <c r="O308" s="35"/>
      <c r="AQ308" s="34"/>
    </row>
    <row r="309">
      <c r="B309" s="34"/>
      <c r="G309" s="35"/>
      <c r="J309" s="34"/>
      <c r="O309" s="35"/>
      <c r="AQ309" s="34"/>
    </row>
    <row r="310">
      <c r="B310" s="34"/>
      <c r="G310" s="35"/>
      <c r="J310" s="34"/>
      <c r="O310" s="35"/>
      <c r="AQ310" s="34"/>
    </row>
    <row r="311">
      <c r="B311" s="34"/>
      <c r="G311" s="35"/>
      <c r="J311" s="34"/>
      <c r="O311" s="35"/>
      <c r="AQ311" s="34"/>
    </row>
    <row r="312">
      <c r="B312" s="34"/>
      <c r="G312" s="35"/>
      <c r="J312" s="34"/>
      <c r="O312" s="35"/>
      <c r="AQ312" s="34"/>
    </row>
    <row r="313">
      <c r="B313" s="34"/>
      <c r="G313" s="35"/>
      <c r="J313" s="34"/>
      <c r="O313" s="35"/>
      <c r="AQ313" s="34"/>
    </row>
    <row r="314">
      <c r="B314" s="34"/>
      <c r="G314" s="35"/>
      <c r="J314" s="34"/>
      <c r="O314" s="35"/>
      <c r="AQ314" s="34"/>
    </row>
    <row r="315">
      <c r="B315" s="34"/>
      <c r="G315" s="35"/>
      <c r="J315" s="34"/>
      <c r="O315" s="35"/>
      <c r="AQ315" s="34"/>
    </row>
    <row r="316">
      <c r="B316" s="34"/>
      <c r="G316" s="35"/>
      <c r="J316" s="34"/>
      <c r="O316" s="35"/>
      <c r="AQ316" s="34"/>
    </row>
    <row r="317">
      <c r="B317" s="34"/>
      <c r="G317" s="35"/>
      <c r="J317" s="34"/>
      <c r="O317" s="35"/>
      <c r="AQ317" s="34"/>
    </row>
    <row r="318">
      <c r="B318" s="34"/>
      <c r="G318" s="35"/>
      <c r="J318" s="34"/>
      <c r="O318" s="35"/>
      <c r="AQ318" s="34"/>
    </row>
    <row r="319">
      <c r="B319" s="34"/>
      <c r="G319" s="35"/>
      <c r="J319" s="34"/>
      <c r="O319" s="35"/>
      <c r="AQ319" s="34"/>
    </row>
    <row r="320">
      <c r="B320" s="34"/>
      <c r="G320" s="35"/>
      <c r="J320" s="34"/>
      <c r="O320" s="35"/>
      <c r="AQ320" s="34"/>
    </row>
    <row r="321">
      <c r="B321" s="34"/>
      <c r="G321" s="35"/>
      <c r="J321" s="34"/>
      <c r="O321" s="35"/>
      <c r="AQ321" s="34"/>
    </row>
    <row r="322">
      <c r="B322" s="34"/>
      <c r="G322" s="35"/>
      <c r="J322" s="34"/>
      <c r="O322" s="35"/>
      <c r="AQ322" s="34"/>
    </row>
    <row r="323">
      <c r="B323" s="34"/>
      <c r="G323" s="35"/>
      <c r="J323" s="34"/>
      <c r="O323" s="35"/>
      <c r="AQ323" s="34"/>
    </row>
    <row r="324">
      <c r="B324" s="34"/>
      <c r="G324" s="35"/>
      <c r="J324" s="34"/>
      <c r="O324" s="35"/>
      <c r="AQ324" s="34"/>
    </row>
    <row r="325">
      <c r="B325" s="34"/>
      <c r="G325" s="35"/>
      <c r="J325" s="34"/>
      <c r="O325" s="35"/>
      <c r="AQ325" s="34"/>
    </row>
    <row r="326">
      <c r="B326" s="34"/>
      <c r="G326" s="35"/>
      <c r="J326" s="34"/>
      <c r="O326" s="35"/>
      <c r="AQ326" s="34"/>
    </row>
    <row r="327">
      <c r="B327" s="34"/>
      <c r="G327" s="35"/>
      <c r="J327" s="34"/>
      <c r="O327" s="35"/>
      <c r="AQ327" s="34"/>
    </row>
    <row r="328">
      <c r="B328" s="34"/>
      <c r="G328" s="35"/>
      <c r="J328" s="34"/>
      <c r="O328" s="35"/>
      <c r="AQ328" s="34"/>
    </row>
    <row r="329">
      <c r="B329" s="34"/>
      <c r="G329" s="35"/>
      <c r="J329" s="34"/>
      <c r="O329" s="35"/>
      <c r="AQ329" s="34"/>
    </row>
    <row r="330">
      <c r="B330" s="34"/>
      <c r="G330" s="35"/>
      <c r="J330" s="34"/>
      <c r="O330" s="35"/>
      <c r="AQ330" s="34"/>
    </row>
    <row r="331">
      <c r="B331" s="34"/>
      <c r="G331" s="35"/>
      <c r="J331" s="34"/>
      <c r="O331" s="35"/>
      <c r="AQ331" s="34"/>
    </row>
    <row r="332">
      <c r="B332" s="34"/>
      <c r="G332" s="35"/>
      <c r="J332" s="34"/>
      <c r="O332" s="35"/>
      <c r="AQ332" s="34"/>
    </row>
    <row r="333">
      <c r="B333" s="34"/>
      <c r="G333" s="35"/>
      <c r="J333" s="34"/>
      <c r="O333" s="35"/>
      <c r="AQ333" s="34"/>
    </row>
    <row r="334">
      <c r="B334" s="34"/>
      <c r="G334" s="35"/>
      <c r="J334" s="34"/>
      <c r="O334" s="35"/>
      <c r="AQ334" s="34"/>
    </row>
    <row r="335">
      <c r="B335" s="34"/>
      <c r="G335" s="35"/>
      <c r="J335" s="34"/>
      <c r="O335" s="35"/>
      <c r="AQ335" s="34"/>
    </row>
    <row r="336">
      <c r="B336" s="34"/>
      <c r="G336" s="35"/>
      <c r="J336" s="34"/>
      <c r="O336" s="35"/>
      <c r="AQ336" s="34"/>
    </row>
    <row r="337">
      <c r="B337" s="34"/>
      <c r="G337" s="35"/>
      <c r="J337" s="34"/>
      <c r="O337" s="35"/>
      <c r="AQ337" s="34"/>
    </row>
    <row r="338">
      <c r="B338" s="34"/>
      <c r="G338" s="35"/>
      <c r="J338" s="34"/>
      <c r="O338" s="35"/>
      <c r="AQ338" s="34"/>
    </row>
    <row r="339">
      <c r="B339" s="34"/>
      <c r="G339" s="35"/>
      <c r="J339" s="34"/>
      <c r="O339" s="35"/>
      <c r="AQ339" s="34"/>
    </row>
    <row r="340">
      <c r="B340" s="34"/>
      <c r="G340" s="35"/>
      <c r="J340" s="34"/>
      <c r="O340" s="35"/>
      <c r="AQ340" s="34"/>
    </row>
    <row r="341">
      <c r="B341" s="34"/>
      <c r="G341" s="35"/>
      <c r="J341" s="34"/>
      <c r="O341" s="35"/>
      <c r="AQ341" s="34"/>
    </row>
    <row r="342">
      <c r="B342" s="34"/>
      <c r="G342" s="35"/>
      <c r="J342" s="34"/>
      <c r="O342" s="35"/>
      <c r="AQ342" s="34"/>
    </row>
    <row r="343">
      <c r="B343" s="34"/>
      <c r="G343" s="35"/>
      <c r="J343" s="34"/>
      <c r="O343" s="35"/>
      <c r="AQ343" s="34"/>
    </row>
    <row r="344">
      <c r="B344" s="34"/>
      <c r="G344" s="35"/>
      <c r="J344" s="34"/>
      <c r="O344" s="35"/>
      <c r="AQ344" s="34"/>
    </row>
    <row r="345">
      <c r="B345" s="34"/>
      <c r="G345" s="35"/>
      <c r="J345" s="34"/>
      <c r="O345" s="35"/>
      <c r="AQ345" s="34"/>
    </row>
    <row r="346">
      <c r="B346" s="34"/>
      <c r="G346" s="35"/>
      <c r="J346" s="34"/>
      <c r="O346" s="35"/>
      <c r="AQ346" s="34"/>
    </row>
    <row r="347">
      <c r="B347" s="34"/>
      <c r="G347" s="35"/>
      <c r="J347" s="34"/>
      <c r="O347" s="35"/>
      <c r="AQ347" s="34"/>
    </row>
    <row r="348">
      <c r="B348" s="34"/>
      <c r="G348" s="35"/>
      <c r="J348" s="34"/>
      <c r="O348" s="35"/>
      <c r="AQ348" s="34"/>
    </row>
    <row r="349">
      <c r="B349" s="34"/>
      <c r="G349" s="35"/>
      <c r="J349" s="34"/>
      <c r="O349" s="35"/>
      <c r="AQ349" s="34"/>
    </row>
    <row r="350">
      <c r="B350" s="34"/>
      <c r="G350" s="35"/>
      <c r="J350" s="34"/>
      <c r="O350" s="35"/>
      <c r="AQ350" s="34"/>
    </row>
    <row r="351">
      <c r="B351" s="34"/>
      <c r="G351" s="35"/>
      <c r="J351" s="34"/>
      <c r="O351" s="35"/>
      <c r="AQ351" s="34"/>
    </row>
    <row r="352">
      <c r="B352" s="34"/>
      <c r="G352" s="35"/>
      <c r="J352" s="34"/>
      <c r="O352" s="35"/>
      <c r="AQ352" s="34"/>
    </row>
    <row r="353">
      <c r="B353" s="34"/>
      <c r="G353" s="35"/>
      <c r="J353" s="34"/>
      <c r="O353" s="35"/>
      <c r="AQ353" s="34"/>
    </row>
    <row r="354">
      <c r="B354" s="34"/>
      <c r="G354" s="35"/>
      <c r="J354" s="34"/>
      <c r="O354" s="35"/>
      <c r="AQ354" s="34"/>
    </row>
    <row r="355">
      <c r="B355" s="34"/>
      <c r="G355" s="35"/>
      <c r="J355" s="34"/>
      <c r="O355" s="35"/>
      <c r="AQ355" s="34"/>
    </row>
    <row r="356">
      <c r="B356" s="34"/>
      <c r="G356" s="35"/>
      <c r="J356" s="34"/>
      <c r="O356" s="35"/>
      <c r="AQ356" s="34"/>
    </row>
    <row r="357">
      <c r="B357" s="34"/>
      <c r="G357" s="35"/>
      <c r="J357" s="34"/>
      <c r="O357" s="35"/>
      <c r="AQ357" s="34"/>
    </row>
    <row r="358">
      <c r="B358" s="34"/>
      <c r="G358" s="35"/>
      <c r="J358" s="34"/>
      <c r="O358" s="35"/>
      <c r="AQ358" s="34"/>
    </row>
    <row r="359">
      <c r="B359" s="34"/>
      <c r="G359" s="35"/>
      <c r="J359" s="34"/>
      <c r="O359" s="35"/>
      <c r="AQ359" s="34"/>
    </row>
    <row r="360">
      <c r="B360" s="34"/>
      <c r="G360" s="35"/>
      <c r="J360" s="34"/>
      <c r="O360" s="35"/>
      <c r="AQ360" s="34"/>
    </row>
    <row r="361">
      <c r="B361" s="34"/>
      <c r="G361" s="35"/>
      <c r="J361" s="34"/>
      <c r="O361" s="35"/>
      <c r="AQ361" s="34"/>
    </row>
    <row r="362">
      <c r="B362" s="34"/>
      <c r="G362" s="35"/>
      <c r="J362" s="34"/>
      <c r="O362" s="35"/>
      <c r="AQ362" s="34"/>
    </row>
    <row r="363">
      <c r="B363" s="34"/>
      <c r="G363" s="35"/>
      <c r="J363" s="34"/>
      <c r="O363" s="35"/>
      <c r="AQ363" s="34"/>
    </row>
    <row r="364">
      <c r="B364" s="34"/>
      <c r="G364" s="35"/>
      <c r="J364" s="34"/>
      <c r="O364" s="35"/>
      <c r="AQ364" s="34"/>
    </row>
    <row r="365">
      <c r="B365" s="34"/>
      <c r="G365" s="35"/>
      <c r="J365" s="34"/>
      <c r="O365" s="35"/>
      <c r="AQ365" s="34"/>
    </row>
    <row r="366">
      <c r="B366" s="34"/>
      <c r="G366" s="35"/>
      <c r="J366" s="34"/>
      <c r="O366" s="35"/>
      <c r="AQ366" s="34"/>
    </row>
    <row r="367">
      <c r="B367" s="34"/>
      <c r="G367" s="35"/>
      <c r="J367" s="34"/>
      <c r="O367" s="35"/>
      <c r="AQ367" s="34"/>
    </row>
    <row r="368">
      <c r="B368" s="34"/>
      <c r="G368" s="35"/>
      <c r="J368" s="34"/>
      <c r="O368" s="35"/>
      <c r="AQ368" s="34"/>
    </row>
    <row r="369">
      <c r="B369" s="34"/>
      <c r="G369" s="35"/>
      <c r="J369" s="34"/>
      <c r="O369" s="35"/>
      <c r="AQ369" s="34"/>
    </row>
    <row r="370">
      <c r="B370" s="34"/>
      <c r="G370" s="35"/>
      <c r="J370" s="34"/>
      <c r="O370" s="35"/>
      <c r="AQ370" s="34"/>
    </row>
    <row r="371">
      <c r="B371" s="34"/>
      <c r="G371" s="35"/>
      <c r="J371" s="34"/>
      <c r="O371" s="35"/>
      <c r="AQ371" s="34"/>
    </row>
    <row r="372">
      <c r="B372" s="34"/>
      <c r="G372" s="35"/>
      <c r="J372" s="34"/>
      <c r="O372" s="35"/>
      <c r="AQ372" s="34"/>
    </row>
    <row r="373">
      <c r="B373" s="34"/>
      <c r="G373" s="35"/>
      <c r="J373" s="34"/>
      <c r="O373" s="35"/>
      <c r="AQ373" s="34"/>
    </row>
    <row r="374">
      <c r="B374" s="34"/>
      <c r="G374" s="35"/>
      <c r="J374" s="34"/>
      <c r="O374" s="35"/>
      <c r="AQ374" s="34"/>
    </row>
    <row r="375">
      <c r="B375" s="34"/>
      <c r="G375" s="35"/>
      <c r="J375" s="34"/>
      <c r="O375" s="35"/>
      <c r="AQ375" s="34"/>
    </row>
    <row r="376">
      <c r="B376" s="34"/>
      <c r="G376" s="35"/>
      <c r="J376" s="34"/>
      <c r="O376" s="35"/>
      <c r="AQ376" s="34"/>
    </row>
    <row r="377">
      <c r="B377" s="34"/>
      <c r="G377" s="35"/>
      <c r="J377" s="34"/>
      <c r="O377" s="35"/>
      <c r="AQ377" s="34"/>
    </row>
    <row r="378">
      <c r="B378" s="34"/>
      <c r="G378" s="35"/>
      <c r="J378" s="34"/>
      <c r="O378" s="35"/>
      <c r="AQ378" s="34"/>
    </row>
    <row r="379">
      <c r="B379" s="34"/>
      <c r="G379" s="35"/>
      <c r="J379" s="34"/>
      <c r="O379" s="35"/>
      <c r="AQ379" s="34"/>
    </row>
    <row r="380">
      <c r="B380" s="34"/>
      <c r="G380" s="35"/>
      <c r="J380" s="34"/>
      <c r="O380" s="35"/>
      <c r="AQ380" s="34"/>
    </row>
    <row r="381">
      <c r="B381" s="34"/>
      <c r="G381" s="35"/>
      <c r="J381" s="34"/>
      <c r="O381" s="35"/>
      <c r="AQ381" s="34"/>
    </row>
    <row r="382">
      <c r="B382" s="34"/>
      <c r="G382" s="35"/>
      <c r="J382" s="34"/>
      <c r="O382" s="35"/>
      <c r="AQ382" s="34"/>
    </row>
    <row r="383">
      <c r="B383" s="34"/>
      <c r="G383" s="35"/>
      <c r="J383" s="34"/>
      <c r="O383" s="35"/>
      <c r="AQ383" s="34"/>
    </row>
    <row r="384">
      <c r="B384" s="34"/>
      <c r="G384" s="35"/>
      <c r="J384" s="34"/>
      <c r="O384" s="35"/>
      <c r="AQ384" s="34"/>
    </row>
    <row r="385">
      <c r="B385" s="34"/>
      <c r="G385" s="35"/>
      <c r="J385" s="34"/>
      <c r="O385" s="35"/>
      <c r="AQ385" s="34"/>
    </row>
    <row r="386">
      <c r="B386" s="34"/>
      <c r="G386" s="35"/>
      <c r="J386" s="34"/>
      <c r="O386" s="35"/>
      <c r="AQ386" s="34"/>
    </row>
    <row r="387">
      <c r="B387" s="34"/>
      <c r="G387" s="35"/>
      <c r="J387" s="34"/>
      <c r="O387" s="35"/>
      <c r="AQ387" s="34"/>
    </row>
    <row r="388">
      <c r="B388" s="34"/>
      <c r="G388" s="35"/>
      <c r="J388" s="34"/>
      <c r="O388" s="35"/>
      <c r="AQ388" s="34"/>
    </row>
    <row r="389">
      <c r="B389" s="34"/>
      <c r="G389" s="35"/>
      <c r="J389" s="34"/>
      <c r="O389" s="35"/>
      <c r="AQ389" s="34"/>
    </row>
    <row r="390">
      <c r="B390" s="34"/>
      <c r="G390" s="35"/>
      <c r="J390" s="34"/>
      <c r="O390" s="35"/>
      <c r="AQ390" s="34"/>
    </row>
    <row r="391">
      <c r="B391" s="34"/>
      <c r="G391" s="35"/>
      <c r="J391" s="34"/>
      <c r="O391" s="35"/>
      <c r="AQ391" s="34"/>
    </row>
    <row r="392">
      <c r="B392" s="34"/>
      <c r="G392" s="35"/>
      <c r="J392" s="34"/>
      <c r="O392" s="35"/>
      <c r="AQ392" s="34"/>
    </row>
    <row r="393">
      <c r="B393" s="34"/>
      <c r="G393" s="35"/>
      <c r="J393" s="34"/>
      <c r="O393" s="35"/>
      <c r="AQ393" s="34"/>
    </row>
    <row r="394">
      <c r="B394" s="34"/>
      <c r="G394" s="35"/>
      <c r="J394" s="34"/>
      <c r="O394" s="35"/>
      <c r="AQ394" s="34"/>
    </row>
    <row r="395">
      <c r="B395" s="34"/>
      <c r="G395" s="35"/>
      <c r="J395" s="34"/>
      <c r="O395" s="35"/>
      <c r="AQ395" s="34"/>
    </row>
    <row r="396">
      <c r="B396" s="34"/>
      <c r="G396" s="35"/>
      <c r="J396" s="34"/>
      <c r="O396" s="35"/>
      <c r="AQ396" s="34"/>
    </row>
    <row r="397">
      <c r="B397" s="34"/>
      <c r="G397" s="35"/>
      <c r="J397" s="34"/>
      <c r="O397" s="35"/>
      <c r="AQ397" s="34"/>
    </row>
    <row r="398">
      <c r="B398" s="34"/>
      <c r="G398" s="35"/>
      <c r="J398" s="34"/>
      <c r="O398" s="35"/>
      <c r="AQ398" s="34"/>
    </row>
    <row r="399">
      <c r="B399" s="34"/>
      <c r="G399" s="35"/>
      <c r="J399" s="34"/>
      <c r="O399" s="35"/>
      <c r="AQ399" s="34"/>
    </row>
    <row r="400">
      <c r="B400" s="34"/>
      <c r="G400" s="35"/>
      <c r="J400" s="34"/>
      <c r="O400" s="35"/>
      <c r="AQ400" s="34"/>
    </row>
    <row r="401">
      <c r="B401" s="34"/>
      <c r="G401" s="35"/>
      <c r="J401" s="34"/>
      <c r="O401" s="35"/>
      <c r="AQ401" s="34"/>
    </row>
    <row r="402">
      <c r="B402" s="34"/>
      <c r="G402" s="35"/>
      <c r="J402" s="34"/>
      <c r="O402" s="35"/>
      <c r="AQ402" s="34"/>
    </row>
    <row r="403">
      <c r="B403" s="34"/>
      <c r="G403" s="35"/>
      <c r="J403" s="34"/>
      <c r="O403" s="35"/>
      <c r="AQ403" s="34"/>
    </row>
    <row r="404">
      <c r="B404" s="34"/>
      <c r="G404" s="35"/>
      <c r="J404" s="34"/>
      <c r="O404" s="35"/>
      <c r="AQ404" s="34"/>
    </row>
    <row r="405">
      <c r="B405" s="34"/>
      <c r="G405" s="35"/>
      <c r="J405" s="34"/>
      <c r="O405" s="35"/>
      <c r="AQ405" s="34"/>
    </row>
    <row r="406">
      <c r="B406" s="34"/>
      <c r="G406" s="35"/>
      <c r="J406" s="34"/>
      <c r="O406" s="35"/>
      <c r="AQ406" s="34"/>
    </row>
    <row r="407">
      <c r="B407" s="34"/>
      <c r="G407" s="35"/>
      <c r="J407" s="34"/>
      <c r="O407" s="35"/>
      <c r="AQ407" s="34"/>
    </row>
    <row r="408">
      <c r="B408" s="34"/>
      <c r="G408" s="35"/>
      <c r="J408" s="34"/>
      <c r="O408" s="35"/>
      <c r="AQ408" s="34"/>
    </row>
    <row r="409">
      <c r="B409" s="34"/>
      <c r="G409" s="35"/>
      <c r="J409" s="34"/>
      <c r="O409" s="35"/>
      <c r="AQ409" s="34"/>
    </row>
    <row r="410">
      <c r="B410" s="34"/>
      <c r="G410" s="35"/>
      <c r="J410" s="34"/>
      <c r="O410" s="35"/>
      <c r="AQ410" s="34"/>
    </row>
    <row r="411">
      <c r="B411" s="34"/>
      <c r="G411" s="35"/>
      <c r="J411" s="34"/>
      <c r="O411" s="35"/>
      <c r="AQ411" s="34"/>
    </row>
    <row r="412">
      <c r="B412" s="34"/>
      <c r="G412" s="35"/>
      <c r="J412" s="34"/>
      <c r="O412" s="35"/>
      <c r="AQ412" s="34"/>
    </row>
    <row r="413">
      <c r="B413" s="34"/>
      <c r="G413" s="35"/>
      <c r="J413" s="34"/>
      <c r="O413" s="35"/>
      <c r="AQ413" s="34"/>
    </row>
    <row r="414">
      <c r="B414" s="34"/>
      <c r="G414" s="35"/>
      <c r="J414" s="34"/>
      <c r="O414" s="35"/>
      <c r="AQ414" s="34"/>
    </row>
    <row r="415">
      <c r="B415" s="34"/>
      <c r="G415" s="35"/>
      <c r="J415" s="34"/>
      <c r="O415" s="35"/>
      <c r="AQ415" s="34"/>
    </row>
    <row r="416">
      <c r="B416" s="34"/>
      <c r="G416" s="35"/>
      <c r="J416" s="34"/>
      <c r="O416" s="35"/>
      <c r="AQ416" s="34"/>
    </row>
    <row r="417">
      <c r="B417" s="34"/>
      <c r="G417" s="35"/>
      <c r="J417" s="34"/>
      <c r="O417" s="35"/>
      <c r="AQ417" s="34"/>
    </row>
    <row r="418">
      <c r="B418" s="34"/>
      <c r="G418" s="35"/>
      <c r="J418" s="34"/>
      <c r="O418" s="35"/>
      <c r="AQ418" s="34"/>
    </row>
    <row r="419">
      <c r="B419" s="34"/>
      <c r="G419" s="35"/>
      <c r="J419" s="34"/>
      <c r="O419" s="35"/>
      <c r="AQ419" s="34"/>
    </row>
    <row r="420">
      <c r="B420" s="34"/>
      <c r="G420" s="35"/>
      <c r="J420" s="34"/>
      <c r="O420" s="35"/>
      <c r="AQ420" s="34"/>
    </row>
    <row r="421">
      <c r="B421" s="34"/>
      <c r="G421" s="35"/>
      <c r="J421" s="34"/>
      <c r="O421" s="35"/>
      <c r="AQ421" s="34"/>
    </row>
    <row r="422">
      <c r="B422" s="34"/>
      <c r="G422" s="35"/>
      <c r="J422" s="34"/>
      <c r="O422" s="35"/>
      <c r="AQ422" s="34"/>
    </row>
    <row r="423">
      <c r="B423" s="34"/>
      <c r="G423" s="35"/>
      <c r="J423" s="34"/>
      <c r="O423" s="35"/>
      <c r="AQ423" s="34"/>
    </row>
    <row r="424">
      <c r="B424" s="34"/>
      <c r="G424" s="35"/>
      <c r="J424" s="34"/>
      <c r="O424" s="35"/>
      <c r="AQ424" s="34"/>
    </row>
    <row r="425">
      <c r="B425" s="34"/>
      <c r="G425" s="35"/>
      <c r="J425" s="34"/>
      <c r="O425" s="35"/>
      <c r="AQ425" s="34"/>
    </row>
    <row r="426">
      <c r="B426" s="34"/>
      <c r="G426" s="35"/>
      <c r="J426" s="34"/>
      <c r="O426" s="35"/>
      <c r="AQ426" s="34"/>
    </row>
    <row r="427">
      <c r="B427" s="34"/>
      <c r="G427" s="35"/>
      <c r="J427" s="34"/>
      <c r="O427" s="35"/>
      <c r="AQ427" s="34"/>
    </row>
    <row r="428">
      <c r="B428" s="34"/>
      <c r="G428" s="35"/>
      <c r="J428" s="34"/>
      <c r="O428" s="35"/>
      <c r="AQ428" s="34"/>
    </row>
    <row r="429">
      <c r="B429" s="34"/>
      <c r="G429" s="35"/>
      <c r="J429" s="34"/>
      <c r="O429" s="35"/>
      <c r="AQ429" s="34"/>
    </row>
    <row r="430">
      <c r="B430" s="34"/>
      <c r="G430" s="35"/>
      <c r="J430" s="34"/>
      <c r="O430" s="35"/>
      <c r="AQ430" s="34"/>
    </row>
    <row r="431">
      <c r="B431" s="34"/>
      <c r="G431" s="35"/>
      <c r="J431" s="34"/>
      <c r="O431" s="35"/>
      <c r="AQ431" s="34"/>
    </row>
    <row r="432">
      <c r="B432" s="34"/>
      <c r="G432" s="35"/>
      <c r="J432" s="34"/>
      <c r="O432" s="35"/>
      <c r="AQ432" s="34"/>
    </row>
    <row r="433">
      <c r="B433" s="34"/>
      <c r="G433" s="35"/>
      <c r="J433" s="34"/>
      <c r="O433" s="35"/>
      <c r="AQ433" s="34"/>
    </row>
    <row r="434">
      <c r="B434" s="34"/>
      <c r="G434" s="35"/>
      <c r="J434" s="34"/>
      <c r="O434" s="35"/>
      <c r="AQ434" s="34"/>
    </row>
    <row r="435">
      <c r="B435" s="34"/>
      <c r="G435" s="35"/>
      <c r="J435" s="34"/>
      <c r="O435" s="35"/>
      <c r="AQ435" s="34"/>
    </row>
    <row r="436">
      <c r="B436" s="34"/>
      <c r="G436" s="35"/>
      <c r="J436" s="34"/>
      <c r="O436" s="35"/>
      <c r="AQ436" s="34"/>
    </row>
    <row r="437">
      <c r="B437" s="34"/>
      <c r="G437" s="35"/>
      <c r="J437" s="34"/>
      <c r="O437" s="35"/>
      <c r="AQ437" s="34"/>
    </row>
    <row r="438">
      <c r="B438" s="34"/>
      <c r="G438" s="35"/>
      <c r="J438" s="34"/>
      <c r="O438" s="35"/>
      <c r="AQ438" s="34"/>
    </row>
    <row r="439">
      <c r="B439" s="34"/>
      <c r="G439" s="35"/>
      <c r="J439" s="34"/>
      <c r="O439" s="35"/>
      <c r="AQ439" s="34"/>
    </row>
    <row r="440">
      <c r="B440" s="34"/>
      <c r="G440" s="35"/>
      <c r="J440" s="34"/>
      <c r="O440" s="35"/>
      <c r="AQ440" s="34"/>
    </row>
    <row r="441">
      <c r="B441" s="34"/>
      <c r="G441" s="35"/>
      <c r="J441" s="34"/>
      <c r="O441" s="35"/>
      <c r="AQ441" s="34"/>
    </row>
    <row r="442">
      <c r="B442" s="34"/>
      <c r="G442" s="35"/>
      <c r="J442" s="34"/>
      <c r="O442" s="35"/>
      <c r="AQ442" s="34"/>
    </row>
    <row r="443">
      <c r="B443" s="34"/>
      <c r="G443" s="35"/>
      <c r="J443" s="34"/>
      <c r="O443" s="35"/>
      <c r="AQ443" s="34"/>
    </row>
    <row r="444">
      <c r="B444" s="34"/>
      <c r="G444" s="35"/>
      <c r="J444" s="34"/>
      <c r="O444" s="35"/>
      <c r="AQ444" s="34"/>
    </row>
    <row r="445">
      <c r="B445" s="34"/>
      <c r="G445" s="35"/>
      <c r="J445" s="34"/>
      <c r="O445" s="35"/>
      <c r="AQ445" s="34"/>
    </row>
    <row r="446">
      <c r="B446" s="34"/>
      <c r="G446" s="35"/>
      <c r="J446" s="34"/>
      <c r="O446" s="35"/>
      <c r="AQ446" s="34"/>
    </row>
    <row r="447">
      <c r="B447" s="34"/>
      <c r="G447" s="35"/>
      <c r="J447" s="34"/>
      <c r="O447" s="35"/>
      <c r="AQ447" s="34"/>
    </row>
    <row r="448">
      <c r="B448" s="34"/>
      <c r="G448" s="35"/>
      <c r="J448" s="34"/>
      <c r="O448" s="35"/>
      <c r="AQ448" s="34"/>
    </row>
    <row r="449">
      <c r="B449" s="34"/>
      <c r="G449" s="35"/>
      <c r="J449" s="34"/>
      <c r="O449" s="35"/>
      <c r="AQ449" s="34"/>
    </row>
    <row r="450">
      <c r="B450" s="34"/>
      <c r="G450" s="35"/>
      <c r="J450" s="34"/>
      <c r="O450" s="35"/>
      <c r="AQ450" s="34"/>
    </row>
    <row r="451">
      <c r="B451" s="34"/>
      <c r="G451" s="35"/>
      <c r="J451" s="34"/>
      <c r="O451" s="35"/>
      <c r="AQ451" s="34"/>
    </row>
    <row r="452">
      <c r="B452" s="34"/>
      <c r="G452" s="35"/>
      <c r="J452" s="34"/>
      <c r="O452" s="35"/>
      <c r="AQ452" s="34"/>
    </row>
    <row r="453">
      <c r="B453" s="34"/>
      <c r="G453" s="35"/>
      <c r="J453" s="34"/>
      <c r="O453" s="35"/>
      <c r="AQ453" s="34"/>
    </row>
    <row r="454">
      <c r="B454" s="34"/>
      <c r="G454" s="35"/>
      <c r="J454" s="34"/>
      <c r="O454" s="35"/>
      <c r="AQ454" s="34"/>
    </row>
    <row r="455">
      <c r="B455" s="34"/>
      <c r="G455" s="35"/>
      <c r="J455" s="34"/>
      <c r="O455" s="35"/>
      <c r="AQ455" s="34"/>
    </row>
    <row r="456">
      <c r="B456" s="34"/>
      <c r="G456" s="35"/>
      <c r="J456" s="34"/>
      <c r="O456" s="35"/>
      <c r="AQ456" s="34"/>
    </row>
    <row r="457">
      <c r="B457" s="34"/>
      <c r="G457" s="35"/>
      <c r="J457" s="34"/>
      <c r="O457" s="35"/>
      <c r="AQ457" s="34"/>
    </row>
    <row r="458">
      <c r="B458" s="34"/>
      <c r="G458" s="35"/>
      <c r="J458" s="34"/>
      <c r="O458" s="35"/>
      <c r="AQ458" s="34"/>
    </row>
    <row r="459">
      <c r="B459" s="34"/>
      <c r="G459" s="35"/>
      <c r="J459" s="34"/>
      <c r="O459" s="35"/>
      <c r="AQ459" s="34"/>
    </row>
    <row r="460">
      <c r="B460" s="34"/>
      <c r="G460" s="35"/>
      <c r="J460" s="34"/>
      <c r="O460" s="35"/>
      <c r="AQ460" s="34"/>
    </row>
    <row r="461">
      <c r="B461" s="34"/>
      <c r="G461" s="35"/>
      <c r="J461" s="34"/>
      <c r="O461" s="35"/>
      <c r="AQ461" s="34"/>
    </row>
    <row r="462">
      <c r="B462" s="34"/>
      <c r="G462" s="35"/>
      <c r="J462" s="34"/>
      <c r="O462" s="35"/>
      <c r="AQ462" s="34"/>
    </row>
    <row r="463">
      <c r="B463" s="34"/>
      <c r="G463" s="35"/>
      <c r="J463" s="34"/>
      <c r="O463" s="35"/>
      <c r="AQ463" s="34"/>
    </row>
    <row r="464">
      <c r="B464" s="34"/>
      <c r="G464" s="35"/>
      <c r="J464" s="34"/>
      <c r="O464" s="35"/>
      <c r="AQ464" s="34"/>
    </row>
    <row r="465">
      <c r="B465" s="34"/>
      <c r="G465" s="35"/>
      <c r="J465" s="34"/>
      <c r="O465" s="35"/>
      <c r="AQ465" s="34"/>
    </row>
    <row r="466">
      <c r="B466" s="34"/>
      <c r="G466" s="35"/>
      <c r="J466" s="34"/>
      <c r="O466" s="35"/>
      <c r="AQ466" s="34"/>
    </row>
    <row r="467">
      <c r="B467" s="34"/>
      <c r="G467" s="35"/>
      <c r="J467" s="34"/>
      <c r="O467" s="35"/>
      <c r="AQ467" s="34"/>
    </row>
    <row r="468">
      <c r="B468" s="34"/>
      <c r="G468" s="35"/>
      <c r="J468" s="34"/>
      <c r="O468" s="35"/>
      <c r="AQ468" s="34"/>
    </row>
    <row r="469">
      <c r="B469" s="34"/>
      <c r="G469" s="35"/>
      <c r="J469" s="34"/>
      <c r="O469" s="35"/>
      <c r="AQ469" s="34"/>
    </row>
    <row r="470">
      <c r="B470" s="34"/>
      <c r="G470" s="35"/>
      <c r="J470" s="34"/>
      <c r="O470" s="35"/>
      <c r="AQ470" s="34"/>
    </row>
    <row r="471">
      <c r="B471" s="34"/>
      <c r="G471" s="35"/>
      <c r="J471" s="34"/>
      <c r="O471" s="35"/>
      <c r="AQ471" s="34"/>
    </row>
    <row r="472">
      <c r="B472" s="34"/>
      <c r="G472" s="35"/>
      <c r="J472" s="34"/>
      <c r="O472" s="35"/>
      <c r="AQ472" s="34"/>
    </row>
    <row r="473">
      <c r="B473" s="34"/>
      <c r="G473" s="35"/>
      <c r="J473" s="34"/>
      <c r="O473" s="35"/>
      <c r="AQ473" s="34"/>
    </row>
    <row r="474">
      <c r="B474" s="34"/>
      <c r="G474" s="35"/>
      <c r="J474" s="34"/>
      <c r="O474" s="35"/>
      <c r="AQ474" s="34"/>
    </row>
    <row r="475">
      <c r="B475" s="34"/>
      <c r="G475" s="35"/>
      <c r="J475" s="34"/>
      <c r="O475" s="35"/>
      <c r="AQ475" s="34"/>
    </row>
    <row r="476">
      <c r="B476" s="34"/>
      <c r="G476" s="35"/>
      <c r="J476" s="34"/>
      <c r="O476" s="35"/>
      <c r="AQ476" s="34"/>
    </row>
    <row r="477">
      <c r="B477" s="34"/>
      <c r="G477" s="35"/>
      <c r="J477" s="34"/>
      <c r="O477" s="35"/>
      <c r="AQ477" s="34"/>
    </row>
    <row r="478">
      <c r="B478" s="34"/>
      <c r="G478" s="35"/>
      <c r="J478" s="34"/>
      <c r="O478" s="35"/>
      <c r="AQ478" s="34"/>
    </row>
    <row r="479">
      <c r="B479" s="34"/>
      <c r="G479" s="35"/>
      <c r="J479" s="34"/>
      <c r="O479" s="35"/>
      <c r="AQ479" s="34"/>
    </row>
    <row r="480">
      <c r="B480" s="34"/>
      <c r="G480" s="35"/>
      <c r="J480" s="34"/>
      <c r="O480" s="35"/>
      <c r="AQ480" s="34"/>
    </row>
    <row r="481">
      <c r="B481" s="34"/>
      <c r="G481" s="35"/>
      <c r="J481" s="34"/>
      <c r="O481" s="35"/>
      <c r="AQ481" s="34"/>
    </row>
    <row r="482">
      <c r="B482" s="34"/>
      <c r="G482" s="35"/>
      <c r="J482" s="34"/>
      <c r="O482" s="35"/>
      <c r="AQ482" s="34"/>
    </row>
    <row r="483">
      <c r="B483" s="34"/>
      <c r="G483" s="35"/>
      <c r="J483" s="34"/>
      <c r="O483" s="35"/>
      <c r="AQ483" s="34"/>
    </row>
    <row r="484">
      <c r="B484" s="34"/>
      <c r="G484" s="35"/>
      <c r="J484" s="34"/>
      <c r="O484" s="35"/>
      <c r="AQ484" s="34"/>
    </row>
    <row r="485">
      <c r="B485" s="34"/>
      <c r="G485" s="35"/>
      <c r="J485" s="34"/>
      <c r="O485" s="35"/>
      <c r="AQ485" s="34"/>
    </row>
    <row r="486">
      <c r="B486" s="34"/>
      <c r="G486" s="35"/>
      <c r="J486" s="34"/>
      <c r="O486" s="35"/>
      <c r="AQ486" s="34"/>
    </row>
    <row r="487">
      <c r="B487" s="34"/>
      <c r="G487" s="35"/>
      <c r="J487" s="34"/>
      <c r="O487" s="35"/>
      <c r="AQ487" s="34"/>
    </row>
    <row r="488">
      <c r="B488" s="34"/>
      <c r="G488" s="35"/>
      <c r="J488" s="34"/>
      <c r="O488" s="35"/>
      <c r="AQ488" s="34"/>
    </row>
    <row r="489">
      <c r="B489" s="34"/>
      <c r="G489" s="35"/>
      <c r="J489" s="34"/>
      <c r="O489" s="35"/>
      <c r="AQ489" s="34"/>
    </row>
    <row r="490">
      <c r="B490" s="34"/>
      <c r="G490" s="35"/>
      <c r="J490" s="34"/>
      <c r="O490" s="35"/>
      <c r="AQ490" s="34"/>
    </row>
    <row r="491">
      <c r="B491" s="34"/>
      <c r="G491" s="35"/>
      <c r="J491" s="34"/>
      <c r="O491" s="35"/>
      <c r="AQ491" s="34"/>
    </row>
    <row r="492">
      <c r="B492" s="34"/>
      <c r="G492" s="35"/>
      <c r="J492" s="34"/>
      <c r="O492" s="35"/>
      <c r="AQ492" s="34"/>
    </row>
    <row r="493">
      <c r="B493" s="34"/>
      <c r="G493" s="35"/>
      <c r="J493" s="34"/>
      <c r="O493" s="35"/>
      <c r="AQ493" s="34"/>
    </row>
    <row r="494">
      <c r="B494" s="34"/>
      <c r="G494" s="35"/>
      <c r="J494" s="34"/>
      <c r="O494" s="35"/>
      <c r="AQ494" s="34"/>
    </row>
    <row r="495">
      <c r="B495" s="34"/>
      <c r="G495" s="35"/>
      <c r="J495" s="34"/>
      <c r="O495" s="35"/>
      <c r="AQ495" s="34"/>
    </row>
    <row r="496">
      <c r="B496" s="34"/>
      <c r="G496" s="35"/>
      <c r="J496" s="34"/>
      <c r="O496" s="35"/>
      <c r="AQ496" s="34"/>
    </row>
    <row r="497">
      <c r="B497" s="34"/>
      <c r="G497" s="35"/>
      <c r="J497" s="34"/>
      <c r="O497" s="35"/>
      <c r="AQ497" s="34"/>
    </row>
    <row r="498">
      <c r="B498" s="34"/>
      <c r="G498" s="35"/>
      <c r="J498" s="34"/>
      <c r="O498" s="35"/>
      <c r="AQ498" s="34"/>
    </row>
    <row r="499">
      <c r="B499" s="34"/>
      <c r="G499" s="35"/>
      <c r="J499" s="34"/>
      <c r="O499" s="35"/>
      <c r="AQ499" s="34"/>
    </row>
    <row r="500">
      <c r="B500" s="34"/>
      <c r="G500" s="35"/>
      <c r="J500" s="34"/>
      <c r="O500" s="35"/>
      <c r="AQ500" s="34"/>
    </row>
    <row r="501">
      <c r="B501" s="34"/>
      <c r="G501" s="35"/>
      <c r="J501" s="34"/>
      <c r="O501" s="35"/>
      <c r="AQ501" s="34"/>
    </row>
    <row r="502">
      <c r="B502" s="34"/>
      <c r="G502" s="35"/>
      <c r="J502" s="34"/>
      <c r="O502" s="35"/>
      <c r="AQ502" s="34"/>
    </row>
    <row r="503">
      <c r="B503" s="34"/>
      <c r="G503" s="35"/>
      <c r="J503" s="34"/>
      <c r="O503" s="35"/>
      <c r="AQ503" s="34"/>
    </row>
    <row r="504">
      <c r="B504" s="34"/>
      <c r="G504" s="35"/>
      <c r="J504" s="34"/>
      <c r="O504" s="35"/>
      <c r="AQ504" s="34"/>
    </row>
    <row r="505">
      <c r="B505" s="34"/>
      <c r="G505" s="35"/>
      <c r="J505" s="34"/>
      <c r="O505" s="35"/>
      <c r="AQ505" s="34"/>
    </row>
    <row r="506">
      <c r="B506" s="34"/>
      <c r="G506" s="35"/>
      <c r="J506" s="34"/>
      <c r="O506" s="35"/>
      <c r="AQ506" s="34"/>
    </row>
    <row r="507">
      <c r="B507" s="34"/>
      <c r="G507" s="35"/>
      <c r="J507" s="34"/>
      <c r="O507" s="35"/>
      <c r="AQ507" s="34"/>
    </row>
    <row r="508">
      <c r="B508" s="34"/>
      <c r="G508" s="35"/>
      <c r="J508" s="34"/>
      <c r="O508" s="35"/>
      <c r="AQ508" s="34"/>
    </row>
    <row r="509">
      <c r="B509" s="34"/>
      <c r="G509" s="35"/>
      <c r="J509" s="34"/>
      <c r="O509" s="35"/>
      <c r="AQ509" s="34"/>
    </row>
    <row r="510">
      <c r="B510" s="34"/>
      <c r="G510" s="35"/>
      <c r="J510" s="34"/>
      <c r="O510" s="35"/>
      <c r="AQ510" s="34"/>
    </row>
    <row r="511">
      <c r="B511" s="34"/>
      <c r="G511" s="35"/>
      <c r="J511" s="34"/>
      <c r="O511" s="35"/>
      <c r="AQ511" s="34"/>
    </row>
    <row r="512">
      <c r="B512" s="34"/>
      <c r="G512" s="35"/>
      <c r="J512" s="34"/>
      <c r="O512" s="35"/>
      <c r="AQ512" s="34"/>
    </row>
    <row r="513">
      <c r="B513" s="34"/>
      <c r="G513" s="35"/>
      <c r="J513" s="34"/>
      <c r="O513" s="35"/>
      <c r="AQ513" s="34"/>
    </row>
    <row r="514">
      <c r="B514" s="34"/>
      <c r="G514" s="35"/>
      <c r="J514" s="34"/>
      <c r="O514" s="35"/>
      <c r="AQ514" s="34"/>
    </row>
    <row r="515">
      <c r="B515" s="34"/>
      <c r="G515" s="35"/>
      <c r="J515" s="34"/>
      <c r="O515" s="35"/>
      <c r="AQ515" s="34"/>
    </row>
    <row r="516">
      <c r="B516" s="34"/>
      <c r="G516" s="35"/>
      <c r="J516" s="34"/>
      <c r="O516" s="35"/>
      <c r="AQ516" s="34"/>
    </row>
    <row r="517">
      <c r="B517" s="34"/>
      <c r="G517" s="35"/>
      <c r="J517" s="34"/>
      <c r="O517" s="35"/>
      <c r="AQ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26</v>
      </c>
      <c r="I1" s="58">
        <f>countifs(B:B,"&lt;&gt;",F:F,"&lt;&gt;")-1</f>
        <v>2</v>
      </c>
      <c r="K1" s="6" t="s">
        <v>27</v>
      </c>
      <c r="L1" s="6" t="s">
        <v>28</v>
      </c>
      <c r="M1" s="6" t="s">
        <v>13</v>
      </c>
    </row>
    <row r="2">
      <c r="H2" s="57" t="s">
        <v>29</v>
      </c>
      <c r="I2" s="58">
        <f t="array" ref="I2">(COUNTA(UNIQUE(C:C))-1)</f>
        <v>2</v>
      </c>
      <c r="K2" s="59" t="str">
        <f>'Internal Summary'!B40</f>
        <v>BQ- PC 300g Sweet Potato Chips (24x)</v>
      </c>
      <c r="L2" s="58">
        <f t="shared" ref="L2:L13" si="1">sumif(D:D,K2,E:E)</f>
        <v>2</v>
      </c>
      <c r="M2" s="58">
        <f t="shared" ref="M2:M13" si="2">sumif(D:D,K2,F:F)</f>
        <v>156279.06</v>
      </c>
      <c r="N2" s="60"/>
    </row>
    <row r="3">
      <c r="H3" s="57" t="s">
        <v>30</v>
      </c>
      <c r="I3" s="58">
        <f>sum(F:F)</f>
        <v>156279.06</v>
      </c>
      <c r="K3" s="59" t="str">
        <f>'Internal Summary'!B41</f>
        <v>BQ- PLC 300g UnRipe Plantain Chips (30x)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>BQ- PLC 300g Ripe Plantain Chips (30x)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34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21"/>
    </row>
    <row r="16" hidden="1"/>
    <row r="17" hidden="1"/>
    <row r="18">
      <c r="I18" s="21"/>
    </row>
    <row r="19" hidden="1"/>
    <row r="20" hidden="1"/>
    <row r="21">
      <c r="I21" s="21"/>
    </row>
    <row r="22" hidden="1"/>
    <row r="23" hidden="1"/>
    <row r="24">
      <c r="I24" s="21"/>
    </row>
    <row r="25" hidden="1"/>
    <row r="26" hidden="1"/>
    <row r="27">
      <c r="I27" s="21"/>
    </row>
    <row r="28" hidden="1"/>
    <row r="29" hidden="1"/>
    <row r="30">
      <c r="I30" s="21"/>
    </row>
    <row r="31" hidden="1"/>
    <row r="32" hidden="1"/>
    <row r="33">
      <c r="I33" s="21"/>
    </row>
    <row r="34" hidden="1"/>
    <row r="35" hidden="1"/>
    <row r="36">
      <c r="I36" s="21"/>
    </row>
    <row r="37" hidden="1"/>
    <row r="38" hidden="1"/>
    <row r="39">
      <c r="I39" s="21"/>
    </row>
    <row r="40" hidden="1"/>
    <row r="41" hidden="1"/>
    <row r="42">
      <c r="I42" s="21"/>
    </row>
    <row r="43" hidden="1"/>
    <row r="44" hidden="1"/>
    <row r="45">
      <c r="I45" s="21"/>
    </row>
    <row r="46" hidden="1"/>
    <row r="47" hidden="1"/>
    <row r="48">
      <c r="I48" s="21"/>
    </row>
    <row r="49" hidden="1"/>
    <row r="50" hidden="1"/>
    <row r="51">
      <c r="I51" s="21"/>
    </row>
    <row r="52" hidden="1"/>
    <row r="53" hidden="1"/>
    <row r="54">
      <c r="I54" s="21"/>
    </row>
    <row r="55" hidden="1"/>
    <row r="56" hidden="1"/>
    <row r="57">
      <c r="I57" s="21"/>
    </row>
    <row r="58" hidden="1"/>
    <row r="59" hidden="1"/>
    <row r="60">
      <c r="I60" s="21"/>
    </row>
    <row r="61" hidden="1"/>
    <row r="62" hidden="1"/>
    <row r="63">
      <c r="I63" s="21"/>
    </row>
    <row r="64" hidden="1"/>
    <row r="65" hidden="1"/>
    <row r="66">
      <c r="I66" s="21"/>
    </row>
    <row r="67" hidden="1"/>
    <row r="68" hidden="1"/>
    <row r="69">
      <c r="I69" s="21"/>
    </row>
    <row r="70" hidden="1"/>
    <row r="71" hidden="1"/>
    <row r="72">
      <c r="I72" s="21"/>
    </row>
    <row r="73" hidden="1"/>
    <row r="74" hidden="1"/>
    <row r="75">
      <c r="I75" s="21"/>
    </row>
    <row r="76" hidden="1"/>
    <row r="77" hidden="1"/>
    <row r="78">
      <c r="I78" s="21"/>
    </row>
    <row r="79" hidden="1"/>
    <row r="80" hidden="1"/>
    <row r="81">
      <c r="I81" s="21"/>
    </row>
    <row r="82" hidden="1"/>
    <row r="83" hidden="1"/>
    <row r="84">
      <c r="I84" s="21"/>
    </row>
    <row r="85" hidden="1"/>
    <row r="86" hidden="1"/>
    <row r="87">
      <c r="I87" s="21"/>
    </row>
    <row r="88" hidden="1"/>
    <row r="89" hidden="1"/>
    <row r="90">
      <c r="I90" s="21"/>
    </row>
    <row r="91" hidden="1"/>
    <row r="92" hidden="1"/>
    <row r="93">
      <c r="I93" s="21"/>
    </row>
    <row r="94" hidden="1"/>
    <row r="95" hidden="1"/>
    <row r="96">
      <c r="I96" s="21"/>
    </row>
    <row r="97" hidden="1"/>
    <row r="98" hidden="1"/>
    <row r="99">
      <c r="I99" s="21"/>
    </row>
    <row r="100" hidden="1"/>
    <row r="101" hidden="1"/>
    <row r="102">
      <c r="I102" s="21"/>
    </row>
    <row r="103" hidden="1"/>
    <row r="104" hidden="1"/>
    <row r="105">
      <c r="I105" s="21"/>
    </row>
    <row r="106" hidden="1"/>
    <row r="107" hidden="1"/>
    <row r="108">
      <c r="I108" s="21"/>
    </row>
    <row r="109" hidden="1"/>
    <row r="110" hidden="1"/>
    <row r="111">
      <c r="I111" s="21"/>
    </row>
    <row r="112" hidden="1"/>
    <row r="113" hidden="1"/>
    <row r="114">
      <c r="I114" s="21"/>
    </row>
    <row r="115" hidden="1"/>
    <row r="116" hidden="1"/>
    <row r="117">
      <c r="I117" s="21"/>
    </row>
    <row r="118" hidden="1"/>
    <row r="119" hidden="1"/>
    <row r="120">
      <c r="I120" s="21"/>
    </row>
    <row r="121" hidden="1"/>
    <row r="122" hidden="1"/>
    <row r="123">
      <c r="I123" s="21"/>
    </row>
    <row r="124" hidden="1"/>
    <row r="125" hidden="1"/>
    <row r="126">
      <c r="I126" s="21"/>
    </row>
    <row r="127" hidden="1"/>
    <row r="128" hidden="1"/>
    <row r="129">
      <c r="I129" s="21"/>
    </row>
    <row r="130" hidden="1"/>
    <row r="131" hidden="1"/>
    <row r="132">
      <c r="I132" s="21"/>
    </row>
    <row r="133" hidden="1"/>
    <row r="134" hidden="1"/>
    <row r="135">
      <c r="I135" s="21"/>
    </row>
    <row r="136" hidden="1"/>
    <row r="137" hidden="1"/>
    <row r="138">
      <c r="I138" s="21"/>
    </row>
    <row r="139" hidden="1"/>
    <row r="140" hidden="1"/>
    <row r="141">
      <c r="I141" s="21"/>
    </row>
    <row r="142" hidden="1"/>
    <row r="143" hidden="1"/>
    <row r="144">
      <c r="I144" s="21"/>
    </row>
    <row r="145" hidden="1"/>
    <row r="146" hidden="1"/>
    <row r="147">
      <c r="I147" s="21"/>
    </row>
    <row r="148" hidden="1"/>
    <row r="149" hidden="1"/>
    <row r="150">
      <c r="I150" s="21"/>
    </row>
    <row r="151" hidden="1"/>
    <row r="152" hidden="1"/>
    <row r="153">
      <c r="I153" s="21"/>
    </row>
    <row r="154" hidden="1"/>
    <row r="155" hidden="1"/>
    <row r="156">
      <c r="I156" s="21"/>
    </row>
    <row r="157" hidden="1"/>
    <row r="158" hidden="1"/>
    <row r="159">
      <c r="I159" s="21"/>
    </row>
    <row r="160" hidden="1"/>
    <row r="161" hidden="1"/>
    <row r="162">
      <c r="I162" s="21"/>
    </row>
    <row r="163" hidden="1"/>
    <row r="164" hidden="1"/>
    <row r="165">
      <c r="I165" s="21"/>
    </row>
    <row r="166" hidden="1"/>
    <row r="167" hidden="1"/>
    <row r="168">
      <c r="I168" s="21"/>
    </row>
    <row r="169" hidden="1"/>
    <row r="170" hidden="1"/>
    <row r="171">
      <c r="I171" s="21"/>
    </row>
    <row r="172" hidden="1"/>
    <row r="173" hidden="1"/>
    <row r="174">
      <c r="I174" s="21"/>
    </row>
    <row r="175" hidden="1"/>
    <row r="176" hidden="1"/>
    <row r="177">
      <c r="I177" s="21"/>
    </row>
    <row r="178" hidden="1"/>
    <row r="179" hidden="1"/>
    <row r="180">
      <c r="I180" s="21"/>
    </row>
    <row r="181" hidden="1"/>
    <row r="182" hidden="1"/>
    <row r="183">
      <c r="I183" s="21"/>
    </row>
    <row r="184" hidden="1"/>
    <row r="185" hidden="1"/>
    <row r="186">
      <c r="I186" s="21"/>
    </row>
    <row r="187" hidden="1"/>
    <row r="188" hidden="1"/>
    <row r="189">
      <c r="I189" s="21"/>
    </row>
    <row r="190" hidden="1"/>
    <row r="191" hidden="1"/>
    <row r="192">
      <c r="I192" s="21"/>
    </row>
    <row r="193" hidden="1"/>
    <row r="194" hidden="1"/>
    <row r="195">
      <c r="I195" s="21"/>
    </row>
    <row r="196" hidden="1"/>
    <row r="197" hidden="1"/>
    <row r="198">
      <c r="I198" s="21"/>
    </row>
    <row r="199" hidden="1"/>
    <row r="200" hidden="1"/>
    <row r="201">
      <c r="I201" s="21"/>
    </row>
    <row r="202" hidden="1"/>
    <row r="203" hidden="1"/>
    <row r="204">
      <c r="I204" s="21"/>
    </row>
    <row r="205" hidden="1"/>
    <row r="206" hidden="1"/>
    <row r="207">
      <c r="I207" s="21"/>
    </row>
    <row r="208" hidden="1"/>
    <row r="209" hidden="1"/>
    <row r="210">
      <c r="I210" s="21"/>
    </row>
    <row r="211" hidden="1"/>
    <row r="212" hidden="1"/>
    <row r="213">
      <c r="I213" s="21"/>
    </row>
    <row r="214" hidden="1"/>
    <row r="215" hidden="1"/>
    <row r="216">
      <c r="I216" s="21"/>
    </row>
    <row r="217" hidden="1"/>
    <row r="218" hidden="1"/>
    <row r="219">
      <c r="I219" s="21"/>
    </row>
    <row r="220" hidden="1"/>
    <row r="221" hidden="1"/>
    <row r="222">
      <c r="I222" s="21"/>
    </row>
    <row r="223" hidden="1"/>
    <row r="224" hidden="1"/>
    <row r="225">
      <c r="I225" s="21"/>
    </row>
    <row r="226" hidden="1"/>
    <row r="227" hidden="1"/>
    <row r="228">
      <c r="I228" s="21"/>
    </row>
    <row r="229" hidden="1"/>
    <row r="230" hidden="1"/>
    <row r="231">
      <c r="I231" s="21"/>
    </row>
    <row r="232" hidden="1"/>
    <row r="233" hidden="1"/>
    <row r="234">
      <c r="I234" s="21"/>
    </row>
    <row r="235" hidden="1"/>
    <row r="236" hidden="1"/>
    <row r="237">
      <c r="I237" s="21"/>
    </row>
    <row r="238" hidden="1"/>
    <row r="239" hidden="1"/>
    <row r="240">
      <c r="I240" s="21"/>
    </row>
    <row r="241" hidden="1"/>
    <row r="242" hidden="1"/>
    <row r="243">
      <c r="I243" s="2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autoFilter ref="$A$14:$F$316">
    <filterColumn colId="5">
      <filters>
        <filter val="78,139.53"/>
      </filters>
    </filterColumn>
    <filterColumn colId="3">
      <filters>
        <filter val="BQ- PC 300g Sweet Potato Chips (24x) Total"/>
        <filter val="BQ- PC 300g Sweet Potato Chips (24x)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26</v>
      </c>
      <c r="I1" s="58">
        <f>countifs(B:B,"&lt;&gt;",F:F,"&lt;&gt;")-1</f>
        <v>0</v>
      </c>
      <c r="K1" s="59" t="s">
        <v>27</v>
      </c>
      <c r="L1" s="59" t="s">
        <v>28</v>
      </c>
      <c r="M1" s="59" t="s">
        <v>13</v>
      </c>
    </row>
    <row r="2">
      <c r="H2" s="57" t="s">
        <v>29</v>
      </c>
      <c r="I2" s="58">
        <f t="array" ref="I2">(COUNTA(UNIQUE(C:C))-1)</f>
        <v>0</v>
      </c>
      <c r="K2" s="59" t="str">
        <f>'Internal Summary'!B40</f>
        <v>BQ- PC 300g Sweet Potato Chips (24x)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30</v>
      </c>
      <c r="I3" s="58">
        <f>sum(F:F)</f>
        <v>0</v>
      </c>
      <c r="K3" s="59" t="str">
        <f>'Internal Summary'!B41</f>
        <v>BQ- PLC 300g UnRipe Plantain Chips (30x)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BQ- PLC 300g Ripe Plantain Chips (30x)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7" t="s">
        <v>26</v>
      </c>
      <c r="I1" s="58">
        <f>countifs(B:B,"&lt;&gt;",F:F,"&lt;&gt;")-1</f>
        <v>0</v>
      </c>
      <c r="K1" s="59" t="s">
        <v>27</v>
      </c>
      <c r="L1" s="59" t="s">
        <v>33</v>
      </c>
      <c r="M1" s="59" t="s">
        <v>13</v>
      </c>
    </row>
    <row r="2">
      <c r="H2" s="57" t="s">
        <v>29</v>
      </c>
      <c r="I2" s="58">
        <f t="array" ref="I2">(COUNTA(UNIQUE(C:C))-1)</f>
        <v>0</v>
      </c>
      <c r="K2" s="59" t="str">
        <f>'Internal Summary'!B40</f>
        <v>BQ- PC 300g Sweet Potato Chips (24x)</v>
      </c>
      <c r="L2" s="58">
        <f t="shared" ref="L2:L13" si="1">sumif(D:D,K2,E:E)</f>
        <v>0</v>
      </c>
      <c r="M2" s="61">
        <f t="shared" ref="M2:M13" si="2">sumif(D:D,K2,F:F)</f>
        <v>0</v>
      </c>
    </row>
    <row r="3">
      <c r="H3" s="57" t="s">
        <v>30</v>
      </c>
      <c r="I3" s="58">
        <f>sum(F:F)</f>
        <v>0</v>
      </c>
      <c r="K3" s="59" t="str">
        <f>'Internal Summary'!B41</f>
        <v>BQ- PLC 300g UnRipe Plantain Chips (30x)</v>
      </c>
      <c r="L3" s="58">
        <f t="shared" si="1"/>
        <v>0</v>
      </c>
      <c r="M3" s="61">
        <f t="shared" si="2"/>
        <v>0</v>
      </c>
    </row>
    <row r="4">
      <c r="H4" s="1"/>
      <c r="K4" s="59" t="str">
        <f>'Internal Summary'!B42</f>
        <v>BQ- PLC 300g Ripe Plantain Chips (30x)</v>
      </c>
      <c r="L4" s="58">
        <f t="shared" si="1"/>
        <v>0</v>
      </c>
      <c r="M4" s="61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1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1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1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1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1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1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1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1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26</v>
      </c>
      <c r="I1" s="58">
        <f>countifs(B:B,"&lt;&gt;",F:F,"&lt;&gt;")-1</f>
        <v>0</v>
      </c>
      <c r="K1" s="59" t="s">
        <v>27</v>
      </c>
      <c r="L1" s="59" t="s">
        <v>28</v>
      </c>
    </row>
    <row r="2">
      <c r="H2" s="57" t="s">
        <v>29</v>
      </c>
      <c r="I2" s="58">
        <f t="array" ref="I2">(COUNTA(UNIQUE(C:C,,0))-1)</f>
        <v>0</v>
      </c>
      <c r="K2" s="59" t="str">
        <f>'Internal Summary'!B40</f>
        <v>BQ- PC 300g Sweet Potato Chips (24x)</v>
      </c>
      <c r="L2" s="58">
        <f t="shared" ref="L2:L13" si="1">sumif(D:D,K2,E:E)</f>
        <v>0</v>
      </c>
    </row>
    <row r="3">
      <c r="H3" s="57" t="s">
        <v>30</v>
      </c>
      <c r="I3" s="58">
        <f>sum(F:F)</f>
        <v>0</v>
      </c>
      <c r="K3" s="59" t="str">
        <f>'Internal Summary'!B41</f>
        <v>BQ- PLC 300g UnRipe Plantain Chips (30x)</v>
      </c>
      <c r="L3" s="58">
        <f t="shared" si="1"/>
        <v>0</v>
      </c>
    </row>
    <row r="4">
      <c r="H4" s="1"/>
      <c r="K4" s="59" t="str">
        <f>'Internal Summary'!B42</f>
        <v>BQ- PLC 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26</v>
      </c>
      <c r="I1" s="58">
        <f>countifs(B:B,"&lt;&gt;",F:F,"&lt;&gt;")-1</f>
        <v>1</v>
      </c>
      <c r="K1" s="59" t="s">
        <v>27</v>
      </c>
      <c r="L1" s="59" t="s">
        <v>28</v>
      </c>
    </row>
    <row r="2">
      <c r="H2" s="57" t="s">
        <v>29</v>
      </c>
      <c r="I2" s="58">
        <f t="array" ref="I2">(COUNTA(UNIQUE(C:C,,0))-1)</f>
        <v>1</v>
      </c>
      <c r="K2" s="59" t="str">
        <f>'Internal Summary'!B40</f>
        <v>BQ- PC 300g Sweet Potato Chips (24x)</v>
      </c>
      <c r="L2" s="58">
        <f t="shared" ref="L2:L13" si="1">sumif(D:D,K2,E:E)</f>
        <v>0</v>
      </c>
    </row>
    <row r="3">
      <c r="H3" s="57" t="s">
        <v>30</v>
      </c>
      <c r="I3" s="58">
        <f>sum(F:F)</f>
        <v>651300</v>
      </c>
      <c r="K3" s="59" t="str">
        <f>'Internal Summary'!B41</f>
        <v>BQ- PLC 300g UnRipe Plantain Chips (30x)</v>
      </c>
      <c r="L3" s="58">
        <f t="shared" si="1"/>
        <v>0.5</v>
      </c>
    </row>
    <row r="4">
      <c r="H4" s="1"/>
      <c r="K4" s="59" t="str">
        <f>'Internal Summary'!B42</f>
        <v>BQ- PLC 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7" t="s">
        <v>34</v>
      </c>
      <c r="C1" s="57" t="s">
        <v>28</v>
      </c>
      <c r="D1" s="57" t="s">
        <v>35</v>
      </c>
      <c r="E1" s="57" t="s">
        <v>36</v>
      </c>
      <c r="F1" s="64"/>
    </row>
    <row r="2">
      <c r="A2" s="65" t="s">
        <v>37</v>
      </c>
      <c r="B2" s="66" t="s">
        <v>26</v>
      </c>
      <c r="C2" s="67"/>
      <c r="D2" s="68"/>
      <c r="E2" s="69">
        <f>'Dala Sales &amp; Deliveries'!I1+'External Delivery Fulfillment'!I1</f>
        <v>2</v>
      </c>
      <c r="F2" s="64"/>
    </row>
    <row r="3">
      <c r="A3" s="70"/>
      <c r="B3" s="66" t="s">
        <v>38</v>
      </c>
      <c r="C3" s="67"/>
      <c r="D3" s="68"/>
      <c r="E3" s="71">
        <f>'Raw Data'!AX2</f>
        <v>2</v>
      </c>
      <c r="F3" s="64"/>
    </row>
    <row r="4">
      <c r="B4" s="72" t="s">
        <v>39</v>
      </c>
      <c r="C4" s="64"/>
      <c r="D4" s="73"/>
      <c r="E4" s="21">
        <f>'Dala Sales &amp; Deliveries'!I3</f>
        <v>156279.06</v>
      </c>
      <c r="F4" s="64"/>
    </row>
    <row r="5">
      <c r="B5" s="72" t="s">
        <v>40</v>
      </c>
      <c r="C5" s="64"/>
      <c r="D5" s="73"/>
      <c r="E5" s="21">
        <f>'External Delivery Fulfillment'!I3</f>
        <v>0</v>
      </c>
      <c r="F5" s="64"/>
    </row>
    <row r="6">
      <c r="A6" s="74"/>
      <c r="B6" s="75" t="s">
        <v>41</v>
      </c>
      <c r="C6" s="67"/>
      <c r="D6" s="68"/>
      <c r="E6" s="76">
        <f>E4*1.075-E4</f>
        <v>11720.9295</v>
      </c>
      <c r="F6" s="64"/>
    </row>
    <row r="7">
      <c r="A7" s="77"/>
      <c r="B7" s="78" t="s">
        <v>42</v>
      </c>
      <c r="C7" s="79"/>
      <c r="D7" s="68"/>
      <c r="E7" s="80">
        <f>sum(E4:E6)</f>
        <v>167999.9895</v>
      </c>
      <c r="F7" s="64"/>
    </row>
    <row r="8">
      <c r="A8" s="65" t="s">
        <v>43</v>
      </c>
      <c r="B8" s="66" t="s">
        <v>44</v>
      </c>
      <c r="C8" s="68"/>
      <c r="D8" s="81"/>
      <c r="E8" s="82">
        <v>0.0</v>
      </c>
    </row>
    <row r="9">
      <c r="A9" s="77"/>
      <c r="B9" s="78" t="s">
        <v>45</v>
      </c>
      <c r="C9" s="83">
        <v>0.1</v>
      </c>
      <c r="D9" s="84"/>
      <c r="E9" s="80">
        <f>E8*(C9+100%)-E8</f>
        <v>0</v>
      </c>
      <c r="K9" s="21"/>
      <c r="L9" s="21"/>
      <c r="M9" s="21"/>
    </row>
    <row r="10">
      <c r="A10" s="85" t="s">
        <v>46</v>
      </c>
      <c r="B10" s="78" t="s">
        <v>47</v>
      </c>
      <c r="C10" s="86"/>
      <c r="D10" s="84"/>
      <c r="E10" s="80">
        <f>E7-E8-E9</f>
        <v>167999.9895</v>
      </c>
    </row>
    <row r="11">
      <c r="A11" s="65" t="s">
        <v>48</v>
      </c>
      <c r="B11" s="66" t="s">
        <v>49</v>
      </c>
      <c r="C11" s="87">
        <v>1.0</v>
      </c>
      <c r="D11" s="69">
        <v>100000.0</v>
      </c>
      <c r="E11" s="69" t="s">
        <v>50</v>
      </c>
    </row>
    <row r="12">
      <c r="A12" s="70"/>
      <c r="B12" s="66" t="s">
        <v>45</v>
      </c>
      <c r="C12" s="88"/>
      <c r="D12" s="81"/>
      <c r="E12" s="69">
        <f>E10*C9</f>
        <v>16799.99895</v>
      </c>
    </row>
    <row r="13">
      <c r="A13" s="70"/>
      <c r="B13" s="75" t="s">
        <v>51</v>
      </c>
      <c r="C13" s="68"/>
      <c r="D13" s="71" t="s">
        <v>52</v>
      </c>
      <c r="E13" s="69">
        <f>C22+C26</f>
        <v>4700</v>
      </c>
    </row>
    <row r="14">
      <c r="A14" s="70"/>
      <c r="B14" s="66" t="s">
        <v>53</v>
      </c>
      <c r="C14" s="81"/>
      <c r="D14" s="81"/>
      <c r="E14" s="89">
        <v>0.0</v>
      </c>
    </row>
    <row r="15">
      <c r="A15" s="70"/>
      <c r="B15" s="66" t="s">
        <v>54</v>
      </c>
      <c r="C15" s="81"/>
      <c r="D15" s="81"/>
      <c r="E15" s="71">
        <v>0.0</v>
      </c>
    </row>
    <row r="16">
      <c r="A16" s="77"/>
      <c r="B16" s="78" t="s">
        <v>55</v>
      </c>
      <c r="C16" s="84"/>
      <c r="D16" s="84"/>
      <c r="E16" s="80">
        <f>sum(E11:E15)</f>
        <v>21499.99895</v>
      </c>
      <c r="H16" s="1"/>
      <c r="I16" s="1"/>
    </row>
    <row r="17">
      <c r="A17" s="85" t="s">
        <v>56</v>
      </c>
      <c r="B17" s="78" t="s">
        <v>57</v>
      </c>
      <c r="C17" s="84"/>
      <c r="D17" s="84"/>
      <c r="E17" s="80">
        <f>E10-E16+C36</f>
        <v>146499.9906</v>
      </c>
      <c r="H17" s="1"/>
      <c r="I17" s="76"/>
      <c r="J17" s="90"/>
      <c r="K17" s="90"/>
      <c r="L17" s="90"/>
      <c r="M17" s="90"/>
      <c r="N17" s="90"/>
    </row>
    <row r="18">
      <c r="A18" s="91"/>
      <c r="B18" s="91"/>
      <c r="C18" s="91"/>
      <c r="D18" s="91"/>
      <c r="E18" s="91"/>
      <c r="H18" s="1"/>
      <c r="I18" s="1"/>
      <c r="J18" s="90"/>
      <c r="K18" s="90"/>
      <c r="L18" s="90"/>
      <c r="M18" s="90"/>
      <c r="N18" s="90"/>
    </row>
    <row r="19">
      <c r="A19" s="1"/>
      <c r="B19" s="91"/>
      <c r="C19" s="91"/>
      <c r="D19" s="91"/>
      <c r="E19" s="91"/>
      <c r="H19" s="1"/>
      <c r="I19" s="1"/>
      <c r="J19" s="90"/>
      <c r="K19" s="90"/>
      <c r="L19" s="90"/>
      <c r="M19" s="90"/>
      <c r="N19" s="90"/>
    </row>
    <row r="20">
      <c r="A20" s="1" t="s">
        <v>58</v>
      </c>
      <c r="B20" s="91"/>
      <c r="C20" s="91"/>
      <c r="D20" s="91"/>
      <c r="E20" s="91"/>
      <c r="H20" s="1"/>
      <c r="I20" s="1"/>
      <c r="J20" s="90"/>
      <c r="K20" s="90"/>
      <c r="L20" s="90"/>
      <c r="M20" s="90"/>
      <c r="N20" s="90"/>
    </row>
    <row r="21">
      <c r="A21" s="91"/>
      <c r="B21" s="57" t="s">
        <v>59</v>
      </c>
      <c r="C21" s="92">
        <f>U69</f>
        <v>0</v>
      </c>
      <c r="H21" s="1"/>
      <c r="I21" s="1"/>
      <c r="J21" s="93"/>
      <c r="K21" s="93"/>
      <c r="L21" s="94"/>
      <c r="M21" s="90"/>
      <c r="N21" s="90"/>
    </row>
    <row r="22">
      <c r="A22" s="91"/>
      <c r="B22" s="57" t="s">
        <v>60</v>
      </c>
      <c r="C22" s="92">
        <f>V69</f>
        <v>0</v>
      </c>
      <c r="H22" s="1"/>
      <c r="I22" s="1"/>
      <c r="J22" s="93"/>
      <c r="K22" s="93"/>
      <c r="L22" s="94"/>
      <c r="M22" s="90"/>
      <c r="N22" s="90"/>
    </row>
    <row r="23">
      <c r="A23" s="91"/>
      <c r="B23" s="57" t="s">
        <v>61</v>
      </c>
      <c r="C23" s="92">
        <f>S69</f>
        <v>0</v>
      </c>
      <c r="H23" s="1"/>
      <c r="I23" s="1"/>
      <c r="J23" s="93"/>
      <c r="K23" s="93"/>
      <c r="L23" s="94"/>
      <c r="M23" s="90"/>
      <c r="N23" s="90"/>
    </row>
    <row r="24">
      <c r="A24" s="91"/>
      <c r="B24" s="57" t="s">
        <v>62</v>
      </c>
      <c r="C24" s="92">
        <f>T69</f>
        <v>0</v>
      </c>
      <c r="H24" s="1"/>
      <c r="I24" s="76"/>
      <c r="J24" s="93"/>
      <c r="K24" s="93"/>
      <c r="L24" s="94"/>
      <c r="M24" s="90"/>
      <c r="N24" s="90"/>
    </row>
    <row r="25">
      <c r="A25" s="91"/>
      <c r="B25" s="57" t="s">
        <v>63</v>
      </c>
      <c r="C25" s="92">
        <v>0.0</v>
      </c>
      <c r="H25" s="1"/>
      <c r="I25" s="1"/>
    </row>
    <row r="26">
      <c r="A26" s="91"/>
      <c r="B26" s="57" t="s">
        <v>64</v>
      </c>
      <c r="C26" s="95">
        <f>P69</f>
        <v>4700</v>
      </c>
      <c r="H26" s="1"/>
      <c r="I26" s="1"/>
    </row>
    <row r="27">
      <c r="A27" s="91"/>
      <c r="B27" s="57" t="s">
        <v>65</v>
      </c>
      <c r="C27" s="58">
        <f>Q69</f>
        <v>0</v>
      </c>
      <c r="H27" s="1"/>
      <c r="I27" s="1"/>
    </row>
    <row r="28">
      <c r="A28" s="91"/>
      <c r="B28" s="57" t="s">
        <v>66</v>
      </c>
      <c r="C28" s="58">
        <f>R69</f>
        <v>0</v>
      </c>
      <c r="H28" s="1"/>
      <c r="I28" s="1"/>
    </row>
    <row r="29">
      <c r="A29" s="91"/>
      <c r="B29" s="57" t="s">
        <v>67</v>
      </c>
      <c r="C29" s="92">
        <f>F69</f>
        <v>0</v>
      </c>
      <c r="D29" s="91"/>
      <c r="H29" s="1"/>
      <c r="I29" s="1"/>
    </row>
    <row r="30">
      <c r="A30" s="91"/>
      <c r="B30" s="57" t="s">
        <v>68</v>
      </c>
      <c r="C30" s="92">
        <v>0.0</v>
      </c>
      <c r="D30" s="91"/>
      <c r="H30" s="1"/>
      <c r="I30" s="1"/>
    </row>
    <row r="31">
      <c r="A31" s="91"/>
      <c r="B31" s="57" t="s">
        <v>69</v>
      </c>
      <c r="C31" s="92">
        <f>I69</f>
        <v>0</v>
      </c>
      <c r="D31" s="91"/>
      <c r="H31" s="1"/>
      <c r="I31" s="1"/>
    </row>
    <row r="32">
      <c r="A32" s="91"/>
      <c r="B32" s="57" t="s">
        <v>70</v>
      </c>
      <c r="C32" s="92">
        <f>J69</f>
        <v>0</v>
      </c>
      <c r="D32" s="91"/>
      <c r="H32" s="1"/>
      <c r="I32" s="1"/>
    </row>
    <row r="33">
      <c r="B33" s="57" t="s">
        <v>71</v>
      </c>
      <c r="C33" s="92">
        <v>0.0</v>
      </c>
    </row>
    <row r="34">
      <c r="B34" s="57" t="s">
        <v>72</v>
      </c>
      <c r="C34" s="58">
        <f>K69</f>
        <v>0</v>
      </c>
    </row>
    <row r="35">
      <c r="B35" s="57" t="s">
        <v>73</v>
      </c>
      <c r="C35" s="92">
        <v>0.0</v>
      </c>
    </row>
    <row r="36">
      <c r="B36" s="57" t="s">
        <v>74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75</v>
      </c>
      <c r="C39" s="57" t="s">
        <v>76</v>
      </c>
      <c r="D39" s="57" t="s">
        <v>77</v>
      </c>
      <c r="E39" s="57" t="s">
        <v>78</v>
      </c>
      <c r="F39" s="59" t="s">
        <v>79</v>
      </c>
      <c r="G39" s="59" t="s">
        <v>80</v>
      </c>
      <c r="H39" s="59" t="s">
        <v>81</v>
      </c>
      <c r="I39" s="59" t="s">
        <v>82</v>
      </c>
      <c r="J39" s="59" t="s">
        <v>83</v>
      </c>
      <c r="K39" s="59" t="s">
        <v>84</v>
      </c>
      <c r="L39" s="59" t="s">
        <v>71</v>
      </c>
      <c r="M39" s="59" t="s">
        <v>73</v>
      </c>
      <c r="N39" s="59" t="s">
        <v>85</v>
      </c>
      <c r="O39" s="59" t="s">
        <v>86</v>
      </c>
      <c r="P39" s="59" t="s">
        <v>87</v>
      </c>
      <c r="Q39" s="59" t="s">
        <v>88</v>
      </c>
      <c r="R39" s="59" t="s">
        <v>89</v>
      </c>
      <c r="S39" s="59" t="s">
        <v>90</v>
      </c>
      <c r="T39" s="59" t="s">
        <v>62</v>
      </c>
      <c r="U39" s="59" t="s">
        <v>91</v>
      </c>
      <c r="V39" s="59" t="s">
        <v>92</v>
      </c>
      <c r="W39" s="59" t="s">
        <v>93</v>
      </c>
    </row>
    <row r="40">
      <c r="B40" s="96" t="s">
        <v>19</v>
      </c>
      <c r="C40" s="97">
        <v>84000.0</v>
      </c>
      <c r="D40" s="96">
        <v>1150.0</v>
      </c>
      <c r="E40" s="97">
        <v>2350.0</v>
      </c>
      <c r="F40" s="96"/>
      <c r="G40" s="61">
        <f t="shared" ref="G40:G68" si="1">F40*C40</f>
        <v>0</v>
      </c>
      <c r="H40" s="96"/>
      <c r="I40" s="96"/>
      <c r="J40" s="96"/>
      <c r="K40" s="96"/>
      <c r="L40" s="59"/>
      <c r="M40" s="61">
        <f t="shared" ref="M40:M68" si="2">K40-L40</f>
        <v>0</v>
      </c>
      <c r="N40" s="61">
        <f t="shared" ref="N40:N68" si="3">M40*C40</f>
        <v>0</v>
      </c>
      <c r="O40" s="58">
        <f>'Dala Sales &amp; Deliveries'!L2</f>
        <v>2</v>
      </c>
      <c r="P40" s="61">
        <f t="shared" ref="P40:P68" si="4">O40*E40</f>
        <v>4700</v>
      </c>
      <c r="Q40" s="58">
        <f>'External Delivery Fulfillment'!L2</f>
        <v>0</v>
      </c>
      <c r="R40" s="61">
        <f t="shared" ref="R40:R68" si="5">Q40*E40</f>
        <v>0</v>
      </c>
      <c r="S40" s="58">
        <f>'Forwarding From Client'!L2</f>
        <v>0</v>
      </c>
      <c r="T40" s="61">
        <f t="shared" ref="T40:T68" si="6">S40*E40</f>
        <v>0</v>
      </c>
      <c r="U40" s="58">
        <f>'Dala Restocking'!L2</f>
        <v>0</v>
      </c>
      <c r="V40" s="61">
        <f t="shared" ref="V40:V68" si="7">U40*D40</f>
        <v>0</v>
      </c>
      <c r="W40" s="58">
        <f>'Client Restocking'!L2</f>
        <v>0</v>
      </c>
    </row>
    <row r="41">
      <c r="B41" s="96" t="s">
        <v>18</v>
      </c>
      <c r="C41" s="97">
        <v>120000.0</v>
      </c>
      <c r="D41" s="96">
        <v>1600.0</v>
      </c>
      <c r="E41" s="97">
        <v>3450.0</v>
      </c>
      <c r="F41" s="98"/>
      <c r="G41" s="61">
        <f t="shared" si="1"/>
        <v>0</v>
      </c>
      <c r="H41" s="96"/>
      <c r="I41" s="96"/>
      <c r="J41" s="98"/>
      <c r="K41" s="96"/>
      <c r="L41" s="59"/>
      <c r="M41" s="61">
        <f t="shared" si="2"/>
        <v>0</v>
      </c>
      <c r="N41" s="61">
        <f t="shared" si="3"/>
        <v>0</v>
      </c>
      <c r="O41" s="58">
        <f>'Dala Sales &amp; Deliveries'!L3</f>
        <v>0</v>
      </c>
      <c r="P41" s="61">
        <f t="shared" si="4"/>
        <v>0</v>
      </c>
      <c r="Q41" s="58">
        <f>'External Delivery Fulfillment'!L3</f>
        <v>0</v>
      </c>
      <c r="R41" s="61">
        <f t="shared" si="5"/>
        <v>0</v>
      </c>
      <c r="S41" s="58">
        <f>'Forwarding From Client'!L3</f>
        <v>0</v>
      </c>
      <c r="T41" s="61">
        <f t="shared" si="6"/>
        <v>0</v>
      </c>
      <c r="U41" s="58">
        <f>'Dala Restocking'!L3</f>
        <v>0</v>
      </c>
      <c r="V41" s="61">
        <f t="shared" si="7"/>
        <v>0</v>
      </c>
      <c r="W41" s="58">
        <f>'Client Restocking'!L3</f>
        <v>0.5</v>
      </c>
    </row>
    <row r="42">
      <c r="B42" s="96" t="s">
        <v>94</v>
      </c>
      <c r="C42" s="97">
        <v>120000.0</v>
      </c>
      <c r="D42" s="96">
        <v>1600.0</v>
      </c>
      <c r="E42" s="97">
        <v>3450.0</v>
      </c>
      <c r="F42" s="98"/>
      <c r="G42" s="61">
        <f t="shared" si="1"/>
        <v>0</v>
      </c>
      <c r="H42" s="96"/>
      <c r="I42" s="96"/>
      <c r="J42" s="98"/>
      <c r="K42" s="96"/>
      <c r="L42" s="59"/>
      <c r="M42" s="61">
        <f t="shared" si="2"/>
        <v>0</v>
      </c>
      <c r="N42" s="61">
        <f t="shared" si="3"/>
        <v>0</v>
      </c>
      <c r="O42" s="58">
        <f>'Dala Sales &amp; Deliveries'!L4</f>
        <v>0</v>
      </c>
      <c r="P42" s="61">
        <f t="shared" si="4"/>
        <v>0</v>
      </c>
      <c r="Q42" s="58">
        <f>'External Delivery Fulfillment'!L4</f>
        <v>0</v>
      </c>
      <c r="R42" s="61">
        <f t="shared" si="5"/>
        <v>0</v>
      </c>
      <c r="S42" s="58">
        <f>'Forwarding From Client'!L4</f>
        <v>0</v>
      </c>
      <c r="T42" s="61">
        <f t="shared" si="6"/>
        <v>0</v>
      </c>
      <c r="U42" s="58">
        <f>'Dala Restocking'!L4</f>
        <v>0</v>
      </c>
      <c r="V42" s="61">
        <f t="shared" si="7"/>
        <v>0</v>
      </c>
      <c r="W42" s="58">
        <f>'Client Restocking'!L4</f>
        <v>0</v>
      </c>
    </row>
    <row r="43">
      <c r="B43" s="96"/>
      <c r="C43" s="97"/>
      <c r="D43" s="96"/>
      <c r="E43" s="97"/>
      <c r="F43" s="98"/>
      <c r="G43" s="61">
        <f t="shared" si="1"/>
        <v>0</v>
      </c>
      <c r="H43" s="98"/>
      <c r="I43" s="96"/>
      <c r="J43" s="98"/>
      <c r="K43" s="98"/>
      <c r="L43" s="59"/>
      <c r="M43" s="61">
        <f t="shared" si="2"/>
        <v>0</v>
      </c>
      <c r="N43" s="61">
        <f t="shared" si="3"/>
        <v>0</v>
      </c>
      <c r="O43" s="58">
        <f>'Dala Sales &amp; Deliveries'!L5</f>
        <v>0</v>
      </c>
      <c r="P43" s="61">
        <f t="shared" si="4"/>
        <v>0</v>
      </c>
      <c r="Q43" s="58">
        <f>'External Delivery Fulfillment'!L5</f>
        <v>0</v>
      </c>
      <c r="R43" s="61">
        <f t="shared" si="5"/>
        <v>0</v>
      </c>
      <c r="S43" s="58">
        <f>'Forwarding From Client'!L5</f>
        <v>0</v>
      </c>
      <c r="T43" s="61">
        <f t="shared" si="6"/>
        <v>0</v>
      </c>
      <c r="U43" s="58">
        <f>'Dala Restocking'!L5</f>
        <v>0</v>
      </c>
      <c r="V43" s="61">
        <f t="shared" si="7"/>
        <v>0</v>
      </c>
      <c r="W43" s="58">
        <f>'Client Restocking'!L5</f>
        <v>0</v>
      </c>
    </row>
    <row r="44">
      <c r="B44" s="96"/>
      <c r="C44" s="97"/>
      <c r="D44" s="96"/>
      <c r="E44" s="97"/>
      <c r="F44" s="98"/>
      <c r="G44" s="61">
        <f t="shared" si="1"/>
        <v>0</v>
      </c>
      <c r="H44" s="98"/>
      <c r="I44" s="98"/>
      <c r="J44" s="98"/>
      <c r="K44" s="98"/>
      <c r="L44" s="95">
        <f t="shared" ref="L44:L68" si="8">H44+U44+W44-O44-Q44-I44-J44</f>
        <v>0</v>
      </c>
      <c r="M44" s="58">
        <f t="shared" si="2"/>
        <v>0</v>
      </c>
      <c r="N44" s="61">
        <f t="shared" si="3"/>
        <v>0</v>
      </c>
      <c r="O44" s="58">
        <f>'Dala Sales &amp; Deliveries'!L6</f>
        <v>0</v>
      </c>
      <c r="P44" s="61">
        <f t="shared" si="4"/>
        <v>0</v>
      </c>
      <c r="Q44" s="58">
        <f>'External Delivery Fulfillment'!L6</f>
        <v>0</v>
      </c>
      <c r="R44" s="61">
        <f t="shared" si="5"/>
        <v>0</v>
      </c>
      <c r="S44" s="58">
        <f>'Forwarding From Client'!L6</f>
        <v>0</v>
      </c>
      <c r="T44" s="61">
        <f t="shared" si="6"/>
        <v>0</v>
      </c>
      <c r="U44" s="58">
        <f>'Dala Restocking'!L6</f>
        <v>0</v>
      </c>
      <c r="V44" s="61">
        <f t="shared" si="7"/>
        <v>0</v>
      </c>
      <c r="W44" s="58">
        <f>'Client Restocking'!L6</f>
        <v>0</v>
      </c>
    </row>
    <row r="45">
      <c r="B45" s="96"/>
      <c r="C45" s="97"/>
      <c r="D45" s="96"/>
      <c r="E45" s="97"/>
      <c r="F45" s="98"/>
      <c r="G45" s="61">
        <f t="shared" si="1"/>
        <v>0</v>
      </c>
      <c r="H45" s="98"/>
      <c r="I45" s="98"/>
      <c r="J45" s="98"/>
      <c r="K45" s="98"/>
      <c r="L45" s="95">
        <f t="shared" si="8"/>
        <v>0</v>
      </c>
      <c r="M45" s="58">
        <f t="shared" si="2"/>
        <v>0</v>
      </c>
      <c r="N45" s="61">
        <f t="shared" si="3"/>
        <v>0</v>
      </c>
      <c r="O45" s="58">
        <f>'Dala Sales &amp; Deliveries'!L7</f>
        <v>0</v>
      </c>
      <c r="P45" s="61">
        <f t="shared" si="4"/>
        <v>0</v>
      </c>
      <c r="Q45" s="58">
        <f>'External Delivery Fulfillment'!L7</f>
        <v>0</v>
      </c>
      <c r="R45" s="61">
        <f t="shared" si="5"/>
        <v>0</v>
      </c>
      <c r="S45" s="58">
        <f>'Forwarding From Client'!L7</f>
        <v>0</v>
      </c>
      <c r="T45" s="61">
        <f t="shared" si="6"/>
        <v>0</v>
      </c>
      <c r="U45" s="58">
        <f>'Dala Restocking'!L7</f>
        <v>0</v>
      </c>
      <c r="V45" s="61">
        <f t="shared" si="7"/>
        <v>0</v>
      </c>
      <c r="W45" s="58">
        <f>'Client Restocking'!L7</f>
        <v>0</v>
      </c>
    </row>
    <row r="46">
      <c r="B46" s="96"/>
      <c r="C46" s="97"/>
      <c r="D46" s="96"/>
      <c r="E46" s="97"/>
      <c r="F46" s="98"/>
      <c r="G46" s="61">
        <f t="shared" si="1"/>
        <v>0</v>
      </c>
      <c r="H46" s="98"/>
      <c r="I46" s="98"/>
      <c r="J46" s="98"/>
      <c r="K46" s="98"/>
      <c r="L46" s="95">
        <f t="shared" si="8"/>
        <v>0</v>
      </c>
      <c r="M46" s="58">
        <f t="shared" si="2"/>
        <v>0</v>
      </c>
      <c r="N46" s="61">
        <f t="shared" si="3"/>
        <v>0</v>
      </c>
      <c r="O46" s="58">
        <f>'Dala Sales &amp; Deliveries'!L8</f>
        <v>0</v>
      </c>
      <c r="P46" s="61">
        <f t="shared" si="4"/>
        <v>0</v>
      </c>
      <c r="Q46" s="58">
        <f>'External Delivery Fulfillment'!L8</f>
        <v>0</v>
      </c>
      <c r="R46" s="61">
        <f t="shared" si="5"/>
        <v>0</v>
      </c>
      <c r="S46" s="58">
        <f>'Forwarding From Client'!L8</f>
        <v>0</v>
      </c>
      <c r="T46" s="61">
        <f t="shared" si="6"/>
        <v>0</v>
      </c>
      <c r="U46" s="58">
        <f>'Dala Restocking'!L8</f>
        <v>0</v>
      </c>
      <c r="V46" s="61">
        <f t="shared" si="7"/>
        <v>0</v>
      </c>
      <c r="W46" s="58">
        <f>'Client Restocking'!L8</f>
        <v>0</v>
      </c>
    </row>
    <row r="47">
      <c r="B47" s="96"/>
      <c r="C47" s="97"/>
      <c r="D47" s="96"/>
      <c r="E47" s="97"/>
      <c r="F47" s="98"/>
      <c r="G47" s="61">
        <f t="shared" si="1"/>
        <v>0</v>
      </c>
      <c r="H47" s="98"/>
      <c r="I47" s="98"/>
      <c r="J47" s="98"/>
      <c r="K47" s="98"/>
      <c r="L47" s="95">
        <f t="shared" si="8"/>
        <v>0</v>
      </c>
      <c r="M47" s="58">
        <f t="shared" si="2"/>
        <v>0</v>
      </c>
      <c r="N47" s="61">
        <f t="shared" si="3"/>
        <v>0</v>
      </c>
      <c r="O47" s="58">
        <f>'Dala Sales &amp; Deliveries'!L9</f>
        <v>0</v>
      </c>
      <c r="P47" s="61">
        <f t="shared" si="4"/>
        <v>0</v>
      </c>
      <c r="Q47" s="58">
        <f>'External Delivery Fulfillment'!L9</f>
        <v>0</v>
      </c>
      <c r="R47" s="61">
        <f t="shared" si="5"/>
        <v>0</v>
      </c>
      <c r="S47" s="58">
        <f>'Forwarding From Client'!L9</f>
        <v>0</v>
      </c>
      <c r="T47" s="61">
        <f t="shared" si="6"/>
        <v>0</v>
      </c>
      <c r="U47" s="58">
        <f>'Dala Restocking'!L9</f>
        <v>0</v>
      </c>
      <c r="V47" s="61">
        <f t="shared" si="7"/>
        <v>0</v>
      </c>
      <c r="W47" s="58">
        <f>'Client Restocking'!L9</f>
        <v>0</v>
      </c>
    </row>
    <row r="48">
      <c r="B48" s="96"/>
      <c r="C48" s="97"/>
      <c r="D48" s="96"/>
      <c r="E48" s="97"/>
      <c r="F48" s="98"/>
      <c r="G48" s="61">
        <f t="shared" si="1"/>
        <v>0</v>
      </c>
      <c r="H48" s="98"/>
      <c r="I48" s="98"/>
      <c r="J48" s="98"/>
      <c r="K48" s="98"/>
      <c r="L48" s="95">
        <f t="shared" si="8"/>
        <v>0</v>
      </c>
      <c r="M48" s="58">
        <f t="shared" si="2"/>
        <v>0</v>
      </c>
      <c r="N48" s="61">
        <f t="shared" si="3"/>
        <v>0</v>
      </c>
      <c r="O48" s="58">
        <f>'Dala Sales &amp; Deliveries'!L10</f>
        <v>0</v>
      </c>
      <c r="P48" s="61">
        <f t="shared" si="4"/>
        <v>0</v>
      </c>
      <c r="Q48" s="58">
        <f>'External Delivery Fulfillment'!L10</f>
        <v>0</v>
      </c>
      <c r="R48" s="61">
        <f t="shared" si="5"/>
        <v>0</v>
      </c>
      <c r="S48" s="58">
        <f>'Forwarding From Client'!L10</f>
        <v>0</v>
      </c>
      <c r="T48" s="61">
        <f t="shared" si="6"/>
        <v>0</v>
      </c>
      <c r="U48" s="58">
        <f>'Dala Restocking'!L10</f>
        <v>0</v>
      </c>
      <c r="V48" s="61">
        <f t="shared" si="7"/>
        <v>0</v>
      </c>
      <c r="W48" s="58">
        <f>'Client Restocking'!L10</f>
        <v>0</v>
      </c>
    </row>
    <row r="49">
      <c r="B49" s="96"/>
      <c r="C49" s="97"/>
      <c r="D49" s="96"/>
      <c r="E49" s="97"/>
      <c r="F49" s="98"/>
      <c r="G49" s="61">
        <f t="shared" si="1"/>
        <v>0</v>
      </c>
      <c r="H49" s="98"/>
      <c r="I49" s="98"/>
      <c r="J49" s="98"/>
      <c r="K49" s="98"/>
      <c r="L49" s="95">
        <f t="shared" si="8"/>
        <v>0</v>
      </c>
      <c r="M49" s="58">
        <f t="shared" si="2"/>
        <v>0</v>
      </c>
      <c r="N49" s="61">
        <f t="shared" si="3"/>
        <v>0</v>
      </c>
      <c r="O49" s="58">
        <f>'Dala Sales &amp; Deliveries'!L11</f>
        <v>0</v>
      </c>
      <c r="P49" s="61">
        <f t="shared" si="4"/>
        <v>0</v>
      </c>
      <c r="Q49" s="58">
        <f>'External Delivery Fulfillment'!L11</f>
        <v>0</v>
      </c>
      <c r="R49" s="61">
        <f t="shared" si="5"/>
        <v>0</v>
      </c>
      <c r="S49" s="58">
        <f>'Forwarding From Client'!L11</f>
        <v>0</v>
      </c>
      <c r="T49" s="61">
        <f t="shared" si="6"/>
        <v>0</v>
      </c>
      <c r="U49" s="58">
        <f>'Dala Restocking'!L11</f>
        <v>0</v>
      </c>
      <c r="V49" s="61">
        <f t="shared" si="7"/>
        <v>0</v>
      </c>
      <c r="W49" s="58">
        <f>'Client Restocking'!L11</f>
        <v>0</v>
      </c>
    </row>
    <row r="50">
      <c r="B50" s="96"/>
      <c r="C50" s="97"/>
      <c r="D50" s="96"/>
      <c r="E50" s="97"/>
      <c r="F50" s="98"/>
      <c r="G50" s="61">
        <f t="shared" si="1"/>
        <v>0</v>
      </c>
      <c r="H50" s="98"/>
      <c r="I50" s="98"/>
      <c r="J50" s="98"/>
      <c r="K50" s="98"/>
      <c r="L50" s="95">
        <f t="shared" si="8"/>
        <v>0</v>
      </c>
      <c r="M50" s="58">
        <f t="shared" si="2"/>
        <v>0</v>
      </c>
      <c r="N50" s="61">
        <f t="shared" si="3"/>
        <v>0</v>
      </c>
      <c r="O50" s="58">
        <f>'Dala Sales &amp; Deliveries'!L12</f>
        <v>0</v>
      </c>
      <c r="P50" s="61">
        <f t="shared" si="4"/>
        <v>0</v>
      </c>
      <c r="Q50" s="58">
        <f>'External Delivery Fulfillment'!L12</f>
        <v>0</v>
      </c>
      <c r="R50" s="61">
        <f t="shared" si="5"/>
        <v>0</v>
      </c>
      <c r="S50" s="58">
        <f>'Forwarding From Client'!L12</f>
        <v>0</v>
      </c>
      <c r="T50" s="61">
        <f t="shared" si="6"/>
        <v>0</v>
      </c>
      <c r="U50" s="58">
        <f>'Dala Restocking'!L12</f>
        <v>0</v>
      </c>
      <c r="V50" s="61">
        <f t="shared" si="7"/>
        <v>0</v>
      </c>
      <c r="W50" s="58">
        <f>'Client Restocking'!L12</f>
        <v>0</v>
      </c>
    </row>
    <row r="51">
      <c r="B51" s="96"/>
      <c r="C51" s="97"/>
      <c r="D51" s="96"/>
      <c r="E51" s="97"/>
      <c r="F51" s="98"/>
      <c r="G51" s="61">
        <f t="shared" si="1"/>
        <v>0</v>
      </c>
      <c r="H51" s="98"/>
      <c r="I51" s="98"/>
      <c r="J51" s="98"/>
      <c r="K51" s="98"/>
      <c r="L51" s="95">
        <f t="shared" si="8"/>
        <v>0</v>
      </c>
      <c r="M51" s="58">
        <f t="shared" si="2"/>
        <v>0</v>
      </c>
      <c r="N51" s="61">
        <f t="shared" si="3"/>
        <v>0</v>
      </c>
      <c r="O51" s="58">
        <f>'Dala Sales &amp; Deliveries'!L13</f>
        <v>0</v>
      </c>
      <c r="P51" s="61">
        <f t="shared" si="4"/>
        <v>0</v>
      </c>
      <c r="Q51" s="58">
        <f>'External Delivery Fulfillment'!L13</f>
        <v>0</v>
      </c>
      <c r="R51" s="61">
        <f t="shared" si="5"/>
        <v>0</v>
      </c>
      <c r="S51" s="58">
        <f>'Forwarding From Client'!L13</f>
        <v>0</v>
      </c>
      <c r="T51" s="61">
        <f t="shared" si="6"/>
        <v>0</v>
      </c>
      <c r="U51" s="58">
        <f>'Dala Restocking'!L13</f>
        <v>0</v>
      </c>
      <c r="V51" s="61">
        <f t="shared" si="7"/>
        <v>0</v>
      </c>
      <c r="W51" s="58">
        <f>'Client Restocking'!L13</f>
        <v>0</v>
      </c>
    </row>
    <row r="52">
      <c r="B52" s="98"/>
      <c r="C52" s="98"/>
      <c r="D52" s="98"/>
      <c r="E52" s="98"/>
      <c r="F52" s="98"/>
      <c r="G52" s="61">
        <f t="shared" si="1"/>
        <v>0</v>
      </c>
      <c r="H52" s="98"/>
      <c r="I52" s="98"/>
      <c r="J52" s="98"/>
      <c r="K52" s="98"/>
      <c r="L52" s="59">
        <f t="shared" si="8"/>
        <v>0</v>
      </c>
      <c r="M52" s="61">
        <f t="shared" si="2"/>
        <v>0</v>
      </c>
      <c r="N52" s="61">
        <f t="shared" si="3"/>
        <v>0</v>
      </c>
      <c r="O52" s="61" t="str">
        <f>'Dala Sales &amp; Deliveries'!L14</f>
        <v/>
      </c>
      <c r="P52" s="61">
        <f t="shared" si="4"/>
        <v>0</v>
      </c>
      <c r="Q52" s="61" t="str">
        <f>'External Delivery Fulfillment'!L14</f>
        <v/>
      </c>
      <c r="R52" s="61">
        <f t="shared" si="5"/>
        <v>0</v>
      </c>
      <c r="S52" s="61" t="str">
        <f>'Forwarding From Client'!L14</f>
        <v/>
      </c>
      <c r="T52" s="61">
        <f t="shared" si="6"/>
        <v>0</v>
      </c>
      <c r="U52" s="61" t="str">
        <f>'Dala Restocking'!L14</f>
        <v/>
      </c>
      <c r="V52" s="61">
        <f t="shared" si="7"/>
        <v>0</v>
      </c>
      <c r="W52" s="61" t="str">
        <f>'Client Restocking'!L14</f>
        <v/>
      </c>
    </row>
    <row r="53">
      <c r="B53" s="98"/>
      <c r="C53" s="98"/>
      <c r="D53" s="98"/>
      <c r="E53" s="98"/>
      <c r="F53" s="98"/>
      <c r="G53" s="61">
        <f t="shared" si="1"/>
        <v>0</v>
      </c>
      <c r="H53" s="98"/>
      <c r="I53" s="98"/>
      <c r="J53" s="98"/>
      <c r="K53" s="98"/>
      <c r="L53" s="59">
        <f t="shared" si="8"/>
        <v>0</v>
      </c>
      <c r="M53" s="61">
        <f t="shared" si="2"/>
        <v>0</v>
      </c>
      <c r="N53" s="61">
        <f t="shared" si="3"/>
        <v>0</v>
      </c>
      <c r="O53" s="61" t="str">
        <f>'Dala Sales &amp; Deliveries'!L15</f>
        <v/>
      </c>
      <c r="P53" s="61">
        <f t="shared" si="4"/>
        <v>0</v>
      </c>
      <c r="Q53" s="61" t="str">
        <f>'External Delivery Fulfillment'!L15</f>
        <v/>
      </c>
      <c r="R53" s="61">
        <f t="shared" si="5"/>
        <v>0</v>
      </c>
      <c r="S53" s="61" t="str">
        <f>'Forwarding From Client'!L15</f>
        <v/>
      </c>
      <c r="T53" s="61">
        <f t="shared" si="6"/>
        <v>0</v>
      </c>
      <c r="U53" s="61" t="str">
        <f>'Dala Restocking'!L15</f>
        <v/>
      </c>
      <c r="V53" s="61">
        <f t="shared" si="7"/>
        <v>0</v>
      </c>
      <c r="W53" s="61" t="str">
        <f>'Client Restocking'!L15</f>
        <v/>
      </c>
    </row>
    <row r="54">
      <c r="B54" s="98"/>
      <c r="C54" s="98"/>
      <c r="D54" s="98"/>
      <c r="E54" s="98"/>
      <c r="F54" s="98"/>
      <c r="G54" s="61">
        <f t="shared" si="1"/>
        <v>0</v>
      </c>
      <c r="H54" s="98"/>
      <c r="I54" s="98"/>
      <c r="J54" s="98"/>
      <c r="K54" s="98"/>
      <c r="L54" s="59">
        <f t="shared" si="8"/>
        <v>0</v>
      </c>
      <c r="M54" s="61">
        <f t="shared" si="2"/>
        <v>0</v>
      </c>
      <c r="N54" s="61">
        <f t="shared" si="3"/>
        <v>0</v>
      </c>
      <c r="O54" s="61" t="str">
        <f>'Dala Sales &amp; Deliveries'!L16</f>
        <v/>
      </c>
      <c r="P54" s="61">
        <f t="shared" si="4"/>
        <v>0</v>
      </c>
      <c r="Q54" s="61" t="str">
        <f>'External Delivery Fulfillment'!L16</f>
        <v/>
      </c>
      <c r="R54" s="61">
        <f t="shared" si="5"/>
        <v>0</v>
      </c>
      <c r="S54" s="61" t="str">
        <f>'Forwarding From Client'!L16</f>
        <v/>
      </c>
      <c r="T54" s="61">
        <f t="shared" si="6"/>
        <v>0</v>
      </c>
      <c r="U54" s="61" t="str">
        <f>'Dala Restocking'!L16</f>
        <v/>
      </c>
      <c r="V54" s="61">
        <f t="shared" si="7"/>
        <v>0</v>
      </c>
      <c r="W54" s="61" t="str">
        <f>'Client Restocking'!L16</f>
        <v/>
      </c>
    </row>
    <row r="55">
      <c r="B55" s="98"/>
      <c r="C55" s="98"/>
      <c r="D55" s="98"/>
      <c r="E55" s="98"/>
      <c r="F55" s="98"/>
      <c r="G55" s="61">
        <f t="shared" si="1"/>
        <v>0</v>
      </c>
      <c r="H55" s="98"/>
      <c r="I55" s="98"/>
      <c r="J55" s="98"/>
      <c r="K55" s="98"/>
      <c r="L55" s="59">
        <f t="shared" si="8"/>
        <v>0</v>
      </c>
      <c r="M55" s="61">
        <f t="shared" si="2"/>
        <v>0</v>
      </c>
      <c r="N55" s="61">
        <f t="shared" si="3"/>
        <v>0</v>
      </c>
      <c r="O55" s="61" t="str">
        <f>'Dala Sales &amp; Deliveries'!L17</f>
        <v/>
      </c>
      <c r="P55" s="61">
        <f t="shared" si="4"/>
        <v>0</v>
      </c>
      <c r="Q55" s="61" t="str">
        <f>'External Delivery Fulfillment'!L17</f>
        <v/>
      </c>
      <c r="R55" s="61">
        <f t="shared" si="5"/>
        <v>0</v>
      </c>
      <c r="S55" s="61" t="str">
        <f>'Forwarding From Client'!L17</f>
        <v/>
      </c>
      <c r="T55" s="61">
        <f t="shared" si="6"/>
        <v>0</v>
      </c>
      <c r="U55" s="61" t="str">
        <f>'Dala Restocking'!L17</f>
        <v/>
      </c>
      <c r="V55" s="61">
        <f t="shared" si="7"/>
        <v>0</v>
      </c>
      <c r="W55" s="61" t="str">
        <f>'Client Restocking'!L17</f>
        <v/>
      </c>
    </row>
    <row r="56">
      <c r="B56" s="98"/>
      <c r="C56" s="98"/>
      <c r="D56" s="98"/>
      <c r="E56" s="98"/>
      <c r="F56" s="98"/>
      <c r="G56" s="61">
        <f t="shared" si="1"/>
        <v>0</v>
      </c>
      <c r="H56" s="98"/>
      <c r="I56" s="98"/>
      <c r="J56" s="98"/>
      <c r="K56" s="98"/>
      <c r="L56" s="59">
        <f t="shared" si="8"/>
        <v>0</v>
      </c>
      <c r="M56" s="61">
        <f t="shared" si="2"/>
        <v>0</v>
      </c>
      <c r="N56" s="61">
        <f t="shared" si="3"/>
        <v>0</v>
      </c>
      <c r="O56" s="61" t="str">
        <f>'Dala Sales &amp; Deliveries'!L18</f>
        <v/>
      </c>
      <c r="P56" s="61">
        <f t="shared" si="4"/>
        <v>0</v>
      </c>
      <c r="Q56" s="61" t="str">
        <f>'External Delivery Fulfillment'!L18</f>
        <v/>
      </c>
      <c r="R56" s="61">
        <f t="shared" si="5"/>
        <v>0</v>
      </c>
      <c r="S56" s="61" t="str">
        <f>'Forwarding From Client'!L18</f>
        <v/>
      </c>
      <c r="T56" s="61">
        <f t="shared" si="6"/>
        <v>0</v>
      </c>
      <c r="U56" s="61" t="str">
        <f>'Dala Restocking'!L18</f>
        <v/>
      </c>
      <c r="V56" s="61">
        <f t="shared" si="7"/>
        <v>0</v>
      </c>
      <c r="W56" s="61" t="str">
        <f>'Client Restocking'!L18</f>
        <v/>
      </c>
    </row>
    <row r="57">
      <c r="B57" s="98"/>
      <c r="C57" s="98"/>
      <c r="D57" s="98"/>
      <c r="E57" s="98"/>
      <c r="F57" s="98"/>
      <c r="G57" s="61">
        <f t="shared" si="1"/>
        <v>0</v>
      </c>
      <c r="H57" s="98"/>
      <c r="I57" s="98"/>
      <c r="J57" s="98"/>
      <c r="K57" s="98"/>
      <c r="L57" s="59">
        <f t="shared" si="8"/>
        <v>0</v>
      </c>
      <c r="M57" s="61">
        <f t="shared" si="2"/>
        <v>0</v>
      </c>
      <c r="N57" s="61">
        <f t="shared" si="3"/>
        <v>0</v>
      </c>
      <c r="O57" s="61" t="str">
        <f>'Dala Sales &amp; Deliveries'!L19</f>
        <v/>
      </c>
      <c r="P57" s="61">
        <f t="shared" si="4"/>
        <v>0</v>
      </c>
      <c r="Q57" s="61" t="str">
        <f>'External Delivery Fulfillment'!L19</f>
        <v/>
      </c>
      <c r="R57" s="61">
        <f t="shared" si="5"/>
        <v>0</v>
      </c>
      <c r="S57" s="61" t="str">
        <f>'Forwarding From Client'!L19</f>
        <v/>
      </c>
      <c r="T57" s="61">
        <f t="shared" si="6"/>
        <v>0</v>
      </c>
      <c r="U57" s="61" t="str">
        <f>'Dala Restocking'!L19</f>
        <v/>
      </c>
      <c r="V57" s="61">
        <f t="shared" si="7"/>
        <v>0</v>
      </c>
      <c r="W57" s="61" t="str">
        <f>'Client Restocking'!L19</f>
        <v/>
      </c>
    </row>
    <row r="58">
      <c r="B58" s="98"/>
      <c r="C58" s="98"/>
      <c r="D58" s="98"/>
      <c r="E58" s="98"/>
      <c r="F58" s="98"/>
      <c r="G58" s="61">
        <f t="shared" si="1"/>
        <v>0</v>
      </c>
      <c r="H58" s="98"/>
      <c r="I58" s="98"/>
      <c r="J58" s="98"/>
      <c r="K58" s="98"/>
      <c r="L58" s="59">
        <f t="shared" si="8"/>
        <v>0</v>
      </c>
      <c r="M58" s="61">
        <f t="shared" si="2"/>
        <v>0</v>
      </c>
      <c r="N58" s="61">
        <f t="shared" si="3"/>
        <v>0</v>
      </c>
      <c r="O58" s="61" t="str">
        <f>'Dala Sales &amp; Deliveries'!L20</f>
        <v/>
      </c>
      <c r="P58" s="61">
        <f t="shared" si="4"/>
        <v>0</v>
      </c>
      <c r="Q58" s="61" t="str">
        <f>'External Delivery Fulfillment'!L20</f>
        <v/>
      </c>
      <c r="R58" s="61">
        <f t="shared" si="5"/>
        <v>0</v>
      </c>
      <c r="S58" s="61" t="str">
        <f>'Forwarding From Client'!L20</f>
        <v/>
      </c>
      <c r="T58" s="61">
        <f t="shared" si="6"/>
        <v>0</v>
      </c>
      <c r="U58" s="61" t="str">
        <f>'Dala Restocking'!L20</f>
        <v/>
      </c>
      <c r="V58" s="61">
        <f t="shared" si="7"/>
        <v>0</v>
      </c>
      <c r="W58" s="61" t="str">
        <f>'Client Restocking'!L20</f>
        <v/>
      </c>
    </row>
    <row r="59">
      <c r="B59" s="98"/>
      <c r="C59" s="98"/>
      <c r="D59" s="98"/>
      <c r="E59" s="98"/>
      <c r="F59" s="98"/>
      <c r="G59" s="61">
        <f t="shared" si="1"/>
        <v>0</v>
      </c>
      <c r="H59" s="98"/>
      <c r="I59" s="98"/>
      <c r="J59" s="98"/>
      <c r="K59" s="98"/>
      <c r="L59" s="59">
        <f t="shared" si="8"/>
        <v>0</v>
      </c>
      <c r="M59" s="61">
        <f t="shared" si="2"/>
        <v>0</v>
      </c>
      <c r="N59" s="61">
        <f t="shared" si="3"/>
        <v>0</v>
      </c>
      <c r="O59" s="61" t="str">
        <f>'Dala Sales &amp; Deliveries'!L21</f>
        <v/>
      </c>
      <c r="P59" s="61">
        <f t="shared" si="4"/>
        <v>0</v>
      </c>
      <c r="Q59" s="61" t="str">
        <f>'External Delivery Fulfillment'!L21</f>
        <v/>
      </c>
      <c r="R59" s="61">
        <f t="shared" si="5"/>
        <v>0</v>
      </c>
      <c r="S59" s="61" t="str">
        <f>'Forwarding From Client'!L21</f>
        <v/>
      </c>
      <c r="T59" s="61">
        <f t="shared" si="6"/>
        <v>0</v>
      </c>
      <c r="U59" s="61" t="str">
        <f>'Dala Restocking'!L21</f>
        <v/>
      </c>
      <c r="V59" s="61">
        <f t="shared" si="7"/>
        <v>0</v>
      </c>
      <c r="W59" s="61" t="str">
        <f>'Client Restocking'!L21</f>
        <v/>
      </c>
    </row>
    <row r="60">
      <c r="B60" s="98"/>
      <c r="C60" s="98"/>
      <c r="D60" s="98"/>
      <c r="E60" s="98"/>
      <c r="F60" s="98"/>
      <c r="G60" s="61">
        <f t="shared" si="1"/>
        <v>0</v>
      </c>
      <c r="H60" s="98"/>
      <c r="I60" s="98"/>
      <c r="J60" s="98"/>
      <c r="K60" s="98"/>
      <c r="L60" s="59">
        <f t="shared" si="8"/>
        <v>0</v>
      </c>
      <c r="M60" s="61">
        <f t="shared" si="2"/>
        <v>0</v>
      </c>
      <c r="N60" s="61">
        <f t="shared" si="3"/>
        <v>0</v>
      </c>
      <c r="O60" s="61" t="str">
        <f>'Dala Sales &amp; Deliveries'!L22</f>
        <v/>
      </c>
      <c r="P60" s="61">
        <f t="shared" si="4"/>
        <v>0</v>
      </c>
      <c r="Q60" s="61" t="str">
        <f>'External Delivery Fulfillment'!L22</f>
        <v/>
      </c>
      <c r="R60" s="61">
        <f t="shared" si="5"/>
        <v>0</v>
      </c>
      <c r="S60" s="61" t="str">
        <f>'Forwarding From Client'!L22</f>
        <v/>
      </c>
      <c r="T60" s="61">
        <f t="shared" si="6"/>
        <v>0</v>
      </c>
      <c r="U60" s="61" t="str">
        <f>'Dala Restocking'!L22</f>
        <v/>
      </c>
      <c r="V60" s="61">
        <f t="shared" si="7"/>
        <v>0</v>
      </c>
      <c r="W60" s="61" t="str">
        <f>'Client Restocking'!L22</f>
        <v/>
      </c>
    </row>
    <row r="61">
      <c r="B61" s="98"/>
      <c r="C61" s="98"/>
      <c r="D61" s="98"/>
      <c r="E61" s="98"/>
      <c r="F61" s="98"/>
      <c r="G61" s="61">
        <f t="shared" si="1"/>
        <v>0</v>
      </c>
      <c r="H61" s="98"/>
      <c r="I61" s="98"/>
      <c r="J61" s="98"/>
      <c r="K61" s="98"/>
      <c r="L61" s="59">
        <f t="shared" si="8"/>
        <v>0</v>
      </c>
      <c r="M61" s="61">
        <f t="shared" si="2"/>
        <v>0</v>
      </c>
      <c r="N61" s="61">
        <f t="shared" si="3"/>
        <v>0</v>
      </c>
      <c r="O61" s="61" t="str">
        <f>'Dala Sales &amp; Deliveries'!L23</f>
        <v/>
      </c>
      <c r="P61" s="61">
        <f t="shared" si="4"/>
        <v>0</v>
      </c>
      <c r="Q61" s="61" t="str">
        <f>'External Delivery Fulfillment'!L23</f>
        <v/>
      </c>
      <c r="R61" s="61">
        <f t="shared" si="5"/>
        <v>0</v>
      </c>
      <c r="S61" s="61" t="str">
        <f>'Forwarding From Client'!L23</f>
        <v/>
      </c>
      <c r="T61" s="61">
        <f t="shared" si="6"/>
        <v>0</v>
      </c>
      <c r="U61" s="61" t="str">
        <f>'Dala Restocking'!L23</f>
        <v/>
      </c>
      <c r="V61" s="61">
        <f t="shared" si="7"/>
        <v>0</v>
      </c>
      <c r="W61" s="61" t="str">
        <f>'Client Restocking'!L23</f>
        <v/>
      </c>
    </row>
    <row r="62">
      <c r="B62" s="98"/>
      <c r="C62" s="98"/>
      <c r="D62" s="98"/>
      <c r="E62" s="98"/>
      <c r="F62" s="98"/>
      <c r="G62" s="61">
        <f t="shared" si="1"/>
        <v>0</v>
      </c>
      <c r="H62" s="98"/>
      <c r="I62" s="98"/>
      <c r="J62" s="98"/>
      <c r="K62" s="98"/>
      <c r="L62" s="59">
        <f t="shared" si="8"/>
        <v>0</v>
      </c>
      <c r="M62" s="61">
        <f t="shared" si="2"/>
        <v>0</v>
      </c>
      <c r="N62" s="61">
        <f t="shared" si="3"/>
        <v>0</v>
      </c>
      <c r="O62" s="61" t="str">
        <f>'Dala Sales &amp; Deliveries'!L24</f>
        <v/>
      </c>
      <c r="P62" s="61">
        <f t="shared" si="4"/>
        <v>0</v>
      </c>
      <c r="Q62" s="61" t="str">
        <f>'External Delivery Fulfillment'!L24</f>
        <v/>
      </c>
      <c r="R62" s="61">
        <f t="shared" si="5"/>
        <v>0</v>
      </c>
      <c r="S62" s="61" t="str">
        <f>'Forwarding From Client'!L24</f>
        <v/>
      </c>
      <c r="T62" s="61">
        <f t="shared" si="6"/>
        <v>0</v>
      </c>
      <c r="U62" s="61" t="str">
        <f>'Dala Restocking'!L24</f>
        <v/>
      </c>
      <c r="V62" s="61">
        <f t="shared" si="7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1"/>
        <v>0</v>
      </c>
      <c r="H63" s="98"/>
      <c r="I63" s="98"/>
      <c r="J63" s="98"/>
      <c r="K63" s="98"/>
      <c r="L63" s="59">
        <f t="shared" si="8"/>
        <v>0</v>
      </c>
      <c r="M63" s="61">
        <f t="shared" si="2"/>
        <v>0</v>
      </c>
      <c r="N63" s="61">
        <f t="shared" si="3"/>
        <v>0</v>
      </c>
      <c r="O63" s="61" t="str">
        <f>'Dala Sales &amp; Deliveries'!L25</f>
        <v/>
      </c>
      <c r="P63" s="61">
        <f t="shared" si="4"/>
        <v>0</v>
      </c>
      <c r="Q63" s="61" t="str">
        <f>'External Delivery Fulfillment'!L25</f>
        <v/>
      </c>
      <c r="R63" s="61">
        <f t="shared" si="5"/>
        <v>0</v>
      </c>
      <c r="S63" s="61" t="str">
        <f>'Forwarding From Client'!L25</f>
        <v/>
      </c>
      <c r="T63" s="61">
        <f t="shared" si="6"/>
        <v>0</v>
      </c>
      <c r="U63" s="61" t="str">
        <f>'Dala Restocking'!L25</f>
        <v/>
      </c>
      <c r="V63" s="61">
        <f t="shared" si="7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1"/>
        <v>0</v>
      </c>
      <c r="H64" s="98"/>
      <c r="I64" s="98"/>
      <c r="J64" s="98"/>
      <c r="K64" s="98"/>
      <c r="L64" s="59">
        <f t="shared" si="8"/>
        <v>0</v>
      </c>
      <c r="M64" s="61">
        <f t="shared" si="2"/>
        <v>0</v>
      </c>
      <c r="N64" s="61">
        <f t="shared" si="3"/>
        <v>0</v>
      </c>
      <c r="O64" s="61" t="str">
        <f>'Dala Sales &amp; Deliveries'!L26</f>
        <v/>
      </c>
      <c r="P64" s="61">
        <f t="shared" si="4"/>
        <v>0</v>
      </c>
      <c r="Q64" s="61" t="str">
        <f>'External Delivery Fulfillment'!L26</f>
        <v/>
      </c>
      <c r="R64" s="61">
        <f t="shared" si="5"/>
        <v>0</v>
      </c>
      <c r="S64" s="61" t="str">
        <f>'Forwarding From Client'!L26</f>
        <v/>
      </c>
      <c r="T64" s="61">
        <f t="shared" si="6"/>
        <v>0</v>
      </c>
      <c r="U64" s="61" t="str">
        <f>'Dala Restocking'!L26</f>
        <v/>
      </c>
      <c r="V64" s="61">
        <f t="shared" si="7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1"/>
        <v>0</v>
      </c>
      <c r="H65" s="98"/>
      <c r="I65" s="98"/>
      <c r="J65" s="98"/>
      <c r="K65" s="98"/>
      <c r="L65" s="59">
        <f t="shared" si="8"/>
        <v>0</v>
      </c>
      <c r="M65" s="61">
        <f t="shared" si="2"/>
        <v>0</v>
      </c>
      <c r="N65" s="61">
        <f t="shared" si="3"/>
        <v>0</v>
      </c>
      <c r="O65" s="61" t="str">
        <f>'Dala Sales &amp; Deliveries'!L27</f>
        <v/>
      </c>
      <c r="P65" s="61">
        <f t="shared" si="4"/>
        <v>0</v>
      </c>
      <c r="Q65" s="61" t="str">
        <f>'External Delivery Fulfillment'!L27</f>
        <v/>
      </c>
      <c r="R65" s="61">
        <f t="shared" si="5"/>
        <v>0</v>
      </c>
      <c r="S65" s="61" t="str">
        <f>'Forwarding From Client'!L27</f>
        <v/>
      </c>
      <c r="T65" s="61">
        <f t="shared" si="6"/>
        <v>0</v>
      </c>
      <c r="U65" s="61" t="str">
        <f>'Dala Restocking'!L27</f>
        <v/>
      </c>
      <c r="V65" s="61">
        <f t="shared" si="7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1"/>
        <v>0</v>
      </c>
      <c r="H66" s="98"/>
      <c r="I66" s="98"/>
      <c r="J66" s="98"/>
      <c r="K66" s="98"/>
      <c r="L66" s="59">
        <f t="shared" si="8"/>
        <v>0</v>
      </c>
      <c r="M66" s="61">
        <f t="shared" si="2"/>
        <v>0</v>
      </c>
      <c r="N66" s="61">
        <f t="shared" si="3"/>
        <v>0</v>
      </c>
      <c r="O66" s="61" t="str">
        <f>'Dala Sales &amp; Deliveries'!L28</f>
        <v/>
      </c>
      <c r="P66" s="61">
        <f t="shared" si="4"/>
        <v>0</v>
      </c>
      <c r="Q66" s="61" t="str">
        <f>'External Delivery Fulfillment'!L28</f>
        <v/>
      </c>
      <c r="R66" s="61">
        <f t="shared" si="5"/>
        <v>0</v>
      </c>
      <c r="S66" s="61" t="str">
        <f>'Forwarding From Client'!L28</f>
        <v/>
      </c>
      <c r="T66" s="61">
        <f t="shared" si="6"/>
        <v>0</v>
      </c>
      <c r="U66" s="61" t="str">
        <f>'Dala Restocking'!L28</f>
        <v/>
      </c>
      <c r="V66" s="61">
        <f t="shared" si="7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1"/>
        <v>0</v>
      </c>
      <c r="H67" s="98"/>
      <c r="I67" s="98"/>
      <c r="J67" s="98"/>
      <c r="K67" s="98"/>
      <c r="L67" s="59">
        <f t="shared" si="8"/>
        <v>0</v>
      </c>
      <c r="M67" s="61">
        <f t="shared" si="2"/>
        <v>0</v>
      </c>
      <c r="N67" s="61">
        <f t="shared" si="3"/>
        <v>0</v>
      </c>
      <c r="O67" s="61" t="str">
        <f>'Dala Sales &amp; Deliveries'!L29</f>
        <v/>
      </c>
      <c r="P67" s="61">
        <f t="shared" si="4"/>
        <v>0</v>
      </c>
      <c r="Q67" s="61" t="str">
        <f>'External Delivery Fulfillment'!L29</f>
        <v/>
      </c>
      <c r="R67" s="61">
        <f t="shared" si="5"/>
        <v>0</v>
      </c>
      <c r="S67" s="61" t="str">
        <f>'Forwarding From Client'!L29</f>
        <v/>
      </c>
      <c r="T67" s="61">
        <f t="shared" si="6"/>
        <v>0</v>
      </c>
      <c r="U67" s="61" t="str">
        <f>'Dala Restocking'!L29</f>
        <v/>
      </c>
      <c r="V67" s="61">
        <f t="shared" si="7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1"/>
        <v>0</v>
      </c>
      <c r="H68" s="98"/>
      <c r="I68" s="98"/>
      <c r="J68" s="98"/>
      <c r="K68" s="98"/>
      <c r="L68" s="59">
        <f t="shared" si="8"/>
        <v>0</v>
      </c>
      <c r="M68" s="61">
        <f t="shared" si="2"/>
        <v>0</v>
      </c>
      <c r="N68" s="61">
        <f t="shared" si="3"/>
        <v>0</v>
      </c>
      <c r="O68" s="61" t="str">
        <f>'Dala Sales &amp; Deliveries'!L30</f>
        <v/>
      </c>
      <c r="P68" s="61">
        <f t="shared" si="4"/>
        <v>0</v>
      </c>
      <c r="Q68" s="61" t="str">
        <f>'External Delivery Fulfillment'!L30</f>
        <v/>
      </c>
      <c r="R68" s="61">
        <f t="shared" si="5"/>
        <v>0</v>
      </c>
      <c r="S68" s="61" t="str">
        <f>'Forwarding From Client'!L30</f>
        <v/>
      </c>
      <c r="T68" s="61">
        <f t="shared" si="6"/>
        <v>0</v>
      </c>
      <c r="U68" s="61" t="str">
        <f>'Dala Restocking'!L30</f>
        <v/>
      </c>
      <c r="V68" s="61">
        <f t="shared" si="7"/>
        <v>0</v>
      </c>
      <c r="W68" s="61" t="str">
        <f>'Client Restocking'!L30</f>
        <v/>
      </c>
    </row>
    <row r="69">
      <c r="B69" s="59" t="s">
        <v>95</v>
      </c>
      <c r="C69" s="59"/>
      <c r="D69" s="59"/>
      <c r="E69" s="61"/>
      <c r="F69" s="99">
        <f t="shared" ref="F69:W69" si="9">sum(F40:F68)</f>
        <v>0</v>
      </c>
      <c r="G69" s="99">
        <f t="shared" si="9"/>
        <v>0</v>
      </c>
      <c r="H69" s="99">
        <f t="shared" si="9"/>
        <v>0</v>
      </c>
      <c r="I69" s="99">
        <f t="shared" si="9"/>
        <v>0</v>
      </c>
      <c r="J69" s="99">
        <f t="shared" si="9"/>
        <v>0</v>
      </c>
      <c r="K69" s="99">
        <f t="shared" si="9"/>
        <v>0</v>
      </c>
      <c r="L69" s="61">
        <f t="shared" si="9"/>
        <v>0</v>
      </c>
      <c r="M69" s="61">
        <f t="shared" si="9"/>
        <v>0</v>
      </c>
      <c r="N69" s="61">
        <f t="shared" si="9"/>
        <v>0</v>
      </c>
      <c r="O69" s="58">
        <f t="shared" si="9"/>
        <v>2</v>
      </c>
      <c r="P69" s="61">
        <f t="shared" si="9"/>
        <v>4700</v>
      </c>
      <c r="Q69" s="58">
        <f t="shared" si="9"/>
        <v>0</v>
      </c>
      <c r="R69" s="61">
        <f t="shared" si="9"/>
        <v>0</v>
      </c>
      <c r="S69" s="58">
        <f t="shared" si="9"/>
        <v>0</v>
      </c>
      <c r="T69" s="61">
        <f t="shared" si="9"/>
        <v>0</v>
      </c>
      <c r="U69" s="58">
        <f t="shared" si="9"/>
        <v>0</v>
      </c>
      <c r="V69" s="61">
        <f t="shared" si="9"/>
        <v>0</v>
      </c>
      <c r="W69" s="58">
        <f t="shared" si="9"/>
        <v>0.5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