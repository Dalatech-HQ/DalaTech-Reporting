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<sst xmlns="http://schemas.openxmlformats.org/spreadsheetml/2006/main" count="290" uniqueCount="89">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</sst>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13"/>
      <c r="J3" s="14"/>
      <c r="K3" s="15"/>
      <c r="L3" s="15"/>
      <c r="M3" s="16"/>
      <c r="N3" s="17"/>
      <c r="O3" s="18"/>
      <c r="P3" s="7">
        <f t="shared" ref="P3:P22" si="1">SUMIF(M:M,M3,O:O)</f>
        <v>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25"/>
      <c r="AP3" s="21"/>
      <c r="AQ3" s="22"/>
      <c r="AR3" s="22"/>
      <c r="AS3" s="2"/>
      <c r="AT3" s="26"/>
      <c r="AU3" s="27"/>
    </row>
    <row r="4">
      <c r="A4" s="13"/>
      <c r="B4" s="14"/>
      <c r="C4" s="15"/>
      <c r="D4" s="15"/>
      <c r="E4" s="16"/>
      <c r="F4" s="17"/>
      <c r="G4" s="18"/>
      <c r="I4" s="13"/>
      <c r="J4" s="14"/>
      <c r="K4" s="15"/>
      <c r="L4" s="15"/>
      <c r="M4" s="16"/>
      <c r="N4" s="16"/>
      <c r="O4" s="18"/>
      <c r="P4" s="7">
        <f t="shared" si="1"/>
        <v>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5"/>
      <c r="AP4" s="21"/>
      <c r="AQ4" s="22"/>
      <c r="AR4" s="22"/>
      <c r="AS4" s="2"/>
      <c r="AT4" s="30"/>
      <c r="AU4" s="31"/>
    </row>
    <row r="5">
      <c r="A5" s="13"/>
      <c r="B5" s="14"/>
      <c r="C5" s="15"/>
      <c r="D5" s="15"/>
      <c r="E5" s="16"/>
      <c r="F5" s="17"/>
      <c r="G5" s="18"/>
      <c r="I5" s="13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32"/>
      <c r="AH5" s="33"/>
      <c r="AI5" s="34"/>
      <c r="AJ5" s="34"/>
      <c r="AK5" s="35"/>
      <c r="AL5" s="36"/>
      <c r="AM5" s="36"/>
      <c r="AO5" s="25"/>
      <c r="AP5" s="21"/>
      <c r="AQ5" s="22"/>
      <c r="AR5" s="22"/>
      <c r="AS5" s="2"/>
      <c r="AT5" s="30"/>
      <c r="AU5" s="31"/>
    </row>
    <row r="6">
      <c r="A6" s="13"/>
      <c r="B6" s="14"/>
      <c r="C6" s="15"/>
      <c r="D6" s="15"/>
      <c r="E6" s="16"/>
      <c r="F6" s="16"/>
      <c r="G6" s="18"/>
      <c r="I6" s="13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9"/>
      <c r="AM6" s="31"/>
      <c r="AO6" s="25"/>
      <c r="AP6" s="21"/>
      <c r="AQ6" s="22"/>
      <c r="AR6" s="22"/>
      <c r="AS6" s="2"/>
      <c r="AT6" s="30"/>
      <c r="AU6" s="31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7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7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7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7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7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7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7"/>
      <c r="AU14" s="12"/>
    </row>
    <row r="15">
      <c r="A15" s="13"/>
      <c r="B15" s="14"/>
      <c r="C15" s="15"/>
      <c r="D15" s="15"/>
      <c r="E15" s="16"/>
      <c r="F15" s="16"/>
      <c r="G15" s="18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7"/>
      <c r="AU15" s="12"/>
    </row>
    <row r="16">
      <c r="A16" s="13"/>
      <c r="B16" s="14"/>
      <c r="C16" s="15"/>
      <c r="D16" s="15"/>
      <c r="E16" s="16"/>
      <c r="F16" s="17"/>
      <c r="G16" s="18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7"/>
      <c r="AU22" s="12"/>
    </row>
    <row r="23">
      <c r="A23" s="25"/>
      <c r="B23" s="21"/>
      <c r="C23" s="22"/>
      <c r="D23" s="22"/>
      <c r="E23" s="2"/>
      <c r="F23" s="44"/>
      <c r="G23" s="27"/>
      <c r="I23" s="20"/>
      <c r="J23" s="21"/>
      <c r="K23" s="22"/>
      <c r="L23" s="22"/>
      <c r="M23" s="2"/>
      <c r="N23" s="44"/>
      <c r="O23" s="27"/>
      <c r="P23" s="7"/>
      <c r="Q23" s="20"/>
      <c r="R23" s="21"/>
      <c r="S23" s="28"/>
      <c r="T23" s="22"/>
      <c r="U23" s="2"/>
      <c r="V23" s="29"/>
      <c r="W23" s="23"/>
      <c r="AP23" s="37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7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7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7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7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7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7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7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7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7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7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7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7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7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7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7"/>
      <c r="AU38" s="12"/>
    </row>
    <row r="39">
      <c r="A39" s="20"/>
      <c r="B39" s="21"/>
      <c r="C39" s="28"/>
      <c r="D39" s="22"/>
      <c r="E39" s="2"/>
      <c r="F39" s="29"/>
      <c r="G39" s="31"/>
      <c r="J39" s="37"/>
      <c r="O39" s="12"/>
      <c r="P39" s="7"/>
      <c r="Q39" s="20"/>
      <c r="R39" s="21"/>
      <c r="S39" s="22"/>
      <c r="T39" s="22"/>
      <c r="U39" s="2"/>
      <c r="V39" s="29"/>
      <c r="W39" s="23"/>
      <c r="AP39" s="37"/>
      <c r="AU39" s="12"/>
    </row>
    <row r="40">
      <c r="A40" s="20"/>
      <c r="B40" s="21"/>
      <c r="C40" s="28"/>
      <c r="D40" s="22"/>
      <c r="E40" s="2"/>
      <c r="F40" s="29"/>
      <c r="G40" s="31"/>
      <c r="J40" s="37"/>
      <c r="O40" s="12"/>
      <c r="P40" s="7"/>
      <c r="Q40" s="20"/>
      <c r="R40" s="21"/>
      <c r="S40" s="22"/>
      <c r="T40" s="22"/>
      <c r="U40" s="2"/>
      <c r="V40" s="29"/>
      <c r="W40" s="23"/>
      <c r="AP40" s="37"/>
      <c r="AU40" s="12"/>
    </row>
    <row r="41">
      <c r="A41" s="20"/>
      <c r="B41" s="21"/>
      <c r="C41" s="28"/>
      <c r="D41" s="22"/>
      <c r="E41" s="2"/>
      <c r="F41" s="29"/>
      <c r="G41" s="31"/>
      <c r="J41" s="37"/>
      <c r="O41" s="12"/>
      <c r="P41" s="7"/>
      <c r="Q41" s="20"/>
      <c r="R41" s="21"/>
      <c r="S41" s="28"/>
      <c r="T41" s="22"/>
      <c r="U41" s="2"/>
      <c r="V41" s="29"/>
      <c r="W41" s="23"/>
      <c r="AP41" s="37"/>
      <c r="AU41" s="12"/>
    </row>
    <row r="42">
      <c r="B42" s="37"/>
      <c r="G42" s="12"/>
      <c r="J42" s="37"/>
      <c r="O42" s="12"/>
      <c r="P42" s="7"/>
      <c r="Q42" s="20"/>
      <c r="R42" s="21"/>
      <c r="S42" s="22"/>
      <c r="T42" s="22"/>
      <c r="U42" s="2"/>
      <c r="V42" s="29"/>
      <c r="W42" s="23"/>
      <c r="AP42" s="37"/>
      <c r="AU42" s="12"/>
    </row>
    <row r="43">
      <c r="B43" s="37"/>
      <c r="G43" s="12"/>
      <c r="J43" s="37"/>
      <c r="O43" s="12"/>
      <c r="P43" s="7"/>
      <c r="Q43" s="24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0"/>
      <c r="R44" s="21"/>
      <c r="S44" s="22"/>
      <c r="T44" s="22"/>
      <c r="U44" s="2"/>
      <c r="V44" s="2"/>
      <c r="W44" s="23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7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21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</f>
        <v>0</v>
      </c>
      <c r="F2" s="58"/>
    </row>
    <row r="3">
      <c r="A3" s="63"/>
      <c r="B3" s="60" t="s">
        <v>26</v>
      </c>
      <c r="C3" s="61"/>
      <c r="D3" s="61"/>
      <c r="E3" s="60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28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29</v>
      </c>
      <c r="C6" s="68"/>
      <c r="D6" s="69"/>
      <c r="E6" s="70">
        <f>E4*1.075-E4</f>
        <v>0</v>
      </c>
      <c r="F6" s="58"/>
    </row>
    <row r="7">
      <c r="A7" s="71"/>
      <c r="B7" s="72" t="s">
        <v>30</v>
      </c>
      <c r="C7" s="73"/>
      <c r="D7" s="74"/>
      <c r="E7" s="75">
        <f>sum(E4:E6)</f>
        <v>0</v>
      </c>
      <c r="F7" s="58"/>
    </row>
    <row r="8">
      <c r="A8" s="59" t="s">
        <v>31</v>
      </c>
      <c r="B8" s="60" t="s">
        <v>32</v>
      </c>
      <c r="C8" s="61"/>
      <c r="D8" s="76"/>
      <c r="E8" s="77"/>
    </row>
    <row r="9">
      <c r="A9" s="71"/>
      <c r="B9" s="72" t="s">
        <v>33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34</v>
      </c>
      <c r="B10" s="72" t="s">
        <v>35</v>
      </c>
      <c r="C10" s="73"/>
      <c r="D10" s="74"/>
      <c r="E10" s="75">
        <f>E7-E8-E9</f>
        <v>0</v>
      </c>
    </row>
    <row r="11">
      <c r="A11" s="59" t="s">
        <v>36</v>
      </c>
      <c r="B11" s="60" t="s">
        <v>37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33</v>
      </c>
      <c r="C12" s="82"/>
      <c r="D12" s="76"/>
      <c r="E12" s="81">
        <f>E10*C9</f>
        <v>0</v>
      </c>
    </row>
    <row r="13">
      <c r="A13" s="63"/>
      <c r="B13" s="67" t="s">
        <v>38</v>
      </c>
      <c r="C13" s="61"/>
      <c r="D13" s="83" t="s">
        <v>39</v>
      </c>
      <c r="E13" s="81">
        <f>C22+C26</f>
        <v>0</v>
      </c>
    </row>
    <row r="14">
      <c r="A14" s="63"/>
      <c r="B14" s="60" t="s">
        <v>40</v>
      </c>
      <c r="C14" s="76"/>
      <c r="D14" s="76"/>
      <c r="E14" s="84">
        <v>0.0</v>
      </c>
    </row>
    <row r="15">
      <c r="A15" s="63"/>
      <c r="B15" s="60" t="s">
        <v>41</v>
      </c>
      <c r="C15" s="76"/>
      <c r="D15" s="76"/>
      <c r="E15" s="81">
        <f>C30</f>
        <v>0</v>
      </c>
    </row>
    <row r="16">
      <c r="A16" s="71"/>
      <c r="B16" s="72" t="s">
        <v>42</v>
      </c>
      <c r="C16" s="74"/>
      <c r="D16" s="74"/>
      <c r="E16" s="75">
        <f>sum(E11:E15)</f>
        <v>150000</v>
      </c>
      <c r="H16" s="1"/>
      <c r="I16" s="1"/>
    </row>
    <row r="17">
      <c r="A17" s="79" t="s">
        <v>43</v>
      </c>
      <c r="B17" s="72" t="s">
        <v>44</v>
      </c>
      <c r="C17" s="74"/>
      <c r="D17" s="74"/>
      <c r="E17" s="75">
        <f>E10-E16+C36</f>
        <v>-150000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45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46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47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48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49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50</v>
      </c>
      <c r="C25" s="86">
        <f>67</f>
        <v>67</v>
      </c>
      <c r="H25" s="1"/>
      <c r="I25" s="1"/>
    </row>
    <row r="26">
      <c r="A26" s="69"/>
      <c r="B26" s="51" t="s">
        <v>51</v>
      </c>
      <c r="C26" s="89">
        <f>P69</f>
        <v>0</v>
      </c>
      <c r="H26" s="1"/>
      <c r="I26" s="1"/>
    </row>
    <row r="27">
      <c r="A27" s="69"/>
      <c r="B27" s="51" t="s">
        <v>52</v>
      </c>
      <c r="C27" s="52">
        <f>Q69</f>
        <v>0</v>
      </c>
      <c r="H27" s="1"/>
      <c r="I27" s="1"/>
    </row>
    <row r="28">
      <c r="A28" s="69"/>
      <c r="B28" s="51" t="s">
        <v>53</v>
      </c>
      <c r="C28" s="52">
        <f>R69</f>
        <v>0</v>
      </c>
      <c r="H28" s="1"/>
      <c r="I28" s="1"/>
    </row>
    <row r="29">
      <c r="A29" s="69"/>
      <c r="B29" s="51" t="s">
        <v>54</v>
      </c>
      <c r="C29" s="86">
        <f>F69</f>
        <v>0</v>
      </c>
      <c r="D29" s="69"/>
      <c r="H29" s="1"/>
      <c r="I29" s="1"/>
    </row>
    <row r="30">
      <c r="A30" s="69"/>
      <c r="B30" s="51" t="s">
        <v>55</v>
      </c>
      <c r="C30" s="86">
        <f>G69</f>
        <v>0</v>
      </c>
      <c r="D30" s="69"/>
      <c r="H30" s="1"/>
      <c r="I30" s="1"/>
    </row>
    <row r="31">
      <c r="A31" s="69"/>
      <c r="B31" s="51" t="s">
        <v>56</v>
      </c>
      <c r="C31" s="86">
        <f>I69</f>
        <v>0</v>
      </c>
      <c r="D31" s="69"/>
      <c r="H31" s="1"/>
      <c r="I31" s="1"/>
    </row>
    <row r="32">
      <c r="A32" s="69"/>
      <c r="B32" s="51" t="s">
        <v>57</v>
      </c>
      <c r="C32" s="86">
        <f>J69</f>
        <v>0</v>
      </c>
      <c r="D32" s="69"/>
      <c r="H32" s="1"/>
      <c r="I32" s="1"/>
    </row>
    <row r="33">
      <c r="B33" s="51" t="s">
        <v>58</v>
      </c>
      <c r="C33" s="86">
        <v>0.0</v>
      </c>
    </row>
    <row r="34">
      <c r="B34" s="51" t="s">
        <v>59</v>
      </c>
      <c r="C34" s="52">
        <f>K69</f>
        <v>0</v>
      </c>
    </row>
    <row r="35">
      <c r="B35" s="51" t="s">
        <v>60</v>
      </c>
      <c r="C35" s="86">
        <v>0.0</v>
      </c>
    </row>
    <row r="36">
      <c r="B36" s="51" t="s">
        <v>61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62</v>
      </c>
      <c r="C39" s="51" t="s">
        <v>63</v>
      </c>
      <c r="D39" s="51" t="s">
        <v>64</v>
      </c>
      <c r="E39" s="51" t="s">
        <v>65</v>
      </c>
      <c r="F39" s="53" t="s">
        <v>66</v>
      </c>
      <c r="G39" s="53" t="s">
        <v>67</v>
      </c>
      <c r="H39" s="53" t="s">
        <v>68</v>
      </c>
      <c r="I39" s="53" t="s">
        <v>69</v>
      </c>
      <c r="J39" s="53" t="s">
        <v>70</v>
      </c>
      <c r="K39" s="53" t="s">
        <v>71</v>
      </c>
      <c r="L39" s="53" t="s">
        <v>58</v>
      </c>
      <c r="M39" s="53" t="s">
        <v>60</v>
      </c>
      <c r="N39" s="53" t="s">
        <v>72</v>
      </c>
      <c r="O39" s="53" t="s">
        <v>73</v>
      </c>
      <c r="P39" s="53" t="s">
        <v>74</v>
      </c>
      <c r="Q39" s="53" t="s">
        <v>75</v>
      </c>
      <c r="R39" s="53" t="s">
        <v>76</v>
      </c>
      <c r="S39" s="53" t="s">
        <v>77</v>
      </c>
      <c r="T39" s="53" t="s">
        <v>49</v>
      </c>
      <c r="U39" s="53" t="s">
        <v>78</v>
      </c>
      <c r="V39" s="53" t="s">
        <v>79</v>
      </c>
      <c r="W39" s="53" t="s">
        <v>80</v>
      </c>
    </row>
    <row r="40">
      <c r="B40" s="90" t="s">
        <v>81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2">
        <f t="shared" ref="M40:M68" si="3">K40-L40</f>
        <v>0</v>
      </c>
      <c r="N40" s="19">
        <f t="shared" ref="N40:N68" si="4">M40*C40</f>
        <v>0</v>
      </c>
      <c r="O40" s="52">
        <f>'Dala Sales &amp; Deliveries'!L2</f>
        <v>0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0</v>
      </c>
      <c r="V40" s="19">
        <f t="shared" ref="V40:V68" si="8">U40*D40</f>
        <v>0</v>
      </c>
      <c r="W40" s="52">
        <f>'Client Restocking'!L2</f>
        <v>0</v>
      </c>
    </row>
    <row r="41">
      <c r="B41" s="90" t="s">
        <v>82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83</v>
      </c>
      <c r="C69" s="53"/>
      <c r="D69" s="53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2">
        <f t="shared" si="9"/>
        <v>0</v>
      </c>
      <c r="M69" s="52">
        <f t="shared" si="9"/>
        <v>0</v>
      </c>
      <c r="N69" s="19">
        <f t="shared" si="9"/>
        <v>0</v>
      </c>
      <c r="O69" s="52">
        <f t="shared" si="9"/>
        <v>0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Fulfillment'!I1+'Forwarding From Client'!I1</f>
        <v>0</v>
      </c>
      <c r="F2" s="58"/>
    </row>
    <row r="3">
      <c r="A3" s="63"/>
      <c r="B3" s="60" t="s">
        <v>26</v>
      </c>
      <c r="C3" s="61"/>
      <c r="D3" s="61"/>
      <c r="E3" s="62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85</v>
      </c>
      <c r="C5" s="58"/>
      <c r="D5" s="58"/>
      <c r="E5" s="65">
        <f>E4*1.075-E4</f>
        <v>0</v>
      </c>
      <c r="F5" s="58"/>
    </row>
    <row r="6">
      <c r="A6" s="71"/>
      <c r="B6" s="72" t="s">
        <v>30</v>
      </c>
      <c r="C6" s="73"/>
      <c r="D6" s="74"/>
      <c r="E6" s="75">
        <f>sum(E4:E5)</f>
        <v>0</v>
      </c>
      <c r="F6" s="58"/>
    </row>
    <row r="7">
      <c r="A7" s="59" t="s">
        <v>31</v>
      </c>
      <c r="B7" s="60" t="s">
        <v>32</v>
      </c>
      <c r="C7" s="61"/>
      <c r="D7" s="76"/>
      <c r="E7" s="77"/>
    </row>
    <row r="8">
      <c r="A8" s="63"/>
      <c r="B8" s="60" t="s">
        <v>38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33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36</v>
      </c>
      <c r="B10" s="60" t="s">
        <v>37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86</v>
      </c>
      <c r="C11" s="61"/>
      <c r="D11" s="83"/>
      <c r="E11" s="81">
        <f>V67</f>
        <v>0</v>
      </c>
    </row>
    <row r="12">
      <c r="A12" s="63"/>
      <c r="B12" s="67" t="s">
        <v>53</v>
      </c>
      <c r="C12" s="61"/>
      <c r="D12" s="83"/>
      <c r="E12" s="81">
        <f>R67</f>
        <v>0</v>
      </c>
    </row>
    <row r="13">
      <c r="A13" s="63"/>
      <c r="B13" s="60" t="s">
        <v>40</v>
      </c>
      <c r="C13" s="76"/>
      <c r="D13" s="76"/>
      <c r="E13" s="95">
        <v>0.0</v>
      </c>
    </row>
    <row r="14">
      <c r="A14" s="63"/>
      <c r="B14" s="60" t="s">
        <v>41</v>
      </c>
      <c r="C14" s="76"/>
      <c r="D14" s="76"/>
      <c r="E14" s="81">
        <f>C28</f>
        <v>0</v>
      </c>
    </row>
    <row r="15">
      <c r="A15" s="71"/>
      <c r="B15" s="72" t="s">
        <v>87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45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46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47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48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49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50</v>
      </c>
      <c r="C23" s="86">
        <f>O67</f>
        <v>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51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52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53</v>
      </c>
      <c r="C26" s="86">
        <f>R67</f>
        <v>0</v>
      </c>
      <c r="D26" s="69"/>
    </row>
    <row r="27">
      <c r="A27" s="69"/>
      <c r="B27" s="51" t="s">
        <v>54</v>
      </c>
      <c r="C27" s="86">
        <f>F67</f>
        <v>0</v>
      </c>
      <c r="D27" s="69"/>
    </row>
    <row r="28">
      <c r="A28" s="69"/>
      <c r="B28" s="51" t="s">
        <v>55</v>
      </c>
      <c r="C28" s="86">
        <f>G67</f>
        <v>0</v>
      </c>
      <c r="D28" s="69"/>
    </row>
    <row r="29">
      <c r="A29" s="69"/>
      <c r="B29" s="51" t="s">
        <v>56</v>
      </c>
      <c r="C29" s="86">
        <f>I67</f>
        <v>0</v>
      </c>
      <c r="D29" s="69"/>
    </row>
    <row r="30">
      <c r="A30" s="69"/>
      <c r="B30" s="51" t="s">
        <v>88</v>
      </c>
      <c r="C30" s="86">
        <f>J67</f>
        <v>0</v>
      </c>
      <c r="D30" s="69"/>
    </row>
    <row r="31">
      <c r="A31" s="69"/>
      <c r="B31" s="51" t="s">
        <v>58</v>
      </c>
      <c r="C31" s="86">
        <f>L67</f>
        <v>0</v>
      </c>
      <c r="D31" s="69"/>
    </row>
    <row r="32">
      <c r="A32" s="69"/>
      <c r="B32" s="51" t="s">
        <v>59</v>
      </c>
      <c r="C32" s="86">
        <f>K67</f>
        <v>0</v>
      </c>
      <c r="D32" s="69"/>
    </row>
    <row r="33">
      <c r="A33" s="69"/>
      <c r="B33" s="51" t="s">
        <v>60</v>
      </c>
      <c r="C33" s="86">
        <v>0.0</v>
      </c>
      <c r="D33" s="69"/>
    </row>
    <row r="34">
      <c r="A34" s="69"/>
      <c r="B34" s="51" t="s">
        <v>61</v>
      </c>
      <c r="C34" s="86">
        <v>0.0</v>
      </c>
      <c r="D34" s="69"/>
    </row>
    <row r="36">
      <c r="A36" s="97"/>
    </row>
    <row r="37">
      <c r="A37" s="83"/>
      <c r="B37" s="98" t="s">
        <v>62</v>
      </c>
      <c r="C37" s="51" t="s">
        <v>63</v>
      </c>
      <c r="D37" s="51" t="s">
        <v>64</v>
      </c>
      <c r="E37" s="51" t="s">
        <v>65</v>
      </c>
      <c r="F37" s="53" t="s">
        <v>66</v>
      </c>
      <c r="G37" s="53" t="s">
        <v>67</v>
      </c>
      <c r="H37" s="53" t="s">
        <v>68</v>
      </c>
      <c r="I37" s="53" t="s">
        <v>69</v>
      </c>
      <c r="J37" s="53" t="s">
        <v>70</v>
      </c>
      <c r="K37" s="53" t="s">
        <v>71</v>
      </c>
      <c r="L37" s="53" t="s">
        <v>58</v>
      </c>
      <c r="M37" s="53" t="s">
        <v>60</v>
      </c>
      <c r="N37" s="53" t="s">
        <v>72</v>
      </c>
      <c r="O37" s="53" t="s">
        <v>50</v>
      </c>
      <c r="P37" s="53" t="s">
        <v>74</v>
      </c>
      <c r="Q37" s="53" t="s">
        <v>75</v>
      </c>
      <c r="R37" s="53" t="s">
        <v>76</v>
      </c>
      <c r="S37" s="53" t="s">
        <v>77</v>
      </c>
      <c r="T37" s="53" t="s">
        <v>49</v>
      </c>
      <c r="U37" s="53" t="s">
        <v>78</v>
      </c>
      <c r="V37" s="53" t="s">
        <v>79</v>
      </c>
      <c r="W37" s="53" t="s">
        <v>80</v>
      </c>
    </row>
    <row r="38">
      <c r="A38" s="99"/>
      <c r="B38" s="100" t="str">
        <f>'Internal Summary'!B40</f>
        <v>40g Respite Bitterleaf Tea Pouch Pack (10x)</v>
      </c>
      <c r="C38" s="52">
        <f>'Internal Summary'!C40</f>
        <v>30000</v>
      </c>
      <c r="D38" s="52" t="str">
        <f>'Internal Summary'!D40</f>
        <v/>
      </c>
      <c r="E38" s="52" t="str">
        <f>'Internal Summary'!E40</f>
        <v/>
      </c>
      <c r="F38" s="91"/>
      <c r="G38" s="52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9"/>
      <c r="B39" s="100" t="str">
        <f>'Internal Summary'!B41</f>
        <v>40g Respite Bitterleaf Tea Tin Pack (6x)</v>
      </c>
      <c r="C39" s="52">
        <f>'Internal Summary'!C41</f>
        <v>60000</v>
      </c>
      <c r="D39" s="52" t="str">
        <f>'Internal Summary'!D41</f>
        <v/>
      </c>
      <c r="E39" s="52" t="str">
        <f>'Internal Summary'!E41</f>
        <v/>
      </c>
      <c r="F39" s="103"/>
      <c r="G39" s="52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9"/>
      <c r="B40" s="100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3"/>
      <c r="G40" s="52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9"/>
      <c r="B41" s="100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3"/>
      <c r="G41" s="52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9"/>
      <c r="B42" s="100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3"/>
      <c r="G42" s="52">
        <f t="shared" si="1"/>
        <v>0</v>
      </c>
      <c r="H42" s="103"/>
      <c r="I42" s="103"/>
      <c r="J42" s="103"/>
      <c r="K42" s="91"/>
      <c r="L42" s="102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9"/>
      <c r="B43" s="100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3"/>
      <c r="G43" s="52">
        <f t="shared" si="1"/>
        <v>0</v>
      </c>
      <c r="H43" s="103"/>
      <c r="I43" s="103"/>
      <c r="J43" s="103"/>
      <c r="K43" s="91"/>
      <c r="L43" s="102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9"/>
      <c r="B44" s="100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3"/>
      <c r="G44" s="52">
        <f t="shared" si="1"/>
        <v>0</v>
      </c>
      <c r="H44" s="103"/>
      <c r="I44" s="103"/>
      <c r="J44" s="103"/>
      <c r="K44" s="91"/>
      <c r="L44" s="102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9"/>
      <c r="B45" s="100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3"/>
      <c r="G45" s="52">
        <f t="shared" si="1"/>
        <v>0</v>
      </c>
      <c r="H45" s="103"/>
      <c r="I45" s="103"/>
      <c r="J45" s="103"/>
      <c r="K45" s="91"/>
      <c r="L45" s="102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9"/>
      <c r="B46" s="100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3"/>
      <c r="G46" s="52">
        <f t="shared" si="1"/>
        <v>0</v>
      </c>
      <c r="H46" s="103"/>
      <c r="I46" s="103"/>
      <c r="J46" s="103"/>
      <c r="K46" s="91"/>
      <c r="L46" s="102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9"/>
      <c r="B47" s="100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3"/>
      <c r="G47" s="52">
        <f t="shared" si="1"/>
        <v>0</v>
      </c>
      <c r="H47" s="103"/>
      <c r="I47" s="103"/>
      <c r="J47" s="103"/>
      <c r="K47" s="91"/>
      <c r="L47" s="102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9"/>
      <c r="B48" s="100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3"/>
      <c r="G48" s="52">
        <f t="shared" si="1"/>
        <v>0</v>
      </c>
      <c r="H48" s="103"/>
      <c r="I48" s="103"/>
      <c r="J48" s="103"/>
      <c r="K48" s="91"/>
      <c r="L48" s="102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9"/>
      <c r="B49" s="100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3"/>
      <c r="G49" s="52">
        <f t="shared" si="1"/>
        <v>0</v>
      </c>
      <c r="H49" s="103"/>
      <c r="I49" s="103"/>
      <c r="J49" s="103"/>
      <c r="K49" s="91"/>
      <c r="L49" s="102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3"/>
      <c r="G50" s="52">
        <f t="shared" si="1"/>
        <v>0</v>
      </c>
      <c r="H50" s="103"/>
      <c r="I50" s="103"/>
      <c r="J50" s="103"/>
      <c r="K50" s="103"/>
      <c r="L50" s="102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3"/>
      <c r="G51" s="52">
        <f t="shared" si="1"/>
        <v>0</v>
      </c>
      <c r="H51" s="103"/>
      <c r="I51" s="103"/>
      <c r="J51" s="103"/>
      <c r="K51" s="103"/>
      <c r="L51" s="102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3"/>
      <c r="G52" s="52">
        <f t="shared" si="1"/>
        <v>0</v>
      </c>
      <c r="H52" s="103"/>
      <c r="I52" s="103"/>
      <c r="J52" s="103"/>
      <c r="K52" s="103"/>
      <c r="L52" s="102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3"/>
      <c r="G53" s="52">
        <f t="shared" si="1"/>
        <v>0</v>
      </c>
      <c r="H53" s="103"/>
      <c r="I53" s="103"/>
      <c r="J53" s="103"/>
      <c r="K53" s="103"/>
      <c r="L53" s="102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3"/>
      <c r="G54" s="52">
        <f t="shared" si="1"/>
        <v>0</v>
      </c>
      <c r="H54" s="103"/>
      <c r="I54" s="103"/>
      <c r="J54" s="103"/>
      <c r="K54" s="103"/>
      <c r="L54" s="102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3"/>
      <c r="G55" s="52">
        <f t="shared" si="1"/>
        <v>0</v>
      </c>
      <c r="H55" s="103"/>
      <c r="I55" s="103"/>
      <c r="J55" s="103"/>
      <c r="K55" s="103"/>
      <c r="L55" s="102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3"/>
      <c r="G56" s="52">
        <f t="shared" si="1"/>
        <v>0</v>
      </c>
      <c r="H56" s="103"/>
      <c r="I56" s="103"/>
      <c r="J56" s="103"/>
      <c r="K56" s="103"/>
      <c r="L56" s="102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3"/>
      <c r="G57" s="52">
        <f t="shared" si="1"/>
        <v>0</v>
      </c>
      <c r="H57" s="103"/>
      <c r="I57" s="103"/>
      <c r="J57" s="103"/>
      <c r="K57" s="103"/>
      <c r="L57" s="102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3"/>
      <c r="G58" s="52">
        <f t="shared" si="1"/>
        <v>0</v>
      </c>
      <c r="H58" s="103"/>
      <c r="I58" s="103"/>
      <c r="J58" s="103"/>
      <c r="K58" s="103"/>
      <c r="L58" s="102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3"/>
      <c r="G59" s="52">
        <f t="shared" si="1"/>
        <v>0</v>
      </c>
      <c r="H59" s="103"/>
      <c r="I59" s="103"/>
      <c r="J59" s="103"/>
      <c r="K59" s="103"/>
      <c r="L59" s="102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3"/>
      <c r="G60" s="52">
        <f t="shared" si="1"/>
        <v>0</v>
      </c>
      <c r="H60" s="103"/>
      <c r="I60" s="103"/>
      <c r="J60" s="103"/>
      <c r="K60" s="103"/>
      <c r="L60" s="102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3"/>
      <c r="G61" s="52">
        <f t="shared" si="1"/>
        <v>0</v>
      </c>
      <c r="H61" s="103"/>
      <c r="I61" s="103"/>
      <c r="J61" s="103"/>
      <c r="K61" s="103"/>
      <c r="L61" s="102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3"/>
      <c r="G62" s="52">
        <f t="shared" si="1"/>
        <v>0</v>
      </c>
      <c r="H62" s="103"/>
      <c r="I62" s="103"/>
      <c r="J62" s="103"/>
      <c r="K62" s="103"/>
      <c r="L62" s="102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3"/>
      <c r="G63" s="52">
        <f t="shared" si="1"/>
        <v>0</v>
      </c>
      <c r="H63" s="103"/>
      <c r="I63" s="103"/>
      <c r="J63" s="103"/>
      <c r="K63" s="103"/>
      <c r="L63" s="102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3"/>
      <c r="G64" s="52">
        <f t="shared" si="1"/>
        <v>0</v>
      </c>
      <c r="H64" s="103"/>
      <c r="I64" s="103"/>
      <c r="J64" s="103"/>
      <c r="K64" s="103"/>
      <c r="L64" s="102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3"/>
      <c r="G65" s="52">
        <f t="shared" si="1"/>
        <v>0</v>
      </c>
      <c r="H65" s="103"/>
      <c r="I65" s="103"/>
      <c r="J65" s="103"/>
      <c r="K65" s="103"/>
      <c r="L65" s="102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3"/>
      <c r="G66" s="52">
        <f t="shared" si="1"/>
        <v>0</v>
      </c>
      <c r="H66" s="103"/>
      <c r="I66" s="103"/>
      <c r="J66" s="103"/>
      <c r="K66" s="103"/>
      <c r="L66" s="102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83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0</v>
      </c>
      <c r="M67" s="52">
        <f t="shared" si="9"/>
        <v>0</v>
      </c>
      <c r="N67" s="52">
        <f t="shared" si="9"/>
        <v>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