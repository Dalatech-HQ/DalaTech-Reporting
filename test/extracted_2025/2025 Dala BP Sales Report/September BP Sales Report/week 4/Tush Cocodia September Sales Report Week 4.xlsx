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<sst xmlns="http://schemas.openxmlformats.org/spreadsheetml/2006/main" count="341" uniqueCount="97">
  <si>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</si>
  <si>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</si>
  <si>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</si>
  <si>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</si>
  <si>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</si>
  <si>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</si>
  <si>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</si>
  <si>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</si>
  <si>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</si>
  <si>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</si>
  <si>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</si>
  <si>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</si>
  <si>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</si>
  <si>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</si>
  <si>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</si>
  <si>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</si>
  <si>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</si>
  <si>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Purchase Inv-Dala</t>
  </si>
  <si>
    <t>Renees Supermarket, LEKKI CENTRAL MOSQUE</t>
  </si>
  <si>
    <t>Sales</t>
  </si>
  <si>
    <t>DT:002667</t>
  </si>
  <si>
    <t>400g Tosh Cocodia Coconut Poundo (6x)</t>
  </si>
  <si>
    <t>5.00 ctn</t>
  </si>
  <si>
    <t>1.00 ctn</t>
  </si>
  <si>
    <t>500ml Tosh Cocodia Coconut Oil (6x)</t>
  </si>
  <si>
    <t>7.00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</si>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</sst>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>
      <sharedItems containsBlank="1" containsMixedTypes="1" containsNumber="1" containsInteger="1">
        <n v="1.0"/>
        <s v="1.00 ctn"/>
        <m/>
      </sharedItems>
    </cacheField>
    <cacheField name="Value" numFmtId="4">
      <sharedItems containsString="0" containsBlank="1" containsNumber="1" containsInteger="1">
        <n v="27000.0"/>
        <n v="25000.0"/>
        <m/>
      </sharedItems>
    </cacheField>
    <cacheField name="Total Value" numFmtId="4">
      <sharedItems containsString="0" containsBlank="1" containsNumber="1" containsInteger="1">
        <n v="52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>
      <sharedItems containsBlank="1" containsMixedTypes="1" containsNumber="1" containsInteger="1">
        <n v="1.0"/>
        <s v="1.00 ctn"/>
        <m/>
      </sharedItems>
    </cacheField>
    <cacheField name="Value" numFmtId="4">
      <sharedItems containsString="0" containsBlank="1" containsNumber="1" containsInteger="1">
        <n v="27000.0"/>
        <n v="2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5.0"/>
        <m/>
      </sharedItems>
    </cacheField>
    <cacheField name="Quantity">
      <sharedItems containsBlank="1" containsMixedTypes="1" containsNumber="1" containsInteger="1">
        <n v="5.0"/>
        <s v="5.00 ctn"/>
        <s v="7.00 ctn"/>
        <m/>
      </sharedItems>
    </cacheField>
    <cacheField name="Value" numFmtId="4">
      <sharedItems containsString="0" containsBlank="1" containsNumber="1" containsInteger="1">
        <n v="112500.0"/>
        <n v="125000.0"/>
        <n v="63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0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16">
        <v>2135.0</v>
      </c>
      <c r="F3" s="16">
        <v>5.0</v>
      </c>
      <c r="G3" s="17">
        <v>112500.0</v>
      </c>
      <c r="I3" s="13" t="s">
        <v>15</v>
      </c>
      <c r="J3" s="14">
        <v>45924.0</v>
      </c>
      <c r="K3" s="15" t="s">
        <v>18</v>
      </c>
      <c r="L3" s="15" t="s">
        <v>19</v>
      </c>
      <c r="M3" s="16" t="s">
        <v>20</v>
      </c>
      <c r="N3" s="16">
        <v>1.0</v>
      </c>
      <c r="O3" s="17">
        <v>27000.0</v>
      </c>
      <c r="P3" s="7">
        <f t="shared" ref="P3:P88" si="1">sumif(M:M,M3,O:O)</f>
        <v>52000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/>
      <c r="AI3" s="25"/>
      <c r="AJ3" s="24"/>
      <c r="AK3" s="24"/>
      <c r="AL3" s="26"/>
      <c r="AM3" s="26"/>
      <c r="AN3" s="27"/>
      <c r="AP3" s="13" t="s">
        <v>15</v>
      </c>
      <c r="AQ3" s="14">
        <v>45922.0</v>
      </c>
      <c r="AR3" s="15" t="s">
        <v>16</v>
      </c>
      <c r="AS3" s="15" t="s">
        <v>17</v>
      </c>
      <c r="AT3" s="16">
        <v>2135.0</v>
      </c>
      <c r="AU3" s="16">
        <v>5.0</v>
      </c>
      <c r="AV3" s="17">
        <v>112500.0</v>
      </c>
    </row>
    <row r="4" ht="17.25" customHeight="1">
      <c r="A4" s="13" t="s">
        <v>21</v>
      </c>
      <c r="B4" s="14">
        <v>45922.0</v>
      </c>
      <c r="C4" s="15" t="s">
        <v>16</v>
      </c>
      <c r="D4" s="15" t="s">
        <v>17</v>
      </c>
      <c r="E4" s="16">
        <v>2135.0</v>
      </c>
      <c r="F4" s="16" t="s">
        <v>22</v>
      </c>
      <c r="G4" s="17">
        <v>125000.0</v>
      </c>
      <c r="I4" s="13" t="s">
        <v>21</v>
      </c>
      <c r="J4" s="14">
        <v>45924.0</v>
      </c>
      <c r="K4" s="15" t="s">
        <v>18</v>
      </c>
      <c r="L4" s="15" t="s">
        <v>19</v>
      </c>
      <c r="M4" s="16" t="s">
        <v>20</v>
      </c>
      <c r="N4" s="16" t="s">
        <v>23</v>
      </c>
      <c r="O4" s="17">
        <v>25000.0</v>
      </c>
      <c r="P4" s="7">
        <f t="shared" si="1"/>
        <v>52000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13" t="s">
        <v>21</v>
      </c>
      <c r="AQ4" s="14">
        <v>45922.0</v>
      </c>
      <c r="AR4" s="15" t="s">
        <v>16</v>
      </c>
      <c r="AS4" s="15" t="s">
        <v>17</v>
      </c>
      <c r="AT4" s="16">
        <v>2135.0</v>
      </c>
      <c r="AU4" s="16" t="s">
        <v>22</v>
      </c>
      <c r="AV4" s="17">
        <v>125000.0</v>
      </c>
    </row>
    <row r="5">
      <c r="A5" s="13" t="s">
        <v>24</v>
      </c>
      <c r="B5" s="14">
        <v>45922.0</v>
      </c>
      <c r="C5" s="15" t="s">
        <v>16</v>
      </c>
      <c r="D5" s="15" t="s">
        <v>17</v>
      </c>
      <c r="E5" s="16">
        <v>2135.0</v>
      </c>
      <c r="F5" s="16" t="s">
        <v>25</v>
      </c>
      <c r="G5" s="17">
        <v>630000.0</v>
      </c>
      <c r="I5" s="13"/>
      <c r="J5" s="14"/>
      <c r="K5" s="15"/>
      <c r="L5" s="15"/>
      <c r="M5" s="16"/>
      <c r="N5" s="16"/>
      <c r="O5" s="17"/>
      <c r="P5" s="7">
        <f t="shared" si="1"/>
        <v>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13" t="s">
        <v>24</v>
      </c>
      <c r="AQ5" s="14">
        <v>45922.0</v>
      </c>
      <c r="AR5" s="15" t="s">
        <v>16</v>
      </c>
      <c r="AS5" s="15" t="s">
        <v>17</v>
      </c>
      <c r="AT5" s="16">
        <v>2135.0</v>
      </c>
      <c r="AU5" s="16" t="s">
        <v>25</v>
      </c>
      <c r="AV5" s="17">
        <v>630000.0</v>
      </c>
    </row>
    <row r="6">
      <c r="A6" s="13" t="s">
        <v>15</v>
      </c>
      <c r="B6" s="14">
        <v>45924.0</v>
      </c>
      <c r="C6" s="15" t="s">
        <v>18</v>
      </c>
      <c r="D6" s="15" t="s">
        <v>19</v>
      </c>
      <c r="E6" s="16" t="s">
        <v>20</v>
      </c>
      <c r="F6" s="16">
        <v>1.0</v>
      </c>
      <c r="G6" s="17">
        <v>27000.0</v>
      </c>
      <c r="I6" s="13"/>
      <c r="J6" s="14"/>
      <c r="K6" s="15"/>
      <c r="L6" s="15"/>
      <c r="M6" s="16"/>
      <c r="N6" s="16"/>
      <c r="O6" s="17"/>
      <c r="P6" s="7">
        <f t="shared" si="1"/>
        <v>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 t="s">
        <v>21</v>
      </c>
      <c r="B7" s="14">
        <v>45924.0</v>
      </c>
      <c r="C7" s="15" t="s">
        <v>18</v>
      </c>
      <c r="D7" s="15" t="s">
        <v>19</v>
      </c>
      <c r="E7" s="16" t="s">
        <v>20</v>
      </c>
      <c r="F7" s="16" t="s">
        <v>23</v>
      </c>
      <c r="G7" s="17">
        <v>25000.0</v>
      </c>
      <c r="I7" s="13"/>
      <c r="J7" s="14"/>
      <c r="K7" s="15"/>
      <c r="L7" s="15"/>
      <c r="M7" s="16"/>
      <c r="N7" s="16"/>
      <c r="O7" s="17"/>
      <c r="P7" s="7">
        <f t="shared" si="1"/>
        <v>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/>
      <c r="B8" s="14"/>
      <c r="C8" s="15"/>
      <c r="D8" s="15"/>
      <c r="E8" s="16"/>
      <c r="F8" s="16"/>
      <c r="G8" s="17"/>
      <c r="I8" s="13"/>
      <c r="J8" s="14"/>
      <c r="K8" s="15"/>
      <c r="L8" s="15"/>
      <c r="M8" s="16"/>
      <c r="N8" s="16"/>
      <c r="O8" s="17"/>
      <c r="P8" s="7">
        <f t="shared" si="1"/>
        <v>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/>
      <c r="B9" s="29"/>
      <c r="C9" s="24"/>
      <c r="D9" s="24"/>
      <c r="E9" s="30"/>
      <c r="F9" s="30"/>
      <c r="G9" s="27"/>
      <c r="I9" s="28"/>
      <c r="J9" s="29"/>
      <c r="K9" s="24"/>
      <c r="L9" s="24"/>
      <c r="M9" s="30"/>
      <c r="N9" s="30"/>
      <c r="O9" s="27"/>
      <c r="P9" s="7">
        <f t="shared" si="1"/>
        <v>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/>
      <c r="B10" s="29"/>
      <c r="C10" s="24"/>
      <c r="D10" s="24"/>
      <c r="E10" s="30"/>
      <c r="F10" s="30"/>
      <c r="G10" s="27"/>
      <c r="I10" s="28"/>
      <c r="J10" s="29"/>
      <c r="K10" s="24"/>
      <c r="L10" s="24"/>
      <c r="M10" s="30"/>
      <c r="N10" s="30"/>
      <c r="O10" s="27"/>
      <c r="P10" s="7">
        <f t="shared" si="1"/>
        <v>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/>
      <c r="B11" s="29"/>
      <c r="C11" s="24"/>
      <c r="D11" s="24"/>
      <c r="E11" s="30"/>
      <c r="F11" s="30"/>
      <c r="G11" s="27"/>
      <c r="I11" s="28"/>
      <c r="J11" s="29"/>
      <c r="K11" s="24"/>
      <c r="L11" s="24"/>
      <c r="M11" s="30"/>
      <c r="N11" s="30"/>
      <c r="O11" s="27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/>
      <c r="B12" s="29"/>
      <c r="C12" s="24"/>
      <c r="D12" s="24"/>
      <c r="E12" s="30"/>
      <c r="F12" s="30"/>
      <c r="G12" s="27"/>
      <c r="I12" s="28"/>
      <c r="J12" s="29"/>
      <c r="K12" s="24"/>
      <c r="L12" s="24"/>
      <c r="M12" s="30"/>
      <c r="N12" s="30"/>
      <c r="O12" s="27"/>
      <c r="P12" s="7">
        <f t="shared" si="1"/>
        <v>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/>
      <c r="B13" s="29"/>
      <c r="C13" s="24"/>
      <c r="D13" s="24"/>
      <c r="E13" s="30"/>
      <c r="F13" s="30"/>
      <c r="G13" s="27"/>
      <c r="I13" s="28"/>
      <c r="J13" s="29"/>
      <c r="K13" s="32"/>
      <c r="L13" s="24"/>
      <c r="M13" s="30"/>
      <c r="N13" s="30"/>
      <c r="O13" s="2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/>
      <c r="B14" s="29"/>
      <c r="C14" s="24"/>
      <c r="D14" s="24"/>
      <c r="E14" s="30"/>
      <c r="F14" s="30"/>
      <c r="G14" s="27"/>
      <c r="I14" s="28"/>
      <c r="J14" s="29"/>
      <c r="K14" s="24"/>
      <c r="L14" s="24"/>
      <c r="M14" s="30"/>
      <c r="N14" s="30"/>
      <c r="O14" s="2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/>
      <c r="B15" s="29"/>
      <c r="C15" s="24"/>
      <c r="D15" s="24"/>
      <c r="E15" s="30"/>
      <c r="F15" s="30"/>
      <c r="G15" s="27"/>
      <c r="I15" s="28"/>
      <c r="J15" s="29"/>
      <c r="K15" s="32"/>
      <c r="L15" s="24"/>
      <c r="M15" s="30"/>
      <c r="N15" s="30"/>
      <c r="O15" s="2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/>
      <c r="B16" s="29"/>
      <c r="C16" s="24"/>
      <c r="D16" s="24"/>
      <c r="E16" s="30"/>
      <c r="F16" s="30"/>
      <c r="G16" s="27"/>
      <c r="I16" s="28"/>
      <c r="J16" s="29"/>
      <c r="K16" s="32"/>
      <c r="L16" s="24"/>
      <c r="M16" s="30"/>
      <c r="N16" s="30"/>
      <c r="O16" s="2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/>
      <c r="B17" s="29"/>
      <c r="C17" s="24"/>
      <c r="D17" s="24"/>
      <c r="E17" s="30"/>
      <c r="F17" s="30"/>
      <c r="G17" s="27"/>
      <c r="I17" s="28"/>
      <c r="J17" s="29"/>
      <c r="K17" s="32"/>
      <c r="L17" s="24"/>
      <c r="M17" s="30"/>
      <c r="N17" s="30"/>
      <c r="O17" s="2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/>
      <c r="B18" s="29"/>
      <c r="C18" s="24"/>
      <c r="D18" s="24"/>
      <c r="E18" s="30"/>
      <c r="F18" s="30"/>
      <c r="G18" s="27"/>
      <c r="I18" s="28"/>
      <c r="J18" s="29"/>
      <c r="K18" s="32"/>
      <c r="L18" s="24"/>
      <c r="M18" s="30"/>
      <c r="N18" s="30"/>
      <c r="O18" s="2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/>
      <c r="B19" s="29"/>
      <c r="C19" s="24"/>
      <c r="D19" s="24"/>
      <c r="E19" s="30"/>
      <c r="F19" s="30"/>
      <c r="G19" s="27"/>
      <c r="I19" s="28"/>
      <c r="J19" s="29"/>
      <c r="K19" s="32"/>
      <c r="L19" s="24"/>
      <c r="M19" s="30"/>
      <c r="N19" s="30"/>
      <c r="O19" s="2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/>
      <c r="B20" s="29"/>
      <c r="C20" s="24"/>
      <c r="D20" s="24"/>
      <c r="E20" s="30"/>
      <c r="F20" s="30"/>
      <c r="G20" s="27"/>
      <c r="I20" s="28"/>
      <c r="J20" s="29"/>
      <c r="K20" s="32"/>
      <c r="L20" s="24"/>
      <c r="M20" s="30"/>
      <c r="N20" s="30"/>
      <c r="O20" s="2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/>
      <c r="B21" s="29"/>
      <c r="C21" s="24"/>
      <c r="D21" s="24"/>
      <c r="E21" s="30"/>
      <c r="F21" s="30"/>
      <c r="G21" s="27"/>
      <c r="I21" s="28"/>
      <c r="J21" s="29"/>
      <c r="K21" s="32"/>
      <c r="L21" s="24"/>
      <c r="M21" s="30"/>
      <c r="N21" s="30"/>
      <c r="O21" s="2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27</v>
      </c>
      <c r="I1" s="67">
        <f>countifs(B:B,"&lt;&gt;",F:F,"&lt;&gt;")-1</f>
        <v>1</v>
      </c>
      <c r="K1" s="6" t="s">
        <v>28</v>
      </c>
      <c r="L1" s="6" t="s">
        <v>29</v>
      </c>
      <c r="M1" s="6" t="s">
        <v>13</v>
      </c>
    </row>
    <row r="2">
      <c r="H2" s="66" t="s">
        <v>30</v>
      </c>
      <c r="I2" s="67">
        <f t="array" ref="I2">(COUNTA(UNIQUE(C:C))-1)</f>
        <v>1</v>
      </c>
      <c r="K2" s="68" t="str">
        <f>'Internal Summary'!B39</f>
        <v>100g Tosh Cocodia Coconut Flakes (12x)</v>
      </c>
      <c r="L2" s="67">
        <f t="shared" ref="L2:L15" si="1">sumif(D:D,K2,E:E)</f>
        <v>1</v>
      </c>
      <c r="M2" s="67">
        <f t="shared" ref="M2:M15" si="2">sumif(D:D,K2,F:F)</f>
        <v>27000</v>
      </c>
      <c r="N2" s="69"/>
    </row>
    <row r="3">
      <c r="H3" s="66" t="s">
        <v>31</v>
      </c>
      <c r="I3" s="67">
        <f>sum(F:F)</f>
        <v>52000</v>
      </c>
      <c r="K3" s="68" t="str">
        <f>'Internal Summary'!B40</f>
        <v>400g Tosh Cocodia Coconut Poundo (6x)</v>
      </c>
      <c r="L3" s="67">
        <f t="shared" si="1"/>
        <v>0</v>
      </c>
      <c r="M3" s="67">
        <f t="shared" si="2"/>
        <v>25000</v>
      </c>
      <c r="N3" s="69"/>
    </row>
    <row r="4">
      <c r="H4" s="1"/>
      <c r="K4" s="68" t="str">
        <f>'Internal Summary'!B41</f>
        <v>500ml Tosh Cocodia Coconut Oil (6x)</v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A12" s="70">
        <v>45794.0</v>
      </c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H15" s="71"/>
      <c r="I15" s="71"/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/>
    <row r="17"/>
    <row r="18">
      <c r="H18" s="71"/>
      <c r="I18" s="71"/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21">
      <c r="H21" s="71"/>
      <c r="I21" s="71"/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4">
      <c r="H24" s="71"/>
      <c r="I24" s="71"/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7">
      <c r="H27" s="71"/>
      <c r="I27" s="71"/>
      <c r="K27" s="68" t="str">
        <f>'Internal Summary'!B64</f>
        <v/>
      </c>
      <c r="L27" s="67">
        <f>sumif(D:D,K27,E:E)</f>
        <v>0</v>
      </c>
      <c r="M27" s="67">
        <f>sumif(D:D,K27,F:F)</f>
        <v>0</v>
      </c>
    </row>
    <row r="30">
      <c r="H30" s="71"/>
      <c r="I30" s="71"/>
      <c r="K30" s="68" t="str">
        <f>'Internal Summary'!B67</f>
        <v/>
      </c>
      <c r="L30" s="67">
        <f>sumif(D:D,K30,E:E)</f>
        <v>0</v>
      </c>
      <c r="M30" s="67">
        <f>sumif(D:D,K30,F:F)</f>
        <v>0</v>
      </c>
    </row>
    <row r="33">
      <c r="H33" s="71"/>
      <c r="I33" s="71"/>
      <c r="K33" s="68" t="str">
        <f>'Internal Summary'!B70</f>
        <v/>
      </c>
      <c r="L33" s="67">
        <f>sumif(D:D,K33,E:E)</f>
        <v>0</v>
      </c>
      <c r="M33" s="67">
        <f>sumif(D:D,K33,F:F)</f>
        <v>0</v>
      </c>
    </row>
    <row r="36">
      <c r="H36" s="71"/>
      <c r="I36" s="71"/>
      <c r="K36" s="68" t="str">
        <f>'Internal Summary'!B73</f>
        <v/>
      </c>
      <c r="L36" s="67">
        <f>sumif(D:D,K36,E:E)</f>
        <v>0</v>
      </c>
      <c r="M36" s="67">
        <f>sumif(D:D,K36,F:F)</f>
        <v>0</v>
      </c>
    </row>
    <row r="39">
      <c r="H39" s="71"/>
      <c r="I39" s="71"/>
      <c r="K39" s="68" t="str">
        <f>'Internal Summary'!B76</f>
        <v/>
      </c>
      <c r="L39" s="67">
        <f>sumif(D:D,K39,E:E)</f>
        <v>0</v>
      </c>
      <c r="M39" s="67">
        <f>sumif(D:D,K39,F:F)</f>
        <v>0</v>
      </c>
    </row>
    <row r="42">
      <c r="H42" s="71"/>
      <c r="I42" s="71"/>
      <c r="K42" s="68" t="str">
        <f>'Internal Summary'!B79</f>
        <v/>
      </c>
      <c r="L42" s="67">
        <f>sumif(D:D,K42,E:E)</f>
        <v>0</v>
      </c>
      <c r="M42" s="67">
        <f>sumif(D:D,K42,F:F)</f>
        <v>0</v>
      </c>
    </row>
    <row r="45">
      <c r="H45" s="71"/>
      <c r="I45" s="71"/>
      <c r="K45" s="68" t="str">
        <f>'Internal Summary'!B82</f>
        <v/>
      </c>
      <c r="L45" s="67">
        <f>sumif(D:D,K45,E:E)</f>
        <v>0</v>
      </c>
      <c r="M45" s="67">
        <f>sumif(D:D,K45,F:F)</f>
        <v>0</v>
      </c>
    </row>
    <row r="48">
      <c r="H48" s="71"/>
      <c r="I48" s="71"/>
      <c r="K48" s="68" t="str">
        <f>'Internal Summary'!B85</f>
        <v/>
      </c>
      <c r="L48" s="67">
        <f>sumif(D:D,K48,E:E)</f>
        <v>0</v>
      </c>
      <c r="M48" s="67">
        <f>sumif(D:D,K48,F:F)</f>
        <v>0</v>
      </c>
    </row>
    <row r="51">
      <c r="H51" s="71"/>
      <c r="I51" s="71"/>
      <c r="K51" s="68" t="str">
        <f>'Internal Summary'!B88</f>
        <v/>
      </c>
      <c r="L51" s="67">
        <f>sumif(D:D,K51,E:E)</f>
        <v>0</v>
      </c>
      <c r="M51" s="67">
        <f>sumif(D:D,K51,F:F)</f>
        <v>0</v>
      </c>
    </row>
    <row r="54">
      <c r="H54" s="71"/>
      <c r="I54" s="71"/>
    </row>
    <row r="57">
      <c r="H57" s="71"/>
      <c r="I57" s="71"/>
    </row>
    <row r="60">
      <c r="H60" s="71"/>
      <c r="I60" s="71"/>
    </row>
    <row r="63">
      <c r="H63" s="71"/>
      <c r="I63" s="71"/>
    </row>
    <row r="66">
      <c r="H66" s="71"/>
      <c r="I66" s="71"/>
    </row>
    <row r="69">
      <c r="H69" s="71"/>
      <c r="I69" s="71"/>
    </row>
    <row r="72">
      <c r="H72" s="71"/>
      <c r="I72" s="71"/>
    </row>
    <row r="75">
      <c r="H75" s="71"/>
      <c r="I75" s="71"/>
    </row>
    <row r="78">
      <c r="H78" s="71"/>
      <c r="I78" s="71"/>
    </row>
    <row r="81">
      <c r="H81" s="71"/>
      <c r="I81" s="71"/>
    </row>
    <row r="84">
      <c r="H84" s="71"/>
      <c r="I84" s="71"/>
    </row>
    <row r="87">
      <c r="H87" s="71"/>
      <c r="I87" s="71"/>
    </row>
    <row r="90">
      <c r="H90" s="71"/>
      <c r="I90" s="71"/>
    </row>
    <row r="93">
      <c r="H93" s="71"/>
      <c r="I93" s="71"/>
    </row>
    <row r="96">
      <c r="H96" s="71"/>
      <c r="I96" s="71"/>
    </row>
    <row r="99">
      <c r="H99" s="71"/>
      <c r="I99" s="71"/>
    </row>
    <row r="102">
      <c r="H102" s="71"/>
      <c r="I102" s="71"/>
    </row>
    <row r="105">
      <c r="H105" s="71"/>
      <c r="I105" s="71"/>
    </row>
    <row r="108">
      <c r="H108" s="71"/>
      <c r="I108" s="71"/>
    </row>
    <row r="111">
      <c r="H111" s="71"/>
      <c r="I111" s="71"/>
    </row>
    <row r="114">
      <c r="H114" s="71"/>
      <c r="I114" s="71"/>
    </row>
    <row r="117">
      <c r="H117" s="71"/>
      <c r="I117" s="71"/>
    </row>
    <row r="120">
      <c r="H120" s="71"/>
      <c r="I120" s="71"/>
    </row>
    <row r="123">
      <c r="H123" s="71"/>
      <c r="I123" s="71"/>
    </row>
    <row r="126">
      <c r="H126" s="71"/>
      <c r="I126" s="71"/>
    </row>
    <row r="129">
      <c r="H129" s="71"/>
      <c r="I129" s="71"/>
    </row>
    <row r="132">
      <c r="H132" s="71"/>
      <c r="I132" s="71"/>
    </row>
    <row r="135">
      <c r="H135" s="71"/>
      <c r="I135" s="71"/>
    </row>
    <row r="138">
      <c r="H138" s="71"/>
      <c r="I138" s="71"/>
    </row>
    <row r="141">
      <c r="H141" s="71"/>
      <c r="I141" s="71"/>
    </row>
    <row r="144">
      <c r="H144" s="71"/>
      <c r="I144" s="71"/>
    </row>
    <row r="147">
      <c r="H147" s="71"/>
      <c r="I147" s="71"/>
    </row>
    <row r="150">
      <c r="H150" s="71"/>
      <c r="I150" s="71"/>
    </row>
    <row r="153">
      <c r="H153" s="71"/>
      <c r="I153" s="71"/>
    </row>
    <row r="156">
      <c r="H156" s="71"/>
      <c r="I156" s="71"/>
    </row>
    <row r="159">
      <c r="H159" s="71"/>
      <c r="I159" s="71"/>
    </row>
    <row r="162">
      <c r="H162" s="71"/>
      <c r="I162" s="71"/>
    </row>
    <row r="165">
      <c r="H165" s="71"/>
      <c r="I165" s="71"/>
    </row>
    <row r="168">
      <c r="H168" s="71"/>
      <c r="I168" s="71"/>
    </row>
    <row r="171">
      <c r="H171" s="71"/>
      <c r="I171" s="71"/>
    </row>
    <row r="174">
      <c r="H174" s="71"/>
      <c r="I174" s="71"/>
    </row>
    <row r="177">
      <c r="H177" s="71"/>
      <c r="I177" s="71"/>
    </row>
    <row r="180">
      <c r="H180" s="71"/>
      <c r="I180" s="71"/>
    </row>
    <row r="183">
      <c r="H183" s="71"/>
      <c r="I183" s="71"/>
    </row>
    <row r="186">
      <c r="H186" s="71"/>
      <c r="I186" s="71"/>
    </row>
    <row r="189">
      <c r="H189" s="71"/>
      <c r="I189" s="71"/>
    </row>
    <row r="192">
      <c r="H192" s="71"/>
      <c r="I192" s="71"/>
    </row>
    <row r="195">
      <c r="H195" s="71"/>
      <c r="I195" s="71"/>
    </row>
    <row r="198">
      <c r="H198" s="71"/>
      <c r="I198" s="71"/>
    </row>
    <row r="201">
      <c r="H201" s="71"/>
      <c r="I201" s="71"/>
    </row>
    <row r="204">
      <c r="H204" s="71"/>
      <c r="I204" s="71"/>
    </row>
    <row r="207">
      <c r="H207" s="71"/>
      <c r="I207" s="71"/>
    </row>
    <row r="210">
      <c r="H210" s="71"/>
      <c r="I210" s="71"/>
    </row>
    <row r="213">
      <c r="H213" s="71"/>
      <c r="I213" s="71"/>
    </row>
    <row r="216">
      <c r="H216" s="71"/>
      <c r="I216" s="71"/>
    </row>
    <row r="219">
      <c r="H219" s="71"/>
      <c r="I219" s="71"/>
    </row>
    <row r="222">
      <c r="H222" s="71"/>
      <c r="I222" s="71"/>
    </row>
    <row r="225">
      <c r="H225" s="71"/>
      <c r="I225" s="71"/>
    </row>
    <row r="228">
      <c r="H228" s="71"/>
      <c r="I228" s="71"/>
    </row>
    <row r="231">
      <c r="H231" s="71"/>
      <c r="I231" s="71"/>
    </row>
    <row r="234">
      <c r="H234" s="71"/>
      <c r="I234" s="71"/>
    </row>
    <row r="237">
      <c r="H237" s="71"/>
      <c r="I237" s="71"/>
    </row>
    <row r="240">
      <c r="H240" s="71"/>
      <c r="I240" s="71"/>
    </row>
    <row r="243">
      <c r="H243" s="71"/>
      <c r="I243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29</v>
      </c>
      <c r="M1" s="72" t="s">
        <v>13</v>
      </c>
    </row>
    <row r="2">
      <c r="H2" s="66" t="s">
        <v>30</v>
      </c>
      <c r="I2" s="67">
        <f t="array" ref="I2">(COUNTA(UNIQUE(C:C))-1)</f>
        <v>0</v>
      </c>
      <c r="K2" s="68" t="str">
        <f>'Internal Summary'!B39</f>
        <v>100g Tosh Cocodia Coconut Flakes (12x)</v>
      </c>
      <c r="L2" s="67">
        <f t="shared" ref="L2:L15" si="1">sumif(D:D,K2,E:E)</f>
        <v>0</v>
      </c>
      <c r="M2" s="67">
        <f t="shared" ref="M2:M15" si="2">sumif(D:D,K2,F:F)</f>
        <v>0</v>
      </c>
    </row>
    <row r="3">
      <c r="H3" s="66" t="s">
        <v>31</v>
      </c>
      <c r="I3" s="67">
        <f>sum(F:F)</f>
        <v>0</v>
      </c>
      <c r="K3" s="68" t="str">
        <f>'Internal Summary'!B40</f>
        <v>400g Tosh Cocodia Coconut Poundo (6x)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Summary'!B41</f>
        <v>500ml Tosh Cocodia Coconut Oil (6x)</v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 hidden="1"/>
    <row r="17" hidden="1"/>
    <row r="18"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 hidden="1"/>
    <row r="20" hidden="1"/>
    <row r="21"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 hidden="1"/>
    <row r="23" hidden="1"/>
    <row r="24"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32</v>
      </c>
      <c r="M1" s="72" t="s">
        <v>13</v>
      </c>
    </row>
    <row r="2">
      <c r="H2" s="66" t="s">
        <v>30</v>
      </c>
      <c r="I2" s="67">
        <f t="array" ref="I2">(COUNTA(UNIQUE(C:C))-1)</f>
        <v>0</v>
      </c>
      <c r="K2" s="68" t="str">
        <f>'Internal Summary'!B39</f>
        <v>100g Tosh Cocodia Coconut Flakes (12x)</v>
      </c>
      <c r="L2" s="67">
        <f t="shared" ref="L2:L15" si="1">sumif(D:D,K2,E:E)</f>
        <v>0</v>
      </c>
      <c r="M2" s="68"/>
    </row>
    <row r="3">
      <c r="H3" s="66" t="s">
        <v>31</v>
      </c>
      <c r="I3" s="67">
        <f>sum(F:F)</f>
        <v>0</v>
      </c>
      <c r="K3" s="68" t="str">
        <f>'Internal Summary'!B40</f>
        <v>400g Tosh Cocodia Coconut Poundo (6x)</v>
      </c>
      <c r="L3" s="67">
        <f t="shared" si="1"/>
        <v>0</v>
      </c>
      <c r="M3" s="68"/>
    </row>
    <row r="4">
      <c r="H4" s="1"/>
      <c r="K4" s="68" t="str">
        <f>'Internal Summary'!B41</f>
        <v>500ml Tosh Cocodia Coconut Oil (6x)</v>
      </c>
      <c r="L4" s="67">
        <f t="shared" si="1"/>
        <v>0</v>
      </c>
      <c r="M4" s="68"/>
    </row>
    <row r="5">
      <c r="H5" s="1"/>
      <c r="K5" s="68" t="str">
        <f>'Internal Summary'!B42</f>
        <v/>
      </c>
      <c r="L5" s="67">
        <f t="shared" si="1"/>
        <v>0</v>
      </c>
      <c r="M5" s="68"/>
    </row>
    <row r="6">
      <c r="K6" s="68" t="str">
        <f>'Internal Summary'!B43</f>
        <v/>
      </c>
      <c r="L6" s="67">
        <f t="shared" si="1"/>
        <v>0</v>
      </c>
      <c r="M6" s="68"/>
    </row>
    <row r="7">
      <c r="K7" s="68" t="str">
        <f>'Internal Summary'!B44</f>
        <v/>
      </c>
      <c r="L7" s="67">
        <f t="shared" si="1"/>
        <v>0</v>
      </c>
      <c r="M7" s="68"/>
    </row>
    <row r="8">
      <c r="K8" s="68" t="str">
        <f>'Internal Summary'!B45</f>
        <v/>
      </c>
      <c r="L8" s="67">
        <f t="shared" si="1"/>
        <v>0</v>
      </c>
      <c r="M8" s="68"/>
    </row>
    <row r="9">
      <c r="K9" s="68" t="str">
        <f>'Internal Summary'!B46</f>
        <v/>
      </c>
      <c r="L9" s="67">
        <f t="shared" si="1"/>
        <v>0</v>
      </c>
      <c r="M9" s="68"/>
    </row>
    <row r="10">
      <c r="K10" s="68" t="str">
        <f>'Internal Summary'!B47</f>
        <v/>
      </c>
      <c r="L10" s="67">
        <f t="shared" si="1"/>
        <v>0</v>
      </c>
      <c r="M10" s="68"/>
    </row>
    <row r="11">
      <c r="K11" s="68" t="str">
        <f>'Internal Summary'!B48</f>
        <v/>
      </c>
      <c r="L11" s="67">
        <f t="shared" si="1"/>
        <v>0</v>
      </c>
      <c r="M11" s="68"/>
    </row>
    <row r="12">
      <c r="K12" s="68" t="str">
        <f>'Internal Summary'!B49</f>
        <v/>
      </c>
      <c r="L12" s="67">
        <f t="shared" si="1"/>
        <v>0</v>
      </c>
      <c r="M12" s="68"/>
    </row>
    <row r="13">
      <c r="K13" s="68" t="str">
        <f>'Internal Summary'!B50</f>
        <v/>
      </c>
      <c r="L13" s="67">
        <f t="shared" si="1"/>
        <v>0</v>
      </c>
      <c r="M13" s="68"/>
    </row>
    <row r="14">
      <c r="K14" s="68" t="str">
        <f>'Internal Summary'!B51</f>
        <v/>
      </c>
      <c r="L14" s="67">
        <f t="shared" si="1"/>
        <v>0</v>
      </c>
      <c r="M14" s="68"/>
    </row>
    <row r="15">
      <c r="K15" s="68" t="str">
        <f>'Internal Summary'!B52</f>
        <v/>
      </c>
      <c r="L15" s="67">
        <f t="shared" si="1"/>
        <v>0</v>
      </c>
      <c r="M15" s="6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3"/>
      <c r="H1" s="66" t="s">
        <v>27</v>
      </c>
      <c r="I1" s="67">
        <f>countifs(B:B,"&lt;&gt;",F:F,"&lt;&gt;")-1</f>
        <v>1</v>
      </c>
      <c r="K1" s="72" t="s">
        <v>28</v>
      </c>
      <c r="L1" s="72" t="s">
        <v>29</v>
      </c>
    </row>
    <row r="2">
      <c r="E2" s="73"/>
      <c r="H2" s="66" t="s">
        <v>30</v>
      </c>
      <c r="I2" s="67">
        <f t="array" ref="I2">(COUNTA(UNIQUE(C:C,,0))-1)</f>
        <v>1</v>
      </c>
      <c r="K2" s="68" t="str">
        <f>'Internal Summary'!B39</f>
        <v>100g Tosh Cocodia Coconut Flakes (12x)</v>
      </c>
      <c r="L2" s="67">
        <f t="shared" ref="L2:L15" si="1">sumif(D:D,K2,E:E)</f>
        <v>5</v>
      </c>
    </row>
    <row r="3">
      <c r="E3" s="73"/>
      <c r="H3" s="66" t="s">
        <v>31</v>
      </c>
      <c r="I3" s="67">
        <f>sum(F:F)</f>
        <v>867500</v>
      </c>
      <c r="K3" s="68" t="str">
        <f>'Internal Summary'!B40</f>
        <v>400g Tosh Cocodia Coconut Poundo (6x)</v>
      </c>
      <c r="L3" s="67">
        <f t="shared" si="1"/>
        <v>0</v>
      </c>
    </row>
    <row r="4">
      <c r="E4" s="73"/>
      <c r="H4" s="1"/>
      <c r="K4" s="68" t="str">
        <f>'Internal Summary'!B41</f>
        <v>500ml Tosh Cocodia Coconut Oil (6x)</v>
      </c>
      <c r="L4" s="67">
        <f t="shared" si="1"/>
        <v>0</v>
      </c>
    </row>
    <row r="5">
      <c r="E5" s="73"/>
      <c r="H5" s="1"/>
      <c r="K5" s="68" t="str">
        <f>'Internal Summary'!B42</f>
        <v/>
      </c>
      <c r="L5" s="67">
        <f t="shared" si="1"/>
        <v>0</v>
      </c>
    </row>
    <row r="6">
      <c r="E6" s="73"/>
      <c r="K6" s="68" t="str">
        <f>'Internal Summary'!B43</f>
        <v/>
      </c>
      <c r="L6" s="67">
        <f t="shared" si="1"/>
        <v>0</v>
      </c>
    </row>
    <row r="7">
      <c r="E7" s="73"/>
      <c r="K7" s="68" t="str">
        <f>'Internal Summary'!B44</f>
        <v/>
      </c>
      <c r="L7" s="67">
        <f t="shared" si="1"/>
        <v>0</v>
      </c>
    </row>
    <row r="8">
      <c r="E8" s="73"/>
      <c r="K8" s="68" t="str">
        <f>'Internal Summary'!B45</f>
        <v/>
      </c>
      <c r="L8" s="67">
        <f t="shared" si="1"/>
        <v>0</v>
      </c>
    </row>
    <row r="9">
      <c r="E9" s="73"/>
      <c r="K9" s="68" t="str">
        <f>'Internal Summary'!B46</f>
        <v/>
      </c>
      <c r="L9" s="67">
        <f t="shared" si="1"/>
        <v>0</v>
      </c>
    </row>
    <row r="10">
      <c r="E10" s="73"/>
      <c r="K10" s="68" t="str">
        <f>'Internal Summary'!B47</f>
        <v/>
      </c>
      <c r="L10" s="67">
        <f t="shared" si="1"/>
        <v>0</v>
      </c>
    </row>
    <row r="11">
      <c r="E11" s="73"/>
      <c r="K11" s="68" t="str">
        <f>'Internal Summary'!B48</f>
        <v/>
      </c>
      <c r="L11" s="67">
        <f t="shared" si="1"/>
        <v>0</v>
      </c>
    </row>
    <row r="12">
      <c r="E12" s="73"/>
      <c r="K12" s="68" t="str">
        <f>'Internal Summary'!B49</f>
        <v/>
      </c>
      <c r="L12" s="67">
        <f t="shared" si="1"/>
        <v>0</v>
      </c>
    </row>
    <row r="13">
      <c r="E13" s="73"/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  <row r="18">
      <c r="K18" s="68" t="str">
        <f>'Internal Summary'!B55</f>
        <v/>
      </c>
      <c r="L18" s="67">
        <f>sumif(D:D,K18,E:E)</f>
        <v>0</v>
      </c>
    </row>
    <row r="19">
      <c r="E19" s="73"/>
    </row>
    <row r="20">
      <c r="E20" s="73"/>
    </row>
    <row r="21">
      <c r="E21" s="73"/>
      <c r="K21" s="68" t="str">
        <f>'Internal Summary'!B58</f>
        <v/>
      </c>
      <c r="L21" s="67">
        <f>sumif(D:D,K21,E:E)</f>
        <v>0</v>
      </c>
    </row>
    <row r="22">
      <c r="E22" s="73"/>
    </row>
    <row r="23">
      <c r="E23" s="73"/>
    </row>
    <row r="24">
      <c r="E24" s="73"/>
      <c r="K24" s="68" t="str">
        <f>'Internal Summary'!B61</f>
        <v/>
      </c>
      <c r="L24" s="67">
        <f>sumif(D:D,K24,E:E)</f>
        <v>0</v>
      </c>
    </row>
    <row r="25">
      <c r="E25" s="73"/>
    </row>
    <row r="26">
      <c r="E26" s="73"/>
    </row>
    <row r="27">
      <c r="E27" s="73"/>
      <c r="K27" s="68" t="str">
        <f>'Internal Summary'!B64</f>
        <v/>
      </c>
      <c r="L27" s="67">
        <f>sumif(D:D,K27,E:E)</f>
        <v>0</v>
      </c>
    </row>
    <row r="28">
      <c r="E28" s="73"/>
    </row>
    <row r="29">
      <c r="E29" s="73"/>
    </row>
    <row r="30">
      <c r="E30" s="73"/>
    </row>
    <row r="31">
      <c r="E31" s="73"/>
    </row>
    <row r="32">
      <c r="E32" s="73"/>
    </row>
    <row r="33">
      <c r="E33" s="73"/>
    </row>
    <row r="34">
      <c r="E34" s="73"/>
    </row>
    <row r="35">
      <c r="E35" s="73"/>
    </row>
    <row r="36">
      <c r="E36" s="73"/>
    </row>
    <row r="37">
      <c r="E37" s="73"/>
    </row>
    <row r="38">
      <c r="E38" s="73"/>
    </row>
    <row r="39">
      <c r="E39" s="73"/>
    </row>
    <row r="40">
      <c r="E40" s="73"/>
    </row>
    <row r="41">
      <c r="E41" s="73"/>
    </row>
    <row r="42">
      <c r="E42" s="73"/>
    </row>
    <row r="43">
      <c r="E43" s="73"/>
    </row>
    <row r="44">
      <c r="E44" s="73"/>
    </row>
    <row r="45">
      <c r="E45" s="73"/>
    </row>
    <row r="46">
      <c r="E46" s="73"/>
    </row>
    <row r="47">
      <c r="E47" s="73"/>
    </row>
    <row r="48">
      <c r="E48" s="73"/>
    </row>
    <row r="49">
      <c r="E49" s="73"/>
    </row>
    <row r="50">
      <c r="E50" s="73"/>
    </row>
    <row r="51">
      <c r="E51" s="73"/>
    </row>
    <row r="52">
      <c r="E52" s="73"/>
    </row>
    <row r="53">
      <c r="E53" s="73"/>
    </row>
    <row r="54">
      <c r="E54" s="73"/>
    </row>
    <row r="55">
      <c r="E55" s="73"/>
    </row>
    <row r="56">
      <c r="E56" s="73"/>
    </row>
    <row r="57">
      <c r="E57" s="73"/>
    </row>
    <row r="58">
      <c r="E58" s="73"/>
    </row>
    <row r="59">
      <c r="E59" s="73"/>
    </row>
    <row r="60">
      <c r="E60" s="73"/>
    </row>
    <row r="61">
      <c r="E61" s="73"/>
    </row>
    <row r="62">
      <c r="E62" s="73"/>
    </row>
    <row r="63">
      <c r="E63" s="73"/>
    </row>
    <row r="64">
      <c r="E64" s="73"/>
    </row>
    <row r="65">
      <c r="E65" s="73"/>
    </row>
    <row r="66">
      <c r="E66" s="73"/>
    </row>
    <row r="67">
      <c r="E67" s="73"/>
    </row>
    <row r="68">
      <c r="E68" s="73"/>
    </row>
    <row r="69">
      <c r="E69" s="73"/>
    </row>
    <row r="70">
      <c r="E70" s="73"/>
    </row>
    <row r="71">
      <c r="E71" s="73"/>
    </row>
    <row r="72">
      <c r="E72" s="73"/>
    </row>
    <row r="73">
      <c r="E73" s="73"/>
    </row>
    <row r="74">
      <c r="E74" s="73"/>
    </row>
    <row r="75">
      <c r="E75" s="73"/>
    </row>
    <row r="76">
      <c r="E76" s="73"/>
    </row>
    <row r="77">
      <c r="E77" s="73"/>
    </row>
    <row r="78">
      <c r="E78" s="73"/>
    </row>
    <row r="79">
      <c r="E79" s="73"/>
    </row>
    <row r="80">
      <c r="E80" s="73"/>
    </row>
    <row r="81">
      <c r="E81" s="73"/>
    </row>
    <row r="82">
      <c r="E82" s="73"/>
    </row>
    <row r="83">
      <c r="E83" s="73"/>
    </row>
    <row r="84">
      <c r="E84" s="73"/>
    </row>
    <row r="85">
      <c r="E85" s="73"/>
    </row>
    <row r="86">
      <c r="E86" s="73"/>
    </row>
    <row r="87">
      <c r="E87" s="73"/>
    </row>
    <row r="88">
      <c r="E88" s="73"/>
    </row>
    <row r="89">
      <c r="E89" s="73"/>
    </row>
    <row r="90">
      <c r="E90" s="73"/>
    </row>
    <row r="91">
      <c r="E91" s="73"/>
    </row>
    <row r="92">
      <c r="E92" s="73"/>
    </row>
    <row r="93">
      <c r="E93" s="73"/>
    </row>
    <row r="94">
      <c r="E94" s="73"/>
    </row>
    <row r="95">
      <c r="E95" s="73"/>
    </row>
    <row r="96">
      <c r="E96" s="73"/>
    </row>
    <row r="97">
      <c r="E97" s="73"/>
    </row>
    <row r="98">
      <c r="E98" s="73"/>
    </row>
    <row r="99">
      <c r="E99" s="73"/>
    </row>
    <row r="100">
      <c r="E100" s="73"/>
    </row>
    <row r="101">
      <c r="E101" s="73"/>
    </row>
    <row r="102">
      <c r="E102" s="73"/>
    </row>
    <row r="103">
      <c r="E103" s="73"/>
    </row>
    <row r="104">
      <c r="E104" s="73"/>
    </row>
    <row r="105">
      <c r="E105" s="73"/>
    </row>
    <row r="106">
      <c r="E106" s="73"/>
    </row>
    <row r="107">
      <c r="E107" s="73"/>
    </row>
    <row r="108">
      <c r="E108" s="73"/>
    </row>
    <row r="109">
      <c r="E109" s="73"/>
    </row>
    <row r="110">
      <c r="E110" s="73"/>
    </row>
    <row r="111">
      <c r="E111" s="73"/>
    </row>
    <row r="112">
      <c r="E112" s="73"/>
    </row>
    <row r="113">
      <c r="E113" s="73"/>
    </row>
    <row r="114">
      <c r="E114" s="73"/>
    </row>
    <row r="115">
      <c r="E115" s="73"/>
    </row>
    <row r="116">
      <c r="E116" s="73"/>
    </row>
    <row r="117">
      <c r="E117" s="73"/>
    </row>
    <row r="118">
      <c r="E118" s="73"/>
    </row>
    <row r="119">
      <c r="E119" s="73"/>
    </row>
    <row r="120">
      <c r="E120" s="73"/>
    </row>
    <row r="121">
      <c r="E121" s="73"/>
    </row>
    <row r="122">
      <c r="E122" s="73"/>
    </row>
    <row r="123">
      <c r="E123" s="73"/>
    </row>
    <row r="124">
      <c r="E124" s="73"/>
    </row>
    <row r="125">
      <c r="E125" s="73"/>
    </row>
    <row r="126">
      <c r="E126" s="73"/>
    </row>
    <row r="127">
      <c r="E127" s="73"/>
    </row>
    <row r="128">
      <c r="E128" s="73"/>
    </row>
    <row r="129">
      <c r="E129" s="73"/>
    </row>
    <row r="130">
      <c r="E130" s="73"/>
    </row>
    <row r="131">
      <c r="E131" s="73"/>
    </row>
    <row r="132">
      <c r="E132" s="73"/>
    </row>
    <row r="133">
      <c r="E133" s="73"/>
    </row>
    <row r="134">
      <c r="E134" s="73"/>
    </row>
    <row r="135">
      <c r="E135" s="73"/>
    </row>
    <row r="136">
      <c r="E136" s="73"/>
    </row>
    <row r="137">
      <c r="E137" s="73"/>
    </row>
    <row r="138">
      <c r="E138" s="73"/>
    </row>
    <row r="139">
      <c r="E139" s="73"/>
    </row>
    <row r="140">
      <c r="E140" s="73"/>
    </row>
    <row r="141">
      <c r="E141" s="73"/>
    </row>
    <row r="142">
      <c r="E142" s="73"/>
    </row>
    <row r="143">
      <c r="E143" s="73"/>
    </row>
    <row r="144">
      <c r="E144" s="73"/>
    </row>
    <row r="145">
      <c r="E145" s="73"/>
    </row>
    <row r="146">
      <c r="E146" s="73"/>
    </row>
    <row r="147">
      <c r="E147" s="73"/>
    </row>
    <row r="148">
      <c r="E148" s="73"/>
    </row>
    <row r="149">
      <c r="E149" s="73"/>
    </row>
    <row r="150">
      <c r="E150" s="73"/>
    </row>
    <row r="151">
      <c r="E151" s="73"/>
    </row>
    <row r="152">
      <c r="E152" s="73"/>
    </row>
    <row r="153">
      <c r="E153" s="73"/>
    </row>
    <row r="154">
      <c r="E154" s="73"/>
    </row>
    <row r="155">
      <c r="E155" s="73"/>
    </row>
    <row r="156">
      <c r="E156" s="73"/>
    </row>
    <row r="157">
      <c r="E157" s="73"/>
    </row>
    <row r="158">
      <c r="E158" s="73"/>
    </row>
    <row r="159">
      <c r="E159" s="73"/>
    </row>
    <row r="160">
      <c r="E160" s="73"/>
    </row>
    <row r="161">
      <c r="E161" s="73"/>
    </row>
    <row r="162">
      <c r="E162" s="73"/>
    </row>
    <row r="163">
      <c r="E163" s="73"/>
    </row>
    <row r="164">
      <c r="E164" s="73"/>
    </row>
    <row r="165">
      <c r="E165" s="73"/>
    </row>
    <row r="166">
      <c r="E166" s="73"/>
    </row>
    <row r="167">
      <c r="E167" s="73"/>
    </row>
    <row r="168">
      <c r="E168" s="73"/>
    </row>
    <row r="169">
      <c r="E169" s="73"/>
    </row>
    <row r="170">
      <c r="E170" s="73"/>
    </row>
    <row r="171">
      <c r="E171" s="73"/>
    </row>
    <row r="172">
      <c r="E172" s="73"/>
    </row>
    <row r="173">
      <c r="E173" s="73"/>
    </row>
    <row r="174">
      <c r="E174" s="73"/>
    </row>
    <row r="175">
      <c r="E175" s="73"/>
    </row>
    <row r="176">
      <c r="E176" s="73"/>
    </row>
    <row r="177">
      <c r="E177" s="73"/>
    </row>
    <row r="178">
      <c r="E178" s="73"/>
    </row>
    <row r="179">
      <c r="E179" s="73"/>
    </row>
    <row r="180">
      <c r="E180" s="73"/>
    </row>
    <row r="181">
      <c r="E181" s="73"/>
    </row>
    <row r="182">
      <c r="E182" s="73"/>
    </row>
    <row r="183">
      <c r="E183" s="73"/>
    </row>
    <row r="184">
      <c r="E184" s="73"/>
    </row>
    <row r="185">
      <c r="E185" s="73"/>
    </row>
    <row r="186">
      <c r="E186" s="73"/>
    </row>
    <row r="187">
      <c r="E187" s="73"/>
    </row>
    <row r="188">
      <c r="E188" s="73"/>
    </row>
    <row r="189">
      <c r="E189" s="73"/>
    </row>
    <row r="190">
      <c r="E190" s="73"/>
    </row>
    <row r="191">
      <c r="E191" s="73"/>
    </row>
    <row r="192">
      <c r="E192" s="73"/>
    </row>
    <row r="193">
      <c r="E193" s="73"/>
    </row>
    <row r="194">
      <c r="E194" s="73"/>
    </row>
    <row r="195">
      <c r="E195" s="73"/>
    </row>
    <row r="196">
      <c r="E196" s="73"/>
    </row>
    <row r="197">
      <c r="E197" s="73"/>
    </row>
    <row r="198">
      <c r="E198" s="73"/>
    </row>
    <row r="199">
      <c r="E199" s="73"/>
    </row>
    <row r="200">
      <c r="E200" s="73"/>
    </row>
    <row r="201">
      <c r="E201" s="73"/>
    </row>
    <row r="202">
      <c r="E202" s="73"/>
    </row>
    <row r="203">
      <c r="E203" s="73"/>
    </row>
    <row r="204">
      <c r="E204" s="73"/>
    </row>
    <row r="205">
      <c r="E205" s="73"/>
    </row>
    <row r="206">
      <c r="E206" s="73"/>
    </row>
    <row r="207">
      <c r="E207" s="73"/>
    </row>
    <row r="208">
      <c r="E208" s="73"/>
    </row>
    <row r="209">
      <c r="E209" s="73"/>
    </row>
    <row r="210">
      <c r="E210" s="73"/>
    </row>
    <row r="211">
      <c r="E211" s="73"/>
    </row>
    <row r="212">
      <c r="E212" s="73"/>
    </row>
    <row r="213">
      <c r="E213" s="73"/>
    </row>
    <row r="214">
      <c r="E214" s="73"/>
    </row>
    <row r="215">
      <c r="E215" s="73"/>
    </row>
    <row r="216">
      <c r="E216" s="73"/>
    </row>
    <row r="217">
      <c r="E217" s="73"/>
    </row>
    <row r="218">
      <c r="E218" s="73"/>
    </row>
    <row r="219">
      <c r="E219" s="73"/>
    </row>
    <row r="220">
      <c r="E220" s="73"/>
    </row>
    <row r="221">
      <c r="E221" s="73"/>
    </row>
    <row r="222">
      <c r="E222" s="73"/>
    </row>
    <row r="223">
      <c r="E223" s="73"/>
    </row>
    <row r="224">
      <c r="E224" s="73"/>
    </row>
    <row r="225">
      <c r="E225" s="73"/>
    </row>
    <row r="226">
      <c r="E226" s="73"/>
    </row>
    <row r="227">
      <c r="E227" s="73"/>
    </row>
    <row r="228">
      <c r="E228" s="73"/>
    </row>
    <row r="229">
      <c r="E229" s="73"/>
    </row>
    <row r="230">
      <c r="E230" s="73"/>
    </row>
    <row r="231">
      <c r="E231" s="73"/>
    </row>
    <row r="232">
      <c r="E232" s="73"/>
    </row>
    <row r="233">
      <c r="E233" s="73"/>
    </row>
    <row r="234">
      <c r="E234" s="73"/>
    </row>
    <row r="235">
      <c r="E235" s="73"/>
    </row>
    <row r="236">
      <c r="E236" s="73"/>
    </row>
    <row r="237">
      <c r="E237" s="73"/>
    </row>
    <row r="238">
      <c r="E238" s="73"/>
    </row>
    <row r="239">
      <c r="E239" s="73"/>
    </row>
    <row r="240">
      <c r="E240" s="73"/>
    </row>
    <row r="241">
      <c r="E241" s="73"/>
    </row>
    <row r="242">
      <c r="E242" s="73"/>
    </row>
    <row r="243">
      <c r="E243" s="73"/>
    </row>
    <row r="244">
      <c r="E244" s="73"/>
    </row>
    <row r="245">
      <c r="E245" s="73"/>
    </row>
    <row r="246">
      <c r="E246" s="73"/>
    </row>
    <row r="247">
      <c r="E247" s="73"/>
    </row>
    <row r="248">
      <c r="E248" s="73"/>
    </row>
    <row r="249">
      <c r="E249" s="73"/>
    </row>
    <row r="250">
      <c r="E250" s="73"/>
    </row>
    <row r="251">
      <c r="E251" s="73"/>
    </row>
    <row r="252">
      <c r="E252" s="73"/>
    </row>
    <row r="253">
      <c r="E253" s="73"/>
    </row>
    <row r="254">
      <c r="E254" s="73"/>
    </row>
    <row r="255">
      <c r="E255" s="73"/>
    </row>
    <row r="256">
      <c r="E256" s="73"/>
    </row>
    <row r="257">
      <c r="E257" s="73"/>
    </row>
    <row r="258">
      <c r="E258" s="73"/>
    </row>
    <row r="259">
      <c r="E259" s="73"/>
    </row>
    <row r="260">
      <c r="E260" s="73"/>
    </row>
    <row r="261">
      <c r="E261" s="73"/>
    </row>
    <row r="262">
      <c r="E262" s="73"/>
    </row>
    <row r="263">
      <c r="E263" s="73"/>
    </row>
    <row r="264">
      <c r="E264" s="73"/>
    </row>
    <row r="265">
      <c r="E265" s="73"/>
    </row>
    <row r="266">
      <c r="E266" s="73"/>
    </row>
    <row r="267">
      <c r="E267" s="73"/>
    </row>
    <row r="268">
      <c r="E268" s="73"/>
    </row>
    <row r="269">
      <c r="E269" s="73"/>
    </row>
    <row r="270">
      <c r="E270" s="73"/>
    </row>
    <row r="271">
      <c r="E271" s="73"/>
    </row>
    <row r="272">
      <c r="E272" s="73"/>
    </row>
    <row r="273">
      <c r="E273" s="73"/>
    </row>
    <row r="274">
      <c r="E274" s="73"/>
    </row>
    <row r="275">
      <c r="E275" s="73"/>
    </row>
    <row r="276">
      <c r="E276" s="73"/>
    </row>
    <row r="277">
      <c r="E277" s="73"/>
    </row>
    <row r="278">
      <c r="E278" s="73"/>
    </row>
    <row r="279">
      <c r="E279" s="73"/>
    </row>
    <row r="280">
      <c r="E280" s="73"/>
    </row>
    <row r="281">
      <c r="E281" s="73"/>
    </row>
    <row r="282">
      <c r="E282" s="73"/>
    </row>
    <row r="283">
      <c r="E283" s="73"/>
    </row>
    <row r="284">
      <c r="E284" s="73"/>
    </row>
    <row r="285">
      <c r="E285" s="73"/>
    </row>
    <row r="286">
      <c r="E286" s="73"/>
    </row>
    <row r="287">
      <c r="E287" s="73"/>
    </row>
    <row r="288">
      <c r="E288" s="73"/>
    </row>
    <row r="289">
      <c r="E289" s="73"/>
    </row>
    <row r="290">
      <c r="E290" s="73"/>
    </row>
    <row r="291">
      <c r="E291" s="73"/>
    </row>
    <row r="292">
      <c r="E292" s="73"/>
    </row>
    <row r="293">
      <c r="E293" s="73"/>
    </row>
    <row r="294">
      <c r="E294" s="73"/>
    </row>
    <row r="295">
      <c r="E295" s="73"/>
    </row>
    <row r="296">
      <c r="E296" s="73"/>
    </row>
    <row r="297">
      <c r="E297" s="73"/>
    </row>
    <row r="298">
      <c r="E298" s="73"/>
    </row>
    <row r="299">
      <c r="E299" s="73"/>
    </row>
    <row r="300">
      <c r="E300" s="73"/>
    </row>
    <row r="301">
      <c r="E301" s="73"/>
    </row>
    <row r="302">
      <c r="E302" s="73"/>
    </row>
    <row r="303">
      <c r="E303" s="73"/>
    </row>
    <row r="304">
      <c r="E304" s="73"/>
    </row>
    <row r="305">
      <c r="E305" s="73"/>
    </row>
    <row r="306">
      <c r="E306" s="73"/>
    </row>
    <row r="307">
      <c r="E307" s="73"/>
    </row>
    <row r="308">
      <c r="E308" s="73"/>
    </row>
    <row r="309">
      <c r="E309" s="73"/>
    </row>
    <row r="310">
      <c r="E310" s="73"/>
    </row>
    <row r="311">
      <c r="E311" s="73"/>
    </row>
    <row r="312">
      <c r="E312" s="73"/>
    </row>
    <row r="313">
      <c r="E313" s="73"/>
    </row>
    <row r="314">
      <c r="E314" s="73"/>
    </row>
    <row r="315">
      <c r="E315" s="73"/>
    </row>
    <row r="316">
      <c r="E316" s="73"/>
    </row>
    <row r="317">
      <c r="E317" s="73"/>
    </row>
    <row r="318">
      <c r="E318" s="73"/>
    </row>
    <row r="319">
      <c r="E319" s="73"/>
    </row>
    <row r="320">
      <c r="E320" s="73"/>
    </row>
    <row r="321">
      <c r="E321" s="73"/>
    </row>
    <row r="322">
      <c r="E322" s="73"/>
    </row>
    <row r="323">
      <c r="E323" s="73"/>
    </row>
    <row r="324">
      <c r="E324" s="73"/>
    </row>
    <row r="325">
      <c r="E325" s="73"/>
    </row>
    <row r="326">
      <c r="E326" s="73"/>
    </row>
    <row r="327">
      <c r="E327" s="73"/>
    </row>
    <row r="328">
      <c r="E328" s="73"/>
    </row>
    <row r="329">
      <c r="E329" s="73"/>
    </row>
    <row r="330">
      <c r="E330" s="73"/>
    </row>
    <row r="331">
      <c r="E331" s="73"/>
    </row>
    <row r="332">
      <c r="E332" s="73"/>
    </row>
    <row r="333">
      <c r="E333" s="73"/>
    </row>
    <row r="334">
      <c r="E334" s="73"/>
    </row>
    <row r="335">
      <c r="E335" s="73"/>
    </row>
    <row r="336">
      <c r="E336" s="73"/>
    </row>
    <row r="337">
      <c r="E337" s="73"/>
    </row>
    <row r="338">
      <c r="E338" s="73"/>
    </row>
    <row r="339">
      <c r="E339" s="73"/>
    </row>
    <row r="340">
      <c r="E340" s="73"/>
    </row>
    <row r="341">
      <c r="E341" s="73"/>
    </row>
    <row r="342">
      <c r="E342" s="73"/>
    </row>
    <row r="343">
      <c r="E343" s="73"/>
    </row>
    <row r="344">
      <c r="E344" s="73"/>
    </row>
    <row r="345">
      <c r="E345" s="73"/>
    </row>
    <row r="346">
      <c r="E346" s="73"/>
    </row>
    <row r="347">
      <c r="E347" s="73"/>
    </row>
    <row r="348">
      <c r="E348" s="73"/>
    </row>
    <row r="349">
      <c r="E349" s="73"/>
    </row>
    <row r="350">
      <c r="E350" s="73"/>
    </row>
    <row r="351">
      <c r="E351" s="73"/>
    </row>
    <row r="352">
      <c r="E352" s="73"/>
    </row>
    <row r="353">
      <c r="E353" s="73"/>
    </row>
    <row r="354">
      <c r="E354" s="73"/>
    </row>
    <row r="355">
      <c r="E355" s="73"/>
    </row>
    <row r="356">
      <c r="E356" s="73"/>
    </row>
    <row r="357">
      <c r="E357" s="73"/>
    </row>
    <row r="358">
      <c r="E358" s="73"/>
    </row>
    <row r="359">
      <c r="E359" s="73"/>
    </row>
    <row r="360">
      <c r="E360" s="73"/>
    </row>
    <row r="361">
      <c r="E361" s="73"/>
    </row>
    <row r="362">
      <c r="E362" s="73"/>
    </row>
    <row r="363">
      <c r="E363" s="73"/>
    </row>
    <row r="364">
      <c r="E364" s="73"/>
    </row>
    <row r="365">
      <c r="E365" s="73"/>
    </row>
    <row r="366">
      <c r="E366" s="73"/>
    </row>
    <row r="367">
      <c r="E367" s="73"/>
    </row>
    <row r="368">
      <c r="E368" s="73"/>
    </row>
    <row r="369">
      <c r="E369" s="73"/>
    </row>
    <row r="370">
      <c r="E370" s="73"/>
    </row>
    <row r="371">
      <c r="E371" s="73"/>
    </row>
    <row r="372">
      <c r="E372" s="73"/>
    </row>
    <row r="373">
      <c r="E373" s="73"/>
    </row>
    <row r="374">
      <c r="E374" s="73"/>
    </row>
    <row r="375">
      <c r="E375" s="73"/>
    </row>
    <row r="376">
      <c r="E376" s="73"/>
    </row>
    <row r="377">
      <c r="E377" s="73"/>
    </row>
    <row r="378">
      <c r="E378" s="73"/>
    </row>
    <row r="379">
      <c r="E379" s="73"/>
    </row>
    <row r="380">
      <c r="E380" s="73"/>
    </row>
    <row r="381">
      <c r="E381" s="73"/>
    </row>
    <row r="382">
      <c r="E382" s="73"/>
    </row>
    <row r="383">
      <c r="E383" s="73"/>
    </row>
    <row r="384">
      <c r="E384" s="73"/>
    </row>
    <row r="385">
      <c r="E385" s="73"/>
    </row>
    <row r="386">
      <c r="E386" s="73"/>
    </row>
    <row r="387">
      <c r="E387" s="73"/>
    </row>
    <row r="388">
      <c r="E388" s="73"/>
    </row>
    <row r="389">
      <c r="E389" s="73"/>
    </row>
    <row r="390">
      <c r="E390" s="73"/>
    </row>
    <row r="391">
      <c r="E391" s="73"/>
    </row>
    <row r="392">
      <c r="E392" s="73"/>
    </row>
    <row r="393">
      <c r="E393" s="73"/>
    </row>
    <row r="394">
      <c r="E394" s="73"/>
    </row>
    <row r="395">
      <c r="E395" s="73"/>
    </row>
    <row r="396">
      <c r="E396" s="73"/>
    </row>
    <row r="397">
      <c r="E397" s="73"/>
    </row>
    <row r="398">
      <c r="E398" s="73"/>
    </row>
    <row r="399">
      <c r="E399" s="73"/>
    </row>
    <row r="400">
      <c r="E400" s="73"/>
    </row>
    <row r="401">
      <c r="E401" s="73"/>
    </row>
    <row r="402">
      <c r="E402" s="73"/>
    </row>
    <row r="403">
      <c r="E403" s="73"/>
    </row>
    <row r="404">
      <c r="E404" s="73"/>
    </row>
    <row r="405">
      <c r="E405" s="73"/>
    </row>
    <row r="406">
      <c r="E406" s="73"/>
    </row>
    <row r="407">
      <c r="E407" s="73"/>
    </row>
    <row r="408">
      <c r="E408" s="73"/>
    </row>
    <row r="409">
      <c r="E409" s="73"/>
    </row>
    <row r="410">
      <c r="E410" s="73"/>
    </row>
    <row r="411">
      <c r="E411" s="73"/>
    </row>
    <row r="412">
      <c r="E412" s="73"/>
    </row>
    <row r="413">
      <c r="E413" s="73"/>
    </row>
    <row r="414">
      <c r="E414" s="73"/>
    </row>
    <row r="415">
      <c r="E415" s="73"/>
    </row>
    <row r="416">
      <c r="E416" s="73"/>
    </row>
    <row r="417">
      <c r="E417" s="73"/>
    </row>
    <row r="418">
      <c r="E418" s="73"/>
    </row>
    <row r="419">
      <c r="E419" s="73"/>
    </row>
    <row r="420">
      <c r="E420" s="73"/>
    </row>
    <row r="421">
      <c r="E421" s="73"/>
    </row>
    <row r="422">
      <c r="E422" s="73"/>
    </row>
    <row r="423">
      <c r="E423" s="73"/>
    </row>
    <row r="424">
      <c r="E424" s="73"/>
    </row>
    <row r="425">
      <c r="E425" s="73"/>
    </row>
    <row r="426">
      <c r="E426" s="73"/>
    </row>
    <row r="427">
      <c r="E427" s="73"/>
    </row>
    <row r="428">
      <c r="E428" s="73"/>
    </row>
    <row r="429">
      <c r="E429" s="73"/>
    </row>
    <row r="430">
      <c r="E430" s="73"/>
    </row>
    <row r="431">
      <c r="E431" s="73"/>
    </row>
    <row r="432">
      <c r="E432" s="73"/>
    </row>
    <row r="433">
      <c r="E433" s="73"/>
    </row>
    <row r="434">
      <c r="E434" s="73"/>
    </row>
    <row r="435">
      <c r="E435" s="73"/>
    </row>
    <row r="436">
      <c r="E436" s="73"/>
    </row>
    <row r="437">
      <c r="E437" s="73"/>
    </row>
    <row r="438">
      <c r="E438" s="73"/>
    </row>
    <row r="439">
      <c r="E439" s="73"/>
    </row>
    <row r="440">
      <c r="E440" s="73"/>
    </row>
    <row r="441">
      <c r="E441" s="73"/>
    </row>
    <row r="442">
      <c r="E442" s="73"/>
    </row>
    <row r="443">
      <c r="E443" s="73"/>
    </row>
    <row r="444">
      <c r="E444" s="73"/>
    </row>
    <row r="445">
      <c r="E445" s="73"/>
    </row>
    <row r="446">
      <c r="E446" s="73"/>
    </row>
    <row r="447">
      <c r="E447" s="73"/>
    </row>
    <row r="448">
      <c r="E448" s="73"/>
    </row>
    <row r="449">
      <c r="E449" s="73"/>
    </row>
    <row r="450">
      <c r="E450" s="73"/>
    </row>
    <row r="451">
      <c r="E451" s="73"/>
    </row>
    <row r="452">
      <c r="E452" s="73"/>
    </row>
    <row r="453">
      <c r="E453" s="73"/>
    </row>
    <row r="454">
      <c r="E454" s="73"/>
    </row>
    <row r="455">
      <c r="E455" s="73"/>
    </row>
    <row r="456">
      <c r="E456" s="73"/>
    </row>
    <row r="457">
      <c r="E457" s="73"/>
    </row>
    <row r="458">
      <c r="E458" s="73"/>
    </row>
    <row r="459">
      <c r="E459" s="73"/>
    </row>
    <row r="460">
      <c r="E460" s="73"/>
    </row>
    <row r="461">
      <c r="E461" s="73"/>
    </row>
    <row r="462">
      <c r="E462" s="73"/>
    </row>
    <row r="463">
      <c r="E463" s="73"/>
    </row>
    <row r="464">
      <c r="E464" s="73"/>
    </row>
    <row r="465">
      <c r="E465" s="73"/>
    </row>
    <row r="466">
      <c r="E466" s="73"/>
    </row>
    <row r="467">
      <c r="E467" s="73"/>
    </row>
    <row r="468">
      <c r="E468" s="73"/>
    </row>
    <row r="469">
      <c r="E469" s="73"/>
    </row>
    <row r="470">
      <c r="E470" s="73"/>
    </row>
    <row r="471">
      <c r="E471" s="73"/>
    </row>
    <row r="472">
      <c r="E472" s="73"/>
    </row>
    <row r="473">
      <c r="E473" s="73"/>
    </row>
    <row r="474">
      <c r="E474" s="73"/>
    </row>
    <row r="475">
      <c r="E475" s="73"/>
    </row>
    <row r="476">
      <c r="E476" s="73"/>
    </row>
    <row r="477">
      <c r="E477" s="73"/>
    </row>
    <row r="478">
      <c r="E478" s="73"/>
    </row>
    <row r="479">
      <c r="E479" s="73"/>
    </row>
    <row r="480">
      <c r="E480" s="73"/>
    </row>
    <row r="481">
      <c r="E481" s="73"/>
    </row>
    <row r="482">
      <c r="E482" s="73"/>
    </row>
    <row r="483">
      <c r="E483" s="73"/>
    </row>
    <row r="484">
      <c r="E484" s="73"/>
    </row>
    <row r="485">
      <c r="E485" s="73"/>
    </row>
    <row r="486">
      <c r="E486" s="73"/>
    </row>
    <row r="487">
      <c r="E487" s="73"/>
    </row>
    <row r="488">
      <c r="E488" s="73"/>
    </row>
    <row r="489">
      <c r="E489" s="73"/>
    </row>
    <row r="490">
      <c r="E490" s="73"/>
    </row>
    <row r="491">
      <c r="E491" s="73"/>
    </row>
    <row r="492">
      <c r="E492" s="73"/>
    </row>
    <row r="493">
      <c r="E493" s="73"/>
    </row>
    <row r="494">
      <c r="E494" s="73"/>
    </row>
    <row r="495">
      <c r="E495" s="73"/>
    </row>
    <row r="496">
      <c r="E496" s="73"/>
    </row>
    <row r="497">
      <c r="E497" s="73"/>
    </row>
    <row r="498">
      <c r="E498" s="73"/>
    </row>
    <row r="499">
      <c r="E499" s="73"/>
    </row>
    <row r="500">
      <c r="E500" s="73"/>
    </row>
    <row r="501">
      <c r="E501" s="73"/>
    </row>
    <row r="502">
      <c r="E502" s="73"/>
    </row>
    <row r="503">
      <c r="E503" s="73"/>
    </row>
    <row r="504">
      <c r="E504" s="73"/>
    </row>
    <row r="505">
      <c r="E505" s="73"/>
    </row>
    <row r="506">
      <c r="E506" s="73"/>
    </row>
    <row r="507">
      <c r="E507" s="73"/>
    </row>
    <row r="508">
      <c r="E508" s="73"/>
    </row>
    <row r="509">
      <c r="E509" s="73"/>
    </row>
    <row r="510">
      <c r="E510" s="73"/>
    </row>
    <row r="511">
      <c r="E511" s="73"/>
    </row>
    <row r="512">
      <c r="E512" s="73"/>
    </row>
    <row r="513">
      <c r="E513" s="73"/>
    </row>
    <row r="514">
      <c r="E514" s="73"/>
    </row>
    <row r="515">
      <c r="E515" s="73"/>
    </row>
    <row r="516">
      <c r="E516" s="73"/>
    </row>
    <row r="517">
      <c r="E517" s="73"/>
    </row>
    <row r="518">
      <c r="E518" s="73"/>
    </row>
    <row r="519">
      <c r="E519" s="73"/>
    </row>
    <row r="520">
      <c r="E520" s="73"/>
    </row>
    <row r="521">
      <c r="E521" s="73"/>
    </row>
    <row r="522">
      <c r="E522" s="73"/>
    </row>
    <row r="523">
      <c r="E523" s="73"/>
    </row>
    <row r="524">
      <c r="E524" s="73"/>
    </row>
    <row r="525">
      <c r="E525" s="73"/>
    </row>
    <row r="526">
      <c r="E526" s="73"/>
    </row>
    <row r="527">
      <c r="E527" s="73"/>
    </row>
    <row r="528">
      <c r="E528" s="73"/>
    </row>
    <row r="529">
      <c r="E529" s="73"/>
    </row>
    <row r="530">
      <c r="E530" s="73"/>
    </row>
    <row r="531">
      <c r="E531" s="73"/>
    </row>
    <row r="532">
      <c r="E532" s="73"/>
    </row>
    <row r="533">
      <c r="E533" s="73"/>
    </row>
    <row r="534">
      <c r="E534" s="73"/>
    </row>
    <row r="535">
      <c r="E535" s="73"/>
    </row>
    <row r="536">
      <c r="E536" s="73"/>
    </row>
    <row r="537">
      <c r="E537" s="73"/>
    </row>
    <row r="538">
      <c r="E538" s="73"/>
    </row>
    <row r="539">
      <c r="E539" s="73"/>
    </row>
    <row r="540">
      <c r="E540" s="73"/>
    </row>
    <row r="541">
      <c r="E541" s="73"/>
    </row>
    <row r="542">
      <c r="E542" s="73"/>
    </row>
    <row r="543">
      <c r="E543" s="73"/>
    </row>
    <row r="544">
      <c r="E544" s="73"/>
    </row>
    <row r="545">
      <c r="E545" s="73"/>
    </row>
    <row r="546">
      <c r="E546" s="73"/>
    </row>
    <row r="547">
      <c r="E547" s="73"/>
    </row>
    <row r="548">
      <c r="E548" s="73"/>
    </row>
    <row r="549">
      <c r="E549" s="73"/>
    </row>
    <row r="550">
      <c r="E550" s="73"/>
    </row>
    <row r="551">
      <c r="E551" s="73"/>
    </row>
    <row r="552">
      <c r="E552" s="73"/>
    </row>
    <row r="553">
      <c r="E553" s="73"/>
    </row>
    <row r="554">
      <c r="E554" s="73"/>
    </row>
    <row r="555">
      <c r="E555" s="73"/>
    </row>
    <row r="556">
      <c r="E556" s="73"/>
    </row>
    <row r="557">
      <c r="E557" s="73"/>
    </row>
    <row r="558">
      <c r="E558" s="73"/>
    </row>
    <row r="559">
      <c r="E559" s="73"/>
    </row>
    <row r="560">
      <c r="E560" s="73"/>
    </row>
    <row r="561">
      <c r="E561" s="73"/>
    </row>
    <row r="562">
      <c r="E562" s="73"/>
    </row>
    <row r="563">
      <c r="E563" s="73"/>
    </row>
    <row r="564">
      <c r="E564" s="73"/>
    </row>
    <row r="565">
      <c r="E565" s="73"/>
    </row>
    <row r="566">
      <c r="E566" s="73"/>
    </row>
    <row r="567">
      <c r="E567" s="73"/>
    </row>
    <row r="568">
      <c r="E568" s="73"/>
    </row>
    <row r="569">
      <c r="E569" s="73"/>
    </row>
    <row r="570">
      <c r="E570" s="73"/>
    </row>
    <row r="571">
      <c r="E571" s="73"/>
    </row>
    <row r="572">
      <c r="E572" s="73"/>
    </row>
    <row r="573">
      <c r="E573" s="73"/>
    </row>
    <row r="574">
      <c r="E574" s="73"/>
    </row>
    <row r="575">
      <c r="E575" s="73"/>
    </row>
    <row r="576">
      <c r="E576" s="73"/>
    </row>
    <row r="577">
      <c r="E577" s="73"/>
    </row>
    <row r="578">
      <c r="E578" s="73"/>
    </row>
    <row r="579">
      <c r="E579" s="73"/>
    </row>
    <row r="580">
      <c r="E580" s="73"/>
    </row>
    <row r="581">
      <c r="E581" s="73"/>
    </row>
    <row r="582">
      <c r="E582" s="73"/>
    </row>
    <row r="583">
      <c r="E583" s="73"/>
    </row>
    <row r="584">
      <c r="E584" s="73"/>
    </row>
    <row r="585">
      <c r="E585" s="73"/>
    </row>
    <row r="586">
      <c r="E586" s="73"/>
    </row>
    <row r="587">
      <c r="E587" s="73"/>
    </row>
    <row r="588">
      <c r="E588" s="73"/>
    </row>
    <row r="589">
      <c r="E589" s="73"/>
    </row>
    <row r="590">
      <c r="E590" s="73"/>
    </row>
    <row r="591">
      <c r="E591" s="73"/>
    </row>
    <row r="592">
      <c r="E592" s="73"/>
    </row>
    <row r="593">
      <c r="E593" s="73"/>
    </row>
    <row r="594">
      <c r="E594" s="73"/>
    </row>
    <row r="595">
      <c r="E595" s="73"/>
    </row>
    <row r="596">
      <c r="E596" s="73"/>
    </row>
    <row r="597">
      <c r="E597" s="73"/>
    </row>
    <row r="598">
      <c r="E598" s="73"/>
    </row>
    <row r="599">
      <c r="E599" s="73"/>
    </row>
    <row r="600">
      <c r="E600" s="73"/>
    </row>
    <row r="601">
      <c r="E601" s="73"/>
    </row>
    <row r="602">
      <c r="E602" s="73"/>
    </row>
    <row r="603">
      <c r="E603" s="73"/>
    </row>
    <row r="604">
      <c r="E604" s="73"/>
    </row>
    <row r="605">
      <c r="E605" s="73"/>
    </row>
    <row r="606">
      <c r="E606" s="73"/>
    </row>
    <row r="607">
      <c r="E607" s="73"/>
    </row>
    <row r="608">
      <c r="E608" s="73"/>
    </row>
    <row r="609">
      <c r="E609" s="73"/>
    </row>
    <row r="610">
      <c r="E610" s="73"/>
    </row>
    <row r="611">
      <c r="E611" s="73"/>
    </row>
    <row r="612">
      <c r="E612" s="73"/>
    </row>
    <row r="613">
      <c r="E613" s="73"/>
    </row>
    <row r="614">
      <c r="E614" s="73"/>
    </row>
    <row r="615">
      <c r="E615" s="73"/>
    </row>
    <row r="616">
      <c r="E616" s="73"/>
    </row>
    <row r="617">
      <c r="E617" s="73"/>
    </row>
    <row r="618">
      <c r="E618" s="73"/>
    </row>
    <row r="619">
      <c r="E619" s="73"/>
    </row>
    <row r="620">
      <c r="E620" s="73"/>
    </row>
    <row r="621">
      <c r="E621" s="73"/>
    </row>
    <row r="622">
      <c r="E622" s="73"/>
    </row>
    <row r="623">
      <c r="E623" s="73"/>
    </row>
    <row r="624">
      <c r="E624" s="73"/>
    </row>
    <row r="625">
      <c r="E625" s="73"/>
    </row>
    <row r="626">
      <c r="E626" s="73"/>
    </row>
    <row r="627">
      <c r="E627" s="73"/>
    </row>
    <row r="628">
      <c r="E628" s="73"/>
    </row>
    <row r="629">
      <c r="E629" s="73"/>
    </row>
    <row r="630">
      <c r="E630" s="73"/>
    </row>
    <row r="631">
      <c r="E631" s="73"/>
    </row>
    <row r="632">
      <c r="E632" s="73"/>
    </row>
    <row r="633">
      <c r="E633" s="73"/>
    </row>
    <row r="634">
      <c r="E634" s="73"/>
    </row>
    <row r="635">
      <c r="E635" s="73"/>
    </row>
    <row r="636">
      <c r="E636" s="73"/>
    </row>
    <row r="637">
      <c r="E637" s="73"/>
    </row>
    <row r="638">
      <c r="E638" s="73"/>
    </row>
    <row r="639">
      <c r="E639" s="73"/>
    </row>
    <row r="640">
      <c r="E640" s="73"/>
    </row>
    <row r="641">
      <c r="E641" s="73"/>
    </row>
    <row r="642">
      <c r="E642" s="73"/>
    </row>
    <row r="643">
      <c r="E643" s="73"/>
    </row>
    <row r="644">
      <c r="E644" s="73"/>
    </row>
    <row r="645">
      <c r="E645" s="73"/>
    </row>
    <row r="646">
      <c r="E646" s="73"/>
    </row>
    <row r="647">
      <c r="E647" s="73"/>
    </row>
    <row r="648">
      <c r="E648" s="73"/>
    </row>
    <row r="649">
      <c r="E649" s="73"/>
    </row>
    <row r="650">
      <c r="E650" s="73"/>
    </row>
    <row r="651">
      <c r="E651" s="73"/>
    </row>
    <row r="652">
      <c r="E652" s="73"/>
    </row>
    <row r="653">
      <c r="E653" s="73"/>
    </row>
    <row r="654">
      <c r="E654" s="73"/>
    </row>
    <row r="655">
      <c r="E655" s="73"/>
    </row>
    <row r="656">
      <c r="E656" s="73"/>
    </row>
    <row r="657">
      <c r="E657" s="73"/>
    </row>
    <row r="658">
      <c r="E658" s="73"/>
    </row>
    <row r="659">
      <c r="E659" s="73"/>
    </row>
    <row r="660">
      <c r="E660" s="73"/>
    </row>
    <row r="661">
      <c r="E661" s="73"/>
    </row>
    <row r="662">
      <c r="E662" s="73"/>
    </row>
    <row r="663">
      <c r="E663" s="73"/>
    </row>
    <row r="664">
      <c r="E664" s="73"/>
    </row>
    <row r="665">
      <c r="E665" s="73"/>
    </row>
    <row r="666">
      <c r="E666" s="73"/>
    </row>
    <row r="667">
      <c r="E667" s="73"/>
    </row>
    <row r="668">
      <c r="E668" s="73"/>
    </row>
    <row r="669">
      <c r="E669" s="73"/>
    </row>
    <row r="670">
      <c r="E670" s="73"/>
    </row>
    <row r="671">
      <c r="E671" s="73"/>
    </row>
    <row r="672">
      <c r="E672" s="73"/>
    </row>
    <row r="673">
      <c r="E673" s="73"/>
    </row>
    <row r="674">
      <c r="E674" s="73"/>
    </row>
    <row r="675">
      <c r="E675" s="73"/>
    </row>
    <row r="676">
      <c r="E676" s="73"/>
    </row>
    <row r="677">
      <c r="E677" s="73"/>
    </row>
    <row r="678">
      <c r="E678" s="73"/>
    </row>
    <row r="679">
      <c r="E679" s="73"/>
    </row>
    <row r="680">
      <c r="E680" s="73"/>
    </row>
    <row r="681">
      <c r="E681" s="73"/>
    </row>
    <row r="682">
      <c r="E682" s="73"/>
    </row>
    <row r="683">
      <c r="E683" s="73"/>
    </row>
    <row r="684">
      <c r="E684" s="73"/>
    </row>
    <row r="685">
      <c r="E685" s="73"/>
    </row>
    <row r="686">
      <c r="E686" s="73"/>
    </row>
    <row r="687">
      <c r="E687" s="73"/>
    </row>
    <row r="688">
      <c r="E688" s="73"/>
    </row>
    <row r="689">
      <c r="E689" s="73"/>
    </row>
    <row r="690">
      <c r="E690" s="73"/>
    </row>
    <row r="691">
      <c r="E691" s="73"/>
    </row>
    <row r="692">
      <c r="E692" s="73"/>
    </row>
    <row r="693">
      <c r="E693" s="73"/>
    </row>
    <row r="694">
      <c r="E694" s="73"/>
    </row>
    <row r="695">
      <c r="E695" s="73"/>
    </row>
    <row r="696">
      <c r="E696" s="73"/>
    </row>
    <row r="697">
      <c r="E697" s="73"/>
    </row>
    <row r="698">
      <c r="E698" s="73"/>
    </row>
    <row r="699">
      <c r="E699" s="73"/>
    </row>
    <row r="700">
      <c r="E700" s="73"/>
    </row>
    <row r="701">
      <c r="E701" s="73"/>
    </row>
    <row r="702">
      <c r="E702" s="73"/>
    </row>
    <row r="703">
      <c r="E703" s="73"/>
    </row>
    <row r="704">
      <c r="E704" s="73"/>
    </row>
    <row r="705">
      <c r="E705" s="73"/>
    </row>
    <row r="706">
      <c r="E706" s="73"/>
    </row>
    <row r="707">
      <c r="E707" s="73"/>
    </row>
    <row r="708">
      <c r="E708" s="73"/>
    </row>
    <row r="709">
      <c r="E709" s="73"/>
    </row>
    <row r="710">
      <c r="E710" s="73"/>
    </row>
    <row r="711">
      <c r="E711" s="73"/>
    </row>
    <row r="712">
      <c r="E712" s="73"/>
    </row>
    <row r="713">
      <c r="E713" s="73"/>
    </row>
    <row r="714">
      <c r="E714" s="73"/>
    </row>
    <row r="715">
      <c r="E715" s="73"/>
    </row>
    <row r="716">
      <c r="E716" s="73"/>
    </row>
    <row r="717">
      <c r="E717" s="73"/>
    </row>
    <row r="718">
      <c r="E718" s="73"/>
    </row>
    <row r="719">
      <c r="E719" s="73"/>
    </row>
    <row r="720">
      <c r="E720" s="73"/>
    </row>
    <row r="721">
      <c r="E721" s="73"/>
    </row>
    <row r="722">
      <c r="E722" s="73"/>
    </row>
    <row r="723">
      <c r="E723" s="73"/>
    </row>
    <row r="724">
      <c r="E724" s="73"/>
    </row>
    <row r="725">
      <c r="E725" s="73"/>
    </row>
    <row r="726">
      <c r="E726" s="73"/>
    </row>
    <row r="727">
      <c r="E727" s="73"/>
    </row>
    <row r="728">
      <c r="E728" s="73"/>
    </row>
    <row r="729">
      <c r="E729" s="73"/>
    </row>
    <row r="730">
      <c r="E730" s="73"/>
    </row>
    <row r="731">
      <c r="E731" s="73"/>
    </row>
    <row r="732">
      <c r="E732" s="73"/>
    </row>
    <row r="733">
      <c r="E733" s="73"/>
    </row>
    <row r="734">
      <c r="E734" s="73"/>
    </row>
    <row r="735">
      <c r="E735" s="73"/>
    </row>
    <row r="736">
      <c r="E736" s="73"/>
    </row>
    <row r="737">
      <c r="E737" s="73"/>
    </row>
    <row r="738">
      <c r="E738" s="73"/>
    </row>
    <row r="739">
      <c r="E739" s="73"/>
    </row>
    <row r="740">
      <c r="E740" s="73"/>
    </row>
    <row r="741">
      <c r="E741" s="73"/>
    </row>
    <row r="742">
      <c r="E742" s="73"/>
    </row>
    <row r="743">
      <c r="E743" s="73"/>
    </row>
    <row r="744">
      <c r="E744" s="73"/>
    </row>
    <row r="745">
      <c r="E745" s="73"/>
    </row>
    <row r="746">
      <c r="E746" s="73"/>
    </row>
    <row r="747">
      <c r="E747" s="73"/>
    </row>
    <row r="748">
      <c r="E748" s="73"/>
    </row>
    <row r="749">
      <c r="E749" s="73"/>
    </row>
    <row r="750">
      <c r="E750" s="73"/>
    </row>
    <row r="751">
      <c r="E751" s="73"/>
    </row>
    <row r="752">
      <c r="E752" s="73"/>
    </row>
    <row r="753">
      <c r="E753" s="73"/>
    </row>
    <row r="754">
      <c r="E754" s="73"/>
    </row>
    <row r="755">
      <c r="E755" s="73"/>
    </row>
    <row r="756">
      <c r="E756" s="73"/>
    </row>
    <row r="757">
      <c r="E757" s="73"/>
    </row>
    <row r="758">
      <c r="E758" s="73"/>
    </row>
    <row r="759">
      <c r="E759" s="73"/>
    </row>
    <row r="760">
      <c r="E760" s="73"/>
    </row>
    <row r="761">
      <c r="E761" s="73"/>
    </row>
    <row r="762">
      <c r="E762" s="73"/>
    </row>
    <row r="763">
      <c r="E763" s="73"/>
    </row>
    <row r="764">
      <c r="E764" s="73"/>
    </row>
    <row r="765">
      <c r="E765" s="73"/>
    </row>
    <row r="766">
      <c r="E766" s="73"/>
    </row>
    <row r="767">
      <c r="E767" s="73"/>
    </row>
    <row r="768">
      <c r="E768" s="73"/>
    </row>
    <row r="769">
      <c r="E769" s="73"/>
    </row>
    <row r="770">
      <c r="E770" s="73"/>
    </row>
    <row r="771">
      <c r="E771" s="73"/>
    </row>
    <row r="772">
      <c r="E772" s="73"/>
    </row>
    <row r="773">
      <c r="E773" s="73"/>
    </row>
    <row r="774">
      <c r="E774" s="73"/>
    </row>
    <row r="775">
      <c r="E775" s="73"/>
    </row>
    <row r="776">
      <c r="E776" s="73"/>
    </row>
    <row r="777">
      <c r="E777" s="73"/>
    </row>
    <row r="778">
      <c r="E778" s="73"/>
    </row>
    <row r="779">
      <c r="E779" s="73"/>
    </row>
    <row r="780">
      <c r="E780" s="73"/>
    </row>
    <row r="781">
      <c r="E781" s="73"/>
    </row>
    <row r="782">
      <c r="E782" s="73"/>
    </row>
    <row r="783">
      <c r="E783" s="73"/>
    </row>
    <row r="784">
      <c r="E784" s="73"/>
    </row>
    <row r="785">
      <c r="E785" s="73"/>
    </row>
    <row r="786">
      <c r="E786" s="73"/>
    </row>
    <row r="787">
      <c r="E787" s="73"/>
    </row>
    <row r="788">
      <c r="E788" s="73"/>
    </row>
    <row r="789">
      <c r="E789" s="73"/>
    </row>
    <row r="790">
      <c r="E790" s="73"/>
    </row>
    <row r="791">
      <c r="E791" s="73"/>
    </row>
    <row r="792">
      <c r="E792" s="73"/>
    </row>
    <row r="793">
      <c r="E793" s="73"/>
    </row>
    <row r="794">
      <c r="E794" s="73"/>
    </row>
    <row r="795">
      <c r="E795" s="73"/>
    </row>
    <row r="796">
      <c r="E796" s="73"/>
    </row>
    <row r="797">
      <c r="E797" s="73"/>
    </row>
    <row r="798">
      <c r="E798" s="73"/>
    </row>
    <row r="799">
      <c r="E799" s="73"/>
    </row>
    <row r="800">
      <c r="E800" s="73"/>
    </row>
    <row r="801">
      <c r="E801" s="73"/>
    </row>
    <row r="802">
      <c r="E802" s="73"/>
    </row>
    <row r="803">
      <c r="E803" s="73"/>
    </row>
    <row r="804">
      <c r="E804" s="73"/>
    </row>
    <row r="805">
      <c r="E805" s="73"/>
    </row>
    <row r="806">
      <c r="E806" s="73"/>
    </row>
    <row r="807">
      <c r="E807" s="73"/>
    </row>
    <row r="808">
      <c r="E808" s="73"/>
    </row>
    <row r="809">
      <c r="E809" s="73"/>
    </row>
    <row r="810">
      <c r="E810" s="73"/>
    </row>
    <row r="811">
      <c r="E811" s="73"/>
    </row>
    <row r="812">
      <c r="E812" s="73"/>
    </row>
    <row r="813">
      <c r="E813" s="73"/>
    </row>
    <row r="814">
      <c r="E814" s="73"/>
    </row>
    <row r="815">
      <c r="E815" s="73"/>
    </row>
    <row r="816">
      <c r="E816" s="73"/>
    </row>
    <row r="817">
      <c r="E817" s="73"/>
    </row>
    <row r="818">
      <c r="E818" s="73"/>
    </row>
    <row r="819">
      <c r="E819" s="73"/>
    </row>
    <row r="820">
      <c r="E820" s="73"/>
    </row>
    <row r="821">
      <c r="E821" s="73"/>
    </row>
    <row r="822">
      <c r="E822" s="73"/>
    </row>
    <row r="823">
      <c r="E823" s="73"/>
    </row>
    <row r="824">
      <c r="E824" s="73"/>
    </row>
    <row r="825">
      <c r="E825" s="73"/>
    </row>
    <row r="826">
      <c r="E826" s="73"/>
    </row>
    <row r="827">
      <c r="E827" s="73"/>
    </row>
    <row r="828">
      <c r="E828" s="73"/>
    </row>
    <row r="829">
      <c r="E829" s="73"/>
    </row>
    <row r="830">
      <c r="E830" s="73"/>
    </row>
    <row r="831">
      <c r="E831" s="73"/>
    </row>
    <row r="832">
      <c r="E832" s="73"/>
    </row>
    <row r="833">
      <c r="E833" s="73"/>
    </row>
    <row r="834">
      <c r="E834" s="73"/>
    </row>
    <row r="835">
      <c r="E835" s="73"/>
    </row>
    <row r="836">
      <c r="E836" s="73"/>
    </row>
    <row r="837">
      <c r="E837" s="73"/>
    </row>
    <row r="838">
      <c r="E838" s="73"/>
    </row>
    <row r="839">
      <c r="E839" s="73"/>
    </row>
    <row r="840">
      <c r="E840" s="73"/>
    </row>
    <row r="841">
      <c r="E841" s="73"/>
    </row>
    <row r="842">
      <c r="E842" s="73"/>
    </row>
    <row r="843">
      <c r="E843" s="73"/>
    </row>
    <row r="844">
      <c r="E844" s="73"/>
    </row>
    <row r="845">
      <c r="E845" s="73"/>
    </row>
    <row r="846">
      <c r="E846" s="73"/>
    </row>
    <row r="847">
      <c r="E847" s="73"/>
    </row>
    <row r="848">
      <c r="E848" s="73"/>
    </row>
    <row r="849">
      <c r="E849" s="73"/>
    </row>
    <row r="850">
      <c r="E850" s="73"/>
    </row>
    <row r="851">
      <c r="E851" s="73"/>
    </row>
    <row r="852">
      <c r="E852" s="73"/>
    </row>
    <row r="853">
      <c r="E853" s="73"/>
    </row>
    <row r="854">
      <c r="E854" s="73"/>
    </row>
    <row r="855">
      <c r="E855" s="73"/>
    </row>
    <row r="856">
      <c r="E856" s="73"/>
    </row>
    <row r="857">
      <c r="E857" s="73"/>
    </row>
    <row r="858">
      <c r="E858" s="73"/>
    </row>
    <row r="859">
      <c r="E859" s="73"/>
    </row>
    <row r="860">
      <c r="E860" s="73"/>
    </row>
    <row r="861">
      <c r="E861" s="73"/>
    </row>
    <row r="862">
      <c r="E862" s="73"/>
    </row>
    <row r="863">
      <c r="E863" s="73"/>
    </row>
    <row r="864">
      <c r="E864" s="73"/>
    </row>
    <row r="865">
      <c r="E865" s="73"/>
    </row>
    <row r="866">
      <c r="E866" s="73"/>
    </row>
    <row r="867">
      <c r="E867" s="73"/>
    </row>
    <row r="868">
      <c r="E868" s="73"/>
    </row>
    <row r="869">
      <c r="E869" s="73"/>
    </row>
    <row r="870">
      <c r="E870" s="73"/>
    </row>
    <row r="871">
      <c r="E871" s="73"/>
    </row>
    <row r="872">
      <c r="E872" s="73"/>
    </row>
    <row r="873">
      <c r="E873" s="73"/>
    </row>
    <row r="874">
      <c r="E874" s="73"/>
    </row>
    <row r="875">
      <c r="E875" s="73"/>
    </row>
    <row r="876">
      <c r="E876" s="73"/>
    </row>
    <row r="877">
      <c r="E877" s="73"/>
    </row>
    <row r="878">
      <c r="E878" s="73"/>
    </row>
    <row r="879">
      <c r="E879" s="73"/>
    </row>
    <row r="880">
      <c r="E880" s="73"/>
    </row>
    <row r="881">
      <c r="E881" s="73"/>
    </row>
    <row r="882">
      <c r="E882" s="73"/>
    </row>
    <row r="883">
      <c r="E883" s="73"/>
    </row>
    <row r="884">
      <c r="E884" s="73"/>
    </row>
    <row r="885">
      <c r="E885" s="73"/>
    </row>
    <row r="886">
      <c r="E886" s="73"/>
    </row>
    <row r="887">
      <c r="E887" s="73"/>
    </row>
    <row r="888">
      <c r="E888" s="73"/>
    </row>
    <row r="889">
      <c r="E889" s="73"/>
    </row>
    <row r="890">
      <c r="E890" s="73"/>
    </row>
    <row r="891">
      <c r="E891" s="73"/>
    </row>
    <row r="892">
      <c r="E892" s="73"/>
    </row>
    <row r="893">
      <c r="E893" s="73"/>
    </row>
    <row r="894">
      <c r="E894" s="73"/>
    </row>
    <row r="895">
      <c r="E895" s="73"/>
    </row>
    <row r="896">
      <c r="E896" s="73"/>
    </row>
    <row r="897">
      <c r="E897" s="73"/>
    </row>
    <row r="898">
      <c r="E898" s="73"/>
    </row>
    <row r="899">
      <c r="E899" s="73"/>
    </row>
    <row r="900">
      <c r="E900" s="73"/>
    </row>
    <row r="901">
      <c r="E901" s="73"/>
    </row>
    <row r="902">
      <c r="E902" s="73"/>
    </row>
    <row r="903">
      <c r="E903" s="73"/>
    </row>
    <row r="904">
      <c r="E904" s="73"/>
    </row>
    <row r="905">
      <c r="E905" s="73"/>
    </row>
    <row r="906">
      <c r="E906" s="73"/>
    </row>
    <row r="907">
      <c r="E907" s="73"/>
    </row>
    <row r="908">
      <c r="E908" s="73"/>
    </row>
    <row r="909">
      <c r="E909" s="73"/>
    </row>
    <row r="910">
      <c r="E910" s="73"/>
    </row>
    <row r="911">
      <c r="E911" s="73"/>
    </row>
    <row r="912">
      <c r="E912" s="73"/>
    </row>
    <row r="913">
      <c r="E913" s="73"/>
    </row>
    <row r="914">
      <c r="E914" s="73"/>
    </row>
    <row r="915">
      <c r="E915" s="73"/>
    </row>
    <row r="916">
      <c r="E916" s="73"/>
    </row>
    <row r="917">
      <c r="E917" s="73"/>
    </row>
    <row r="918">
      <c r="E918" s="73"/>
    </row>
    <row r="919">
      <c r="E919" s="73"/>
    </row>
    <row r="920">
      <c r="E920" s="73"/>
    </row>
    <row r="921">
      <c r="E921" s="73"/>
    </row>
    <row r="922">
      <c r="E922" s="73"/>
    </row>
    <row r="923">
      <c r="E923" s="73"/>
    </row>
    <row r="924">
      <c r="E924" s="73"/>
    </row>
    <row r="925">
      <c r="E925" s="73"/>
    </row>
    <row r="926">
      <c r="E926" s="73"/>
    </row>
    <row r="927">
      <c r="E927" s="73"/>
    </row>
    <row r="928">
      <c r="E928" s="73"/>
    </row>
    <row r="929">
      <c r="E929" s="73"/>
    </row>
    <row r="930">
      <c r="E930" s="73"/>
    </row>
    <row r="931">
      <c r="E931" s="73"/>
    </row>
    <row r="932">
      <c r="E932" s="73"/>
    </row>
    <row r="933">
      <c r="E933" s="73"/>
    </row>
    <row r="934">
      <c r="E934" s="73"/>
    </row>
    <row r="935">
      <c r="E935" s="73"/>
    </row>
    <row r="936">
      <c r="E936" s="73"/>
    </row>
    <row r="937">
      <c r="E937" s="73"/>
    </row>
    <row r="938">
      <c r="E938" s="73"/>
    </row>
    <row r="939">
      <c r="E939" s="73"/>
    </row>
    <row r="940">
      <c r="E940" s="73"/>
    </row>
    <row r="941">
      <c r="E941" s="73"/>
    </row>
    <row r="942">
      <c r="E942" s="73"/>
    </row>
    <row r="943">
      <c r="E943" s="73"/>
    </row>
    <row r="944">
      <c r="E944" s="73"/>
    </row>
    <row r="945">
      <c r="E945" s="73"/>
    </row>
    <row r="946">
      <c r="E946" s="73"/>
    </row>
    <row r="947">
      <c r="E947" s="73"/>
    </row>
    <row r="948">
      <c r="E948" s="73"/>
    </row>
    <row r="949">
      <c r="E949" s="73"/>
    </row>
    <row r="950">
      <c r="E950" s="73"/>
    </row>
    <row r="951">
      <c r="E951" s="73"/>
    </row>
    <row r="952">
      <c r="E952" s="73"/>
    </row>
    <row r="953">
      <c r="E953" s="73"/>
    </row>
    <row r="954">
      <c r="E954" s="73"/>
    </row>
    <row r="955">
      <c r="E955" s="73"/>
    </row>
    <row r="956">
      <c r="E956" s="73"/>
    </row>
    <row r="957">
      <c r="E957" s="73"/>
    </row>
    <row r="958">
      <c r="E958" s="73"/>
    </row>
    <row r="959">
      <c r="E959" s="73"/>
    </row>
    <row r="960">
      <c r="E960" s="73"/>
    </row>
    <row r="961">
      <c r="E961" s="73"/>
    </row>
    <row r="962">
      <c r="E962" s="73"/>
    </row>
    <row r="963">
      <c r="E963" s="73"/>
    </row>
    <row r="964">
      <c r="E964" s="73"/>
    </row>
    <row r="965">
      <c r="E965" s="73"/>
    </row>
    <row r="966">
      <c r="E966" s="73"/>
    </row>
    <row r="967">
      <c r="E967" s="73"/>
    </row>
    <row r="968">
      <c r="E968" s="73"/>
    </row>
    <row r="969">
      <c r="E969" s="73"/>
    </row>
    <row r="970">
      <c r="E970" s="73"/>
    </row>
    <row r="971">
      <c r="E971" s="73"/>
    </row>
    <row r="972">
      <c r="E972" s="73"/>
    </row>
    <row r="973">
      <c r="E973" s="73"/>
    </row>
    <row r="974">
      <c r="E974" s="73"/>
    </row>
    <row r="975">
      <c r="E975" s="73"/>
    </row>
    <row r="976">
      <c r="E976" s="73"/>
    </row>
    <row r="977">
      <c r="E977" s="73"/>
    </row>
    <row r="978">
      <c r="E978" s="73"/>
    </row>
    <row r="979">
      <c r="E979" s="7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6" t="s">
        <v>27</v>
      </c>
      <c r="I1" s="67">
        <f>countifs(B:B,"&lt;&gt;",F:F,"&lt;&gt;")-1</f>
        <v>0</v>
      </c>
      <c r="K1" s="72" t="s">
        <v>28</v>
      </c>
      <c r="L1" s="72" t="s">
        <v>29</v>
      </c>
    </row>
    <row r="2">
      <c r="H2" s="66" t="s">
        <v>30</v>
      </c>
      <c r="I2" s="67">
        <f t="array" ref="I2">(COUNTA(UNIQUE(C:C,,0))-1)</f>
        <v>0</v>
      </c>
      <c r="K2" s="68" t="str">
        <f>'Internal Summary'!B39</f>
        <v>100g Tosh Cocodia Coconut Flakes (12x)</v>
      </c>
      <c r="L2" s="67">
        <f t="shared" ref="L2:L15" si="1">sumif(D:D,K2,E:E)</f>
        <v>0</v>
      </c>
    </row>
    <row r="3">
      <c r="H3" s="66" t="s">
        <v>31</v>
      </c>
      <c r="I3" s="67">
        <f>sum(F:F)</f>
        <v>0</v>
      </c>
      <c r="K3" s="68" t="str">
        <f>'Internal Summary'!B40</f>
        <v>400g Tosh Cocodia Coconut Poundo (6x)</v>
      </c>
      <c r="L3" s="67">
        <f t="shared" si="1"/>
        <v>0</v>
      </c>
    </row>
    <row r="4">
      <c r="H4" s="1"/>
      <c r="K4" s="68" t="str">
        <f>'Internal Summary'!B41</f>
        <v>500ml Tosh Cocodia Coconut Oil (6x)</v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4"/>
      <c r="B1" s="66" t="s">
        <v>33</v>
      </c>
      <c r="C1" s="66" t="s">
        <v>29</v>
      </c>
      <c r="D1" s="66" t="s">
        <v>34</v>
      </c>
      <c r="E1" s="66" t="s">
        <v>35</v>
      </c>
      <c r="F1" s="75"/>
    </row>
    <row r="2">
      <c r="A2" s="76" t="s">
        <v>36</v>
      </c>
      <c r="B2" s="77" t="s">
        <v>27</v>
      </c>
      <c r="C2" s="78"/>
      <c r="D2" s="78"/>
      <c r="E2" s="79">
        <f>'Dala Sales &amp; Deliveries'!I1+'External Delivery Fulfillment'!I1</f>
        <v>1</v>
      </c>
      <c r="F2" s="75"/>
    </row>
    <row r="3">
      <c r="A3" s="80"/>
      <c r="B3" s="77" t="s">
        <v>37</v>
      </c>
      <c r="C3" s="78"/>
      <c r="D3" s="78"/>
      <c r="E3" s="79">
        <f>'Raw Data'!AX2</f>
        <v>0</v>
      </c>
      <c r="F3" s="75"/>
    </row>
    <row r="4">
      <c r="B4" s="81" t="s">
        <v>38</v>
      </c>
      <c r="C4" s="75"/>
      <c r="D4" s="75"/>
      <c r="E4" s="82">
        <f>'Dala Sales &amp; Deliveries'!I3</f>
        <v>52000</v>
      </c>
      <c r="F4" s="75"/>
    </row>
    <row r="5">
      <c r="B5" s="81" t="s">
        <v>39</v>
      </c>
      <c r="C5" s="75"/>
      <c r="D5" s="75"/>
      <c r="E5" s="82"/>
      <c r="F5" s="75"/>
    </row>
    <row r="6">
      <c r="A6" s="83"/>
      <c r="B6" s="84" t="s">
        <v>40</v>
      </c>
      <c r="C6" s="85"/>
      <c r="D6" s="86"/>
      <c r="E6" s="87">
        <f>sum(E4:E5)</f>
        <v>52000</v>
      </c>
      <c r="F6" s="75"/>
    </row>
    <row r="7">
      <c r="A7" s="76" t="s">
        <v>41</v>
      </c>
      <c r="B7" s="77" t="s">
        <v>42</v>
      </c>
      <c r="C7" s="78"/>
      <c r="D7" s="88"/>
      <c r="E7" s="89">
        <v>0.0</v>
      </c>
    </row>
    <row r="8">
      <c r="A8" s="83"/>
      <c r="B8" s="84" t="s">
        <v>43</v>
      </c>
      <c r="C8" s="90">
        <v>0.15</v>
      </c>
      <c r="D8" s="86"/>
      <c r="E8" s="87">
        <f>E7*(C8+100%)-E7</f>
        <v>0</v>
      </c>
      <c r="K8" s="7"/>
      <c r="L8" s="7"/>
      <c r="M8" s="7"/>
    </row>
    <row r="9">
      <c r="A9" s="91" t="s">
        <v>44</v>
      </c>
      <c r="B9" s="84" t="s">
        <v>45</v>
      </c>
      <c r="C9" s="85"/>
      <c r="D9" s="86"/>
      <c r="E9" s="87">
        <f>E6-E7-E8</f>
        <v>52000</v>
      </c>
    </row>
    <row r="10">
      <c r="A10" s="76" t="s">
        <v>46</v>
      </c>
      <c r="B10" s="77" t="s">
        <v>47</v>
      </c>
      <c r="C10" s="92">
        <v>0.0</v>
      </c>
      <c r="D10" s="93">
        <v>0.0</v>
      </c>
      <c r="E10" s="94">
        <f>C10*D10</f>
        <v>0</v>
      </c>
    </row>
    <row r="11">
      <c r="A11" s="80"/>
      <c r="B11" s="77" t="s">
        <v>43</v>
      </c>
      <c r="C11" s="95"/>
      <c r="D11" s="88"/>
      <c r="E11" s="94">
        <v>0.0</v>
      </c>
    </row>
    <row r="12">
      <c r="A12" s="80"/>
      <c r="B12" s="96" t="s">
        <v>48</v>
      </c>
      <c r="C12" s="78"/>
      <c r="D12" s="97" t="s">
        <v>49</v>
      </c>
      <c r="E12" s="94">
        <f>C21+C25</f>
        <v>0</v>
      </c>
    </row>
    <row r="13">
      <c r="A13" s="80"/>
      <c r="B13" s="77" t="s">
        <v>50</v>
      </c>
      <c r="C13" s="88"/>
      <c r="D13" s="88"/>
      <c r="E13" s="89">
        <v>0.0</v>
      </c>
    </row>
    <row r="14">
      <c r="A14" s="80"/>
      <c r="B14" s="77" t="s">
        <v>51</v>
      </c>
      <c r="C14" s="88"/>
      <c r="D14" s="88"/>
      <c r="E14" s="94">
        <f>C29</f>
        <v>0</v>
      </c>
    </row>
    <row r="15">
      <c r="A15" s="83"/>
      <c r="B15" s="84" t="s">
        <v>52</v>
      </c>
      <c r="C15" s="86"/>
      <c r="D15" s="86"/>
      <c r="E15" s="87">
        <f>sum(E10:E14)</f>
        <v>0</v>
      </c>
      <c r="H15" s="1"/>
      <c r="I15" s="1"/>
    </row>
    <row r="16">
      <c r="A16" s="91" t="s">
        <v>53</v>
      </c>
      <c r="B16" s="84" t="s">
        <v>54</v>
      </c>
      <c r="C16" s="86"/>
      <c r="D16" s="86"/>
      <c r="E16" s="87">
        <f>E9-E15+C35</f>
        <v>52000</v>
      </c>
      <c r="H16" s="1"/>
      <c r="I16" s="98"/>
      <c r="J16" s="99"/>
      <c r="K16" s="99"/>
      <c r="L16" s="99"/>
      <c r="M16" s="99"/>
      <c r="N16" s="99"/>
    </row>
    <row r="17">
      <c r="A17" s="100"/>
      <c r="B17" s="100"/>
      <c r="C17" s="100"/>
      <c r="D17" s="100"/>
      <c r="E17" s="100"/>
      <c r="H17" s="1"/>
      <c r="I17" s="1"/>
      <c r="J17" s="99"/>
      <c r="K17" s="99"/>
      <c r="L17" s="99"/>
      <c r="M17" s="99"/>
      <c r="N17" s="99"/>
    </row>
    <row r="18">
      <c r="A18" s="1"/>
      <c r="B18" s="100"/>
      <c r="C18" s="100"/>
      <c r="D18" s="100"/>
      <c r="E18" s="100"/>
      <c r="H18" s="1"/>
      <c r="I18" s="1"/>
      <c r="J18" s="99"/>
      <c r="K18" s="99"/>
      <c r="L18" s="99"/>
      <c r="M18" s="99"/>
      <c r="N18" s="99"/>
    </row>
    <row r="19">
      <c r="A19" s="1" t="s">
        <v>55</v>
      </c>
      <c r="B19" s="100"/>
      <c r="C19" s="100"/>
      <c r="D19" s="100"/>
      <c r="E19" s="100"/>
      <c r="H19" s="1"/>
      <c r="I19" s="1"/>
      <c r="J19" s="99"/>
      <c r="K19" s="99"/>
      <c r="L19" s="99"/>
      <c r="M19" s="99"/>
      <c r="N19" s="99"/>
    </row>
    <row r="20">
      <c r="A20" s="100"/>
      <c r="B20" s="66" t="s">
        <v>56</v>
      </c>
      <c r="C20" s="101">
        <f>U68</f>
        <v>5</v>
      </c>
      <c r="H20" s="1"/>
      <c r="I20" s="1"/>
      <c r="J20" s="102"/>
      <c r="K20" s="102"/>
      <c r="L20" s="103"/>
      <c r="M20" s="99"/>
      <c r="N20" s="99"/>
    </row>
    <row r="21">
      <c r="A21" s="100"/>
      <c r="B21" s="66" t="s">
        <v>57</v>
      </c>
      <c r="C21" s="101">
        <f>V68</f>
        <v>0</v>
      </c>
      <c r="H21" s="1"/>
      <c r="I21" s="1"/>
      <c r="J21" s="102"/>
      <c r="K21" s="102"/>
      <c r="L21" s="103"/>
      <c r="M21" s="99"/>
      <c r="N21" s="99"/>
    </row>
    <row r="22">
      <c r="A22" s="100"/>
      <c r="B22" s="66" t="s">
        <v>58</v>
      </c>
      <c r="C22" s="101">
        <f>S68</f>
        <v>0</v>
      </c>
      <c r="H22" s="1"/>
      <c r="I22" s="1"/>
      <c r="J22" s="102"/>
      <c r="K22" s="102"/>
      <c r="L22" s="103"/>
      <c r="M22" s="99"/>
      <c r="N22" s="99"/>
    </row>
    <row r="23">
      <c r="A23" s="100"/>
      <c r="B23" s="66" t="s">
        <v>59</v>
      </c>
      <c r="C23" s="101">
        <f>T68</f>
        <v>0</v>
      </c>
      <c r="H23" s="1"/>
      <c r="I23" s="98"/>
      <c r="J23" s="102"/>
      <c r="K23" s="102"/>
      <c r="L23" s="103"/>
      <c r="M23" s="99"/>
      <c r="N23" s="99"/>
    </row>
    <row r="24">
      <c r="A24" s="100"/>
      <c r="B24" s="66" t="s">
        <v>60</v>
      </c>
      <c r="C24" s="101">
        <f>67</f>
        <v>67</v>
      </c>
      <c r="H24" s="1"/>
      <c r="I24" s="1"/>
    </row>
    <row r="25">
      <c r="A25" s="100"/>
      <c r="B25" s="66" t="s">
        <v>61</v>
      </c>
      <c r="C25" s="104">
        <f>P68</f>
        <v>0</v>
      </c>
      <c r="H25" s="1"/>
      <c r="I25" s="1"/>
    </row>
    <row r="26">
      <c r="A26" s="100"/>
      <c r="B26" s="66" t="s">
        <v>62</v>
      </c>
      <c r="C26" s="67">
        <f>Q68</f>
        <v>0</v>
      </c>
      <c r="H26" s="1"/>
      <c r="I26" s="1"/>
    </row>
    <row r="27">
      <c r="A27" s="100"/>
      <c r="B27" s="66" t="s">
        <v>63</v>
      </c>
      <c r="C27" s="67">
        <f>R68</f>
        <v>0</v>
      </c>
      <c r="H27" s="1"/>
      <c r="I27" s="1"/>
    </row>
    <row r="28">
      <c r="A28" s="100"/>
      <c r="B28" s="66" t="s">
        <v>64</v>
      </c>
      <c r="C28" s="101">
        <f>F68</f>
        <v>0</v>
      </c>
      <c r="D28" s="1"/>
      <c r="H28" s="1"/>
      <c r="I28" s="1"/>
    </row>
    <row r="29">
      <c r="A29" s="100"/>
      <c r="B29" s="66" t="s">
        <v>65</v>
      </c>
      <c r="C29" s="101">
        <v>0.0</v>
      </c>
      <c r="D29" s="1"/>
      <c r="H29" s="1"/>
      <c r="I29" s="1"/>
    </row>
    <row r="30">
      <c r="A30" s="100"/>
      <c r="B30" s="66" t="s">
        <v>66</v>
      </c>
      <c r="C30" s="101">
        <f>I68</f>
        <v>0</v>
      </c>
      <c r="D30" s="100"/>
      <c r="H30" s="1"/>
      <c r="I30" s="1"/>
    </row>
    <row r="31">
      <c r="A31" s="100"/>
      <c r="B31" s="66" t="s">
        <v>67</v>
      </c>
      <c r="C31" s="101">
        <v>0.0</v>
      </c>
      <c r="D31" s="100"/>
      <c r="H31" s="1"/>
      <c r="I31" s="1"/>
    </row>
    <row r="32">
      <c r="B32" s="66" t="s">
        <v>68</v>
      </c>
      <c r="C32" s="101">
        <f>L68</f>
        <v>4</v>
      </c>
    </row>
    <row r="33">
      <c r="B33" s="66" t="s">
        <v>69</v>
      </c>
      <c r="C33" s="67">
        <f>K68</f>
        <v>0</v>
      </c>
    </row>
    <row r="34">
      <c r="B34" s="66" t="s">
        <v>70</v>
      </c>
      <c r="C34" s="101">
        <v>0.0</v>
      </c>
    </row>
    <row r="35">
      <c r="B35" s="66" t="s">
        <v>71</v>
      </c>
      <c r="C35" s="101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6" t="s">
        <v>72</v>
      </c>
      <c r="C38" s="66" t="s">
        <v>73</v>
      </c>
      <c r="D38" s="66" t="s">
        <v>74</v>
      </c>
      <c r="E38" s="66" t="s">
        <v>75</v>
      </c>
      <c r="F38" s="72" t="s">
        <v>76</v>
      </c>
      <c r="G38" s="72" t="s">
        <v>77</v>
      </c>
      <c r="H38" s="72" t="s">
        <v>78</v>
      </c>
      <c r="I38" s="72" t="s">
        <v>79</v>
      </c>
      <c r="J38" s="72" t="s">
        <v>80</v>
      </c>
      <c r="K38" s="72" t="s">
        <v>81</v>
      </c>
      <c r="L38" s="72" t="s">
        <v>68</v>
      </c>
      <c r="M38" s="72" t="s">
        <v>70</v>
      </c>
      <c r="N38" s="72" t="s">
        <v>82</v>
      </c>
      <c r="O38" s="72" t="s">
        <v>83</v>
      </c>
      <c r="P38" s="72" t="s">
        <v>84</v>
      </c>
      <c r="Q38" s="72" t="s">
        <v>85</v>
      </c>
      <c r="R38" s="72" t="s">
        <v>86</v>
      </c>
      <c r="S38" s="72" t="s">
        <v>87</v>
      </c>
      <c r="T38" s="72" t="s">
        <v>59</v>
      </c>
      <c r="U38" s="72" t="s">
        <v>88</v>
      </c>
      <c r="V38" s="72" t="s">
        <v>89</v>
      </c>
      <c r="W38" s="72" t="s">
        <v>90</v>
      </c>
    </row>
    <row r="39">
      <c r="B39" s="105" t="s">
        <v>15</v>
      </c>
      <c r="C39" s="106">
        <v>27000.0</v>
      </c>
      <c r="D39" s="106"/>
      <c r="E39" s="106"/>
      <c r="F39" s="107"/>
      <c r="G39" s="67">
        <f t="shared" ref="G39:G67" si="1">F39*C39</f>
        <v>0</v>
      </c>
      <c r="H39" s="107"/>
      <c r="I39" s="107"/>
      <c r="J39" s="107"/>
      <c r="K39" s="107"/>
      <c r="L39" s="104">
        <f t="shared" ref="L39:L67" si="2">H39+U39+W39-O39-Q39-I39-J39</f>
        <v>4</v>
      </c>
      <c r="M39" s="67">
        <f t="shared" ref="M39:M67" si="3">K39-L39</f>
        <v>-4</v>
      </c>
      <c r="N39" s="67">
        <f t="shared" ref="N39:N67" si="4">M39*C39</f>
        <v>-108000</v>
      </c>
      <c r="O39" s="67">
        <f>'Dala Sales &amp; Deliveries'!L2</f>
        <v>1</v>
      </c>
      <c r="P39" s="67">
        <f t="shared" ref="P39:P67" si="5">O39*E39</f>
        <v>0</v>
      </c>
      <c r="Q39" s="67">
        <f>'External Delivery Fulfillment'!L2</f>
        <v>0</v>
      </c>
      <c r="R39" s="67">
        <f t="shared" ref="R39:R67" si="6">Q39*E39</f>
        <v>0</v>
      </c>
      <c r="S39" s="67">
        <f>'Forwarding From Client'!L2</f>
        <v>0</v>
      </c>
      <c r="T39" s="67">
        <f t="shared" ref="T39:T67" si="7">S39*E39</f>
        <v>0</v>
      </c>
      <c r="U39" s="67">
        <f>'Dala Restocking'!L2</f>
        <v>5</v>
      </c>
      <c r="V39" s="67">
        <f t="shared" ref="V39:V67" si="8">U39*D39</f>
        <v>0</v>
      </c>
      <c r="W39" s="67">
        <f>'Client Restocking'!L2</f>
        <v>0</v>
      </c>
    </row>
    <row r="40">
      <c r="B40" s="108" t="s">
        <v>21</v>
      </c>
      <c r="C40" s="109"/>
      <c r="D40" s="109"/>
      <c r="E40" s="109"/>
      <c r="F40" s="110"/>
      <c r="G40" s="67">
        <f t="shared" si="1"/>
        <v>0</v>
      </c>
      <c r="H40" s="110"/>
      <c r="I40" s="107"/>
      <c r="J40" s="110"/>
      <c r="K40" s="107"/>
      <c r="L40" s="104">
        <f t="shared" si="2"/>
        <v>0</v>
      </c>
      <c r="M40" s="67">
        <f t="shared" si="3"/>
        <v>0</v>
      </c>
      <c r="N40" s="67">
        <f t="shared" si="4"/>
        <v>0</v>
      </c>
      <c r="O40" s="67">
        <f>'Dala Sales &amp; Deliveries'!L3</f>
        <v>0</v>
      </c>
      <c r="P40" s="67">
        <f t="shared" si="5"/>
        <v>0</v>
      </c>
      <c r="Q40" s="67">
        <f>'External Delivery Fulfillment'!L3</f>
        <v>0</v>
      </c>
      <c r="R40" s="67">
        <f t="shared" si="6"/>
        <v>0</v>
      </c>
      <c r="S40" s="67">
        <f>'Forwarding From Client'!L3</f>
        <v>0</v>
      </c>
      <c r="T40" s="67">
        <f t="shared" si="7"/>
        <v>0</v>
      </c>
      <c r="U40" s="67">
        <f>'Dala Restocking'!L3</f>
        <v>0</v>
      </c>
      <c r="V40" s="67">
        <f t="shared" si="8"/>
        <v>0</v>
      </c>
      <c r="W40" s="67">
        <f>'Client Restocking'!L3</f>
        <v>0</v>
      </c>
    </row>
    <row r="41">
      <c r="B41" s="108" t="s">
        <v>24</v>
      </c>
      <c r="C41" s="109"/>
      <c r="D41" s="109"/>
      <c r="E41" s="109"/>
      <c r="F41" s="110"/>
      <c r="G41" s="67">
        <f t="shared" si="1"/>
        <v>0</v>
      </c>
      <c r="H41" s="110"/>
      <c r="I41" s="107"/>
      <c r="J41" s="110"/>
      <c r="K41" s="107"/>
      <c r="L41" s="104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Deliveries'!L4</f>
        <v>0</v>
      </c>
      <c r="P41" s="67">
        <f t="shared" si="5"/>
        <v>0</v>
      </c>
      <c r="Q41" s="67">
        <f>'External Delivery Fulfillment'!L4</f>
        <v>0</v>
      </c>
      <c r="R41" s="67">
        <f t="shared" si="6"/>
        <v>0</v>
      </c>
      <c r="S41" s="67">
        <f>'Forwarding From Client'!L4</f>
        <v>0</v>
      </c>
      <c r="T41" s="67">
        <f t="shared" si="7"/>
        <v>0</v>
      </c>
      <c r="U41" s="67">
        <f>'Dala Restocking'!L4</f>
        <v>0</v>
      </c>
      <c r="V41" s="67">
        <f t="shared" si="8"/>
        <v>0</v>
      </c>
      <c r="W41" s="67">
        <f>'Client Restocking'!L4</f>
        <v>0</v>
      </c>
    </row>
    <row r="42">
      <c r="B42" s="108"/>
      <c r="C42" s="109"/>
      <c r="D42" s="109"/>
      <c r="E42" s="109"/>
      <c r="F42" s="110"/>
      <c r="G42" s="67">
        <f t="shared" si="1"/>
        <v>0</v>
      </c>
      <c r="H42" s="110"/>
      <c r="I42" s="107"/>
      <c r="J42" s="110"/>
      <c r="K42" s="107"/>
      <c r="L42" s="104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Deliveries'!L5</f>
        <v>0</v>
      </c>
      <c r="P42" s="67">
        <f t="shared" si="5"/>
        <v>0</v>
      </c>
      <c r="Q42" s="67">
        <f>'External Delivery Fulfillment'!L5</f>
        <v>0</v>
      </c>
      <c r="R42" s="67">
        <f t="shared" si="6"/>
        <v>0</v>
      </c>
      <c r="S42" s="67">
        <f>'Forwarding From Client'!L5</f>
        <v>0</v>
      </c>
      <c r="T42" s="67">
        <f t="shared" si="7"/>
        <v>0</v>
      </c>
      <c r="U42" s="67">
        <f>'Dala Restocking'!L5</f>
        <v>0</v>
      </c>
      <c r="V42" s="67">
        <f t="shared" si="8"/>
        <v>0</v>
      </c>
      <c r="W42" s="67">
        <f>'Client Restocking'!L5</f>
        <v>0</v>
      </c>
    </row>
    <row r="43">
      <c r="B43" s="108"/>
      <c r="C43" s="109"/>
      <c r="D43" s="109"/>
      <c r="E43" s="109"/>
      <c r="F43" s="110"/>
      <c r="G43" s="67">
        <f t="shared" si="1"/>
        <v>0</v>
      </c>
      <c r="H43" s="110"/>
      <c r="I43" s="110"/>
      <c r="J43" s="110"/>
      <c r="K43" s="107"/>
      <c r="L43" s="104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Deliveries'!L6</f>
        <v>0</v>
      </c>
      <c r="P43" s="67">
        <f t="shared" si="5"/>
        <v>0</v>
      </c>
      <c r="Q43" s="67">
        <f>'External Delivery Fulfillment'!L6</f>
        <v>0</v>
      </c>
      <c r="R43" s="67">
        <f t="shared" si="6"/>
        <v>0</v>
      </c>
      <c r="S43" s="67">
        <f>'Forwarding From Client'!L6</f>
        <v>0</v>
      </c>
      <c r="T43" s="67">
        <f t="shared" si="7"/>
        <v>0</v>
      </c>
      <c r="U43" s="67">
        <f>'Dala Restocking'!L6</f>
        <v>0</v>
      </c>
      <c r="V43" s="67">
        <f t="shared" si="8"/>
        <v>0</v>
      </c>
      <c r="W43" s="67">
        <f>'Client Restocking'!L6</f>
        <v>0</v>
      </c>
    </row>
    <row r="44">
      <c r="B44" s="108"/>
      <c r="C44" s="109"/>
      <c r="D44" s="109"/>
      <c r="E44" s="109"/>
      <c r="F44" s="110"/>
      <c r="G44" s="67">
        <f t="shared" si="1"/>
        <v>0</v>
      </c>
      <c r="H44" s="110"/>
      <c r="I44" s="110"/>
      <c r="J44" s="110"/>
      <c r="K44" s="107"/>
      <c r="L44" s="104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Deliveries'!L7</f>
        <v>0</v>
      </c>
      <c r="P44" s="67">
        <f t="shared" si="5"/>
        <v>0</v>
      </c>
      <c r="Q44" s="67">
        <f>'External Delivery Fulfillment'!L7</f>
        <v>0</v>
      </c>
      <c r="R44" s="67">
        <f t="shared" si="6"/>
        <v>0</v>
      </c>
      <c r="S44" s="67">
        <f>'Forwarding From Client'!L7</f>
        <v>0</v>
      </c>
      <c r="T44" s="67">
        <f t="shared" si="7"/>
        <v>0</v>
      </c>
      <c r="U44" s="67">
        <f>'Dala Restocking'!L7</f>
        <v>0</v>
      </c>
      <c r="V44" s="67">
        <f t="shared" si="8"/>
        <v>0</v>
      </c>
      <c r="W44" s="67">
        <f>'Client Restocking'!L7</f>
        <v>0</v>
      </c>
    </row>
    <row r="45">
      <c r="B45" s="108"/>
      <c r="C45" s="109"/>
      <c r="D45" s="109"/>
      <c r="E45" s="109"/>
      <c r="F45" s="110"/>
      <c r="G45" s="67">
        <f t="shared" si="1"/>
        <v>0</v>
      </c>
      <c r="H45" s="110"/>
      <c r="I45" s="110"/>
      <c r="J45" s="110"/>
      <c r="K45" s="107"/>
      <c r="L45" s="104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Deliveries'!L8</f>
        <v>0</v>
      </c>
      <c r="P45" s="67">
        <f t="shared" si="5"/>
        <v>0</v>
      </c>
      <c r="Q45" s="67">
        <f>'External Delivery Fulfillment'!L8</f>
        <v>0</v>
      </c>
      <c r="R45" s="67">
        <f t="shared" si="6"/>
        <v>0</v>
      </c>
      <c r="S45" s="67">
        <f>'Forwarding From Client'!L8</f>
        <v>0</v>
      </c>
      <c r="T45" s="67">
        <f t="shared" si="7"/>
        <v>0</v>
      </c>
      <c r="U45" s="67">
        <f>'Dala Restocking'!L8</f>
        <v>0</v>
      </c>
      <c r="V45" s="67">
        <f t="shared" si="8"/>
        <v>0</v>
      </c>
      <c r="W45" s="67">
        <f>'Client Restocking'!L8</f>
        <v>0</v>
      </c>
    </row>
    <row r="46">
      <c r="B46" s="108"/>
      <c r="C46" s="109"/>
      <c r="D46" s="109"/>
      <c r="E46" s="109"/>
      <c r="F46" s="110"/>
      <c r="G46" s="67">
        <f t="shared" si="1"/>
        <v>0</v>
      </c>
      <c r="H46" s="110"/>
      <c r="I46" s="110"/>
      <c r="J46" s="110"/>
      <c r="K46" s="107"/>
      <c r="L46" s="104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Deliveries'!L9</f>
        <v>0</v>
      </c>
      <c r="P46" s="67">
        <f t="shared" si="5"/>
        <v>0</v>
      </c>
      <c r="Q46" s="67">
        <f>'External Delivery Fulfillment'!L9</f>
        <v>0</v>
      </c>
      <c r="R46" s="67">
        <f t="shared" si="6"/>
        <v>0</v>
      </c>
      <c r="S46" s="67">
        <f>'Forwarding From Client'!L9</f>
        <v>0</v>
      </c>
      <c r="T46" s="67">
        <f t="shared" si="7"/>
        <v>0</v>
      </c>
      <c r="U46" s="67">
        <f>'Dala Restocking'!L9</f>
        <v>0</v>
      </c>
      <c r="V46" s="67">
        <f t="shared" si="8"/>
        <v>0</v>
      </c>
      <c r="W46" s="67">
        <f>'Client Restocking'!L9</f>
        <v>0</v>
      </c>
    </row>
    <row r="47">
      <c r="B47" s="108"/>
      <c r="C47" s="109"/>
      <c r="D47" s="109"/>
      <c r="E47" s="109"/>
      <c r="F47" s="110"/>
      <c r="G47" s="67">
        <f t="shared" si="1"/>
        <v>0</v>
      </c>
      <c r="H47" s="110"/>
      <c r="I47" s="110"/>
      <c r="J47" s="110"/>
      <c r="K47" s="107"/>
      <c r="L47" s="104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Deliveries'!L10</f>
        <v>0</v>
      </c>
      <c r="P47" s="67">
        <f t="shared" si="5"/>
        <v>0</v>
      </c>
      <c r="Q47" s="67">
        <f>'External Delivery Fulfillment'!L10</f>
        <v>0</v>
      </c>
      <c r="R47" s="67">
        <f t="shared" si="6"/>
        <v>0</v>
      </c>
      <c r="S47" s="67">
        <f>'Forwarding From Client'!L10</f>
        <v>0</v>
      </c>
      <c r="T47" s="67">
        <f t="shared" si="7"/>
        <v>0</v>
      </c>
      <c r="U47" s="67">
        <f>'Dala Restocking'!L10</f>
        <v>0</v>
      </c>
      <c r="V47" s="67">
        <f t="shared" si="8"/>
        <v>0</v>
      </c>
      <c r="W47" s="67">
        <f>'Client Restocking'!L10</f>
        <v>0</v>
      </c>
    </row>
    <row r="48">
      <c r="B48" s="108"/>
      <c r="C48" s="109"/>
      <c r="D48" s="109"/>
      <c r="E48" s="109"/>
      <c r="F48" s="110"/>
      <c r="G48" s="67">
        <f t="shared" si="1"/>
        <v>0</v>
      </c>
      <c r="H48" s="110"/>
      <c r="I48" s="110"/>
      <c r="J48" s="110"/>
      <c r="K48" s="107"/>
      <c r="L48" s="104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Deliveries'!L11</f>
        <v>0</v>
      </c>
      <c r="P48" s="67">
        <f t="shared" si="5"/>
        <v>0</v>
      </c>
      <c r="Q48" s="67">
        <f>'External Delivery Fulfillment'!L11</f>
        <v>0</v>
      </c>
      <c r="R48" s="67">
        <f t="shared" si="6"/>
        <v>0</v>
      </c>
      <c r="S48" s="67">
        <f>'Forwarding From Client'!L11</f>
        <v>0</v>
      </c>
      <c r="T48" s="67">
        <f t="shared" si="7"/>
        <v>0</v>
      </c>
      <c r="U48" s="67">
        <f>'Dala Restocking'!L11</f>
        <v>0</v>
      </c>
      <c r="V48" s="67">
        <f t="shared" si="8"/>
        <v>0</v>
      </c>
      <c r="W48" s="67">
        <f>'Client Restocking'!L11</f>
        <v>0</v>
      </c>
    </row>
    <row r="49">
      <c r="B49" s="108"/>
      <c r="C49" s="109"/>
      <c r="D49" s="109"/>
      <c r="E49" s="109"/>
      <c r="F49" s="110"/>
      <c r="G49" s="67">
        <f t="shared" si="1"/>
        <v>0</v>
      </c>
      <c r="H49" s="110"/>
      <c r="I49" s="110"/>
      <c r="J49" s="110"/>
      <c r="K49" s="107"/>
      <c r="L49" s="104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Deliveries'!L12</f>
        <v>0</v>
      </c>
      <c r="P49" s="67">
        <f t="shared" si="5"/>
        <v>0</v>
      </c>
      <c r="Q49" s="67">
        <f>'External Delivery Fulfillment'!L12</f>
        <v>0</v>
      </c>
      <c r="R49" s="67">
        <f t="shared" si="6"/>
        <v>0</v>
      </c>
      <c r="S49" s="67">
        <f>'Forwarding From Client'!L12</f>
        <v>0</v>
      </c>
      <c r="T49" s="67">
        <f t="shared" si="7"/>
        <v>0</v>
      </c>
      <c r="U49" s="67">
        <f>'Dala Restocking'!L12</f>
        <v>0</v>
      </c>
      <c r="V49" s="67">
        <f t="shared" si="8"/>
        <v>0</v>
      </c>
      <c r="W49" s="67">
        <f>'Client Restocking'!L12</f>
        <v>0</v>
      </c>
    </row>
    <row r="50">
      <c r="B50" s="108"/>
      <c r="C50" s="109"/>
      <c r="D50" s="109"/>
      <c r="E50" s="109"/>
      <c r="F50" s="110"/>
      <c r="G50" s="67">
        <f t="shared" si="1"/>
        <v>0</v>
      </c>
      <c r="H50" s="110"/>
      <c r="I50" s="110"/>
      <c r="J50" s="110"/>
      <c r="K50" s="107"/>
      <c r="L50" s="104">
        <f t="shared" si="2"/>
        <v>0</v>
      </c>
      <c r="M50" s="67">
        <f t="shared" si="3"/>
        <v>0</v>
      </c>
      <c r="N50" s="67">
        <f t="shared" si="4"/>
        <v>0</v>
      </c>
      <c r="O50" s="67">
        <f>'Dala Sales &amp; Deliveries'!L13</f>
        <v>0</v>
      </c>
      <c r="P50" s="67">
        <f t="shared" si="5"/>
        <v>0</v>
      </c>
      <c r="Q50" s="67">
        <f>'External Delivery Fulfillment'!L13</f>
        <v>0</v>
      </c>
      <c r="R50" s="67">
        <f t="shared" si="6"/>
        <v>0</v>
      </c>
      <c r="S50" s="67">
        <f>'Forwarding From Client'!L13</f>
        <v>0</v>
      </c>
      <c r="T50" s="67">
        <f t="shared" si="7"/>
        <v>0</v>
      </c>
      <c r="U50" s="67">
        <f>'Dala Restocking'!L13</f>
        <v>0</v>
      </c>
      <c r="V50" s="67">
        <f t="shared" si="8"/>
        <v>0</v>
      </c>
      <c r="W50" s="67">
        <f>'Client Restocking'!L13</f>
        <v>0</v>
      </c>
    </row>
    <row r="51">
      <c r="B51" s="111"/>
      <c r="C51" s="110"/>
      <c r="D51" s="110"/>
      <c r="E51" s="110"/>
      <c r="F51" s="110"/>
      <c r="G51" s="67">
        <f t="shared" si="1"/>
        <v>0</v>
      </c>
      <c r="H51" s="110"/>
      <c r="I51" s="110"/>
      <c r="J51" s="110"/>
      <c r="K51" s="110"/>
      <c r="L51" s="104">
        <f t="shared" si="2"/>
        <v>0</v>
      </c>
      <c r="M51" s="67">
        <f t="shared" si="3"/>
        <v>0</v>
      </c>
      <c r="N51" s="67">
        <f t="shared" si="4"/>
        <v>0</v>
      </c>
      <c r="O51" s="67">
        <f>'Dala Sales &amp; Deliveries'!L14</f>
        <v>0</v>
      </c>
      <c r="P51" s="67">
        <f t="shared" si="5"/>
        <v>0</v>
      </c>
      <c r="Q51" s="67">
        <f>'External Delivery Fulfillment'!L14</f>
        <v>0</v>
      </c>
      <c r="R51" s="67">
        <f t="shared" si="6"/>
        <v>0</v>
      </c>
      <c r="S51" s="67">
        <f>'Forwarding From Client'!L14</f>
        <v>0</v>
      </c>
      <c r="T51" s="67">
        <f t="shared" si="7"/>
        <v>0</v>
      </c>
      <c r="U51" s="67">
        <f>'Dala Restocking'!L14</f>
        <v>0</v>
      </c>
      <c r="V51" s="67">
        <f t="shared" si="8"/>
        <v>0</v>
      </c>
      <c r="W51" s="67">
        <f>'Client Restocking'!L14</f>
        <v>0</v>
      </c>
    </row>
    <row r="52">
      <c r="B52" s="111"/>
      <c r="C52" s="110"/>
      <c r="D52" s="110"/>
      <c r="E52" s="110"/>
      <c r="F52" s="110"/>
      <c r="G52" s="67">
        <f t="shared" si="1"/>
        <v>0</v>
      </c>
      <c r="H52" s="110"/>
      <c r="I52" s="110"/>
      <c r="J52" s="110"/>
      <c r="K52" s="110"/>
      <c r="L52" s="104">
        <f t="shared" si="2"/>
        <v>0</v>
      </c>
      <c r="M52" s="67">
        <f t="shared" si="3"/>
        <v>0</v>
      </c>
      <c r="N52" s="67">
        <f t="shared" si="4"/>
        <v>0</v>
      </c>
      <c r="O52" s="67">
        <f>'Dala Sales &amp; Deliveries'!L15</f>
        <v>0</v>
      </c>
      <c r="P52" s="67">
        <f t="shared" si="5"/>
        <v>0</v>
      </c>
      <c r="Q52" s="67">
        <f>'External Delivery Fulfillment'!L15</f>
        <v>0</v>
      </c>
      <c r="R52" s="67">
        <f t="shared" si="6"/>
        <v>0</v>
      </c>
      <c r="S52" s="67">
        <f>'Forwarding From Client'!L15</f>
        <v>0</v>
      </c>
      <c r="T52" s="67">
        <f t="shared" si="7"/>
        <v>0</v>
      </c>
      <c r="U52" s="67">
        <f>'Dala Restocking'!L15</f>
        <v>0</v>
      </c>
      <c r="V52" s="67">
        <f t="shared" si="8"/>
        <v>0</v>
      </c>
      <c r="W52" s="67">
        <f>'Client Restocking'!L15</f>
        <v>0</v>
      </c>
    </row>
    <row r="53">
      <c r="B53" s="111"/>
      <c r="C53" s="110"/>
      <c r="D53" s="110"/>
      <c r="E53" s="110"/>
      <c r="F53" s="110"/>
      <c r="G53" s="67">
        <f t="shared" si="1"/>
        <v>0</v>
      </c>
      <c r="H53" s="110"/>
      <c r="I53" s="110"/>
      <c r="J53" s="110"/>
      <c r="K53" s="110"/>
      <c r="L53" s="104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Deliveries'!L16</f>
        <v/>
      </c>
      <c r="P53" s="67">
        <f t="shared" si="5"/>
        <v>0</v>
      </c>
      <c r="Q53" s="67" t="str">
        <f>'External Delivery Fulfillment'!L16</f>
        <v/>
      </c>
      <c r="R53" s="67">
        <f t="shared" si="6"/>
        <v>0</v>
      </c>
      <c r="S53" s="67" t="str">
        <f>'Forwarding From Client'!L16</f>
        <v/>
      </c>
      <c r="T53" s="67">
        <f t="shared" si="7"/>
        <v>0</v>
      </c>
      <c r="U53" s="67" t="str">
        <f>'Dala Restocking'!L16</f>
        <v/>
      </c>
      <c r="V53" s="67">
        <f t="shared" si="8"/>
        <v>0</v>
      </c>
      <c r="W53" s="67" t="str">
        <f>'Client Restocking'!L16</f>
        <v/>
      </c>
    </row>
    <row r="54">
      <c r="B54" s="111"/>
      <c r="C54" s="110"/>
      <c r="D54" s="110"/>
      <c r="E54" s="110"/>
      <c r="F54" s="110"/>
      <c r="G54" s="67">
        <f t="shared" si="1"/>
        <v>0</v>
      </c>
      <c r="H54" s="110"/>
      <c r="I54" s="110"/>
      <c r="J54" s="110"/>
      <c r="K54" s="110"/>
      <c r="L54" s="104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Deliveries'!L17</f>
        <v/>
      </c>
      <c r="P54" s="67">
        <f t="shared" si="5"/>
        <v>0</v>
      </c>
      <c r="Q54" s="67" t="str">
        <f>'External Delivery Fulfillment'!L17</f>
        <v/>
      </c>
      <c r="R54" s="67">
        <f t="shared" si="6"/>
        <v>0</v>
      </c>
      <c r="S54" s="67" t="str">
        <f>'Forwarding From Client'!L17</f>
        <v/>
      </c>
      <c r="T54" s="67">
        <f t="shared" si="7"/>
        <v>0</v>
      </c>
      <c r="U54" s="67" t="str">
        <f>'Dala Restocking'!L17</f>
        <v/>
      </c>
      <c r="V54" s="67">
        <f t="shared" si="8"/>
        <v>0</v>
      </c>
      <c r="W54" s="67" t="str">
        <f>'Client Restocking'!L17</f>
        <v/>
      </c>
    </row>
    <row r="55">
      <c r="B55" s="111"/>
      <c r="C55" s="110"/>
      <c r="D55" s="110"/>
      <c r="E55" s="110"/>
      <c r="F55" s="110"/>
      <c r="G55" s="67">
        <f t="shared" si="1"/>
        <v>0</v>
      </c>
      <c r="H55" s="110"/>
      <c r="I55" s="110"/>
      <c r="J55" s="110"/>
      <c r="K55" s="110"/>
      <c r="L55" s="104">
        <f t="shared" si="2"/>
        <v>0</v>
      </c>
      <c r="M55" s="67">
        <f t="shared" si="3"/>
        <v>0</v>
      </c>
      <c r="N55" s="67">
        <f t="shared" si="4"/>
        <v>0</v>
      </c>
      <c r="O55" s="67">
        <f>'Dala Sales &amp; Deliveries'!L18</f>
        <v>0</v>
      </c>
      <c r="P55" s="67">
        <f t="shared" si="5"/>
        <v>0</v>
      </c>
      <c r="Q55" s="67">
        <f>'External Delivery Fulfillment'!L18</f>
        <v>0</v>
      </c>
      <c r="R55" s="67">
        <f t="shared" si="6"/>
        <v>0</v>
      </c>
      <c r="S55" s="67" t="str">
        <f>'Forwarding From Client'!L18</f>
        <v/>
      </c>
      <c r="T55" s="67">
        <f t="shared" si="7"/>
        <v>0</v>
      </c>
      <c r="U55" s="67">
        <f>'Dala Restocking'!L18</f>
        <v>0</v>
      </c>
      <c r="V55" s="67">
        <f t="shared" si="8"/>
        <v>0</v>
      </c>
      <c r="W55" s="67" t="str">
        <f>'Client Restocking'!L18</f>
        <v/>
      </c>
    </row>
    <row r="56">
      <c r="B56" s="111"/>
      <c r="C56" s="110"/>
      <c r="D56" s="110"/>
      <c r="E56" s="110"/>
      <c r="F56" s="110"/>
      <c r="G56" s="67">
        <f t="shared" si="1"/>
        <v>0</v>
      </c>
      <c r="H56" s="110"/>
      <c r="I56" s="110"/>
      <c r="J56" s="110"/>
      <c r="K56" s="110"/>
      <c r="L56" s="104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Deliveries'!L19</f>
        <v/>
      </c>
      <c r="P56" s="67">
        <f t="shared" si="5"/>
        <v>0</v>
      </c>
      <c r="Q56" s="67" t="str">
        <f>'External Delivery Fulfillment'!L19</f>
        <v/>
      </c>
      <c r="R56" s="67">
        <f t="shared" si="6"/>
        <v>0</v>
      </c>
      <c r="S56" s="67" t="str">
        <f>'Forwarding From Client'!L19</f>
        <v/>
      </c>
      <c r="T56" s="67">
        <f t="shared" si="7"/>
        <v>0</v>
      </c>
      <c r="U56" s="67" t="str">
        <f>'Dala Restocking'!L19</f>
        <v/>
      </c>
      <c r="V56" s="67">
        <f t="shared" si="8"/>
        <v>0</v>
      </c>
      <c r="W56" s="67" t="str">
        <f>'Client Restocking'!L19</f>
        <v/>
      </c>
    </row>
    <row r="57">
      <c r="B57" s="111"/>
      <c r="C57" s="110"/>
      <c r="D57" s="110"/>
      <c r="E57" s="110"/>
      <c r="F57" s="110"/>
      <c r="G57" s="67">
        <f t="shared" si="1"/>
        <v>0</v>
      </c>
      <c r="H57" s="110"/>
      <c r="I57" s="110"/>
      <c r="J57" s="110"/>
      <c r="K57" s="110"/>
      <c r="L57" s="104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Deliveries'!L20</f>
        <v/>
      </c>
      <c r="P57" s="67">
        <f t="shared" si="5"/>
        <v>0</v>
      </c>
      <c r="Q57" s="67" t="str">
        <f>'External Delivery Fulfillment'!L20</f>
        <v/>
      </c>
      <c r="R57" s="67">
        <f t="shared" si="6"/>
        <v>0</v>
      </c>
      <c r="S57" s="67" t="str">
        <f>'Forwarding From Client'!L20</f>
        <v/>
      </c>
      <c r="T57" s="67">
        <f t="shared" si="7"/>
        <v>0</v>
      </c>
      <c r="U57" s="67" t="str">
        <f>'Dala Restocking'!L20</f>
        <v/>
      </c>
      <c r="V57" s="67">
        <f t="shared" si="8"/>
        <v>0</v>
      </c>
      <c r="W57" s="67" t="str">
        <f>'Client Restocking'!L20</f>
        <v/>
      </c>
    </row>
    <row r="58">
      <c r="B58" s="111"/>
      <c r="C58" s="110"/>
      <c r="D58" s="110"/>
      <c r="E58" s="110"/>
      <c r="F58" s="110"/>
      <c r="G58" s="67">
        <f t="shared" si="1"/>
        <v>0</v>
      </c>
      <c r="H58" s="110"/>
      <c r="I58" s="110"/>
      <c r="J58" s="110"/>
      <c r="K58" s="110"/>
      <c r="L58" s="104">
        <f t="shared" si="2"/>
        <v>0</v>
      </c>
      <c r="M58" s="67">
        <f t="shared" si="3"/>
        <v>0</v>
      </c>
      <c r="N58" s="67">
        <f t="shared" si="4"/>
        <v>0</v>
      </c>
      <c r="O58" s="67">
        <f>'Dala Sales &amp; Deliveries'!L21</f>
        <v>0</v>
      </c>
      <c r="P58" s="67">
        <f t="shared" si="5"/>
        <v>0</v>
      </c>
      <c r="Q58" s="67">
        <f>'External Delivery Fulfillment'!L21</f>
        <v>0</v>
      </c>
      <c r="R58" s="67">
        <f t="shared" si="6"/>
        <v>0</v>
      </c>
      <c r="S58" s="67" t="str">
        <f>'Forwarding From Client'!L21</f>
        <v/>
      </c>
      <c r="T58" s="67">
        <f t="shared" si="7"/>
        <v>0</v>
      </c>
      <c r="U58" s="67">
        <f>'Dala Restocking'!L21</f>
        <v>0</v>
      </c>
      <c r="V58" s="67">
        <f t="shared" si="8"/>
        <v>0</v>
      </c>
      <c r="W58" s="67" t="str">
        <f>'Client Restocking'!L21</f>
        <v/>
      </c>
    </row>
    <row r="59">
      <c r="B59" s="111"/>
      <c r="C59" s="110"/>
      <c r="D59" s="110"/>
      <c r="E59" s="110"/>
      <c r="F59" s="110"/>
      <c r="G59" s="67">
        <f t="shared" si="1"/>
        <v>0</v>
      </c>
      <c r="H59" s="110"/>
      <c r="I59" s="110"/>
      <c r="J59" s="110"/>
      <c r="K59" s="110"/>
      <c r="L59" s="104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Deliveries'!L22</f>
        <v/>
      </c>
      <c r="P59" s="67">
        <f t="shared" si="5"/>
        <v>0</v>
      </c>
      <c r="Q59" s="67" t="str">
        <f>'External Delivery Fulfillment'!L22</f>
        <v/>
      </c>
      <c r="R59" s="67">
        <f t="shared" si="6"/>
        <v>0</v>
      </c>
      <c r="S59" s="67" t="str">
        <f>'Forwarding From Client'!L22</f>
        <v/>
      </c>
      <c r="T59" s="67">
        <f t="shared" si="7"/>
        <v>0</v>
      </c>
      <c r="U59" s="67" t="str">
        <f>'Dala Restocking'!L22</f>
        <v/>
      </c>
      <c r="V59" s="67">
        <f t="shared" si="8"/>
        <v>0</v>
      </c>
      <c r="W59" s="67" t="str">
        <f>'Client Restocking'!L22</f>
        <v/>
      </c>
    </row>
    <row r="60">
      <c r="B60" s="111"/>
      <c r="C60" s="110"/>
      <c r="D60" s="110"/>
      <c r="E60" s="110"/>
      <c r="F60" s="110"/>
      <c r="G60" s="67">
        <f t="shared" si="1"/>
        <v>0</v>
      </c>
      <c r="H60" s="110"/>
      <c r="I60" s="110"/>
      <c r="J60" s="110"/>
      <c r="K60" s="110"/>
      <c r="L60" s="104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Deliveries'!L23</f>
        <v/>
      </c>
      <c r="P60" s="67">
        <f t="shared" si="5"/>
        <v>0</v>
      </c>
      <c r="Q60" s="67" t="str">
        <f>'External Delivery Fulfillment'!L23</f>
        <v/>
      </c>
      <c r="R60" s="67">
        <f t="shared" si="6"/>
        <v>0</v>
      </c>
      <c r="S60" s="67" t="str">
        <f>'Forwarding From Client'!L23</f>
        <v/>
      </c>
      <c r="T60" s="67">
        <f t="shared" si="7"/>
        <v>0</v>
      </c>
      <c r="U60" s="67" t="str">
        <f>'Dala Restocking'!L23</f>
        <v/>
      </c>
      <c r="V60" s="67">
        <f t="shared" si="8"/>
        <v>0</v>
      </c>
      <c r="W60" s="67" t="str">
        <f>'Client Restocking'!L23</f>
        <v/>
      </c>
    </row>
    <row r="61">
      <c r="B61" s="111"/>
      <c r="C61" s="110"/>
      <c r="D61" s="110"/>
      <c r="E61" s="110"/>
      <c r="F61" s="110"/>
      <c r="G61" s="67">
        <f t="shared" si="1"/>
        <v>0</v>
      </c>
      <c r="H61" s="110"/>
      <c r="I61" s="110"/>
      <c r="J61" s="110"/>
      <c r="K61" s="110"/>
      <c r="L61" s="104">
        <f t="shared" si="2"/>
        <v>0</v>
      </c>
      <c r="M61" s="67">
        <f t="shared" si="3"/>
        <v>0</v>
      </c>
      <c r="N61" s="67">
        <f t="shared" si="4"/>
        <v>0</v>
      </c>
      <c r="O61" s="67">
        <f>'Dala Sales &amp; Deliveries'!L24</f>
        <v>0</v>
      </c>
      <c r="P61" s="67">
        <f t="shared" si="5"/>
        <v>0</v>
      </c>
      <c r="Q61" s="67">
        <f>'External Delivery Fulfillment'!L24</f>
        <v>0</v>
      </c>
      <c r="R61" s="67">
        <f t="shared" si="6"/>
        <v>0</v>
      </c>
      <c r="S61" s="67" t="str">
        <f>'Forwarding From Client'!L24</f>
        <v/>
      </c>
      <c r="T61" s="67">
        <f t="shared" si="7"/>
        <v>0</v>
      </c>
      <c r="U61" s="67">
        <f>'Dala Restocking'!L24</f>
        <v>0</v>
      </c>
      <c r="V61" s="67">
        <f t="shared" si="8"/>
        <v>0</v>
      </c>
      <c r="W61" s="67" t="str">
        <f>'Client Restocking'!L24</f>
        <v/>
      </c>
    </row>
    <row r="62">
      <c r="B62" s="111"/>
      <c r="C62" s="110"/>
      <c r="D62" s="110"/>
      <c r="E62" s="110"/>
      <c r="F62" s="110"/>
      <c r="G62" s="67">
        <f t="shared" si="1"/>
        <v>0</v>
      </c>
      <c r="H62" s="110"/>
      <c r="I62" s="110"/>
      <c r="J62" s="110"/>
      <c r="K62" s="110"/>
      <c r="L62" s="104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Deliveries'!L25</f>
        <v/>
      </c>
      <c r="P62" s="67">
        <f t="shared" si="5"/>
        <v>0</v>
      </c>
      <c r="Q62" s="67" t="str">
        <f>'External Delivery Fulfillment'!L25</f>
        <v/>
      </c>
      <c r="R62" s="67">
        <f t="shared" si="6"/>
        <v>0</v>
      </c>
      <c r="S62" s="67" t="str">
        <f>'Forwarding From Client'!L25</f>
        <v/>
      </c>
      <c r="T62" s="67">
        <f t="shared" si="7"/>
        <v>0</v>
      </c>
      <c r="U62" s="67" t="str">
        <f>'Dala Restocking'!L25</f>
        <v/>
      </c>
      <c r="V62" s="67">
        <f t="shared" si="8"/>
        <v>0</v>
      </c>
      <c r="W62" s="67" t="str">
        <f>'Client Restocking'!L25</f>
        <v/>
      </c>
    </row>
    <row r="63">
      <c r="B63" s="111"/>
      <c r="C63" s="110"/>
      <c r="D63" s="110"/>
      <c r="E63" s="110"/>
      <c r="F63" s="110"/>
      <c r="G63" s="67">
        <f t="shared" si="1"/>
        <v>0</v>
      </c>
      <c r="H63" s="110"/>
      <c r="I63" s="110"/>
      <c r="J63" s="110"/>
      <c r="K63" s="110"/>
      <c r="L63" s="104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Deliveries'!L26</f>
        <v/>
      </c>
      <c r="P63" s="67">
        <f t="shared" si="5"/>
        <v>0</v>
      </c>
      <c r="Q63" s="67" t="str">
        <f>'External Delivery Fulfillment'!L26</f>
        <v/>
      </c>
      <c r="R63" s="67">
        <f t="shared" si="6"/>
        <v>0</v>
      </c>
      <c r="S63" s="67" t="str">
        <f>'Forwarding From Client'!L26</f>
        <v/>
      </c>
      <c r="T63" s="67">
        <f t="shared" si="7"/>
        <v>0</v>
      </c>
      <c r="U63" s="67" t="str">
        <f>'Dala Restocking'!L26</f>
        <v/>
      </c>
      <c r="V63" s="67">
        <f t="shared" si="8"/>
        <v>0</v>
      </c>
      <c r="W63" s="67" t="str">
        <f>'Client Restocking'!L26</f>
        <v/>
      </c>
    </row>
    <row r="64">
      <c r="B64" s="111"/>
      <c r="C64" s="110"/>
      <c r="D64" s="110"/>
      <c r="E64" s="110"/>
      <c r="F64" s="110"/>
      <c r="G64" s="67">
        <f t="shared" si="1"/>
        <v>0</v>
      </c>
      <c r="H64" s="110"/>
      <c r="I64" s="110"/>
      <c r="J64" s="110"/>
      <c r="K64" s="110"/>
      <c r="L64" s="104">
        <f t="shared" si="2"/>
        <v>0</v>
      </c>
      <c r="M64" s="67">
        <f t="shared" si="3"/>
        <v>0</v>
      </c>
      <c r="N64" s="67">
        <f t="shared" si="4"/>
        <v>0</v>
      </c>
      <c r="O64" s="67">
        <f>'Dala Sales &amp; Deliveries'!L27</f>
        <v>0</v>
      </c>
      <c r="P64" s="67">
        <f t="shared" si="5"/>
        <v>0</v>
      </c>
      <c r="Q64" s="67" t="str">
        <f>'External Delivery Fulfillment'!L27</f>
        <v/>
      </c>
      <c r="R64" s="67">
        <f t="shared" si="6"/>
        <v>0</v>
      </c>
      <c r="S64" s="67" t="str">
        <f>'Forwarding From Client'!L27</f>
        <v/>
      </c>
      <c r="T64" s="67">
        <f t="shared" si="7"/>
        <v>0</v>
      </c>
      <c r="U64" s="67">
        <f>'Dala Restocking'!L27</f>
        <v>0</v>
      </c>
      <c r="V64" s="67">
        <f t="shared" si="8"/>
        <v>0</v>
      </c>
      <c r="W64" s="67" t="str">
        <f>'Client Restocking'!L27</f>
        <v/>
      </c>
    </row>
    <row r="65">
      <c r="B65" s="111"/>
      <c r="C65" s="110"/>
      <c r="D65" s="110"/>
      <c r="E65" s="110"/>
      <c r="F65" s="110"/>
      <c r="G65" s="67">
        <f t="shared" si="1"/>
        <v>0</v>
      </c>
      <c r="H65" s="110"/>
      <c r="I65" s="110"/>
      <c r="J65" s="110"/>
      <c r="K65" s="110"/>
      <c r="L65" s="104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Deliveries'!L28</f>
        <v/>
      </c>
      <c r="P65" s="67">
        <f t="shared" si="5"/>
        <v>0</v>
      </c>
      <c r="Q65" s="67" t="str">
        <f>'External Delivery Fulfillment'!L28</f>
        <v/>
      </c>
      <c r="R65" s="67">
        <f t="shared" si="6"/>
        <v>0</v>
      </c>
      <c r="S65" s="67" t="str">
        <f>'Forwarding From Client'!L28</f>
        <v/>
      </c>
      <c r="T65" s="67">
        <f t="shared" si="7"/>
        <v>0</v>
      </c>
      <c r="U65" s="67" t="str">
        <f>'Dala Restocking'!L28</f>
        <v/>
      </c>
      <c r="V65" s="67">
        <f t="shared" si="8"/>
        <v>0</v>
      </c>
      <c r="W65" s="67" t="str">
        <f>'Client Restocking'!L28</f>
        <v/>
      </c>
    </row>
    <row r="66">
      <c r="B66" s="111"/>
      <c r="C66" s="110"/>
      <c r="D66" s="110"/>
      <c r="E66" s="110"/>
      <c r="F66" s="110"/>
      <c r="G66" s="67">
        <f t="shared" si="1"/>
        <v>0</v>
      </c>
      <c r="H66" s="110"/>
      <c r="I66" s="110"/>
      <c r="J66" s="110"/>
      <c r="K66" s="110"/>
      <c r="L66" s="104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Deliveries'!L29</f>
        <v/>
      </c>
      <c r="P66" s="67">
        <f t="shared" si="5"/>
        <v>0</v>
      </c>
      <c r="Q66" s="67" t="str">
        <f>'External Delivery Fulfillment'!L29</f>
        <v/>
      </c>
      <c r="R66" s="67">
        <f t="shared" si="6"/>
        <v>0</v>
      </c>
      <c r="S66" s="67" t="str">
        <f>'Forwarding From Client'!L29</f>
        <v/>
      </c>
      <c r="T66" s="67">
        <f t="shared" si="7"/>
        <v>0</v>
      </c>
      <c r="U66" s="67" t="str">
        <f>'Dala Restocking'!L29</f>
        <v/>
      </c>
      <c r="V66" s="67">
        <f t="shared" si="8"/>
        <v>0</v>
      </c>
      <c r="W66" s="67" t="str">
        <f>'Client Restocking'!L29</f>
        <v/>
      </c>
    </row>
    <row r="67">
      <c r="B67" s="111"/>
      <c r="C67" s="110"/>
      <c r="D67" s="110"/>
      <c r="E67" s="110"/>
      <c r="F67" s="110"/>
      <c r="G67" s="67">
        <f t="shared" si="1"/>
        <v>0</v>
      </c>
      <c r="H67" s="110"/>
      <c r="I67" s="110"/>
      <c r="J67" s="110"/>
      <c r="K67" s="110"/>
      <c r="L67" s="104">
        <f t="shared" si="2"/>
        <v>0</v>
      </c>
      <c r="M67" s="67">
        <f t="shared" si="3"/>
        <v>0</v>
      </c>
      <c r="N67" s="67">
        <f t="shared" si="4"/>
        <v>0</v>
      </c>
      <c r="O67" s="67"/>
      <c r="P67" s="67">
        <f t="shared" si="5"/>
        <v>0</v>
      </c>
      <c r="Q67" s="67"/>
      <c r="R67" s="67">
        <f t="shared" si="6"/>
        <v>0</v>
      </c>
      <c r="S67" s="67" t="str">
        <f>'Forwarding From Client'!L30</f>
        <v/>
      </c>
      <c r="T67" s="67">
        <f t="shared" si="7"/>
        <v>0</v>
      </c>
      <c r="U67" s="67"/>
      <c r="V67" s="67">
        <f t="shared" si="8"/>
        <v>0</v>
      </c>
      <c r="W67" s="67"/>
    </row>
    <row r="68">
      <c r="B68" s="72" t="s">
        <v>91</v>
      </c>
      <c r="C68" s="72"/>
      <c r="D68" s="72"/>
      <c r="E68" s="68"/>
      <c r="F68" s="112">
        <f t="shared" ref="F68:W68" si="9">sum(F39:F67)</f>
        <v>0</v>
      </c>
      <c r="G68" s="112">
        <f t="shared" si="9"/>
        <v>0</v>
      </c>
      <c r="H68" s="112">
        <f t="shared" si="9"/>
        <v>0</v>
      </c>
      <c r="I68" s="112">
        <f t="shared" si="9"/>
        <v>0</v>
      </c>
      <c r="J68" s="112">
        <f t="shared" si="9"/>
        <v>0</v>
      </c>
      <c r="K68" s="112">
        <f t="shared" si="9"/>
        <v>0</v>
      </c>
      <c r="L68" s="112">
        <f t="shared" si="9"/>
        <v>4</v>
      </c>
      <c r="M68" s="112">
        <f t="shared" si="9"/>
        <v>-4</v>
      </c>
      <c r="N68" s="112">
        <f t="shared" si="9"/>
        <v>-108000</v>
      </c>
      <c r="O68" s="112">
        <f t="shared" si="9"/>
        <v>1</v>
      </c>
      <c r="P68" s="112">
        <f t="shared" si="9"/>
        <v>0</v>
      </c>
      <c r="Q68" s="112">
        <f t="shared" si="9"/>
        <v>0</v>
      </c>
      <c r="R68" s="67">
        <f t="shared" si="9"/>
        <v>0</v>
      </c>
      <c r="S68" s="67">
        <f t="shared" si="9"/>
        <v>0</v>
      </c>
      <c r="T68" s="67">
        <f t="shared" si="9"/>
        <v>0</v>
      </c>
      <c r="U68" s="67">
        <f t="shared" si="9"/>
        <v>5</v>
      </c>
      <c r="V68" s="67">
        <f t="shared" si="9"/>
        <v>0</v>
      </c>
      <c r="W68" s="67">
        <f t="shared" si="9"/>
        <v>0</v>
      </c>
    </row>
    <row r="69">
      <c r="C69" s="6" t="s">
        <v>92</v>
      </c>
      <c r="D69" s="6" t="s">
        <v>92</v>
      </c>
      <c r="E69" s="6" t="s">
        <v>92</v>
      </c>
      <c r="F69" s="6" t="s">
        <v>92</v>
      </c>
      <c r="G69" s="6" t="s">
        <v>92</v>
      </c>
      <c r="H69" s="6" t="s">
        <v>92</v>
      </c>
      <c r="I69" s="6" t="s">
        <v>92</v>
      </c>
      <c r="J69" s="6" t="s">
        <v>92</v>
      </c>
      <c r="K69" s="6" t="s">
        <v>92</v>
      </c>
      <c r="L69" s="6" t="s">
        <v>92</v>
      </c>
      <c r="M69" s="6" t="s">
        <v>92</v>
      </c>
      <c r="N69" s="6" t="s">
        <v>92</v>
      </c>
      <c r="O69" s="6" t="s">
        <v>92</v>
      </c>
      <c r="P69" s="6" t="s">
        <v>92</v>
      </c>
      <c r="Q69" s="6" t="s">
        <v>92</v>
      </c>
      <c r="R69" s="6" t="s">
        <v>92</v>
      </c>
      <c r="S69" s="6" t="s">
        <v>92</v>
      </c>
      <c r="T69" s="6" t="s">
        <v>92</v>
      </c>
      <c r="U69" s="6" t="s">
        <v>92</v>
      </c>
      <c r="V69" s="6" t="s">
        <v>92</v>
      </c>
      <c r="W69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4"/>
      <c r="B1" s="66" t="s">
        <v>33</v>
      </c>
      <c r="C1" s="66" t="s">
        <v>29</v>
      </c>
      <c r="D1" s="66" t="s">
        <v>34</v>
      </c>
      <c r="E1" s="101" t="s">
        <v>35</v>
      </c>
      <c r="F1" s="75"/>
    </row>
    <row r="2">
      <c r="A2" s="76" t="s">
        <v>36</v>
      </c>
      <c r="B2" s="77" t="s">
        <v>27</v>
      </c>
      <c r="C2" s="78"/>
      <c r="D2" s="78"/>
      <c r="E2" s="79">
        <f>'Dala Sales &amp; Deliveries'!I1+'External Delivery Fulfillment'!I1+'Forwarding From Client'!I1</f>
        <v>1</v>
      </c>
      <c r="F2" s="75"/>
    </row>
    <row r="3">
      <c r="A3" s="80"/>
      <c r="B3" s="77" t="s">
        <v>37</v>
      </c>
      <c r="C3" s="78"/>
      <c r="D3" s="78"/>
      <c r="E3" s="79">
        <f>'Raw Data'!AX2</f>
        <v>0</v>
      </c>
      <c r="F3" s="75"/>
    </row>
    <row r="4">
      <c r="B4" s="113" t="s">
        <v>38</v>
      </c>
      <c r="C4" s="75"/>
      <c r="D4" s="75"/>
      <c r="E4" s="82">
        <f>'Dala Sales &amp; Deliveries'!I3</f>
        <v>52000</v>
      </c>
      <c r="F4" s="75"/>
    </row>
    <row r="5">
      <c r="B5" s="81" t="s">
        <v>39</v>
      </c>
      <c r="C5" s="75"/>
      <c r="D5" s="75"/>
      <c r="E5" s="82">
        <f>E4*1.075-E4</f>
        <v>3900</v>
      </c>
      <c r="F5" s="75"/>
    </row>
    <row r="6">
      <c r="A6" s="83"/>
      <c r="B6" s="84" t="s">
        <v>40</v>
      </c>
      <c r="C6" s="85"/>
      <c r="D6" s="86"/>
      <c r="E6" s="87">
        <f>sum(E4:E5)</f>
        <v>55900</v>
      </c>
      <c r="F6" s="75"/>
    </row>
    <row r="7">
      <c r="A7" s="76" t="s">
        <v>41</v>
      </c>
      <c r="B7" s="77" t="s">
        <v>42</v>
      </c>
      <c r="C7" s="78"/>
      <c r="D7" s="88"/>
      <c r="E7" s="114"/>
    </row>
    <row r="8">
      <c r="A8" s="80"/>
      <c r="B8" s="77" t="s">
        <v>48</v>
      </c>
      <c r="C8" s="115">
        <v>0.04</v>
      </c>
      <c r="D8" s="88"/>
      <c r="E8" s="94">
        <f>E7*(C8+100%)-E7</f>
        <v>0</v>
      </c>
      <c r="K8" s="7"/>
      <c r="L8" s="7"/>
      <c r="M8" s="7"/>
      <c r="N8" s="7"/>
    </row>
    <row r="9">
      <c r="A9" s="83"/>
      <c r="B9" s="84" t="s">
        <v>43</v>
      </c>
      <c r="C9" s="116">
        <v>0.07</v>
      </c>
      <c r="D9" s="86"/>
      <c r="E9" s="87">
        <f>E7*(C9+100%)-E7</f>
        <v>0</v>
      </c>
      <c r="K9" s="7"/>
      <c r="L9" s="7"/>
      <c r="M9" s="7"/>
      <c r="N9" s="7"/>
    </row>
    <row r="10">
      <c r="A10" s="76" t="s">
        <v>46</v>
      </c>
      <c r="B10" s="77" t="s">
        <v>47</v>
      </c>
      <c r="C10" s="117"/>
      <c r="D10" s="94">
        <v>350000.0</v>
      </c>
      <c r="E10" s="94">
        <f>C10*D10</f>
        <v>0</v>
      </c>
    </row>
    <row r="11">
      <c r="A11" s="80"/>
      <c r="B11" s="96" t="s">
        <v>93</v>
      </c>
      <c r="C11" s="78"/>
      <c r="D11" s="97"/>
      <c r="E11" s="94">
        <f>V67</f>
        <v>0</v>
      </c>
    </row>
    <row r="12">
      <c r="A12" s="80"/>
      <c r="B12" s="96" t="s">
        <v>63</v>
      </c>
      <c r="C12" s="78"/>
      <c r="D12" s="97"/>
      <c r="E12" s="94">
        <f>C24</f>
        <v>0</v>
      </c>
    </row>
    <row r="13">
      <c r="A13" s="80"/>
      <c r="B13" s="77" t="s">
        <v>50</v>
      </c>
      <c r="C13" s="88"/>
      <c r="D13" s="88"/>
      <c r="E13" s="89">
        <v>0.0</v>
      </c>
    </row>
    <row r="14">
      <c r="A14" s="80"/>
      <c r="B14" s="77" t="s">
        <v>94</v>
      </c>
      <c r="C14" s="88"/>
      <c r="D14" s="88"/>
      <c r="E14" s="94">
        <f>C28</f>
        <v>0</v>
      </c>
    </row>
    <row r="15">
      <c r="A15" s="83"/>
      <c r="B15" s="84" t="s">
        <v>95</v>
      </c>
      <c r="C15" s="86"/>
      <c r="D15" s="86"/>
      <c r="E15" s="87">
        <f>sum(E10:E14)</f>
        <v>0</v>
      </c>
    </row>
    <row r="16">
      <c r="A16" s="100"/>
      <c r="B16" s="100"/>
      <c r="C16" s="100"/>
      <c r="D16" s="100"/>
      <c r="E16" s="100"/>
      <c r="H16" s="99"/>
      <c r="I16" s="99"/>
      <c r="J16" s="99"/>
      <c r="K16" s="99"/>
      <c r="L16" s="99"/>
      <c r="M16" s="99"/>
      <c r="N16" s="99"/>
      <c r="O16" s="99"/>
    </row>
    <row r="17">
      <c r="A17" s="1"/>
      <c r="B17" s="100"/>
      <c r="C17" s="100"/>
      <c r="D17" s="100"/>
      <c r="E17" s="100"/>
      <c r="H17" s="99"/>
      <c r="I17" s="99"/>
      <c r="J17" s="99"/>
      <c r="K17" s="99"/>
      <c r="L17" s="99"/>
      <c r="M17" s="99"/>
      <c r="N17" s="99"/>
      <c r="O17" s="99"/>
    </row>
    <row r="18">
      <c r="A18" s="1" t="s">
        <v>55</v>
      </c>
      <c r="B18" s="100"/>
      <c r="C18" s="100"/>
      <c r="D18" s="100"/>
      <c r="E18" s="100"/>
      <c r="H18" s="99"/>
      <c r="I18" s="99"/>
      <c r="J18" s="99"/>
      <c r="K18" s="99"/>
      <c r="L18" s="99"/>
      <c r="M18" s="99"/>
      <c r="N18" s="99"/>
      <c r="O18" s="99"/>
    </row>
    <row r="19">
      <c r="A19" s="100"/>
      <c r="B19" s="66" t="s">
        <v>56</v>
      </c>
      <c r="C19" s="101">
        <f>U67</f>
        <v>5</v>
      </c>
      <c r="D19" s="100"/>
      <c r="H19" s="118"/>
      <c r="I19" s="102"/>
      <c r="J19" s="102"/>
      <c r="K19" s="102"/>
      <c r="L19" s="102"/>
      <c r="M19" s="103"/>
      <c r="N19" s="99"/>
      <c r="O19" s="99"/>
    </row>
    <row r="20">
      <c r="A20" s="100"/>
      <c r="B20" s="66" t="s">
        <v>57</v>
      </c>
      <c r="C20" s="101">
        <f>V67</f>
        <v>0</v>
      </c>
      <c r="D20" s="100"/>
      <c r="H20" s="118"/>
      <c r="I20" s="102"/>
      <c r="J20" s="102"/>
      <c r="K20" s="102"/>
      <c r="L20" s="102"/>
      <c r="M20" s="103"/>
      <c r="N20" s="99"/>
      <c r="O20" s="99"/>
    </row>
    <row r="21">
      <c r="A21" s="100"/>
      <c r="B21" s="66" t="s">
        <v>58</v>
      </c>
      <c r="C21" s="101">
        <f>S67</f>
        <v>0</v>
      </c>
      <c r="D21" s="100"/>
      <c r="H21" s="118"/>
      <c r="I21" s="102"/>
      <c r="J21" s="102"/>
      <c r="K21" s="102"/>
      <c r="L21" s="102"/>
      <c r="M21" s="103"/>
      <c r="N21" s="99"/>
      <c r="O21" s="99"/>
    </row>
    <row r="22">
      <c r="A22" s="100"/>
      <c r="B22" s="66" t="s">
        <v>59</v>
      </c>
      <c r="C22" s="101">
        <f>T67</f>
        <v>0</v>
      </c>
      <c r="D22" s="100"/>
      <c r="H22" s="118"/>
      <c r="I22" s="102"/>
      <c r="J22" s="102"/>
      <c r="K22" s="102"/>
      <c r="L22" s="102"/>
      <c r="M22" s="103"/>
      <c r="N22" s="99"/>
      <c r="O22" s="99"/>
    </row>
    <row r="23">
      <c r="A23" s="100"/>
      <c r="B23" s="66" t="s">
        <v>60</v>
      </c>
      <c r="C23" s="101">
        <f>O67</f>
        <v>1</v>
      </c>
      <c r="D23" s="100"/>
      <c r="H23" s="118"/>
      <c r="I23" s="102"/>
      <c r="J23" s="102"/>
      <c r="K23" s="102"/>
      <c r="L23" s="102"/>
      <c r="M23" s="103"/>
      <c r="N23" s="99"/>
      <c r="O23" s="99"/>
    </row>
    <row r="24">
      <c r="A24" s="100"/>
      <c r="B24" s="66" t="s">
        <v>61</v>
      </c>
      <c r="C24" s="101">
        <f>P67</f>
        <v>0</v>
      </c>
      <c r="D24" s="100"/>
      <c r="H24" s="118"/>
      <c r="I24" s="102"/>
      <c r="J24" s="102"/>
      <c r="K24" s="102"/>
      <c r="L24" s="102"/>
      <c r="M24" s="103"/>
      <c r="N24" s="99"/>
      <c r="O24" s="99"/>
    </row>
    <row r="25">
      <c r="A25" s="100"/>
      <c r="B25" s="66" t="s">
        <v>62</v>
      </c>
      <c r="C25" s="101">
        <f>Q67</f>
        <v>0</v>
      </c>
      <c r="D25" s="100"/>
      <c r="H25" s="118"/>
      <c r="I25" s="102"/>
      <c r="J25" s="102"/>
      <c r="K25" s="102"/>
      <c r="L25" s="102"/>
      <c r="M25" s="103"/>
      <c r="N25" s="99"/>
      <c r="O25" s="99"/>
    </row>
    <row r="26">
      <c r="A26" s="100"/>
      <c r="B26" s="66" t="s">
        <v>63</v>
      </c>
      <c r="C26" s="101">
        <f>R67</f>
        <v>0</v>
      </c>
      <c r="D26" s="100"/>
    </row>
    <row r="27">
      <c r="A27" s="100"/>
      <c r="B27" s="66" t="s">
        <v>64</v>
      </c>
      <c r="C27" s="101">
        <f>F67</f>
        <v>0</v>
      </c>
      <c r="D27" s="100"/>
    </row>
    <row r="28">
      <c r="A28" s="100"/>
      <c r="B28" s="66" t="s">
        <v>65</v>
      </c>
      <c r="C28" s="101">
        <f>G67</f>
        <v>0</v>
      </c>
      <c r="D28" s="100"/>
    </row>
    <row r="29">
      <c r="A29" s="100"/>
      <c r="B29" s="66" t="s">
        <v>66</v>
      </c>
      <c r="C29" s="101">
        <f>I67</f>
        <v>0</v>
      </c>
      <c r="D29" s="100"/>
    </row>
    <row r="30">
      <c r="A30" s="100"/>
      <c r="B30" s="66" t="s">
        <v>96</v>
      </c>
      <c r="C30" s="101">
        <f>J67</f>
        <v>0</v>
      </c>
      <c r="D30" s="100"/>
    </row>
    <row r="31">
      <c r="A31" s="100"/>
      <c r="B31" s="66" t="s">
        <v>68</v>
      </c>
      <c r="C31" s="101">
        <f>L67</f>
        <v>4</v>
      </c>
      <c r="D31" s="100"/>
    </row>
    <row r="32">
      <c r="A32" s="100"/>
      <c r="B32" s="66" t="s">
        <v>69</v>
      </c>
      <c r="C32" s="101">
        <f>K67</f>
        <v>33.5</v>
      </c>
      <c r="D32" s="100"/>
    </row>
    <row r="33">
      <c r="A33" s="100"/>
      <c r="B33" s="66" t="s">
        <v>70</v>
      </c>
      <c r="C33" s="101">
        <v>0.0</v>
      </c>
      <c r="D33" s="100"/>
    </row>
    <row r="34">
      <c r="A34" s="100"/>
      <c r="B34" s="66" t="s">
        <v>71</v>
      </c>
      <c r="C34" s="101">
        <v>0.0</v>
      </c>
      <c r="D34" s="100"/>
    </row>
    <row r="37">
      <c r="B37" s="66" t="s">
        <v>72</v>
      </c>
      <c r="C37" s="66" t="s">
        <v>73</v>
      </c>
      <c r="D37" s="66" t="s">
        <v>74</v>
      </c>
      <c r="E37" s="66" t="s">
        <v>75</v>
      </c>
      <c r="F37" s="72" t="s">
        <v>76</v>
      </c>
      <c r="G37" s="72" t="s">
        <v>77</v>
      </c>
      <c r="H37" s="72" t="s">
        <v>78</v>
      </c>
      <c r="I37" s="72" t="s">
        <v>79</v>
      </c>
      <c r="J37" s="72" t="s">
        <v>80</v>
      </c>
      <c r="K37" s="72" t="s">
        <v>81</v>
      </c>
      <c r="L37" s="72" t="s">
        <v>68</v>
      </c>
      <c r="M37" s="72" t="s">
        <v>70</v>
      </c>
      <c r="N37" s="72" t="s">
        <v>82</v>
      </c>
      <c r="O37" s="72" t="s">
        <v>60</v>
      </c>
      <c r="P37" s="72" t="s">
        <v>84</v>
      </c>
      <c r="Q37" s="72" t="s">
        <v>85</v>
      </c>
      <c r="R37" s="72" t="s">
        <v>86</v>
      </c>
      <c r="S37" s="72" t="s">
        <v>87</v>
      </c>
      <c r="T37" s="72" t="s">
        <v>59</v>
      </c>
      <c r="U37" s="72" t="s">
        <v>88</v>
      </c>
      <c r="V37" s="72" t="s">
        <v>89</v>
      </c>
      <c r="W37" s="72" t="s">
        <v>90</v>
      </c>
    </row>
    <row r="38">
      <c r="B38" s="72" t="str">
        <f>'Internal Summary'!B39</f>
        <v>100g Tosh Cocodia Coconut Flakes (12x)</v>
      </c>
      <c r="C38" s="67">
        <f>'Internal Summary'!C39</f>
        <v>27000</v>
      </c>
      <c r="D38" s="67" t="str">
        <f>'Internal Summary'!D39</f>
        <v/>
      </c>
      <c r="E38" s="67" t="str">
        <f>'Internal Summary'!E39</f>
        <v/>
      </c>
      <c r="F38" s="107"/>
      <c r="G38" s="67">
        <f t="shared" ref="G38:G66" si="1">F38*C38</f>
        <v>0</v>
      </c>
      <c r="H38" s="107"/>
      <c r="I38" s="107"/>
      <c r="J38" s="107"/>
      <c r="K38" s="107">
        <v>0.0</v>
      </c>
      <c r="L38" s="112">
        <f t="shared" ref="L38:L66" si="2">H38+U38+W38-O38-Q38-I38-J38</f>
        <v>4</v>
      </c>
      <c r="M38" s="67">
        <f t="shared" ref="M38:M66" si="3">K38-L38</f>
        <v>-4</v>
      </c>
      <c r="N38" s="67">
        <f>M38*C38</f>
        <v>-108000</v>
      </c>
      <c r="O38" s="67">
        <f>'Dala Sales &amp; Deliveries'!L2</f>
        <v>1</v>
      </c>
      <c r="P38" s="67">
        <f t="shared" ref="P38:P66" si="4">O38*E38</f>
        <v>0</v>
      </c>
      <c r="Q38" s="67">
        <f>'External Delivery Fulfillment'!L2</f>
        <v>0</v>
      </c>
      <c r="R38" s="67">
        <f t="shared" ref="R38:R66" si="5">Q38*E38</f>
        <v>0</v>
      </c>
      <c r="S38" s="67">
        <f>'Forwarding From Client'!L2</f>
        <v>0</v>
      </c>
      <c r="T38" s="67">
        <f t="shared" ref="T38:T66" si="6">S38*E38</f>
        <v>0</v>
      </c>
      <c r="U38" s="67">
        <f>'Dala Restocking'!L2</f>
        <v>5</v>
      </c>
      <c r="V38" s="67">
        <f t="shared" ref="V38:V66" si="7">U38*D38</f>
        <v>0</v>
      </c>
      <c r="W38" s="67">
        <f>'Client Restocking'!L2</f>
        <v>0</v>
      </c>
    </row>
    <row r="39">
      <c r="B39" s="72" t="str">
        <f>'Internal Summary'!B40</f>
        <v>400g Tosh Cocodia Coconut Poundo (6x)</v>
      </c>
      <c r="C39" s="67" t="str">
        <f>'Internal Summary'!C40</f>
        <v/>
      </c>
      <c r="D39" s="67" t="str">
        <f>'Internal Summary'!D40</f>
        <v/>
      </c>
      <c r="E39" s="67" t="str">
        <f>'Internal Summary'!E40</f>
        <v/>
      </c>
      <c r="F39" s="110"/>
      <c r="G39" s="67">
        <f t="shared" si="1"/>
        <v>0</v>
      </c>
      <c r="H39" s="110"/>
      <c r="I39" s="107"/>
      <c r="J39" s="110"/>
      <c r="K39" s="107">
        <v>0.0</v>
      </c>
      <c r="L39" s="112">
        <f t="shared" si="2"/>
        <v>0</v>
      </c>
      <c r="M39" s="67">
        <f t="shared" si="3"/>
        <v>0</v>
      </c>
      <c r="N39" s="67"/>
      <c r="O39" s="67">
        <f>'Dala Sales &amp; Deliveries'!L3</f>
        <v>0</v>
      </c>
      <c r="P39" s="67">
        <f t="shared" si="4"/>
        <v>0</v>
      </c>
      <c r="Q39" s="67">
        <f>'External Delivery Fulfillment'!L3</f>
        <v>0</v>
      </c>
      <c r="R39" s="67">
        <f t="shared" si="5"/>
        <v>0</v>
      </c>
      <c r="S39" s="67">
        <f>'Forwarding From Client'!L3</f>
        <v>0</v>
      </c>
      <c r="T39" s="67">
        <f t="shared" si="6"/>
        <v>0</v>
      </c>
      <c r="U39" s="67">
        <f>'Dala Restocking'!L3</f>
        <v>0</v>
      </c>
      <c r="V39" s="67">
        <f t="shared" si="7"/>
        <v>0</v>
      </c>
      <c r="W39" s="67">
        <f>'Client Restocking'!L3</f>
        <v>0</v>
      </c>
    </row>
    <row r="40">
      <c r="B40" s="72" t="str">
        <f>'Internal Summary'!B41</f>
        <v>500ml Tosh Cocodia Coconut Oil (6x)</v>
      </c>
      <c r="C40" s="67" t="str">
        <f>'Internal Summary'!C41</f>
        <v/>
      </c>
      <c r="D40" s="67" t="str">
        <f>'Internal Summary'!D41</f>
        <v/>
      </c>
      <c r="E40" s="67" t="str">
        <f>'Internal Summary'!E41</f>
        <v/>
      </c>
      <c r="F40" s="110"/>
      <c r="G40" s="67">
        <f t="shared" si="1"/>
        <v>0</v>
      </c>
      <c r="H40" s="110"/>
      <c r="I40" s="107"/>
      <c r="J40" s="110"/>
      <c r="K40" s="107">
        <v>0.0</v>
      </c>
      <c r="L40" s="112">
        <f t="shared" si="2"/>
        <v>0</v>
      </c>
      <c r="M40" s="67">
        <f t="shared" si="3"/>
        <v>0</v>
      </c>
      <c r="N40" s="67"/>
      <c r="O40" s="67">
        <f>'Dala Sales &amp; Deliveries'!L4</f>
        <v>0</v>
      </c>
      <c r="P40" s="67">
        <f t="shared" si="4"/>
        <v>0</v>
      </c>
      <c r="Q40" s="67">
        <f>'External Delivery Fulfillment'!L4</f>
        <v>0</v>
      </c>
      <c r="R40" s="67">
        <f t="shared" si="5"/>
        <v>0</v>
      </c>
      <c r="S40" s="67">
        <f>'Forwarding From Client'!L4</f>
        <v>0</v>
      </c>
      <c r="T40" s="67">
        <f t="shared" si="6"/>
        <v>0</v>
      </c>
      <c r="U40" s="67">
        <f>'Dala Restocking'!L4</f>
        <v>0</v>
      </c>
      <c r="V40" s="67">
        <f t="shared" si="7"/>
        <v>0</v>
      </c>
      <c r="W40" s="67">
        <f>'Client Restocking'!L4</f>
        <v>0</v>
      </c>
    </row>
    <row r="41">
      <c r="B41" s="72" t="str">
        <f>'Internal Summary'!B42</f>
        <v/>
      </c>
      <c r="C41" s="67" t="str">
        <f>'Internal Summary'!C42</f>
        <v/>
      </c>
      <c r="D41" s="67" t="str">
        <f>'Internal Summary'!D42</f>
        <v/>
      </c>
      <c r="E41" s="67" t="str">
        <f>'Internal Summary'!E42</f>
        <v/>
      </c>
      <c r="F41" s="110"/>
      <c r="G41" s="67">
        <f t="shared" si="1"/>
        <v>0</v>
      </c>
      <c r="H41" s="110"/>
      <c r="I41" s="107"/>
      <c r="J41" s="110"/>
      <c r="K41" s="107">
        <v>0.0</v>
      </c>
      <c r="L41" s="112">
        <f t="shared" si="2"/>
        <v>0</v>
      </c>
      <c r="M41" s="67">
        <f t="shared" si="3"/>
        <v>0</v>
      </c>
      <c r="N41" s="67"/>
      <c r="O41" s="67">
        <f>'Dala Sales &amp; Deliveries'!L5</f>
        <v>0</v>
      </c>
      <c r="P41" s="67">
        <f t="shared" si="4"/>
        <v>0</v>
      </c>
      <c r="Q41" s="67">
        <f>'External Delivery Fulfillment'!L5</f>
        <v>0</v>
      </c>
      <c r="R41" s="67">
        <f t="shared" si="5"/>
        <v>0</v>
      </c>
      <c r="S41" s="67">
        <f>'Forwarding From Client'!L5</f>
        <v>0</v>
      </c>
      <c r="T41" s="67">
        <f t="shared" si="6"/>
        <v>0</v>
      </c>
      <c r="U41" s="67">
        <f>'Dala Restocking'!L5</f>
        <v>0</v>
      </c>
      <c r="V41" s="67">
        <f t="shared" si="7"/>
        <v>0</v>
      </c>
      <c r="W41" s="67">
        <f>'Client Restocking'!L5</f>
        <v>0</v>
      </c>
    </row>
    <row r="42">
      <c r="B42" s="72" t="str">
        <f>'Internal Summary'!B43</f>
        <v/>
      </c>
      <c r="C42" s="67" t="str">
        <f>'Internal Summary'!C43</f>
        <v/>
      </c>
      <c r="D42" s="67" t="str">
        <f>'Internal Summary'!D43</f>
        <v/>
      </c>
      <c r="E42" s="67" t="str">
        <f>'Internal Summary'!E43</f>
        <v/>
      </c>
      <c r="F42" s="110"/>
      <c r="G42" s="67">
        <f t="shared" si="1"/>
        <v>0</v>
      </c>
      <c r="H42" s="110"/>
      <c r="I42" s="110"/>
      <c r="J42" s="110"/>
      <c r="K42" s="107">
        <v>4.5</v>
      </c>
      <c r="L42" s="112">
        <f t="shared" si="2"/>
        <v>0</v>
      </c>
      <c r="M42" s="67">
        <f t="shared" si="3"/>
        <v>4.5</v>
      </c>
      <c r="N42" s="67"/>
      <c r="O42" s="67">
        <f>'Dala Sales &amp; Deliveries'!L6</f>
        <v>0</v>
      </c>
      <c r="P42" s="67">
        <f t="shared" si="4"/>
        <v>0</v>
      </c>
      <c r="Q42" s="67">
        <f>'External Delivery Fulfillment'!L6</f>
        <v>0</v>
      </c>
      <c r="R42" s="67">
        <f t="shared" si="5"/>
        <v>0</v>
      </c>
      <c r="S42" s="67">
        <f>'Forwarding From Client'!L6</f>
        <v>0</v>
      </c>
      <c r="T42" s="67">
        <f t="shared" si="6"/>
        <v>0</v>
      </c>
      <c r="U42" s="67">
        <f>'Dala Restocking'!L6</f>
        <v>0</v>
      </c>
      <c r="V42" s="67">
        <f t="shared" si="7"/>
        <v>0</v>
      </c>
      <c r="W42" s="67">
        <f>'Client Restocking'!L6</f>
        <v>0</v>
      </c>
    </row>
    <row r="43">
      <c r="B43" s="72" t="str">
        <f>'Internal Summary'!B44</f>
        <v/>
      </c>
      <c r="C43" s="67" t="str">
        <f>'Internal Summary'!C44</f>
        <v/>
      </c>
      <c r="D43" s="67" t="str">
        <f>'Internal Summary'!D44</f>
        <v/>
      </c>
      <c r="E43" s="67" t="str">
        <f>'Internal Summary'!E44</f>
        <v/>
      </c>
      <c r="F43" s="110"/>
      <c r="G43" s="67">
        <f t="shared" si="1"/>
        <v>0</v>
      </c>
      <c r="H43" s="110"/>
      <c r="I43" s="110"/>
      <c r="J43" s="110"/>
      <c r="K43" s="107">
        <v>2.0</v>
      </c>
      <c r="L43" s="112">
        <f t="shared" si="2"/>
        <v>0</v>
      </c>
      <c r="M43" s="67">
        <f t="shared" si="3"/>
        <v>2</v>
      </c>
      <c r="N43" s="67"/>
      <c r="O43" s="67">
        <f>'Dala Sales &amp; Deliveries'!L7</f>
        <v>0</v>
      </c>
      <c r="P43" s="67">
        <f t="shared" si="4"/>
        <v>0</v>
      </c>
      <c r="Q43" s="67">
        <f>'External Delivery Fulfillment'!L7</f>
        <v>0</v>
      </c>
      <c r="R43" s="67">
        <f t="shared" si="5"/>
        <v>0</v>
      </c>
      <c r="S43" s="67">
        <f>'Forwarding From Client'!L7</f>
        <v>0</v>
      </c>
      <c r="T43" s="67">
        <f t="shared" si="6"/>
        <v>0</v>
      </c>
      <c r="U43" s="67">
        <f>'Dala Restocking'!L7</f>
        <v>0</v>
      </c>
      <c r="V43" s="67">
        <f t="shared" si="7"/>
        <v>0</v>
      </c>
      <c r="W43" s="67">
        <f>'Client Restocking'!L7</f>
        <v>0</v>
      </c>
    </row>
    <row r="44">
      <c r="B44" s="72" t="str">
        <f>'Internal Summary'!B45</f>
        <v/>
      </c>
      <c r="C44" s="67" t="str">
        <f>'Internal Summary'!C45</f>
        <v/>
      </c>
      <c r="D44" s="67" t="str">
        <f>'Internal Summary'!D45</f>
        <v/>
      </c>
      <c r="E44" s="67" t="str">
        <f>'Internal Summary'!E45</f>
        <v/>
      </c>
      <c r="F44" s="110"/>
      <c r="G44" s="67">
        <f t="shared" si="1"/>
        <v>0</v>
      </c>
      <c r="H44" s="110"/>
      <c r="I44" s="110"/>
      <c r="J44" s="110"/>
      <c r="K44" s="107">
        <v>7.0</v>
      </c>
      <c r="L44" s="112">
        <f t="shared" si="2"/>
        <v>0</v>
      </c>
      <c r="M44" s="67">
        <f t="shared" si="3"/>
        <v>7</v>
      </c>
      <c r="N44" s="67"/>
      <c r="O44" s="67">
        <f>'Dala Sales &amp; Deliveries'!L8</f>
        <v>0</v>
      </c>
      <c r="P44" s="67">
        <f t="shared" si="4"/>
        <v>0</v>
      </c>
      <c r="Q44" s="67">
        <f>'External Delivery Fulfillment'!L8</f>
        <v>0</v>
      </c>
      <c r="R44" s="67">
        <f t="shared" si="5"/>
        <v>0</v>
      </c>
      <c r="S44" s="67">
        <f>'Forwarding From Client'!L8</f>
        <v>0</v>
      </c>
      <c r="T44" s="67">
        <f t="shared" si="6"/>
        <v>0</v>
      </c>
      <c r="U44" s="67">
        <f>'Dala Restocking'!L8</f>
        <v>0</v>
      </c>
      <c r="V44" s="67">
        <f t="shared" si="7"/>
        <v>0</v>
      </c>
      <c r="W44" s="67">
        <f>'Client Restocking'!L8</f>
        <v>0</v>
      </c>
    </row>
    <row r="45">
      <c r="B45" s="72" t="str">
        <f>'Internal Summary'!B46</f>
        <v/>
      </c>
      <c r="C45" s="67" t="str">
        <f>'Internal Summary'!C46</f>
        <v/>
      </c>
      <c r="D45" s="67" t="str">
        <f>'Internal Summary'!D46</f>
        <v/>
      </c>
      <c r="E45" s="67" t="str">
        <f>'Internal Summary'!E46</f>
        <v/>
      </c>
      <c r="F45" s="110"/>
      <c r="G45" s="67">
        <f t="shared" si="1"/>
        <v>0</v>
      </c>
      <c r="H45" s="110"/>
      <c r="I45" s="110"/>
      <c r="J45" s="110"/>
      <c r="K45" s="107">
        <v>4.5</v>
      </c>
      <c r="L45" s="112">
        <f t="shared" si="2"/>
        <v>0</v>
      </c>
      <c r="M45" s="67">
        <f t="shared" si="3"/>
        <v>4.5</v>
      </c>
      <c r="N45" s="67"/>
      <c r="O45" s="67">
        <f>'Dala Sales &amp; Deliveries'!L9</f>
        <v>0</v>
      </c>
      <c r="P45" s="67">
        <f t="shared" si="4"/>
        <v>0</v>
      </c>
      <c r="Q45" s="67">
        <f>'External Delivery Fulfillment'!L9</f>
        <v>0</v>
      </c>
      <c r="R45" s="67">
        <f t="shared" si="5"/>
        <v>0</v>
      </c>
      <c r="S45" s="67">
        <f>'Forwarding From Client'!L9</f>
        <v>0</v>
      </c>
      <c r="T45" s="67">
        <f t="shared" si="6"/>
        <v>0</v>
      </c>
      <c r="U45" s="67">
        <f>'Dala Restocking'!L9</f>
        <v>0</v>
      </c>
      <c r="V45" s="67">
        <f t="shared" si="7"/>
        <v>0</v>
      </c>
      <c r="W45" s="67">
        <f>'Client Restocking'!L9</f>
        <v>0</v>
      </c>
    </row>
    <row r="46">
      <c r="B46" s="72" t="str">
        <f>'Internal Summary'!B47</f>
        <v/>
      </c>
      <c r="C46" s="67" t="str">
        <f>'Internal Summary'!C47</f>
        <v/>
      </c>
      <c r="D46" s="67" t="str">
        <f>'Internal Summary'!D47</f>
        <v/>
      </c>
      <c r="E46" s="67" t="str">
        <f>'Internal Summary'!E47</f>
        <v/>
      </c>
      <c r="F46" s="110"/>
      <c r="G46" s="67">
        <f t="shared" si="1"/>
        <v>0</v>
      </c>
      <c r="H46" s="110"/>
      <c r="I46" s="110"/>
      <c r="J46" s="110"/>
      <c r="K46" s="107">
        <v>8.5</v>
      </c>
      <c r="L46" s="112">
        <f t="shared" si="2"/>
        <v>0</v>
      </c>
      <c r="M46" s="67">
        <f t="shared" si="3"/>
        <v>8.5</v>
      </c>
      <c r="N46" s="67"/>
      <c r="O46" s="67">
        <f>'Dala Sales &amp; Deliveries'!L10</f>
        <v>0</v>
      </c>
      <c r="P46" s="67">
        <f t="shared" si="4"/>
        <v>0</v>
      </c>
      <c r="Q46" s="67">
        <f>'External Delivery Fulfillment'!L10</f>
        <v>0</v>
      </c>
      <c r="R46" s="67">
        <f t="shared" si="5"/>
        <v>0</v>
      </c>
      <c r="S46" s="67">
        <f>'Forwarding From Client'!L10</f>
        <v>0</v>
      </c>
      <c r="T46" s="67">
        <f t="shared" si="6"/>
        <v>0</v>
      </c>
      <c r="U46" s="67">
        <f>'Dala Restocking'!L10</f>
        <v>0</v>
      </c>
      <c r="V46" s="67">
        <f t="shared" si="7"/>
        <v>0</v>
      </c>
      <c r="W46" s="67">
        <f>'Client Restocking'!L10</f>
        <v>0</v>
      </c>
    </row>
    <row r="47">
      <c r="B47" s="72" t="str">
        <f>'Internal Summary'!B48</f>
        <v/>
      </c>
      <c r="C47" s="67" t="str">
        <f>'Internal Summary'!C48</f>
        <v/>
      </c>
      <c r="D47" s="67" t="str">
        <f>'Internal Summary'!D48</f>
        <v/>
      </c>
      <c r="E47" s="67" t="str">
        <f>'Internal Summary'!E48</f>
        <v/>
      </c>
      <c r="F47" s="110"/>
      <c r="G47" s="67">
        <f t="shared" si="1"/>
        <v>0</v>
      </c>
      <c r="H47" s="110"/>
      <c r="I47" s="110"/>
      <c r="J47" s="110"/>
      <c r="K47" s="107">
        <v>7.0</v>
      </c>
      <c r="L47" s="112">
        <f t="shared" si="2"/>
        <v>0</v>
      </c>
      <c r="M47" s="67">
        <f t="shared" si="3"/>
        <v>7</v>
      </c>
      <c r="N47" s="67"/>
      <c r="O47" s="67">
        <f>'Dala Sales &amp; Deliveries'!L11</f>
        <v>0</v>
      </c>
      <c r="P47" s="67">
        <f t="shared" si="4"/>
        <v>0</v>
      </c>
      <c r="Q47" s="67">
        <f>'External Delivery Fulfillment'!L11</f>
        <v>0</v>
      </c>
      <c r="R47" s="67">
        <f t="shared" si="5"/>
        <v>0</v>
      </c>
      <c r="S47" s="67">
        <f>'Forwarding From Client'!L11</f>
        <v>0</v>
      </c>
      <c r="T47" s="67">
        <f t="shared" si="6"/>
        <v>0</v>
      </c>
      <c r="U47" s="67">
        <f>'Dala Restocking'!L11</f>
        <v>0</v>
      </c>
      <c r="V47" s="67">
        <f t="shared" si="7"/>
        <v>0</v>
      </c>
      <c r="W47" s="67">
        <f>'Client Restocking'!L11</f>
        <v>0</v>
      </c>
    </row>
    <row r="48">
      <c r="B48" s="72" t="str">
        <f>'Internal Summary'!B49</f>
        <v/>
      </c>
      <c r="C48" s="67" t="str">
        <f>'Internal Summary'!C49</f>
        <v/>
      </c>
      <c r="D48" s="67" t="str">
        <f>'Internal Summary'!D49</f>
        <v/>
      </c>
      <c r="E48" s="67" t="str">
        <f>'Internal Summary'!E49</f>
        <v/>
      </c>
      <c r="F48" s="110"/>
      <c r="G48" s="67">
        <f t="shared" si="1"/>
        <v>0</v>
      </c>
      <c r="H48" s="110"/>
      <c r="I48" s="110"/>
      <c r="J48" s="110"/>
      <c r="K48" s="107">
        <v>0.0</v>
      </c>
      <c r="L48" s="112">
        <f t="shared" si="2"/>
        <v>0</v>
      </c>
      <c r="M48" s="67">
        <f t="shared" si="3"/>
        <v>0</v>
      </c>
      <c r="N48" s="67"/>
      <c r="O48" s="67">
        <f>'Dala Sales &amp; Deliveries'!L12</f>
        <v>0</v>
      </c>
      <c r="P48" s="67">
        <f t="shared" si="4"/>
        <v>0</v>
      </c>
      <c r="Q48" s="67">
        <f>'External Delivery Fulfillment'!L12</f>
        <v>0</v>
      </c>
      <c r="R48" s="67">
        <f t="shared" si="5"/>
        <v>0</v>
      </c>
      <c r="S48" s="67">
        <f>'Forwarding From Client'!L12</f>
        <v>0</v>
      </c>
      <c r="T48" s="67">
        <f t="shared" si="6"/>
        <v>0</v>
      </c>
      <c r="U48" s="67">
        <f>'Dala Restocking'!L12</f>
        <v>0</v>
      </c>
      <c r="V48" s="67">
        <f t="shared" si="7"/>
        <v>0</v>
      </c>
      <c r="W48" s="67">
        <f>'Client Restocking'!L12</f>
        <v>0</v>
      </c>
    </row>
    <row r="49">
      <c r="B49" s="72" t="str">
        <f>'Internal Summary'!B50</f>
        <v/>
      </c>
      <c r="C49" s="67" t="str">
        <f>'Internal Summary'!C50</f>
        <v/>
      </c>
      <c r="D49" s="67" t="str">
        <f>'Internal Summary'!D50</f>
        <v/>
      </c>
      <c r="E49" s="67" t="str">
        <f>'Internal Summary'!E50</f>
        <v/>
      </c>
      <c r="F49" s="110"/>
      <c r="G49" s="67">
        <f t="shared" si="1"/>
        <v>0</v>
      </c>
      <c r="H49" s="110"/>
      <c r="I49" s="110"/>
      <c r="J49" s="110"/>
      <c r="K49" s="107">
        <v>0.0</v>
      </c>
      <c r="L49" s="112">
        <f t="shared" si="2"/>
        <v>0</v>
      </c>
      <c r="M49" s="67">
        <f t="shared" si="3"/>
        <v>0</v>
      </c>
      <c r="N49" s="67"/>
      <c r="O49" s="67">
        <f>'Dala Sales &amp; Deliveries'!L13</f>
        <v>0</v>
      </c>
      <c r="P49" s="67">
        <f t="shared" si="4"/>
        <v>0</v>
      </c>
      <c r="Q49" s="67">
        <f>'External Delivery Fulfillment'!L13</f>
        <v>0</v>
      </c>
      <c r="R49" s="67">
        <f t="shared" si="5"/>
        <v>0</v>
      </c>
      <c r="S49" s="67">
        <f>'Forwarding From Client'!L13</f>
        <v>0</v>
      </c>
      <c r="T49" s="67">
        <f t="shared" si="6"/>
        <v>0</v>
      </c>
      <c r="U49" s="67">
        <f>'Dala Restocking'!L13</f>
        <v>0</v>
      </c>
      <c r="V49" s="67">
        <f t="shared" si="7"/>
        <v>0</v>
      </c>
      <c r="W49" s="67">
        <f>'Client Restocking'!L13</f>
        <v>0</v>
      </c>
    </row>
    <row r="50">
      <c r="B50" s="72" t="str">
        <f>'Internal Summary'!B51</f>
        <v/>
      </c>
      <c r="C50" s="67" t="str">
        <f>'Internal Summary'!C51</f>
        <v/>
      </c>
      <c r="D50" s="67" t="str">
        <f>'Internal Summary'!D51</f>
        <v/>
      </c>
      <c r="E50" s="67" t="str">
        <f>'Internal Summary'!E51</f>
        <v/>
      </c>
      <c r="F50" s="110"/>
      <c r="G50" s="67">
        <f t="shared" si="1"/>
        <v>0</v>
      </c>
      <c r="H50" s="110"/>
      <c r="I50" s="110"/>
      <c r="J50" s="110"/>
      <c r="K50" s="110"/>
      <c r="L50" s="112">
        <f t="shared" si="2"/>
        <v>0</v>
      </c>
      <c r="M50" s="67">
        <f t="shared" si="3"/>
        <v>0</v>
      </c>
      <c r="N50" s="67"/>
      <c r="O50" s="67">
        <f>'Dala Sales &amp; Deliveries'!L14</f>
        <v>0</v>
      </c>
      <c r="P50" s="67">
        <f t="shared" si="4"/>
        <v>0</v>
      </c>
      <c r="Q50" s="67">
        <f>'External Delivery Fulfillment'!L14</f>
        <v>0</v>
      </c>
      <c r="R50" s="67">
        <f t="shared" si="5"/>
        <v>0</v>
      </c>
      <c r="S50" s="67">
        <f>'Forwarding From Client'!L14</f>
        <v>0</v>
      </c>
      <c r="T50" s="67">
        <f t="shared" si="6"/>
        <v>0</v>
      </c>
      <c r="U50" s="67">
        <f>'Dala Restocking'!L14</f>
        <v>0</v>
      </c>
      <c r="V50" s="67">
        <f t="shared" si="7"/>
        <v>0</v>
      </c>
      <c r="W50" s="67">
        <f>'Client Restocking'!L14</f>
        <v>0</v>
      </c>
    </row>
    <row r="51">
      <c r="B51" s="72" t="str">
        <f>'Internal Summary'!B52</f>
        <v/>
      </c>
      <c r="C51" s="67" t="str">
        <f>'Internal Summary'!C52</f>
        <v/>
      </c>
      <c r="D51" s="67" t="str">
        <f>'Internal Summary'!D52</f>
        <v/>
      </c>
      <c r="E51" s="67" t="str">
        <f>'Internal Summary'!E52</f>
        <v/>
      </c>
      <c r="F51" s="110"/>
      <c r="G51" s="67">
        <f t="shared" si="1"/>
        <v>0</v>
      </c>
      <c r="H51" s="110"/>
      <c r="I51" s="110"/>
      <c r="J51" s="110"/>
      <c r="K51" s="110"/>
      <c r="L51" s="112">
        <f t="shared" si="2"/>
        <v>0</v>
      </c>
      <c r="M51" s="67">
        <f t="shared" si="3"/>
        <v>0</v>
      </c>
      <c r="N51" s="67"/>
      <c r="O51" s="67">
        <f>'Dala Sales &amp; Deliveries'!L15</f>
        <v>0</v>
      </c>
      <c r="P51" s="67">
        <f t="shared" si="4"/>
        <v>0</v>
      </c>
      <c r="Q51" s="67">
        <f>'External Delivery Fulfillment'!L15</f>
        <v>0</v>
      </c>
      <c r="R51" s="67">
        <f t="shared" si="5"/>
        <v>0</v>
      </c>
      <c r="S51" s="67">
        <f>'Forwarding From Client'!L15</f>
        <v>0</v>
      </c>
      <c r="T51" s="67">
        <f t="shared" si="6"/>
        <v>0</v>
      </c>
      <c r="U51" s="67">
        <f>'Dala Restocking'!L15</f>
        <v>0</v>
      </c>
      <c r="V51" s="67">
        <f t="shared" si="7"/>
        <v>0</v>
      </c>
      <c r="W51" s="67">
        <f>'Client Restocking'!L15</f>
        <v>0</v>
      </c>
    </row>
    <row r="52">
      <c r="B52" s="72" t="str">
        <f>'Internal Summary'!B53</f>
        <v/>
      </c>
      <c r="C52" s="67" t="str">
        <f>'Internal Summary'!C53</f>
        <v/>
      </c>
      <c r="D52" s="67" t="str">
        <f>'Internal Summary'!D53</f>
        <v/>
      </c>
      <c r="E52" s="67" t="str">
        <f>'Internal Summary'!E53</f>
        <v/>
      </c>
      <c r="F52" s="110"/>
      <c r="G52" s="67">
        <f t="shared" si="1"/>
        <v>0</v>
      </c>
      <c r="H52" s="110"/>
      <c r="I52" s="110"/>
      <c r="J52" s="110"/>
      <c r="K52" s="110"/>
      <c r="L52" s="112">
        <f t="shared" si="2"/>
        <v>0</v>
      </c>
      <c r="M52" s="67">
        <f t="shared" si="3"/>
        <v>0</v>
      </c>
      <c r="N52" s="67"/>
      <c r="O52" s="67"/>
      <c r="P52" s="67">
        <f t="shared" si="4"/>
        <v>0</v>
      </c>
      <c r="Q52" s="67"/>
      <c r="R52" s="67">
        <f t="shared" si="5"/>
        <v>0</v>
      </c>
      <c r="S52" s="67" t="str">
        <f>'Forwarding From Client'!L16</f>
        <v/>
      </c>
      <c r="T52" s="67">
        <f t="shared" si="6"/>
        <v>0</v>
      </c>
      <c r="U52" s="67"/>
      <c r="V52" s="67">
        <f t="shared" si="7"/>
        <v>0</v>
      </c>
      <c r="W52" s="67"/>
    </row>
    <row r="53">
      <c r="B53" s="72" t="str">
        <f>'Internal Summary'!B54</f>
        <v/>
      </c>
      <c r="C53" s="67" t="str">
        <f>'Internal Summary'!C54</f>
        <v/>
      </c>
      <c r="D53" s="67" t="str">
        <f>'Internal Summary'!D54</f>
        <v/>
      </c>
      <c r="E53" s="67" t="str">
        <f>'Internal Summary'!E54</f>
        <v/>
      </c>
      <c r="F53" s="110"/>
      <c r="G53" s="67">
        <f t="shared" si="1"/>
        <v>0</v>
      </c>
      <c r="H53" s="110"/>
      <c r="I53" s="110"/>
      <c r="J53" s="110"/>
      <c r="K53" s="110"/>
      <c r="L53" s="112">
        <f t="shared" si="2"/>
        <v>0</v>
      </c>
      <c r="M53" s="67">
        <f t="shared" si="3"/>
        <v>0</v>
      </c>
      <c r="N53" s="67"/>
      <c r="O53" s="67"/>
      <c r="P53" s="67">
        <f t="shared" si="4"/>
        <v>0</v>
      </c>
      <c r="Q53" s="67"/>
      <c r="R53" s="67">
        <f t="shared" si="5"/>
        <v>0</v>
      </c>
      <c r="S53" s="67" t="str">
        <f>'Forwarding From Client'!L17</f>
        <v/>
      </c>
      <c r="T53" s="67">
        <f t="shared" si="6"/>
        <v>0</v>
      </c>
      <c r="U53" s="67"/>
      <c r="V53" s="67">
        <f t="shared" si="7"/>
        <v>0</v>
      </c>
      <c r="W53" s="67"/>
    </row>
    <row r="54">
      <c r="B54" s="72" t="str">
        <f>'Internal Summary'!B55</f>
        <v/>
      </c>
      <c r="C54" s="67" t="str">
        <f>'Internal Summary'!C55</f>
        <v/>
      </c>
      <c r="D54" s="67" t="str">
        <f>'Internal Summary'!D55</f>
        <v/>
      </c>
      <c r="E54" s="67" t="str">
        <f>'Internal Summary'!E55</f>
        <v/>
      </c>
      <c r="F54" s="110"/>
      <c r="G54" s="67">
        <f t="shared" si="1"/>
        <v>0</v>
      </c>
      <c r="H54" s="110"/>
      <c r="I54" s="110"/>
      <c r="J54" s="110"/>
      <c r="K54" s="110"/>
      <c r="L54" s="112">
        <f t="shared" si="2"/>
        <v>0</v>
      </c>
      <c r="M54" s="67">
        <f t="shared" si="3"/>
        <v>0</v>
      </c>
      <c r="N54" s="67"/>
      <c r="O54" s="67"/>
      <c r="P54" s="67">
        <f t="shared" si="4"/>
        <v>0</v>
      </c>
      <c r="Q54" s="67"/>
      <c r="R54" s="67">
        <f t="shared" si="5"/>
        <v>0</v>
      </c>
      <c r="S54" s="67" t="str">
        <f>'Forwarding From Client'!L18</f>
        <v/>
      </c>
      <c r="T54" s="67">
        <f t="shared" si="6"/>
        <v>0</v>
      </c>
      <c r="U54" s="67"/>
      <c r="V54" s="67">
        <f t="shared" si="7"/>
        <v>0</v>
      </c>
      <c r="W54" s="67"/>
    </row>
    <row r="55">
      <c r="B55" s="72" t="str">
        <f>'Internal Summary'!B56</f>
        <v/>
      </c>
      <c r="C55" s="67" t="str">
        <f>'Internal Summary'!C56</f>
        <v/>
      </c>
      <c r="D55" s="67" t="str">
        <f>'Internal Summary'!D56</f>
        <v/>
      </c>
      <c r="E55" s="67" t="str">
        <f>'Internal Summary'!E56</f>
        <v/>
      </c>
      <c r="F55" s="110"/>
      <c r="G55" s="67">
        <f t="shared" si="1"/>
        <v>0</v>
      </c>
      <c r="H55" s="110"/>
      <c r="I55" s="110"/>
      <c r="J55" s="110"/>
      <c r="K55" s="110"/>
      <c r="L55" s="112">
        <f t="shared" si="2"/>
        <v>0</v>
      </c>
      <c r="M55" s="67">
        <f t="shared" si="3"/>
        <v>0</v>
      </c>
      <c r="N55" s="67"/>
      <c r="O55" s="67"/>
      <c r="P55" s="67">
        <f t="shared" si="4"/>
        <v>0</v>
      </c>
      <c r="Q55" s="67"/>
      <c r="R55" s="67">
        <f t="shared" si="5"/>
        <v>0</v>
      </c>
      <c r="S55" s="67" t="str">
        <f>'Forwarding From Client'!L19</f>
        <v/>
      </c>
      <c r="T55" s="67">
        <f t="shared" si="6"/>
        <v>0</v>
      </c>
      <c r="U55" s="67"/>
      <c r="V55" s="67">
        <f t="shared" si="7"/>
        <v>0</v>
      </c>
      <c r="W55" s="67"/>
    </row>
    <row r="56">
      <c r="B56" s="72" t="str">
        <f>'Internal Summary'!B57</f>
        <v/>
      </c>
      <c r="C56" s="67" t="str">
        <f>'Internal Summary'!C57</f>
        <v/>
      </c>
      <c r="D56" s="67" t="str">
        <f>'Internal Summary'!D57</f>
        <v/>
      </c>
      <c r="E56" s="67" t="str">
        <f>'Internal Summary'!E57</f>
        <v/>
      </c>
      <c r="F56" s="110"/>
      <c r="G56" s="67">
        <f t="shared" si="1"/>
        <v>0</v>
      </c>
      <c r="H56" s="110"/>
      <c r="I56" s="110"/>
      <c r="J56" s="110"/>
      <c r="K56" s="110"/>
      <c r="L56" s="112">
        <f t="shared" si="2"/>
        <v>0</v>
      </c>
      <c r="M56" s="67">
        <f t="shared" si="3"/>
        <v>0</v>
      </c>
      <c r="N56" s="67"/>
      <c r="O56" s="67"/>
      <c r="P56" s="67">
        <f t="shared" si="4"/>
        <v>0</v>
      </c>
      <c r="Q56" s="67"/>
      <c r="R56" s="67">
        <f t="shared" si="5"/>
        <v>0</v>
      </c>
      <c r="S56" s="67" t="str">
        <f>'Forwarding From Client'!L20</f>
        <v/>
      </c>
      <c r="T56" s="67">
        <f t="shared" si="6"/>
        <v>0</v>
      </c>
      <c r="U56" s="67"/>
      <c r="V56" s="67">
        <f t="shared" si="7"/>
        <v>0</v>
      </c>
      <c r="W56" s="67"/>
    </row>
    <row r="57">
      <c r="B57" s="72" t="str">
        <f>'Internal Summary'!B58</f>
        <v/>
      </c>
      <c r="C57" s="67" t="str">
        <f>'Internal Summary'!C58</f>
        <v/>
      </c>
      <c r="D57" s="67" t="str">
        <f>'Internal Summary'!D58</f>
        <v/>
      </c>
      <c r="E57" s="67" t="str">
        <f>'Internal Summary'!E58</f>
        <v/>
      </c>
      <c r="F57" s="110"/>
      <c r="G57" s="67">
        <f t="shared" si="1"/>
        <v>0</v>
      </c>
      <c r="H57" s="110"/>
      <c r="I57" s="110"/>
      <c r="J57" s="110"/>
      <c r="K57" s="110"/>
      <c r="L57" s="112">
        <f t="shared" si="2"/>
        <v>0</v>
      </c>
      <c r="M57" s="67">
        <f t="shared" si="3"/>
        <v>0</v>
      </c>
      <c r="N57" s="67"/>
      <c r="O57" s="67"/>
      <c r="P57" s="67">
        <f t="shared" si="4"/>
        <v>0</v>
      </c>
      <c r="Q57" s="67"/>
      <c r="R57" s="67">
        <f t="shared" si="5"/>
        <v>0</v>
      </c>
      <c r="S57" s="67" t="str">
        <f>'Forwarding From Client'!L21</f>
        <v/>
      </c>
      <c r="T57" s="67">
        <f t="shared" si="6"/>
        <v>0</v>
      </c>
      <c r="U57" s="67"/>
      <c r="V57" s="67">
        <f t="shared" si="7"/>
        <v>0</v>
      </c>
      <c r="W57" s="67"/>
    </row>
    <row r="58">
      <c r="B58" s="72" t="str">
        <f>'Internal Summary'!B59</f>
        <v/>
      </c>
      <c r="C58" s="67" t="str">
        <f>'Internal Summary'!C59</f>
        <v/>
      </c>
      <c r="D58" s="67" t="str">
        <f>'Internal Summary'!D59</f>
        <v/>
      </c>
      <c r="E58" s="67" t="str">
        <f>'Internal Summary'!E59</f>
        <v/>
      </c>
      <c r="F58" s="110"/>
      <c r="G58" s="67">
        <f t="shared" si="1"/>
        <v>0</v>
      </c>
      <c r="H58" s="110"/>
      <c r="I58" s="110"/>
      <c r="J58" s="110"/>
      <c r="K58" s="110"/>
      <c r="L58" s="112">
        <f t="shared" si="2"/>
        <v>0</v>
      </c>
      <c r="M58" s="67">
        <f t="shared" si="3"/>
        <v>0</v>
      </c>
      <c r="N58" s="67"/>
      <c r="O58" s="67"/>
      <c r="P58" s="67">
        <f t="shared" si="4"/>
        <v>0</v>
      </c>
      <c r="Q58" s="67"/>
      <c r="R58" s="67">
        <f t="shared" si="5"/>
        <v>0</v>
      </c>
      <c r="S58" s="67" t="str">
        <f>'Forwarding From Client'!L22</f>
        <v/>
      </c>
      <c r="T58" s="67">
        <f t="shared" si="6"/>
        <v>0</v>
      </c>
      <c r="U58" s="67"/>
      <c r="V58" s="67">
        <f t="shared" si="7"/>
        <v>0</v>
      </c>
      <c r="W58" s="67"/>
    </row>
    <row r="59">
      <c r="B59" s="72" t="str">
        <f>'Internal Summary'!B60</f>
        <v/>
      </c>
      <c r="C59" s="67" t="str">
        <f>'Internal Summary'!C60</f>
        <v/>
      </c>
      <c r="D59" s="67" t="str">
        <f>'Internal Summary'!D60</f>
        <v/>
      </c>
      <c r="E59" s="67" t="str">
        <f>'Internal Summary'!E60</f>
        <v/>
      </c>
      <c r="F59" s="110"/>
      <c r="G59" s="67">
        <f t="shared" si="1"/>
        <v>0</v>
      </c>
      <c r="H59" s="110"/>
      <c r="I59" s="110"/>
      <c r="J59" s="110"/>
      <c r="K59" s="110"/>
      <c r="L59" s="112">
        <f t="shared" si="2"/>
        <v>0</v>
      </c>
      <c r="M59" s="67">
        <f t="shared" si="3"/>
        <v>0</v>
      </c>
      <c r="N59" s="67"/>
      <c r="O59" s="67"/>
      <c r="P59" s="67">
        <f t="shared" si="4"/>
        <v>0</v>
      </c>
      <c r="Q59" s="67"/>
      <c r="R59" s="67">
        <f t="shared" si="5"/>
        <v>0</v>
      </c>
      <c r="S59" s="67" t="str">
        <f>'Forwarding From Client'!L23</f>
        <v/>
      </c>
      <c r="T59" s="67">
        <f t="shared" si="6"/>
        <v>0</v>
      </c>
      <c r="U59" s="67"/>
      <c r="V59" s="67">
        <f t="shared" si="7"/>
        <v>0</v>
      </c>
      <c r="W59" s="67"/>
    </row>
    <row r="60">
      <c r="B60" s="72" t="str">
        <f>'Internal Summary'!B61</f>
        <v/>
      </c>
      <c r="C60" s="67" t="str">
        <f>'Internal Summary'!C61</f>
        <v/>
      </c>
      <c r="D60" s="67" t="str">
        <f>'Internal Summary'!D61</f>
        <v/>
      </c>
      <c r="E60" s="67" t="str">
        <f>'Internal Summary'!E61</f>
        <v/>
      </c>
      <c r="F60" s="110"/>
      <c r="G60" s="67">
        <f t="shared" si="1"/>
        <v>0</v>
      </c>
      <c r="H60" s="110"/>
      <c r="I60" s="110"/>
      <c r="J60" s="110"/>
      <c r="K60" s="110"/>
      <c r="L60" s="112">
        <f t="shared" si="2"/>
        <v>0</v>
      </c>
      <c r="M60" s="67">
        <f t="shared" si="3"/>
        <v>0</v>
      </c>
      <c r="N60" s="67"/>
      <c r="O60" s="67"/>
      <c r="P60" s="67">
        <f t="shared" si="4"/>
        <v>0</v>
      </c>
      <c r="Q60" s="67"/>
      <c r="R60" s="67">
        <f t="shared" si="5"/>
        <v>0</v>
      </c>
      <c r="S60" s="67" t="str">
        <f>'Forwarding From Client'!L24</f>
        <v/>
      </c>
      <c r="T60" s="67">
        <f t="shared" si="6"/>
        <v>0</v>
      </c>
      <c r="U60" s="67"/>
      <c r="V60" s="67">
        <f t="shared" si="7"/>
        <v>0</v>
      </c>
      <c r="W60" s="67"/>
    </row>
    <row r="61">
      <c r="B61" s="72" t="str">
        <f>'Internal Summary'!B62</f>
        <v/>
      </c>
      <c r="C61" s="67" t="str">
        <f>'Internal Summary'!C62</f>
        <v/>
      </c>
      <c r="D61" s="67" t="str">
        <f>'Internal Summary'!D62</f>
        <v/>
      </c>
      <c r="E61" s="67" t="str">
        <f>'Internal Summary'!E62</f>
        <v/>
      </c>
      <c r="F61" s="110"/>
      <c r="G61" s="67">
        <f t="shared" si="1"/>
        <v>0</v>
      </c>
      <c r="H61" s="110"/>
      <c r="I61" s="110"/>
      <c r="J61" s="110"/>
      <c r="K61" s="110"/>
      <c r="L61" s="112">
        <f t="shared" si="2"/>
        <v>0</v>
      </c>
      <c r="M61" s="67">
        <f t="shared" si="3"/>
        <v>0</v>
      </c>
      <c r="N61" s="67"/>
      <c r="O61" s="67"/>
      <c r="P61" s="67">
        <f t="shared" si="4"/>
        <v>0</v>
      </c>
      <c r="Q61" s="67"/>
      <c r="R61" s="67">
        <f t="shared" si="5"/>
        <v>0</v>
      </c>
      <c r="S61" s="67" t="str">
        <f>'Forwarding From Client'!L25</f>
        <v/>
      </c>
      <c r="T61" s="67">
        <f t="shared" si="6"/>
        <v>0</v>
      </c>
      <c r="U61" s="67"/>
      <c r="V61" s="67">
        <f t="shared" si="7"/>
        <v>0</v>
      </c>
      <c r="W61" s="67"/>
    </row>
    <row r="62">
      <c r="B62" s="72" t="str">
        <f>'Internal Summary'!B63</f>
        <v/>
      </c>
      <c r="C62" s="67" t="str">
        <f>'Internal Summary'!C63</f>
        <v/>
      </c>
      <c r="D62" s="67" t="str">
        <f>'Internal Summary'!D63</f>
        <v/>
      </c>
      <c r="E62" s="67" t="str">
        <f>'Internal Summary'!E63</f>
        <v/>
      </c>
      <c r="F62" s="110"/>
      <c r="G62" s="67">
        <f t="shared" si="1"/>
        <v>0</v>
      </c>
      <c r="H62" s="110"/>
      <c r="I62" s="110"/>
      <c r="J62" s="110"/>
      <c r="K62" s="110"/>
      <c r="L62" s="112">
        <f t="shared" si="2"/>
        <v>0</v>
      </c>
      <c r="M62" s="67">
        <f t="shared" si="3"/>
        <v>0</v>
      </c>
      <c r="N62" s="67"/>
      <c r="O62" s="67"/>
      <c r="P62" s="67">
        <f t="shared" si="4"/>
        <v>0</v>
      </c>
      <c r="Q62" s="67"/>
      <c r="R62" s="67">
        <f t="shared" si="5"/>
        <v>0</v>
      </c>
      <c r="S62" s="67" t="str">
        <f>'Forwarding From Client'!L26</f>
        <v/>
      </c>
      <c r="T62" s="67">
        <f t="shared" si="6"/>
        <v>0</v>
      </c>
      <c r="U62" s="67"/>
      <c r="V62" s="67">
        <f t="shared" si="7"/>
        <v>0</v>
      </c>
      <c r="W62" s="67"/>
    </row>
    <row r="63">
      <c r="B63" s="67" t="str">
        <f>'Internal Summary'!B64</f>
        <v/>
      </c>
      <c r="C63" s="67" t="str">
        <f>'Internal Summary'!C64</f>
        <v/>
      </c>
      <c r="D63" s="67" t="str">
        <f>'Internal Summary'!D64</f>
        <v/>
      </c>
      <c r="E63" s="67" t="str">
        <f>'Internal Summary'!E64</f>
        <v/>
      </c>
      <c r="F63" s="110"/>
      <c r="G63" s="67">
        <f t="shared" si="1"/>
        <v>0</v>
      </c>
      <c r="H63" s="110"/>
      <c r="I63" s="110"/>
      <c r="J63" s="110"/>
      <c r="K63" s="110"/>
      <c r="L63" s="112">
        <f t="shared" si="2"/>
        <v>0</v>
      </c>
      <c r="M63" s="67">
        <f t="shared" si="3"/>
        <v>0</v>
      </c>
      <c r="N63" s="67"/>
      <c r="O63" s="67"/>
      <c r="P63" s="67">
        <f t="shared" si="4"/>
        <v>0</v>
      </c>
      <c r="Q63" s="67"/>
      <c r="R63" s="67">
        <f t="shared" si="5"/>
        <v>0</v>
      </c>
      <c r="S63" s="67" t="str">
        <f>'Forwarding From Client'!L27</f>
        <v/>
      </c>
      <c r="T63" s="67">
        <f t="shared" si="6"/>
        <v>0</v>
      </c>
      <c r="U63" s="67"/>
      <c r="V63" s="67">
        <f t="shared" si="7"/>
        <v>0</v>
      </c>
      <c r="W63" s="67"/>
    </row>
    <row r="64">
      <c r="B64" s="67" t="str">
        <f>'Internal Summary'!B65</f>
        <v/>
      </c>
      <c r="C64" s="67" t="str">
        <f>'Internal Summary'!C65</f>
        <v/>
      </c>
      <c r="D64" s="67" t="str">
        <f>'Internal Summary'!D65</f>
        <v/>
      </c>
      <c r="E64" s="67" t="str">
        <f>'Internal Summary'!E65</f>
        <v/>
      </c>
      <c r="F64" s="110"/>
      <c r="G64" s="67">
        <f t="shared" si="1"/>
        <v>0</v>
      </c>
      <c r="H64" s="110"/>
      <c r="I64" s="110"/>
      <c r="J64" s="110"/>
      <c r="K64" s="110"/>
      <c r="L64" s="112">
        <f t="shared" si="2"/>
        <v>0</v>
      </c>
      <c r="M64" s="67">
        <f t="shared" si="3"/>
        <v>0</v>
      </c>
      <c r="N64" s="67"/>
      <c r="O64" s="67"/>
      <c r="P64" s="67">
        <f t="shared" si="4"/>
        <v>0</v>
      </c>
      <c r="Q64" s="67"/>
      <c r="R64" s="67">
        <f t="shared" si="5"/>
        <v>0</v>
      </c>
      <c r="S64" s="67" t="str">
        <f>'Forwarding From Client'!L28</f>
        <v/>
      </c>
      <c r="T64" s="67">
        <f t="shared" si="6"/>
        <v>0</v>
      </c>
      <c r="U64" s="67"/>
      <c r="V64" s="67">
        <f t="shared" si="7"/>
        <v>0</v>
      </c>
      <c r="W64" s="67"/>
    </row>
    <row r="65">
      <c r="B65" s="67" t="str">
        <f>'Internal Summary'!B66</f>
        <v/>
      </c>
      <c r="C65" s="67" t="str">
        <f>'Internal Summary'!C66</f>
        <v/>
      </c>
      <c r="D65" s="67" t="str">
        <f>'Internal Summary'!D66</f>
        <v/>
      </c>
      <c r="E65" s="67" t="str">
        <f>'Internal Summary'!E66</f>
        <v/>
      </c>
      <c r="F65" s="110"/>
      <c r="G65" s="67">
        <f t="shared" si="1"/>
        <v>0</v>
      </c>
      <c r="H65" s="110"/>
      <c r="I65" s="110"/>
      <c r="J65" s="110"/>
      <c r="K65" s="110"/>
      <c r="L65" s="112">
        <f t="shared" si="2"/>
        <v>0</v>
      </c>
      <c r="M65" s="67">
        <f t="shared" si="3"/>
        <v>0</v>
      </c>
      <c r="N65" s="67"/>
      <c r="O65" s="67"/>
      <c r="P65" s="67">
        <f t="shared" si="4"/>
        <v>0</v>
      </c>
      <c r="Q65" s="67"/>
      <c r="R65" s="67">
        <f t="shared" si="5"/>
        <v>0</v>
      </c>
      <c r="S65" s="67" t="str">
        <f>'Forwarding From Client'!L29</f>
        <v/>
      </c>
      <c r="T65" s="67">
        <f t="shared" si="6"/>
        <v>0</v>
      </c>
      <c r="U65" s="67"/>
      <c r="V65" s="67">
        <f t="shared" si="7"/>
        <v>0</v>
      </c>
      <c r="W65" s="67"/>
    </row>
    <row r="66">
      <c r="B66" s="67" t="str">
        <f>'Internal Summary'!B67</f>
        <v/>
      </c>
      <c r="C66" s="67" t="str">
        <f>'Internal Summary'!C67</f>
        <v/>
      </c>
      <c r="D66" s="67" t="str">
        <f>'Internal Summary'!D67</f>
        <v/>
      </c>
      <c r="E66" s="67" t="str">
        <f>'Internal Summary'!E67</f>
        <v/>
      </c>
      <c r="F66" s="110"/>
      <c r="G66" s="67">
        <f t="shared" si="1"/>
        <v>0</v>
      </c>
      <c r="H66" s="110"/>
      <c r="I66" s="110"/>
      <c r="J66" s="110"/>
      <c r="K66" s="110"/>
      <c r="L66" s="112">
        <f t="shared" si="2"/>
        <v>0</v>
      </c>
      <c r="M66" s="67">
        <f t="shared" si="3"/>
        <v>0</v>
      </c>
      <c r="N66" s="67"/>
      <c r="O66" s="67"/>
      <c r="P66" s="67">
        <f t="shared" si="4"/>
        <v>0</v>
      </c>
      <c r="Q66" s="67"/>
      <c r="R66" s="67">
        <f t="shared" si="5"/>
        <v>0</v>
      </c>
      <c r="S66" s="67" t="str">
        <f>'Forwarding From Client'!L30</f>
        <v/>
      </c>
      <c r="T66" s="67">
        <f t="shared" si="6"/>
        <v>0</v>
      </c>
      <c r="U66" s="67"/>
      <c r="V66" s="67">
        <f t="shared" si="7"/>
        <v>0</v>
      </c>
      <c r="W66" s="67"/>
    </row>
    <row r="67">
      <c r="B67" s="104" t="s">
        <v>91</v>
      </c>
      <c r="C67" s="104"/>
      <c r="D67" s="104"/>
      <c r="E67" s="67"/>
      <c r="F67" s="112">
        <f t="shared" ref="F67:W67" si="8">sum(F38:F66)</f>
        <v>0</v>
      </c>
      <c r="G67" s="112">
        <f t="shared" si="8"/>
        <v>0</v>
      </c>
      <c r="H67" s="112">
        <f t="shared" si="8"/>
        <v>0</v>
      </c>
      <c r="I67" s="112">
        <f t="shared" si="8"/>
        <v>0</v>
      </c>
      <c r="J67" s="112">
        <f t="shared" si="8"/>
        <v>0</v>
      </c>
      <c r="K67" s="112">
        <f t="shared" si="8"/>
        <v>33.5</v>
      </c>
      <c r="L67" s="112">
        <f t="shared" si="8"/>
        <v>4</v>
      </c>
      <c r="M67" s="112">
        <f t="shared" si="8"/>
        <v>29.5</v>
      </c>
      <c r="N67" s="67">
        <f t="shared" si="8"/>
        <v>-108000</v>
      </c>
      <c r="O67" s="67">
        <f t="shared" si="8"/>
        <v>1</v>
      </c>
      <c r="P67" s="67">
        <f t="shared" si="8"/>
        <v>0</v>
      </c>
      <c r="Q67" s="67">
        <f t="shared" si="8"/>
        <v>0</v>
      </c>
      <c r="R67" s="67">
        <f t="shared" si="8"/>
        <v>0</v>
      </c>
      <c r="S67" s="67">
        <f t="shared" si="8"/>
        <v>0</v>
      </c>
      <c r="T67" s="67">
        <f t="shared" si="8"/>
        <v>0</v>
      </c>
      <c r="U67" s="67">
        <f t="shared" si="8"/>
        <v>5</v>
      </c>
      <c r="V67" s="67">
        <f t="shared" si="8"/>
        <v>0</v>
      </c>
      <c r="W67" s="67">
        <f t="shared" si="8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