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<sst xmlns="http://schemas.openxmlformats.org/spreadsheetml/2006/main" count="478" uniqueCount="116">
  <si>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</si>
  <si>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</si>
  <si>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</si>
  <si>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</si>
  <si>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</si>
  <si>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</si>
  <si>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</si>
  <si>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</si>
  <si>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</si>
  <si>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</si>
  <si>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</si>
  <si>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</si>
  <si>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</si>
  <si>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</si>
  <si>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</si>
  <si>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</si>
  <si>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Respite Tea</t>
  </si>
  <si>
    <t>Purchase Inv-Brand Partner</t>
  </si>
  <si>
    <t>Excel Plus Supermarket, Orchid Rd.</t>
  </si>
  <si>
    <t>SALES</t>
  </si>
  <si>
    <t>DT:002428</t>
  </si>
  <si>
    <t>40g Respite Bitterleaf Tea Tin Pack (6x)</t>
  </si>
  <si>
    <t>Ozzy Supermarket, VICTORY PARK EST.</t>
  </si>
  <si>
    <t>DT:002429</t>
  </si>
  <si>
    <t>D-Arena Supermarket, LEKKI</t>
  </si>
  <si>
    <t>DT:002431</t>
  </si>
  <si>
    <t>Limitless Mart, LEKKI</t>
  </si>
  <si>
    <t>DT:002432</t>
  </si>
  <si>
    <t>Pharm Affair</t>
  </si>
  <si>
    <t>DT:002465</t>
  </si>
  <si>
    <t>Home Affairs Supermarket, OMOLE</t>
  </si>
  <si>
    <t>DT:002466</t>
  </si>
  <si>
    <t>Teewell Superstore</t>
  </si>
  <si>
    <t>DT:002467</t>
  </si>
  <si>
    <t>Moneyworth Supermarket</t>
  </si>
  <si>
    <t>DT:002482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</si>
  <si>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</si>
  <si>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</si>
  <si>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</si>
  <si>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</si>
  <si>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</si>
  <si>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</si>
  <si>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</si>
  <si>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</si>
  <si>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</si>
  <si>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40g Respite Bitterleaf Tea Pouch Pack (10x) Total</t>
  </si>
  <si>
    <t>1 Total</t>
  </si>
  <si>
    <t>40g Respite Bitterleaf Tea Tin Pack (6x) Total</t>
  </si>
  <si>
    <t>0.50 Total</t>
  </si>
  <si>
    <t>0.5 Total</t>
  </si>
  <si>
    <t xml:space="preserve">Units </t>
  </si>
  <si>
    <t>10.00 Total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</si>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</sst>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Excel Plus Supermarket, Orchid Rd."/>
        <s v="Ozzy Supermarket, VICTORY PARK EST."/>
        <s v="D-Arena Supermarket, LEKKI"/>
        <s v="Limitless Mart, LEKKI"/>
        <s v="Pharm Affair"/>
        <s v="Home Affairs Supermarket, OMOLE"/>
        <s v="Teewell Superstore"/>
        <s v="Moneyworth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28"/>
        <s v="DT:002429"/>
        <s v="DT:002431"/>
        <s v="DT:002432"/>
        <s v="DT:002465"/>
        <s v="DT:002466"/>
        <s v="DT:002467"/>
        <s v="DT:002482"/>
        <s v="DT:00251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  <cacheField name="Total Value" numFmtId="4">
      <sharedItems containsSemiMixedTypes="0" containsString="0" containsNumber="1" containsInteger="1">
        <n v="90000.0"/>
        <n v="60000.0"/>
        <n v="75000.0"/>
        <n v="15000.0"/>
        <n v="3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Excel Plus Supermarket, Orchid Rd."/>
        <s v="Ozzy Supermarket, VICTORY PARK EST."/>
        <s v="D-Arena Supermarket, LEKKI"/>
        <s v="Limitless Mart, LEKKI"/>
        <s v="Pharm Affair"/>
        <s v="Home Affairs Supermarket, OMOLE"/>
        <s v="Teewell Superstore"/>
        <s v="Moneyworth Supermarket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28"/>
        <s v="DT:002429"/>
        <s v="DT:002431"/>
        <s v="DT:002432"/>
        <s v="DT:002465"/>
        <s v="DT:002466"/>
        <s v="DT:002467"/>
        <s v="DT:002482"/>
        <s v="DT:00251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1T00:00:00Z"/>
        <m/>
      </sharedItems>
    </cacheField>
    <cacheField name="Particulars" numFmtId="0">
      <sharedItems containsBlank="1">
        <s v="Respite Te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6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3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2"/>
        <item x="0"/>
        <item x="5"/>
        <item x="8"/>
        <item x="3"/>
        <item x="7"/>
        <item x="1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3"/>
        <item x="4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2"/>
        <item x="0"/>
        <item x="5"/>
        <item x="8"/>
        <item x="3"/>
        <item x="7"/>
        <item x="1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9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16">
        <v>2066.0</v>
      </c>
      <c r="F3" s="17">
        <v>10.0</v>
      </c>
      <c r="G3" s="18">
        <v>300000.0</v>
      </c>
      <c r="H3" s="19"/>
      <c r="I3" s="13" t="s">
        <v>15</v>
      </c>
      <c r="J3" s="14">
        <v>45904.0</v>
      </c>
      <c r="K3" s="15" t="s">
        <v>18</v>
      </c>
      <c r="L3" s="15" t="s">
        <v>19</v>
      </c>
      <c r="M3" s="16" t="s">
        <v>20</v>
      </c>
      <c r="N3" s="17">
        <v>1.0</v>
      </c>
      <c r="O3" s="18">
        <v>30000.0</v>
      </c>
      <c r="P3" s="7">
        <f t="shared" ref="P3:P22" si="1">SUMIF(M:M,M3,O:O)</f>
        <v>90000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45901.0</v>
      </c>
      <c r="AI3" s="15" t="s">
        <v>16</v>
      </c>
      <c r="AJ3" s="15" t="s">
        <v>17</v>
      </c>
      <c r="AK3" s="16">
        <v>2066.0</v>
      </c>
      <c r="AL3" s="17">
        <v>10.0</v>
      </c>
      <c r="AM3" s="18">
        <v>300000.0</v>
      </c>
      <c r="AO3" s="25"/>
      <c r="AP3" s="21"/>
      <c r="AQ3" s="22"/>
      <c r="AR3" s="22"/>
      <c r="AS3" s="2"/>
      <c r="AT3" s="26"/>
      <c r="AU3" s="27"/>
    </row>
    <row r="4">
      <c r="A4" s="13" t="s">
        <v>21</v>
      </c>
      <c r="B4" s="14">
        <v>45901.0</v>
      </c>
      <c r="C4" s="15" t="s">
        <v>16</v>
      </c>
      <c r="D4" s="15" t="s">
        <v>17</v>
      </c>
      <c r="E4" s="16">
        <v>2066.0</v>
      </c>
      <c r="F4" s="17">
        <v>10.0</v>
      </c>
      <c r="G4" s="18">
        <v>600000.0</v>
      </c>
      <c r="I4" s="13" t="s">
        <v>21</v>
      </c>
      <c r="J4" s="14">
        <v>45904.0</v>
      </c>
      <c r="K4" s="15" t="s">
        <v>18</v>
      </c>
      <c r="L4" s="15" t="s">
        <v>19</v>
      </c>
      <c r="M4" s="16" t="s">
        <v>20</v>
      </c>
      <c r="N4" s="16">
        <v>1.0</v>
      </c>
      <c r="O4" s="18">
        <v>60000.0</v>
      </c>
      <c r="P4" s="7">
        <f t="shared" si="1"/>
        <v>90000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 t="s">
        <v>21</v>
      </c>
      <c r="AH4" s="14">
        <v>45901.0</v>
      </c>
      <c r="AI4" s="15" t="s">
        <v>16</v>
      </c>
      <c r="AJ4" s="15" t="s">
        <v>17</v>
      </c>
      <c r="AK4" s="16">
        <v>2066.0</v>
      </c>
      <c r="AL4" s="17">
        <v>10.0</v>
      </c>
      <c r="AM4" s="18">
        <v>600000.0</v>
      </c>
      <c r="AO4" s="25"/>
      <c r="AP4" s="21"/>
      <c r="AQ4" s="22"/>
      <c r="AR4" s="22"/>
      <c r="AS4" s="2"/>
      <c r="AT4" s="30"/>
      <c r="AU4" s="31"/>
    </row>
    <row r="5">
      <c r="A5" s="13" t="s">
        <v>15</v>
      </c>
      <c r="B5" s="14">
        <v>45904.0</v>
      </c>
      <c r="C5" s="15" t="s">
        <v>18</v>
      </c>
      <c r="D5" s="15" t="s">
        <v>19</v>
      </c>
      <c r="E5" s="16" t="s">
        <v>20</v>
      </c>
      <c r="F5" s="17">
        <v>1.0</v>
      </c>
      <c r="G5" s="18">
        <v>30000.0</v>
      </c>
      <c r="I5" s="13" t="s">
        <v>21</v>
      </c>
      <c r="J5" s="14">
        <v>45904.0</v>
      </c>
      <c r="K5" s="15" t="s">
        <v>22</v>
      </c>
      <c r="L5" s="15" t="s">
        <v>19</v>
      </c>
      <c r="M5" s="16" t="s">
        <v>23</v>
      </c>
      <c r="N5" s="17">
        <v>1.0</v>
      </c>
      <c r="O5" s="18">
        <v>60000.0</v>
      </c>
      <c r="P5" s="7">
        <f t="shared" si="1"/>
        <v>60000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32"/>
      <c r="AH5" s="33"/>
      <c r="AI5" s="34"/>
      <c r="AJ5" s="34"/>
      <c r="AK5" s="35"/>
      <c r="AL5" s="36"/>
      <c r="AM5" s="36"/>
      <c r="AO5" s="25"/>
      <c r="AP5" s="21"/>
      <c r="AQ5" s="22"/>
      <c r="AR5" s="22"/>
      <c r="AS5" s="2"/>
      <c r="AT5" s="30"/>
      <c r="AU5" s="31"/>
    </row>
    <row r="6">
      <c r="A6" s="13" t="s">
        <v>21</v>
      </c>
      <c r="B6" s="14">
        <v>45904.0</v>
      </c>
      <c r="C6" s="15" t="s">
        <v>18</v>
      </c>
      <c r="D6" s="15" t="s">
        <v>19</v>
      </c>
      <c r="E6" s="16" t="s">
        <v>20</v>
      </c>
      <c r="F6" s="16">
        <v>1.0</v>
      </c>
      <c r="G6" s="18">
        <v>60000.0</v>
      </c>
      <c r="I6" s="13" t="s">
        <v>15</v>
      </c>
      <c r="J6" s="14">
        <v>45904.0</v>
      </c>
      <c r="K6" s="15" t="s">
        <v>24</v>
      </c>
      <c r="L6" s="15" t="s">
        <v>19</v>
      </c>
      <c r="M6" s="16" t="s">
        <v>25</v>
      </c>
      <c r="N6" s="17">
        <v>0.5</v>
      </c>
      <c r="O6" s="18">
        <v>15000.0</v>
      </c>
      <c r="P6" s="7">
        <f t="shared" si="1"/>
        <v>75000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 t="s">
        <v>21</v>
      </c>
      <c r="B7" s="14">
        <v>45904.0</v>
      </c>
      <c r="C7" s="15" t="s">
        <v>22</v>
      </c>
      <c r="D7" s="15" t="s">
        <v>19</v>
      </c>
      <c r="E7" s="16" t="s">
        <v>23</v>
      </c>
      <c r="F7" s="17">
        <v>1.0</v>
      </c>
      <c r="G7" s="18">
        <v>60000.0</v>
      </c>
      <c r="I7" s="13" t="s">
        <v>21</v>
      </c>
      <c r="J7" s="14">
        <v>45904.0</v>
      </c>
      <c r="K7" s="15" t="s">
        <v>24</v>
      </c>
      <c r="L7" s="15" t="s">
        <v>19</v>
      </c>
      <c r="M7" s="16" t="s">
        <v>25</v>
      </c>
      <c r="N7" s="17">
        <v>1.0</v>
      </c>
      <c r="O7" s="18">
        <v>60000.0</v>
      </c>
      <c r="P7" s="7">
        <f t="shared" si="1"/>
        <v>75000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 t="s">
        <v>15</v>
      </c>
      <c r="B8" s="14">
        <v>45904.0</v>
      </c>
      <c r="C8" s="15" t="s">
        <v>24</v>
      </c>
      <c r="D8" s="15" t="s">
        <v>19</v>
      </c>
      <c r="E8" s="16" t="s">
        <v>25</v>
      </c>
      <c r="F8" s="17">
        <v>0.5</v>
      </c>
      <c r="G8" s="18">
        <v>15000.0</v>
      </c>
      <c r="I8" s="13" t="s">
        <v>15</v>
      </c>
      <c r="J8" s="14">
        <v>45904.0</v>
      </c>
      <c r="K8" s="15" t="s">
        <v>26</v>
      </c>
      <c r="L8" s="15" t="s">
        <v>19</v>
      </c>
      <c r="M8" s="16" t="s">
        <v>27</v>
      </c>
      <c r="N8" s="17">
        <v>0.5</v>
      </c>
      <c r="O8" s="18">
        <v>15000.0</v>
      </c>
      <c r="P8" s="7">
        <f t="shared" si="1"/>
        <v>15000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7"/>
      <c r="AU8" s="12"/>
    </row>
    <row r="9">
      <c r="A9" s="13" t="s">
        <v>21</v>
      </c>
      <c r="B9" s="14">
        <v>45904.0</v>
      </c>
      <c r="C9" s="15" t="s">
        <v>24</v>
      </c>
      <c r="D9" s="15" t="s">
        <v>19</v>
      </c>
      <c r="E9" s="16" t="s">
        <v>25</v>
      </c>
      <c r="F9" s="17">
        <v>1.0</v>
      </c>
      <c r="G9" s="18">
        <v>60000.0</v>
      </c>
      <c r="I9" s="13" t="s">
        <v>15</v>
      </c>
      <c r="J9" s="14">
        <v>45906.0</v>
      </c>
      <c r="K9" s="15" t="s">
        <v>28</v>
      </c>
      <c r="L9" s="15" t="s">
        <v>19</v>
      </c>
      <c r="M9" s="16" t="s">
        <v>29</v>
      </c>
      <c r="N9" s="17">
        <v>0.5</v>
      </c>
      <c r="O9" s="18">
        <v>15000.0</v>
      </c>
      <c r="P9" s="7">
        <f t="shared" si="1"/>
        <v>30000</v>
      </c>
      <c r="Q9" s="20"/>
      <c r="R9" s="21"/>
      <c r="S9" s="22"/>
      <c r="T9" s="22"/>
      <c r="U9" s="2"/>
      <c r="V9" s="2"/>
      <c r="W9" s="23"/>
      <c r="AP9" s="37"/>
      <c r="AU9" s="12"/>
    </row>
    <row r="10">
      <c r="A10" s="13" t="s">
        <v>15</v>
      </c>
      <c r="B10" s="14">
        <v>45904.0</v>
      </c>
      <c r="C10" s="15" t="s">
        <v>26</v>
      </c>
      <c r="D10" s="15" t="s">
        <v>19</v>
      </c>
      <c r="E10" s="16" t="s">
        <v>27</v>
      </c>
      <c r="F10" s="17">
        <v>0.5</v>
      </c>
      <c r="G10" s="18">
        <v>15000.0</v>
      </c>
      <c r="I10" s="13" t="s">
        <v>21</v>
      </c>
      <c r="J10" s="14">
        <v>45906.0</v>
      </c>
      <c r="K10" s="15" t="s">
        <v>28</v>
      </c>
      <c r="L10" s="15" t="s">
        <v>19</v>
      </c>
      <c r="M10" s="16" t="s">
        <v>29</v>
      </c>
      <c r="N10" s="16">
        <v>0.5</v>
      </c>
      <c r="O10" s="18">
        <v>15000.0</v>
      </c>
      <c r="P10" s="7">
        <f t="shared" si="1"/>
        <v>30000</v>
      </c>
      <c r="Q10" s="20"/>
      <c r="R10" s="21"/>
      <c r="S10" s="22"/>
      <c r="T10" s="22"/>
      <c r="U10" s="2"/>
      <c r="V10" s="29"/>
      <c r="W10" s="23"/>
      <c r="AP10" s="37"/>
      <c r="AU10" s="12"/>
    </row>
    <row r="11">
      <c r="A11" s="13" t="s">
        <v>15</v>
      </c>
      <c r="B11" s="14">
        <v>45906.0</v>
      </c>
      <c r="C11" s="15" t="s">
        <v>28</v>
      </c>
      <c r="D11" s="15" t="s">
        <v>19</v>
      </c>
      <c r="E11" s="16" t="s">
        <v>29</v>
      </c>
      <c r="F11" s="17">
        <v>0.5</v>
      </c>
      <c r="G11" s="18">
        <v>15000.0</v>
      </c>
      <c r="I11" s="13" t="s">
        <v>15</v>
      </c>
      <c r="J11" s="14">
        <v>45906.0</v>
      </c>
      <c r="K11" s="15" t="s">
        <v>30</v>
      </c>
      <c r="L11" s="15" t="s">
        <v>19</v>
      </c>
      <c r="M11" s="16" t="s">
        <v>31</v>
      </c>
      <c r="N11" s="17">
        <v>0.5</v>
      </c>
      <c r="O11" s="18">
        <v>15000.0</v>
      </c>
      <c r="P11" s="7">
        <f t="shared" si="1"/>
        <v>15000</v>
      </c>
      <c r="Q11" s="20"/>
      <c r="R11" s="21"/>
      <c r="S11" s="22"/>
      <c r="T11" s="22"/>
      <c r="U11" s="2"/>
      <c r="V11" s="2"/>
      <c r="W11" s="23"/>
      <c r="AP11" s="37"/>
      <c r="AU11" s="12"/>
    </row>
    <row r="12">
      <c r="A12" s="13" t="s">
        <v>21</v>
      </c>
      <c r="B12" s="14">
        <v>45906.0</v>
      </c>
      <c r="C12" s="15" t="s">
        <v>28</v>
      </c>
      <c r="D12" s="15" t="s">
        <v>19</v>
      </c>
      <c r="E12" s="16" t="s">
        <v>29</v>
      </c>
      <c r="F12" s="16">
        <v>0.5</v>
      </c>
      <c r="G12" s="18">
        <v>15000.0</v>
      </c>
      <c r="I12" s="13" t="s">
        <v>15</v>
      </c>
      <c r="J12" s="14">
        <v>45906.0</v>
      </c>
      <c r="K12" s="15" t="s">
        <v>32</v>
      </c>
      <c r="L12" s="15" t="s">
        <v>19</v>
      </c>
      <c r="M12" s="16" t="s">
        <v>33</v>
      </c>
      <c r="N12" s="17">
        <v>0.5</v>
      </c>
      <c r="O12" s="18">
        <v>15000.0</v>
      </c>
      <c r="P12" s="7">
        <f t="shared" si="1"/>
        <v>15000</v>
      </c>
      <c r="Q12" s="20"/>
      <c r="R12" s="21"/>
      <c r="S12" s="22"/>
      <c r="T12" s="22"/>
      <c r="U12" s="2"/>
      <c r="V12" s="29"/>
      <c r="W12" s="23"/>
      <c r="AP12" s="37"/>
      <c r="AU12" s="12"/>
    </row>
    <row r="13">
      <c r="A13" s="13" t="s">
        <v>15</v>
      </c>
      <c r="B13" s="14">
        <v>45906.0</v>
      </c>
      <c r="C13" s="15" t="s">
        <v>30</v>
      </c>
      <c r="D13" s="15" t="s">
        <v>19</v>
      </c>
      <c r="E13" s="16" t="s">
        <v>31</v>
      </c>
      <c r="F13" s="17">
        <v>0.5</v>
      </c>
      <c r="G13" s="18">
        <v>15000.0</v>
      </c>
      <c r="I13" s="13" t="s">
        <v>15</v>
      </c>
      <c r="J13" s="14">
        <v>45910.0</v>
      </c>
      <c r="K13" s="15" t="s">
        <v>34</v>
      </c>
      <c r="L13" s="15" t="s">
        <v>19</v>
      </c>
      <c r="M13" s="16" t="s">
        <v>35</v>
      </c>
      <c r="N13" s="16">
        <v>0.5</v>
      </c>
      <c r="O13" s="18">
        <v>15000.0</v>
      </c>
      <c r="P13" s="7">
        <f t="shared" si="1"/>
        <v>15000</v>
      </c>
      <c r="Q13" s="20"/>
      <c r="R13" s="21"/>
      <c r="S13" s="28"/>
      <c r="T13" s="22"/>
      <c r="U13" s="2"/>
      <c r="V13" s="2"/>
      <c r="W13" s="23"/>
      <c r="AP13" s="37"/>
      <c r="AU13" s="12"/>
    </row>
    <row r="14">
      <c r="A14" s="13" t="s">
        <v>15</v>
      </c>
      <c r="B14" s="14">
        <v>45906.0</v>
      </c>
      <c r="C14" s="15" t="s">
        <v>32</v>
      </c>
      <c r="D14" s="15" t="s">
        <v>19</v>
      </c>
      <c r="E14" s="16" t="s">
        <v>33</v>
      </c>
      <c r="F14" s="17">
        <v>0.5</v>
      </c>
      <c r="G14" s="18">
        <v>15000.0</v>
      </c>
      <c r="I14" s="13" t="s">
        <v>15</v>
      </c>
      <c r="J14" s="14">
        <v>45911.0</v>
      </c>
      <c r="K14" s="15" t="s">
        <v>36</v>
      </c>
      <c r="L14" s="15" t="s">
        <v>19</v>
      </c>
      <c r="M14" s="16" t="s">
        <v>37</v>
      </c>
      <c r="N14" s="17">
        <v>0.5</v>
      </c>
      <c r="O14" s="18">
        <v>15000.0</v>
      </c>
      <c r="P14" s="7">
        <f t="shared" si="1"/>
        <v>15000</v>
      </c>
      <c r="Q14" s="20"/>
      <c r="R14" s="21"/>
      <c r="S14" s="28"/>
      <c r="T14" s="22"/>
      <c r="U14" s="2"/>
      <c r="V14" s="29"/>
      <c r="W14" s="23"/>
      <c r="AP14" s="37"/>
      <c r="AU14" s="12"/>
    </row>
    <row r="15">
      <c r="A15" s="13" t="s">
        <v>15</v>
      </c>
      <c r="B15" s="14">
        <v>45910.0</v>
      </c>
      <c r="C15" s="15" t="s">
        <v>34</v>
      </c>
      <c r="D15" s="15" t="s">
        <v>19</v>
      </c>
      <c r="E15" s="16" t="s">
        <v>35</v>
      </c>
      <c r="F15" s="16">
        <v>0.5</v>
      </c>
      <c r="G15" s="18">
        <v>15000.0</v>
      </c>
      <c r="I15" s="38"/>
      <c r="J15" s="39"/>
      <c r="K15" s="40"/>
      <c r="L15" s="40"/>
      <c r="M15" s="41"/>
      <c r="N15" s="41"/>
      <c r="O15" s="42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7"/>
      <c r="AU15" s="12"/>
    </row>
    <row r="16">
      <c r="A16" s="13" t="s">
        <v>15</v>
      </c>
      <c r="B16" s="14">
        <v>45911.0</v>
      </c>
      <c r="C16" s="15" t="s">
        <v>36</v>
      </c>
      <c r="D16" s="15" t="s">
        <v>19</v>
      </c>
      <c r="E16" s="16" t="s">
        <v>37</v>
      </c>
      <c r="F16" s="17">
        <v>0.5</v>
      </c>
      <c r="G16" s="18">
        <v>15000.0</v>
      </c>
      <c r="I16" s="38"/>
      <c r="J16" s="39"/>
      <c r="K16" s="40"/>
      <c r="L16" s="40"/>
      <c r="M16" s="41"/>
      <c r="N16" s="43"/>
      <c r="O16" s="42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7"/>
      <c r="AU16" s="12"/>
    </row>
    <row r="17">
      <c r="A17" s="38"/>
      <c r="B17" s="39"/>
      <c r="C17" s="40"/>
      <c r="D17" s="40"/>
      <c r="E17" s="41"/>
      <c r="F17" s="41"/>
      <c r="G17" s="42"/>
      <c r="I17" s="38"/>
      <c r="J17" s="39"/>
      <c r="K17" s="40"/>
      <c r="L17" s="40"/>
      <c r="M17" s="41"/>
      <c r="N17" s="41"/>
      <c r="O17" s="42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7"/>
      <c r="AU17" s="12"/>
    </row>
    <row r="18">
      <c r="A18" s="38"/>
      <c r="B18" s="39"/>
      <c r="C18" s="40"/>
      <c r="D18" s="40"/>
      <c r="E18" s="41"/>
      <c r="F18" s="43"/>
      <c r="G18" s="42"/>
      <c r="I18" s="38"/>
      <c r="J18" s="39"/>
      <c r="K18" s="40"/>
      <c r="L18" s="40"/>
      <c r="M18" s="41"/>
      <c r="N18" s="43"/>
      <c r="O18" s="42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7"/>
      <c r="AU18" s="12"/>
    </row>
    <row r="19">
      <c r="A19" s="38"/>
      <c r="B19" s="39"/>
      <c r="C19" s="40"/>
      <c r="D19" s="40"/>
      <c r="E19" s="41"/>
      <c r="F19" s="41"/>
      <c r="G19" s="42"/>
      <c r="I19" s="38"/>
      <c r="J19" s="39"/>
      <c r="K19" s="40"/>
      <c r="L19" s="40"/>
      <c r="M19" s="41"/>
      <c r="N19" s="41"/>
      <c r="O19" s="42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7"/>
      <c r="AU19" s="12"/>
    </row>
    <row r="20">
      <c r="A20" s="38"/>
      <c r="B20" s="39"/>
      <c r="C20" s="40"/>
      <c r="D20" s="40"/>
      <c r="E20" s="41"/>
      <c r="F20" s="41"/>
      <c r="G20" s="42"/>
      <c r="I20" s="38"/>
      <c r="J20" s="39"/>
      <c r="K20" s="40"/>
      <c r="L20" s="40"/>
      <c r="M20" s="41"/>
      <c r="N20" s="41"/>
      <c r="O20" s="42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7"/>
      <c r="AU20" s="12"/>
    </row>
    <row r="21">
      <c r="A21" s="38"/>
      <c r="B21" s="39"/>
      <c r="C21" s="40"/>
      <c r="D21" s="40"/>
      <c r="E21" s="41"/>
      <c r="F21" s="41"/>
      <c r="G21" s="42"/>
      <c r="I21" s="38"/>
      <c r="J21" s="39"/>
      <c r="K21" s="40"/>
      <c r="L21" s="40"/>
      <c r="M21" s="41"/>
      <c r="N21" s="41"/>
      <c r="O21" s="42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7"/>
      <c r="AU21" s="12"/>
    </row>
    <row r="22">
      <c r="A22" s="38"/>
      <c r="B22" s="39"/>
      <c r="C22" s="40"/>
      <c r="D22" s="40"/>
      <c r="E22" s="41"/>
      <c r="F22" s="41"/>
      <c r="G22" s="42"/>
      <c r="I22" s="38"/>
      <c r="J22" s="39"/>
      <c r="K22" s="40"/>
      <c r="L22" s="40"/>
      <c r="M22" s="41"/>
      <c r="N22" s="41"/>
      <c r="O22" s="42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7"/>
      <c r="AU22" s="12"/>
    </row>
    <row r="23">
      <c r="A23" s="25"/>
      <c r="B23" s="21"/>
      <c r="C23" s="22"/>
      <c r="D23" s="22"/>
      <c r="E23" s="2"/>
      <c r="F23" s="44"/>
      <c r="G23" s="27"/>
      <c r="I23" s="20"/>
      <c r="J23" s="21"/>
      <c r="K23" s="22"/>
      <c r="L23" s="22"/>
      <c r="M23" s="2"/>
      <c r="N23" s="44"/>
      <c r="O23" s="27"/>
      <c r="P23" s="7"/>
      <c r="Q23" s="20"/>
      <c r="R23" s="21"/>
      <c r="S23" s="28"/>
      <c r="T23" s="22"/>
      <c r="U23" s="2"/>
      <c r="V23" s="29"/>
      <c r="W23" s="23"/>
      <c r="AP23" s="37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7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7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7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7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7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7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7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7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7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7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7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7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7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7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7"/>
      <c r="AU38" s="12"/>
    </row>
    <row r="39">
      <c r="A39" s="20"/>
      <c r="B39" s="21"/>
      <c r="C39" s="28"/>
      <c r="D39" s="22"/>
      <c r="E39" s="2"/>
      <c r="F39" s="29"/>
      <c r="G39" s="31"/>
      <c r="J39" s="37"/>
      <c r="O39" s="12"/>
      <c r="P39" s="7"/>
      <c r="Q39" s="20"/>
      <c r="R39" s="21"/>
      <c r="S39" s="22"/>
      <c r="T39" s="22"/>
      <c r="U39" s="2"/>
      <c r="V39" s="29"/>
      <c r="W39" s="23"/>
      <c r="AP39" s="37"/>
      <c r="AU39" s="12"/>
    </row>
    <row r="40">
      <c r="A40" s="20"/>
      <c r="B40" s="21"/>
      <c r="C40" s="28"/>
      <c r="D40" s="22"/>
      <c r="E40" s="2"/>
      <c r="F40" s="29"/>
      <c r="G40" s="31"/>
      <c r="J40" s="37"/>
      <c r="O40" s="12"/>
      <c r="P40" s="7"/>
      <c r="Q40" s="20"/>
      <c r="R40" s="21"/>
      <c r="S40" s="22"/>
      <c r="T40" s="22"/>
      <c r="U40" s="2"/>
      <c r="V40" s="29"/>
      <c r="W40" s="23"/>
      <c r="AP40" s="37"/>
      <c r="AU40" s="12"/>
    </row>
    <row r="41">
      <c r="A41" s="20"/>
      <c r="B41" s="21"/>
      <c r="C41" s="28"/>
      <c r="D41" s="22"/>
      <c r="E41" s="2"/>
      <c r="F41" s="29"/>
      <c r="G41" s="31"/>
      <c r="J41" s="37"/>
      <c r="O41" s="12"/>
      <c r="P41" s="7"/>
      <c r="Q41" s="20"/>
      <c r="R41" s="21"/>
      <c r="S41" s="28"/>
      <c r="T41" s="22"/>
      <c r="U41" s="2"/>
      <c r="V41" s="29"/>
      <c r="W41" s="23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29"/>
      <c r="W42" s="23"/>
      <c r="AP42" s="37"/>
      <c r="AU42" s="12"/>
    </row>
    <row r="43">
      <c r="B43" s="37"/>
      <c r="G43" s="12"/>
      <c r="J43" s="37"/>
      <c r="O43" s="12"/>
      <c r="P43" s="7"/>
      <c r="Q43" s="24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3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7">UNIQUE(AI2:AI590)</f>
        <v>Particulars</v>
      </c>
      <c r="AQ975" s="50" t="str">
        <f t="array" ref="AQ975:AQ976">UNIQUE(AQ2:AQ590)</f>
        <v>Particulars</v>
      </c>
    </row>
    <row r="976">
      <c r="P976" s="7"/>
      <c r="AI976" s="50" t="s">
        <v>16</v>
      </c>
      <c r="AQ976" s="50"/>
    </row>
    <row r="977">
      <c r="P977" s="7"/>
      <c r="AI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39</v>
      </c>
      <c r="I1" s="53">
        <f>countifs(B:B,"&lt;&gt;",F:F,"&lt;&gt;")-1</f>
        <v>9</v>
      </c>
      <c r="K1" s="6" t="s">
        <v>40</v>
      </c>
      <c r="L1" s="6" t="s">
        <v>41</v>
      </c>
      <c r="M1" s="6" t="s">
        <v>13</v>
      </c>
    </row>
    <row r="2">
      <c r="H2" s="52" t="s">
        <v>42</v>
      </c>
      <c r="I2" s="53">
        <f t="array" ref="I2">(COUNTA(UNIQUE(C:C))-1)</f>
        <v>9</v>
      </c>
      <c r="K2" s="54" t="str">
        <f>'Internal Summary'!B40</f>
        <v>40g Respite Bitterleaf Tea Pouch Pack (10x)</v>
      </c>
      <c r="L2" s="53">
        <f t="shared" ref="L2:L13" si="1">sumif(D:D,K2,E:E)</f>
        <v>4.5</v>
      </c>
      <c r="M2" s="53">
        <f t="shared" ref="M2:M13" si="2">sumif(D:D,K2,F:F)</f>
        <v>135000</v>
      </c>
      <c r="N2" s="55"/>
    </row>
    <row r="3">
      <c r="H3" s="52" t="s">
        <v>43</v>
      </c>
      <c r="I3" s="53">
        <f>sum(F:F)</f>
        <v>330000</v>
      </c>
      <c r="K3" s="54" t="str">
        <f>'Internal Summary'!B41</f>
        <v>40g Respite Bitterleaf Tea Tin Pack (6x)</v>
      </c>
      <c r="L3" s="53">
        <f t="shared" si="1"/>
        <v>3.5</v>
      </c>
      <c r="M3" s="53">
        <f t="shared" si="2"/>
        <v>195000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39</v>
      </c>
      <c r="I1" s="53">
        <f>countifs(B:B,"&lt;&gt;",F:F,"&lt;&gt;")-1</f>
        <v>0</v>
      </c>
      <c r="K1" s="54" t="s">
        <v>40</v>
      </c>
      <c r="L1" s="54" t="s">
        <v>41</v>
      </c>
      <c r="M1" s="54" t="s">
        <v>13</v>
      </c>
    </row>
    <row r="2">
      <c r="H2" s="52" t="s">
        <v>42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43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39</v>
      </c>
      <c r="I1" s="53">
        <f>countifs(B:B,"&lt;&gt;",F:F,"&lt;&gt;")-1</f>
        <v>0</v>
      </c>
      <c r="K1" s="54" t="s">
        <v>40</v>
      </c>
      <c r="L1" s="54" t="s">
        <v>50</v>
      </c>
      <c r="M1" s="54" t="s">
        <v>13</v>
      </c>
    </row>
    <row r="2">
      <c r="H2" s="52" t="s">
        <v>42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43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39</v>
      </c>
      <c r="I1" s="53">
        <f>countifs(B:B,"&lt;&gt;",F:F,"&lt;&gt;")-1</f>
        <v>0</v>
      </c>
      <c r="K1" s="54" t="s">
        <v>40</v>
      </c>
      <c r="L1" s="54" t="s">
        <v>41</v>
      </c>
    </row>
    <row r="2">
      <c r="H2" s="52" t="s">
        <v>42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43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39</v>
      </c>
      <c r="I1" s="53">
        <f>countifs(B:B,"&lt;&gt;",F:F,"&lt;&gt;")-1</f>
        <v>1</v>
      </c>
      <c r="K1" s="54" t="s">
        <v>40</v>
      </c>
      <c r="L1" s="54" t="s">
        <v>41</v>
      </c>
    </row>
    <row r="2">
      <c r="H2" s="52" t="s">
        <v>42</v>
      </c>
      <c r="I2" s="53">
        <f t="array" ref="I2">(COUNTA(UNIQUE(C:C,,0))-1)</f>
        <v>1</v>
      </c>
      <c r="K2" s="54" t="str">
        <f>'Internal Summary'!B40</f>
        <v>40g Respite Bitterleaf Tea Pouch Pack (10x)</v>
      </c>
      <c r="L2" s="53">
        <f t="shared" ref="L2:L13" si="1">sumif(D:D,K2,E:E)</f>
        <v>10</v>
      </c>
    </row>
    <row r="3">
      <c r="H3" s="52" t="s">
        <v>43</v>
      </c>
      <c r="I3" s="53">
        <f>sum(F:F)</f>
        <v>900000</v>
      </c>
      <c r="K3" s="54" t="str">
        <f>'Internal Summary'!B41</f>
        <v>40g Respite Bitterleaf Tea Tin Pack (6x)</v>
      </c>
      <c r="L3" s="53">
        <f t="shared" si="1"/>
        <v>10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52</v>
      </c>
      <c r="C1" s="52" t="s">
        <v>41</v>
      </c>
      <c r="D1" s="52" t="s">
        <v>53</v>
      </c>
      <c r="E1" s="52" t="s">
        <v>54</v>
      </c>
      <c r="F1" s="58"/>
    </row>
    <row r="2">
      <c r="A2" s="59" t="s">
        <v>19</v>
      </c>
      <c r="B2" s="60" t="s">
        <v>39</v>
      </c>
      <c r="C2" s="61"/>
      <c r="D2" s="61"/>
      <c r="E2" s="62">
        <f>'Dala Sales &amp; Deliveries'!I1+'External Delivery Fulfillment'!I1</f>
        <v>9</v>
      </c>
      <c r="F2" s="58"/>
    </row>
    <row r="3">
      <c r="A3" s="63"/>
      <c r="B3" s="60" t="s">
        <v>55</v>
      </c>
      <c r="C3" s="61"/>
      <c r="D3" s="61"/>
      <c r="E3" s="60">
        <f>'Raw Data'!AW2</f>
        <v>9</v>
      </c>
      <c r="F3" s="58"/>
    </row>
    <row r="4">
      <c r="B4" s="64" t="s">
        <v>56</v>
      </c>
      <c r="C4" s="58"/>
      <c r="D4" s="58"/>
      <c r="E4" s="65">
        <f>'Dala Sales &amp; Deliveries'!I3</f>
        <v>330000</v>
      </c>
      <c r="F4" s="58"/>
    </row>
    <row r="5">
      <c r="B5" s="64" t="s">
        <v>57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58</v>
      </c>
      <c r="C6" s="68"/>
      <c r="D6" s="69"/>
      <c r="E6" s="70">
        <f>E4*1.075-E4</f>
        <v>24750</v>
      </c>
      <c r="F6" s="58"/>
    </row>
    <row r="7">
      <c r="A7" s="71"/>
      <c r="B7" s="72" t="s">
        <v>59</v>
      </c>
      <c r="C7" s="73"/>
      <c r="D7" s="74"/>
      <c r="E7" s="75">
        <f>sum(E4:E6)</f>
        <v>354750</v>
      </c>
      <c r="F7" s="58"/>
    </row>
    <row r="8">
      <c r="A8" s="59" t="s">
        <v>60</v>
      </c>
      <c r="B8" s="60" t="s">
        <v>61</v>
      </c>
      <c r="C8" s="61"/>
      <c r="D8" s="76"/>
      <c r="E8" s="77"/>
    </row>
    <row r="9">
      <c r="A9" s="71"/>
      <c r="B9" s="72" t="s">
        <v>62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63</v>
      </c>
      <c r="B10" s="72" t="s">
        <v>64</v>
      </c>
      <c r="C10" s="73"/>
      <c r="D10" s="74"/>
      <c r="E10" s="75">
        <f>E7-E8-E9</f>
        <v>354750</v>
      </c>
    </row>
    <row r="11">
      <c r="A11" s="59" t="s">
        <v>65</v>
      </c>
      <c r="B11" s="60" t="s">
        <v>66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62</v>
      </c>
      <c r="C12" s="82"/>
      <c r="D12" s="76"/>
      <c r="E12" s="81">
        <f>E10*C9</f>
        <v>35475</v>
      </c>
    </row>
    <row r="13">
      <c r="A13" s="63"/>
      <c r="B13" s="67" t="s">
        <v>67</v>
      </c>
      <c r="C13" s="61"/>
      <c r="D13" s="83" t="s">
        <v>68</v>
      </c>
      <c r="E13" s="81">
        <f>C22+C26</f>
        <v>0</v>
      </c>
    </row>
    <row r="14">
      <c r="A14" s="63"/>
      <c r="B14" s="60" t="s">
        <v>69</v>
      </c>
      <c r="C14" s="76"/>
      <c r="D14" s="76"/>
      <c r="E14" s="84">
        <v>0.0</v>
      </c>
    </row>
    <row r="15">
      <c r="A15" s="63"/>
      <c r="B15" s="60" t="s">
        <v>70</v>
      </c>
      <c r="C15" s="76"/>
      <c r="D15" s="76"/>
      <c r="E15" s="81">
        <f>C30</f>
        <v>0</v>
      </c>
    </row>
    <row r="16">
      <c r="A16" s="71"/>
      <c r="B16" s="72" t="s">
        <v>71</v>
      </c>
      <c r="C16" s="74"/>
      <c r="D16" s="74"/>
      <c r="E16" s="75">
        <f>sum(E11:E15)</f>
        <v>185475</v>
      </c>
      <c r="H16" s="1"/>
      <c r="I16" s="1"/>
    </row>
    <row r="17">
      <c r="A17" s="79" t="s">
        <v>72</v>
      </c>
      <c r="B17" s="72" t="s">
        <v>73</v>
      </c>
      <c r="C17" s="74"/>
      <c r="D17" s="74"/>
      <c r="E17" s="75">
        <f>E10-E16+C36</f>
        <v>169275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74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75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76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77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78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79</v>
      </c>
      <c r="C25" s="86">
        <f>67</f>
        <v>67</v>
      </c>
      <c r="H25" s="1"/>
      <c r="I25" s="1"/>
    </row>
    <row r="26">
      <c r="A26" s="69"/>
      <c r="B26" s="52" t="s">
        <v>80</v>
      </c>
      <c r="C26" s="89">
        <f>P69</f>
        <v>0</v>
      </c>
      <c r="H26" s="1"/>
      <c r="I26" s="1"/>
    </row>
    <row r="27">
      <c r="A27" s="69"/>
      <c r="B27" s="52" t="s">
        <v>81</v>
      </c>
      <c r="C27" s="53">
        <f>Q69</f>
        <v>0</v>
      </c>
      <c r="H27" s="1"/>
      <c r="I27" s="1"/>
    </row>
    <row r="28">
      <c r="A28" s="69"/>
      <c r="B28" s="52" t="s">
        <v>82</v>
      </c>
      <c r="C28" s="53">
        <f>R69</f>
        <v>0</v>
      </c>
      <c r="H28" s="1"/>
      <c r="I28" s="1"/>
    </row>
    <row r="29">
      <c r="A29" s="69"/>
      <c r="B29" s="52" t="s">
        <v>83</v>
      </c>
      <c r="C29" s="86">
        <f>F69</f>
        <v>0</v>
      </c>
      <c r="D29" s="69"/>
      <c r="H29" s="1"/>
      <c r="I29" s="1"/>
    </row>
    <row r="30">
      <c r="A30" s="69"/>
      <c r="B30" s="52" t="s">
        <v>84</v>
      </c>
      <c r="C30" s="86">
        <f>G69</f>
        <v>0</v>
      </c>
      <c r="D30" s="69"/>
      <c r="H30" s="1"/>
      <c r="I30" s="1"/>
    </row>
    <row r="31">
      <c r="A31" s="69"/>
      <c r="B31" s="52" t="s">
        <v>85</v>
      </c>
      <c r="C31" s="86">
        <f>I69</f>
        <v>0</v>
      </c>
      <c r="D31" s="69"/>
      <c r="H31" s="1"/>
      <c r="I31" s="1"/>
    </row>
    <row r="32">
      <c r="A32" s="69"/>
      <c r="B32" s="52" t="s">
        <v>86</v>
      </c>
      <c r="C32" s="86">
        <f>J69</f>
        <v>0</v>
      </c>
      <c r="D32" s="69"/>
      <c r="H32" s="1"/>
      <c r="I32" s="1"/>
    </row>
    <row r="33">
      <c r="B33" s="52" t="s">
        <v>87</v>
      </c>
      <c r="C33" s="86">
        <v>0.0</v>
      </c>
    </row>
    <row r="34">
      <c r="B34" s="52" t="s">
        <v>88</v>
      </c>
      <c r="C34" s="53">
        <f>K69</f>
        <v>0</v>
      </c>
    </row>
    <row r="35">
      <c r="B35" s="52" t="s">
        <v>89</v>
      </c>
      <c r="C35" s="86">
        <v>0.0</v>
      </c>
    </row>
    <row r="36">
      <c r="B36" s="52" t="s">
        <v>90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91</v>
      </c>
      <c r="C39" s="52" t="s">
        <v>92</v>
      </c>
      <c r="D39" s="52" t="s">
        <v>93</v>
      </c>
      <c r="E39" s="52" t="s">
        <v>94</v>
      </c>
      <c r="F39" s="54" t="s">
        <v>95</v>
      </c>
      <c r="G39" s="54" t="s">
        <v>96</v>
      </c>
      <c r="H39" s="54" t="s">
        <v>97</v>
      </c>
      <c r="I39" s="54" t="s">
        <v>98</v>
      </c>
      <c r="J39" s="54" t="s">
        <v>99</v>
      </c>
      <c r="K39" s="54" t="s">
        <v>100</v>
      </c>
      <c r="L39" s="54" t="s">
        <v>87</v>
      </c>
      <c r="M39" s="54" t="s">
        <v>89</v>
      </c>
      <c r="N39" s="54" t="s">
        <v>101</v>
      </c>
      <c r="O39" s="54" t="s">
        <v>102</v>
      </c>
      <c r="P39" s="54" t="s">
        <v>103</v>
      </c>
      <c r="Q39" s="54" t="s">
        <v>104</v>
      </c>
      <c r="R39" s="54" t="s">
        <v>105</v>
      </c>
      <c r="S39" s="54" t="s">
        <v>106</v>
      </c>
      <c r="T39" s="54" t="s">
        <v>78</v>
      </c>
      <c r="U39" s="54" t="s">
        <v>107</v>
      </c>
      <c r="V39" s="54" t="s">
        <v>108</v>
      </c>
      <c r="W39" s="54" t="s">
        <v>109</v>
      </c>
    </row>
    <row r="40">
      <c r="B40" s="90" t="s">
        <v>15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5.5</v>
      </c>
      <c r="M40" s="53">
        <f t="shared" ref="M40:M68" si="3">K40-L40</f>
        <v>-5.5</v>
      </c>
      <c r="N40" s="19">
        <f t="shared" ref="N40:N68" si="4">M40*C40</f>
        <v>-165000</v>
      </c>
      <c r="O40" s="53">
        <f>'Dala Sales &amp; Deliveries'!L2</f>
        <v>4.5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0</v>
      </c>
      <c r="V40" s="19">
        <f t="shared" ref="V40:V68" si="8">U40*D40</f>
        <v>0</v>
      </c>
      <c r="W40" s="53">
        <f>'Client Restocking'!L2</f>
        <v>10</v>
      </c>
    </row>
    <row r="41">
      <c r="B41" s="90" t="s">
        <v>21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6.5</v>
      </c>
      <c r="M41" s="53">
        <f t="shared" si="3"/>
        <v>-6.5</v>
      </c>
      <c r="N41" s="19">
        <f t="shared" si="4"/>
        <v>-390000</v>
      </c>
      <c r="O41" s="53">
        <f>'Dala Sales &amp; Deliveries'!L3</f>
        <v>3.5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10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110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3">
        <f t="shared" si="9"/>
        <v>12</v>
      </c>
      <c r="M69" s="53">
        <f t="shared" si="9"/>
        <v>-12</v>
      </c>
      <c r="N69" s="19">
        <f t="shared" si="9"/>
        <v>-555000</v>
      </c>
      <c r="O69" s="53">
        <f t="shared" si="9"/>
        <v>8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20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52</v>
      </c>
      <c r="C1" s="52" t="s">
        <v>41</v>
      </c>
      <c r="D1" s="52" t="s">
        <v>53</v>
      </c>
      <c r="E1" s="52" t="s">
        <v>54</v>
      </c>
      <c r="F1" s="58"/>
    </row>
    <row r="2">
      <c r="A2" s="59" t="s">
        <v>19</v>
      </c>
      <c r="B2" s="60" t="s">
        <v>39</v>
      </c>
      <c r="C2" s="61"/>
      <c r="D2" s="61"/>
      <c r="E2" s="62">
        <f>'Dala Sales &amp; Deliveries'!I1+'External Delivery Fulfillment'!I1+'Forwarding From Client'!I1</f>
        <v>9</v>
      </c>
      <c r="F2" s="58"/>
    </row>
    <row r="3">
      <c r="A3" s="63"/>
      <c r="B3" s="60" t="s">
        <v>55</v>
      </c>
      <c r="C3" s="61"/>
      <c r="D3" s="61"/>
      <c r="E3" s="62">
        <f>'Raw Data'!AW2</f>
        <v>9</v>
      </c>
      <c r="F3" s="58"/>
    </row>
    <row r="4">
      <c r="B4" s="64" t="s">
        <v>56</v>
      </c>
      <c r="C4" s="58"/>
      <c r="D4" s="58"/>
      <c r="E4" s="65">
        <f>'Dala Sales &amp; Deliveries'!I3</f>
        <v>330000</v>
      </c>
      <c r="F4" s="58"/>
    </row>
    <row r="5">
      <c r="B5" s="64" t="s">
        <v>112</v>
      </c>
      <c r="C5" s="58"/>
      <c r="D5" s="58"/>
      <c r="E5" s="65">
        <f>E4*1.075-E4</f>
        <v>24750</v>
      </c>
      <c r="F5" s="58"/>
    </row>
    <row r="6">
      <c r="A6" s="71"/>
      <c r="B6" s="72" t="s">
        <v>59</v>
      </c>
      <c r="C6" s="73"/>
      <c r="D6" s="74"/>
      <c r="E6" s="75">
        <f>sum(E4:E5)</f>
        <v>354750</v>
      </c>
      <c r="F6" s="58"/>
    </row>
    <row r="7">
      <c r="A7" s="59" t="s">
        <v>60</v>
      </c>
      <c r="B7" s="60" t="s">
        <v>61</v>
      </c>
      <c r="C7" s="61"/>
      <c r="D7" s="76"/>
      <c r="E7" s="77"/>
    </row>
    <row r="8">
      <c r="A8" s="63"/>
      <c r="B8" s="60" t="s">
        <v>67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62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65</v>
      </c>
      <c r="B10" s="60" t="s">
        <v>66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113</v>
      </c>
      <c r="C11" s="61"/>
      <c r="D11" s="83"/>
      <c r="E11" s="81">
        <f>V67</f>
        <v>0</v>
      </c>
    </row>
    <row r="12">
      <c r="A12" s="63"/>
      <c r="B12" s="67" t="s">
        <v>82</v>
      </c>
      <c r="C12" s="61"/>
      <c r="D12" s="83"/>
      <c r="E12" s="81">
        <f>R67</f>
        <v>0</v>
      </c>
    </row>
    <row r="13">
      <c r="A13" s="63"/>
      <c r="B13" s="60" t="s">
        <v>69</v>
      </c>
      <c r="C13" s="76"/>
      <c r="D13" s="76"/>
      <c r="E13" s="95">
        <v>0.0</v>
      </c>
    </row>
    <row r="14">
      <c r="A14" s="63"/>
      <c r="B14" s="60" t="s">
        <v>70</v>
      </c>
      <c r="C14" s="76"/>
      <c r="D14" s="76"/>
      <c r="E14" s="81">
        <f>C28</f>
        <v>0</v>
      </c>
    </row>
    <row r="15">
      <c r="A15" s="71"/>
      <c r="B15" s="72" t="s">
        <v>114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74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75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76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77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78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79</v>
      </c>
      <c r="C23" s="86">
        <f>O67</f>
        <v>8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80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81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82</v>
      </c>
      <c r="C26" s="86">
        <f>R67</f>
        <v>0</v>
      </c>
      <c r="D26" s="69"/>
    </row>
    <row r="27">
      <c r="A27" s="69"/>
      <c r="B27" s="52" t="s">
        <v>83</v>
      </c>
      <c r="C27" s="86">
        <f>F67</f>
        <v>0</v>
      </c>
      <c r="D27" s="69"/>
    </row>
    <row r="28">
      <c r="A28" s="69"/>
      <c r="B28" s="52" t="s">
        <v>84</v>
      </c>
      <c r="C28" s="86">
        <f>G67</f>
        <v>0</v>
      </c>
      <c r="D28" s="69"/>
    </row>
    <row r="29">
      <c r="A29" s="69"/>
      <c r="B29" s="52" t="s">
        <v>85</v>
      </c>
      <c r="C29" s="86">
        <f>I67</f>
        <v>0</v>
      </c>
      <c r="D29" s="69"/>
    </row>
    <row r="30">
      <c r="A30" s="69"/>
      <c r="B30" s="52" t="s">
        <v>115</v>
      </c>
      <c r="C30" s="86">
        <f>J67</f>
        <v>0</v>
      </c>
      <c r="D30" s="69"/>
    </row>
    <row r="31">
      <c r="A31" s="69"/>
      <c r="B31" s="52" t="s">
        <v>87</v>
      </c>
      <c r="C31" s="86">
        <f>L67</f>
        <v>12</v>
      </c>
      <c r="D31" s="69"/>
    </row>
    <row r="32">
      <c r="A32" s="69"/>
      <c r="B32" s="52" t="s">
        <v>88</v>
      </c>
      <c r="C32" s="86">
        <f>K67</f>
        <v>0</v>
      </c>
      <c r="D32" s="69"/>
    </row>
    <row r="33">
      <c r="A33" s="69"/>
      <c r="B33" s="52" t="s">
        <v>89</v>
      </c>
      <c r="C33" s="86">
        <v>0.0</v>
      </c>
      <c r="D33" s="69"/>
    </row>
    <row r="34">
      <c r="A34" s="69"/>
      <c r="B34" s="52" t="s">
        <v>90</v>
      </c>
      <c r="C34" s="86">
        <v>0.0</v>
      </c>
      <c r="D34" s="69"/>
    </row>
    <row r="36">
      <c r="A36" s="97"/>
    </row>
    <row r="37">
      <c r="A37" s="83"/>
      <c r="B37" s="98" t="s">
        <v>91</v>
      </c>
      <c r="C37" s="52" t="s">
        <v>92</v>
      </c>
      <c r="D37" s="52" t="s">
        <v>93</v>
      </c>
      <c r="E37" s="52" t="s">
        <v>94</v>
      </c>
      <c r="F37" s="54" t="s">
        <v>95</v>
      </c>
      <c r="G37" s="54" t="s">
        <v>96</v>
      </c>
      <c r="H37" s="54" t="s">
        <v>97</v>
      </c>
      <c r="I37" s="54" t="s">
        <v>98</v>
      </c>
      <c r="J37" s="54" t="s">
        <v>99</v>
      </c>
      <c r="K37" s="54" t="s">
        <v>100</v>
      </c>
      <c r="L37" s="54" t="s">
        <v>87</v>
      </c>
      <c r="M37" s="54" t="s">
        <v>89</v>
      </c>
      <c r="N37" s="54" t="s">
        <v>101</v>
      </c>
      <c r="O37" s="54" t="s">
        <v>79</v>
      </c>
      <c r="P37" s="54" t="s">
        <v>103</v>
      </c>
      <c r="Q37" s="54" t="s">
        <v>104</v>
      </c>
      <c r="R37" s="54" t="s">
        <v>105</v>
      </c>
      <c r="S37" s="54" t="s">
        <v>106</v>
      </c>
      <c r="T37" s="54" t="s">
        <v>78</v>
      </c>
      <c r="U37" s="54" t="s">
        <v>107</v>
      </c>
      <c r="V37" s="54" t="s">
        <v>108</v>
      </c>
      <c r="W37" s="54" t="s">
        <v>109</v>
      </c>
    </row>
    <row r="38">
      <c r="A38" s="99"/>
      <c r="B38" s="100" t="str">
        <f>'Internal Summary'!B40</f>
        <v>40g Respite Bitterleaf Tea Pouch Pack (10x)</v>
      </c>
      <c r="C38" s="53">
        <f>'Internal Summary'!C40</f>
        <v>30000</v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5.5</v>
      </c>
      <c r="M38" s="53">
        <f t="shared" ref="M38:M66" si="3">K38-L38</f>
        <v>-5.5</v>
      </c>
      <c r="N38" s="53">
        <f t="shared" ref="N38:N66" si="4">M38*C38</f>
        <v>-165000</v>
      </c>
      <c r="O38" s="53">
        <f>'Dala Sales &amp; Deliveries'!L2</f>
        <v>4.5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10</v>
      </c>
    </row>
    <row r="39">
      <c r="A39" s="99"/>
      <c r="B39" s="100" t="str">
        <f>'Internal Summary'!B41</f>
        <v>40g Respite Bitterleaf Tea Tin Pack (6x)</v>
      </c>
      <c r="C39" s="53">
        <f>'Internal Summary'!C41</f>
        <v>60000</v>
      </c>
      <c r="D39" s="53" t="str">
        <f>'Internal Summary'!D41</f>
        <v/>
      </c>
      <c r="E39" s="53" t="str">
        <f>'Internal Summary'!E41</f>
        <v/>
      </c>
      <c r="F39" s="103"/>
      <c r="G39" s="53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6.5</v>
      </c>
      <c r="M39" s="53">
        <f t="shared" si="3"/>
        <v>-6.5</v>
      </c>
      <c r="N39" s="53">
        <f t="shared" si="4"/>
        <v>-390000</v>
      </c>
      <c r="O39" s="53">
        <f>'Dala Sales &amp; Deliveries'!L3</f>
        <v>3.5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10</v>
      </c>
    </row>
    <row r="40">
      <c r="A40" s="99"/>
      <c r="B40" s="100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3"/>
      <c r="G40" s="53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99"/>
      <c r="B41" s="100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3"/>
      <c r="G41" s="53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99"/>
      <c r="B42" s="100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3"/>
      <c r="G42" s="53">
        <f t="shared" si="1"/>
        <v>0</v>
      </c>
      <c r="H42" s="103"/>
      <c r="I42" s="103"/>
      <c r="J42" s="103"/>
      <c r="K42" s="91"/>
      <c r="L42" s="102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99"/>
      <c r="B43" s="100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3"/>
      <c r="G43" s="53">
        <f t="shared" si="1"/>
        <v>0</v>
      </c>
      <c r="H43" s="103"/>
      <c r="I43" s="103"/>
      <c r="J43" s="103"/>
      <c r="K43" s="91"/>
      <c r="L43" s="10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99"/>
      <c r="B44" s="100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3"/>
      <c r="G44" s="53">
        <f t="shared" si="1"/>
        <v>0</v>
      </c>
      <c r="H44" s="103"/>
      <c r="I44" s="103"/>
      <c r="J44" s="103"/>
      <c r="K44" s="91"/>
      <c r="L44" s="102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99"/>
      <c r="B45" s="100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3"/>
      <c r="G45" s="53">
        <f t="shared" si="1"/>
        <v>0</v>
      </c>
      <c r="H45" s="103"/>
      <c r="I45" s="103"/>
      <c r="J45" s="103"/>
      <c r="K45" s="91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99"/>
      <c r="B46" s="100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3"/>
      <c r="G46" s="53">
        <f t="shared" si="1"/>
        <v>0</v>
      </c>
      <c r="H46" s="103"/>
      <c r="I46" s="103"/>
      <c r="J46" s="103"/>
      <c r="K46" s="91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99"/>
      <c r="B47" s="100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3"/>
      <c r="G47" s="53">
        <f t="shared" si="1"/>
        <v>0</v>
      </c>
      <c r="H47" s="103"/>
      <c r="I47" s="103"/>
      <c r="J47" s="103"/>
      <c r="K47" s="91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99"/>
      <c r="B48" s="100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3"/>
      <c r="G48" s="53">
        <f t="shared" si="1"/>
        <v>0</v>
      </c>
      <c r="H48" s="103"/>
      <c r="I48" s="103"/>
      <c r="J48" s="103"/>
      <c r="K48" s="91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99"/>
      <c r="B49" s="100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3"/>
      <c r="G49" s="53">
        <f t="shared" si="1"/>
        <v>0</v>
      </c>
      <c r="H49" s="103"/>
      <c r="I49" s="103"/>
      <c r="J49" s="103"/>
      <c r="K49" s="91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110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12</v>
      </c>
      <c r="M67" s="53">
        <f t="shared" si="9"/>
        <v>-12</v>
      </c>
      <c r="N67" s="53">
        <f t="shared" si="9"/>
        <v>-555000</v>
      </c>
      <c r="O67" s="53">
        <f t="shared" si="9"/>
        <v>8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20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