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<sst xmlns="http://schemas.openxmlformats.org/spreadsheetml/2006/main" count="378" uniqueCount="97">
  <si>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</si>
  <si>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</si>
  <si>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</si>
  <si>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</si>
  <si>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</si>
  <si>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</si>
  <si>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</si>
  <si>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</si>
  <si>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</si>
  <si>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</si>
  <si>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</si>
  <si>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</si>
  <si>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</si>
  <si>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</si>
  <si>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</si>
  <si>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</si>
  <si>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Pharm Affair</t>
  </si>
  <si>
    <t>Sales</t>
  </si>
  <si>
    <t>DT:002465</t>
  </si>
  <si>
    <t>100ml Coconut Oil (12x)</t>
  </si>
  <si>
    <t>Teewell Superstore</t>
  </si>
  <si>
    <t>DT:002467</t>
  </si>
  <si>
    <t>Moneyworth Supermarket</t>
  </si>
  <si>
    <t>DT:002482</t>
  </si>
  <si>
    <t>Priviledge Superstore</t>
  </si>
  <si>
    <t>DT:002514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</si>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</sst>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9-06T00:00:00Z"/>
        <d v="2025-09-10T00:00:00Z"/>
        <d v="2025-09-11T00:00:00Z"/>
        <m/>
      </sharedItems>
    </cacheField>
    <cacheField name="Particulars" numFmtId="0">
      <sharedItems containsBlank="1">
        <s v="Pharm Affair"/>
        <s v="Teewell Superstore"/>
        <s v="Moneyworth Supermarket"/>
        <s v="Priviledge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5"/>
        <s v="DT:002467"/>
        <s v="DT:002482"/>
        <s v="DT:002514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6800.0"/>
        <n v="15000.0"/>
        <m/>
      </sharedItems>
    </cacheField>
    <cacheField name="Total Value" numFmtId="4">
      <sharedItems containsString="0" containsBlank="1" containsNumber="1" containsInteger="1">
        <n v="318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9-06T00:00:00Z"/>
        <d v="2025-09-10T00:00:00Z"/>
        <d v="2025-09-11T00:00:00Z"/>
        <m/>
      </sharedItems>
    </cacheField>
    <cacheField name="Particulars" numFmtId="0">
      <sharedItems containsBlank="1">
        <s v="Pharm Affair"/>
        <s v="Teewell Superstore"/>
        <s v="Moneyworth Supermarket"/>
        <s v="Priviledge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5"/>
        <s v="DT:002467"/>
        <s v="DT:002482"/>
        <s v="DT:002514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68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</v>
      </c>
    </row>
    <row r="3">
      <c r="A3" s="13" t="s">
        <v>15</v>
      </c>
      <c r="B3" s="14">
        <v>45906.0</v>
      </c>
      <c r="C3" s="15" t="s">
        <v>16</v>
      </c>
      <c r="D3" s="15" t="s">
        <v>17</v>
      </c>
      <c r="E3" s="16" t="s">
        <v>18</v>
      </c>
      <c r="F3" s="16">
        <v>0.5</v>
      </c>
      <c r="G3" s="17">
        <v>16800.0</v>
      </c>
      <c r="I3" s="13" t="s">
        <v>15</v>
      </c>
      <c r="J3" s="14">
        <v>45906.0</v>
      </c>
      <c r="K3" s="15" t="s">
        <v>16</v>
      </c>
      <c r="L3" s="15" t="s">
        <v>17</v>
      </c>
      <c r="M3" s="16" t="s">
        <v>18</v>
      </c>
      <c r="N3" s="16">
        <v>0.5</v>
      </c>
      <c r="O3" s="17">
        <v>16800.0</v>
      </c>
      <c r="P3" s="7">
        <f t="shared" ref="P3:P88" si="1">sumif(M:M,M3,O:O)</f>
        <v>31800</v>
      </c>
      <c r="R3" s="18"/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24"/>
      <c r="AI3" s="25"/>
      <c r="AJ3" s="24"/>
      <c r="AK3" s="24"/>
      <c r="AL3" s="26"/>
      <c r="AM3" s="26"/>
      <c r="AN3" s="27"/>
      <c r="AP3" s="28"/>
      <c r="AQ3" s="29"/>
      <c r="AR3" s="24"/>
      <c r="AS3" s="24"/>
      <c r="AT3" s="30"/>
      <c r="AU3" s="30"/>
      <c r="AV3" s="27"/>
    </row>
    <row r="4" ht="17.25" customHeight="1">
      <c r="A4" s="13" t="s">
        <v>19</v>
      </c>
      <c r="B4" s="14">
        <v>45906.0</v>
      </c>
      <c r="C4" s="15" t="s">
        <v>16</v>
      </c>
      <c r="D4" s="15" t="s">
        <v>17</v>
      </c>
      <c r="E4" s="16" t="s">
        <v>18</v>
      </c>
      <c r="F4" s="16">
        <v>0.5</v>
      </c>
      <c r="G4" s="17">
        <v>15000.0</v>
      </c>
      <c r="I4" s="13" t="s">
        <v>19</v>
      </c>
      <c r="J4" s="14">
        <v>45906.0</v>
      </c>
      <c r="K4" s="15" t="s">
        <v>16</v>
      </c>
      <c r="L4" s="15" t="s">
        <v>17</v>
      </c>
      <c r="M4" s="16" t="s">
        <v>18</v>
      </c>
      <c r="N4" s="16">
        <v>0.5</v>
      </c>
      <c r="O4" s="17">
        <v>15000.0</v>
      </c>
      <c r="P4" s="7">
        <f t="shared" si="1"/>
        <v>31800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24"/>
      <c r="AI4" s="25"/>
      <c r="AJ4" s="24"/>
      <c r="AK4" s="24"/>
      <c r="AL4" s="26"/>
      <c r="AM4" s="26"/>
      <c r="AN4" s="27"/>
      <c r="AP4" s="28"/>
      <c r="AQ4" s="29"/>
      <c r="AR4" s="24"/>
      <c r="AS4" s="24"/>
      <c r="AT4" s="30"/>
      <c r="AU4" s="30"/>
      <c r="AV4" s="27"/>
    </row>
    <row r="5">
      <c r="A5" s="13" t="s">
        <v>15</v>
      </c>
      <c r="B5" s="14">
        <v>45906.0</v>
      </c>
      <c r="C5" s="15" t="s">
        <v>20</v>
      </c>
      <c r="D5" s="15" t="s">
        <v>17</v>
      </c>
      <c r="E5" s="16" t="s">
        <v>21</v>
      </c>
      <c r="F5" s="16">
        <v>0.5</v>
      </c>
      <c r="G5" s="17">
        <v>16800.0</v>
      </c>
      <c r="I5" s="13" t="s">
        <v>15</v>
      </c>
      <c r="J5" s="14">
        <v>45906.0</v>
      </c>
      <c r="K5" s="15" t="s">
        <v>20</v>
      </c>
      <c r="L5" s="15" t="s">
        <v>17</v>
      </c>
      <c r="M5" s="16" t="s">
        <v>21</v>
      </c>
      <c r="N5" s="16">
        <v>0.5</v>
      </c>
      <c r="O5" s="17">
        <v>16800.0</v>
      </c>
      <c r="P5" s="7">
        <f t="shared" si="1"/>
        <v>31800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28"/>
      <c r="AQ5" s="29"/>
      <c r="AR5" s="24"/>
      <c r="AS5" s="24"/>
      <c r="AT5" s="30"/>
      <c r="AU5" s="30"/>
      <c r="AV5" s="27"/>
    </row>
    <row r="6">
      <c r="A6" s="13" t="s">
        <v>19</v>
      </c>
      <c r="B6" s="14">
        <v>45906.0</v>
      </c>
      <c r="C6" s="15" t="s">
        <v>20</v>
      </c>
      <c r="D6" s="15" t="s">
        <v>17</v>
      </c>
      <c r="E6" s="16" t="s">
        <v>21</v>
      </c>
      <c r="F6" s="16">
        <v>0.5</v>
      </c>
      <c r="G6" s="17">
        <v>15000.0</v>
      </c>
      <c r="I6" s="13" t="s">
        <v>19</v>
      </c>
      <c r="J6" s="14">
        <v>45906.0</v>
      </c>
      <c r="K6" s="15" t="s">
        <v>20</v>
      </c>
      <c r="L6" s="15" t="s">
        <v>17</v>
      </c>
      <c r="M6" s="16" t="s">
        <v>21</v>
      </c>
      <c r="N6" s="16">
        <v>0.5</v>
      </c>
      <c r="O6" s="17">
        <v>15000.0</v>
      </c>
      <c r="P6" s="7">
        <f t="shared" si="1"/>
        <v>31800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28"/>
      <c r="AQ6" s="29"/>
      <c r="AR6" s="24"/>
      <c r="AS6" s="24"/>
      <c r="AT6" s="30"/>
      <c r="AU6" s="30"/>
      <c r="AV6" s="27"/>
    </row>
    <row r="7">
      <c r="A7" s="13" t="s">
        <v>15</v>
      </c>
      <c r="B7" s="14">
        <v>45910.0</v>
      </c>
      <c r="C7" s="15" t="s">
        <v>22</v>
      </c>
      <c r="D7" s="15" t="s">
        <v>17</v>
      </c>
      <c r="E7" s="16" t="s">
        <v>23</v>
      </c>
      <c r="F7" s="16">
        <v>0.5</v>
      </c>
      <c r="G7" s="17">
        <v>16800.0</v>
      </c>
      <c r="I7" s="13" t="s">
        <v>15</v>
      </c>
      <c r="J7" s="14">
        <v>45910.0</v>
      </c>
      <c r="K7" s="15" t="s">
        <v>22</v>
      </c>
      <c r="L7" s="15" t="s">
        <v>17</v>
      </c>
      <c r="M7" s="16" t="s">
        <v>23</v>
      </c>
      <c r="N7" s="16">
        <v>0.5</v>
      </c>
      <c r="O7" s="17">
        <v>16800.0</v>
      </c>
      <c r="P7" s="7">
        <f t="shared" si="1"/>
        <v>31800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28"/>
      <c r="AQ7" s="29"/>
      <c r="AR7" s="24"/>
      <c r="AS7" s="24"/>
      <c r="AT7" s="30"/>
      <c r="AU7" s="30"/>
      <c r="AV7" s="27"/>
    </row>
    <row r="8">
      <c r="A8" s="13" t="s">
        <v>19</v>
      </c>
      <c r="B8" s="14">
        <v>45910.0</v>
      </c>
      <c r="C8" s="15" t="s">
        <v>22</v>
      </c>
      <c r="D8" s="15" t="s">
        <v>17</v>
      </c>
      <c r="E8" s="16" t="s">
        <v>23</v>
      </c>
      <c r="F8" s="16">
        <v>0.5</v>
      </c>
      <c r="G8" s="17">
        <v>15000.0</v>
      </c>
      <c r="I8" s="13" t="s">
        <v>19</v>
      </c>
      <c r="J8" s="14">
        <v>45910.0</v>
      </c>
      <c r="K8" s="15" t="s">
        <v>22</v>
      </c>
      <c r="L8" s="15" t="s">
        <v>17</v>
      </c>
      <c r="M8" s="16" t="s">
        <v>23</v>
      </c>
      <c r="N8" s="16">
        <v>0.5</v>
      </c>
      <c r="O8" s="17">
        <v>15000.0</v>
      </c>
      <c r="P8" s="7">
        <f t="shared" si="1"/>
        <v>31800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28"/>
      <c r="AQ8" s="29"/>
      <c r="AR8" s="24"/>
      <c r="AS8" s="24"/>
      <c r="AT8" s="30"/>
      <c r="AU8" s="30"/>
      <c r="AV8" s="27"/>
    </row>
    <row r="9">
      <c r="A9" s="28" t="s">
        <v>15</v>
      </c>
      <c r="B9" s="29">
        <v>45911.0</v>
      </c>
      <c r="C9" s="24" t="s">
        <v>24</v>
      </c>
      <c r="D9" s="24" t="s">
        <v>17</v>
      </c>
      <c r="E9" s="30" t="s">
        <v>25</v>
      </c>
      <c r="F9" s="30">
        <v>0.5</v>
      </c>
      <c r="G9" s="27">
        <v>16800.0</v>
      </c>
      <c r="I9" s="28" t="s">
        <v>15</v>
      </c>
      <c r="J9" s="29">
        <v>45911.0</v>
      </c>
      <c r="K9" s="24" t="s">
        <v>24</v>
      </c>
      <c r="L9" s="24" t="s">
        <v>17</v>
      </c>
      <c r="M9" s="30" t="s">
        <v>25</v>
      </c>
      <c r="N9" s="30">
        <v>0.5</v>
      </c>
      <c r="O9" s="27">
        <v>16800.0</v>
      </c>
      <c r="P9" s="7">
        <f t="shared" si="1"/>
        <v>31800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28"/>
      <c r="AQ9" s="29"/>
      <c r="AR9" s="24"/>
      <c r="AS9" s="24"/>
      <c r="AT9" s="30"/>
      <c r="AU9" s="30"/>
      <c r="AV9" s="27"/>
    </row>
    <row r="10">
      <c r="A10" s="28" t="s">
        <v>19</v>
      </c>
      <c r="B10" s="29">
        <v>45911.0</v>
      </c>
      <c r="C10" s="24" t="s">
        <v>24</v>
      </c>
      <c r="D10" s="24" t="s">
        <v>17</v>
      </c>
      <c r="E10" s="30" t="s">
        <v>25</v>
      </c>
      <c r="F10" s="30">
        <v>0.5</v>
      </c>
      <c r="G10" s="27">
        <v>15000.0</v>
      </c>
      <c r="I10" s="28" t="s">
        <v>19</v>
      </c>
      <c r="J10" s="29">
        <v>45911.0</v>
      </c>
      <c r="K10" s="24" t="s">
        <v>24</v>
      </c>
      <c r="L10" s="24" t="s">
        <v>17</v>
      </c>
      <c r="M10" s="30" t="s">
        <v>25</v>
      </c>
      <c r="N10" s="30">
        <v>0.5</v>
      </c>
      <c r="O10" s="27">
        <v>15000.0</v>
      </c>
      <c r="P10" s="7">
        <f t="shared" si="1"/>
        <v>31800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28"/>
      <c r="AQ10" s="29"/>
      <c r="AR10" s="24"/>
      <c r="AS10" s="24"/>
      <c r="AT10" s="30"/>
      <c r="AU10" s="30"/>
      <c r="AV10" s="27"/>
    </row>
    <row r="11">
      <c r="A11" s="28"/>
      <c r="B11" s="29"/>
      <c r="C11" s="24"/>
      <c r="D11" s="24"/>
      <c r="E11" s="30"/>
      <c r="F11" s="30"/>
      <c r="G11" s="27"/>
      <c r="I11" s="28"/>
      <c r="J11" s="29"/>
      <c r="K11" s="24"/>
      <c r="L11" s="24"/>
      <c r="M11" s="30"/>
      <c r="N11" s="30"/>
      <c r="O11" s="27"/>
      <c r="P11" s="7">
        <f t="shared" si="1"/>
        <v>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28"/>
      <c r="AQ11" s="29"/>
      <c r="AR11" s="24"/>
      <c r="AS11" s="24"/>
      <c r="AT11" s="30"/>
      <c r="AU11" s="30"/>
      <c r="AV11" s="27"/>
    </row>
    <row r="12">
      <c r="A12" s="28"/>
      <c r="B12" s="29"/>
      <c r="C12" s="24"/>
      <c r="D12" s="24"/>
      <c r="E12" s="30"/>
      <c r="F12" s="30"/>
      <c r="G12" s="27"/>
      <c r="I12" s="28"/>
      <c r="J12" s="29"/>
      <c r="K12" s="24"/>
      <c r="L12" s="24"/>
      <c r="M12" s="30"/>
      <c r="N12" s="30"/>
      <c r="O12" s="27"/>
      <c r="P12" s="7">
        <f t="shared" si="1"/>
        <v>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28"/>
      <c r="AQ12" s="29"/>
      <c r="AR12" s="24"/>
      <c r="AS12" s="24"/>
      <c r="AT12" s="30"/>
      <c r="AU12" s="30"/>
      <c r="AV12" s="27"/>
    </row>
    <row r="13">
      <c r="A13" s="28"/>
      <c r="B13" s="29"/>
      <c r="C13" s="24"/>
      <c r="D13" s="24"/>
      <c r="E13" s="30"/>
      <c r="F13" s="30"/>
      <c r="G13" s="27"/>
      <c r="I13" s="28"/>
      <c r="J13" s="29"/>
      <c r="K13" s="32"/>
      <c r="L13" s="24"/>
      <c r="M13" s="30"/>
      <c r="N13" s="30"/>
      <c r="O13" s="27"/>
      <c r="P13" s="7">
        <f t="shared" si="1"/>
        <v>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28"/>
      <c r="AQ13" s="29"/>
      <c r="AR13" s="24"/>
      <c r="AS13" s="24"/>
      <c r="AT13" s="30"/>
      <c r="AU13" s="30"/>
      <c r="AV13" s="27"/>
    </row>
    <row r="14">
      <c r="A14" s="28"/>
      <c r="B14" s="29"/>
      <c r="C14" s="24"/>
      <c r="D14" s="24"/>
      <c r="E14" s="30"/>
      <c r="F14" s="30"/>
      <c r="G14" s="27"/>
      <c r="I14" s="28"/>
      <c r="J14" s="29"/>
      <c r="K14" s="24"/>
      <c r="L14" s="24"/>
      <c r="M14" s="30"/>
      <c r="N14" s="30"/>
      <c r="O14" s="27"/>
      <c r="P14" s="7">
        <f t="shared" si="1"/>
        <v>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8"/>
      <c r="AQ14" s="29"/>
      <c r="AR14" s="24"/>
      <c r="AS14" s="24"/>
      <c r="AT14" s="30"/>
      <c r="AU14" s="30"/>
      <c r="AV14" s="27"/>
    </row>
    <row r="15">
      <c r="A15" s="28"/>
      <c r="B15" s="29"/>
      <c r="C15" s="24"/>
      <c r="D15" s="24"/>
      <c r="E15" s="30"/>
      <c r="F15" s="30"/>
      <c r="G15" s="27"/>
      <c r="I15" s="28"/>
      <c r="J15" s="29"/>
      <c r="K15" s="32"/>
      <c r="L15" s="24"/>
      <c r="M15" s="30"/>
      <c r="N15" s="30"/>
      <c r="O15" s="27"/>
      <c r="P15" s="7">
        <f t="shared" si="1"/>
        <v>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8"/>
      <c r="AQ15" s="29"/>
      <c r="AR15" s="24"/>
      <c r="AS15" s="24"/>
      <c r="AT15" s="30"/>
      <c r="AU15" s="30"/>
      <c r="AV15" s="27"/>
    </row>
    <row r="16">
      <c r="A16" s="28"/>
      <c r="B16" s="29"/>
      <c r="C16" s="24"/>
      <c r="D16" s="24"/>
      <c r="E16" s="30"/>
      <c r="F16" s="30"/>
      <c r="G16" s="27"/>
      <c r="I16" s="28"/>
      <c r="J16" s="29"/>
      <c r="K16" s="32"/>
      <c r="L16" s="24"/>
      <c r="M16" s="30"/>
      <c r="N16" s="30"/>
      <c r="O16" s="27"/>
      <c r="P16" s="7">
        <f t="shared" si="1"/>
        <v>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8"/>
      <c r="AQ16" s="29"/>
      <c r="AR16" s="24"/>
      <c r="AS16" s="24"/>
      <c r="AT16" s="30"/>
      <c r="AU16" s="30"/>
      <c r="AV16" s="27"/>
    </row>
    <row r="17">
      <c r="A17" s="28"/>
      <c r="B17" s="29"/>
      <c r="C17" s="24"/>
      <c r="D17" s="24"/>
      <c r="E17" s="30"/>
      <c r="F17" s="30"/>
      <c r="G17" s="27"/>
      <c r="I17" s="28"/>
      <c r="J17" s="29"/>
      <c r="K17" s="32"/>
      <c r="L17" s="24"/>
      <c r="M17" s="30"/>
      <c r="N17" s="30"/>
      <c r="O17" s="27"/>
      <c r="P17" s="7">
        <f t="shared" si="1"/>
        <v>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8"/>
      <c r="AQ17" s="29"/>
      <c r="AR17" s="24"/>
      <c r="AS17" s="24"/>
      <c r="AT17" s="30"/>
      <c r="AU17" s="30"/>
      <c r="AV17" s="27"/>
    </row>
    <row r="18">
      <c r="A18" s="28"/>
      <c r="B18" s="29"/>
      <c r="C18" s="24"/>
      <c r="D18" s="24"/>
      <c r="E18" s="30"/>
      <c r="F18" s="30"/>
      <c r="G18" s="27"/>
      <c r="I18" s="28"/>
      <c r="J18" s="29"/>
      <c r="K18" s="32"/>
      <c r="L18" s="24"/>
      <c r="M18" s="30"/>
      <c r="N18" s="30"/>
      <c r="O18" s="27"/>
      <c r="P18" s="7">
        <f t="shared" si="1"/>
        <v>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8"/>
      <c r="AQ18" s="29"/>
      <c r="AR18" s="24"/>
      <c r="AS18" s="24"/>
      <c r="AT18" s="30"/>
      <c r="AU18" s="30"/>
      <c r="AV18" s="27"/>
    </row>
    <row r="19">
      <c r="A19" s="28"/>
      <c r="B19" s="29"/>
      <c r="C19" s="24"/>
      <c r="D19" s="24"/>
      <c r="E19" s="30"/>
      <c r="F19" s="30"/>
      <c r="G19" s="27"/>
      <c r="I19" s="28"/>
      <c r="J19" s="29"/>
      <c r="K19" s="32"/>
      <c r="L19" s="24"/>
      <c r="M19" s="30"/>
      <c r="N19" s="30"/>
      <c r="O19" s="27"/>
      <c r="P19" s="7">
        <f t="shared" si="1"/>
        <v>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8"/>
      <c r="AQ19" s="29"/>
      <c r="AR19" s="24"/>
      <c r="AS19" s="24"/>
      <c r="AT19" s="30"/>
      <c r="AU19" s="30"/>
      <c r="AV19" s="27"/>
    </row>
    <row r="20">
      <c r="A20" s="28"/>
      <c r="B20" s="29"/>
      <c r="C20" s="24"/>
      <c r="D20" s="24"/>
      <c r="E20" s="30"/>
      <c r="F20" s="30"/>
      <c r="G20" s="27"/>
      <c r="I20" s="28"/>
      <c r="J20" s="29"/>
      <c r="K20" s="32"/>
      <c r="L20" s="24"/>
      <c r="M20" s="30"/>
      <c r="N20" s="30"/>
      <c r="O20" s="27"/>
      <c r="P20" s="7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8"/>
      <c r="AQ20" s="29"/>
      <c r="AR20" s="24"/>
      <c r="AS20" s="24"/>
      <c r="AT20" s="30"/>
      <c r="AU20" s="30"/>
      <c r="AV20" s="27"/>
    </row>
    <row r="21">
      <c r="A21" s="28"/>
      <c r="B21" s="29"/>
      <c r="C21" s="24"/>
      <c r="D21" s="24"/>
      <c r="E21" s="30"/>
      <c r="F21" s="30"/>
      <c r="G21" s="27"/>
      <c r="I21" s="28"/>
      <c r="J21" s="29"/>
      <c r="K21" s="32"/>
      <c r="L21" s="24"/>
      <c r="M21" s="30"/>
      <c r="N21" s="30"/>
      <c r="O21" s="27"/>
      <c r="P21" s="7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8"/>
      <c r="AQ21" s="29"/>
      <c r="AR21" s="24"/>
      <c r="AS21" s="24"/>
      <c r="AT21" s="30"/>
      <c r="AU21" s="30"/>
      <c r="AV21" s="27"/>
    </row>
    <row r="22">
      <c r="A22" s="28"/>
      <c r="B22" s="29"/>
      <c r="C22" s="24"/>
      <c r="D22" s="24"/>
      <c r="E22" s="30"/>
      <c r="F22" s="30"/>
      <c r="G22" s="27"/>
      <c r="I22" s="28"/>
      <c r="J22" s="29"/>
      <c r="K22" s="32"/>
      <c r="L22" s="24"/>
      <c r="M22" s="30"/>
      <c r="N22" s="30"/>
      <c r="O22" s="27"/>
      <c r="P22" s="7">
        <f t="shared" si="1"/>
        <v>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8"/>
      <c r="AQ22" s="29"/>
      <c r="AR22" s="24"/>
      <c r="AS22" s="24"/>
      <c r="AT22" s="30"/>
      <c r="AU22" s="30"/>
      <c r="AV22" s="27"/>
    </row>
    <row r="23">
      <c r="A23" s="28"/>
      <c r="B23" s="29"/>
      <c r="C23" s="24"/>
      <c r="D23" s="24"/>
      <c r="E23" s="30"/>
      <c r="F23" s="30"/>
      <c r="G23" s="27"/>
      <c r="I23" s="28"/>
      <c r="J23" s="29"/>
      <c r="K23" s="32"/>
      <c r="L23" s="24"/>
      <c r="M23" s="30"/>
      <c r="N23" s="30"/>
      <c r="O23" s="27"/>
      <c r="P23" s="7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8"/>
      <c r="AQ23" s="29"/>
      <c r="AR23" s="24"/>
      <c r="AS23" s="24"/>
      <c r="AT23" s="30"/>
      <c r="AU23" s="30"/>
      <c r="AV23" s="27"/>
    </row>
    <row r="24">
      <c r="A24" s="28"/>
      <c r="B24" s="29"/>
      <c r="C24" s="24"/>
      <c r="D24" s="24"/>
      <c r="E24" s="30"/>
      <c r="F24" s="30"/>
      <c r="G24" s="27"/>
      <c r="I24" s="28"/>
      <c r="J24" s="29"/>
      <c r="K24" s="32"/>
      <c r="L24" s="24"/>
      <c r="M24" s="30"/>
      <c r="N24" s="30"/>
      <c r="O24" s="27"/>
      <c r="P24" s="7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8"/>
      <c r="AQ24" s="29"/>
      <c r="AR24" s="24"/>
      <c r="AS24" s="24"/>
      <c r="AT24" s="30"/>
      <c r="AU24" s="30"/>
      <c r="AV24" s="27"/>
    </row>
    <row r="25">
      <c r="A25" s="28"/>
      <c r="B25" s="29"/>
      <c r="C25" s="24"/>
      <c r="D25" s="24"/>
      <c r="E25" s="30"/>
      <c r="F25" s="30"/>
      <c r="G25" s="27"/>
      <c r="I25" s="28"/>
      <c r="J25" s="29"/>
      <c r="K25" s="32"/>
      <c r="L25" s="24"/>
      <c r="M25" s="30"/>
      <c r="N25" s="30"/>
      <c r="O25" s="27"/>
      <c r="P25" s="7">
        <f t="shared" si="1"/>
        <v>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8"/>
      <c r="AQ25" s="29"/>
      <c r="AR25" s="24"/>
      <c r="AS25" s="24"/>
      <c r="AT25" s="30"/>
      <c r="AU25" s="30"/>
      <c r="AV25" s="27"/>
    </row>
    <row r="26">
      <c r="A26" s="28"/>
      <c r="B26" s="29"/>
      <c r="C26" s="24"/>
      <c r="D26" s="24"/>
      <c r="E26" s="30"/>
      <c r="F26" s="30"/>
      <c r="G26" s="27"/>
      <c r="I26" s="28"/>
      <c r="J26" s="29"/>
      <c r="K26" s="32"/>
      <c r="L26" s="24"/>
      <c r="M26" s="30"/>
      <c r="N26" s="30"/>
      <c r="O26" s="27"/>
      <c r="P26" s="7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8"/>
      <c r="AQ26" s="29"/>
      <c r="AR26" s="24"/>
      <c r="AS26" s="24"/>
      <c r="AT26" s="30"/>
      <c r="AU26" s="30"/>
      <c r="AV26" s="27"/>
    </row>
    <row r="27">
      <c r="A27" s="28"/>
      <c r="B27" s="29"/>
      <c r="C27" s="24"/>
      <c r="D27" s="24"/>
      <c r="E27" s="30"/>
      <c r="F27" s="30"/>
      <c r="G27" s="27"/>
      <c r="I27" s="28"/>
      <c r="J27" s="29"/>
      <c r="K27" s="32"/>
      <c r="L27" s="24"/>
      <c r="M27" s="30"/>
      <c r="N27" s="30"/>
      <c r="O27" s="27"/>
      <c r="P27" s="7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8"/>
      <c r="AQ27" s="29"/>
      <c r="AR27" s="24"/>
      <c r="AS27" s="24"/>
      <c r="AT27" s="30"/>
      <c r="AU27" s="30"/>
      <c r="AV27" s="27"/>
    </row>
    <row r="28">
      <c r="A28" s="28"/>
      <c r="B28" s="29"/>
      <c r="C28" s="32"/>
      <c r="D28" s="24"/>
      <c r="E28" s="30"/>
      <c r="F28" s="30"/>
      <c r="G28" s="27"/>
      <c r="I28" s="28"/>
      <c r="J28" s="29"/>
      <c r="K28" s="24"/>
      <c r="L28" s="24"/>
      <c r="M28" s="30"/>
      <c r="N28" s="30"/>
      <c r="O28" s="27"/>
      <c r="P28" s="7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8"/>
      <c r="AQ28" s="29"/>
      <c r="AR28" s="24"/>
      <c r="AS28" s="24"/>
      <c r="AT28" s="30"/>
      <c r="AU28" s="30"/>
      <c r="AV28" s="27"/>
    </row>
    <row r="29">
      <c r="A29" s="28"/>
      <c r="B29" s="29"/>
      <c r="C29" s="32"/>
      <c r="D29" s="24"/>
      <c r="E29" s="30"/>
      <c r="F29" s="30"/>
      <c r="G29" s="27"/>
      <c r="I29" s="28"/>
      <c r="J29" s="29"/>
      <c r="K29" s="24"/>
      <c r="L29" s="24"/>
      <c r="M29" s="30"/>
      <c r="N29" s="30"/>
      <c r="O29" s="27"/>
      <c r="P29" s="7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8"/>
      <c r="AQ29" s="29"/>
      <c r="AR29" s="24"/>
      <c r="AS29" s="24"/>
      <c r="AT29" s="30"/>
      <c r="AU29" s="30"/>
      <c r="AV29" s="27"/>
    </row>
    <row r="30">
      <c r="A30" s="28"/>
      <c r="B30" s="29"/>
      <c r="C30" s="32"/>
      <c r="D30" s="24"/>
      <c r="E30" s="30"/>
      <c r="F30" s="30"/>
      <c r="G30" s="27"/>
      <c r="I30" s="28"/>
      <c r="J30" s="29"/>
      <c r="K30" s="24"/>
      <c r="L30" s="24"/>
      <c r="M30" s="30"/>
      <c r="N30" s="30"/>
      <c r="O30" s="27"/>
      <c r="P30" s="7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8"/>
      <c r="AQ30" s="29"/>
      <c r="AR30" s="24"/>
      <c r="AS30" s="24"/>
      <c r="AT30" s="30"/>
      <c r="AU30" s="30"/>
      <c r="AV30" s="27"/>
    </row>
    <row r="31">
      <c r="A31" s="28"/>
      <c r="B31" s="29"/>
      <c r="C31" s="32"/>
      <c r="D31" s="24"/>
      <c r="E31" s="30"/>
      <c r="F31" s="30"/>
      <c r="G31" s="27"/>
      <c r="I31" s="28"/>
      <c r="J31" s="29"/>
      <c r="K31" s="24"/>
      <c r="L31" s="24"/>
      <c r="M31" s="30"/>
      <c r="N31" s="30"/>
      <c r="O31" s="27"/>
      <c r="P31" s="7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8"/>
      <c r="AQ31" s="29"/>
      <c r="AR31" s="24"/>
      <c r="AS31" s="24"/>
      <c r="AT31" s="30"/>
      <c r="AU31" s="30"/>
      <c r="AV31" s="27"/>
    </row>
    <row r="32">
      <c r="A32" s="28"/>
      <c r="B32" s="29"/>
      <c r="C32" s="24"/>
      <c r="D32" s="24"/>
      <c r="E32" s="30"/>
      <c r="F32" s="30"/>
      <c r="G32" s="27"/>
      <c r="I32" s="28"/>
      <c r="J32" s="29"/>
      <c r="K32" s="24"/>
      <c r="L32" s="24"/>
      <c r="M32" s="30"/>
      <c r="N32" s="30"/>
      <c r="O32" s="27"/>
      <c r="P32" s="7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8"/>
      <c r="AQ32" s="29"/>
      <c r="AR32" s="24"/>
      <c r="AS32" s="24"/>
      <c r="AT32" s="30"/>
      <c r="AU32" s="30"/>
      <c r="AV32" s="27"/>
    </row>
    <row r="33">
      <c r="A33" s="28"/>
      <c r="B33" s="29"/>
      <c r="C33" s="24"/>
      <c r="D33" s="24"/>
      <c r="E33" s="30"/>
      <c r="F33" s="30"/>
      <c r="G33" s="27"/>
      <c r="I33" s="28"/>
      <c r="J33" s="29"/>
      <c r="K33" s="24"/>
      <c r="L33" s="24"/>
      <c r="M33" s="30"/>
      <c r="N33" s="30"/>
      <c r="O33" s="27"/>
      <c r="P33" s="7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8"/>
      <c r="AQ33" s="29"/>
      <c r="AR33" s="24"/>
      <c r="AS33" s="24"/>
      <c r="AT33" s="30"/>
      <c r="AU33" s="30"/>
      <c r="AV33" s="27"/>
    </row>
    <row r="34">
      <c r="A34" s="28"/>
      <c r="B34" s="29"/>
      <c r="C34" s="32"/>
      <c r="D34" s="24"/>
      <c r="E34" s="30"/>
      <c r="F34" s="30"/>
      <c r="G34" s="27"/>
      <c r="I34" s="28"/>
      <c r="J34" s="29"/>
      <c r="K34" s="32"/>
      <c r="L34" s="24"/>
      <c r="M34" s="30"/>
      <c r="N34" s="30"/>
      <c r="O34" s="27"/>
      <c r="P34" s="7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8"/>
      <c r="AQ34" s="29"/>
      <c r="AR34" s="24"/>
      <c r="AS34" s="24"/>
      <c r="AT34" s="30"/>
      <c r="AU34" s="30"/>
      <c r="AV34" s="27"/>
    </row>
    <row r="35">
      <c r="A35" s="28"/>
      <c r="B35" s="29"/>
      <c r="C35" s="32"/>
      <c r="D35" s="24"/>
      <c r="E35" s="30"/>
      <c r="F35" s="30"/>
      <c r="G35" s="27"/>
      <c r="I35" s="28"/>
      <c r="J35" s="29"/>
      <c r="K35" s="32"/>
      <c r="L35" s="24"/>
      <c r="M35" s="30"/>
      <c r="N35" s="30"/>
      <c r="O35" s="27"/>
      <c r="P35" s="7">
        <f t="shared" si="1"/>
        <v>0</v>
      </c>
      <c r="R35" s="18"/>
      <c r="S35" s="19"/>
      <c r="T35" s="20"/>
      <c r="U35" s="20"/>
      <c r="V35" s="2"/>
      <c r="W35" s="21"/>
      <c r="X35" s="22"/>
      <c r="AP35" s="28"/>
      <c r="AQ35" s="29"/>
      <c r="AR35" s="24"/>
      <c r="AS35" s="24"/>
      <c r="AT35" s="30"/>
      <c r="AU35" s="30"/>
      <c r="AV35" s="27"/>
    </row>
    <row r="36">
      <c r="A36" s="28"/>
      <c r="B36" s="29"/>
      <c r="C36" s="32"/>
      <c r="D36" s="24"/>
      <c r="E36" s="30"/>
      <c r="F36" s="30"/>
      <c r="G36" s="27"/>
      <c r="I36" s="28"/>
      <c r="J36" s="29"/>
      <c r="K36" s="32"/>
      <c r="L36" s="24"/>
      <c r="M36" s="30"/>
      <c r="N36" s="30"/>
      <c r="O36" s="27"/>
      <c r="P36" s="7">
        <f t="shared" si="1"/>
        <v>0</v>
      </c>
      <c r="R36" s="18"/>
      <c r="S36" s="19"/>
      <c r="T36" s="20"/>
      <c r="U36" s="20"/>
      <c r="V36" s="2"/>
      <c r="W36" s="21"/>
      <c r="X36" s="33"/>
      <c r="AP36" s="28"/>
      <c r="AQ36" s="29"/>
      <c r="AR36" s="24"/>
      <c r="AS36" s="24"/>
      <c r="AT36" s="30"/>
      <c r="AU36" s="30"/>
      <c r="AV36" s="27"/>
    </row>
    <row r="37">
      <c r="A37" s="28"/>
      <c r="B37" s="29"/>
      <c r="C37" s="32"/>
      <c r="D37" s="24"/>
      <c r="E37" s="30"/>
      <c r="F37" s="30"/>
      <c r="G37" s="27"/>
      <c r="I37" s="28"/>
      <c r="J37" s="29"/>
      <c r="K37" s="32"/>
      <c r="L37" s="24"/>
      <c r="M37" s="30"/>
      <c r="N37" s="30"/>
      <c r="O37" s="27"/>
      <c r="P37" s="7">
        <f t="shared" si="1"/>
        <v>0</v>
      </c>
      <c r="R37" s="18"/>
      <c r="S37" s="19"/>
      <c r="T37" s="31"/>
      <c r="U37" s="20"/>
      <c r="V37" s="2"/>
      <c r="W37" s="21"/>
      <c r="X37" s="33"/>
      <c r="AP37" s="34"/>
      <c r="AQ37" s="35"/>
      <c r="AR37" s="36"/>
      <c r="AS37" s="36"/>
      <c r="AT37" s="37"/>
      <c r="AU37" s="37"/>
      <c r="AV37" s="38"/>
    </row>
    <row r="38">
      <c r="A38" s="28"/>
      <c r="B38" s="29"/>
      <c r="C38" s="32"/>
      <c r="D38" s="24"/>
      <c r="E38" s="30"/>
      <c r="F38" s="30"/>
      <c r="G38" s="27"/>
      <c r="I38" s="28"/>
      <c r="J38" s="29"/>
      <c r="K38" s="32"/>
      <c r="L38" s="24"/>
      <c r="M38" s="30"/>
      <c r="N38" s="30"/>
      <c r="O38" s="27"/>
      <c r="P38" s="7">
        <f t="shared" si="1"/>
        <v>0</v>
      </c>
      <c r="R38" s="18"/>
      <c r="S38" s="19"/>
      <c r="T38" s="20"/>
      <c r="U38" s="20"/>
      <c r="V38" s="2"/>
      <c r="W38" s="21"/>
      <c r="X38" s="33"/>
      <c r="AP38" s="18"/>
      <c r="AQ38" s="19"/>
      <c r="AR38" s="20"/>
      <c r="AS38" s="20"/>
      <c r="AT38" s="2"/>
      <c r="AU38" s="21"/>
      <c r="AV38" s="22"/>
    </row>
    <row r="39">
      <c r="A39" s="28"/>
      <c r="B39" s="29"/>
      <c r="C39" s="24"/>
      <c r="D39" s="24"/>
      <c r="E39" s="30"/>
      <c r="F39" s="30"/>
      <c r="G39" s="27"/>
      <c r="I39" s="28"/>
      <c r="J39" s="29"/>
      <c r="K39" s="24"/>
      <c r="L39" s="24"/>
      <c r="M39" s="30"/>
      <c r="N39" s="30"/>
      <c r="O39" s="27"/>
      <c r="P39" s="7">
        <f t="shared" si="1"/>
        <v>0</v>
      </c>
      <c r="R39" s="18"/>
      <c r="S39" s="19"/>
      <c r="T39" s="20"/>
      <c r="U39" s="20"/>
      <c r="V39" s="2"/>
      <c r="W39" s="21"/>
      <c r="X39" s="33"/>
      <c r="AP39" s="18"/>
      <c r="AQ39" s="19"/>
      <c r="AR39" s="20"/>
      <c r="AS39" s="20"/>
      <c r="AT39" s="2"/>
      <c r="AU39" s="21"/>
      <c r="AV39" s="22"/>
    </row>
    <row r="40">
      <c r="A40" s="28"/>
      <c r="B40" s="29"/>
      <c r="C40" s="32"/>
      <c r="D40" s="24"/>
      <c r="E40" s="30"/>
      <c r="F40" s="30"/>
      <c r="G40" s="27"/>
      <c r="I40" s="28"/>
      <c r="J40" s="29"/>
      <c r="K40" s="24"/>
      <c r="L40" s="24"/>
      <c r="M40" s="30"/>
      <c r="N40" s="30"/>
      <c r="O40" s="27"/>
      <c r="P40" s="7">
        <f t="shared" si="1"/>
        <v>0</v>
      </c>
      <c r="R40" s="18"/>
      <c r="S40" s="19"/>
      <c r="T40" s="20"/>
      <c r="U40" s="20"/>
      <c r="V40" s="2"/>
      <c r="W40" s="21"/>
      <c r="X40" s="33"/>
      <c r="AP40" s="18"/>
      <c r="AQ40" s="39"/>
      <c r="AR40" s="40"/>
      <c r="AS40" s="40"/>
      <c r="AT40" s="41"/>
      <c r="AU40" s="42"/>
      <c r="AV40" s="43"/>
    </row>
    <row r="41">
      <c r="A41" s="28"/>
      <c r="B41" s="29"/>
      <c r="C41" s="32"/>
      <c r="D41" s="24"/>
      <c r="E41" s="30"/>
      <c r="F41" s="30"/>
      <c r="G41" s="27"/>
      <c r="I41" s="28"/>
      <c r="J41" s="29"/>
      <c r="K41" s="24"/>
      <c r="L41" s="24"/>
      <c r="M41" s="30"/>
      <c r="N41" s="30"/>
      <c r="O41" s="27"/>
      <c r="P41" s="7">
        <f t="shared" si="1"/>
        <v>0</v>
      </c>
      <c r="R41" s="18"/>
      <c r="S41" s="19"/>
      <c r="T41" s="31"/>
      <c r="U41" s="20"/>
      <c r="V41" s="2"/>
      <c r="W41" s="21"/>
      <c r="X41" s="33"/>
      <c r="AP41" s="18"/>
      <c r="AQ41" s="19"/>
      <c r="AR41" s="20"/>
      <c r="AS41" s="20"/>
      <c r="AT41" s="2"/>
      <c r="AU41" s="21"/>
      <c r="AV41" s="22"/>
    </row>
    <row r="42">
      <c r="A42" s="28"/>
      <c r="B42" s="29"/>
      <c r="C42" s="32"/>
      <c r="D42" s="24"/>
      <c r="E42" s="30"/>
      <c r="F42" s="30"/>
      <c r="G42" s="27"/>
      <c r="I42" s="28"/>
      <c r="J42" s="29"/>
      <c r="K42" s="32"/>
      <c r="L42" s="24"/>
      <c r="M42" s="30"/>
      <c r="N42" s="30"/>
      <c r="O42" s="27"/>
      <c r="P42" s="7">
        <f t="shared" si="1"/>
        <v>0</v>
      </c>
      <c r="R42" s="18"/>
      <c r="S42" s="19"/>
      <c r="T42" s="20"/>
      <c r="U42" s="20"/>
      <c r="V42" s="2"/>
      <c r="W42" s="21"/>
      <c r="X42" s="33"/>
      <c r="AP42" s="18"/>
      <c r="AQ42" s="19"/>
      <c r="AR42" s="20"/>
      <c r="AS42" s="20"/>
      <c r="AT42" s="2"/>
      <c r="AU42" s="21"/>
      <c r="AV42" s="22"/>
    </row>
    <row r="43">
      <c r="A43" s="28"/>
      <c r="B43" s="29"/>
      <c r="C43" s="32"/>
      <c r="D43" s="24"/>
      <c r="E43" s="30"/>
      <c r="F43" s="30"/>
      <c r="G43" s="27"/>
      <c r="I43" s="28"/>
      <c r="J43" s="29"/>
      <c r="K43" s="32"/>
      <c r="L43" s="24"/>
      <c r="M43" s="30"/>
      <c r="N43" s="30"/>
      <c r="O43" s="27"/>
      <c r="P43" s="7">
        <f t="shared" si="1"/>
        <v>0</v>
      </c>
      <c r="R43" s="23"/>
      <c r="S43" s="39"/>
      <c r="T43" s="40"/>
      <c r="U43" s="40"/>
      <c r="V43" s="41"/>
      <c r="W43" s="42"/>
      <c r="X43" s="44"/>
      <c r="AP43" s="18"/>
      <c r="AQ43" s="19"/>
      <c r="AR43" s="20"/>
      <c r="AS43" s="20"/>
      <c r="AT43" s="2"/>
      <c r="AU43" s="21"/>
      <c r="AV43" s="22"/>
    </row>
    <row r="44">
      <c r="A44" s="28"/>
      <c r="B44" s="29"/>
      <c r="C44" s="32"/>
      <c r="D44" s="24"/>
      <c r="E44" s="30"/>
      <c r="F44" s="30"/>
      <c r="G44" s="27"/>
      <c r="I44" s="28"/>
      <c r="J44" s="29"/>
      <c r="K44" s="32"/>
      <c r="L44" s="24"/>
      <c r="M44" s="30"/>
      <c r="N44" s="30"/>
      <c r="O44" s="27"/>
      <c r="P44" s="7">
        <f t="shared" si="1"/>
        <v>0</v>
      </c>
      <c r="R44" s="18"/>
      <c r="S44" s="19"/>
      <c r="T44" s="20"/>
      <c r="U44" s="20"/>
      <c r="V44" s="2"/>
      <c r="W44" s="2"/>
      <c r="X44" s="33"/>
      <c r="AP44" s="18"/>
      <c r="AQ44" s="19"/>
      <c r="AR44" s="20"/>
      <c r="AS44" s="20"/>
      <c r="AT44" s="2"/>
      <c r="AU44" s="21"/>
      <c r="AV44" s="22"/>
    </row>
    <row r="45">
      <c r="A45" s="28"/>
      <c r="B45" s="29"/>
      <c r="C45" s="32"/>
      <c r="D45" s="24"/>
      <c r="E45" s="30"/>
      <c r="F45" s="30"/>
      <c r="G45" s="27"/>
      <c r="I45" s="28"/>
      <c r="J45" s="29"/>
      <c r="K45" s="32"/>
      <c r="L45" s="24"/>
      <c r="M45" s="30"/>
      <c r="N45" s="30"/>
      <c r="O45" s="27"/>
      <c r="P45" s="7">
        <f t="shared" si="1"/>
        <v>0</v>
      </c>
      <c r="AP45" s="18"/>
      <c r="AQ45" s="19"/>
      <c r="AR45" s="20"/>
      <c r="AS45" s="20"/>
      <c r="AT45" s="2"/>
      <c r="AU45" s="21"/>
      <c r="AV45" s="22"/>
    </row>
    <row r="46">
      <c r="A46" s="28"/>
      <c r="B46" s="29"/>
      <c r="C46" s="32"/>
      <c r="D46" s="24"/>
      <c r="E46" s="30"/>
      <c r="F46" s="30"/>
      <c r="G46" s="27"/>
      <c r="I46" s="28"/>
      <c r="J46" s="29"/>
      <c r="K46" s="32"/>
      <c r="L46" s="24"/>
      <c r="M46" s="30"/>
      <c r="N46" s="30"/>
      <c r="O46" s="27"/>
      <c r="P46" s="7">
        <f t="shared" si="1"/>
        <v>0</v>
      </c>
      <c r="AP46" s="18"/>
      <c r="AQ46" s="19"/>
      <c r="AR46" s="20"/>
      <c r="AS46" s="20"/>
      <c r="AT46" s="2"/>
      <c r="AU46" s="21"/>
      <c r="AV46" s="22"/>
    </row>
    <row r="47">
      <c r="A47" s="28"/>
      <c r="B47" s="29"/>
      <c r="C47" s="32"/>
      <c r="D47" s="24"/>
      <c r="E47" s="30"/>
      <c r="F47" s="30"/>
      <c r="G47" s="27"/>
      <c r="I47" s="28"/>
      <c r="J47" s="29"/>
      <c r="K47" s="32"/>
      <c r="L47" s="24"/>
      <c r="M47" s="30"/>
      <c r="N47" s="30"/>
      <c r="O47" s="27"/>
      <c r="P47" s="7">
        <f t="shared" si="1"/>
        <v>0</v>
      </c>
      <c r="AP47" s="18"/>
      <c r="AQ47" s="19"/>
      <c r="AR47" s="20"/>
      <c r="AS47" s="20"/>
      <c r="AT47" s="2"/>
      <c r="AU47" s="21"/>
      <c r="AV47" s="22"/>
    </row>
    <row r="48">
      <c r="A48" s="28"/>
      <c r="B48" s="29"/>
      <c r="C48" s="32"/>
      <c r="D48" s="24"/>
      <c r="E48" s="30"/>
      <c r="F48" s="30"/>
      <c r="G48" s="27"/>
      <c r="I48" s="28"/>
      <c r="J48" s="29"/>
      <c r="K48" s="32"/>
      <c r="L48" s="24"/>
      <c r="M48" s="30"/>
      <c r="N48" s="30"/>
      <c r="O48" s="27"/>
      <c r="P48" s="7">
        <f t="shared" si="1"/>
        <v>0</v>
      </c>
      <c r="AP48" s="18"/>
      <c r="AQ48" s="19"/>
      <c r="AR48" s="20"/>
      <c r="AS48" s="20"/>
      <c r="AT48" s="2"/>
      <c r="AU48" s="21"/>
      <c r="AV48" s="22"/>
    </row>
    <row r="49">
      <c r="A49" s="28"/>
      <c r="B49" s="29"/>
      <c r="C49" s="32"/>
      <c r="D49" s="24"/>
      <c r="E49" s="30"/>
      <c r="F49" s="30"/>
      <c r="G49" s="27"/>
      <c r="I49" s="28"/>
      <c r="J49" s="29"/>
      <c r="K49" s="32"/>
      <c r="L49" s="24"/>
      <c r="M49" s="30"/>
      <c r="N49" s="30"/>
      <c r="O49" s="27"/>
      <c r="P49" s="7">
        <f t="shared" si="1"/>
        <v>0</v>
      </c>
      <c r="AP49" s="18"/>
      <c r="AQ49" s="19"/>
      <c r="AR49" s="20"/>
      <c r="AS49" s="20"/>
      <c r="AT49" s="2"/>
      <c r="AU49" s="21"/>
      <c r="AV49" s="22"/>
    </row>
    <row r="50">
      <c r="A50" s="28"/>
      <c r="B50" s="29"/>
      <c r="C50" s="32"/>
      <c r="D50" s="24"/>
      <c r="E50" s="30"/>
      <c r="F50" s="30"/>
      <c r="G50" s="27"/>
      <c r="I50" s="28"/>
      <c r="J50" s="29"/>
      <c r="K50" s="32"/>
      <c r="L50" s="24"/>
      <c r="M50" s="30"/>
      <c r="N50" s="30"/>
      <c r="O50" s="27"/>
      <c r="P50" s="7">
        <f t="shared" si="1"/>
        <v>0</v>
      </c>
      <c r="AP50" s="18"/>
      <c r="AQ50" s="19"/>
      <c r="AR50" s="20"/>
      <c r="AS50" s="20"/>
      <c r="AT50" s="2"/>
      <c r="AU50" s="21"/>
      <c r="AV50" s="22"/>
    </row>
    <row r="51">
      <c r="A51" s="28"/>
      <c r="B51" s="29"/>
      <c r="C51" s="32"/>
      <c r="D51" s="24"/>
      <c r="E51" s="30"/>
      <c r="F51" s="30"/>
      <c r="G51" s="27"/>
      <c r="I51" s="28"/>
      <c r="J51" s="29"/>
      <c r="K51" s="32"/>
      <c r="L51" s="24"/>
      <c r="M51" s="30"/>
      <c r="N51" s="30"/>
      <c r="O51" s="27"/>
      <c r="P51" s="7">
        <f t="shared" si="1"/>
        <v>0</v>
      </c>
      <c r="AP51" s="18"/>
      <c r="AQ51" s="19"/>
      <c r="AR51" s="20"/>
      <c r="AS51" s="20"/>
      <c r="AT51" s="2"/>
      <c r="AU51" s="21"/>
      <c r="AV51" s="22"/>
    </row>
    <row r="52">
      <c r="A52" s="28"/>
      <c r="B52" s="29"/>
      <c r="C52" s="32"/>
      <c r="D52" s="24"/>
      <c r="E52" s="30"/>
      <c r="F52" s="30"/>
      <c r="G52" s="27"/>
      <c r="I52" s="28"/>
      <c r="J52" s="29"/>
      <c r="K52" s="32"/>
      <c r="L52" s="24"/>
      <c r="M52" s="30"/>
      <c r="N52" s="30"/>
      <c r="O52" s="27"/>
      <c r="P52" s="7">
        <f t="shared" si="1"/>
        <v>0</v>
      </c>
      <c r="AP52" s="18"/>
      <c r="AQ52" s="19"/>
      <c r="AR52" s="20"/>
      <c r="AS52" s="20"/>
      <c r="AT52" s="2"/>
      <c r="AU52" s="21"/>
      <c r="AV52" s="22"/>
    </row>
    <row r="53">
      <c r="A53" s="28"/>
      <c r="B53" s="29"/>
      <c r="C53" s="24"/>
      <c r="D53" s="24"/>
      <c r="E53" s="30"/>
      <c r="F53" s="30"/>
      <c r="G53" s="27"/>
      <c r="I53" s="28"/>
      <c r="J53" s="29"/>
      <c r="K53" s="32"/>
      <c r="L53" s="24"/>
      <c r="M53" s="30"/>
      <c r="N53" s="30"/>
      <c r="O53" s="27"/>
      <c r="P53" s="7">
        <f t="shared" si="1"/>
        <v>0</v>
      </c>
      <c r="AP53" s="18"/>
      <c r="AQ53" s="19"/>
      <c r="AR53" s="20"/>
      <c r="AS53" s="20"/>
      <c r="AT53" s="2"/>
      <c r="AU53" s="21"/>
      <c r="AV53" s="22"/>
    </row>
    <row r="54">
      <c r="A54" s="28"/>
      <c r="B54" s="29"/>
      <c r="C54" s="24"/>
      <c r="D54" s="24"/>
      <c r="E54" s="30"/>
      <c r="F54" s="30"/>
      <c r="G54" s="27"/>
      <c r="I54" s="28"/>
      <c r="J54" s="29"/>
      <c r="K54" s="24"/>
      <c r="L54" s="24"/>
      <c r="M54" s="30"/>
      <c r="N54" s="30"/>
      <c r="O54" s="27"/>
      <c r="P54" s="7">
        <f t="shared" si="1"/>
        <v>0</v>
      </c>
      <c r="AP54" s="18"/>
      <c r="AQ54" s="19"/>
      <c r="AR54" s="20"/>
      <c r="AS54" s="20"/>
      <c r="AT54" s="2"/>
      <c r="AU54" s="21"/>
      <c r="AV54" s="22"/>
    </row>
    <row r="55">
      <c r="A55" s="28"/>
      <c r="B55" s="29"/>
      <c r="C55" s="24"/>
      <c r="D55" s="24"/>
      <c r="E55" s="30"/>
      <c r="F55" s="30"/>
      <c r="G55" s="27"/>
      <c r="I55" s="28"/>
      <c r="J55" s="29"/>
      <c r="K55" s="24"/>
      <c r="L55" s="24"/>
      <c r="M55" s="30"/>
      <c r="N55" s="30"/>
      <c r="O55" s="27"/>
      <c r="P55" s="7">
        <f t="shared" si="1"/>
        <v>0</v>
      </c>
      <c r="AP55" s="18"/>
      <c r="AQ55" s="19"/>
      <c r="AR55" s="20"/>
      <c r="AS55" s="20"/>
      <c r="AT55" s="2"/>
      <c r="AU55" s="21"/>
      <c r="AV55" s="22"/>
    </row>
    <row r="56">
      <c r="A56" s="28"/>
      <c r="B56" s="29"/>
      <c r="C56" s="24"/>
      <c r="D56" s="24"/>
      <c r="E56" s="30"/>
      <c r="F56" s="30"/>
      <c r="G56" s="27"/>
      <c r="I56" s="28"/>
      <c r="J56" s="29"/>
      <c r="K56" s="24"/>
      <c r="L56" s="24"/>
      <c r="M56" s="30"/>
      <c r="N56" s="30"/>
      <c r="O56" s="27"/>
      <c r="P56" s="7">
        <f t="shared" si="1"/>
        <v>0</v>
      </c>
      <c r="AP56" s="18"/>
      <c r="AQ56" s="19"/>
      <c r="AR56" s="20"/>
      <c r="AS56" s="20"/>
      <c r="AT56" s="2"/>
      <c r="AU56" s="21"/>
      <c r="AV56" s="22"/>
    </row>
    <row r="57">
      <c r="A57" s="28"/>
      <c r="B57" s="29"/>
      <c r="C57" s="24"/>
      <c r="D57" s="24"/>
      <c r="E57" s="30"/>
      <c r="F57" s="30"/>
      <c r="G57" s="27"/>
      <c r="I57" s="28"/>
      <c r="J57" s="29"/>
      <c r="K57" s="24"/>
      <c r="L57" s="24"/>
      <c r="M57" s="30"/>
      <c r="N57" s="30"/>
      <c r="O57" s="27"/>
      <c r="P57" s="7">
        <f t="shared" si="1"/>
        <v>0</v>
      </c>
      <c r="AP57" s="18"/>
      <c r="AQ57" s="19"/>
      <c r="AR57" s="20"/>
      <c r="AS57" s="20"/>
      <c r="AT57" s="2"/>
      <c r="AU57" s="21"/>
      <c r="AV57" s="22"/>
    </row>
    <row r="58">
      <c r="A58" s="28"/>
      <c r="B58" s="29"/>
      <c r="C58" s="24"/>
      <c r="D58" s="24"/>
      <c r="E58" s="30"/>
      <c r="F58" s="30"/>
      <c r="G58" s="27"/>
      <c r="I58" s="28"/>
      <c r="J58" s="29"/>
      <c r="K58" s="24"/>
      <c r="L58" s="24"/>
      <c r="M58" s="30"/>
      <c r="N58" s="30"/>
      <c r="O58" s="27"/>
      <c r="P58" s="7">
        <f t="shared" si="1"/>
        <v>0</v>
      </c>
      <c r="AP58" s="18"/>
      <c r="AQ58" s="19"/>
      <c r="AR58" s="20"/>
      <c r="AS58" s="20"/>
      <c r="AT58" s="2"/>
      <c r="AU58" s="21"/>
      <c r="AV58" s="22"/>
    </row>
    <row r="59">
      <c r="A59" s="28"/>
      <c r="B59" s="29"/>
      <c r="C59" s="32"/>
      <c r="D59" s="24"/>
      <c r="E59" s="30"/>
      <c r="F59" s="30"/>
      <c r="G59" s="27"/>
      <c r="I59" s="28"/>
      <c r="J59" s="29"/>
      <c r="K59" s="24"/>
      <c r="L59" s="24"/>
      <c r="M59" s="30"/>
      <c r="N59" s="30"/>
      <c r="O59" s="27"/>
      <c r="P59" s="7">
        <f t="shared" si="1"/>
        <v>0</v>
      </c>
      <c r="AP59" s="18"/>
      <c r="AQ59" s="19"/>
      <c r="AR59" s="20"/>
      <c r="AS59" s="20"/>
      <c r="AT59" s="2"/>
      <c r="AU59" s="21"/>
      <c r="AV59" s="22"/>
    </row>
    <row r="60">
      <c r="A60" s="28"/>
      <c r="B60" s="29"/>
      <c r="C60" s="32"/>
      <c r="D60" s="24"/>
      <c r="E60" s="30"/>
      <c r="F60" s="30"/>
      <c r="G60" s="27"/>
      <c r="I60" s="28"/>
      <c r="J60" s="29"/>
      <c r="K60" s="24"/>
      <c r="L60" s="24"/>
      <c r="M60" s="30"/>
      <c r="N60" s="30"/>
      <c r="O60" s="27"/>
      <c r="P60" s="7">
        <f t="shared" si="1"/>
        <v>0</v>
      </c>
      <c r="AP60" s="18"/>
      <c r="AQ60" s="19"/>
      <c r="AR60" s="20"/>
      <c r="AS60" s="20"/>
      <c r="AT60" s="2"/>
      <c r="AU60" s="21"/>
      <c r="AV60" s="22"/>
    </row>
    <row r="61">
      <c r="A61" s="28"/>
      <c r="B61" s="29"/>
      <c r="C61" s="32"/>
      <c r="D61" s="24"/>
      <c r="E61" s="30"/>
      <c r="F61" s="30"/>
      <c r="G61" s="27"/>
      <c r="I61" s="28"/>
      <c r="J61" s="29"/>
      <c r="K61" s="24"/>
      <c r="L61" s="24"/>
      <c r="M61" s="30"/>
      <c r="N61" s="30"/>
      <c r="O61" s="27"/>
      <c r="P61" s="7">
        <f t="shared" si="1"/>
        <v>0</v>
      </c>
      <c r="AP61" s="18"/>
      <c r="AQ61" s="19"/>
      <c r="AR61" s="20"/>
      <c r="AS61" s="20"/>
      <c r="AT61" s="2"/>
      <c r="AU61" s="21"/>
      <c r="AV61" s="22"/>
    </row>
    <row r="62">
      <c r="A62" s="28"/>
      <c r="B62" s="29"/>
      <c r="C62" s="32"/>
      <c r="D62" s="24"/>
      <c r="E62" s="30"/>
      <c r="F62" s="30"/>
      <c r="G62" s="27"/>
      <c r="I62" s="28"/>
      <c r="J62" s="29"/>
      <c r="K62" s="24"/>
      <c r="L62" s="24"/>
      <c r="M62" s="30"/>
      <c r="N62" s="30"/>
      <c r="O62" s="27"/>
      <c r="P62" s="7">
        <f t="shared" si="1"/>
        <v>0</v>
      </c>
      <c r="AP62" s="18"/>
      <c r="AQ62" s="19"/>
      <c r="AR62" s="20"/>
      <c r="AS62" s="20"/>
      <c r="AT62" s="2"/>
      <c r="AU62" s="21"/>
      <c r="AV62" s="22"/>
    </row>
    <row r="63">
      <c r="A63" s="28"/>
      <c r="B63" s="29"/>
      <c r="C63" s="32"/>
      <c r="D63" s="24"/>
      <c r="E63" s="30"/>
      <c r="F63" s="30"/>
      <c r="G63" s="27"/>
      <c r="I63" s="28"/>
      <c r="J63" s="29"/>
      <c r="K63" s="24"/>
      <c r="L63" s="24"/>
      <c r="M63" s="30"/>
      <c r="N63" s="30"/>
      <c r="O63" s="27"/>
      <c r="P63" s="7">
        <f t="shared" si="1"/>
        <v>0</v>
      </c>
      <c r="AP63" s="18"/>
      <c r="AQ63" s="19"/>
      <c r="AR63" s="20"/>
      <c r="AS63" s="20"/>
      <c r="AT63" s="2"/>
      <c r="AU63" s="21"/>
      <c r="AV63" s="22"/>
    </row>
    <row r="64">
      <c r="A64" s="28"/>
      <c r="B64" s="29"/>
      <c r="C64" s="24"/>
      <c r="D64" s="24"/>
      <c r="E64" s="30"/>
      <c r="F64" s="30"/>
      <c r="G64" s="27"/>
      <c r="I64" s="28"/>
      <c r="J64" s="29"/>
      <c r="K64" s="24"/>
      <c r="L64" s="24"/>
      <c r="M64" s="30"/>
      <c r="N64" s="30"/>
      <c r="O64" s="27"/>
      <c r="P64" s="7">
        <f t="shared" si="1"/>
        <v>0</v>
      </c>
      <c r="AP64" s="18"/>
      <c r="AQ64" s="19"/>
      <c r="AR64" s="20"/>
      <c r="AS64" s="20"/>
      <c r="AT64" s="2"/>
      <c r="AU64" s="21"/>
      <c r="AV64" s="22"/>
    </row>
    <row r="65">
      <c r="A65" s="28"/>
      <c r="B65" s="29"/>
      <c r="C65" s="24"/>
      <c r="D65" s="24"/>
      <c r="E65" s="30"/>
      <c r="F65" s="30"/>
      <c r="G65" s="27"/>
      <c r="I65" s="28"/>
      <c r="J65" s="29"/>
      <c r="K65" s="32"/>
      <c r="L65" s="24"/>
      <c r="M65" s="30"/>
      <c r="N65" s="30"/>
      <c r="O65" s="27"/>
      <c r="P65" s="7">
        <f t="shared" si="1"/>
        <v>0</v>
      </c>
      <c r="AP65" s="18"/>
      <c r="AQ65" s="19"/>
      <c r="AR65" s="20"/>
      <c r="AS65" s="20"/>
      <c r="AT65" s="2"/>
      <c r="AU65" s="21"/>
      <c r="AV65" s="22"/>
    </row>
    <row r="66">
      <c r="A66" s="28"/>
      <c r="B66" s="29"/>
      <c r="C66" s="24"/>
      <c r="D66" s="24"/>
      <c r="E66" s="30"/>
      <c r="F66" s="30"/>
      <c r="G66" s="27"/>
      <c r="I66" s="28"/>
      <c r="J66" s="29"/>
      <c r="K66" s="32"/>
      <c r="L66" s="24"/>
      <c r="M66" s="30"/>
      <c r="N66" s="30"/>
      <c r="O66" s="27"/>
      <c r="P66" s="7">
        <f t="shared" si="1"/>
        <v>0</v>
      </c>
      <c r="AP66" s="18"/>
      <c r="AQ66" s="19"/>
      <c r="AR66" s="20"/>
      <c r="AS66" s="20"/>
      <c r="AT66" s="2"/>
      <c r="AU66" s="21"/>
      <c r="AV66" s="22"/>
    </row>
    <row r="67">
      <c r="A67" s="28"/>
      <c r="B67" s="29"/>
      <c r="C67" s="32"/>
      <c r="D67" s="24"/>
      <c r="E67" s="30"/>
      <c r="F67" s="30"/>
      <c r="G67" s="27"/>
      <c r="I67" s="28"/>
      <c r="J67" s="29"/>
      <c r="K67" s="32"/>
      <c r="L67" s="24"/>
      <c r="M67" s="30"/>
      <c r="N67" s="30"/>
      <c r="O67" s="27"/>
      <c r="P67" s="7">
        <f t="shared" si="1"/>
        <v>0</v>
      </c>
      <c r="AP67" s="18"/>
      <c r="AQ67" s="19"/>
      <c r="AR67" s="20"/>
      <c r="AS67" s="20"/>
      <c r="AT67" s="2"/>
      <c r="AU67" s="21"/>
      <c r="AV67" s="22"/>
    </row>
    <row r="68">
      <c r="A68" s="28"/>
      <c r="B68" s="29"/>
      <c r="C68" s="32"/>
      <c r="D68" s="24"/>
      <c r="E68" s="30"/>
      <c r="F68" s="30"/>
      <c r="G68" s="27"/>
      <c r="I68" s="28"/>
      <c r="J68" s="29"/>
      <c r="K68" s="32"/>
      <c r="L68" s="24"/>
      <c r="M68" s="30"/>
      <c r="N68" s="30"/>
      <c r="O68" s="27"/>
      <c r="P68" s="7">
        <f t="shared" si="1"/>
        <v>0</v>
      </c>
      <c r="AP68" s="18"/>
      <c r="AQ68" s="19"/>
      <c r="AR68" s="20"/>
      <c r="AS68" s="20"/>
      <c r="AT68" s="2"/>
      <c r="AU68" s="21"/>
      <c r="AV68" s="22"/>
    </row>
    <row r="69">
      <c r="A69" s="28"/>
      <c r="B69" s="29"/>
      <c r="C69" s="32"/>
      <c r="D69" s="24"/>
      <c r="E69" s="30"/>
      <c r="F69" s="30"/>
      <c r="G69" s="27"/>
      <c r="I69" s="28"/>
      <c r="J69" s="29"/>
      <c r="K69" s="32"/>
      <c r="L69" s="24"/>
      <c r="M69" s="30"/>
      <c r="N69" s="30"/>
      <c r="O69" s="27"/>
      <c r="P69" s="7">
        <f t="shared" si="1"/>
        <v>0</v>
      </c>
      <c r="AP69" s="18"/>
      <c r="AQ69" s="19"/>
      <c r="AR69" s="20"/>
      <c r="AS69" s="20"/>
      <c r="AT69" s="2"/>
      <c r="AU69" s="21"/>
      <c r="AV69" s="22"/>
    </row>
    <row r="70">
      <c r="A70" s="28"/>
      <c r="B70" s="29"/>
      <c r="C70" s="32"/>
      <c r="D70" s="24"/>
      <c r="E70" s="30"/>
      <c r="F70" s="30"/>
      <c r="G70" s="27"/>
      <c r="I70" s="28"/>
      <c r="J70" s="29"/>
      <c r="K70" s="32"/>
      <c r="L70" s="24"/>
      <c r="M70" s="30"/>
      <c r="N70" s="30"/>
      <c r="O70" s="27"/>
      <c r="P70" s="7">
        <f t="shared" si="1"/>
        <v>0</v>
      </c>
      <c r="AP70" s="18"/>
      <c r="AQ70" s="19"/>
      <c r="AR70" s="20"/>
      <c r="AS70" s="20"/>
      <c r="AT70" s="2"/>
      <c r="AU70" s="21"/>
      <c r="AV70" s="22"/>
    </row>
    <row r="71">
      <c r="A71" s="28"/>
      <c r="B71" s="29"/>
      <c r="C71" s="32"/>
      <c r="D71" s="24"/>
      <c r="E71" s="30"/>
      <c r="F71" s="30"/>
      <c r="G71" s="27"/>
      <c r="I71" s="28"/>
      <c r="J71" s="29"/>
      <c r="K71" s="32"/>
      <c r="L71" s="24"/>
      <c r="M71" s="30"/>
      <c r="N71" s="30"/>
      <c r="O71" s="27"/>
      <c r="P71" s="7">
        <f t="shared" si="1"/>
        <v>0</v>
      </c>
      <c r="AP71" s="18"/>
      <c r="AQ71" s="19"/>
      <c r="AR71" s="20"/>
      <c r="AS71" s="20"/>
      <c r="AT71" s="2"/>
      <c r="AU71" s="21"/>
      <c r="AV71" s="22"/>
    </row>
    <row r="72">
      <c r="A72" s="28"/>
      <c r="B72" s="29"/>
      <c r="C72" s="32"/>
      <c r="D72" s="24"/>
      <c r="E72" s="30"/>
      <c r="F72" s="30"/>
      <c r="G72" s="27"/>
      <c r="I72" s="28"/>
      <c r="J72" s="29"/>
      <c r="K72" s="24"/>
      <c r="L72" s="24"/>
      <c r="M72" s="30"/>
      <c r="N72" s="30"/>
      <c r="O72" s="27"/>
      <c r="P72" s="7">
        <f t="shared" si="1"/>
        <v>0</v>
      </c>
      <c r="AP72" s="18"/>
      <c r="AQ72" s="19"/>
      <c r="AR72" s="20"/>
      <c r="AS72" s="20"/>
      <c r="AT72" s="2"/>
      <c r="AU72" s="21"/>
      <c r="AV72" s="22"/>
    </row>
    <row r="73">
      <c r="A73" s="28"/>
      <c r="B73" s="29"/>
      <c r="C73" s="32"/>
      <c r="D73" s="24"/>
      <c r="E73" s="30"/>
      <c r="F73" s="30"/>
      <c r="G73" s="27"/>
      <c r="I73" s="28"/>
      <c r="J73" s="29"/>
      <c r="K73" s="24"/>
      <c r="L73" s="24"/>
      <c r="M73" s="30"/>
      <c r="N73" s="30"/>
      <c r="O73" s="27"/>
      <c r="P73" s="7">
        <f t="shared" si="1"/>
        <v>0</v>
      </c>
      <c r="AP73" s="18"/>
      <c r="AQ73" s="39"/>
      <c r="AR73" s="40"/>
      <c r="AS73" s="40"/>
      <c r="AT73" s="41"/>
      <c r="AU73" s="42"/>
      <c r="AV73" s="43"/>
    </row>
    <row r="74">
      <c r="A74" s="28"/>
      <c r="B74" s="29"/>
      <c r="C74" s="32"/>
      <c r="D74" s="24"/>
      <c r="E74" s="30"/>
      <c r="F74" s="30"/>
      <c r="G74" s="27"/>
      <c r="I74" s="28"/>
      <c r="J74" s="29"/>
      <c r="K74" s="32"/>
      <c r="L74" s="24"/>
      <c r="M74" s="30"/>
      <c r="N74" s="30"/>
      <c r="O74" s="27"/>
      <c r="P74" s="7">
        <f t="shared" si="1"/>
        <v>0</v>
      </c>
      <c r="AP74" s="18"/>
      <c r="AQ74" s="19"/>
      <c r="AR74" s="20"/>
      <c r="AS74" s="20"/>
      <c r="AT74" s="2"/>
      <c r="AU74" s="21"/>
      <c r="AV74" s="22"/>
    </row>
    <row r="75">
      <c r="A75" s="28"/>
      <c r="B75" s="29"/>
      <c r="C75" s="32"/>
      <c r="D75" s="24"/>
      <c r="E75" s="30"/>
      <c r="F75" s="30"/>
      <c r="G75" s="27"/>
      <c r="I75" s="28"/>
      <c r="J75" s="29"/>
      <c r="K75" s="32"/>
      <c r="L75" s="24"/>
      <c r="M75" s="30"/>
      <c r="N75" s="30"/>
      <c r="O75" s="27"/>
      <c r="P75" s="7">
        <f t="shared" si="1"/>
        <v>0</v>
      </c>
      <c r="AP75" s="18"/>
      <c r="AQ75" s="19"/>
      <c r="AR75" s="20"/>
      <c r="AS75" s="20"/>
      <c r="AT75" s="2"/>
      <c r="AU75" s="21"/>
      <c r="AV75" s="22"/>
    </row>
    <row r="76">
      <c r="A76" s="28"/>
      <c r="B76" s="29"/>
      <c r="C76" s="32"/>
      <c r="D76" s="24"/>
      <c r="E76" s="30"/>
      <c r="F76" s="30"/>
      <c r="G76" s="27"/>
      <c r="I76" s="28"/>
      <c r="J76" s="29"/>
      <c r="K76" s="32"/>
      <c r="L76" s="24"/>
      <c r="M76" s="30"/>
      <c r="N76" s="30"/>
      <c r="O76" s="27"/>
      <c r="P76" s="7">
        <f t="shared" si="1"/>
        <v>0</v>
      </c>
      <c r="AP76" s="18"/>
      <c r="AQ76" s="19"/>
      <c r="AR76" s="20"/>
      <c r="AS76" s="20"/>
      <c r="AT76" s="2"/>
      <c r="AU76" s="21"/>
      <c r="AV76" s="22"/>
    </row>
    <row r="77">
      <c r="A77" s="28"/>
      <c r="B77" s="29"/>
      <c r="C77" s="32"/>
      <c r="D77" s="24"/>
      <c r="E77" s="30"/>
      <c r="F77" s="30"/>
      <c r="G77" s="27"/>
      <c r="I77" s="28"/>
      <c r="J77" s="29"/>
      <c r="K77" s="32"/>
      <c r="L77" s="24"/>
      <c r="M77" s="30"/>
      <c r="N77" s="30"/>
      <c r="O77" s="27"/>
      <c r="P77" s="7">
        <f t="shared" si="1"/>
        <v>0</v>
      </c>
      <c r="AP77" s="18"/>
      <c r="AQ77" s="19"/>
      <c r="AR77" s="20"/>
      <c r="AS77" s="20"/>
      <c r="AT77" s="2"/>
      <c r="AU77" s="21"/>
      <c r="AV77" s="22"/>
    </row>
    <row r="78">
      <c r="A78" s="28"/>
      <c r="B78" s="29"/>
      <c r="C78" s="32"/>
      <c r="D78" s="24"/>
      <c r="E78" s="30"/>
      <c r="F78" s="30"/>
      <c r="G78" s="27"/>
      <c r="I78" s="28"/>
      <c r="J78" s="29"/>
      <c r="K78" s="32"/>
      <c r="L78" s="24"/>
      <c r="M78" s="30"/>
      <c r="N78" s="30"/>
      <c r="O78" s="27"/>
      <c r="P78" s="7">
        <f t="shared" si="1"/>
        <v>0</v>
      </c>
      <c r="AP78" s="18"/>
      <c r="AQ78" s="19"/>
      <c r="AR78" s="20"/>
      <c r="AS78" s="20"/>
      <c r="AT78" s="2"/>
      <c r="AU78" s="21"/>
      <c r="AV78" s="22"/>
    </row>
    <row r="79">
      <c r="A79" s="28"/>
      <c r="B79" s="29"/>
      <c r="C79" s="24"/>
      <c r="D79" s="24"/>
      <c r="E79" s="30"/>
      <c r="F79" s="30"/>
      <c r="G79" s="27"/>
      <c r="I79" s="28"/>
      <c r="J79" s="29"/>
      <c r="K79" s="32"/>
      <c r="L79" s="24"/>
      <c r="M79" s="30"/>
      <c r="N79" s="30"/>
      <c r="O79" s="27"/>
      <c r="P79" s="7">
        <f t="shared" si="1"/>
        <v>0</v>
      </c>
      <c r="AP79" s="18"/>
      <c r="AQ79" s="19"/>
      <c r="AR79" s="20"/>
      <c r="AS79" s="20"/>
      <c r="AT79" s="2"/>
      <c r="AU79" s="21"/>
      <c r="AV79" s="22"/>
    </row>
    <row r="80">
      <c r="A80" s="28"/>
      <c r="B80" s="29"/>
      <c r="C80" s="24"/>
      <c r="D80" s="24"/>
      <c r="E80" s="30"/>
      <c r="F80" s="30"/>
      <c r="G80" s="27"/>
      <c r="I80" s="28"/>
      <c r="J80" s="29"/>
      <c r="K80" s="32"/>
      <c r="L80" s="24"/>
      <c r="M80" s="30"/>
      <c r="N80" s="30"/>
      <c r="O80" s="27"/>
      <c r="P80" s="7">
        <f t="shared" si="1"/>
        <v>0</v>
      </c>
      <c r="AP80" s="18"/>
      <c r="AQ80" s="19"/>
      <c r="AR80" s="20"/>
      <c r="AS80" s="20"/>
      <c r="AT80" s="2"/>
      <c r="AU80" s="21"/>
      <c r="AV80" s="22"/>
    </row>
    <row r="81">
      <c r="A81" s="28"/>
      <c r="B81" s="29"/>
      <c r="C81" s="24"/>
      <c r="D81" s="24"/>
      <c r="E81" s="30"/>
      <c r="F81" s="30"/>
      <c r="G81" s="27"/>
      <c r="I81" s="28"/>
      <c r="J81" s="29"/>
      <c r="K81" s="32"/>
      <c r="L81" s="24"/>
      <c r="M81" s="30"/>
      <c r="N81" s="30"/>
      <c r="O81" s="27"/>
      <c r="P81" s="7">
        <f t="shared" si="1"/>
        <v>0</v>
      </c>
      <c r="AP81" s="18"/>
      <c r="AQ81" s="19"/>
      <c r="AR81" s="20"/>
      <c r="AS81" s="20"/>
      <c r="AT81" s="2"/>
      <c r="AU81" s="21"/>
      <c r="AV81" s="22"/>
    </row>
    <row r="82">
      <c r="A82" s="28"/>
      <c r="B82" s="29"/>
      <c r="C82" s="24"/>
      <c r="D82" s="24"/>
      <c r="E82" s="30"/>
      <c r="F82" s="30"/>
      <c r="G82" s="27"/>
      <c r="I82" s="28"/>
      <c r="J82" s="29"/>
      <c r="K82" s="32"/>
      <c r="L82" s="24"/>
      <c r="M82" s="30"/>
      <c r="N82" s="30"/>
      <c r="O82" s="27"/>
      <c r="P82" s="7">
        <f t="shared" si="1"/>
        <v>0</v>
      </c>
      <c r="AP82" s="18"/>
      <c r="AQ82" s="19"/>
      <c r="AR82" s="20"/>
      <c r="AS82" s="20"/>
      <c r="AT82" s="2"/>
      <c r="AU82" s="21"/>
      <c r="AV82" s="22"/>
    </row>
    <row r="83">
      <c r="A83" s="28"/>
      <c r="B83" s="29"/>
      <c r="C83" s="24"/>
      <c r="D83" s="24"/>
      <c r="E83" s="30"/>
      <c r="F83" s="30"/>
      <c r="G83" s="27"/>
      <c r="I83" s="28"/>
      <c r="J83" s="29"/>
      <c r="K83" s="32"/>
      <c r="L83" s="24"/>
      <c r="M83" s="30"/>
      <c r="N83" s="30"/>
      <c r="O83" s="27"/>
      <c r="P83" s="7">
        <f t="shared" si="1"/>
        <v>0</v>
      </c>
      <c r="AP83" s="18"/>
      <c r="AQ83" s="19"/>
      <c r="AR83" s="20"/>
      <c r="AS83" s="20"/>
      <c r="AT83" s="2"/>
      <c r="AU83" s="21"/>
      <c r="AV83" s="22"/>
    </row>
    <row r="84">
      <c r="A84" s="28"/>
      <c r="B84" s="29"/>
      <c r="C84" s="24"/>
      <c r="D84" s="24"/>
      <c r="E84" s="30"/>
      <c r="F84" s="30"/>
      <c r="G84" s="27"/>
      <c r="I84" s="28"/>
      <c r="J84" s="29"/>
      <c r="K84" s="32"/>
      <c r="L84" s="24"/>
      <c r="M84" s="30"/>
      <c r="N84" s="30"/>
      <c r="O84" s="27"/>
      <c r="P84" s="7">
        <f t="shared" si="1"/>
        <v>0</v>
      </c>
      <c r="AP84" s="18"/>
      <c r="AQ84" s="19"/>
      <c r="AR84" s="20"/>
      <c r="AS84" s="20"/>
      <c r="AT84" s="2"/>
      <c r="AU84" s="21"/>
      <c r="AV84" s="22"/>
    </row>
    <row r="85">
      <c r="A85" s="28"/>
      <c r="B85" s="29"/>
      <c r="C85" s="24"/>
      <c r="D85" s="24"/>
      <c r="E85" s="30"/>
      <c r="F85" s="30"/>
      <c r="G85" s="27"/>
      <c r="I85" s="28"/>
      <c r="J85" s="29"/>
      <c r="K85" s="32"/>
      <c r="L85" s="24"/>
      <c r="M85" s="30"/>
      <c r="N85" s="30"/>
      <c r="O85" s="27"/>
      <c r="P85" s="7">
        <f t="shared" si="1"/>
        <v>0</v>
      </c>
      <c r="AP85" s="18"/>
      <c r="AQ85" s="19"/>
      <c r="AR85" s="20"/>
      <c r="AS85" s="20"/>
      <c r="AT85" s="2"/>
      <c r="AU85" s="21"/>
      <c r="AV85" s="22"/>
    </row>
    <row r="86">
      <c r="A86" s="28"/>
      <c r="B86" s="29"/>
      <c r="C86" s="24"/>
      <c r="D86" s="24"/>
      <c r="E86" s="30"/>
      <c r="F86" s="30"/>
      <c r="G86" s="27"/>
      <c r="I86" s="28"/>
      <c r="J86" s="29"/>
      <c r="K86" s="32"/>
      <c r="L86" s="24"/>
      <c r="M86" s="30"/>
      <c r="N86" s="30"/>
      <c r="O86" s="27"/>
      <c r="P86" s="7">
        <f t="shared" si="1"/>
        <v>0</v>
      </c>
      <c r="AP86" s="18"/>
      <c r="AQ86" s="19"/>
      <c r="AR86" s="20"/>
      <c r="AS86" s="20"/>
      <c r="AT86" s="2"/>
      <c r="AU86" s="21"/>
      <c r="AV86" s="22"/>
    </row>
    <row r="87">
      <c r="A87" s="28"/>
      <c r="B87" s="29"/>
      <c r="C87" s="24"/>
      <c r="D87" s="24"/>
      <c r="E87" s="30"/>
      <c r="F87" s="30"/>
      <c r="G87" s="27"/>
      <c r="I87" s="28"/>
      <c r="J87" s="29"/>
      <c r="K87" s="32"/>
      <c r="L87" s="24"/>
      <c r="M87" s="30"/>
      <c r="N87" s="30"/>
      <c r="O87" s="27"/>
      <c r="P87" s="7">
        <f t="shared" si="1"/>
        <v>0</v>
      </c>
      <c r="AP87" s="18"/>
      <c r="AQ87" s="19"/>
      <c r="AR87" s="20"/>
      <c r="AS87" s="20"/>
      <c r="AT87" s="2"/>
      <c r="AU87" s="21"/>
      <c r="AV87" s="22"/>
    </row>
    <row r="88">
      <c r="A88" s="28"/>
      <c r="B88" s="29"/>
      <c r="C88" s="24"/>
      <c r="D88" s="24"/>
      <c r="E88" s="30"/>
      <c r="F88" s="30"/>
      <c r="G88" s="27"/>
      <c r="I88" s="28"/>
      <c r="J88" s="29"/>
      <c r="K88" s="32"/>
      <c r="L88" s="24"/>
      <c r="M88" s="30"/>
      <c r="N88" s="30"/>
      <c r="O88" s="27"/>
      <c r="P88" s="7">
        <f t="shared" si="1"/>
        <v>0</v>
      </c>
      <c r="AP88" s="18"/>
      <c r="AQ88" s="19"/>
      <c r="AR88" s="20"/>
      <c r="AS88" s="20"/>
      <c r="AT88" s="2"/>
      <c r="AU88" s="21"/>
      <c r="AV88" s="22"/>
    </row>
    <row r="89">
      <c r="A89" s="28"/>
      <c r="B89" s="29"/>
      <c r="C89" s="24"/>
      <c r="D89" s="24"/>
      <c r="E89" s="30"/>
      <c r="F89" s="30"/>
      <c r="G89" s="27"/>
      <c r="I89" s="28"/>
      <c r="J89" s="29"/>
      <c r="K89" s="32"/>
      <c r="L89" s="24"/>
      <c r="M89" s="30"/>
      <c r="N89" s="30"/>
      <c r="O89" s="27"/>
      <c r="P89" s="7"/>
      <c r="AP89" s="18"/>
      <c r="AQ89" s="19"/>
      <c r="AR89" s="20"/>
      <c r="AS89" s="20"/>
      <c r="AT89" s="2"/>
      <c r="AU89" s="21"/>
      <c r="AV89" s="22"/>
    </row>
    <row r="90">
      <c r="A90" s="28"/>
      <c r="B90" s="29"/>
      <c r="C90" s="32"/>
      <c r="D90" s="24"/>
      <c r="E90" s="30"/>
      <c r="F90" s="30"/>
      <c r="G90" s="27"/>
      <c r="I90" s="28"/>
      <c r="J90" s="29"/>
      <c r="K90" s="32"/>
      <c r="L90" s="24"/>
      <c r="M90" s="30"/>
      <c r="N90" s="30"/>
      <c r="O90" s="27"/>
      <c r="P90" s="7"/>
      <c r="AP90" s="18"/>
      <c r="AQ90" s="19"/>
      <c r="AR90" s="20"/>
      <c r="AS90" s="20"/>
      <c r="AT90" s="2"/>
      <c r="AU90" s="21"/>
      <c r="AV90" s="22"/>
    </row>
    <row r="91">
      <c r="A91" s="28"/>
      <c r="B91" s="29"/>
      <c r="C91" s="32"/>
      <c r="D91" s="24"/>
      <c r="E91" s="30"/>
      <c r="F91" s="30"/>
      <c r="G91" s="27"/>
      <c r="I91" s="28"/>
      <c r="J91" s="29"/>
      <c r="K91" s="32"/>
      <c r="L91" s="24"/>
      <c r="M91" s="30"/>
      <c r="N91" s="30"/>
      <c r="O91" s="27"/>
      <c r="P91" s="7"/>
      <c r="AP91" s="18"/>
      <c r="AQ91" s="19"/>
      <c r="AR91" s="20"/>
      <c r="AS91" s="20"/>
      <c r="AT91" s="2"/>
      <c r="AU91" s="21"/>
      <c r="AV91" s="22"/>
    </row>
    <row r="92">
      <c r="A92" s="28"/>
      <c r="B92" s="29"/>
      <c r="C92" s="32"/>
      <c r="D92" s="24"/>
      <c r="E92" s="30"/>
      <c r="F92" s="30"/>
      <c r="G92" s="27"/>
      <c r="I92" s="28"/>
      <c r="J92" s="29"/>
      <c r="K92" s="32"/>
      <c r="L92" s="24"/>
      <c r="M92" s="30"/>
      <c r="N92" s="30"/>
      <c r="O92" s="27"/>
      <c r="P92" s="7"/>
      <c r="AP92" s="18"/>
      <c r="AQ92" s="19"/>
      <c r="AR92" s="20"/>
      <c r="AS92" s="20"/>
      <c r="AT92" s="2"/>
      <c r="AU92" s="21"/>
      <c r="AV92" s="22"/>
    </row>
    <row r="93">
      <c r="A93" s="28"/>
      <c r="B93" s="29"/>
      <c r="C93" s="32"/>
      <c r="D93" s="24"/>
      <c r="E93" s="30"/>
      <c r="F93" s="30"/>
      <c r="G93" s="27"/>
      <c r="I93" s="28"/>
      <c r="J93" s="29"/>
      <c r="K93" s="32"/>
      <c r="L93" s="24"/>
      <c r="M93" s="30"/>
      <c r="N93" s="30"/>
      <c r="O93" s="27"/>
      <c r="P93" s="7"/>
      <c r="AP93" s="18"/>
      <c r="AQ93" s="19"/>
      <c r="AR93" s="20"/>
      <c r="AS93" s="20"/>
      <c r="AT93" s="2"/>
      <c r="AU93" s="21"/>
      <c r="AV93" s="22"/>
    </row>
    <row r="94">
      <c r="A94" s="28"/>
      <c r="B94" s="29"/>
      <c r="C94" s="32"/>
      <c r="D94" s="24"/>
      <c r="E94" s="30"/>
      <c r="F94" s="30"/>
      <c r="G94" s="27"/>
      <c r="I94" s="28"/>
      <c r="J94" s="29"/>
      <c r="K94" s="32"/>
      <c r="L94" s="24"/>
      <c r="M94" s="30"/>
      <c r="N94" s="30"/>
      <c r="O94" s="27"/>
      <c r="P94" s="7"/>
      <c r="AP94" s="18"/>
      <c r="AQ94" s="19"/>
      <c r="AR94" s="20"/>
      <c r="AS94" s="20"/>
      <c r="AT94" s="2"/>
      <c r="AU94" s="21"/>
      <c r="AV94" s="22"/>
    </row>
    <row r="95">
      <c r="A95" s="28"/>
      <c r="B95" s="29"/>
      <c r="C95" s="32"/>
      <c r="D95" s="24"/>
      <c r="E95" s="30"/>
      <c r="F95" s="30"/>
      <c r="G95" s="27"/>
      <c r="I95" s="28"/>
      <c r="J95" s="29"/>
      <c r="K95" s="32"/>
      <c r="L95" s="24"/>
      <c r="M95" s="30"/>
      <c r="N95" s="30"/>
      <c r="O95" s="27"/>
      <c r="P95" s="7"/>
      <c r="AP95" s="18"/>
      <c r="AQ95" s="19"/>
      <c r="AR95" s="20"/>
      <c r="AS95" s="20"/>
      <c r="AT95" s="2"/>
      <c r="AU95" s="21"/>
      <c r="AV95" s="22"/>
    </row>
    <row r="96">
      <c r="A96" s="28"/>
      <c r="B96" s="29"/>
      <c r="C96" s="32"/>
      <c r="D96" s="24"/>
      <c r="E96" s="30"/>
      <c r="F96" s="30"/>
      <c r="G96" s="27"/>
      <c r="I96" s="28"/>
      <c r="J96" s="29"/>
      <c r="K96" s="32"/>
      <c r="L96" s="24"/>
      <c r="M96" s="30"/>
      <c r="N96" s="30"/>
      <c r="O96" s="27"/>
      <c r="P96" s="7"/>
      <c r="AP96" s="18"/>
      <c r="AQ96" s="19"/>
      <c r="AR96" s="20"/>
      <c r="AS96" s="20"/>
      <c r="AT96" s="2"/>
      <c r="AU96" s="21"/>
      <c r="AV96" s="22"/>
    </row>
    <row r="97">
      <c r="A97" s="28"/>
      <c r="B97" s="29"/>
      <c r="C97" s="24"/>
      <c r="D97" s="24"/>
      <c r="E97" s="30"/>
      <c r="F97" s="30"/>
      <c r="G97" s="27"/>
      <c r="I97" s="28"/>
      <c r="J97" s="29"/>
      <c r="K97" s="32"/>
      <c r="L97" s="24"/>
      <c r="M97" s="30"/>
      <c r="N97" s="30"/>
      <c r="O97" s="27"/>
      <c r="P97" s="7"/>
      <c r="AP97" s="18"/>
      <c r="AQ97" s="19"/>
      <c r="AR97" s="20"/>
      <c r="AS97" s="20"/>
      <c r="AT97" s="2"/>
      <c r="AU97" s="21"/>
      <c r="AV97" s="22"/>
    </row>
    <row r="98">
      <c r="A98" s="28"/>
      <c r="B98" s="29"/>
      <c r="C98" s="24"/>
      <c r="D98" s="24"/>
      <c r="E98" s="30"/>
      <c r="F98" s="30"/>
      <c r="G98" s="27"/>
      <c r="I98" s="28"/>
      <c r="J98" s="29"/>
      <c r="K98" s="32"/>
      <c r="L98" s="24"/>
      <c r="M98" s="30"/>
      <c r="N98" s="30"/>
      <c r="O98" s="27"/>
      <c r="P98" s="7"/>
      <c r="AP98" s="18"/>
      <c r="AQ98" s="19"/>
      <c r="AR98" s="20"/>
      <c r="AS98" s="20"/>
      <c r="AT98" s="2"/>
      <c r="AU98" s="21"/>
      <c r="AV98" s="22"/>
    </row>
    <row r="99">
      <c r="A99" s="28"/>
      <c r="B99" s="29"/>
      <c r="C99" s="32"/>
      <c r="D99" s="24"/>
      <c r="E99" s="30"/>
      <c r="F99" s="30"/>
      <c r="G99" s="27"/>
      <c r="I99" s="28"/>
      <c r="J99" s="29"/>
      <c r="K99" s="32"/>
      <c r="L99" s="24"/>
      <c r="M99" s="30"/>
      <c r="N99" s="30"/>
      <c r="O99" s="27"/>
      <c r="P99" s="7"/>
      <c r="AP99" s="18"/>
      <c r="AQ99" s="19"/>
      <c r="AR99" s="20"/>
      <c r="AS99" s="20"/>
      <c r="AT99" s="2"/>
      <c r="AU99" s="21"/>
      <c r="AV99" s="22"/>
    </row>
    <row r="100">
      <c r="A100" s="28"/>
      <c r="B100" s="29"/>
      <c r="C100" s="32"/>
      <c r="D100" s="24"/>
      <c r="E100" s="30"/>
      <c r="F100" s="30"/>
      <c r="G100" s="27"/>
      <c r="I100" s="28"/>
      <c r="J100" s="29"/>
      <c r="K100" s="32"/>
      <c r="L100" s="24"/>
      <c r="M100" s="30"/>
      <c r="N100" s="30"/>
      <c r="O100" s="27"/>
      <c r="P100" s="7"/>
      <c r="AP100" s="18"/>
      <c r="AQ100" s="19"/>
      <c r="AR100" s="20"/>
      <c r="AS100" s="20"/>
      <c r="AT100" s="2"/>
      <c r="AU100" s="21"/>
      <c r="AV100" s="22"/>
    </row>
    <row r="101">
      <c r="A101" s="28"/>
      <c r="B101" s="29"/>
      <c r="C101" s="32"/>
      <c r="D101" s="24"/>
      <c r="E101" s="30"/>
      <c r="F101" s="30"/>
      <c r="G101" s="27"/>
      <c r="I101" s="28"/>
      <c r="J101" s="29"/>
      <c r="K101" s="32"/>
      <c r="L101" s="24"/>
      <c r="M101" s="30"/>
      <c r="N101" s="30"/>
      <c r="O101" s="27"/>
      <c r="P101" s="7"/>
      <c r="AP101" s="18"/>
      <c r="AQ101" s="19"/>
      <c r="AR101" s="20"/>
      <c r="AS101" s="20"/>
      <c r="AT101" s="2"/>
      <c r="AU101" s="21"/>
      <c r="AV101" s="22"/>
    </row>
    <row r="102">
      <c r="A102" s="28"/>
      <c r="B102" s="29"/>
      <c r="C102" s="32"/>
      <c r="D102" s="24"/>
      <c r="E102" s="30"/>
      <c r="F102" s="30"/>
      <c r="G102" s="27"/>
      <c r="I102" s="28"/>
      <c r="J102" s="29"/>
      <c r="K102" s="32"/>
      <c r="L102" s="24"/>
      <c r="M102" s="30"/>
      <c r="N102" s="30"/>
      <c r="O102" s="27"/>
      <c r="P102" s="7"/>
      <c r="AP102" s="18"/>
      <c r="AQ102" s="19"/>
      <c r="AR102" s="20"/>
      <c r="AS102" s="20"/>
      <c r="AT102" s="2"/>
      <c r="AU102" s="21"/>
      <c r="AV102" s="22"/>
    </row>
    <row r="103">
      <c r="A103" s="28"/>
      <c r="B103" s="29"/>
      <c r="C103" s="32"/>
      <c r="D103" s="24"/>
      <c r="E103" s="30"/>
      <c r="F103" s="30"/>
      <c r="G103" s="27"/>
      <c r="I103" s="28"/>
      <c r="J103" s="29"/>
      <c r="K103" s="32"/>
      <c r="L103" s="24"/>
      <c r="M103" s="30"/>
      <c r="N103" s="30"/>
      <c r="O103" s="27"/>
      <c r="P103" s="7"/>
      <c r="AP103" s="18"/>
      <c r="AQ103" s="19"/>
      <c r="AR103" s="20"/>
      <c r="AS103" s="20"/>
      <c r="AT103" s="2"/>
      <c r="AU103" s="21"/>
      <c r="AV103" s="22"/>
    </row>
    <row r="104">
      <c r="A104" s="28"/>
      <c r="B104" s="29"/>
      <c r="C104" s="32"/>
      <c r="D104" s="24"/>
      <c r="E104" s="30"/>
      <c r="F104" s="30"/>
      <c r="G104" s="27"/>
      <c r="I104" s="28"/>
      <c r="J104" s="29"/>
      <c r="K104" s="32"/>
      <c r="L104" s="24"/>
      <c r="M104" s="30"/>
      <c r="N104" s="30"/>
      <c r="O104" s="27"/>
      <c r="P104" s="7"/>
      <c r="AP104" s="18"/>
      <c r="AQ104" s="19"/>
      <c r="AR104" s="20"/>
      <c r="AS104" s="20"/>
      <c r="AT104" s="2"/>
      <c r="AU104" s="21"/>
      <c r="AV104" s="22"/>
    </row>
    <row r="105">
      <c r="A105" s="28"/>
      <c r="B105" s="29"/>
      <c r="C105" s="32"/>
      <c r="D105" s="24"/>
      <c r="E105" s="30"/>
      <c r="F105" s="30"/>
      <c r="G105" s="27"/>
      <c r="I105" s="28"/>
      <c r="J105" s="29"/>
      <c r="K105" s="32"/>
      <c r="L105" s="24"/>
      <c r="M105" s="30"/>
      <c r="N105" s="30"/>
      <c r="O105" s="27"/>
      <c r="P105" s="7"/>
      <c r="AP105" s="18"/>
      <c r="AQ105" s="19"/>
      <c r="AR105" s="20"/>
      <c r="AS105" s="20"/>
      <c r="AT105" s="2"/>
      <c r="AU105" s="21"/>
      <c r="AV105" s="22"/>
    </row>
    <row r="106">
      <c r="A106" s="28"/>
      <c r="B106" s="29"/>
      <c r="C106" s="32"/>
      <c r="D106" s="24"/>
      <c r="E106" s="30"/>
      <c r="F106" s="30"/>
      <c r="G106" s="27"/>
      <c r="I106" s="28"/>
      <c r="J106" s="29"/>
      <c r="K106" s="32"/>
      <c r="L106" s="24"/>
      <c r="M106" s="30"/>
      <c r="N106" s="30"/>
      <c r="O106" s="27"/>
      <c r="P106" s="7"/>
      <c r="AP106" s="18"/>
      <c r="AQ106" s="19"/>
      <c r="AR106" s="20"/>
      <c r="AS106" s="20"/>
      <c r="AT106" s="2"/>
      <c r="AU106" s="21"/>
      <c r="AV106" s="22"/>
    </row>
    <row r="107">
      <c r="A107" s="28"/>
      <c r="B107" s="29"/>
      <c r="C107" s="32"/>
      <c r="D107" s="24"/>
      <c r="E107" s="30"/>
      <c r="F107" s="30"/>
      <c r="G107" s="27"/>
      <c r="I107" s="28"/>
      <c r="J107" s="29"/>
      <c r="K107" s="32"/>
      <c r="L107" s="24"/>
      <c r="M107" s="30"/>
      <c r="N107" s="30"/>
      <c r="O107" s="27"/>
      <c r="P107" s="7"/>
      <c r="AP107" s="18"/>
      <c r="AQ107" s="19"/>
      <c r="AR107" s="20"/>
      <c r="AS107" s="20"/>
      <c r="AT107" s="2"/>
      <c r="AU107" s="21"/>
      <c r="AV107" s="22"/>
    </row>
    <row r="108">
      <c r="A108" s="28"/>
      <c r="B108" s="29"/>
      <c r="C108" s="32"/>
      <c r="D108" s="24"/>
      <c r="E108" s="30"/>
      <c r="F108" s="30"/>
      <c r="G108" s="27"/>
      <c r="I108" s="28"/>
      <c r="J108" s="29"/>
      <c r="K108" s="32"/>
      <c r="L108" s="24"/>
      <c r="M108" s="30"/>
      <c r="N108" s="30"/>
      <c r="O108" s="27"/>
      <c r="P108" s="7"/>
      <c r="AP108" s="18"/>
      <c r="AQ108" s="19"/>
      <c r="AR108" s="20"/>
      <c r="AS108" s="20"/>
      <c r="AT108" s="2"/>
      <c r="AU108" s="21"/>
      <c r="AV108" s="22"/>
    </row>
    <row r="109">
      <c r="A109" s="28"/>
      <c r="B109" s="29"/>
      <c r="C109" s="32"/>
      <c r="D109" s="24"/>
      <c r="E109" s="30"/>
      <c r="F109" s="30"/>
      <c r="G109" s="27"/>
      <c r="I109" s="28"/>
      <c r="J109" s="29"/>
      <c r="K109" s="32"/>
      <c r="L109" s="24"/>
      <c r="M109" s="30"/>
      <c r="N109" s="30"/>
      <c r="O109" s="27"/>
      <c r="P109" s="7"/>
      <c r="AP109" s="18"/>
      <c r="AQ109" s="19"/>
      <c r="AR109" s="20"/>
      <c r="AS109" s="20"/>
      <c r="AT109" s="2"/>
      <c r="AU109" s="21"/>
      <c r="AV109" s="22"/>
    </row>
    <row r="110">
      <c r="A110" s="28"/>
      <c r="B110" s="29"/>
      <c r="C110" s="32"/>
      <c r="D110" s="24"/>
      <c r="E110" s="30"/>
      <c r="F110" s="30"/>
      <c r="G110" s="27"/>
      <c r="I110" s="28"/>
      <c r="J110" s="29"/>
      <c r="K110" s="32"/>
      <c r="L110" s="24"/>
      <c r="M110" s="30"/>
      <c r="N110" s="30"/>
      <c r="O110" s="27"/>
      <c r="P110" s="7"/>
      <c r="AP110" s="18"/>
      <c r="AQ110" s="19"/>
      <c r="AR110" s="20"/>
      <c r="AS110" s="20"/>
      <c r="AT110" s="2"/>
      <c r="AU110" s="21"/>
      <c r="AV110" s="22"/>
    </row>
    <row r="111">
      <c r="A111" s="28"/>
      <c r="B111" s="29"/>
      <c r="C111" s="32"/>
      <c r="D111" s="24"/>
      <c r="E111" s="30"/>
      <c r="F111" s="30"/>
      <c r="G111" s="27"/>
      <c r="I111" s="28"/>
      <c r="J111" s="29"/>
      <c r="K111" s="32"/>
      <c r="L111" s="24"/>
      <c r="M111" s="30"/>
      <c r="N111" s="30"/>
      <c r="O111" s="27"/>
      <c r="P111" s="7"/>
      <c r="AP111" s="18"/>
      <c r="AQ111" s="19"/>
      <c r="AR111" s="20"/>
      <c r="AS111" s="20"/>
      <c r="AT111" s="2"/>
      <c r="AU111" s="21"/>
      <c r="AV111" s="22"/>
    </row>
    <row r="112">
      <c r="A112" s="28"/>
      <c r="B112" s="29"/>
      <c r="C112" s="32"/>
      <c r="D112" s="24"/>
      <c r="E112" s="30"/>
      <c r="F112" s="30"/>
      <c r="G112" s="27"/>
      <c r="I112" s="28"/>
      <c r="J112" s="29"/>
      <c r="K112" s="32"/>
      <c r="L112" s="24"/>
      <c r="M112" s="30"/>
      <c r="N112" s="30"/>
      <c r="O112" s="27"/>
      <c r="P112" s="7"/>
      <c r="AP112" s="18"/>
      <c r="AQ112" s="19"/>
      <c r="AR112" s="20"/>
      <c r="AS112" s="20"/>
      <c r="AT112" s="2"/>
      <c r="AU112" s="21"/>
      <c r="AV112" s="22"/>
    </row>
    <row r="113">
      <c r="A113" s="28"/>
      <c r="B113" s="29"/>
      <c r="C113" s="32"/>
      <c r="D113" s="24"/>
      <c r="E113" s="30"/>
      <c r="F113" s="30"/>
      <c r="G113" s="27"/>
      <c r="I113" s="28"/>
      <c r="J113" s="29"/>
      <c r="K113" s="24"/>
      <c r="L113" s="24"/>
      <c r="M113" s="30"/>
      <c r="N113" s="30"/>
      <c r="O113" s="27"/>
      <c r="P113" s="7"/>
      <c r="AP113" s="18"/>
      <c r="AQ113" s="19"/>
      <c r="AR113" s="20"/>
      <c r="AS113" s="20"/>
      <c r="AT113" s="2"/>
      <c r="AU113" s="21"/>
      <c r="AV113" s="22"/>
    </row>
    <row r="114">
      <c r="A114" s="28"/>
      <c r="B114" s="29"/>
      <c r="C114" s="32"/>
      <c r="D114" s="24"/>
      <c r="E114" s="30"/>
      <c r="F114" s="30"/>
      <c r="G114" s="27"/>
      <c r="I114" s="28"/>
      <c r="J114" s="29"/>
      <c r="K114" s="24"/>
      <c r="L114" s="24"/>
      <c r="M114" s="30"/>
      <c r="N114" s="30"/>
      <c r="O114" s="27"/>
      <c r="P114" s="7"/>
      <c r="AP114" s="18"/>
      <c r="AQ114" s="19"/>
      <c r="AR114" s="20"/>
      <c r="AS114" s="20"/>
      <c r="AT114" s="2"/>
      <c r="AU114" s="21"/>
      <c r="AV114" s="22"/>
    </row>
    <row r="115">
      <c r="A115" s="28"/>
      <c r="B115" s="29"/>
      <c r="C115" s="32"/>
      <c r="D115" s="24"/>
      <c r="E115" s="30"/>
      <c r="F115" s="30"/>
      <c r="G115" s="27"/>
      <c r="I115" s="28"/>
      <c r="J115" s="29"/>
      <c r="K115" s="24"/>
      <c r="L115" s="24"/>
      <c r="M115" s="30"/>
      <c r="N115" s="30"/>
      <c r="O115" s="27"/>
      <c r="P115" s="7"/>
      <c r="AP115" s="18"/>
      <c r="AQ115" s="19"/>
      <c r="AR115" s="20"/>
      <c r="AS115" s="20"/>
      <c r="AT115" s="2"/>
      <c r="AU115" s="21"/>
      <c r="AV115" s="22"/>
    </row>
    <row r="116">
      <c r="A116" s="28"/>
      <c r="B116" s="29"/>
      <c r="C116" s="32"/>
      <c r="D116" s="24"/>
      <c r="E116" s="30"/>
      <c r="F116" s="30"/>
      <c r="G116" s="27"/>
      <c r="I116" s="28"/>
      <c r="J116" s="29"/>
      <c r="K116" s="24"/>
      <c r="L116" s="24"/>
      <c r="M116" s="30"/>
      <c r="N116" s="30"/>
      <c r="O116" s="27"/>
      <c r="P116" s="7"/>
      <c r="AP116" s="18"/>
      <c r="AQ116" s="19"/>
      <c r="AR116" s="20"/>
      <c r="AS116" s="20"/>
      <c r="AT116" s="2"/>
      <c r="AU116" s="21"/>
      <c r="AV116" s="22"/>
    </row>
    <row r="117">
      <c r="A117" s="28"/>
      <c r="B117" s="29"/>
      <c r="C117" s="32"/>
      <c r="D117" s="24"/>
      <c r="E117" s="30"/>
      <c r="F117" s="30"/>
      <c r="G117" s="27"/>
      <c r="I117" s="28"/>
      <c r="J117" s="29"/>
      <c r="K117" s="24"/>
      <c r="L117" s="24"/>
      <c r="M117" s="30"/>
      <c r="N117" s="30"/>
      <c r="O117" s="27"/>
      <c r="P117" s="7"/>
      <c r="AP117" s="18"/>
      <c r="AQ117" s="39"/>
      <c r="AR117" s="40"/>
      <c r="AS117" s="40"/>
      <c r="AT117" s="41"/>
      <c r="AU117" s="42"/>
      <c r="AV117" s="43"/>
    </row>
    <row r="118">
      <c r="A118" s="28"/>
      <c r="B118" s="29"/>
      <c r="C118" s="32"/>
      <c r="D118" s="24"/>
      <c r="E118" s="30"/>
      <c r="F118" s="30"/>
      <c r="G118" s="27"/>
      <c r="I118" s="28"/>
      <c r="J118" s="29"/>
      <c r="K118" s="32"/>
      <c r="L118" s="24"/>
      <c r="M118" s="30"/>
      <c r="N118" s="30"/>
      <c r="O118" s="27"/>
      <c r="P118" s="7"/>
      <c r="AP118" s="18"/>
      <c r="AQ118" s="19"/>
      <c r="AR118" s="20"/>
      <c r="AS118" s="20"/>
      <c r="AT118" s="2"/>
      <c r="AU118" s="21"/>
      <c r="AV118" s="22"/>
    </row>
    <row r="119">
      <c r="A119" s="28"/>
      <c r="B119" s="29"/>
      <c r="C119" s="32"/>
      <c r="D119" s="24"/>
      <c r="E119" s="30"/>
      <c r="F119" s="30"/>
      <c r="G119" s="27"/>
      <c r="I119" s="28"/>
      <c r="J119" s="29"/>
      <c r="K119" s="32"/>
      <c r="L119" s="24"/>
      <c r="M119" s="30"/>
      <c r="N119" s="30"/>
      <c r="O119" s="27"/>
      <c r="P119" s="7"/>
      <c r="AP119" s="18"/>
      <c r="AQ119" s="19"/>
      <c r="AR119" s="20"/>
      <c r="AS119" s="20"/>
      <c r="AT119" s="2"/>
      <c r="AU119" s="21"/>
      <c r="AV119" s="22"/>
    </row>
    <row r="120">
      <c r="A120" s="28"/>
      <c r="B120" s="29"/>
      <c r="C120" s="32"/>
      <c r="D120" s="24"/>
      <c r="E120" s="30"/>
      <c r="F120" s="30"/>
      <c r="G120" s="27"/>
      <c r="I120" s="28"/>
      <c r="J120" s="29"/>
      <c r="K120" s="24"/>
      <c r="L120" s="24"/>
      <c r="M120" s="30"/>
      <c r="N120" s="30"/>
      <c r="O120" s="27"/>
      <c r="P120" s="7"/>
      <c r="AP120" s="18"/>
      <c r="AQ120" s="19"/>
      <c r="AR120" s="20"/>
      <c r="AS120" s="20"/>
      <c r="AT120" s="2"/>
      <c r="AU120" s="21"/>
      <c r="AV120" s="22"/>
    </row>
    <row r="121">
      <c r="A121" s="28"/>
      <c r="B121" s="29"/>
      <c r="C121" s="32"/>
      <c r="D121" s="24"/>
      <c r="E121" s="30"/>
      <c r="F121" s="30"/>
      <c r="G121" s="27"/>
      <c r="I121" s="28"/>
      <c r="J121" s="29"/>
      <c r="K121" s="24"/>
      <c r="L121" s="24"/>
      <c r="M121" s="30"/>
      <c r="N121" s="30"/>
      <c r="O121" s="27"/>
      <c r="P121" s="7"/>
      <c r="AP121" s="18"/>
      <c r="AQ121" s="19"/>
      <c r="AR121" s="20"/>
      <c r="AS121" s="20"/>
      <c r="AT121" s="2"/>
      <c r="AU121" s="21"/>
      <c r="AV121" s="22"/>
    </row>
    <row r="122">
      <c r="A122" s="28"/>
      <c r="B122" s="29"/>
      <c r="C122" s="32"/>
      <c r="D122" s="24"/>
      <c r="E122" s="30"/>
      <c r="F122" s="30"/>
      <c r="G122" s="27"/>
      <c r="I122" s="28"/>
      <c r="J122" s="29"/>
      <c r="K122" s="32"/>
      <c r="L122" s="24"/>
      <c r="M122" s="30"/>
      <c r="N122" s="30"/>
      <c r="O122" s="27"/>
      <c r="P122" s="7"/>
      <c r="AP122" s="18"/>
      <c r="AQ122" s="19"/>
      <c r="AR122" s="20"/>
      <c r="AS122" s="20"/>
      <c r="AT122" s="2"/>
      <c r="AU122" s="21"/>
      <c r="AV122" s="22"/>
    </row>
    <row r="123">
      <c r="A123" s="28"/>
      <c r="B123" s="29"/>
      <c r="C123" s="32"/>
      <c r="D123" s="24"/>
      <c r="E123" s="30"/>
      <c r="F123" s="30"/>
      <c r="G123" s="27"/>
      <c r="I123" s="28"/>
      <c r="J123" s="29"/>
      <c r="K123" s="32"/>
      <c r="L123" s="24"/>
      <c r="M123" s="30"/>
      <c r="N123" s="30"/>
      <c r="O123" s="27"/>
      <c r="P123" s="7"/>
      <c r="AP123" s="18"/>
      <c r="AQ123" s="19"/>
      <c r="AR123" s="20"/>
      <c r="AS123" s="20"/>
      <c r="AT123" s="2"/>
      <c r="AU123" s="21"/>
      <c r="AV123" s="22"/>
    </row>
    <row r="124">
      <c r="A124" s="28"/>
      <c r="B124" s="29"/>
      <c r="C124" s="32"/>
      <c r="D124" s="24"/>
      <c r="E124" s="30"/>
      <c r="F124" s="30"/>
      <c r="G124" s="27"/>
      <c r="I124" s="28"/>
      <c r="J124" s="29"/>
      <c r="K124" s="32"/>
      <c r="L124" s="24"/>
      <c r="M124" s="30"/>
      <c r="N124" s="30"/>
      <c r="O124" s="27"/>
      <c r="P124" s="7"/>
      <c r="AP124" s="18"/>
      <c r="AQ124" s="19"/>
      <c r="AR124" s="20"/>
      <c r="AS124" s="20"/>
      <c r="AT124" s="2"/>
      <c r="AU124" s="21"/>
      <c r="AV124" s="22"/>
    </row>
    <row r="125">
      <c r="A125" s="28"/>
      <c r="B125" s="29"/>
      <c r="C125" s="32"/>
      <c r="D125" s="24"/>
      <c r="E125" s="30"/>
      <c r="F125" s="30"/>
      <c r="G125" s="27"/>
      <c r="I125" s="28"/>
      <c r="J125" s="29"/>
      <c r="K125" s="32"/>
      <c r="L125" s="24"/>
      <c r="M125" s="30"/>
      <c r="N125" s="30"/>
      <c r="O125" s="27"/>
      <c r="P125" s="7"/>
      <c r="AP125" s="18"/>
      <c r="AQ125" s="19"/>
      <c r="AR125" s="20"/>
      <c r="AS125" s="20"/>
      <c r="AT125" s="2"/>
      <c r="AU125" s="21"/>
      <c r="AV125" s="22"/>
    </row>
    <row r="126">
      <c r="A126" s="28"/>
      <c r="B126" s="29"/>
      <c r="C126" s="32"/>
      <c r="D126" s="24"/>
      <c r="E126" s="30"/>
      <c r="F126" s="30"/>
      <c r="G126" s="27"/>
      <c r="I126" s="28"/>
      <c r="J126" s="29"/>
      <c r="K126" s="24"/>
      <c r="L126" s="24"/>
      <c r="M126" s="30"/>
      <c r="N126" s="30"/>
      <c r="O126" s="27"/>
      <c r="P126" s="7"/>
      <c r="AP126" s="18"/>
      <c r="AQ126" s="19"/>
      <c r="AR126" s="20"/>
      <c r="AS126" s="20"/>
      <c r="AT126" s="2"/>
      <c r="AU126" s="21"/>
      <c r="AV126" s="22"/>
    </row>
    <row r="127">
      <c r="A127" s="28"/>
      <c r="B127" s="29"/>
      <c r="C127" s="32"/>
      <c r="D127" s="24"/>
      <c r="E127" s="30"/>
      <c r="F127" s="30"/>
      <c r="G127" s="27"/>
      <c r="I127" s="28"/>
      <c r="J127" s="29"/>
      <c r="K127" s="24"/>
      <c r="L127" s="24"/>
      <c r="M127" s="30"/>
      <c r="N127" s="30"/>
      <c r="O127" s="27"/>
      <c r="P127" s="7"/>
      <c r="AP127" s="18"/>
      <c r="AQ127" s="19"/>
      <c r="AR127" s="20"/>
      <c r="AS127" s="20"/>
      <c r="AT127" s="2"/>
      <c r="AU127" s="21"/>
      <c r="AV127" s="22"/>
    </row>
    <row r="128">
      <c r="A128" s="28"/>
      <c r="B128" s="29"/>
      <c r="C128" s="32"/>
      <c r="D128" s="24"/>
      <c r="E128" s="30"/>
      <c r="F128" s="30"/>
      <c r="G128" s="27"/>
      <c r="I128" s="28"/>
      <c r="J128" s="29"/>
      <c r="K128" s="24"/>
      <c r="L128" s="24"/>
      <c r="M128" s="30"/>
      <c r="N128" s="30"/>
      <c r="O128" s="27"/>
      <c r="P128" s="7"/>
      <c r="AP128" s="18"/>
      <c r="AQ128" s="19"/>
      <c r="AR128" s="20"/>
      <c r="AS128" s="20"/>
      <c r="AT128" s="2"/>
      <c r="AU128" s="21"/>
      <c r="AV128" s="22"/>
    </row>
    <row r="129">
      <c r="A129" s="28"/>
      <c r="B129" s="29"/>
      <c r="C129" s="32"/>
      <c r="D129" s="24"/>
      <c r="E129" s="30"/>
      <c r="F129" s="30"/>
      <c r="G129" s="27"/>
      <c r="I129" s="28"/>
      <c r="J129" s="29"/>
      <c r="K129" s="24"/>
      <c r="L129" s="24"/>
      <c r="M129" s="30"/>
      <c r="N129" s="30"/>
      <c r="O129" s="27"/>
      <c r="P129" s="7"/>
      <c r="AP129" s="18"/>
      <c r="AQ129" s="19"/>
      <c r="AR129" s="20"/>
      <c r="AS129" s="20"/>
      <c r="AT129" s="2"/>
      <c r="AU129" s="21"/>
      <c r="AV129" s="22"/>
    </row>
    <row r="130">
      <c r="A130" s="28"/>
      <c r="B130" s="29"/>
      <c r="C130" s="32"/>
      <c r="D130" s="24"/>
      <c r="E130" s="30"/>
      <c r="F130" s="30"/>
      <c r="G130" s="27"/>
      <c r="I130" s="28"/>
      <c r="J130" s="29"/>
      <c r="K130" s="24"/>
      <c r="L130" s="24"/>
      <c r="M130" s="30"/>
      <c r="N130" s="30"/>
      <c r="O130" s="27"/>
      <c r="P130" s="7"/>
      <c r="AP130" s="18"/>
      <c r="AQ130" s="19"/>
      <c r="AR130" s="20"/>
      <c r="AS130" s="20"/>
      <c r="AT130" s="2"/>
      <c r="AU130" s="21"/>
      <c r="AV130" s="22"/>
    </row>
    <row r="131">
      <c r="A131" s="28"/>
      <c r="B131" s="29"/>
      <c r="C131" s="32"/>
      <c r="D131" s="24"/>
      <c r="E131" s="30"/>
      <c r="F131" s="30"/>
      <c r="G131" s="27"/>
      <c r="I131" s="28"/>
      <c r="J131" s="29"/>
      <c r="K131" s="32"/>
      <c r="L131" s="24"/>
      <c r="M131" s="30"/>
      <c r="N131" s="30"/>
      <c r="O131" s="27"/>
      <c r="P131" s="7"/>
      <c r="AP131" s="18"/>
      <c r="AQ131" s="19"/>
      <c r="AR131" s="20"/>
      <c r="AS131" s="20"/>
      <c r="AT131" s="2"/>
      <c r="AU131" s="21"/>
      <c r="AV131" s="22"/>
    </row>
    <row r="132">
      <c r="A132" s="28"/>
      <c r="B132" s="29"/>
      <c r="C132" s="32"/>
      <c r="D132" s="24"/>
      <c r="E132" s="30"/>
      <c r="F132" s="30"/>
      <c r="G132" s="27"/>
      <c r="I132" s="28"/>
      <c r="J132" s="29"/>
      <c r="K132" s="32"/>
      <c r="L132" s="24"/>
      <c r="M132" s="30"/>
      <c r="N132" s="30"/>
      <c r="O132" s="27"/>
      <c r="P132" s="7"/>
      <c r="AP132" s="18"/>
      <c r="AQ132" s="19"/>
      <c r="AR132" s="20"/>
      <c r="AS132" s="20"/>
      <c r="AT132" s="2"/>
      <c r="AU132" s="21"/>
      <c r="AV132" s="22"/>
    </row>
    <row r="133">
      <c r="A133" s="28"/>
      <c r="B133" s="29"/>
      <c r="C133" s="32"/>
      <c r="D133" s="24"/>
      <c r="E133" s="30"/>
      <c r="F133" s="30"/>
      <c r="G133" s="27"/>
      <c r="I133" s="28"/>
      <c r="J133" s="29"/>
      <c r="K133" s="32"/>
      <c r="L133" s="24"/>
      <c r="M133" s="30"/>
      <c r="N133" s="30"/>
      <c r="O133" s="27"/>
      <c r="P133" s="7"/>
      <c r="AP133" s="18"/>
      <c r="AQ133" s="19"/>
      <c r="AR133" s="20"/>
      <c r="AS133" s="20"/>
      <c r="AT133" s="2"/>
      <c r="AU133" s="21"/>
      <c r="AV133" s="22"/>
    </row>
    <row r="134">
      <c r="A134" s="28"/>
      <c r="B134" s="29"/>
      <c r="C134" s="32"/>
      <c r="D134" s="24"/>
      <c r="E134" s="30"/>
      <c r="F134" s="30"/>
      <c r="G134" s="27"/>
      <c r="I134" s="28"/>
      <c r="J134" s="29"/>
      <c r="K134" s="32"/>
      <c r="L134" s="24"/>
      <c r="M134" s="30"/>
      <c r="N134" s="30"/>
      <c r="O134" s="27"/>
      <c r="P134" s="7"/>
      <c r="AP134" s="18"/>
      <c r="AQ134" s="19"/>
      <c r="AR134" s="20"/>
      <c r="AS134" s="20"/>
      <c r="AT134" s="2"/>
      <c r="AU134" s="21"/>
      <c r="AV134" s="22"/>
    </row>
    <row r="135">
      <c r="A135" s="28"/>
      <c r="B135" s="29"/>
      <c r="C135" s="32"/>
      <c r="D135" s="24"/>
      <c r="E135" s="30"/>
      <c r="F135" s="30"/>
      <c r="G135" s="27"/>
      <c r="I135" s="28"/>
      <c r="J135" s="29"/>
      <c r="K135" s="24"/>
      <c r="L135" s="24"/>
      <c r="M135" s="30"/>
      <c r="N135" s="30"/>
      <c r="O135" s="27"/>
      <c r="P135" s="7"/>
      <c r="AP135" s="18"/>
      <c r="AQ135" s="19"/>
      <c r="AR135" s="20"/>
      <c r="AS135" s="20"/>
      <c r="AT135" s="2"/>
      <c r="AU135" s="21"/>
      <c r="AV135" s="22"/>
    </row>
    <row r="136">
      <c r="A136" s="28"/>
      <c r="B136" s="29"/>
      <c r="C136" s="32"/>
      <c r="D136" s="24"/>
      <c r="E136" s="30"/>
      <c r="F136" s="30"/>
      <c r="G136" s="27"/>
      <c r="I136" s="28"/>
      <c r="J136" s="29"/>
      <c r="K136" s="32"/>
      <c r="L136" s="24"/>
      <c r="M136" s="30"/>
      <c r="N136" s="30"/>
      <c r="O136" s="27"/>
      <c r="P136" s="7"/>
      <c r="AP136" s="18"/>
      <c r="AQ136" s="19"/>
      <c r="AR136" s="20"/>
      <c r="AS136" s="20"/>
      <c r="AT136" s="2"/>
      <c r="AU136" s="21"/>
      <c r="AV136" s="22"/>
    </row>
    <row r="137">
      <c r="A137" s="28"/>
      <c r="B137" s="29"/>
      <c r="C137" s="32"/>
      <c r="D137" s="24"/>
      <c r="E137" s="30"/>
      <c r="F137" s="30"/>
      <c r="G137" s="27"/>
      <c r="I137" s="28"/>
      <c r="J137" s="29"/>
      <c r="K137" s="32"/>
      <c r="L137" s="24"/>
      <c r="M137" s="30"/>
      <c r="N137" s="30"/>
      <c r="O137" s="27"/>
      <c r="P137" s="7"/>
      <c r="AP137" s="18"/>
      <c r="AQ137" s="19"/>
      <c r="AR137" s="20"/>
      <c r="AS137" s="20"/>
      <c r="AT137" s="2"/>
      <c r="AU137" s="21"/>
      <c r="AV137" s="22"/>
    </row>
    <row r="138">
      <c r="A138" s="28"/>
      <c r="B138" s="29"/>
      <c r="C138" s="24"/>
      <c r="D138" s="24"/>
      <c r="E138" s="30"/>
      <c r="F138" s="30"/>
      <c r="G138" s="27"/>
      <c r="I138" s="28"/>
      <c r="J138" s="29"/>
      <c r="K138" s="32"/>
      <c r="L138" s="24"/>
      <c r="M138" s="30"/>
      <c r="N138" s="30"/>
      <c r="O138" s="27"/>
      <c r="P138" s="7"/>
      <c r="AP138" s="18"/>
      <c r="AQ138" s="19"/>
      <c r="AR138" s="20"/>
      <c r="AS138" s="20"/>
      <c r="AT138" s="2"/>
      <c r="AU138" s="21"/>
      <c r="AV138" s="22"/>
    </row>
    <row r="139">
      <c r="A139" s="28"/>
      <c r="B139" s="29"/>
      <c r="C139" s="24"/>
      <c r="D139" s="24"/>
      <c r="E139" s="30"/>
      <c r="F139" s="30"/>
      <c r="G139" s="27"/>
      <c r="I139" s="28"/>
      <c r="J139" s="29"/>
      <c r="K139" s="32"/>
      <c r="L139" s="24"/>
      <c r="M139" s="30"/>
      <c r="N139" s="30"/>
      <c r="O139" s="27"/>
      <c r="P139" s="7"/>
      <c r="AP139" s="18"/>
      <c r="AQ139" s="19"/>
      <c r="AR139" s="20"/>
      <c r="AS139" s="20"/>
      <c r="AT139" s="2"/>
      <c r="AU139" s="21"/>
      <c r="AV139" s="22"/>
    </row>
    <row r="140">
      <c r="A140" s="28"/>
      <c r="B140" s="29"/>
      <c r="C140" s="24"/>
      <c r="D140" s="24"/>
      <c r="E140" s="30"/>
      <c r="F140" s="30"/>
      <c r="G140" s="27"/>
      <c r="I140" s="28"/>
      <c r="J140" s="29"/>
      <c r="K140" s="32"/>
      <c r="L140" s="24"/>
      <c r="M140" s="30"/>
      <c r="N140" s="30"/>
      <c r="O140" s="27"/>
      <c r="P140" s="7"/>
      <c r="AP140" s="18"/>
      <c r="AQ140" s="19"/>
      <c r="AR140" s="20"/>
      <c r="AS140" s="20"/>
      <c r="AT140" s="2"/>
      <c r="AU140" s="21"/>
      <c r="AV140" s="22"/>
    </row>
    <row r="141">
      <c r="A141" s="28"/>
      <c r="B141" s="29"/>
      <c r="C141" s="24"/>
      <c r="D141" s="24"/>
      <c r="E141" s="30"/>
      <c r="F141" s="30"/>
      <c r="G141" s="27"/>
      <c r="I141" s="28"/>
      <c r="J141" s="29"/>
      <c r="K141" s="32"/>
      <c r="L141" s="24"/>
      <c r="M141" s="30"/>
      <c r="N141" s="30"/>
      <c r="O141" s="27"/>
      <c r="P141" s="7"/>
      <c r="AP141" s="18"/>
      <c r="AQ141" s="19"/>
      <c r="AR141" s="20"/>
      <c r="AS141" s="20"/>
      <c r="AT141" s="2"/>
      <c r="AU141" s="21"/>
      <c r="AV141" s="22"/>
    </row>
    <row r="142">
      <c r="A142" s="28"/>
      <c r="B142" s="29"/>
      <c r="C142" s="24"/>
      <c r="D142" s="24"/>
      <c r="E142" s="30"/>
      <c r="F142" s="30"/>
      <c r="G142" s="27"/>
      <c r="I142" s="28"/>
      <c r="J142" s="29"/>
      <c r="K142" s="24"/>
      <c r="L142" s="24"/>
      <c r="M142" s="30"/>
      <c r="N142" s="30"/>
      <c r="O142" s="27"/>
      <c r="P142" s="7"/>
      <c r="AP142" s="18"/>
      <c r="AQ142" s="19"/>
      <c r="AR142" s="20"/>
      <c r="AS142" s="20"/>
      <c r="AT142" s="2"/>
      <c r="AU142" s="21"/>
      <c r="AV142" s="22"/>
    </row>
    <row r="143">
      <c r="A143" s="28"/>
      <c r="B143" s="29"/>
      <c r="C143" s="32"/>
      <c r="D143" s="24"/>
      <c r="E143" s="30"/>
      <c r="F143" s="30"/>
      <c r="G143" s="27"/>
      <c r="I143" s="28"/>
      <c r="J143" s="29"/>
      <c r="K143" s="24"/>
      <c r="L143" s="24"/>
      <c r="M143" s="30"/>
      <c r="N143" s="30"/>
      <c r="O143" s="27"/>
      <c r="P143" s="7"/>
      <c r="AP143" s="18"/>
      <c r="AQ143" s="19"/>
      <c r="AR143" s="20"/>
      <c r="AS143" s="20"/>
      <c r="AT143" s="2"/>
      <c r="AU143" s="21"/>
      <c r="AV143" s="22"/>
    </row>
    <row r="144">
      <c r="A144" s="28"/>
      <c r="B144" s="29"/>
      <c r="C144" s="32"/>
      <c r="D144" s="24"/>
      <c r="E144" s="30"/>
      <c r="F144" s="30"/>
      <c r="G144" s="27"/>
      <c r="I144" s="28"/>
      <c r="J144" s="29"/>
      <c r="K144" s="24"/>
      <c r="L144" s="24"/>
      <c r="M144" s="30"/>
      <c r="N144" s="30"/>
      <c r="O144" s="27"/>
      <c r="P144" s="7"/>
      <c r="AP144" s="18"/>
      <c r="AQ144" s="19"/>
      <c r="AR144" s="20"/>
      <c r="AS144" s="20"/>
      <c r="AT144" s="2"/>
      <c r="AU144" s="21"/>
      <c r="AV144" s="22"/>
    </row>
    <row r="145">
      <c r="A145" s="28"/>
      <c r="B145" s="29"/>
      <c r="C145" s="24"/>
      <c r="D145" s="24"/>
      <c r="E145" s="30"/>
      <c r="F145" s="30"/>
      <c r="G145" s="27"/>
      <c r="I145" s="28"/>
      <c r="J145" s="29"/>
      <c r="K145" s="24"/>
      <c r="L145" s="24"/>
      <c r="M145" s="30"/>
      <c r="N145" s="30"/>
      <c r="O145" s="27"/>
      <c r="P145" s="7"/>
      <c r="AP145" s="18"/>
      <c r="AQ145" s="19"/>
      <c r="AR145" s="20"/>
      <c r="AS145" s="20"/>
      <c r="AT145" s="2"/>
      <c r="AU145" s="21"/>
      <c r="AV145" s="22"/>
    </row>
    <row r="146">
      <c r="A146" s="28"/>
      <c r="B146" s="29"/>
      <c r="C146" s="24"/>
      <c r="D146" s="24"/>
      <c r="E146" s="30"/>
      <c r="F146" s="30"/>
      <c r="G146" s="27"/>
      <c r="I146" s="28"/>
      <c r="J146" s="29"/>
      <c r="K146" s="32"/>
      <c r="L146" s="24"/>
      <c r="M146" s="30"/>
      <c r="N146" s="30"/>
      <c r="O146" s="27"/>
      <c r="P146" s="7"/>
      <c r="AP146" s="18"/>
      <c r="AQ146" s="19"/>
      <c r="AR146" s="20"/>
      <c r="AS146" s="20"/>
      <c r="AT146" s="2"/>
      <c r="AU146" s="21"/>
      <c r="AV146" s="22"/>
    </row>
    <row r="147">
      <c r="A147" s="28"/>
      <c r="B147" s="29"/>
      <c r="C147" s="32"/>
      <c r="D147" s="24"/>
      <c r="E147" s="30"/>
      <c r="F147" s="30"/>
      <c r="G147" s="27"/>
      <c r="I147" s="28"/>
      <c r="J147" s="29"/>
      <c r="K147" s="32"/>
      <c r="L147" s="24"/>
      <c r="M147" s="30"/>
      <c r="N147" s="30"/>
      <c r="O147" s="27"/>
      <c r="P147" s="7"/>
      <c r="AP147" s="18"/>
      <c r="AQ147" s="19"/>
      <c r="AR147" s="20"/>
      <c r="AS147" s="20"/>
      <c r="AT147" s="2"/>
      <c r="AU147" s="21"/>
      <c r="AV147" s="22"/>
    </row>
    <row r="148">
      <c r="A148" s="28"/>
      <c r="B148" s="29"/>
      <c r="C148" s="32"/>
      <c r="D148" s="24"/>
      <c r="E148" s="30"/>
      <c r="F148" s="30"/>
      <c r="G148" s="27"/>
      <c r="I148" s="28"/>
      <c r="J148" s="29"/>
      <c r="K148" s="24"/>
      <c r="L148" s="24"/>
      <c r="M148" s="30"/>
      <c r="N148" s="30"/>
      <c r="O148" s="27"/>
      <c r="P148" s="7"/>
      <c r="AP148" s="18"/>
      <c r="AQ148" s="19"/>
      <c r="AR148" s="20"/>
      <c r="AS148" s="20"/>
      <c r="AT148" s="2"/>
      <c r="AU148" s="21"/>
      <c r="AV148" s="22"/>
    </row>
    <row r="149">
      <c r="A149" s="28"/>
      <c r="B149" s="29"/>
      <c r="C149" s="32"/>
      <c r="D149" s="24"/>
      <c r="E149" s="30"/>
      <c r="F149" s="30"/>
      <c r="G149" s="27"/>
      <c r="I149" s="28"/>
      <c r="J149" s="29"/>
      <c r="K149" s="24"/>
      <c r="L149" s="24"/>
      <c r="M149" s="30"/>
      <c r="N149" s="30"/>
      <c r="O149" s="27"/>
      <c r="P149" s="7"/>
      <c r="AP149" s="18"/>
      <c r="AQ149" s="19"/>
      <c r="AR149" s="20"/>
      <c r="AS149" s="20"/>
      <c r="AT149" s="2"/>
      <c r="AU149" s="21"/>
      <c r="AV149" s="22"/>
    </row>
    <row r="150">
      <c r="A150" s="28"/>
      <c r="B150" s="29"/>
      <c r="C150" s="32"/>
      <c r="D150" s="24"/>
      <c r="E150" s="30"/>
      <c r="F150" s="30"/>
      <c r="G150" s="27"/>
      <c r="I150" s="28"/>
      <c r="J150" s="29"/>
      <c r="K150" s="24"/>
      <c r="L150" s="24"/>
      <c r="M150" s="30"/>
      <c r="N150" s="30"/>
      <c r="O150" s="27"/>
      <c r="P150" s="7"/>
      <c r="AP150" s="18"/>
      <c r="AQ150" s="19"/>
      <c r="AR150" s="20"/>
      <c r="AS150" s="20"/>
      <c r="AT150" s="2"/>
      <c r="AU150" s="21"/>
      <c r="AV150" s="22"/>
    </row>
    <row r="151">
      <c r="A151" s="28"/>
      <c r="B151" s="29"/>
      <c r="C151" s="24"/>
      <c r="D151" s="24"/>
      <c r="E151" s="30"/>
      <c r="F151" s="30"/>
      <c r="G151" s="27"/>
      <c r="I151" s="28"/>
      <c r="J151" s="29"/>
      <c r="K151" s="24"/>
      <c r="L151" s="24"/>
      <c r="M151" s="30"/>
      <c r="N151" s="30"/>
      <c r="O151" s="27"/>
      <c r="P151" s="7"/>
      <c r="AP151" s="18"/>
      <c r="AQ151" s="19"/>
      <c r="AR151" s="20"/>
      <c r="AS151" s="20"/>
      <c r="AT151" s="2"/>
      <c r="AU151" s="21"/>
      <c r="AV151" s="22"/>
    </row>
    <row r="152">
      <c r="A152" s="28"/>
      <c r="B152" s="29"/>
      <c r="C152" s="24"/>
      <c r="D152" s="24"/>
      <c r="E152" s="30"/>
      <c r="F152" s="30"/>
      <c r="G152" s="27"/>
      <c r="I152" s="28"/>
      <c r="J152" s="29"/>
      <c r="K152" s="32"/>
      <c r="L152" s="24"/>
      <c r="M152" s="30"/>
      <c r="N152" s="30"/>
      <c r="O152" s="27"/>
      <c r="P152" s="7"/>
      <c r="AP152" s="18"/>
      <c r="AQ152" s="19"/>
      <c r="AR152" s="20"/>
      <c r="AS152" s="20"/>
      <c r="AT152" s="2"/>
      <c r="AU152" s="21"/>
      <c r="AV152" s="22"/>
    </row>
    <row r="153">
      <c r="A153" s="28"/>
      <c r="B153" s="29"/>
      <c r="C153" s="24"/>
      <c r="D153" s="24"/>
      <c r="E153" s="30"/>
      <c r="F153" s="30"/>
      <c r="G153" s="27"/>
      <c r="I153" s="28"/>
      <c r="J153" s="29"/>
      <c r="K153" s="32"/>
      <c r="L153" s="24"/>
      <c r="M153" s="30"/>
      <c r="N153" s="30"/>
      <c r="O153" s="27"/>
      <c r="P153" s="7"/>
      <c r="AP153" s="18"/>
      <c r="AQ153" s="19"/>
      <c r="AR153" s="20"/>
      <c r="AS153" s="20"/>
      <c r="AT153" s="2"/>
      <c r="AU153" s="21"/>
      <c r="AV153" s="22"/>
    </row>
    <row r="154">
      <c r="A154" s="28"/>
      <c r="B154" s="29"/>
      <c r="C154" s="24"/>
      <c r="D154" s="24"/>
      <c r="E154" s="30"/>
      <c r="F154" s="30"/>
      <c r="G154" s="27"/>
      <c r="I154" s="28"/>
      <c r="J154" s="29"/>
      <c r="K154" s="32"/>
      <c r="L154" s="24"/>
      <c r="M154" s="30"/>
      <c r="N154" s="30"/>
      <c r="O154" s="27"/>
      <c r="P154" s="7"/>
      <c r="AP154" s="18"/>
      <c r="AQ154" s="19"/>
      <c r="AR154" s="20"/>
      <c r="AS154" s="20"/>
      <c r="AT154" s="2"/>
      <c r="AU154" s="2"/>
      <c r="AV154" s="22"/>
    </row>
    <row r="155">
      <c r="A155" s="28"/>
      <c r="B155" s="29"/>
      <c r="C155" s="24"/>
      <c r="D155" s="24"/>
      <c r="E155" s="30"/>
      <c r="F155" s="30"/>
      <c r="G155" s="27"/>
      <c r="I155" s="28"/>
      <c r="J155" s="29"/>
      <c r="K155" s="32"/>
      <c r="L155" s="24"/>
      <c r="M155" s="30"/>
      <c r="N155" s="30"/>
      <c r="O155" s="27"/>
      <c r="P155" s="7"/>
      <c r="AP155" s="23"/>
      <c r="AQ155" s="39"/>
      <c r="AR155" s="40"/>
      <c r="AS155" s="40"/>
      <c r="AT155" s="41"/>
      <c r="AU155" s="42"/>
      <c r="AV155" s="43"/>
    </row>
    <row r="156">
      <c r="A156" s="28"/>
      <c r="B156" s="29"/>
      <c r="C156" s="32"/>
      <c r="D156" s="24"/>
      <c r="E156" s="30"/>
      <c r="F156" s="30"/>
      <c r="G156" s="27"/>
      <c r="I156" s="34"/>
      <c r="J156" s="35"/>
      <c r="K156" s="45"/>
      <c r="L156" s="36"/>
      <c r="M156" s="37"/>
      <c r="N156" s="37"/>
      <c r="O156" s="38"/>
      <c r="P156" s="7"/>
      <c r="AP156" s="18"/>
      <c r="AQ156" s="19"/>
      <c r="AR156" s="20"/>
      <c r="AS156" s="20"/>
      <c r="AT156" s="2"/>
      <c r="AU156" s="21"/>
      <c r="AV156" s="22"/>
    </row>
    <row r="157">
      <c r="A157" s="28"/>
      <c r="B157" s="29"/>
      <c r="C157" s="32"/>
      <c r="D157" s="24"/>
      <c r="E157" s="30"/>
      <c r="F157" s="30"/>
      <c r="G157" s="27"/>
      <c r="I157" s="34"/>
      <c r="J157" s="35"/>
      <c r="K157" s="45"/>
      <c r="L157" s="36"/>
      <c r="M157" s="37"/>
      <c r="N157" s="37"/>
      <c r="O157" s="38"/>
      <c r="P157" s="7"/>
      <c r="AP157" s="18"/>
      <c r="AQ157" s="19"/>
      <c r="AR157" s="20"/>
      <c r="AS157" s="20"/>
      <c r="AT157" s="2"/>
      <c r="AU157" s="21"/>
      <c r="AV157" s="22"/>
    </row>
    <row r="158">
      <c r="A158" s="28"/>
      <c r="B158" s="29"/>
      <c r="C158" s="32"/>
      <c r="D158" s="24"/>
      <c r="E158" s="30"/>
      <c r="F158" s="30"/>
      <c r="G158" s="27"/>
      <c r="I158" s="34"/>
      <c r="J158" s="35"/>
      <c r="K158" s="45"/>
      <c r="L158" s="36"/>
      <c r="M158" s="37"/>
      <c r="N158" s="37"/>
      <c r="O158" s="38"/>
      <c r="P158" s="7"/>
      <c r="AP158" s="18"/>
      <c r="AQ158" s="19"/>
      <c r="AR158" s="20"/>
      <c r="AS158" s="20"/>
      <c r="AT158" s="2"/>
      <c r="AU158" s="21"/>
      <c r="AV158" s="22"/>
    </row>
    <row r="159">
      <c r="A159" s="28"/>
      <c r="B159" s="29"/>
      <c r="C159" s="32"/>
      <c r="D159" s="24"/>
      <c r="E159" s="30"/>
      <c r="F159" s="30"/>
      <c r="G159" s="27"/>
      <c r="I159" s="34"/>
      <c r="J159" s="35"/>
      <c r="K159" s="45"/>
      <c r="L159" s="36"/>
      <c r="M159" s="37"/>
      <c r="N159" s="37"/>
      <c r="O159" s="38"/>
      <c r="P159" s="7"/>
    </row>
    <row r="160">
      <c r="A160" s="28"/>
      <c r="B160" s="29"/>
      <c r="C160" s="24"/>
      <c r="D160" s="24"/>
      <c r="E160" s="30"/>
      <c r="F160" s="30"/>
      <c r="G160" s="27"/>
      <c r="I160" s="34"/>
      <c r="J160" s="35"/>
      <c r="K160" s="45"/>
      <c r="L160" s="36"/>
      <c r="M160" s="37"/>
      <c r="N160" s="37"/>
      <c r="O160" s="38"/>
      <c r="P160" s="7"/>
    </row>
    <row r="161">
      <c r="A161" s="28"/>
      <c r="B161" s="29"/>
      <c r="C161" s="32"/>
      <c r="D161" s="24"/>
      <c r="E161" s="30"/>
      <c r="F161" s="30"/>
      <c r="G161" s="27"/>
      <c r="I161" s="34"/>
      <c r="J161" s="35"/>
      <c r="K161" s="36"/>
      <c r="L161" s="36"/>
      <c r="M161" s="37"/>
      <c r="N161" s="37"/>
      <c r="O161" s="38"/>
      <c r="P161" s="7"/>
    </row>
    <row r="162">
      <c r="A162" s="28"/>
      <c r="B162" s="29"/>
      <c r="C162" s="32"/>
      <c r="D162" s="24"/>
      <c r="E162" s="30"/>
      <c r="F162" s="30"/>
      <c r="G162" s="27"/>
      <c r="I162" s="34"/>
      <c r="J162" s="35"/>
      <c r="K162" s="36"/>
      <c r="L162" s="36"/>
      <c r="M162" s="37"/>
      <c r="N162" s="37"/>
      <c r="O162" s="38"/>
      <c r="P162" s="7"/>
    </row>
    <row r="163">
      <c r="A163" s="28"/>
      <c r="B163" s="29"/>
      <c r="C163" s="32"/>
      <c r="D163" s="24"/>
      <c r="E163" s="30"/>
      <c r="F163" s="30"/>
      <c r="G163" s="27"/>
      <c r="I163" s="34"/>
      <c r="J163" s="35"/>
      <c r="K163" s="36"/>
      <c r="L163" s="36"/>
      <c r="M163" s="37"/>
      <c r="N163" s="37"/>
      <c r="O163" s="38"/>
      <c r="P163" s="7"/>
    </row>
    <row r="164">
      <c r="A164" s="28"/>
      <c r="B164" s="29"/>
      <c r="C164" s="32"/>
      <c r="D164" s="24"/>
      <c r="E164" s="30"/>
      <c r="F164" s="30"/>
      <c r="G164" s="27"/>
      <c r="I164" s="34"/>
      <c r="J164" s="35"/>
      <c r="K164" s="36"/>
      <c r="L164" s="36"/>
      <c r="M164" s="37"/>
      <c r="N164" s="37"/>
      <c r="O164" s="38"/>
      <c r="P164" s="7"/>
    </row>
    <row r="165">
      <c r="A165" s="28"/>
      <c r="B165" s="29"/>
      <c r="C165" s="32"/>
      <c r="D165" s="24"/>
      <c r="E165" s="30"/>
      <c r="F165" s="30"/>
      <c r="G165" s="27"/>
      <c r="I165" s="34"/>
      <c r="J165" s="35"/>
      <c r="K165" s="36"/>
      <c r="L165" s="36"/>
      <c r="M165" s="37"/>
      <c r="N165" s="37"/>
      <c r="O165" s="38"/>
      <c r="P165" s="7"/>
    </row>
    <row r="166">
      <c r="A166" s="28"/>
      <c r="B166" s="29"/>
      <c r="C166" s="32"/>
      <c r="D166" s="24"/>
      <c r="E166" s="30"/>
      <c r="F166" s="30"/>
      <c r="G166" s="27"/>
      <c r="I166" s="34"/>
      <c r="J166" s="35"/>
      <c r="K166" s="36"/>
      <c r="L166" s="36"/>
      <c r="M166" s="37"/>
      <c r="N166" s="37"/>
      <c r="O166" s="38"/>
      <c r="P166" s="7"/>
    </row>
    <row r="167">
      <c r="A167" s="28"/>
      <c r="B167" s="29"/>
      <c r="C167" s="24"/>
      <c r="D167" s="24"/>
      <c r="E167" s="30"/>
      <c r="F167" s="30"/>
      <c r="G167" s="27"/>
      <c r="I167" s="34"/>
      <c r="J167" s="35"/>
      <c r="K167" s="36"/>
      <c r="L167" s="36"/>
      <c r="M167" s="37"/>
      <c r="N167" s="37"/>
      <c r="O167" s="38"/>
      <c r="P167" s="7"/>
    </row>
    <row r="168">
      <c r="A168" s="28"/>
      <c r="B168" s="29"/>
      <c r="C168" s="24"/>
      <c r="D168" s="24"/>
      <c r="E168" s="30"/>
      <c r="F168" s="30"/>
      <c r="G168" s="27"/>
      <c r="I168" s="34"/>
      <c r="J168" s="35"/>
      <c r="K168" s="45"/>
      <c r="L168" s="36"/>
      <c r="M168" s="37"/>
      <c r="N168" s="37"/>
      <c r="O168" s="38"/>
      <c r="P168" s="7"/>
    </row>
    <row r="169">
      <c r="A169" s="28"/>
      <c r="B169" s="29"/>
      <c r="C169" s="24"/>
      <c r="D169" s="24"/>
      <c r="E169" s="30"/>
      <c r="F169" s="30"/>
      <c r="G169" s="27"/>
      <c r="I169" s="34"/>
      <c r="J169" s="35"/>
      <c r="K169" s="45"/>
      <c r="L169" s="36"/>
      <c r="M169" s="37"/>
      <c r="N169" s="37"/>
      <c r="O169" s="38"/>
      <c r="P169" s="7"/>
    </row>
    <row r="170">
      <c r="A170" s="28"/>
      <c r="B170" s="29"/>
      <c r="C170" s="24"/>
      <c r="D170" s="24"/>
      <c r="E170" s="30"/>
      <c r="F170" s="30"/>
      <c r="G170" s="27"/>
      <c r="I170" s="34"/>
      <c r="J170" s="35"/>
      <c r="K170" s="45"/>
      <c r="L170" s="36"/>
      <c r="M170" s="37"/>
      <c r="N170" s="37"/>
      <c r="O170" s="38"/>
      <c r="P170" s="7"/>
    </row>
    <row r="171">
      <c r="A171" s="28"/>
      <c r="B171" s="29"/>
      <c r="C171" s="32"/>
      <c r="D171" s="24"/>
      <c r="E171" s="30"/>
      <c r="F171" s="30"/>
      <c r="G171" s="27"/>
      <c r="I171" s="34"/>
      <c r="J171" s="35"/>
      <c r="K171" s="45"/>
      <c r="L171" s="36"/>
      <c r="M171" s="37"/>
      <c r="N171" s="37"/>
      <c r="O171" s="38"/>
      <c r="P171" s="7"/>
    </row>
    <row r="172">
      <c r="A172" s="28"/>
      <c r="B172" s="29"/>
      <c r="C172" s="32"/>
      <c r="D172" s="24"/>
      <c r="E172" s="30"/>
      <c r="F172" s="30"/>
      <c r="G172" s="27"/>
      <c r="I172" s="34"/>
      <c r="J172" s="35"/>
      <c r="K172" s="45"/>
      <c r="L172" s="36"/>
      <c r="M172" s="37"/>
      <c r="N172" s="37"/>
      <c r="O172" s="38"/>
      <c r="P172" s="7"/>
    </row>
    <row r="173">
      <c r="A173" s="28"/>
      <c r="B173" s="29"/>
      <c r="C173" s="24"/>
      <c r="D173" s="24"/>
      <c r="E173" s="30"/>
      <c r="F173" s="30"/>
      <c r="G173" s="27"/>
      <c r="I173" s="34"/>
      <c r="J173" s="35"/>
      <c r="K173" s="45"/>
      <c r="L173" s="36"/>
      <c r="M173" s="37"/>
      <c r="N173" s="37"/>
      <c r="O173" s="38"/>
      <c r="P173" s="7"/>
    </row>
    <row r="174">
      <c r="A174" s="28"/>
      <c r="B174" s="29"/>
      <c r="C174" s="24"/>
      <c r="D174" s="24"/>
      <c r="E174" s="30"/>
      <c r="F174" s="30"/>
      <c r="G174" s="27"/>
      <c r="I174" s="34"/>
      <c r="J174" s="35"/>
      <c r="K174" s="45"/>
      <c r="L174" s="36"/>
      <c r="M174" s="37"/>
      <c r="N174" s="37"/>
      <c r="O174" s="38"/>
      <c r="P174" s="7"/>
    </row>
    <row r="175">
      <c r="A175" s="28"/>
      <c r="B175" s="29"/>
      <c r="C175" s="24"/>
      <c r="D175" s="24"/>
      <c r="E175" s="30"/>
      <c r="F175" s="30"/>
      <c r="G175" s="27"/>
      <c r="I175" s="34"/>
      <c r="J175" s="35"/>
      <c r="K175" s="45"/>
      <c r="L175" s="36"/>
      <c r="M175" s="37"/>
      <c r="N175" s="37"/>
      <c r="O175" s="38"/>
      <c r="P175" s="7"/>
    </row>
    <row r="176">
      <c r="A176" s="28"/>
      <c r="B176" s="29"/>
      <c r="C176" s="24"/>
      <c r="D176" s="24"/>
      <c r="E176" s="30"/>
      <c r="F176" s="30"/>
      <c r="G176" s="27"/>
      <c r="I176" s="34"/>
      <c r="J176" s="35"/>
      <c r="K176" s="45"/>
      <c r="L176" s="36"/>
      <c r="M176" s="37"/>
      <c r="N176" s="37"/>
      <c r="O176" s="38"/>
      <c r="P176" s="7"/>
    </row>
    <row r="177">
      <c r="A177" s="28"/>
      <c r="B177" s="29"/>
      <c r="C177" s="32"/>
      <c r="D177" s="24"/>
      <c r="E177" s="30"/>
      <c r="F177" s="30"/>
      <c r="G177" s="27"/>
      <c r="I177" s="34"/>
      <c r="J177" s="35"/>
      <c r="K177" s="45"/>
      <c r="L177" s="36"/>
      <c r="M177" s="37"/>
      <c r="N177" s="37"/>
      <c r="O177" s="38"/>
      <c r="P177" s="7"/>
    </row>
    <row r="178">
      <c r="A178" s="28"/>
      <c r="B178" s="29"/>
      <c r="C178" s="32"/>
      <c r="D178" s="24"/>
      <c r="E178" s="30"/>
      <c r="F178" s="30"/>
      <c r="G178" s="27"/>
      <c r="I178" s="34"/>
      <c r="J178" s="35"/>
      <c r="K178" s="45"/>
      <c r="L178" s="36"/>
      <c r="M178" s="37"/>
      <c r="N178" s="37"/>
      <c r="O178" s="38"/>
      <c r="P178" s="7"/>
    </row>
    <row r="179">
      <c r="A179" s="28"/>
      <c r="B179" s="29"/>
      <c r="C179" s="32"/>
      <c r="D179" s="24"/>
      <c r="E179" s="30"/>
      <c r="F179" s="30"/>
      <c r="G179" s="27"/>
      <c r="I179" s="34"/>
      <c r="J179" s="35"/>
      <c r="K179" s="45"/>
      <c r="L179" s="36"/>
      <c r="M179" s="37"/>
      <c r="N179" s="37"/>
      <c r="O179" s="38"/>
      <c r="P179" s="7"/>
    </row>
    <row r="180">
      <c r="A180" s="28"/>
      <c r="B180" s="29"/>
      <c r="C180" s="32"/>
      <c r="D180" s="24"/>
      <c r="E180" s="30"/>
      <c r="F180" s="30"/>
      <c r="G180" s="27"/>
      <c r="I180" s="34"/>
      <c r="J180" s="35"/>
      <c r="K180" s="45"/>
      <c r="L180" s="36"/>
      <c r="M180" s="37"/>
      <c r="N180" s="37"/>
      <c r="O180" s="38"/>
      <c r="P180" s="7"/>
    </row>
    <row r="181">
      <c r="A181" s="34"/>
      <c r="B181" s="35"/>
      <c r="C181" s="45"/>
      <c r="D181" s="36"/>
      <c r="E181" s="37"/>
      <c r="F181" s="37"/>
      <c r="G181" s="38"/>
      <c r="I181" s="34"/>
      <c r="J181" s="35"/>
      <c r="K181" s="45"/>
      <c r="L181" s="36"/>
      <c r="M181" s="37"/>
      <c r="N181" s="37"/>
      <c r="O181" s="38"/>
      <c r="P181" s="7"/>
    </row>
    <row r="182">
      <c r="A182" s="34"/>
      <c r="B182" s="35"/>
      <c r="C182" s="45"/>
      <c r="D182" s="36"/>
      <c r="E182" s="37"/>
      <c r="F182" s="37"/>
      <c r="G182" s="38"/>
      <c r="I182" s="34"/>
      <c r="J182" s="35"/>
      <c r="K182" s="45"/>
      <c r="L182" s="36"/>
      <c r="M182" s="37"/>
      <c r="N182" s="37"/>
      <c r="O182" s="38"/>
      <c r="P182" s="7"/>
    </row>
    <row r="183">
      <c r="A183" s="34"/>
      <c r="B183" s="35"/>
      <c r="C183" s="45"/>
      <c r="D183" s="36"/>
      <c r="E183" s="37"/>
      <c r="F183" s="37"/>
      <c r="G183" s="38"/>
      <c r="I183" s="34"/>
      <c r="J183" s="35"/>
      <c r="K183" s="45"/>
      <c r="L183" s="36"/>
      <c r="M183" s="37"/>
      <c r="N183" s="37"/>
      <c r="O183" s="38"/>
      <c r="P183" s="7"/>
    </row>
    <row r="184">
      <c r="A184" s="34"/>
      <c r="B184" s="35"/>
      <c r="C184" s="45"/>
      <c r="D184" s="36"/>
      <c r="E184" s="37"/>
      <c r="F184" s="37"/>
      <c r="G184" s="38"/>
      <c r="I184" s="34"/>
      <c r="J184" s="35"/>
      <c r="K184" s="45"/>
      <c r="L184" s="36"/>
      <c r="M184" s="37"/>
      <c r="N184" s="37"/>
      <c r="O184" s="38"/>
      <c r="P184" s="7"/>
    </row>
    <row r="185">
      <c r="A185" s="34"/>
      <c r="B185" s="35"/>
      <c r="C185" s="45"/>
      <c r="D185" s="36"/>
      <c r="E185" s="37"/>
      <c r="F185" s="37"/>
      <c r="G185" s="38"/>
      <c r="I185" s="34"/>
      <c r="J185" s="35"/>
      <c r="K185" s="45"/>
      <c r="L185" s="36"/>
      <c r="M185" s="37"/>
      <c r="N185" s="37"/>
      <c r="O185" s="38"/>
      <c r="P185" s="7"/>
    </row>
    <row r="186">
      <c r="A186" s="34"/>
      <c r="B186" s="35"/>
      <c r="C186" s="45"/>
      <c r="D186" s="36"/>
      <c r="E186" s="37"/>
      <c r="F186" s="37"/>
      <c r="G186" s="38"/>
      <c r="I186" s="34"/>
      <c r="J186" s="35"/>
      <c r="K186" s="45"/>
      <c r="L186" s="36"/>
      <c r="M186" s="37"/>
      <c r="N186" s="37"/>
      <c r="O186" s="38"/>
      <c r="P186" s="7"/>
    </row>
    <row r="187">
      <c r="A187" s="34"/>
      <c r="B187" s="35"/>
      <c r="C187" s="45"/>
      <c r="D187" s="36"/>
      <c r="E187" s="37"/>
      <c r="F187" s="37"/>
      <c r="G187" s="38"/>
      <c r="I187" s="34"/>
      <c r="J187" s="35"/>
      <c r="K187" s="45"/>
      <c r="L187" s="36"/>
      <c r="M187" s="37"/>
      <c r="N187" s="37"/>
      <c r="O187" s="38"/>
      <c r="P187" s="7"/>
    </row>
    <row r="188">
      <c r="A188" s="34"/>
      <c r="B188" s="35"/>
      <c r="C188" s="45"/>
      <c r="D188" s="36"/>
      <c r="E188" s="37"/>
      <c r="F188" s="37"/>
      <c r="G188" s="38"/>
      <c r="I188" s="34"/>
      <c r="J188" s="35"/>
      <c r="K188" s="45"/>
      <c r="L188" s="36"/>
      <c r="M188" s="37"/>
      <c r="N188" s="37"/>
      <c r="O188" s="38"/>
      <c r="P188" s="7"/>
    </row>
    <row r="189">
      <c r="A189" s="34"/>
      <c r="B189" s="35"/>
      <c r="C189" s="45"/>
      <c r="D189" s="36"/>
      <c r="E189" s="37"/>
      <c r="F189" s="37"/>
      <c r="G189" s="38"/>
      <c r="I189" s="34"/>
      <c r="J189" s="35"/>
      <c r="K189" s="45"/>
      <c r="L189" s="36"/>
      <c r="M189" s="37"/>
      <c r="N189" s="37"/>
      <c r="O189" s="38"/>
      <c r="P189" s="7"/>
    </row>
    <row r="190">
      <c r="A190" s="34"/>
      <c r="B190" s="35"/>
      <c r="C190" s="45"/>
      <c r="D190" s="36"/>
      <c r="E190" s="37"/>
      <c r="F190" s="37"/>
      <c r="G190" s="38"/>
      <c r="I190" s="34"/>
      <c r="J190" s="35"/>
      <c r="K190" s="45"/>
      <c r="L190" s="36"/>
      <c r="M190" s="37"/>
      <c r="N190" s="37"/>
      <c r="O190" s="38"/>
      <c r="P190" s="7"/>
    </row>
    <row r="191">
      <c r="A191" s="34"/>
      <c r="B191" s="35"/>
      <c r="C191" s="45"/>
      <c r="D191" s="36"/>
      <c r="E191" s="37"/>
      <c r="F191" s="37"/>
      <c r="G191" s="38"/>
      <c r="I191" s="34"/>
      <c r="J191" s="35"/>
      <c r="K191" s="45"/>
      <c r="L191" s="36"/>
      <c r="M191" s="37"/>
      <c r="N191" s="37"/>
      <c r="O191" s="38"/>
      <c r="P191" s="7"/>
    </row>
    <row r="192">
      <c r="A192" s="34"/>
      <c r="B192" s="35"/>
      <c r="C192" s="45"/>
      <c r="D192" s="36"/>
      <c r="E192" s="37"/>
      <c r="F192" s="37"/>
      <c r="G192" s="38"/>
      <c r="I192" s="34"/>
      <c r="J192" s="35"/>
      <c r="K192" s="45"/>
      <c r="L192" s="36"/>
      <c r="M192" s="37"/>
      <c r="N192" s="37"/>
      <c r="O192" s="38"/>
      <c r="P192" s="7"/>
    </row>
    <row r="193">
      <c r="A193" s="34"/>
      <c r="B193" s="35"/>
      <c r="C193" s="45"/>
      <c r="D193" s="36"/>
      <c r="E193" s="37"/>
      <c r="F193" s="37"/>
      <c r="G193" s="38"/>
      <c r="I193" s="34"/>
      <c r="J193" s="35"/>
      <c r="K193" s="45"/>
      <c r="L193" s="36"/>
      <c r="M193" s="37"/>
      <c r="N193" s="37"/>
      <c r="O193" s="38"/>
      <c r="P193" s="7"/>
    </row>
    <row r="194">
      <c r="A194" s="34"/>
      <c r="B194" s="35"/>
      <c r="C194" s="45"/>
      <c r="D194" s="36"/>
      <c r="E194" s="37"/>
      <c r="F194" s="37"/>
      <c r="G194" s="38"/>
      <c r="I194" s="34"/>
      <c r="J194" s="35"/>
      <c r="K194" s="45"/>
      <c r="L194" s="36"/>
      <c r="M194" s="37"/>
      <c r="N194" s="37"/>
      <c r="O194" s="38"/>
      <c r="P194" s="7"/>
    </row>
    <row r="195">
      <c r="A195" s="34"/>
      <c r="B195" s="35"/>
      <c r="C195" s="45"/>
      <c r="D195" s="36"/>
      <c r="E195" s="37"/>
      <c r="F195" s="37"/>
      <c r="G195" s="38"/>
      <c r="I195" s="34"/>
      <c r="J195" s="35"/>
      <c r="K195" s="45"/>
      <c r="L195" s="36"/>
      <c r="M195" s="37"/>
      <c r="N195" s="37"/>
      <c r="O195" s="38"/>
      <c r="P195" s="7"/>
    </row>
    <row r="196">
      <c r="A196" s="34"/>
      <c r="B196" s="35"/>
      <c r="C196" s="45"/>
      <c r="D196" s="36"/>
      <c r="E196" s="37"/>
      <c r="F196" s="37"/>
      <c r="G196" s="38"/>
      <c r="I196" s="34"/>
      <c r="J196" s="35"/>
      <c r="K196" s="45"/>
      <c r="L196" s="36"/>
      <c r="M196" s="37"/>
      <c r="N196" s="37"/>
      <c r="O196" s="38"/>
      <c r="P196" s="7"/>
    </row>
    <row r="197">
      <c r="A197" s="34"/>
      <c r="B197" s="35"/>
      <c r="C197" s="45"/>
      <c r="D197" s="36"/>
      <c r="E197" s="37"/>
      <c r="F197" s="37"/>
      <c r="G197" s="38"/>
      <c r="I197" s="34"/>
      <c r="J197" s="35"/>
      <c r="K197" s="45"/>
      <c r="L197" s="36"/>
      <c r="M197" s="37"/>
      <c r="N197" s="37"/>
      <c r="O197" s="38"/>
      <c r="P197" s="7"/>
    </row>
    <row r="198">
      <c r="A198" s="34"/>
      <c r="B198" s="35"/>
      <c r="C198" s="45"/>
      <c r="D198" s="36"/>
      <c r="E198" s="37"/>
      <c r="F198" s="37"/>
      <c r="G198" s="38"/>
      <c r="I198" s="34"/>
      <c r="J198" s="35"/>
      <c r="K198" s="45"/>
      <c r="L198" s="36"/>
      <c r="M198" s="37"/>
      <c r="N198" s="37"/>
      <c r="O198" s="38"/>
      <c r="P198" s="7"/>
    </row>
    <row r="199">
      <c r="A199" s="34"/>
      <c r="B199" s="35"/>
      <c r="C199" s="45"/>
      <c r="D199" s="36"/>
      <c r="E199" s="37"/>
      <c r="F199" s="37"/>
      <c r="G199" s="38"/>
      <c r="I199" s="34"/>
      <c r="J199" s="35"/>
      <c r="K199" s="45"/>
      <c r="L199" s="36"/>
      <c r="M199" s="37"/>
      <c r="N199" s="37"/>
      <c r="O199" s="38"/>
      <c r="P199" s="7"/>
    </row>
    <row r="200">
      <c r="A200" s="34"/>
      <c r="B200" s="35"/>
      <c r="C200" s="45"/>
      <c r="D200" s="36"/>
      <c r="E200" s="37"/>
      <c r="F200" s="37"/>
      <c r="G200" s="38"/>
      <c r="I200" s="34"/>
      <c r="J200" s="35"/>
      <c r="K200" s="45"/>
      <c r="L200" s="36"/>
      <c r="M200" s="37"/>
      <c r="N200" s="37"/>
      <c r="O200" s="38"/>
      <c r="P200" s="7"/>
    </row>
    <row r="201">
      <c r="A201" s="34"/>
      <c r="B201" s="35"/>
      <c r="C201" s="45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7"/>
    </row>
    <row r="202">
      <c r="A202" s="34"/>
      <c r="B202" s="35"/>
      <c r="C202" s="45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7"/>
    </row>
    <row r="203">
      <c r="A203" s="34"/>
      <c r="B203" s="35"/>
      <c r="C203" s="45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7"/>
    </row>
    <row r="204">
      <c r="A204" s="34"/>
      <c r="B204" s="35"/>
      <c r="C204" s="45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7"/>
    </row>
    <row r="205">
      <c r="A205" s="34"/>
      <c r="B205" s="35"/>
      <c r="C205" s="45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7"/>
    </row>
    <row r="206">
      <c r="A206" s="34"/>
      <c r="B206" s="35"/>
      <c r="C206" s="45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7"/>
    </row>
    <row r="207">
      <c r="A207" s="34"/>
      <c r="B207" s="35"/>
      <c r="C207" s="45"/>
      <c r="D207" s="36"/>
      <c r="E207" s="37"/>
      <c r="F207" s="37"/>
      <c r="G207" s="38"/>
      <c r="I207" s="34"/>
      <c r="J207" s="35"/>
      <c r="K207" s="45"/>
      <c r="L207" s="36"/>
      <c r="M207" s="37"/>
      <c r="N207" s="37"/>
      <c r="O207" s="38"/>
      <c r="P207" s="7"/>
    </row>
    <row r="208">
      <c r="A208" s="34"/>
      <c r="B208" s="35"/>
      <c r="C208" s="45"/>
      <c r="D208" s="36"/>
      <c r="E208" s="37"/>
      <c r="F208" s="37"/>
      <c r="G208" s="38"/>
      <c r="I208" s="34"/>
      <c r="J208" s="35"/>
      <c r="K208" s="45"/>
      <c r="L208" s="36"/>
      <c r="M208" s="37"/>
      <c r="N208" s="37"/>
      <c r="O208" s="38"/>
      <c r="P208" s="7"/>
    </row>
    <row r="209">
      <c r="A209" s="34"/>
      <c r="B209" s="35"/>
      <c r="C209" s="45"/>
      <c r="D209" s="36"/>
      <c r="E209" s="37"/>
      <c r="F209" s="37"/>
      <c r="G209" s="38"/>
      <c r="I209" s="34"/>
      <c r="J209" s="35"/>
      <c r="K209" s="45"/>
      <c r="L209" s="36"/>
      <c r="M209" s="37"/>
      <c r="N209" s="37"/>
      <c r="O209" s="38"/>
      <c r="P209" s="7"/>
    </row>
    <row r="210">
      <c r="A210" s="34"/>
      <c r="B210" s="35"/>
      <c r="C210" s="45"/>
      <c r="D210" s="36"/>
      <c r="E210" s="37"/>
      <c r="F210" s="37"/>
      <c r="G210" s="38"/>
      <c r="I210" s="34"/>
      <c r="J210" s="35"/>
      <c r="K210" s="45"/>
      <c r="L210" s="36"/>
      <c r="M210" s="37"/>
      <c r="N210" s="37"/>
      <c r="O210" s="38"/>
      <c r="P210" s="7"/>
    </row>
    <row r="211">
      <c r="A211" s="34"/>
      <c r="B211" s="35"/>
      <c r="C211" s="45"/>
      <c r="D211" s="36"/>
      <c r="E211" s="37"/>
      <c r="F211" s="37"/>
      <c r="G211" s="38"/>
      <c r="I211" s="34"/>
      <c r="J211" s="35"/>
      <c r="K211" s="45"/>
      <c r="L211" s="36"/>
      <c r="M211" s="37"/>
      <c r="N211" s="37"/>
      <c r="O211" s="38"/>
      <c r="P211" s="7"/>
    </row>
    <row r="212">
      <c r="A212" s="34"/>
      <c r="B212" s="35"/>
      <c r="C212" s="45"/>
      <c r="D212" s="36"/>
      <c r="E212" s="37"/>
      <c r="F212" s="37"/>
      <c r="G212" s="38"/>
      <c r="I212" s="34"/>
      <c r="J212" s="35"/>
      <c r="K212" s="45"/>
      <c r="L212" s="36"/>
      <c r="M212" s="37"/>
      <c r="N212" s="37"/>
      <c r="O212" s="38"/>
      <c r="P212" s="7"/>
    </row>
    <row r="213">
      <c r="A213" s="34"/>
      <c r="B213" s="35"/>
      <c r="C213" s="45"/>
      <c r="D213" s="36"/>
      <c r="E213" s="37"/>
      <c r="F213" s="37"/>
      <c r="G213" s="38"/>
      <c r="I213" s="34"/>
      <c r="J213" s="35"/>
      <c r="K213" s="45"/>
      <c r="L213" s="36"/>
      <c r="M213" s="37"/>
      <c r="N213" s="37"/>
      <c r="O213" s="38"/>
      <c r="P213" s="7"/>
    </row>
    <row r="214">
      <c r="A214" s="34"/>
      <c r="B214" s="35"/>
      <c r="C214" s="36"/>
      <c r="D214" s="36"/>
      <c r="E214" s="37"/>
      <c r="F214" s="37"/>
      <c r="G214" s="38"/>
      <c r="I214" s="34"/>
      <c r="J214" s="35"/>
      <c r="K214" s="45"/>
      <c r="L214" s="36"/>
      <c r="M214" s="37"/>
      <c r="N214" s="37"/>
      <c r="O214" s="38"/>
      <c r="P214" s="7"/>
    </row>
    <row r="215">
      <c r="A215" s="34"/>
      <c r="B215" s="35"/>
      <c r="C215" s="36"/>
      <c r="D215" s="36"/>
      <c r="E215" s="37"/>
      <c r="F215" s="37"/>
      <c r="G215" s="38"/>
      <c r="I215" s="34"/>
      <c r="J215" s="35"/>
      <c r="K215" s="45"/>
      <c r="L215" s="36"/>
      <c r="M215" s="37"/>
      <c r="N215" s="37"/>
      <c r="O215" s="38"/>
      <c r="P215" s="7"/>
    </row>
    <row r="216">
      <c r="A216" s="34"/>
      <c r="B216" s="35"/>
      <c r="C216" s="36"/>
      <c r="D216" s="36"/>
      <c r="E216" s="37"/>
      <c r="F216" s="37"/>
      <c r="G216" s="38"/>
      <c r="I216" s="34"/>
      <c r="J216" s="35"/>
      <c r="K216" s="45"/>
      <c r="L216" s="36"/>
      <c r="M216" s="37"/>
      <c r="N216" s="37"/>
      <c r="O216" s="38"/>
      <c r="P216" s="7"/>
    </row>
    <row r="217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7"/>
    </row>
    <row r="218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7"/>
    </row>
    <row r="219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7"/>
    </row>
    <row r="220">
      <c r="A220" s="34"/>
      <c r="B220" s="35"/>
      <c r="C220" s="45"/>
      <c r="D220" s="36"/>
      <c r="E220" s="37"/>
      <c r="F220" s="37"/>
      <c r="G220" s="38"/>
      <c r="I220" s="34"/>
      <c r="J220" s="35"/>
      <c r="K220" s="45"/>
      <c r="L220" s="36"/>
      <c r="M220" s="37"/>
      <c r="N220" s="37"/>
      <c r="O220" s="38"/>
      <c r="P220" s="7"/>
    </row>
    <row r="221">
      <c r="A221" s="34"/>
      <c r="B221" s="35"/>
      <c r="C221" s="45"/>
      <c r="D221" s="36"/>
      <c r="E221" s="37"/>
      <c r="F221" s="37"/>
      <c r="G221" s="38"/>
      <c r="I221" s="34"/>
      <c r="J221" s="35"/>
      <c r="K221" s="45"/>
      <c r="L221" s="36"/>
      <c r="M221" s="37"/>
      <c r="N221" s="37"/>
      <c r="O221" s="38"/>
      <c r="P221" s="7"/>
    </row>
    <row r="222">
      <c r="A222" s="34"/>
      <c r="B222" s="35"/>
      <c r="C222" s="45"/>
      <c r="D222" s="36"/>
      <c r="E222" s="37"/>
      <c r="F222" s="37"/>
      <c r="G222" s="38"/>
      <c r="I222" s="34"/>
      <c r="J222" s="35"/>
      <c r="K222" s="45"/>
      <c r="L222" s="36"/>
      <c r="M222" s="37"/>
      <c r="N222" s="37"/>
      <c r="O222" s="38"/>
      <c r="P222" s="7"/>
    </row>
    <row r="223">
      <c r="A223" s="34"/>
      <c r="B223" s="35"/>
      <c r="C223" s="45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7"/>
    </row>
    <row r="224">
      <c r="A224" s="34"/>
      <c r="B224" s="35"/>
      <c r="C224" s="45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7"/>
    </row>
    <row r="225">
      <c r="A225" s="34"/>
      <c r="B225" s="35"/>
      <c r="C225" s="45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7"/>
    </row>
    <row r="226">
      <c r="A226" s="34"/>
      <c r="B226" s="35"/>
      <c r="C226" s="45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7"/>
    </row>
    <row r="227">
      <c r="A227" s="34"/>
      <c r="B227" s="35"/>
      <c r="C227" s="45"/>
      <c r="D227" s="36"/>
      <c r="E227" s="37"/>
      <c r="F227" s="37"/>
      <c r="G227" s="38"/>
      <c r="I227" s="34"/>
      <c r="J227" s="35"/>
      <c r="K227" s="45"/>
      <c r="L227" s="36"/>
      <c r="M227" s="37"/>
      <c r="N227" s="37"/>
      <c r="O227" s="38"/>
      <c r="P227" s="7"/>
    </row>
    <row r="228">
      <c r="A228" s="34"/>
      <c r="B228" s="35"/>
      <c r="C228" s="45"/>
      <c r="D228" s="36"/>
      <c r="E228" s="37"/>
      <c r="F228" s="37"/>
      <c r="G228" s="38"/>
      <c r="I228" s="34"/>
      <c r="J228" s="35"/>
      <c r="K228" s="45"/>
      <c r="L228" s="36"/>
      <c r="M228" s="37"/>
      <c r="N228" s="37"/>
      <c r="O228" s="38"/>
      <c r="P228" s="7"/>
    </row>
    <row r="229">
      <c r="A229" s="34"/>
      <c r="B229" s="35"/>
      <c r="C229" s="45"/>
      <c r="D229" s="36"/>
      <c r="E229" s="37"/>
      <c r="F229" s="37"/>
      <c r="G229" s="38"/>
      <c r="I229" s="34"/>
      <c r="J229" s="35"/>
      <c r="K229" s="45"/>
      <c r="L229" s="36"/>
      <c r="M229" s="37"/>
      <c r="N229" s="37"/>
      <c r="O229" s="38"/>
      <c r="P229" s="7"/>
    </row>
    <row r="230">
      <c r="A230" s="34"/>
      <c r="B230" s="35"/>
      <c r="C230" s="36"/>
      <c r="D230" s="36"/>
      <c r="E230" s="37"/>
      <c r="F230" s="37"/>
      <c r="G230" s="38"/>
      <c r="I230" s="34"/>
      <c r="J230" s="35"/>
      <c r="K230" s="45"/>
      <c r="L230" s="36"/>
      <c r="M230" s="37"/>
      <c r="N230" s="37"/>
      <c r="O230" s="38"/>
      <c r="P230" s="7"/>
    </row>
    <row r="231">
      <c r="A231" s="34"/>
      <c r="B231" s="35"/>
      <c r="C231" s="36"/>
      <c r="D231" s="36"/>
      <c r="E231" s="37"/>
      <c r="F231" s="37"/>
      <c r="G231" s="38"/>
      <c r="I231" s="34"/>
      <c r="J231" s="35"/>
      <c r="K231" s="45"/>
      <c r="L231" s="36"/>
      <c r="M231" s="37"/>
      <c r="N231" s="37"/>
      <c r="O231" s="38"/>
      <c r="P231" s="7"/>
    </row>
    <row r="232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7"/>
    </row>
    <row r="233">
      <c r="A233" s="34"/>
      <c r="B233" s="35"/>
      <c r="C233" s="45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7"/>
    </row>
    <row r="234">
      <c r="A234" s="34"/>
      <c r="B234" s="35"/>
      <c r="C234" s="45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7"/>
    </row>
    <row r="235">
      <c r="A235" s="34"/>
      <c r="B235" s="35"/>
      <c r="C235" s="45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7"/>
    </row>
    <row r="236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7"/>
    </row>
    <row r="237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7"/>
    </row>
    <row r="238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7"/>
    </row>
    <row r="239">
      <c r="A239" s="34"/>
      <c r="B239" s="35"/>
      <c r="C239" s="36"/>
      <c r="D239" s="36"/>
      <c r="E239" s="37"/>
      <c r="F239" s="37"/>
      <c r="G239" s="38"/>
      <c r="I239" s="34"/>
      <c r="J239" s="35"/>
      <c r="K239" s="45"/>
      <c r="L239" s="36"/>
      <c r="M239" s="37"/>
      <c r="N239" s="37"/>
      <c r="O239" s="38"/>
      <c r="P239" s="7"/>
    </row>
    <row r="240">
      <c r="A240" s="34"/>
      <c r="B240" s="35"/>
      <c r="C240" s="45"/>
      <c r="D240" s="36"/>
      <c r="E240" s="37"/>
      <c r="F240" s="37"/>
      <c r="G240" s="38"/>
      <c r="I240" s="34"/>
      <c r="J240" s="35"/>
      <c r="K240" s="45"/>
      <c r="L240" s="36"/>
      <c r="M240" s="37"/>
      <c r="N240" s="37"/>
      <c r="O240" s="38"/>
      <c r="P240" s="7"/>
    </row>
    <row r="241">
      <c r="A241" s="34"/>
      <c r="B241" s="35"/>
      <c r="C241" s="45"/>
      <c r="D241" s="36"/>
      <c r="E241" s="37"/>
      <c r="F241" s="37"/>
      <c r="G241" s="38"/>
      <c r="I241" s="34"/>
      <c r="J241" s="35"/>
      <c r="K241" s="45"/>
      <c r="L241" s="36"/>
      <c r="M241" s="37"/>
      <c r="N241" s="37"/>
      <c r="O241" s="38"/>
      <c r="P241" s="7"/>
    </row>
    <row r="242">
      <c r="A242" s="34"/>
      <c r="B242" s="35"/>
      <c r="C242" s="45"/>
      <c r="D242" s="36"/>
      <c r="E242" s="37"/>
      <c r="F242" s="37"/>
      <c r="G242" s="38"/>
      <c r="I242" s="34"/>
      <c r="J242" s="35"/>
      <c r="K242" s="45"/>
      <c r="L242" s="36"/>
      <c r="M242" s="37"/>
      <c r="N242" s="37"/>
      <c r="O242" s="38"/>
      <c r="P242" s="7"/>
    </row>
    <row r="243">
      <c r="A243" s="34"/>
      <c r="B243" s="35"/>
      <c r="C243" s="45"/>
      <c r="D243" s="36"/>
      <c r="E243" s="37"/>
      <c r="F243" s="37"/>
      <c r="G243" s="38"/>
      <c r="I243" s="34"/>
      <c r="J243" s="35"/>
      <c r="K243" s="45"/>
      <c r="L243" s="36"/>
      <c r="M243" s="37"/>
      <c r="N243" s="37"/>
      <c r="O243" s="38"/>
      <c r="P243" s="7"/>
    </row>
    <row r="244">
      <c r="A244" s="34"/>
      <c r="B244" s="35"/>
      <c r="C244" s="45"/>
      <c r="D244" s="36"/>
      <c r="E244" s="37"/>
      <c r="F244" s="37"/>
      <c r="G244" s="38"/>
      <c r="I244" s="34"/>
      <c r="J244" s="35"/>
      <c r="K244" s="45"/>
      <c r="L244" s="36"/>
      <c r="M244" s="37"/>
      <c r="N244" s="37"/>
      <c r="O244" s="38"/>
      <c r="P244" s="7"/>
    </row>
    <row r="245">
      <c r="A245" s="34"/>
      <c r="B245" s="35"/>
      <c r="C245" s="36"/>
      <c r="D245" s="36"/>
      <c r="E245" s="37"/>
      <c r="F245" s="37"/>
      <c r="G245" s="38"/>
      <c r="I245" s="34"/>
      <c r="J245" s="35"/>
      <c r="K245" s="45"/>
      <c r="L245" s="36"/>
      <c r="M245" s="37"/>
      <c r="N245" s="37"/>
      <c r="O245" s="38"/>
      <c r="P245" s="7"/>
    </row>
    <row r="246">
      <c r="A246" s="34"/>
      <c r="B246" s="35"/>
      <c r="C246" s="36"/>
      <c r="D246" s="36"/>
      <c r="E246" s="37"/>
      <c r="F246" s="37"/>
      <c r="G246" s="38"/>
      <c r="I246" s="34"/>
      <c r="J246" s="35"/>
      <c r="K246" s="45"/>
      <c r="L246" s="36"/>
      <c r="M246" s="37"/>
      <c r="N246" s="37"/>
      <c r="O246" s="38"/>
      <c r="P246" s="7"/>
    </row>
    <row r="247">
      <c r="A247" s="34"/>
      <c r="B247" s="35"/>
      <c r="C247" s="36"/>
      <c r="D247" s="36"/>
      <c r="E247" s="37"/>
      <c r="F247" s="37"/>
      <c r="G247" s="38"/>
      <c r="I247" s="34"/>
      <c r="J247" s="35"/>
      <c r="K247" s="45"/>
      <c r="L247" s="36"/>
      <c r="M247" s="37"/>
      <c r="N247" s="37"/>
      <c r="O247" s="38"/>
      <c r="P247" s="7"/>
    </row>
    <row r="248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7"/>
    </row>
    <row r="249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7"/>
    </row>
    <row r="250">
      <c r="A250" s="34"/>
      <c r="B250" s="35"/>
      <c r="C250" s="36"/>
      <c r="D250" s="36"/>
      <c r="E250" s="37"/>
      <c r="F250" s="37"/>
      <c r="G250" s="38"/>
      <c r="I250" s="34"/>
      <c r="J250" s="35"/>
      <c r="K250" s="45"/>
      <c r="L250" s="36"/>
      <c r="M250" s="37"/>
      <c r="N250" s="37"/>
      <c r="O250" s="38"/>
      <c r="P250" s="7"/>
    </row>
    <row r="251">
      <c r="A251" s="34"/>
      <c r="B251" s="35"/>
      <c r="C251" s="36"/>
      <c r="D251" s="36"/>
      <c r="E251" s="37"/>
      <c r="F251" s="37"/>
      <c r="G251" s="38"/>
      <c r="I251" s="34"/>
      <c r="J251" s="35"/>
      <c r="K251" s="45"/>
      <c r="L251" s="36"/>
      <c r="M251" s="37"/>
      <c r="N251" s="37"/>
      <c r="O251" s="38"/>
      <c r="P251" s="7"/>
    </row>
    <row r="252">
      <c r="A252" s="34"/>
      <c r="B252" s="35"/>
      <c r="C252" s="45"/>
      <c r="D252" s="36"/>
      <c r="E252" s="37"/>
      <c r="F252" s="37"/>
      <c r="G252" s="38"/>
      <c r="I252" s="34"/>
      <c r="J252" s="35"/>
      <c r="K252" s="45"/>
      <c r="L252" s="36"/>
      <c r="M252" s="37"/>
      <c r="N252" s="37"/>
      <c r="O252" s="38"/>
      <c r="P252" s="7"/>
    </row>
    <row r="253">
      <c r="A253" s="34"/>
      <c r="B253" s="35"/>
      <c r="C253" s="45"/>
      <c r="D253" s="36"/>
      <c r="E253" s="37"/>
      <c r="F253" s="37"/>
      <c r="G253" s="38"/>
      <c r="I253" s="34"/>
      <c r="J253" s="35"/>
      <c r="K253" s="45"/>
      <c r="L253" s="36"/>
      <c r="M253" s="37"/>
      <c r="N253" s="37"/>
      <c r="O253" s="38"/>
      <c r="P253" s="7"/>
    </row>
    <row r="254">
      <c r="A254" s="34"/>
      <c r="B254" s="35"/>
      <c r="C254" s="45"/>
      <c r="D254" s="36"/>
      <c r="E254" s="37"/>
      <c r="F254" s="37"/>
      <c r="G254" s="38"/>
      <c r="I254" s="34"/>
      <c r="J254" s="35"/>
      <c r="K254" s="45"/>
      <c r="L254" s="36"/>
      <c r="M254" s="37"/>
      <c r="N254" s="37"/>
      <c r="O254" s="38"/>
      <c r="P254" s="7"/>
    </row>
    <row r="255">
      <c r="A255" s="34"/>
      <c r="B255" s="35"/>
      <c r="C255" s="45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7"/>
    </row>
    <row r="256">
      <c r="A256" s="34"/>
      <c r="B256" s="35"/>
      <c r="C256" s="45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7"/>
    </row>
    <row r="257">
      <c r="A257" s="34"/>
      <c r="B257" s="35"/>
      <c r="C257" s="45"/>
      <c r="D257" s="36"/>
      <c r="E257" s="37"/>
      <c r="F257" s="37"/>
      <c r="G257" s="38"/>
      <c r="I257" s="34"/>
      <c r="J257" s="35"/>
      <c r="K257" s="45"/>
      <c r="L257" s="36"/>
      <c r="M257" s="37"/>
      <c r="N257" s="37"/>
      <c r="O257" s="38"/>
      <c r="P257" s="7"/>
    </row>
    <row r="258">
      <c r="A258" s="34"/>
      <c r="B258" s="35"/>
      <c r="C258" s="45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7"/>
    </row>
    <row r="259">
      <c r="A259" s="34"/>
      <c r="B259" s="35"/>
      <c r="C259" s="45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7"/>
    </row>
    <row r="260">
      <c r="A260" s="34"/>
      <c r="B260" s="35"/>
      <c r="C260" s="45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7"/>
    </row>
    <row r="26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7"/>
    </row>
    <row r="262">
      <c r="A262" s="34"/>
      <c r="B262" s="35"/>
      <c r="C262" s="36"/>
      <c r="D262" s="36"/>
      <c r="E262" s="37"/>
      <c r="F262" s="37"/>
      <c r="G262" s="38"/>
      <c r="I262" s="34"/>
      <c r="J262" s="35"/>
      <c r="K262" s="45"/>
      <c r="L262" s="36"/>
      <c r="M262" s="37"/>
      <c r="N262" s="37"/>
      <c r="O262" s="38"/>
      <c r="P262" s="7"/>
    </row>
    <row r="263">
      <c r="A263" s="34"/>
      <c r="B263" s="35"/>
      <c r="C263" s="45"/>
      <c r="D263" s="36"/>
      <c r="E263" s="37"/>
      <c r="F263" s="37"/>
      <c r="G263" s="38"/>
      <c r="I263" s="34"/>
      <c r="J263" s="35"/>
      <c r="K263" s="45"/>
      <c r="L263" s="36"/>
      <c r="M263" s="37"/>
      <c r="N263" s="37"/>
      <c r="O263" s="38"/>
      <c r="P263" s="7"/>
    </row>
    <row r="264">
      <c r="A264" s="34"/>
      <c r="B264" s="35"/>
      <c r="C264" s="45"/>
      <c r="D264" s="36"/>
      <c r="E264" s="37"/>
      <c r="F264" s="37"/>
      <c r="G264" s="38"/>
      <c r="I264" s="34"/>
      <c r="J264" s="35"/>
      <c r="K264" s="45"/>
      <c r="L264" s="36"/>
      <c r="M264" s="37"/>
      <c r="N264" s="37"/>
      <c r="O264" s="38"/>
      <c r="P264" s="7"/>
    </row>
    <row r="265">
      <c r="A265" s="34"/>
      <c r="B265" s="35"/>
      <c r="C265" s="45"/>
      <c r="D265" s="36"/>
      <c r="E265" s="37"/>
      <c r="F265" s="37"/>
      <c r="G265" s="38"/>
      <c r="I265" s="34"/>
      <c r="J265" s="35"/>
      <c r="K265" s="45"/>
      <c r="L265" s="36"/>
      <c r="M265" s="37"/>
      <c r="N265" s="37"/>
      <c r="O265" s="38"/>
      <c r="P265" s="7"/>
    </row>
    <row r="266">
      <c r="A266" s="34"/>
      <c r="B266" s="35"/>
      <c r="C266" s="45"/>
      <c r="D266" s="36"/>
      <c r="E266" s="37"/>
      <c r="F266" s="37"/>
      <c r="G266" s="38"/>
      <c r="I266" s="34"/>
      <c r="J266" s="35"/>
      <c r="K266" s="45"/>
      <c r="L266" s="36"/>
      <c r="M266" s="37"/>
      <c r="N266" s="37"/>
      <c r="O266" s="38"/>
      <c r="P266" s="7"/>
    </row>
    <row r="267">
      <c r="A267" s="34"/>
      <c r="B267" s="35"/>
      <c r="C267" s="45"/>
      <c r="D267" s="36"/>
      <c r="E267" s="37"/>
      <c r="F267" s="37"/>
      <c r="G267" s="38"/>
      <c r="I267" s="34"/>
      <c r="J267" s="35"/>
      <c r="K267" s="45"/>
      <c r="L267" s="36"/>
      <c r="M267" s="37"/>
      <c r="N267" s="37"/>
      <c r="O267" s="38"/>
      <c r="P267" s="7"/>
    </row>
    <row r="268">
      <c r="A268" s="34"/>
      <c r="B268" s="35"/>
      <c r="C268" s="36"/>
      <c r="D268" s="36"/>
      <c r="E268" s="37"/>
      <c r="F268" s="37"/>
      <c r="G268" s="38"/>
      <c r="I268" s="34"/>
      <c r="J268" s="35"/>
      <c r="K268" s="45"/>
      <c r="L268" s="36"/>
      <c r="M268" s="37"/>
      <c r="N268" s="37"/>
      <c r="O268" s="38"/>
      <c r="P268" s="7"/>
    </row>
    <row r="269">
      <c r="A269" s="34"/>
      <c r="B269" s="35"/>
      <c r="C269" s="36"/>
      <c r="D269" s="36"/>
      <c r="E269" s="37"/>
      <c r="F269" s="37"/>
      <c r="G269" s="38"/>
      <c r="I269" s="34"/>
      <c r="J269" s="35"/>
      <c r="K269" s="45"/>
      <c r="L269" s="36"/>
      <c r="M269" s="37"/>
      <c r="N269" s="37"/>
      <c r="O269" s="38"/>
      <c r="P269" s="7"/>
    </row>
    <row r="270">
      <c r="A270" s="34"/>
      <c r="B270" s="35"/>
      <c r="C270" s="45"/>
      <c r="D270" s="36"/>
      <c r="E270" s="37"/>
      <c r="F270" s="37"/>
      <c r="G270" s="38"/>
      <c r="I270" s="34"/>
      <c r="J270" s="35"/>
      <c r="K270" s="45"/>
      <c r="L270" s="36"/>
      <c r="M270" s="37"/>
      <c r="N270" s="37"/>
      <c r="O270" s="38"/>
      <c r="P270" s="7"/>
    </row>
    <row r="271">
      <c r="A271" s="34"/>
      <c r="B271" s="35"/>
      <c r="C271" s="45"/>
      <c r="D271" s="36"/>
      <c r="E271" s="37"/>
      <c r="F271" s="37"/>
      <c r="G271" s="38"/>
      <c r="I271" s="34"/>
      <c r="J271" s="35"/>
      <c r="K271" s="45"/>
      <c r="L271" s="36"/>
      <c r="M271" s="37"/>
      <c r="N271" s="37"/>
      <c r="O271" s="38"/>
      <c r="P271" s="7"/>
    </row>
    <row r="272">
      <c r="A272" s="34"/>
      <c r="B272" s="35"/>
      <c r="C272" s="45"/>
      <c r="D272" s="36"/>
      <c r="E272" s="37"/>
      <c r="F272" s="37"/>
      <c r="G272" s="38"/>
      <c r="I272" s="34"/>
      <c r="J272" s="35"/>
      <c r="K272" s="45"/>
      <c r="L272" s="36"/>
      <c r="M272" s="37"/>
      <c r="N272" s="37"/>
      <c r="O272" s="38"/>
      <c r="P272" s="7"/>
    </row>
    <row r="273">
      <c r="A273" s="34"/>
      <c r="B273" s="35"/>
      <c r="C273" s="45"/>
      <c r="D273" s="36"/>
      <c r="E273" s="37"/>
      <c r="F273" s="37"/>
      <c r="G273" s="38"/>
      <c r="I273" s="34"/>
      <c r="J273" s="35"/>
      <c r="K273" s="45"/>
      <c r="L273" s="36"/>
      <c r="M273" s="37"/>
      <c r="N273" s="37"/>
      <c r="O273" s="38"/>
      <c r="P273" s="7"/>
    </row>
    <row r="274">
      <c r="A274" s="34"/>
      <c r="B274" s="35"/>
      <c r="C274" s="45"/>
      <c r="D274" s="36"/>
      <c r="E274" s="37"/>
      <c r="F274" s="37"/>
      <c r="G274" s="38"/>
      <c r="I274" s="34"/>
      <c r="J274" s="35"/>
      <c r="K274" s="45"/>
      <c r="L274" s="36"/>
      <c r="M274" s="37"/>
      <c r="N274" s="37"/>
      <c r="O274" s="38"/>
      <c r="P274" s="7"/>
    </row>
    <row r="275">
      <c r="A275" s="34"/>
      <c r="B275" s="35"/>
      <c r="C275" s="45"/>
      <c r="D275" s="36"/>
      <c r="E275" s="37"/>
      <c r="F275" s="37"/>
      <c r="G275" s="38"/>
      <c r="I275" s="34"/>
      <c r="J275" s="35"/>
      <c r="K275" s="45"/>
      <c r="L275" s="36"/>
      <c r="M275" s="37"/>
      <c r="N275" s="37"/>
      <c r="O275" s="38"/>
      <c r="P275" s="7"/>
    </row>
    <row r="276">
      <c r="A276" s="34"/>
      <c r="B276" s="35"/>
      <c r="C276" s="45"/>
      <c r="D276" s="36"/>
      <c r="E276" s="37"/>
      <c r="F276" s="37"/>
      <c r="G276" s="38"/>
      <c r="I276" s="34"/>
      <c r="J276" s="35"/>
      <c r="K276" s="45"/>
      <c r="L276" s="36"/>
      <c r="M276" s="37"/>
      <c r="N276" s="37"/>
      <c r="O276" s="38"/>
      <c r="P276" s="7"/>
    </row>
    <row r="277">
      <c r="A277" s="34"/>
      <c r="B277" s="35"/>
      <c r="C277" s="45"/>
      <c r="D277" s="36"/>
      <c r="E277" s="37"/>
      <c r="F277" s="37"/>
      <c r="G277" s="38"/>
      <c r="I277" s="34"/>
      <c r="J277" s="35"/>
      <c r="K277" s="45"/>
      <c r="L277" s="36"/>
      <c r="M277" s="37"/>
      <c r="N277" s="37"/>
      <c r="O277" s="38"/>
      <c r="P277" s="7"/>
    </row>
    <row r="278">
      <c r="A278" s="34"/>
      <c r="B278" s="35"/>
      <c r="C278" s="45"/>
      <c r="D278" s="36"/>
      <c r="E278" s="37"/>
      <c r="F278" s="37"/>
      <c r="G278" s="38"/>
      <c r="I278" s="34"/>
      <c r="J278" s="35"/>
      <c r="K278" s="45"/>
      <c r="L278" s="36"/>
      <c r="M278" s="37"/>
      <c r="N278" s="37"/>
      <c r="O278" s="38"/>
      <c r="P278" s="7"/>
    </row>
    <row r="279">
      <c r="A279" s="34"/>
      <c r="B279" s="35"/>
      <c r="C279" s="45"/>
      <c r="D279" s="36"/>
      <c r="E279" s="37"/>
      <c r="F279" s="37"/>
      <c r="G279" s="38"/>
      <c r="I279" s="34"/>
      <c r="J279" s="35"/>
      <c r="K279" s="45"/>
      <c r="L279" s="36"/>
      <c r="M279" s="37"/>
      <c r="N279" s="37"/>
      <c r="O279" s="38"/>
      <c r="P279" s="7"/>
    </row>
    <row r="280">
      <c r="A280" s="34"/>
      <c r="B280" s="35"/>
      <c r="C280" s="45"/>
      <c r="D280" s="36"/>
      <c r="E280" s="37"/>
      <c r="F280" s="37"/>
      <c r="G280" s="38"/>
      <c r="I280" s="34"/>
      <c r="J280" s="35"/>
      <c r="K280" s="45"/>
      <c r="L280" s="36"/>
      <c r="M280" s="37"/>
      <c r="N280" s="37"/>
      <c r="O280" s="38"/>
      <c r="P280" s="7"/>
    </row>
    <row r="281">
      <c r="A281" s="34"/>
      <c r="B281" s="35"/>
      <c r="C281" s="45"/>
      <c r="D281" s="36"/>
      <c r="E281" s="37"/>
      <c r="F281" s="37"/>
      <c r="G281" s="38"/>
      <c r="I281" s="34"/>
      <c r="J281" s="35"/>
      <c r="K281" s="45"/>
      <c r="L281" s="36"/>
      <c r="M281" s="37"/>
      <c r="N281" s="37"/>
      <c r="O281" s="38"/>
      <c r="P281" s="7"/>
    </row>
    <row r="282">
      <c r="A282" s="34"/>
      <c r="B282" s="35"/>
      <c r="C282" s="36"/>
      <c r="D282" s="36"/>
      <c r="E282" s="37"/>
      <c r="F282" s="37"/>
      <c r="G282" s="38"/>
      <c r="I282" s="34"/>
      <c r="J282" s="35"/>
      <c r="K282" s="45"/>
      <c r="L282" s="36"/>
      <c r="M282" s="37"/>
      <c r="N282" s="37"/>
      <c r="O282" s="38"/>
      <c r="P282" s="7"/>
    </row>
    <row r="283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7"/>
    </row>
    <row r="284">
      <c r="A284" s="34"/>
      <c r="B284" s="35"/>
      <c r="C284" s="45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7"/>
    </row>
    <row r="285">
      <c r="A285" s="34"/>
      <c r="B285" s="35"/>
      <c r="C285" s="45"/>
      <c r="D285" s="36"/>
      <c r="E285" s="37"/>
      <c r="F285" s="37"/>
      <c r="G285" s="38"/>
      <c r="I285" s="46"/>
      <c r="J285" s="47"/>
      <c r="K285" s="36"/>
      <c r="L285" s="36"/>
      <c r="M285" s="37"/>
      <c r="N285" s="37"/>
      <c r="O285" s="38"/>
      <c r="P285" s="7"/>
    </row>
    <row r="286">
      <c r="A286" s="34"/>
      <c r="B286" s="35"/>
      <c r="C286" s="45"/>
      <c r="D286" s="36"/>
      <c r="E286" s="37"/>
      <c r="F286" s="37"/>
      <c r="G286" s="38"/>
      <c r="I286" s="46"/>
      <c r="J286" s="47"/>
      <c r="K286" s="36"/>
      <c r="L286" s="36"/>
      <c r="M286" s="37"/>
      <c r="N286" s="37"/>
      <c r="O286" s="38"/>
      <c r="P286" s="7"/>
    </row>
    <row r="287">
      <c r="A287" s="34"/>
      <c r="B287" s="35"/>
      <c r="C287" s="45"/>
      <c r="D287" s="36"/>
      <c r="E287" s="37"/>
      <c r="F287" s="37"/>
      <c r="G287" s="38"/>
      <c r="I287" s="46"/>
      <c r="J287" s="47"/>
      <c r="K287" s="36"/>
      <c r="L287" s="36"/>
      <c r="M287" s="37"/>
      <c r="N287" s="37"/>
      <c r="O287" s="38"/>
      <c r="P287" s="7"/>
    </row>
    <row r="288">
      <c r="A288" s="34"/>
      <c r="B288" s="35"/>
      <c r="C288" s="45"/>
      <c r="D288" s="36"/>
      <c r="E288" s="37"/>
      <c r="F288" s="37"/>
      <c r="G288" s="38"/>
      <c r="I288" s="46"/>
      <c r="J288" s="47"/>
      <c r="K288" s="36"/>
      <c r="L288" s="36"/>
      <c r="M288" s="37"/>
      <c r="N288" s="37"/>
      <c r="O288" s="38"/>
      <c r="P288" s="7"/>
    </row>
    <row r="289">
      <c r="A289" s="34"/>
      <c r="B289" s="35"/>
      <c r="C289" s="45"/>
      <c r="D289" s="36"/>
      <c r="E289" s="37"/>
      <c r="F289" s="37"/>
      <c r="G289" s="38"/>
      <c r="I289" s="46"/>
      <c r="J289" s="47"/>
      <c r="K289" s="36"/>
      <c r="L289" s="36"/>
      <c r="M289" s="37"/>
      <c r="N289" s="37"/>
      <c r="O289" s="38"/>
      <c r="P289" s="7"/>
    </row>
    <row r="290">
      <c r="A290" s="34"/>
      <c r="B290" s="35"/>
      <c r="C290" s="45"/>
      <c r="D290" s="36"/>
      <c r="E290" s="37"/>
      <c r="F290" s="37"/>
      <c r="G290" s="38"/>
      <c r="I290" s="46"/>
      <c r="J290" s="47"/>
      <c r="K290" s="36"/>
      <c r="L290" s="36"/>
      <c r="M290" s="37"/>
      <c r="N290" s="37"/>
      <c r="O290" s="38"/>
      <c r="P290" s="7"/>
    </row>
    <row r="291">
      <c r="A291" s="34"/>
      <c r="B291" s="35"/>
      <c r="C291" s="45"/>
      <c r="D291" s="36"/>
      <c r="E291" s="37"/>
      <c r="F291" s="37"/>
      <c r="G291" s="38"/>
      <c r="I291" s="46"/>
      <c r="J291" s="47"/>
      <c r="K291" s="36"/>
      <c r="L291" s="36"/>
      <c r="M291" s="37"/>
      <c r="N291" s="37"/>
      <c r="O291" s="38"/>
      <c r="P291" s="7"/>
    </row>
    <row r="292">
      <c r="A292" s="34"/>
      <c r="B292" s="35"/>
      <c r="C292" s="45"/>
      <c r="D292" s="36"/>
      <c r="E292" s="37"/>
      <c r="F292" s="37"/>
      <c r="G292" s="38"/>
      <c r="I292" s="46"/>
      <c r="J292" s="47"/>
      <c r="K292" s="36"/>
      <c r="L292" s="36"/>
      <c r="M292" s="37"/>
      <c r="N292" s="37"/>
      <c r="O292" s="38"/>
      <c r="P292" s="7"/>
    </row>
    <row r="293">
      <c r="A293" s="34"/>
      <c r="B293" s="35"/>
      <c r="C293" s="36"/>
      <c r="D293" s="36"/>
      <c r="E293" s="37"/>
      <c r="F293" s="37"/>
      <c r="G293" s="38"/>
      <c r="I293" s="46"/>
      <c r="J293" s="47"/>
      <c r="K293" s="45"/>
      <c r="L293" s="36"/>
      <c r="M293" s="37"/>
      <c r="N293" s="37"/>
      <c r="O293" s="38"/>
      <c r="P293" s="7"/>
    </row>
    <row r="294">
      <c r="A294" s="34"/>
      <c r="B294" s="35"/>
      <c r="C294" s="36"/>
      <c r="D294" s="36"/>
      <c r="E294" s="37"/>
      <c r="F294" s="37"/>
      <c r="G294" s="38"/>
      <c r="I294" s="46"/>
      <c r="J294" s="47"/>
      <c r="K294" s="45"/>
      <c r="L294" s="36"/>
      <c r="M294" s="37"/>
      <c r="N294" s="37"/>
      <c r="O294" s="38"/>
      <c r="P294" s="7"/>
    </row>
    <row r="295">
      <c r="A295" s="34"/>
      <c r="B295" s="35"/>
      <c r="C295" s="36"/>
      <c r="D295" s="36"/>
      <c r="E295" s="37"/>
      <c r="F295" s="37"/>
      <c r="G295" s="38"/>
      <c r="I295" s="46"/>
      <c r="J295" s="47"/>
      <c r="K295" s="45"/>
      <c r="L295" s="36"/>
      <c r="M295" s="37"/>
      <c r="N295" s="37"/>
      <c r="O295" s="38"/>
      <c r="P295" s="7"/>
    </row>
    <row r="296">
      <c r="A296" s="34"/>
      <c r="B296" s="35"/>
      <c r="C296" s="36"/>
      <c r="D296" s="36"/>
      <c r="E296" s="37"/>
      <c r="F296" s="37"/>
      <c r="G296" s="38"/>
      <c r="I296" s="46"/>
      <c r="J296" s="47"/>
      <c r="K296" s="45"/>
      <c r="L296" s="36"/>
      <c r="M296" s="37"/>
      <c r="N296" s="37"/>
      <c r="O296" s="38"/>
      <c r="P296" s="7"/>
    </row>
    <row r="297">
      <c r="A297" s="34"/>
      <c r="B297" s="35"/>
      <c r="C297" s="45"/>
      <c r="D297" s="36"/>
      <c r="E297" s="37"/>
      <c r="F297" s="37"/>
      <c r="G297" s="38"/>
      <c r="I297" s="46"/>
      <c r="J297" s="47"/>
      <c r="K297" s="45"/>
      <c r="L297" s="36"/>
      <c r="M297" s="37"/>
      <c r="N297" s="37"/>
      <c r="O297" s="38"/>
      <c r="P297" s="7"/>
    </row>
    <row r="298">
      <c r="A298" s="34"/>
      <c r="B298" s="35"/>
      <c r="C298" s="45"/>
      <c r="D298" s="36"/>
      <c r="E298" s="37"/>
      <c r="F298" s="37"/>
      <c r="G298" s="38"/>
      <c r="I298" s="46"/>
      <c r="J298" s="47"/>
      <c r="K298" s="45"/>
      <c r="L298" s="36"/>
      <c r="M298" s="37"/>
      <c r="N298" s="37"/>
      <c r="O298" s="38"/>
      <c r="P298" s="7"/>
    </row>
    <row r="299">
      <c r="A299" s="34"/>
      <c r="B299" s="35"/>
      <c r="C299" s="45"/>
      <c r="D299" s="36"/>
      <c r="E299" s="37"/>
      <c r="F299" s="37"/>
      <c r="G299" s="38"/>
      <c r="I299" s="46"/>
      <c r="J299" s="47"/>
      <c r="K299" s="36"/>
      <c r="L299" s="36"/>
      <c r="M299" s="37"/>
      <c r="N299" s="37"/>
      <c r="O299" s="38"/>
      <c r="P299" s="7"/>
    </row>
    <row r="300">
      <c r="A300" s="34"/>
      <c r="B300" s="35"/>
      <c r="C300" s="45"/>
      <c r="D300" s="36"/>
      <c r="E300" s="37"/>
      <c r="F300" s="37"/>
      <c r="G300" s="38"/>
      <c r="I300" s="46"/>
      <c r="J300" s="47"/>
      <c r="K300" s="36"/>
      <c r="L300" s="36"/>
      <c r="M300" s="37"/>
      <c r="N300" s="37"/>
      <c r="O300" s="38"/>
      <c r="P300" s="7"/>
    </row>
    <row r="301">
      <c r="A301" s="34"/>
      <c r="B301" s="35"/>
      <c r="C301" s="45"/>
      <c r="D301" s="36"/>
      <c r="E301" s="37"/>
      <c r="F301" s="37"/>
      <c r="G301" s="38"/>
      <c r="I301" s="46"/>
      <c r="J301" s="47"/>
      <c r="K301" s="36"/>
      <c r="L301" s="36"/>
      <c r="M301" s="37"/>
      <c r="N301" s="37"/>
      <c r="O301" s="38"/>
      <c r="P301" s="7"/>
    </row>
    <row r="302">
      <c r="A302" s="34"/>
      <c r="B302" s="35"/>
      <c r="C302" s="45"/>
      <c r="D302" s="36"/>
      <c r="E302" s="37"/>
      <c r="F302" s="37"/>
      <c r="G302" s="38"/>
      <c r="I302" s="46"/>
      <c r="J302" s="47"/>
      <c r="K302" s="36"/>
      <c r="L302" s="36"/>
      <c r="M302" s="37"/>
      <c r="N302" s="37"/>
      <c r="O302" s="38"/>
      <c r="P302" s="7"/>
    </row>
    <row r="303">
      <c r="A303" s="34"/>
      <c r="B303" s="35"/>
      <c r="C303" s="45"/>
      <c r="D303" s="36"/>
      <c r="E303" s="37"/>
      <c r="F303" s="37"/>
      <c r="G303" s="38"/>
      <c r="I303" s="46"/>
      <c r="J303" s="47"/>
      <c r="K303" s="36"/>
      <c r="L303" s="36"/>
      <c r="M303" s="37"/>
      <c r="N303" s="37"/>
      <c r="O303" s="38"/>
      <c r="P303" s="7"/>
    </row>
    <row r="304">
      <c r="A304" s="34"/>
      <c r="B304" s="35"/>
      <c r="C304" s="45"/>
      <c r="D304" s="36"/>
      <c r="E304" s="37"/>
      <c r="F304" s="37"/>
      <c r="G304" s="38"/>
      <c r="I304" s="46"/>
      <c r="J304" s="47"/>
      <c r="K304" s="36"/>
      <c r="L304" s="36"/>
      <c r="M304" s="37"/>
      <c r="N304" s="37"/>
      <c r="O304" s="38"/>
      <c r="P304" s="7"/>
    </row>
    <row r="305">
      <c r="A305" s="34"/>
      <c r="B305" s="35"/>
      <c r="C305" s="45"/>
      <c r="D305" s="36"/>
      <c r="E305" s="37"/>
      <c r="F305" s="37"/>
      <c r="G305" s="38"/>
      <c r="I305" s="46"/>
      <c r="J305" s="47"/>
      <c r="K305" s="36"/>
      <c r="L305" s="36"/>
      <c r="M305" s="37"/>
      <c r="N305" s="37"/>
      <c r="O305" s="38"/>
      <c r="P305" s="7"/>
    </row>
    <row r="306">
      <c r="A306" s="34"/>
      <c r="B306" s="35"/>
      <c r="C306" s="45"/>
      <c r="D306" s="36"/>
      <c r="E306" s="37"/>
      <c r="F306" s="37"/>
      <c r="G306" s="38"/>
      <c r="I306" s="46"/>
      <c r="J306" s="47"/>
      <c r="K306" s="36"/>
      <c r="L306" s="36"/>
      <c r="M306" s="37"/>
      <c r="N306" s="37"/>
      <c r="O306" s="38"/>
      <c r="P306" s="7"/>
    </row>
    <row r="307">
      <c r="A307" s="34"/>
      <c r="B307" s="35"/>
      <c r="C307" s="45"/>
      <c r="D307" s="36"/>
      <c r="E307" s="37"/>
      <c r="F307" s="37"/>
      <c r="G307" s="38"/>
      <c r="I307" s="46"/>
      <c r="J307" s="47"/>
      <c r="K307" s="36"/>
      <c r="L307" s="36"/>
      <c r="M307" s="37"/>
      <c r="N307" s="37"/>
      <c r="O307" s="38"/>
      <c r="P307" s="7"/>
    </row>
    <row r="308">
      <c r="A308" s="34"/>
      <c r="B308" s="35"/>
      <c r="C308" s="45"/>
      <c r="D308" s="36"/>
      <c r="E308" s="37"/>
      <c r="F308" s="37"/>
      <c r="G308" s="38"/>
      <c r="I308" s="46"/>
      <c r="J308" s="47"/>
      <c r="K308" s="36"/>
      <c r="L308" s="36"/>
      <c r="M308" s="37"/>
      <c r="N308" s="37"/>
      <c r="O308" s="38"/>
      <c r="P308" s="7"/>
    </row>
    <row r="309">
      <c r="A309" s="34"/>
      <c r="B309" s="35"/>
      <c r="C309" s="45"/>
      <c r="D309" s="36"/>
      <c r="E309" s="37"/>
      <c r="F309" s="37"/>
      <c r="G309" s="38"/>
      <c r="I309" s="46"/>
      <c r="J309" s="47"/>
      <c r="K309" s="36"/>
      <c r="L309" s="36"/>
      <c r="M309" s="37"/>
      <c r="N309" s="37"/>
      <c r="O309" s="38"/>
      <c r="P309" s="7"/>
    </row>
    <row r="310">
      <c r="A310" s="34"/>
      <c r="B310" s="35"/>
      <c r="C310" s="45"/>
      <c r="D310" s="36"/>
      <c r="E310" s="37"/>
      <c r="F310" s="37"/>
      <c r="G310" s="38"/>
      <c r="I310" s="46"/>
      <c r="J310" s="47"/>
      <c r="K310" s="36"/>
      <c r="L310" s="36"/>
      <c r="M310" s="37"/>
      <c r="N310" s="37"/>
      <c r="O310" s="38"/>
      <c r="P310" s="7"/>
    </row>
    <row r="311">
      <c r="A311" s="34"/>
      <c r="B311" s="35"/>
      <c r="C311" s="45"/>
      <c r="D311" s="36"/>
      <c r="E311" s="37"/>
      <c r="F311" s="37"/>
      <c r="G311" s="38"/>
      <c r="I311" s="46"/>
      <c r="J311" s="47"/>
      <c r="K311" s="36"/>
      <c r="L311" s="36"/>
      <c r="M311" s="37"/>
      <c r="N311" s="37"/>
      <c r="O311" s="38"/>
      <c r="P311" s="7"/>
    </row>
    <row r="312">
      <c r="A312" s="34"/>
      <c r="B312" s="35"/>
      <c r="C312" s="45"/>
      <c r="D312" s="36"/>
      <c r="E312" s="37"/>
      <c r="F312" s="37"/>
      <c r="G312" s="38"/>
      <c r="I312" s="46"/>
      <c r="J312" s="47"/>
      <c r="K312" s="36"/>
      <c r="L312" s="36"/>
      <c r="M312" s="37"/>
      <c r="N312" s="37"/>
      <c r="O312" s="38"/>
      <c r="P312" s="7"/>
    </row>
    <row r="313">
      <c r="A313" s="34"/>
      <c r="B313" s="35"/>
      <c r="C313" s="45"/>
      <c r="D313" s="36"/>
      <c r="E313" s="37"/>
      <c r="F313" s="37"/>
      <c r="G313" s="38"/>
      <c r="I313" s="46"/>
      <c r="J313" s="47"/>
      <c r="K313" s="45"/>
      <c r="L313" s="36"/>
      <c r="M313" s="37"/>
      <c r="N313" s="37"/>
      <c r="O313" s="38"/>
      <c r="P313" s="7"/>
    </row>
    <row r="314">
      <c r="A314" s="34"/>
      <c r="B314" s="35"/>
      <c r="C314" s="45"/>
      <c r="D314" s="36"/>
      <c r="E314" s="37"/>
      <c r="F314" s="37"/>
      <c r="G314" s="38"/>
      <c r="I314" s="46"/>
      <c r="J314" s="47"/>
      <c r="K314" s="45"/>
      <c r="L314" s="36"/>
      <c r="M314" s="37"/>
      <c r="N314" s="37"/>
      <c r="O314" s="38"/>
      <c r="P314" s="7"/>
    </row>
    <row r="315">
      <c r="A315" s="34"/>
      <c r="B315" s="35"/>
      <c r="C315" s="45"/>
      <c r="D315" s="36"/>
      <c r="E315" s="37"/>
      <c r="F315" s="37"/>
      <c r="G315" s="38"/>
      <c r="I315" s="46"/>
      <c r="J315" s="47"/>
      <c r="K315" s="45"/>
      <c r="L315" s="36"/>
      <c r="M315" s="37"/>
      <c r="N315" s="37"/>
      <c r="O315" s="38"/>
      <c r="P315" s="7"/>
    </row>
    <row r="316">
      <c r="A316" s="34"/>
      <c r="B316" s="35"/>
      <c r="C316" s="45"/>
      <c r="D316" s="36"/>
      <c r="E316" s="37"/>
      <c r="F316" s="37"/>
      <c r="G316" s="38"/>
      <c r="I316" s="46"/>
      <c r="J316" s="47"/>
      <c r="K316" s="45"/>
      <c r="L316" s="36"/>
      <c r="M316" s="37"/>
      <c r="N316" s="37"/>
      <c r="O316" s="38"/>
      <c r="P316" s="7"/>
    </row>
    <row r="317">
      <c r="A317" s="34"/>
      <c r="B317" s="35"/>
      <c r="C317" s="45"/>
      <c r="D317" s="36"/>
      <c r="E317" s="37"/>
      <c r="F317" s="37"/>
      <c r="G317" s="38"/>
      <c r="I317" s="46"/>
      <c r="J317" s="47"/>
      <c r="K317" s="36"/>
      <c r="L317" s="36"/>
      <c r="M317" s="37"/>
      <c r="N317" s="37"/>
      <c r="O317" s="38"/>
      <c r="P317" s="7"/>
    </row>
    <row r="318">
      <c r="A318" s="34"/>
      <c r="B318" s="35"/>
      <c r="C318" s="36"/>
      <c r="D318" s="36"/>
      <c r="E318" s="37"/>
      <c r="F318" s="37"/>
      <c r="G318" s="38"/>
      <c r="I318" s="18"/>
      <c r="J318" s="19"/>
      <c r="K318" s="31"/>
      <c r="L318" s="20"/>
      <c r="M318" s="2"/>
      <c r="N318" s="21"/>
      <c r="O318" s="22"/>
      <c r="P318" s="7"/>
    </row>
    <row r="319">
      <c r="A319" s="34"/>
      <c r="B319" s="35"/>
      <c r="C319" s="36"/>
      <c r="D319" s="36"/>
      <c r="E319" s="37"/>
      <c r="F319" s="37"/>
      <c r="G319" s="38"/>
      <c r="I319" s="18"/>
      <c r="J319" s="19"/>
      <c r="K319" s="31"/>
      <c r="L319" s="20"/>
      <c r="M319" s="2"/>
      <c r="N319" s="21"/>
      <c r="O319" s="22"/>
      <c r="P319" s="7"/>
    </row>
    <row r="320">
      <c r="A320" s="46"/>
      <c r="B320" s="47"/>
      <c r="C320" s="36"/>
      <c r="D320" s="36"/>
      <c r="E320" s="37"/>
      <c r="F320" s="37"/>
      <c r="G320" s="38"/>
      <c r="I320" s="18"/>
      <c r="J320" s="19"/>
      <c r="K320" s="31"/>
      <c r="L320" s="20"/>
      <c r="M320" s="2"/>
      <c r="N320" s="21"/>
      <c r="O320" s="22"/>
      <c r="P320" s="7"/>
    </row>
    <row r="321">
      <c r="A321" s="46"/>
      <c r="B321" s="47"/>
      <c r="C321" s="36"/>
      <c r="D321" s="36"/>
      <c r="E321" s="37"/>
      <c r="F321" s="37"/>
      <c r="G321" s="38"/>
      <c r="I321" s="18"/>
      <c r="J321" s="19"/>
      <c r="K321" s="31"/>
      <c r="L321" s="20"/>
      <c r="M321" s="2"/>
      <c r="N321" s="21"/>
      <c r="O321" s="22"/>
      <c r="P321" s="7"/>
    </row>
    <row r="322">
      <c r="A322" s="46"/>
      <c r="B322" s="47"/>
      <c r="C322" s="36"/>
      <c r="D322" s="36"/>
      <c r="E322" s="37"/>
      <c r="F322" s="37"/>
      <c r="G322" s="38"/>
      <c r="I322" s="18"/>
      <c r="J322" s="19"/>
      <c r="K322" s="31"/>
      <c r="L322" s="20"/>
      <c r="M322" s="2"/>
      <c r="N322" s="21"/>
      <c r="O322" s="22"/>
      <c r="P322" s="7"/>
    </row>
    <row r="323">
      <c r="A323" s="46"/>
      <c r="B323" s="47"/>
      <c r="C323" s="36"/>
      <c r="D323" s="36"/>
      <c r="E323" s="37"/>
      <c r="F323" s="37"/>
      <c r="G323" s="38"/>
      <c r="I323" s="18"/>
      <c r="J323" s="19"/>
      <c r="K323" s="20"/>
      <c r="L323" s="20"/>
      <c r="M323" s="2"/>
      <c r="N323" s="21"/>
      <c r="O323" s="22"/>
      <c r="P323" s="7"/>
    </row>
    <row r="324">
      <c r="A324" s="46"/>
      <c r="B324" s="47"/>
      <c r="C324" s="36"/>
      <c r="D324" s="36"/>
      <c r="E324" s="37"/>
      <c r="F324" s="37"/>
      <c r="G324" s="38"/>
      <c r="I324" s="18"/>
      <c r="J324" s="19"/>
      <c r="K324" s="31"/>
      <c r="L324" s="20"/>
      <c r="M324" s="2"/>
      <c r="N324" s="21"/>
      <c r="O324" s="22"/>
      <c r="P324" s="7"/>
    </row>
    <row r="325">
      <c r="A325" s="46"/>
      <c r="B325" s="47"/>
      <c r="C325" s="36"/>
      <c r="D325" s="36"/>
      <c r="E325" s="37"/>
      <c r="F325" s="37"/>
      <c r="G325" s="38"/>
      <c r="I325" s="18"/>
      <c r="J325" s="19"/>
      <c r="K325" s="20"/>
      <c r="L325" s="20"/>
      <c r="M325" s="2"/>
      <c r="N325" s="21"/>
      <c r="O325" s="22"/>
      <c r="P325" s="7"/>
    </row>
    <row r="326">
      <c r="A326" s="46"/>
      <c r="B326" s="47"/>
      <c r="C326" s="36"/>
      <c r="D326" s="36"/>
      <c r="E326" s="37"/>
      <c r="F326" s="37"/>
      <c r="G326" s="38"/>
      <c r="I326" s="18"/>
      <c r="J326" s="19"/>
      <c r="K326" s="31"/>
      <c r="L326" s="20"/>
      <c r="M326" s="2"/>
      <c r="N326" s="21"/>
      <c r="O326" s="22"/>
      <c r="P326" s="7"/>
    </row>
    <row r="327">
      <c r="A327" s="46"/>
      <c r="B327" s="47"/>
      <c r="C327" s="36"/>
      <c r="D327" s="36"/>
      <c r="E327" s="37"/>
      <c r="F327" s="37"/>
      <c r="G327" s="38"/>
      <c r="I327" s="18"/>
      <c r="J327" s="19"/>
      <c r="K327" s="31"/>
      <c r="L327" s="20"/>
      <c r="M327" s="2"/>
      <c r="N327" s="21"/>
      <c r="O327" s="22"/>
      <c r="P327" s="7"/>
    </row>
    <row r="328">
      <c r="A328" s="46"/>
      <c r="B328" s="47"/>
      <c r="C328" s="45"/>
      <c r="D328" s="36"/>
      <c r="E328" s="37"/>
      <c r="F328" s="37"/>
      <c r="G328" s="38"/>
      <c r="I328" s="18"/>
      <c r="J328" s="19"/>
      <c r="K328" s="20"/>
      <c r="L328" s="20"/>
      <c r="M328" s="2"/>
      <c r="N328" s="21"/>
      <c r="O328" s="22"/>
      <c r="P328" s="7"/>
    </row>
    <row r="329">
      <c r="A329" s="46"/>
      <c r="B329" s="47"/>
      <c r="C329" s="45"/>
      <c r="D329" s="36"/>
      <c r="E329" s="37"/>
      <c r="F329" s="37"/>
      <c r="G329" s="38"/>
      <c r="I329" s="18"/>
      <c r="J329" s="19"/>
      <c r="K329" s="31"/>
      <c r="L329" s="20"/>
      <c r="M329" s="2"/>
      <c r="N329" s="21"/>
      <c r="O329" s="22"/>
      <c r="P329" s="7"/>
    </row>
    <row r="330">
      <c r="A330" s="46"/>
      <c r="B330" s="47"/>
      <c r="C330" s="45"/>
      <c r="D330" s="36"/>
      <c r="E330" s="37"/>
      <c r="F330" s="37"/>
      <c r="G330" s="38"/>
      <c r="I330" s="18"/>
      <c r="J330" s="19"/>
      <c r="K330" s="20"/>
      <c r="L330" s="20"/>
      <c r="M330" s="2"/>
      <c r="N330" s="21"/>
      <c r="O330" s="22"/>
      <c r="P330" s="7"/>
    </row>
    <row r="331">
      <c r="A331" s="46"/>
      <c r="B331" s="47"/>
      <c r="C331" s="45"/>
      <c r="D331" s="36"/>
      <c r="E331" s="37"/>
      <c r="F331" s="37"/>
      <c r="G331" s="38"/>
      <c r="I331" s="18"/>
      <c r="J331" s="19"/>
      <c r="K331" s="31"/>
      <c r="L331" s="20"/>
      <c r="M331" s="2"/>
      <c r="N331" s="21"/>
      <c r="O331" s="22"/>
      <c r="P331" s="7"/>
    </row>
    <row r="332">
      <c r="A332" s="46"/>
      <c r="B332" s="47"/>
      <c r="C332" s="45"/>
      <c r="D332" s="36"/>
      <c r="E332" s="37"/>
      <c r="F332" s="37"/>
      <c r="G332" s="38"/>
      <c r="I332" s="18"/>
      <c r="J332" s="19"/>
      <c r="K332" s="31"/>
      <c r="L332" s="20"/>
      <c r="M332" s="2"/>
      <c r="N332" s="21"/>
      <c r="O332" s="22"/>
      <c r="P332" s="7"/>
    </row>
    <row r="333">
      <c r="A333" s="46"/>
      <c r="B333" s="47"/>
      <c r="C333" s="45"/>
      <c r="D333" s="36"/>
      <c r="E333" s="37"/>
      <c r="F333" s="37"/>
      <c r="G333" s="38"/>
      <c r="I333" s="18"/>
      <c r="J333" s="19"/>
      <c r="K333" s="31"/>
      <c r="L333" s="20"/>
      <c r="M333" s="2"/>
      <c r="N333" s="21"/>
      <c r="O333" s="22"/>
      <c r="P333" s="7"/>
    </row>
    <row r="334">
      <c r="A334" s="46"/>
      <c r="B334" s="47"/>
      <c r="C334" s="36"/>
      <c r="D334" s="36"/>
      <c r="E334" s="37"/>
      <c r="F334" s="37"/>
      <c r="G334" s="38"/>
      <c r="I334" s="18"/>
      <c r="J334" s="19"/>
      <c r="K334" s="31"/>
      <c r="L334" s="20"/>
      <c r="M334" s="2"/>
      <c r="N334" s="21"/>
      <c r="O334" s="22"/>
      <c r="P334" s="7"/>
    </row>
    <row r="335">
      <c r="A335" s="46"/>
      <c r="B335" s="47"/>
      <c r="C335" s="36"/>
      <c r="D335" s="36"/>
      <c r="E335" s="37"/>
      <c r="F335" s="37"/>
      <c r="G335" s="38"/>
      <c r="I335" s="18"/>
      <c r="J335" s="19"/>
      <c r="K335" s="20"/>
      <c r="L335" s="20"/>
      <c r="M335" s="2"/>
      <c r="N335" s="21"/>
      <c r="O335" s="22"/>
      <c r="P335" s="7"/>
    </row>
    <row r="336">
      <c r="A336" s="46"/>
      <c r="B336" s="47"/>
      <c r="C336" s="36"/>
      <c r="D336" s="36"/>
      <c r="E336" s="37"/>
      <c r="F336" s="37"/>
      <c r="G336" s="38"/>
      <c r="I336" s="18"/>
      <c r="J336" s="19"/>
      <c r="K336" s="20"/>
      <c r="L336" s="20"/>
      <c r="M336" s="2"/>
      <c r="N336" s="21"/>
      <c r="O336" s="22"/>
      <c r="P336" s="7"/>
    </row>
    <row r="337">
      <c r="A337" s="46"/>
      <c r="B337" s="47"/>
      <c r="C337" s="36"/>
      <c r="D337" s="36"/>
      <c r="E337" s="37"/>
      <c r="F337" s="37"/>
      <c r="G337" s="38"/>
      <c r="I337" s="18"/>
      <c r="J337" s="19"/>
      <c r="K337" s="31"/>
      <c r="L337" s="20"/>
      <c r="M337" s="2"/>
      <c r="N337" s="21"/>
      <c r="O337" s="22"/>
      <c r="P337" s="7"/>
    </row>
    <row r="338">
      <c r="A338" s="46"/>
      <c r="B338" s="47"/>
      <c r="C338" s="36"/>
      <c r="D338" s="36"/>
      <c r="E338" s="37"/>
      <c r="F338" s="37"/>
      <c r="G338" s="38"/>
      <c r="I338" s="18"/>
      <c r="J338" s="19"/>
      <c r="K338" s="31"/>
      <c r="L338" s="20"/>
      <c r="M338" s="2"/>
      <c r="N338" s="21"/>
      <c r="O338" s="22"/>
      <c r="P338" s="7"/>
    </row>
    <row r="339">
      <c r="A339" s="46"/>
      <c r="B339" s="47"/>
      <c r="C339" s="36"/>
      <c r="D339" s="36"/>
      <c r="E339" s="37"/>
      <c r="F339" s="37"/>
      <c r="G339" s="38"/>
      <c r="I339" s="18"/>
      <c r="J339" s="19"/>
      <c r="K339" s="31"/>
      <c r="L339" s="20"/>
      <c r="M339" s="2"/>
      <c r="N339" s="21"/>
      <c r="O339" s="22"/>
      <c r="P339" s="7"/>
    </row>
    <row r="340">
      <c r="A340" s="46"/>
      <c r="B340" s="47"/>
      <c r="C340" s="36"/>
      <c r="D340" s="36"/>
      <c r="E340" s="37"/>
      <c r="F340" s="37"/>
      <c r="G340" s="38"/>
      <c r="I340" s="18"/>
      <c r="J340" s="19"/>
      <c r="K340" s="31"/>
      <c r="L340" s="20"/>
      <c r="M340" s="2"/>
      <c r="N340" s="21"/>
      <c r="O340" s="22"/>
      <c r="P340" s="7"/>
    </row>
    <row r="341">
      <c r="A341" s="46"/>
      <c r="B341" s="47"/>
      <c r="C341" s="36"/>
      <c r="D341" s="36"/>
      <c r="E341" s="37"/>
      <c r="F341" s="37"/>
      <c r="G341" s="38"/>
      <c r="I341" s="18"/>
      <c r="J341" s="19"/>
      <c r="K341" s="31"/>
      <c r="L341" s="20"/>
      <c r="M341" s="2"/>
      <c r="N341" s="21"/>
      <c r="O341" s="22"/>
      <c r="P341" s="7"/>
    </row>
    <row r="342">
      <c r="A342" s="46"/>
      <c r="B342" s="47"/>
      <c r="C342" s="36"/>
      <c r="D342" s="36"/>
      <c r="E342" s="37"/>
      <c r="F342" s="37"/>
      <c r="G342" s="38"/>
      <c r="I342" s="18"/>
      <c r="J342" s="19"/>
      <c r="K342" s="20"/>
      <c r="L342" s="20"/>
      <c r="M342" s="2"/>
      <c r="N342" s="21"/>
      <c r="O342" s="22"/>
      <c r="P342" s="7"/>
    </row>
    <row r="343">
      <c r="A343" s="46"/>
      <c r="B343" s="47"/>
      <c r="C343" s="36"/>
      <c r="D343" s="36"/>
      <c r="E343" s="37"/>
      <c r="F343" s="37"/>
      <c r="G343" s="38"/>
      <c r="I343" s="18"/>
      <c r="J343" s="19"/>
      <c r="K343" s="20"/>
      <c r="L343" s="20"/>
      <c r="M343" s="2"/>
      <c r="N343" s="21"/>
      <c r="O343" s="22"/>
      <c r="P343" s="7"/>
    </row>
    <row r="344">
      <c r="A344" s="46"/>
      <c r="B344" s="47"/>
      <c r="C344" s="36"/>
      <c r="D344" s="36"/>
      <c r="E344" s="37"/>
      <c r="F344" s="37"/>
      <c r="G344" s="38"/>
      <c r="I344" s="18"/>
      <c r="J344" s="19"/>
      <c r="K344" s="31"/>
      <c r="L344" s="20"/>
      <c r="M344" s="2"/>
      <c r="N344" s="21"/>
      <c r="O344" s="22"/>
      <c r="P344" s="7"/>
    </row>
    <row r="345">
      <c r="A345" s="46"/>
      <c r="B345" s="47"/>
      <c r="C345" s="36"/>
      <c r="D345" s="36"/>
      <c r="E345" s="37"/>
      <c r="F345" s="37"/>
      <c r="G345" s="38"/>
      <c r="I345" s="18"/>
      <c r="J345" s="19"/>
      <c r="K345" s="31"/>
      <c r="L345" s="20"/>
      <c r="M345" s="2"/>
      <c r="N345" s="21"/>
      <c r="O345" s="22"/>
      <c r="P345" s="7"/>
    </row>
    <row r="346">
      <c r="A346" s="46"/>
      <c r="B346" s="47"/>
      <c r="C346" s="36"/>
      <c r="D346" s="36"/>
      <c r="E346" s="37"/>
      <c r="F346" s="37"/>
      <c r="G346" s="38"/>
      <c r="I346" s="18"/>
      <c r="J346" s="19"/>
      <c r="K346" s="20"/>
      <c r="L346" s="20"/>
      <c r="M346" s="2"/>
      <c r="N346" s="21"/>
      <c r="O346" s="22"/>
      <c r="P346" s="7"/>
    </row>
    <row r="347">
      <c r="A347" s="46"/>
      <c r="B347" s="47"/>
      <c r="C347" s="36"/>
      <c r="D347" s="36"/>
      <c r="E347" s="37"/>
      <c r="F347" s="37"/>
      <c r="G347" s="38"/>
      <c r="I347" s="18"/>
      <c r="J347" s="19"/>
      <c r="K347" s="31"/>
      <c r="L347" s="20"/>
      <c r="M347" s="2"/>
      <c r="N347" s="21"/>
      <c r="O347" s="22"/>
      <c r="P347" s="7"/>
    </row>
    <row r="348">
      <c r="A348" s="46"/>
      <c r="B348" s="47"/>
      <c r="C348" s="45"/>
      <c r="D348" s="36"/>
      <c r="E348" s="37"/>
      <c r="F348" s="37"/>
      <c r="G348" s="38"/>
      <c r="I348" s="18"/>
      <c r="J348" s="19"/>
      <c r="K348" s="31"/>
      <c r="L348" s="20"/>
      <c r="M348" s="2"/>
      <c r="N348" s="21"/>
      <c r="O348" s="22"/>
      <c r="P348" s="7"/>
    </row>
    <row r="349">
      <c r="A349" s="46"/>
      <c r="B349" s="47"/>
      <c r="C349" s="45"/>
      <c r="D349" s="36"/>
      <c r="E349" s="37"/>
      <c r="F349" s="37"/>
      <c r="G349" s="38"/>
      <c r="I349" s="18"/>
      <c r="J349" s="19"/>
      <c r="K349" s="20"/>
      <c r="L349" s="20"/>
      <c r="M349" s="2"/>
      <c r="N349" s="21"/>
      <c r="O349" s="22"/>
      <c r="P349" s="7"/>
    </row>
    <row r="350">
      <c r="A350" s="46"/>
      <c r="B350" s="47"/>
      <c r="C350" s="45"/>
      <c r="D350" s="36"/>
      <c r="E350" s="37"/>
      <c r="F350" s="37"/>
      <c r="G350" s="38"/>
      <c r="I350" s="18"/>
      <c r="J350" s="19"/>
      <c r="K350" s="31"/>
      <c r="L350" s="20"/>
      <c r="M350" s="2"/>
      <c r="N350" s="21"/>
      <c r="O350" s="22"/>
      <c r="P350" s="7"/>
    </row>
    <row r="351">
      <c r="A351" s="46"/>
      <c r="B351" s="47"/>
      <c r="C351" s="45"/>
      <c r="D351" s="36"/>
      <c r="E351" s="37"/>
      <c r="F351" s="37"/>
      <c r="G351" s="38"/>
      <c r="I351" s="18"/>
      <c r="J351" s="19"/>
      <c r="K351" s="20"/>
      <c r="L351" s="20"/>
      <c r="M351" s="2"/>
      <c r="N351" s="21"/>
      <c r="O351" s="22"/>
      <c r="P351" s="7"/>
    </row>
    <row r="352">
      <c r="A352" s="46"/>
      <c r="B352" s="47"/>
      <c r="C352" s="36"/>
      <c r="D352" s="36"/>
      <c r="E352" s="37"/>
      <c r="F352" s="37"/>
      <c r="G352" s="38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7"/>
    </row>
    <row r="354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7"/>
    </row>
    <row r="358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7"/>
    </row>
    <row r="367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7"/>
    </row>
    <row r="370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7"/>
    </row>
    <row r="372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7"/>
    </row>
    <row r="373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7"/>
    </row>
    <row r="374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7"/>
    </row>
    <row r="375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7"/>
    </row>
    <row r="377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7"/>
    </row>
    <row r="378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7"/>
    </row>
    <row r="385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7"/>
    </row>
    <row r="394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7"/>
    </row>
    <row r="395">
      <c r="A395" s="18"/>
      <c r="B395" s="39"/>
      <c r="C395" s="48"/>
      <c r="D395" s="40"/>
      <c r="E395" s="41"/>
      <c r="F395" s="42"/>
      <c r="G395" s="43"/>
      <c r="I395" s="18"/>
      <c r="J395" s="19"/>
      <c r="K395" s="31"/>
      <c r="L395" s="20"/>
      <c r="M395" s="2"/>
      <c r="N395" s="21"/>
      <c r="O395" s="22"/>
      <c r="P395" s="7"/>
    </row>
    <row r="396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7"/>
    </row>
    <row r="40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7"/>
    </row>
    <row r="405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7"/>
    </row>
    <row r="413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7"/>
    </row>
    <row r="416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7"/>
    </row>
    <row r="419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7"/>
    </row>
    <row r="420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7"/>
    </row>
    <row r="426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7"/>
    </row>
    <row r="427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7"/>
    </row>
    <row r="428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7"/>
    </row>
    <row r="429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7"/>
    </row>
    <row r="430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7"/>
    </row>
    <row r="435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7"/>
    </row>
    <row r="436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7"/>
    </row>
    <row r="437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7"/>
    </row>
    <row r="439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7"/>
    </row>
    <row r="440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7"/>
    </row>
    <row r="44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7"/>
    </row>
    <row r="442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7"/>
    </row>
    <row r="445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7"/>
    </row>
    <row r="447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7"/>
    </row>
    <row r="448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7"/>
    </row>
    <row r="449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7"/>
    </row>
    <row r="45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7"/>
    </row>
    <row r="453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7"/>
    </row>
    <row r="456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9"/>
      <c r="K457" s="48"/>
      <c r="L457" s="40"/>
      <c r="M457" s="41"/>
      <c r="N457" s="42"/>
      <c r="O457" s="43"/>
      <c r="P457" s="7"/>
    </row>
    <row r="458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7"/>
    </row>
    <row r="459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7"/>
    </row>
    <row r="46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7"/>
    </row>
    <row r="472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7"/>
    </row>
    <row r="477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7"/>
    </row>
    <row r="479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7"/>
    </row>
    <row r="48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7"/>
    </row>
    <row r="489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7"/>
    </row>
    <row r="494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7"/>
    </row>
    <row r="499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7"/>
    </row>
    <row r="504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7"/>
    </row>
    <row r="505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7"/>
    </row>
    <row r="507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7"/>
    </row>
    <row r="508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7"/>
    </row>
    <row r="510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7"/>
    </row>
    <row r="513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7"/>
    </row>
    <row r="514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7"/>
    </row>
    <row r="522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7"/>
    </row>
    <row r="53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7"/>
    </row>
    <row r="536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7"/>
    </row>
    <row r="537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7"/>
    </row>
    <row r="538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7"/>
    </row>
    <row r="540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7"/>
    </row>
    <row r="544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7"/>
    </row>
    <row r="545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7"/>
    </row>
    <row r="546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7"/>
    </row>
    <row r="547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7"/>
    </row>
    <row r="550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7"/>
    </row>
    <row r="55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7"/>
    </row>
    <row r="553">
      <c r="A553" s="18"/>
      <c r="B553" s="19"/>
      <c r="C553" s="31"/>
      <c r="D553" s="20"/>
      <c r="E553" s="2"/>
      <c r="F553" s="21"/>
      <c r="G553" s="22"/>
      <c r="I553" s="23"/>
      <c r="J553" s="39"/>
      <c r="K553" s="40"/>
      <c r="L553" s="40"/>
      <c r="M553" s="41"/>
      <c r="N553" s="42"/>
      <c r="O553" s="43"/>
      <c r="P553" s="7"/>
    </row>
    <row r="554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7"/>
    </row>
    <row r="555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7"/>
    </row>
    <row r="556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7"/>
    </row>
    <row r="560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7"/>
    </row>
    <row r="564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7"/>
    </row>
    <row r="573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7"/>
    </row>
    <row r="575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7"/>
    </row>
    <row r="579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7"/>
    </row>
    <row r="582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7"/>
    </row>
    <row r="585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7"/>
    </row>
    <row r="588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7"/>
    </row>
    <row r="598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7"/>
    </row>
    <row r="599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7"/>
    </row>
    <row r="600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7"/>
    </row>
    <row r="60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7"/>
    </row>
    <row r="602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7"/>
    </row>
    <row r="603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7"/>
    </row>
    <row r="604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7"/>
    </row>
    <row r="606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7"/>
    </row>
    <row r="607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7"/>
    </row>
    <row r="610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7"/>
    </row>
    <row r="612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9"/>
      <c r="C617" s="48"/>
      <c r="D617" s="40"/>
      <c r="E617" s="41"/>
      <c r="F617" s="42"/>
      <c r="G617" s="43"/>
      <c r="I617" s="18"/>
      <c r="J617" s="19"/>
      <c r="K617" s="31"/>
      <c r="L617" s="20"/>
      <c r="M617" s="2"/>
      <c r="N617" s="21"/>
      <c r="O617" s="22"/>
      <c r="P617" s="7"/>
    </row>
    <row r="618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7"/>
    </row>
    <row r="619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7"/>
    </row>
    <row r="620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7"/>
    </row>
    <row r="62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7"/>
    </row>
    <row r="622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7"/>
    </row>
    <row r="63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7"/>
    </row>
    <row r="633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7"/>
    </row>
    <row r="638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7"/>
    </row>
    <row r="640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7"/>
    </row>
    <row r="648">
      <c r="A648" s="18"/>
      <c r="B648" s="19"/>
      <c r="C648" s="31"/>
      <c r="D648" s="20"/>
      <c r="E648" s="2"/>
      <c r="F648" s="21"/>
      <c r="G648" s="22"/>
      <c r="I648" s="18"/>
      <c r="J648" s="39"/>
      <c r="K648" s="40"/>
      <c r="L648" s="40"/>
      <c r="M648" s="41"/>
      <c r="N648" s="42"/>
      <c r="O648" s="43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7"/>
    </row>
    <row r="653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7"/>
    </row>
    <row r="658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7"/>
    </row>
    <row r="662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7"/>
    </row>
    <row r="664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7"/>
    </row>
    <row r="665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7"/>
    </row>
    <row r="667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7"/>
    </row>
    <row r="668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7"/>
    </row>
    <row r="669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7"/>
    </row>
    <row r="670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7"/>
    </row>
    <row r="67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7"/>
    </row>
    <row r="68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7"/>
    </row>
    <row r="690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7"/>
    </row>
    <row r="697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7"/>
    </row>
    <row r="699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7"/>
    </row>
    <row r="70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7"/>
    </row>
    <row r="702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7"/>
    </row>
    <row r="704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7"/>
    </row>
    <row r="705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7"/>
    </row>
    <row r="706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9"/>
      <c r="C713" s="40"/>
      <c r="D713" s="40"/>
      <c r="E713" s="41"/>
      <c r="F713" s="42"/>
      <c r="G713" s="43"/>
      <c r="I713" s="18"/>
      <c r="J713" s="19"/>
      <c r="K713" s="31"/>
      <c r="L713" s="20"/>
      <c r="M713" s="2"/>
      <c r="N713" s="21"/>
      <c r="O713" s="22"/>
      <c r="P713" s="7"/>
    </row>
    <row r="714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7"/>
    </row>
    <row r="715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7"/>
    </row>
    <row r="716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7"/>
    </row>
    <row r="717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7"/>
    </row>
    <row r="718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7"/>
    </row>
    <row r="719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7"/>
    </row>
    <row r="720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7"/>
    </row>
    <row r="72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7"/>
    </row>
    <row r="722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7"/>
    </row>
    <row r="723">
      <c r="A723" s="18"/>
      <c r="B723" s="19"/>
      <c r="C723" s="31"/>
      <c r="D723" s="20"/>
      <c r="E723" s="2"/>
      <c r="F723" s="21"/>
      <c r="G723" s="22"/>
      <c r="P723" s="7"/>
    </row>
    <row r="724">
      <c r="A724" s="18"/>
      <c r="B724" s="19"/>
      <c r="C724" s="31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31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31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31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31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31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31"/>
      <c r="D738" s="20"/>
      <c r="E738" s="2"/>
      <c r="F738" s="21"/>
      <c r="G738" s="22"/>
      <c r="P738" s="7"/>
    </row>
    <row r="739">
      <c r="A739" s="18"/>
      <c r="B739" s="19"/>
      <c r="C739" s="31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31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31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31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31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31"/>
      <c r="D751" s="20"/>
      <c r="E751" s="2"/>
      <c r="F751" s="21"/>
      <c r="G751" s="22"/>
      <c r="P751" s="7"/>
    </row>
    <row r="752">
      <c r="A752" s="18"/>
      <c r="B752" s="19"/>
      <c r="C752" s="31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31"/>
      <c r="D757" s="20"/>
      <c r="E757" s="2"/>
      <c r="F757" s="21"/>
      <c r="G757" s="22"/>
      <c r="P757" s="7"/>
    </row>
    <row r="758">
      <c r="A758" s="18"/>
      <c r="B758" s="19"/>
      <c r="C758" s="31"/>
      <c r="D758" s="20"/>
      <c r="E758" s="2"/>
      <c r="F758" s="21"/>
      <c r="G758" s="22"/>
      <c r="P758" s="7"/>
    </row>
    <row r="759">
      <c r="A759" s="18"/>
      <c r="B759" s="19"/>
      <c r="C759" s="31"/>
      <c r="D759" s="20"/>
      <c r="E759" s="2"/>
      <c r="F759" s="21"/>
      <c r="G759" s="22"/>
      <c r="P759" s="7"/>
    </row>
    <row r="760">
      <c r="A760" s="18"/>
      <c r="B760" s="19"/>
      <c r="C760" s="31"/>
      <c r="D760" s="20"/>
      <c r="E760" s="2"/>
      <c r="F760" s="21"/>
      <c r="G760" s="22"/>
      <c r="P760" s="7"/>
    </row>
    <row r="761">
      <c r="A761" s="18"/>
      <c r="B761" s="19"/>
      <c r="C761" s="31"/>
      <c r="D761" s="20"/>
      <c r="E761" s="2"/>
      <c r="F761" s="21"/>
      <c r="G761" s="22"/>
      <c r="P761" s="7"/>
    </row>
    <row r="762">
      <c r="A762" s="18"/>
      <c r="B762" s="19"/>
      <c r="C762" s="31"/>
      <c r="D762" s="20"/>
      <c r="E762" s="2"/>
      <c r="F762" s="21"/>
      <c r="G762" s="22"/>
      <c r="P762" s="7"/>
    </row>
    <row r="763">
      <c r="A763" s="18"/>
      <c r="B763" s="19"/>
      <c r="C763" s="31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31"/>
      <c r="D765" s="20"/>
      <c r="E765" s="2"/>
      <c r="F765" s="21"/>
      <c r="G765" s="22"/>
      <c r="P765" s="7"/>
    </row>
    <row r="766">
      <c r="A766" s="18"/>
      <c r="B766" s="19"/>
      <c r="C766" s="31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31"/>
      <c r="D768" s="20"/>
      <c r="E768" s="2"/>
      <c r="F768" s="21"/>
      <c r="G768" s="22"/>
      <c r="P768" s="7"/>
    </row>
    <row r="769">
      <c r="A769" s="18"/>
      <c r="B769" s="19"/>
      <c r="C769" s="31"/>
      <c r="D769" s="20"/>
      <c r="E769" s="2"/>
      <c r="F769" s="21"/>
      <c r="G769" s="22"/>
      <c r="P769" s="7"/>
    </row>
    <row r="770">
      <c r="A770" s="18"/>
      <c r="B770" s="19"/>
      <c r="C770" s="31"/>
      <c r="D770" s="20"/>
      <c r="E770" s="2"/>
      <c r="F770" s="21"/>
      <c r="G770" s="22"/>
      <c r="P770" s="7"/>
    </row>
    <row r="771">
      <c r="A771" s="18"/>
      <c r="B771" s="19"/>
      <c r="C771" s="31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31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31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31"/>
      <c r="D777" s="20"/>
      <c r="E777" s="2"/>
      <c r="F777" s="21"/>
      <c r="G777" s="22"/>
      <c r="P777" s="7"/>
    </row>
    <row r="778">
      <c r="A778" s="18"/>
      <c r="B778" s="19"/>
      <c r="C778" s="31"/>
      <c r="D778" s="20"/>
      <c r="E778" s="2"/>
      <c r="F778" s="21"/>
      <c r="G778" s="22"/>
      <c r="P778" s="7"/>
    </row>
    <row r="779">
      <c r="A779" s="18"/>
      <c r="B779" s="19"/>
      <c r="C779" s="31"/>
      <c r="D779" s="20"/>
      <c r="E779" s="2"/>
      <c r="F779" s="21"/>
      <c r="G779" s="22"/>
      <c r="P779" s="7"/>
    </row>
    <row r="780">
      <c r="A780" s="18"/>
      <c r="B780" s="19"/>
      <c r="C780" s="31"/>
      <c r="D780" s="20"/>
      <c r="E780" s="2"/>
      <c r="F780" s="21"/>
      <c r="G780" s="22"/>
      <c r="P780" s="7"/>
    </row>
    <row r="781">
      <c r="A781" s="18"/>
      <c r="B781" s="19"/>
      <c r="C781" s="31"/>
      <c r="D781" s="20"/>
      <c r="E781" s="2"/>
      <c r="F781" s="21"/>
      <c r="G781" s="22"/>
      <c r="P781" s="7"/>
    </row>
    <row r="782">
      <c r="A782" s="18"/>
      <c r="B782" s="19"/>
      <c r="C782" s="31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31"/>
      <c r="D784" s="20"/>
      <c r="E784" s="2"/>
      <c r="F784" s="21"/>
      <c r="G784" s="22"/>
      <c r="P784" s="7"/>
    </row>
    <row r="785">
      <c r="A785" s="18"/>
      <c r="B785" s="19"/>
      <c r="C785" s="31"/>
      <c r="D785" s="20"/>
      <c r="E785" s="2"/>
      <c r="F785" s="21"/>
      <c r="G785" s="22"/>
      <c r="P785" s="7"/>
    </row>
    <row r="786">
      <c r="A786" s="18"/>
      <c r="B786" s="19"/>
      <c r="C786" s="31"/>
      <c r="D786" s="20"/>
      <c r="E786" s="2"/>
      <c r="F786" s="21"/>
      <c r="G786" s="22"/>
      <c r="P786" s="7"/>
    </row>
    <row r="787">
      <c r="A787" s="18"/>
      <c r="B787" s="19"/>
      <c r="C787" s="31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31"/>
      <c r="D789" s="20"/>
      <c r="E789" s="2"/>
      <c r="F789" s="21"/>
      <c r="G789" s="22"/>
      <c r="P789" s="7"/>
    </row>
    <row r="790">
      <c r="A790" s="18"/>
      <c r="B790" s="19"/>
      <c r="C790" s="31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31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31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31"/>
      <c r="D796" s="20"/>
      <c r="E796" s="2"/>
      <c r="F796" s="21"/>
      <c r="G796" s="22"/>
      <c r="P796" s="7"/>
    </row>
    <row r="797">
      <c r="A797" s="18"/>
      <c r="B797" s="19"/>
      <c r="C797" s="31"/>
      <c r="D797" s="20"/>
      <c r="E797" s="2"/>
      <c r="F797" s="21"/>
      <c r="G797" s="22"/>
      <c r="P797" s="7"/>
    </row>
    <row r="798">
      <c r="A798" s="18"/>
      <c r="B798" s="19"/>
      <c r="C798" s="31"/>
      <c r="D798" s="20"/>
      <c r="E798" s="2"/>
      <c r="F798" s="21"/>
      <c r="G798" s="22"/>
      <c r="P798" s="7"/>
    </row>
    <row r="799">
      <c r="A799" s="18"/>
      <c r="B799" s="19"/>
      <c r="C799" s="31"/>
      <c r="D799" s="20"/>
      <c r="E799" s="2"/>
      <c r="F799" s="21"/>
      <c r="G799" s="22"/>
      <c r="P799" s="7"/>
    </row>
    <row r="800">
      <c r="A800" s="18"/>
      <c r="B800" s="19"/>
      <c r="C800" s="31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31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31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31"/>
      <c r="D806" s="20"/>
      <c r="E806" s="2"/>
      <c r="F806" s="21"/>
      <c r="G806" s="22"/>
      <c r="P806" s="7"/>
    </row>
    <row r="807">
      <c r="A807" s="18"/>
      <c r="B807" s="19"/>
      <c r="C807" s="31"/>
      <c r="D807" s="20"/>
      <c r="E807" s="2"/>
      <c r="F807" s="21"/>
      <c r="G807" s="22"/>
      <c r="P807" s="7"/>
    </row>
    <row r="808">
      <c r="A808" s="18"/>
      <c r="B808" s="39"/>
      <c r="C808" s="40"/>
      <c r="D808" s="40"/>
      <c r="E808" s="41"/>
      <c r="F808" s="42"/>
      <c r="G808" s="43"/>
      <c r="P808" s="7"/>
    </row>
    <row r="809">
      <c r="A809" s="18"/>
      <c r="B809" s="19"/>
      <c r="C809" s="31"/>
      <c r="D809" s="20"/>
      <c r="E809" s="2"/>
      <c r="F809" s="21"/>
      <c r="G809" s="22"/>
      <c r="P809" s="7"/>
    </row>
    <row r="810">
      <c r="A810" s="18"/>
      <c r="B810" s="19"/>
      <c r="C810" s="31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31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31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31"/>
      <c r="D816" s="20"/>
      <c r="E816" s="2"/>
      <c r="F816" s="21"/>
      <c r="G816" s="22"/>
      <c r="P816" s="7"/>
    </row>
    <row r="817">
      <c r="A817" s="18"/>
      <c r="B817" s="19"/>
      <c r="C817" s="31"/>
      <c r="D817" s="20"/>
      <c r="E817" s="2"/>
      <c r="F817" s="21"/>
      <c r="G817" s="22"/>
      <c r="P817" s="7"/>
    </row>
    <row r="818">
      <c r="A818" s="18"/>
      <c r="B818" s="19"/>
      <c r="C818" s="31"/>
      <c r="D818" s="20"/>
      <c r="E818" s="2"/>
      <c r="F818" s="21"/>
      <c r="G818" s="22"/>
      <c r="P818" s="7"/>
    </row>
    <row r="819">
      <c r="A819" s="18"/>
      <c r="B819" s="19"/>
      <c r="C819" s="31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31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31"/>
      <c r="D823" s="20"/>
      <c r="E823" s="2"/>
      <c r="F823" s="21"/>
      <c r="G823" s="22"/>
      <c r="P823" s="7"/>
    </row>
    <row r="824">
      <c r="A824" s="18"/>
      <c r="B824" s="19"/>
      <c r="C824" s="31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31"/>
      <c r="D826" s="20"/>
      <c r="E826" s="2"/>
      <c r="F826" s="21"/>
      <c r="G826" s="22"/>
      <c r="P826" s="7"/>
    </row>
    <row r="827">
      <c r="A827" s="18"/>
      <c r="B827" s="19"/>
      <c r="C827" s="31"/>
      <c r="D827" s="20"/>
      <c r="E827" s="2"/>
      <c r="F827" s="21"/>
      <c r="G827" s="22"/>
      <c r="P827" s="7"/>
    </row>
    <row r="828">
      <c r="A828" s="18"/>
      <c r="B828" s="19"/>
      <c r="C828" s="31"/>
      <c r="D828" s="20"/>
      <c r="E828" s="2"/>
      <c r="F828" s="21"/>
      <c r="G828" s="22"/>
      <c r="P828" s="7"/>
    </row>
    <row r="829">
      <c r="A829" s="18"/>
      <c r="B829" s="19"/>
      <c r="C829" s="31"/>
      <c r="D829" s="20"/>
      <c r="E829" s="2"/>
      <c r="F829" s="21"/>
      <c r="G829" s="22"/>
      <c r="P829" s="7"/>
    </row>
    <row r="830">
      <c r="A830" s="18"/>
      <c r="B830" s="19"/>
      <c r="C830" s="31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31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31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31"/>
      <c r="D838" s="20"/>
      <c r="E838" s="2"/>
      <c r="F838" s="21"/>
      <c r="G838" s="22"/>
      <c r="P838" s="7"/>
    </row>
    <row r="839">
      <c r="A839" s="18"/>
      <c r="B839" s="19"/>
      <c r="C839" s="31"/>
      <c r="D839" s="20"/>
      <c r="E839" s="2"/>
      <c r="F839" s="21"/>
      <c r="G839" s="22"/>
      <c r="P839" s="7"/>
    </row>
    <row r="840">
      <c r="A840" s="18"/>
      <c r="B840" s="19"/>
      <c r="C840" s="31"/>
      <c r="D840" s="20"/>
      <c r="E840" s="2"/>
      <c r="F840" s="21"/>
      <c r="G840" s="22"/>
      <c r="P840" s="7"/>
    </row>
    <row r="841">
      <c r="A841" s="18"/>
      <c r="B841" s="19"/>
      <c r="C841" s="31"/>
      <c r="D841" s="20"/>
      <c r="E841" s="2"/>
      <c r="F841" s="21"/>
      <c r="G841" s="22"/>
      <c r="P841" s="7"/>
    </row>
    <row r="842">
      <c r="A842" s="18"/>
      <c r="B842" s="19"/>
      <c r="C842" s="31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31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31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31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31"/>
      <c r="D851" s="20"/>
      <c r="E851" s="2"/>
      <c r="F851" s="21"/>
      <c r="G851" s="22"/>
      <c r="P851" s="7"/>
    </row>
    <row r="852">
      <c r="A852" s="18"/>
      <c r="B852" s="19"/>
      <c r="C852" s="31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31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31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31"/>
      <c r="D860" s="20"/>
      <c r="E860" s="2"/>
      <c r="F860" s="21"/>
      <c r="G860" s="22"/>
      <c r="P860" s="7"/>
    </row>
    <row r="861">
      <c r="A861" s="18"/>
      <c r="B861" s="19"/>
      <c r="C861" s="31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31"/>
      <c r="D863" s="20"/>
      <c r="E863" s="2"/>
      <c r="F863" s="21"/>
      <c r="G863" s="22"/>
      <c r="P863" s="7"/>
    </row>
    <row r="864">
      <c r="A864" s="18"/>
      <c r="B864" s="19"/>
      <c r="C864" s="31"/>
      <c r="D864" s="20"/>
      <c r="E864" s="2"/>
      <c r="F864" s="21"/>
      <c r="G864" s="22"/>
      <c r="P864" s="7"/>
    </row>
    <row r="865">
      <c r="A865" s="18"/>
      <c r="B865" s="19"/>
      <c r="C865" s="31"/>
      <c r="D865" s="20"/>
      <c r="E865" s="2"/>
      <c r="F865" s="21"/>
      <c r="G865" s="22"/>
      <c r="P865" s="7"/>
    </row>
    <row r="866">
      <c r="A866" s="18"/>
      <c r="B866" s="19"/>
      <c r="C866" s="31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31"/>
      <c r="D873" s="20"/>
      <c r="E873" s="2"/>
      <c r="F873" s="21"/>
      <c r="G873" s="22"/>
      <c r="P873" s="7"/>
    </row>
    <row r="874">
      <c r="A874" s="18"/>
      <c r="B874" s="19"/>
      <c r="C874" s="31"/>
      <c r="D874" s="20"/>
      <c r="E874" s="2"/>
      <c r="F874" s="21"/>
      <c r="G874" s="22"/>
      <c r="P874" s="7"/>
    </row>
    <row r="875">
      <c r="A875" s="18"/>
      <c r="B875" s="19"/>
      <c r="C875" s="31"/>
      <c r="D875" s="20"/>
      <c r="E875" s="2"/>
      <c r="F875" s="21"/>
      <c r="G875" s="22"/>
      <c r="P875" s="7"/>
    </row>
    <row r="876">
      <c r="A876" s="18"/>
      <c r="B876" s="19"/>
      <c r="C876" s="31"/>
      <c r="D876" s="20"/>
      <c r="E876" s="2"/>
      <c r="F876" s="21"/>
      <c r="G876" s="22"/>
      <c r="P876" s="7"/>
    </row>
    <row r="877">
      <c r="A877" s="18"/>
      <c r="B877" s="19"/>
      <c r="C877" s="31"/>
      <c r="D877" s="20"/>
      <c r="E877" s="2"/>
      <c r="F877" s="21"/>
      <c r="G877" s="22"/>
      <c r="P877" s="7"/>
    </row>
    <row r="878">
      <c r="A878" s="18"/>
      <c r="B878" s="19"/>
      <c r="C878" s="31"/>
      <c r="D878" s="20"/>
      <c r="E878" s="2"/>
      <c r="F878" s="21"/>
      <c r="G878" s="22"/>
      <c r="P878" s="7"/>
    </row>
    <row r="879">
      <c r="A879" s="18"/>
      <c r="B879" s="19"/>
      <c r="C879" s="31"/>
      <c r="D879" s="20"/>
      <c r="E879" s="2"/>
      <c r="F879" s="21"/>
      <c r="G879" s="22"/>
      <c r="P879" s="7"/>
    </row>
    <row r="880">
      <c r="A880" s="18"/>
      <c r="B880" s="19"/>
      <c r="C880" s="31"/>
      <c r="D880" s="20"/>
      <c r="E880" s="2"/>
      <c r="F880" s="21"/>
      <c r="G880" s="22"/>
      <c r="P880" s="7"/>
    </row>
    <row r="881">
      <c r="A881" s="18"/>
      <c r="B881" s="19"/>
      <c r="C881" s="31"/>
      <c r="D881" s="20"/>
      <c r="E881" s="2"/>
      <c r="F881" s="21"/>
      <c r="G881" s="22"/>
      <c r="P881" s="7"/>
    </row>
    <row r="882">
      <c r="A882" s="18"/>
      <c r="B882" s="19"/>
      <c r="C882" s="31"/>
      <c r="D882" s="20"/>
      <c r="E882" s="2"/>
      <c r="F882" s="21"/>
      <c r="G882" s="22"/>
      <c r="P882" s="7"/>
    </row>
    <row r="883">
      <c r="A883" s="18"/>
      <c r="B883" s="49"/>
      <c r="C883" s="50"/>
      <c r="D883" s="51"/>
      <c r="E883" s="51"/>
      <c r="F883" s="52"/>
      <c r="G883" s="53"/>
      <c r="P883" s="7"/>
    </row>
    <row r="884">
      <c r="A884" s="18"/>
      <c r="B884" s="49"/>
      <c r="C884" s="50"/>
      <c r="D884" s="51"/>
      <c r="E884" s="51"/>
      <c r="F884" s="52"/>
      <c r="G884" s="53"/>
      <c r="P884" s="7"/>
    </row>
    <row r="885">
      <c r="A885" s="18"/>
      <c r="B885" s="19"/>
      <c r="C885" s="3"/>
      <c r="D885" s="54"/>
      <c r="E885" s="55"/>
      <c r="F885" s="21"/>
      <c r="G885" s="22"/>
      <c r="P885" s="7"/>
    </row>
    <row r="886">
      <c r="A886" s="18"/>
      <c r="B886" s="19"/>
      <c r="C886" s="56"/>
      <c r="D886" s="57"/>
      <c r="E886" s="55"/>
      <c r="F886" s="21"/>
      <c r="G886" s="58"/>
      <c r="P886" s="7"/>
    </row>
    <row r="887">
      <c r="A887" s="18"/>
      <c r="B887" s="19"/>
      <c r="C887" s="56"/>
      <c r="D887" s="57"/>
      <c r="E887" s="55"/>
      <c r="F887" s="21"/>
      <c r="G887" s="58"/>
      <c r="P887" s="7"/>
    </row>
    <row r="888">
      <c r="A888" s="18"/>
      <c r="B888" s="19"/>
      <c r="C888" s="56"/>
      <c r="D888" s="57"/>
      <c r="E888" s="55"/>
      <c r="F888" s="21"/>
      <c r="G888" s="58"/>
      <c r="P888" s="7"/>
    </row>
    <row r="889">
      <c r="A889" s="18"/>
      <c r="B889" s="59"/>
      <c r="C889" s="60"/>
      <c r="D889" s="61"/>
      <c r="E889" s="61"/>
      <c r="F889" s="62"/>
      <c r="G889" s="6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27</v>
      </c>
      <c r="I1" s="67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66" t="s">
        <v>30</v>
      </c>
      <c r="I2" s="67">
        <f t="array" ref="I2">(COUNTA(UNIQUE(C:C))-1)</f>
        <v>4</v>
      </c>
      <c r="K2" s="68" t="str">
        <f>'Internal Summary'!B39</f>
        <v>100ml Carrot Oil (12x)</v>
      </c>
      <c r="L2" s="67">
        <f t="shared" ref="L2:L15" si="1">sumif(D:D,K2,E:E)</f>
        <v>2</v>
      </c>
      <c r="M2" s="67">
        <f t="shared" ref="M2:M15" si="2">sumif(D:D,K2,F:F)</f>
        <v>67200</v>
      </c>
      <c r="N2" s="69"/>
    </row>
    <row r="3">
      <c r="H3" s="66" t="s">
        <v>31</v>
      </c>
      <c r="I3" s="67">
        <f>sum(F:F)</f>
        <v>127200</v>
      </c>
      <c r="K3" s="68" t="str">
        <f>'Internal Summary'!B40</f>
        <v>100ml Coconut Oil (12x)</v>
      </c>
      <c r="L3" s="67">
        <f t="shared" si="1"/>
        <v>2</v>
      </c>
      <c r="M3" s="67">
        <f t="shared" si="2"/>
        <v>60000</v>
      </c>
      <c r="N3" s="69"/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A12" s="70">
        <v>45794.0</v>
      </c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H15" s="71"/>
      <c r="I15" s="71"/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/>
    <row r="17"/>
    <row r="18">
      <c r="H18" s="71"/>
      <c r="I18" s="71"/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/>
    <row r="20"/>
    <row r="21">
      <c r="H21" s="71"/>
      <c r="I21" s="71"/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2"/>
    <row r="23"/>
    <row r="24">
      <c r="H24" s="71"/>
      <c r="I24" s="71"/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7">
      <c r="H27" s="71"/>
      <c r="I27" s="71"/>
      <c r="K27" s="68" t="str">
        <f>'Internal Summary'!B64</f>
        <v/>
      </c>
      <c r="L27" s="67">
        <f>sumif(D:D,K27,E:E)</f>
        <v>0</v>
      </c>
      <c r="M27" s="67">
        <f>sumif(D:D,K27,F:F)</f>
        <v>0</v>
      </c>
    </row>
    <row r="30">
      <c r="H30" s="71"/>
      <c r="I30" s="71"/>
      <c r="K30" s="68" t="str">
        <f>'Internal Summary'!B67</f>
        <v/>
      </c>
      <c r="L30" s="67">
        <f>sumif(D:D,K30,E:E)</f>
        <v>0</v>
      </c>
      <c r="M30" s="67">
        <f>sumif(D:D,K30,F:F)</f>
        <v>0</v>
      </c>
    </row>
    <row r="33">
      <c r="H33" s="71"/>
      <c r="I33" s="71"/>
      <c r="K33" s="68" t="str">
        <f>'Internal Summary'!B70</f>
        <v/>
      </c>
      <c r="L33" s="67">
        <f>sumif(D:D,K33,E:E)</f>
        <v>0</v>
      </c>
      <c r="M33" s="67">
        <f>sumif(D:D,K33,F:F)</f>
        <v>0</v>
      </c>
    </row>
    <row r="36">
      <c r="H36" s="71"/>
      <c r="I36" s="71"/>
      <c r="K36" s="68" t="str">
        <f>'Internal Summary'!B73</f>
        <v/>
      </c>
      <c r="L36" s="67">
        <f>sumif(D:D,K36,E:E)</f>
        <v>0</v>
      </c>
      <c r="M36" s="67">
        <f>sumif(D:D,K36,F:F)</f>
        <v>0</v>
      </c>
    </row>
    <row r="39">
      <c r="H39" s="71"/>
      <c r="I39" s="71"/>
      <c r="K39" s="68" t="str">
        <f>'Internal Summary'!B76</f>
        <v/>
      </c>
      <c r="L39" s="67">
        <f>sumif(D:D,K39,E:E)</f>
        <v>0</v>
      </c>
      <c r="M39" s="67">
        <f>sumif(D:D,K39,F:F)</f>
        <v>0</v>
      </c>
    </row>
    <row r="42">
      <c r="H42" s="71"/>
      <c r="I42" s="71"/>
      <c r="K42" s="68" t="str">
        <f>'Internal Summary'!B79</f>
        <v/>
      </c>
      <c r="L42" s="67">
        <f>sumif(D:D,K42,E:E)</f>
        <v>0</v>
      </c>
      <c r="M42" s="67">
        <f>sumif(D:D,K42,F:F)</f>
        <v>0</v>
      </c>
    </row>
    <row r="45">
      <c r="H45" s="71"/>
      <c r="I45" s="71"/>
      <c r="K45" s="68" t="str">
        <f>'Internal Summary'!B82</f>
        <v/>
      </c>
      <c r="L45" s="67">
        <f>sumif(D:D,K45,E:E)</f>
        <v>0</v>
      </c>
      <c r="M45" s="67">
        <f>sumif(D:D,K45,F:F)</f>
        <v>0</v>
      </c>
    </row>
    <row r="48">
      <c r="H48" s="71"/>
      <c r="I48" s="71"/>
      <c r="K48" s="68" t="str">
        <f>'Internal Summary'!B85</f>
        <v/>
      </c>
      <c r="L48" s="67">
        <f>sumif(D:D,K48,E:E)</f>
        <v>0</v>
      </c>
      <c r="M48" s="67">
        <f>sumif(D:D,K48,F:F)</f>
        <v>0</v>
      </c>
    </row>
    <row r="51">
      <c r="H51" s="71"/>
      <c r="I51" s="71"/>
      <c r="K51" s="68" t="str">
        <f>'Internal Summary'!B88</f>
        <v/>
      </c>
      <c r="L51" s="67">
        <f>sumif(D:D,K51,E:E)</f>
        <v>0</v>
      </c>
      <c r="M51" s="67">
        <f>sumif(D:D,K51,F:F)</f>
        <v>0</v>
      </c>
    </row>
    <row r="54">
      <c r="H54" s="71"/>
      <c r="I54" s="71"/>
    </row>
    <row r="57">
      <c r="H57" s="71"/>
      <c r="I57" s="71"/>
    </row>
    <row r="60">
      <c r="H60" s="71"/>
      <c r="I60" s="71"/>
    </row>
    <row r="63">
      <c r="H63" s="71"/>
      <c r="I63" s="71"/>
    </row>
    <row r="66">
      <c r="H66" s="71"/>
      <c r="I66" s="71"/>
    </row>
    <row r="69">
      <c r="H69" s="71"/>
      <c r="I69" s="71"/>
    </row>
    <row r="72">
      <c r="H72" s="71"/>
      <c r="I72" s="71"/>
    </row>
    <row r="75">
      <c r="H75" s="71"/>
      <c r="I75" s="71"/>
    </row>
    <row r="78">
      <c r="H78" s="71"/>
      <c r="I78" s="71"/>
    </row>
    <row r="81">
      <c r="H81" s="71"/>
      <c r="I81" s="71"/>
    </row>
    <row r="84">
      <c r="H84" s="71"/>
      <c r="I84" s="71"/>
    </row>
    <row r="87">
      <c r="H87" s="71"/>
      <c r="I87" s="71"/>
    </row>
    <row r="90">
      <c r="H90" s="71"/>
      <c r="I90" s="71"/>
    </row>
    <row r="93">
      <c r="H93" s="71"/>
      <c r="I93" s="71"/>
    </row>
    <row r="96">
      <c r="H96" s="71"/>
      <c r="I96" s="71"/>
    </row>
    <row r="99">
      <c r="H99" s="71"/>
      <c r="I99" s="71"/>
    </row>
    <row r="102">
      <c r="H102" s="71"/>
      <c r="I102" s="71"/>
    </row>
    <row r="105">
      <c r="H105" s="71"/>
      <c r="I105" s="71"/>
    </row>
    <row r="108">
      <c r="H108" s="71"/>
      <c r="I108" s="71"/>
    </row>
    <row r="111">
      <c r="H111" s="71"/>
      <c r="I111" s="71"/>
    </row>
    <row r="114">
      <c r="H114" s="71"/>
      <c r="I114" s="71"/>
    </row>
    <row r="117">
      <c r="H117" s="71"/>
      <c r="I117" s="71"/>
    </row>
    <row r="120">
      <c r="H120" s="71"/>
      <c r="I120" s="71"/>
    </row>
    <row r="123">
      <c r="H123" s="71"/>
      <c r="I123" s="71"/>
    </row>
    <row r="126">
      <c r="H126" s="71"/>
      <c r="I126" s="71"/>
    </row>
    <row r="129">
      <c r="H129" s="71"/>
      <c r="I129" s="71"/>
    </row>
    <row r="132">
      <c r="H132" s="71"/>
      <c r="I132" s="71"/>
    </row>
    <row r="135">
      <c r="H135" s="71"/>
      <c r="I135" s="71"/>
    </row>
    <row r="138">
      <c r="H138" s="71"/>
      <c r="I138" s="71"/>
    </row>
    <row r="141">
      <c r="H141" s="71"/>
      <c r="I141" s="71"/>
    </row>
    <row r="144">
      <c r="H144" s="71"/>
      <c r="I144" s="71"/>
    </row>
    <row r="147">
      <c r="H147" s="71"/>
      <c r="I147" s="71"/>
    </row>
    <row r="150">
      <c r="H150" s="71"/>
      <c r="I150" s="71"/>
    </row>
    <row r="153">
      <c r="H153" s="71"/>
      <c r="I153" s="71"/>
    </row>
    <row r="156">
      <c r="H156" s="71"/>
      <c r="I156" s="71"/>
    </row>
    <row r="159">
      <c r="H159" s="71"/>
      <c r="I159" s="71"/>
    </row>
    <row r="162">
      <c r="H162" s="71"/>
      <c r="I162" s="71"/>
    </row>
    <row r="165">
      <c r="H165" s="71"/>
      <c r="I165" s="71"/>
    </row>
    <row r="168">
      <c r="H168" s="71"/>
      <c r="I168" s="71"/>
    </row>
    <row r="171">
      <c r="H171" s="71"/>
      <c r="I171" s="71"/>
    </row>
    <row r="174">
      <c r="H174" s="71"/>
      <c r="I174" s="71"/>
    </row>
    <row r="177">
      <c r="H177" s="71"/>
      <c r="I177" s="71"/>
    </row>
    <row r="180">
      <c r="H180" s="71"/>
      <c r="I180" s="71"/>
    </row>
    <row r="183">
      <c r="H183" s="71"/>
      <c r="I183" s="71"/>
    </row>
    <row r="186">
      <c r="H186" s="71"/>
      <c r="I186" s="71"/>
    </row>
    <row r="189">
      <c r="H189" s="71"/>
      <c r="I189" s="71"/>
    </row>
    <row r="192">
      <c r="H192" s="71"/>
      <c r="I192" s="71"/>
    </row>
    <row r="195">
      <c r="H195" s="71"/>
      <c r="I195" s="71"/>
    </row>
    <row r="198">
      <c r="H198" s="71"/>
      <c r="I198" s="71"/>
    </row>
    <row r="201">
      <c r="H201" s="71"/>
      <c r="I201" s="71"/>
    </row>
    <row r="204">
      <c r="H204" s="71"/>
      <c r="I204" s="71"/>
    </row>
    <row r="207">
      <c r="H207" s="71"/>
      <c r="I207" s="71"/>
    </row>
    <row r="210">
      <c r="H210" s="71"/>
      <c r="I210" s="71"/>
    </row>
    <row r="213">
      <c r="H213" s="71"/>
      <c r="I213" s="71"/>
    </row>
    <row r="216">
      <c r="H216" s="71"/>
      <c r="I216" s="71"/>
    </row>
    <row r="219">
      <c r="H219" s="71"/>
      <c r="I219" s="71"/>
    </row>
    <row r="222">
      <c r="H222" s="71"/>
      <c r="I222" s="71"/>
    </row>
    <row r="225">
      <c r="H225" s="71"/>
      <c r="I225" s="71"/>
    </row>
    <row r="228">
      <c r="H228" s="71"/>
      <c r="I228" s="71"/>
    </row>
    <row r="231">
      <c r="H231" s="71"/>
      <c r="I231" s="71"/>
    </row>
    <row r="234">
      <c r="H234" s="71"/>
      <c r="I234" s="71"/>
    </row>
    <row r="237">
      <c r="H237" s="71"/>
      <c r="I237" s="71"/>
    </row>
    <row r="240">
      <c r="H240" s="71"/>
      <c r="I240" s="71"/>
    </row>
    <row r="243">
      <c r="H243" s="71"/>
      <c r="I243" s="7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27</v>
      </c>
      <c r="I1" s="67">
        <f>countifs(B:B,"&lt;&gt;",F:F,"&lt;&gt;")-1</f>
        <v>0</v>
      </c>
      <c r="K1" s="72" t="s">
        <v>28</v>
      </c>
      <c r="L1" s="72" t="s">
        <v>29</v>
      </c>
      <c r="M1" s="72" t="s">
        <v>13</v>
      </c>
    </row>
    <row r="2">
      <c r="H2" s="66" t="s">
        <v>30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7">
        <f t="shared" ref="M2:M15" si="2">sumif(D:D,K2,F:F)</f>
        <v>0</v>
      </c>
    </row>
    <row r="3">
      <c r="H3" s="66" t="s">
        <v>31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 hidden="1"/>
    <row r="17" hidden="1"/>
    <row r="18"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 hidden="1"/>
    <row r="20" hidden="1"/>
    <row r="21"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2" hidden="1"/>
    <row r="23" hidden="1"/>
    <row r="24"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6" t="s">
        <v>27</v>
      </c>
      <c r="I1" s="67">
        <f>countifs(B:B,"&lt;&gt;",F:F,"&lt;&gt;")-1</f>
        <v>0</v>
      </c>
      <c r="K1" s="72" t="s">
        <v>28</v>
      </c>
      <c r="L1" s="72" t="s">
        <v>32</v>
      </c>
      <c r="M1" s="72" t="s">
        <v>13</v>
      </c>
    </row>
    <row r="2">
      <c r="H2" s="66" t="s">
        <v>30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8"/>
    </row>
    <row r="3">
      <c r="H3" s="66" t="s">
        <v>31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8"/>
    </row>
    <row r="4">
      <c r="H4" s="1"/>
      <c r="K4" s="68" t="str">
        <f>'Internal Summary'!B41</f>
        <v/>
      </c>
      <c r="L4" s="67">
        <f t="shared" si="1"/>
        <v>0</v>
      </c>
      <c r="M4" s="68"/>
    </row>
    <row r="5">
      <c r="H5" s="1"/>
      <c r="K5" s="68" t="str">
        <f>'Internal Summary'!B42</f>
        <v/>
      </c>
      <c r="L5" s="67">
        <f t="shared" si="1"/>
        <v>0</v>
      </c>
      <c r="M5" s="68"/>
    </row>
    <row r="6">
      <c r="K6" s="68" t="str">
        <f>'Internal Summary'!B43</f>
        <v/>
      </c>
      <c r="L6" s="67">
        <f t="shared" si="1"/>
        <v>0</v>
      </c>
      <c r="M6" s="68"/>
    </row>
    <row r="7">
      <c r="K7" s="68" t="str">
        <f>'Internal Summary'!B44</f>
        <v/>
      </c>
      <c r="L7" s="67">
        <f t="shared" si="1"/>
        <v>0</v>
      </c>
      <c r="M7" s="68"/>
    </row>
    <row r="8">
      <c r="K8" s="68" t="str">
        <f>'Internal Summary'!B45</f>
        <v/>
      </c>
      <c r="L8" s="67">
        <f t="shared" si="1"/>
        <v>0</v>
      </c>
      <c r="M8" s="68"/>
    </row>
    <row r="9">
      <c r="K9" s="68" t="str">
        <f>'Internal Summary'!B46</f>
        <v/>
      </c>
      <c r="L9" s="67">
        <f t="shared" si="1"/>
        <v>0</v>
      </c>
      <c r="M9" s="68"/>
    </row>
    <row r="10">
      <c r="K10" s="68" t="str">
        <f>'Internal Summary'!B47</f>
        <v/>
      </c>
      <c r="L10" s="67">
        <f t="shared" si="1"/>
        <v>0</v>
      </c>
      <c r="M10" s="68"/>
    </row>
    <row r="11">
      <c r="K11" s="68" t="str">
        <f>'Internal Summary'!B48</f>
        <v/>
      </c>
      <c r="L11" s="67">
        <f t="shared" si="1"/>
        <v>0</v>
      </c>
      <c r="M11" s="68"/>
    </row>
    <row r="12">
      <c r="K12" s="68" t="str">
        <f>'Internal Summary'!B49</f>
        <v/>
      </c>
      <c r="L12" s="67">
        <f t="shared" si="1"/>
        <v>0</v>
      </c>
      <c r="M12" s="68"/>
    </row>
    <row r="13">
      <c r="K13" s="68" t="str">
        <f>'Internal Summary'!B50</f>
        <v/>
      </c>
      <c r="L13" s="67">
        <f t="shared" si="1"/>
        <v>0</v>
      </c>
      <c r="M13" s="68"/>
    </row>
    <row r="14">
      <c r="K14" s="68" t="str">
        <f>'Internal Summary'!B51</f>
        <v/>
      </c>
      <c r="L14" s="67">
        <f t="shared" si="1"/>
        <v>0</v>
      </c>
      <c r="M14" s="68"/>
    </row>
    <row r="15">
      <c r="K15" s="68" t="str">
        <f>'Internal Summary'!B52</f>
        <v/>
      </c>
      <c r="L15" s="67">
        <f t="shared" si="1"/>
        <v>0</v>
      </c>
      <c r="M15" s="6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6" t="s">
        <v>27</v>
      </c>
      <c r="I1" s="67">
        <f>countifs(B:B,"&lt;&gt;",F:F,"&lt;&gt;")-1</f>
        <v>0</v>
      </c>
      <c r="K1" s="72" t="s">
        <v>28</v>
      </c>
      <c r="L1" s="72" t="s">
        <v>29</v>
      </c>
    </row>
    <row r="2">
      <c r="H2" s="66" t="s">
        <v>30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31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  <row r="18">
      <c r="K18" s="68" t="str">
        <f>'Internal Summary'!B55</f>
        <v/>
      </c>
      <c r="L18" s="67">
        <f>sumif(D:D,K18,E:E)</f>
        <v>0</v>
      </c>
    </row>
    <row r="21">
      <c r="K21" s="68" t="str">
        <f>'Internal Summary'!B58</f>
        <v/>
      </c>
      <c r="L21" s="67">
        <f>sumif(D:D,K21,E:E)</f>
        <v>0</v>
      </c>
    </row>
    <row r="24">
      <c r="K24" s="68" t="str">
        <f>'Internal Summary'!B61</f>
        <v/>
      </c>
      <c r="L24" s="67">
        <f>sumif(D:D,K24,E:E)</f>
        <v>0</v>
      </c>
    </row>
    <row r="27">
      <c r="K27" s="68" t="str">
        <f>'Internal Summary'!B64</f>
        <v/>
      </c>
      <c r="L27" s="6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6" t="s">
        <v>27</v>
      </c>
      <c r="I1" s="67">
        <f>countifs(B:B,"&lt;&gt;",F:F,"&lt;&gt;")-1</f>
        <v>0</v>
      </c>
      <c r="K1" s="72" t="s">
        <v>28</v>
      </c>
      <c r="L1" s="72" t="s">
        <v>29</v>
      </c>
    </row>
    <row r="2">
      <c r="H2" s="66" t="s">
        <v>30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31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6" t="s">
        <v>33</v>
      </c>
      <c r="C1" s="66" t="s">
        <v>29</v>
      </c>
      <c r="D1" s="66" t="s">
        <v>34</v>
      </c>
      <c r="E1" s="66" t="s">
        <v>35</v>
      </c>
      <c r="F1" s="74"/>
    </row>
    <row r="2">
      <c r="A2" s="75" t="s">
        <v>36</v>
      </c>
      <c r="B2" s="76" t="s">
        <v>27</v>
      </c>
      <c r="C2" s="77"/>
      <c r="D2" s="77"/>
      <c r="E2" s="78">
        <f>'Dala Sales &amp; Deliveries'!I1+'External Delivery Fulfillment'!I1</f>
        <v>4</v>
      </c>
      <c r="F2" s="74"/>
    </row>
    <row r="3">
      <c r="A3" s="79"/>
      <c r="B3" s="76" t="s">
        <v>37</v>
      </c>
      <c r="C3" s="77"/>
      <c r="D3" s="77"/>
      <c r="E3" s="78">
        <f>'Raw Data'!AX2</f>
        <v>2</v>
      </c>
      <c r="F3" s="74"/>
    </row>
    <row r="4">
      <c r="B4" s="80" t="s">
        <v>38</v>
      </c>
      <c r="C4" s="74"/>
      <c r="D4" s="74"/>
      <c r="E4" s="81">
        <f>'Dala Sales &amp; Deliveries'!I3</f>
        <v>127200</v>
      </c>
      <c r="F4" s="74"/>
    </row>
    <row r="5">
      <c r="B5" s="80" t="s">
        <v>39</v>
      </c>
      <c r="C5" s="74"/>
      <c r="D5" s="74"/>
      <c r="E5" s="81"/>
      <c r="F5" s="74"/>
    </row>
    <row r="6">
      <c r="A6" s="82"/>
      <c r="B6" s="83" t="s">
        <v>40</v>
      </c>
      <c r="C6" s="84"/>
      <c r="D6" s="85"/>
      <c r="E6" s="86">
        <f>sum(E4:E5)</f>
        <v>127200</v>
      </c>
      <c r="F6" s="74"/>
    </row>
    <row r="7">
      <c r="A7" s="75" t="s">
        <v>41</v>
      </c>
      <c r="B7" s="76" t="s">
        <v>42</v>
      </c>
      <c r="C7" s="77"/>
      <c r="D7" s="87"/>
      <c r="E7" s="88">
        <v>0.0</v>
      </c>
    </row>
    <row r="8">
      <c r="A8" s="82"/>
      <c r="B8" s="83" t="s">
        <v>43</v>
      </c>
      <c r="C8" s="89">
        <v>0.15</v>
      </c>
      <c r="D8" s="85"/>
      <c r="E8" s="86">
        <f>E7*(C8+100%)-E7</f>
        <v>0</v>
      </c>
      <c r="K8" s="7"/>
      <c r="L8" s="7"/>
      <c r="M8" s="7"/>
    </row>
    <row r="9">
      <c r="A9" s="90" t="s">
        <v>44</v>
      </c>
      <c r="B9" s="83" t="s">
        <v>45</v>
      </c>
      <c r="C9" s="84"/>
      <c r="D9" s="85"/>
      <c r="E9" s="86">
        <f>E6-E7-E8</f>
        <v>127200</v>
      </c>
    </row>
    <row r="10">
      <c r="A10" s="75" t="s">
        <v>46</v>
      </c>
      <c r="B10" s="76" t="s">
        <v>47</v>
      </c>
      <c r="C10" s="91">
        <v>0.0</v>
      </c>
      <c r="D10" s="92">
        <v>0.0</v>
      </c>
      <c r="E10" s="93">
        <f>C10*D10</f>
        <v>0</v>
      </c>
    </row>
    <row r="11">
      <c r="A11" s="79"/>
      <c r="B11" s="76" t="s">
        <v>43</v>
      </c>
      <c r="C11" s="94"/>
      <c r="D11" s="87"/>
      <c r="E11" s="93">
        <v>0.0</v>
      </c>
    </row>
    <row r="12">
      <c r="A12" s="79"/>
      <c r="B12" s="95" t="s">
        <v>48</v>
      </c>
      <c r="C12" s="77"/>
      <c r="D12" s="96" t="s">
        <v>49</v>
      </c>
      <c r="E12" s="93">
        <f>C21+C25</f>
        <v>9400</v>
      </c>
    </row>
    <row r="13">
      <c r="A13" s="79"/>
      <c r="B13" s="76" t="s">
        <v>50</v>
      </c>
      <c r="C13" s="87"/>
      <c r="D13" s="87"/>
      <c r="E13" s="88">
        <v>0.0</v>
      </c>
    </row>
    <row r="14">
      <c r="A14" s="79"/>
      <c r="B14" s="76" t="s">
        <v>51</v>
      </c>
      <c r="C14" s="87"/>
      <c r="D14" s="87"/>
      <c r="E14" s="93">
        <f>C29</f>
        <v>0</v>
      </c>
    </row>
    <row r="15">
      <c r="A15" s="82"/>
      <c r="B15" s="83" t="s">
        <v>52</v>
      </c>
      <c r="C15" s="85"/>
      <c r="D15" s="85"/>
      <c r="E15" s="86">
        <f>sum(E10:E14)</f>
        <v>9400</v>
      </c>
      <c r="H15" s="1"/>
      <c r="I15" s="1"/>
    </row>
    <row r="16">
      <c r="A16" s="90" t="s">
        <v>53</v>
      </c>
      <c r="B16" s="83" t="s">
        <v>54</v>
      </c>
      <c r="C16" s="85"/>
      <c r="D16" s="85"/>
      <c r="E16" s="86">
        <f>E9-E15+C35</f>
        <v>117800</v>
      </c>
      <c r="H16" s="1"/>
      <c r="I16" s="97"/>
      <c r="J16" s="98"/>
      <c r="K16" s="98"/>
      <c r="L16" s="98"/>
      <c r="M16" s="98"/>
      <c r="N16" s="98"/>
    </row>
    <row r="17">
      <c r="A17" s="99"/>
      <c r="B17" s="99"/>
      <c r="C17" s="99"/>
      <c r="D17" s="99"/>
      <c r="E17" s="99"/>
      <c r="H17" s="1"/>
      <c r="I17" s="1"/>
      <c r="J17" s="98"/>
      <c r="K17" s="98"/>
      <c r="L17" s="98"/>
      <c r="M17" s="98"/>
      <c r="N17" s="98"/>
    </row>
    <row r="18">
      <c r="A18" s="1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 t="s">
        <v>55</v>
      </c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99"/>
      <c r="B20" s="66" t="s">
        <v>56</v>
      </c>
      <c r="C20" s="100">
        <f>U68</f>
        <v>0</v>
      </c>
      <c r="H20" s="1"/>
      <c r="I20" s="1"/>
      <c r="J20" s="101"/>
      <c r="K20" s="101"/>
      <c r="L20" s="102"/>
      <c r="M20" s="98"/>
      <c r="N20" s="98"/>
    </row>
    <row r="21">
      <c r="A21" s="99"/>
      <c r="B21" s="66" t="s">
        <v>57</v>
      </c>
      <c r="C21" s="100">
        <f>V68</f>
        <v>0</v>
      </c>
      <c r="H21" s="1"/>
      <c r="I21" s="1"/>
      <c r="J21" s="101"/>
      <c r="K21" s="101"/>
      <c r="L21" s="102"/>
      <c r="M21" s="98"/>
      <c r="N21" s="98"/>
    </row>
    <row r="22">
      <c r="A22" s="99"/>
      <c r="B22" s="66" t="s">
        <v>58</v>
      </c>
      <c r="C22" s="100">
        <f>S68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6" t="s">
        <v>59</v>
      </c>
      <c r="C23" s="100">
        <f>T68</f>
        <v>0</v>
      </c>
      <c r="H23" s="1"/>
      <c r="I23" s="97"/>
      <c r="J23" s="101"/>
      <c r="K23" s="101"/>
      <c r="L23" s="102"/>
      <c r="M23" s="98"/>
      <c r="N23" s="98"/>
    </row>
    <row r="24">
      <c r="A24" s="99"/>
      <c r="B24" s="66" t="s">
        <v>60</v>
      </c>
      <c r="C24" s="100">
        <f>67</f>
        <v>67</v>
      </c>
      <c r="H24" s="1"/>
      <c r="I24" s="1"/>
    </row>
    <row r="25">
      <c r="A25" s="99"/>
      <c r="B25" s="66" t="s">
        <v>61</v>
      </c>
      <c r="C25" s="103">
        <f>P68</f>
        <v>9400</v>
      </c>
      <c r="H25" s="1"/>
      <c r="I25" s="1"/>
    </row>
    <row r="26">
      <c r="A26" s="99"/>
      <c r="B26" s="66" t="s">
        <v>62</v>
      </c>
      <c r="C26" s="67">
        <f>Q68</f>
        <v>0</v>
      </c>
      <c r="H26" s="1"/>
      <c r="I26" s="1"/>
    </row>
    <row r="27">
      <c r="A27" s="99"/>
      <c r="B27" s="66" t="s">
        <v>63</v>
      </c>
      <c r="C27" s="67">
        <f>R68</f>
        <v>0</v>
      </c>
      <c r="H27" s="1"/>
      <c r="I27" s="1"/>
    </row>
    <row r="28">
      <c r="A28" s="99"/>
      <c r="B28" s="66" t="s">
        <v>64</v>
      </c>
      <c r="C28" s="100">
        <f>F68</f>
        <v>0</v>
      </c>
      <c r="D28" s="1"/>
      <c r="H28" s="1"/>
      <c r="I28" s="1"/>
    </row>
    <row r="29">
      <c r="A29" s="99"/>
      <c r="B29" s="66" t="s">
        <v>65</v>
      </c>
      <c r="C29" s="100">
        <v>0.0</v>
      </c>
      <c r="D29" s="1"/>
      <c r="H29" s="1"/>
      <c r="I29" s="1"/>
    </row>
    <row r="30">
      <c r="A30" s="99"/>
      <c r="B30" s="66" t="s">
        <v>66</v>
      </c>
      <c r="C30" s="100">
        <f>I68</f>
        <v>0</v>
      </c>
      <c r="D30" s="99"/>
      <c r="H30" s="1"/>
      <c r="I30" s="1"/>
    </row>
    <row r="31">
      <c r="A31" s="99"/>
      <c r="B31" s="66" t="s">
        <v>67</v>
      </c>
      <c r="C31" s="100">
        <v>0.0</v>
      </c>
      <c r="D31" s="99"/>
      <c r="H31" s="1"/>
      <c r="I31" s="1"/>
    </row>
    <row r="32">
      <c r="B32" s="66" t="s">
        <v>68</v>
      </c>
      <c r="C32" s="100">
        <f>L68</f>
        <v>-4</v>
      </c>
    </row>
    <row r="33">
      <c r="B33" s="66" t="s">
        <v>69</v>
      </c>
      <c r="C33" s="67">
        <f>K68</f>
        <v>19</v>
      </c>
    </row>
    <row r="34">
      <c r="B34" s="66" t="s">
        <v>70</v>
      </c>
      <c r="C34" s="100">
        <v>0.0</v>
      </c>
    </row>
    <row r="35">
      <c r="B35" s="66" t="s">
        <v>71</v>
      </c>
      <c r="C35" s="10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6" t="s">
        <v>72</v>
      </c>
      <c r="C38" s="66" t="s">
        <v>73</v>
      </c>
      <c r="D38" s="66" t="s">
        <v>74</v>
      </c>
      <c r="E38" s="66" t="s">
        <v>75</v>
      </c>
      <c r="F38" s="72" t="s">
        <v>76</v>
      </c>
      <c r="G38" s="72" t="s">
        <v>77</v>
      </c>
      <c r="H38" s="72" t="s">
        <v>78</v>
      </c>
      <c r="I38" s="72" t="s">
        <v>79</v>
      </c>
      <c r="J38" s="72" t="s">
        <v>80</v>
      </c>
      <c r="K38" s="72" t="s">
        <v>81</v>
      </c>
      <c r="L38" s="72" t="s">
        <v>68</v>
      </c>
      <c r="M38" s="72" t="s">
        <v>70</v>
      </c>
      <c r="N38" s="72" t="s">
        <v>82</v>
      </c>
      <c r="O38" s="72" t="s">
        <v>83</v>
      </c>
      <c r="P38" s="72" t="s">
        <v>84</v>
      </c>
      <c r="Q38" s="72" t="s">
        <v>85</v>
      </c>
      <c r="R38" s="72" t="s">
        <v>86</v>
      </c>
      <c r="S38" s="72" t="s">
        <v>87</v>
      </c>
      <c r="T38" s="72" t="s">
        <v>59</v>
      </c>
      <c r="U38" s="72" t="s">
        <v>88</v>
      </c>
      <c r="V38" s="72" t="s">
        <v>89</v>
      </c>
      <c r="W38" s="72" t="s">
        <v>90</v>
      </c>
    </row>
    <row r="39">
      <c r="B39" s="104" t="s">
        <v>15</v>
      </c>
      <c r="C39" s="105">
        <v>33600.0</v>
      </c>
      <c r="D39" s="105"/>
      <c r="E39" s="105">
        <v>2350.0</v>
      </c>
      <c r="F39" s="106"/>
      <c r="G39" s="67">
        <f t="shared" ref="G39:G67" si="1">F39*C39</f>
        <v>0</v>
      </c>
      <c r="H39" s="106"/>
      <c r="I39" s="106"/>
      <c r="J39" s="106"/>
      <c r="K39" s="106">
        <v>9.5</v>
      </c>
      <c r="L39" s="103">
        <f t="shared" ref="L39:L67" si="2">H39+U39+W39-O39-Q39-I39-J39</f>
        <v>-2</v>
      </c>
      <c r="M39" s="67">
        <f t="shared" ref="M39:M67" si="3">K39-L39</f>
        <v>11.5</v>
      </c>
      <c r="N39" s="67">
        <f t="shared" ref="N39:N67" si="4">M39*C39</f>
        <v>386400</v>
      </c>
      <c r="O39" s="67">
        <f>'Dala Sales &amp; Deliveries'!L2</f>
        <v>2</v>
      </c>
      <c r="P39" s="67">
        <f t="shared" ref="P39:P67" si="5">O39*E39</f>
        <v>4700</v>
      </c>
      <c r="Q39" s="67">
        <f>'External Delivery Fulfillment'!L2</f>
        <v>0</v>
      </c>
      <c r="R39" s="67">
        <f t="shared" ref="R39:R67" si="6">Q39*E39</f>
        <v>0</v>
      </c>
      <c r="S39" s="67">
        <f>'Forwarding From Client'!L2</f>
        <v>0</v>
      </c>
      <c r="T39" s="67">
        <f t="shared" ref="T39:T67" si="7">S39*E39</f>
        <v>0</v>
      </c>
      <c r="U39" s="67">
        <f>'Dala Restocking'!L2</f>
        <v>0</v>
      </c>
      <c r="V39" s="67">
        <f t="shared" ref="V39:V67" si="8">U39*D39</f>
        <v>0</v>
      </c>
      <c r="W39" s="67">
        <f>'Client Restocking'!L2</f>
        <v>0</v>
      </c>
    </row>
    <row r="40">
      <c r="B40" s="107" t="s">
        <v>19</v>
      </c>
      <c r="C40" s="108">
        <v>30000.0</v>
      </c>
      <c r="D40" s="108"/>
      <c r="E40" s="108">
        <v>2350.0</v>
      </c>
      <c r="F40" s="109"/>
      <c r="G40" s="67">
        <f t="shared" si="1"/>
        <v>0</v>
      </c>
      <c r="H40" s="109"/>
      <c r="I40" s="106"/>
      <c r="J40" s="109"/>
      <c r="K40" s="106">
        <v>9.5</v>
      </c>
      <c r="L40" s="103">
        <f t="shared" si="2"/>
        <v>-2</v>
      </c>
      <c r="M40" s="67">
        <f t="shared" si="3"/>
        <v>11.5</v>
      </c>
      <c r="N40" s="67">
        <f t="shared" si="4"/>
        <v>345000</v>
      </c>
      <c r="O40" s="67">
        <f>'Dala Sales &amp; Deliveries'!L3</f>
        <v>2</v>
      </c>
      <c r="P40" s="67">
        <f t="shared" si="5"/>
        <v>4700</v>
      </c>
      <c r="Q40" s="67">
        <f>'External Delivery Fulfillment'!L3</f>
        <v>0</v>
      </c>
      <c r="R40" s="67">
        <f t="shared" si="6"/>
        <v>0</v>
      </c>
      <c r="S40" s="67">
        <f>'Forwarding From Client'!L3</f>
        <v>0</v>
      </c>
      <c r="T40" s="67">
        <f t="shared" si="7"/>
        <v>0</v>
      </c>
      <c r="U40" s="67">
        <f>'Dala Restocking'!L3</f>
        <v>0</v>
      </c>
      <c r="V40" s="67">
        <f t="shared" si="8"/>
        <v>0</v>
      </c>
      <c r="W40" s="67">
        <f>'Client Restocking'!L3</f>
        <v>0</v>
      </c>
    </row>
    <row r="41">
      <c r="B41" s="107"/>
      <c r="C41" s="108"/>
      <c r="D41" s="108"/>
      <c r="E41" s="108"/>
      <c r="F41" s="109"/>
      <c r="G41" s="67">
        <f t="shared" si="1"/>
        <v>0</v>
      </c>
      <c r="H41" s="109"/>
      <c r="I41" s="106"/>
      <c r="J41" s="109"/>
      <c r="K41" s="106"/>
      <c r="L41" s="103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Deliveries'!L4</f>
        <v>0</v>
      </c>
      <c r="P41" s="67">
        <f t="shared" si="5"/>
        <v>0</v>
      </c>
      <c r="Q41" s="67">
        <f>'External Delivery Fulfillment'!L4</f>
        <v>0</v>
      </c>
      <c r="R41" s="67">
        <f t="shared" si="6"/>
        <v>0</v>
      </c>
      <c r="S41" s="67">
        <f>'Forwarding From Client'!L4</f>
        <v>0</v>
      </c>
      <c r="T41" s="67">
        <f t="shared" si="7"/>
        <v>0</v>
      </c>
      <c r="U41" s="67">
        <f>'Dala Restocking'!L4</f>
        <v>0</v>
      </c>
      <c r="V41" s="67">
        <f t="shared" si="8"/>
        <v>0</v>
      </c>
      <c r="W41" s="67">
        <f>'Client Restocking'!L4</f>
        <v>0</v>
      </c>
    </row>
    <row r="42">
      <c r="B42" s="107"/>
      <c r="C42" s="108"/>
      <c r="D42" s="108"/>
      <c r="E42" s="108"/>
      <c r="F42" s="109"/>
      <c r="G42" s="67">
        <f t="shared" si="1"/>
        <v>0</v>
      </c>
      <c r="H42" s="109"/>
      <c r="I42" s="106"/>
      <c r="J42" s="109"/>
      <c r="K42" s="106"/>
      <c r="L42" s="103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Deliveries'!L5</f>
        <v>0</v>
      </c>
      <c r="P42" s="67">
        <f t="shared" si="5"/>
        <v>0</v>
      </c>
      <c r="Q42" s="67">
        <f>'External Delivery Fulfillment'!L5</f>
        <v>0</v>
      </c>
      <c r="R42" s="67">
        <f t="shared" si="6"/>
        <v>0</v>
      </c>
      <c r="S42" s="67">
        <f>'Forwarding From Client'!L5</f>
        <v>0</v>
      </c>
      <c r="T42" s="67">
        <f t="shared" si="7"/>
        <v>0</v>
      </c>
      <c r="U42" s="67">
        <f>'Dala Restocking'!L5</f>
        <v>0</v>
      </c>
      <c r="V42" s="67">
        <f t="shared" si="8"/>
        <v>0</v>
      </c>
      <c r="W42" s="67">
        <f>'Client Restocking'!L5</f>
        <v>0</v>
      </c>
    </row>
    <row r="43">
      <c r="B43" s="107"/>
      <c r="C43" s="108"/>
      <c r="D43" s="108"/>
      <c r="E43" s="108"/>
      <c r="F43" s="109"/>
      <c r="G43" s="67">
        <f t="shared" si="1"/>
        <v>0</v>
      </c>
      <c r="H43" s="109"/>
      <c r="I43" s="109"/>
      <c r="J43" s="109"/>
      <c r="K43" s="106"/>
      <c r="L43" s="103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Deliveries'!L6</f>
        <v>0</v>
      </c>
      <c r="P43" s="67">
        <f t="shared" si="5"/>
        <v>0</v>
      </c>
      <c r="Q43" s="67">
        <f>'External Delivery Fulfillment'!L6</f>
        <v>0</v>
      </c>
      <c r="R43" s="67">
        <f t="shared" si="6"/>
        <v>0</v>
      </c>
      <c r="S43" s="67">
        <f>'Forwarding From Client'!L6</f>
        <v>0</v>
      </c>
      <c r="T43" s="67">
        <f t="shared" si="7"/>
        <v>0</v>
      </c>
      <c r="U43" s="67">
        <f>'Dala Restocking'!L6</f>
        <v>0</v>
      </c>
      <c r="V43" s="67">
        <f t="shared" si="8"/>
        <v>0</v>
      </c>
      <c r="W43" s="67">
        <f>'Client Restocking'!L6</f>
        <v>0</v>
      </c>
    </row>
    <row r="44">
      <c r="B44" s="107"/>
      <c r="C44" s="108"/>
      <c r="D44" s="108"/>
      <c r="E44" s="108"/>
      <c r="F44" s="109"/>
      <c r="G44" s="67">
        <f t="shared" si="1"/>
        <v>0</v>
      </c>
      <c r="H44" s="109"/>
      <c r="I44" s="109"/>
      <c r="J44" s="109"/>
      <c r="K44" s="106"/>
      <c r="L44" s="103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Deliveries'!L7</f>
        <v>0</v>
      </c>
      <c r="P44" s="67">
        <f t="shared" si="5"/>
        <v>0</v>
      </c>
      <c r="Q44" s="67">
        <f>'External Delivery Fulfillment'!L7</f>
        <v>0</v>
      </c>
      <c r="R44" s="67">
        <f t="shared" si="6"/>
        <v>0</v>
      </c>
      <c r="S44" s="67">
        <f>'Forwarding From Client'!L7</f>
        <v>0</v>
      </c>
      <c r="T44" s="67">
        <f t="shared" si="7"/>
        <v>0</v>
      </c>
      <c r="U44" s="67">
        <f>'Dala Restocking'!L7</f>
        <v>0</v>
      </c>
      <c r="V44" s="67">
        <f t="shared" si="8"/>
        <v>0</v>
      </c>
      <c r="W44" s="67">
        <f>'Client Restocking'!L7</f>
        <v>0</v>
      </c>
    </row>
    <row r="45">
      <c r="B45" s="107"/>
      <c r="C45" s="108"/>
      <c r="D45" s="108"/>
      <c r="E45" s="108"/>
      <c r="F45" s="109"/>
      <c r="G45" s="67">
        <f t="shared" si="1"/>
        <v>0</v>
      </c>
      <c r="H45" s="109"/>
      <c r="I45" s="109"/>
      <c r="J45" s="109"/>
      <c r="K45" s="106"/>
      <c r="L45" s="103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Deliveries'!L8</f>
        <v>0</v>
      </c>
      <c r="P45" s="67">
        <f t="shared" si="5"/>
        <v>0</v>
      </c>
      <c r="Q45" s="67">
        <f>'External Delivery Fulfillment'!L8</f>
        <v>0</v>
      </c>
      <c r="R45" s="67">
        <f t="shared" si="6"/>
        <v>0</v>
      </c>
      <c r="S45" s="67">
        <f>'Forwarding From Client'!L8</f>
        <v>0</v>
      </c>
      <c r="T45" s="67">
        <f t="shared" si="7"/>
        <v>0</v>
      </c>
      <c r="U45" s="67">
        <f>'Dala Restocking'!L8</f>
        <v>0</v>
      </c>
      <c r="V45" s="67">
        <f t="shared" si="8"/>
        <v>0</v>
      </c>
      <c r="W45" s="67">
        <f>'Client Restocking'!L8</f>
        <v>0</v>
      </c>
    </row>
    <row r="46">
      <c r="B46" s="107"/>
      <c r="C46" s="108"/>
      <c r="D46" s="108"/>
      <c r="E46" s="108"/>
      <c r="F46" s="109"/>
      <c r="G46" s="67">
        <f t="shared" si="1"/>
        <v>0</v>
      </c>
      <c r="H46" s="109"/>
      <c r="I46" s="109"/>
      <c r="J46" s="109"/>
      <c r="K46" s="106"/>
      <c r="L46" s="103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Deliveries'!L9</f>
        <v>0</v>
      </c>
      <c r="P46" s="67">
        <f t="shared" si="5"/>
        <v>0</v>
      </c>
      <c r="Q46" s="67">
        <f>'External Delivery Fulfillment'!L9</f>
        <v>0</v>
      </c>
      <c r="R46" s="67">
        <f t="shared" si="6"/>
        <v>0</v>
      </c>
      <c r="S46" s="67">
        <f>'Forwarding From Client'!L9</f>
        <v>0</v>
      </c>
      <c r="T46" s="67">
        <f t="shared" si="7"/>
        <v>0</v>
      </c>
      <c r="U46" s="67">
        <f>'Dala Restocking'!L9</f>
        <v>0</v>
      </c>
      <c r="V46" s="67">
        <f t="shared" si="8"/>
        <v>0</v>
      </c>
      <c r="W46" s="67">
        <f>'Client Restocking'!L9</f>
        <v>0</v>
      </c>
    </row>
    <row r="47">
      <c r="B47" s="107"/>
      <c r="C47" s="108"/>
      <c r="D47" s="108"/>
      <c r="E47" s="108"/>
      <c r="F47" s="109"/>
      <c r="G47" s="67">
        <f t="shared" si="1"/>
        <v>0</v>
      </c>
      <c r="H47" s="109"/>
      <c r="I47" s="109"/>
      <c r="J47" s="109"/>
      <c r="K47" s="106"/>
      <c r="L47" s="103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Deliveries'!L10</f>
        <v>0</v>
      </c>
      <c r="P47" s="67">
        <f t="shared" si="5"/>
        <v>0</v>
      </c>
      <c r="Q47" s="67">
        <f>'External Delivery Fulfillment'!L10</f>
        <v>0</v>
      </c>
      <c r="R47" s="67">
        <f t="shared" si="6"/>
        <v>0</v>
      </c>
      <c r="S47" s="67">
        <f>'Forwarding From Client'!L10</f>
        <v>0</v>
      </c>
      <c r="T47" s="67">
        <f t="shared" si="7"/>
        <v>0</v>
      </c>
      <c r="U47" s="67">
        <f>'Dala Restocking'!L10</f>
        <v>0</v>
      </c>
      <c r="V47" s="67">
        <f t="shared" si="8"/>
        <v>0</v>
      </c>
      <c r="W47" s="67">
        <f>'Client Restocking'!L10</f>
        <v>0</v>
      </c>
    </row>
    <row r="48">
      <c r="B48" s="107"/>
      <c r="C48" s="108"/>
      <c r="D48" s="108"/>
      <c r="E48" s="108"/>
      <c r="F48" s="109"/>
      <c r="G48" s="67">
        <f t="shared" si="1"/>
        <v>0</v>
      </c>
      <c r="H48" s="109"/>
      <c r="I48" s="109"/>
      <c r="J48" s="109"/>
      <c r="K48" s="106"/>
      <c r="L48" s="103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Deliveries'!L11</f>
        <v>0</v>
      </c>
      <c r="P48" s="67">
        <f t="shared" si="5"/>
        <v>0</v>
      </c>
      <c r="Q48" s="67">
        <f>'External Delivery Fulfillment'!L11</f>
        <v>0</v>
      </c>
      <c r="R48" s="67">
        <f t="shared" si="6"/>
        <v>0</v>
      </c>
      <c r="S48" s="67">
        <f>'Forwarding From Client'!L11</f>
        <v>0</v>
      </c>
      <c r="T48" s="67">
        <f t="shared" si="7"/>
        <v>0</v>
      </c>
      <c r="U48" s="67">
        <f>'Dala Restocking'!L11</f>
        <v>0</v>
      </c>
      <c r="V48" s="67">
        <f t="shared" si="8"/>
        <v>0</v>
      </c>
      <c r="W48" s="67">
        <f>'Client Restocking'!L11</f>
        <v>0</v>
      </c>
    </row>
    <row r="49">
      <c r="B49" s="107"/>
      <c r="C49" s="108"/>
      <c r="D49" s="108"/>
      <c r="E49" s="108"/>
      <c r="F49" s="109"/>
      <c r="G49" s="67">
        <f t="shared" si="1"/>
        <v>0</v>
      </c>
      <c r="H49" s="109"/>
      <c r="I49" s="109"/>
      <c r="J49" s="109"/>
      <c r="K49" s="106"/>
      <c r="L49" s="103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Deliveries'!L12</f>
        <v>0</v>
      </c>
      <c r="P49" s="67">
        <f t="shared" si="5"/>
        <v>0</v>
      </c>
      <c r="Q49" s="67">
        <f>'External Delivery Fulfillment'!L12</f>
        <v>0</v>
      </c>
      <c r="R49" s="67">
        <f t="shared" si="6"/>
        <v>0</v>
      </c>
      <c r="S49" s="67">
        <f>'Forwarding From Client'!L12</f>
        <v>0</v>
      </c>
      <c r="T49" s="67">
        <f t="shared" si="7"/>
        <v>0</v>
      </c>
      <c r="U49" s="67">
        <f>'Dala Restocking'!L12</f>
        <v>0</v>
      </c>
      <c r="V49" s="67">
        <f t="shared" si="8"/>
        <v>0</v>
      </c>
      <c r="W49" s="67">
        <f>'Client Restocking'!L12</f>
        <v>0</v>
      </c>
    </row>
    <row r="50">
      <c r="B50" s="107"/>
      <c r="C50" s="108"/>
      <c r="D50" s="108"/>
      <c r="E50" s="108"/>
      <c r="F50" s="109"/>
      <c r="G50" s="67">
        <f t="shared" si="1"/>
        <v>0</v>
      </c>
      <c r="H50" s="109"/>
      <c r="I50" s="109"/>
      <c r="J50" s="109"/>
      <c r="K50" s="106"/>
      <c r="L50" s="103">
        <f t="shared" si="2"/>
        <v>0</v>
      </c>
      <c r="M50" s="67">
        <f t="shared" si="3"/>
        <v>0</v>
      </c>
      <c r="N50" s="67">
        <f t="shared" si="4"/>
        <v>0</v>
      </c>
      <c r="O50" s="67">
        <f>'Dala Sales &amp; Deliveries'!L13</f>
        <v>0</v>
      </c>
      <c r="P50" s="67">
        <f t="shared" si="5"/>
        <v>0</v>
      </c>
      <c r="Q50" s="67">
        <f>'External Delivery Fulfillment'!L13</f>
        <v>0</v>
      </c>
      <c r="R50" s="67">
        <f t="shared" si="6"/>
        <v>0</v>
      </c>
      <c r="S50" s="67">
        <f>'Forwarding From Client'!L13</f>
        <v>0</v>
      </c>
      <c r="T50" s="67">
        <f t="shared" si="7"/>
        <v>0</v>
      </c>
      <c r="U50" s="67">
        <f>'Dala Restocking'!L13</f>
        <v>0</v>
      </c>
      <c r="V50" s="67">
        <f t="shared" si="8"/>
        <v>0</v>
      </c>
      <c r="W50" s="67">
        <f>'Client Restocking'!L13</f>
        <v>0</v>
      </c>
    </row>
    <row r="51">
      <c r="B51" s="110"/>
      <c r="C51" s="109"/>
      <c r="D51" s="109"/>
      <c r="E51" s="109"/>
      <c r="F51" s="109"/>
      <c r="G51" s="67">
        <f t="shared" si="1"/>
        <v>0</v>
      </c>
      <c r="H51" s="109"/>
      <c r="I51" s="109"/>
      <c r="J51" s="109"/>
      <c r="K51" s="109"/>
      <c r="L51" s="103">
        <f t="shared" si="2"/>
        <v>0</v>
      </c>
      <c r="M51" s="67">
        <f t="shared" si="3"/>
        <v>0</v>
      </c>
      <c r="N51" s="67">
        <f t="shared" si="4"/>
        <v>0</v>
      </c>
      <c r="O51" s="67">
        <f>'Dala Sales &amp; Deliveries'!L14</f>
        <v>0</v>
      </c>
      <c r="P51" s="67">
        <f t="shared" si="5"/>
        <v>0</v>
      </c>
      <c r="Q51" s="67">
        <f>'External Delivery Fulfillment'!L14</f>
        <v>0</v>
      </c>
      <c r="R51" s="67">
        <f t="shared" si="6"/>
        <v>0</v>
      </c>
      <c r="S51" s="67">
        <f>'Forwarding From Client'!L14</f>
        <v>0</v>
      </c>
      <c r="T51" s="67">
        <f t="shared" si="7"/>
        <v>0</v>
      </c>
      <c r="U51" s="67">
        <f>'Dala Restocking'!L14</f>
        <v>0</v>
      </c>
      <c r="V51" s="67">
        <f t="shared" si="8"/>
        <v>0</v>
      </c>
      <c r="W51" s="67">
        <f>'Client Restocking'!L14</f>
        <v>0</v>
      </c>
    </row>
    <row r="52">
      <c r="B52" s="110"/>
      <c r="C52" s="109"/>
      <c r="D52" s="109"/>
      <c r="E52" s="109"/>
      <c r="F52" s="109"/>
      <c r="G52" s="67">
        <f t="shared" si="1"/>
        <v>0</v>
      </c>
      <c r="H52" s="109"/>
      <c r="I52" s="109"/>
      <c r="J52" s="109"/>
      <c r="K52" s="109"/>
      <c r="L52" s="103">
        <f t="shared" si="2"/>
        <v>0</v>
      </c>
      <c r="M52" s="67">
        <f t="shared" si="3"/>
        <v>0</v>
      </c>
      <c r="N52" s="67">
        <f t="shared" si="4"/>
        <v>0</v>
      </c>
      <c r="O52" s="67">
        <f>'Dala Sales &amp; Deliveries'!L15</f>
        <v>0</v>
      </c>
      <c r="P52" s="67">
        <f t="shared" si="5"/>
        <v>0</v>
      </c>
      <c r="Q52" s="67">
        <f>'External Delivery Fulfillment'!L15</f>
        <v>0</v>
      </c>
      <c r="R52" s="67">
        <f t="shared" si="6"/>
        <v>0</v>
      </c>
      <c r="S52" s="67">
        <f>'Forwarding From Client'!L15</f>
        <v>0</v>
      </c>
      <c r="T52" s="67">
        <f t="shared" si="7"/>
        <v>0</v>
      </c>
      <c r="U52" s="67">
        <f>'Dala Restocking'!L15</f>
        <v>0</v>
      </c>
      <c r="V52" s="67">
        <f t="shared" si="8"/>
        <v>0</v>
      </c>
      <c r="W52" s="67">
        <f>'Client Restocking'!L15</f>
        <v>0</v>
      </c>
    </row>
    <row r="53">
      <c r="B53" s="110"/>
      <c r="C53" s="109"/>
      <c r="D53" s="109"/>
      <c r="E53" s="109"/>
      <c r="F53" s="109"/>
      <c r="G53" s="67">
        <f t="shared" si="1"/>
        <v>0</v>
      </c>
      <c r="H53" s="109"/>
      <c r="I53" s="109"/>
      <c r="J53" s="109"/>
      <c r="K53" s="109"/>
      <c r="L53" s="103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Deliveries'!L16</f>
        <v/>
      </c>
      <c r="P53" s="67">
        <f t="shared" si="5"/>
        <v>0</v>
      </c>
      <c r="Q53" s="67" t="str">
        <f>'External Delivery Fulfillment'!L16</f>
        <v/>
      </c>
      <c r="R53" s="67">
        <f t="shared" si="6"/>
        <v>0</v>
      </c>
      <c r="S53" s="67" t="str">
        <f>'Forwarding From Client'!L16</f>
        <v/>
      </c>
      <c r="T53" s="67">
        <f t="shared" si="7"/>
        <v>0</v>
      </c>
      <c r="U53" s="67" t="str">
        <f>'Dala Restocking'!L16</f>
        <v/>
      </c>
      <c r="V53" s="67">
        <f t="shared" si="8"/>
        <v>0</v>
      </c>
      <c r="W53" s="67" t="str">
        <f>'Client Restocking'!L16</f>
        <v/>
      </c>
    </row>
    <row r="54">
      <c r="B54" s="110"/>
      <c r="C54" s="109"/>
      <c r="D54" s="109"/>
      <c r="E54" s="109"/>
      <c r="F54" s="109"/>
      <c r="G54" s="67">
        <f t="shared" si="1"/>
        <v>0</v>
      </c>
      <c r="H54" s="109"/>
      <c r="I54" s="109"/>
      <c r="J54" s="109"/>
      <c r="K54" s="109"/>
      <c r="L54" s="103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Deliveries'!L17</f>
        <v/>
      </c>
      <c r="P54" s="67">
        <f t="shared" si="5"/>
        <v>0</v>
      </c>
      <c r="Q54" s="67" t="str">
        <f>'External Delivery Fulfillment'!L17</f>
        <v/>
      </c>
      <c r="R54" s="67">
        <f t="shared" si="6"/>
        <v>0</v>
      </c>
      <c r="S54" s="67" t="str">
        <f>'Forwarding From Client'!L17</f>
        <v/>
      </c>
      <c r="T54" s="67">
        <f t="shared" si="7"/>
        <v>0</v>
      </c>
      <c r="U54" s="67" t="str">
        <f>'Dala Restocking'!L17</f>
        <v/>
      </c>
      <c r="V54" s="67">
        <f t="shared" si="8"/>
        <v>0</v>
      </c>
      <c r="W54" s="67" t="str">
        <f>'Client Restocking'!L17</f>
        <v/>
      </c>
    </row>
    <row r="55">
      <c r="B55" s="110"/>
      <c r="C55" s="109"/>
      <c r="D55" s="109"/>
      <c r="E55" s="109"/>
      <c r="F55" s="109"/>
      <c r="G55" s="67">
        <f t="shared" si="1"/>
        <v>0</v>
      </c>
      <c r="H55" s="109"/>
      <c r="I55" s="109"/>
      <c r="J55" s="109"/>
      <c r="K55" s="109"/>
      <c r="L55" s="103">
        <f t="shared" si="2"/>
        <v>0</v>
      </c>
      <c r="M55" s="67">
        <f t="shared" si="3"/>
        <v>0</v>
      </c>
      <c r="N55" s="67">
        <f t="shared" si="4"/>
        <v>0</v>
      </c>
      <c r="O55" s="67">
        <f>'Dala Sales &amp; Deliveries'!L18</f>
        <v>0</v>
      </c>
      <c r="P55" s="67">
        <f t="shared" si="5"/>
        <v>0</v>
      </c>
      <c r="Q55" s="67">
        <f>'External Delivery Fulfillment'!L18</f>
        <v>0</v>
      </c>
      <c r="R55" s="67">
        <f t="shared" si="6"/>
        <v>0</v>
      </c>
      <c r="S55" s="67" t="str">
        <f>'Forwarding From Client'!L18</f>
        <v/>
      </c>
      <c r="T55" s="67">
        <f t="shared" si="7"/>
        <v>0</v>
      </c>
      <c r="U55" s="67">
        <f>'Dala Restocking'!L18</f>
        <v>0</v>
      </c>
      <c r="V55" s="67">
        <f t="shared" si="8"/>
        <v>0</v>
      </c>
      <c r="W55" s="67" t="str">
        <f>'Client Restocking'!L18</f>
        <v/>
      </c>
    </row>
    <row r="56">
      <c r="B56" s="110"/>
      <c r="C56" s="109"/>
      <c r="D56" s="109"/>
      <c r="E56" s="109"/>
      <c r="F56" s="109"/>
      <c r="G56" s="67">
        <f t="shared" si="1"/>
        <v>0</v>
      </c>
      <c r="H56" s="109"/>
      <c r="I56" s="109"/>
      <c r="J56" s="109"/>
      <c r="K56" s="109"/>
      <c r="L56" s="103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Deliveries'!L19</f>
        <v/>
      </c>
      <c r="P56" s="67">
        <f t="shared" si="5"/>
        <v>0</v>
      </c>
      <c r="Q56" s="67" t="str">
        <f>'External Delivery Fulfillment'!L19</f>
        <v/>
      </c>
      <c r="R56" s="67">
        <f t="shared" si="6"/>
        <v>0</v>
      </c>
      <c r="S56" s="67" t="str">
        <f>'Forwarding From Client'!L19</f>
        <v/>
      </c>
      <c r="T56" s="67">
        <f t="shared" si="7"/>
        <v>0</v>
      </c>
      <c r="U56" s="67" t="str">
        <f>'Dala Restocking'!L19</f>
        <v/>
      </c>
      <c r="V56" s="67">
        <f t="shared" si="8"/>
        <v>0</v>
      </c>
      <c r="W56" s="67" t="str">
        <f>'Client Restocking'!L19</f>
        <v/>
      </c>
    </row>
    <row r="57">
      <c r="B57" s="110"/>
      <c r="C57" s="109"/>
      <c r="D57" s="109"/>
      <c r="E57" s="109"/>
      <c r="F57" s="109"/>
      <c r="G57" s="67">
        <f t="shared" si="1"/>
        <v>0</v>
      </c>
      <c r="H57" s="109"/>
      <c r="I57" s="109"/>
      <c r="J57" s="109"/>
      <c r="K57" s="109"/>
      <c r="L57" s="103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Deliveries'!L20</f>
        <v/>
      </c>
      <c r="P57" s="67">
        <f t="shared" si="5"/>
        <v>0</v>
      </c>
      <c r="Q57" s="67" t="str">
        <f>'External Delivery Fulfillment'!L20</f>
        <v/>
      </c>
      <c r="R57" s="67">
        <f t="shared" si="6"/>
        <v>0</v>
      </c>
      <c r="S57" s="67" t="str">
        <f>'Forwarding From Client'!L20</f>
        <v/>
      </c>
      <c r="T57" s="67">
        <f t="shared" si="7"/>
        <v>0</v>
      </c>
      <c r="U57" s="67" t="str">
        <f>'Dala Restocking'!L20</f>
        <v/>
      </c>
      <c r="V57" s="67">
        <f t="shared" si="8"/>
        <v>0</v>
      </c>
      <c r="W57" s="67" t="str">
        <f>'Client Restocking'!L20</f>
        <v/>
      </c>
    </row>
    <row r="58">
      <c r="B58" s="110"/>
      <c r="C58" s="109"/>
      <c r="D58" s="109"/>
      <c r="E58" s="109"/>
      <c r="F58" s="109"/>
      <c r="G58" s="67">
        <f t="shared" si="1"/>
        <v>0</v>
      </c>
      <c r="H58" s="109"/>
      <c r="I58" s="109"/>
      <c r="J58" s="109"/>
      <c r="K58" s="109"/>
      <c r="L58" s="103">
        <f t="shared" si="2"/>
        <v>0</v>
      </c>
      <c r="M58" s="67">
        <f t="shared" si="3"/>
        <v>0</v>
      </c>
      <c r="N58" s="67">
        <f t="shared" si="4"/>
        <v>0</v>
      </c>
      <c r="O58" s="67">
        <f>'Dala Sales &amp; Deliveries'!L21</f>
        <v>0</v>
      </c>
      <c r="P58" s="67">
        <f t="shared" si="5"/>
        <v>0</v>
      </c>
      <c r="Q58" s="67">
        <f>'External Delivery Fulfillment'!L21</f>
        <v>0</v>
      </c>
      <c r="R58" s="67">
        <f t="shared" si="6"/>
        <v>0</v>
      </c>
      <c r="S58" s="67" t="str">
        <f>'Forwarding From Client'!L21</f>
        <v/>
      </c>
      <c r="T58" s="67">
        <f t="shared" si="7"/>
        <v>0</v>
      </c>
      <c r="U58" s="67">
        <f>'Dala Restocking'!L21</f>
        <v>0</v>
      </c>
      <c r="V58" s="67">
        <f t="shared" si="8"/>
        <v>0</v>
      </c>
      <c r="W58" s="67" t="str">
        <f>'Client Restocking'!L21</f>
        <v/>
      </c>
    </row>
    <row r="59">
      <c r="B59" s="110"/>
      <c r="C59" s="109"/>
      <c r="D59" s="109"/>
      <c r="E59" s="109"/>
      <c r="F59" s="109"/>
      <c r="G59" s="67">
        <f t="shared" si="1"/>
        <v>0</v>
      </c>
      <c r="H59" s="109"/>
      <c r="I59" s="109"/>
      <c r="J59" s="109"/>
      <c r="K59" s="109"/>
      <c r="L59" s="103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Deliveries'!L22</f>
        <v/>
      </c>
      <c r="P59" s="67">
        <f t="shared" si="5"/>
        <v>0</v>
      </c>
      <c r="Q59" s="67" t="str">
        <f>'External Delivery Fulfillment'!L22</f>
        <v/>
      </c>
      <c r="R59" s="67">
        <f t="shared" si="6"/>
        <v>0</v>
      </c>
      <c r="S59" s="67" t="str">
        <f>'Forwarding From Client'!L22</f>
        <v/>
      </c>
      <c r="T59" s="67">
        <f t="shared" si="7"/>
        <v>0</v>
      </c>
      <c r="U59" s="67" t="str">
        <f>'Dala Restocking'!L22</f>
        <v/>
      </c>
      <c r="V59" s="67">
        <f t="shared" si="8"/>
        <v>0</v>
      </c>
      <c r="W59" s="67" t="str">
        <f>'Client Restocking'!L22</f>
        <v/>
      </c>
    </row>
    <row r="60">
      <c r="B60" s="110"/>
      <c r="C60" s="109"/>
      <c r="D60" s="109"/>
      <c r="E60" s="109"/>
      <c r="F60" s="109"/>
      <c r="G60" s="67">
        <f t="shared" si="1"/>
        <v>0</v>
      </c>
      <c r="H60" s="109"/>
      <c r="I60" s="109"/>
      <c r="J60" s="109"/>
      <c r="K60" s="109"/>
      <c r="L60" s="103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Deliveries'!L23</f>
        <v/>
      </c>
      <c r="P60" s="67">
        <f t="shared" si="5"/>
        <v>0</v>
      </c>
      <c r="Q60" s="67" t="str">
        <f>'External Delivery Fulfillment'!L23</f>
        <v/>
      </c>
      <c r="R60" s="67">
        <f t="shared" si="6"/>
        <v>0</v>
      </c>
      <c r="S60" s="67" t="str">
        <f>'Forwarding From Client'!L23</f>
        <v/>
      </c>
      <c r="T60" s="67">
        <f t="shared" si="7"/>
        <v>0</v>
      </c>
      <c r="U60" s="67" t="str">
        <f>'Dala Restocking'!L23</f>
        <v/>
      </c>
      <c r="V60" s="67">
        <f t="shared" si="8"/>
        <v>0</v>
      </c>
      <c r="W60" s="67" t="str">
        <f>'Client Restocking'!L23</f>
        <v/>
      </c>
    </row>
    <row r="61">
      <c r="B61" s="110"/>
      <c r="C61" s="109"/>
      <c r="D61" s="109"/>
      <c r="E61" s="109"/>
      <c r="F61" s="109"/>
      <c r="G61" s="67">
        <f t="shared" si="1"/>
        <v>0</v>
      </c>
      <c r="H61" s="109"/>
      <c r="I61" s="109"/>
      <c r="J61" s="109"/>
      <c r="K61" s="109"/>
      <c r="L61" s="103">
        <f t="shared" si="2"/>
        <v>0</v>
      </c>
      <c r="M61" s="67">
        <f t="shared" si="3"/>
        <v>0</v>
      </c>
      <c r="N61" s="67">
        <f t="shared" si="4"/>
        <v>0</v>
      </c>
      <c r="O61" s="67">
        <f>'Dala Sales &amp; Deliveries'!L24</f>
        <v>0</v>
      </c>
      <c r="P61" s="67">
        <f t="shared" si="5"/>
        <v>0</v>
      </c>
      <c r="Q61" s="67">
        <f>'External Delivery Fulfillment'!L24</f>
        <v>0</v>
      </c>
      <c r="R61" s="67">
        <f t="shared" si="6"/>
        <v>0</v>
      </c>
      <c r="S61" s="67" t="str">
        <f>'Forwarding From Client'!L24</f>
        <v/>
      </c>
      <c r="T61" s="67">
        <f t="shared" si="7"/>
        <v>0</v>
      </c>
      <c r="U61" s="67">
        <f>'Dala Restocking'!L24</f>
        <v>0</v>
      </c>
      <c r="V61" s="67">
        <f t="shared" si="8"/>
        <v>0</v>
      </c>
      <c r="W61" s="67" t="str">
        <f>'Client Restocking'!L24</f>
        <v/>
      </c>
    </row>
    <row r="62">
      <c r="B62" s="110"/>
      <c r="C62" s="109"/>
      <c r="D62" s="109"/>
      <c r="E62" s="109"/>
      <c r="F62" s="109"/>
      <c r="G62" s="67">
        <f t="shared" si="1"/>
        <v>0</v>
      </c>
      <c r="H62" s="109"/>
      <c r="I62" s="109"/>
      <c r="J62" s="109"/>
      <c r="K62" s="109"/>
      <c r="L62" s="103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Deliveries'!L25</f>
        <v/>
      </c>
      <c r="P62" s="67">
        <f t="shared" si="5"/>
        <v>0</v>
      </c>
      <c r="Q62" s="67" t="str">
        <f>'External Delivery Fulfillment'!L25</f>
        <v/>
      </c>
      <c r="R62" s="67">
        <f t="shared" si="6"/>
        <v>0</v>
      </c>
      <c r="S62" s="67" t="str">
        <f>'Forwarding From Client'!L25</f>
        <v/>
      </c>
      <c r="T62" s="67">
        <f t="shared" si="7"/>
        <v>0</v>
      </c>
      <c r="U62" s="67" t="str">
        <f>'Dala Restocking'!L25</f>
        <v/>
      </c>
      <c r="V62" s="67">
        <f t="shared" si="8"/>
        <v>0</v>
      </c>
      <c r="W62" s="67" t="str">
        <f>'Client Restocking'!L25</f>
        <v/>
      </c>
    </row>
    <row r="63">
      <c r="B63" s="110"/>
      <c r="C63" s="109"/>
      <c r="D63" s="109"/>
      <c r="E63" s="109"/>
      <c r="F63" s="109"/>
      <c r="G63" s="67">
        <f t="shared" si="1"/>
        <v>0</v>
      </c>
      <c r="H63" s="109"/>
      <c r="I63" s="109"/>
      <c r="J63" s="109"/>
      <c r="K63" s="109"/>
      <c r="L63" s="103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Deliveries'!L26</f>
        <v/>
      </c>
      <c r="P63" s="67">
        <f t="shared" si="5"/>
        <v>0</v>
      </c>
      <c r="Q63" s="67" t="str">
        <f>'External Delivery Fulfillment'!L26</f>
        <v/>
      </c>
      <c r="R63" s="67">
        <f t="shared" si="6"/>
        <v>0</v>
      </c>
      <c r="S63" s="67" t="str">
        <f>'Forwarding From Client'!L26</f>
        <v/>
      </c>
      <c r="T63" s="67">
        <f t="shared" si="7"/>
        <v>0</v>
      </c>
      <c r="U63" s="67" t="str">
        <f>'Dala Restocking'!L26</f>
        <v/>
      </c>
      <c r="V63" s="67">
        <f t="shared" si="8"/>
        <v>0</v>
      </c>
      <c r="W63" s="67" t="str">
        <f>'Client Restocking'!L26</f>
        <v/>
      </c>
    </row>
    <row r="64">
      <c r="B64" s="110"/>
      <c r="C64" s="109"/>
      <c r="D64" s="109"/>
      <c r="E64" s="109"/>
      <c r="F64" s="109"/>
      <c r="G64" s="67">
        <f t="shared" si="1"/>
        <v>0</v>
      </c>
      <c r="H64" s="109"/>
      <c r="I64" s="109"/>
      <c r="J64" s="109"/>
      <c r="K64" s="109"/>
      <c r="L64" s="103">
        <f t="shared" si="2"/>
        <v>0</v>
      </c>
      <c r="M64" s="67">
        <f t="shared" si="3"/>
        <v>0</v>
      </c>
      <c r="N64" s="67">
        <f t="shared" si="4"/>
        <v>0</v>
      </c>
      <c r="O64" s="67">
        <f>'Dala Sales &amp; Deliveries'!L27</f>
        <v>0</v>
      </c>
      <c r="P64" s="67">
        <f t="shared" si="5"/>
        <v>0</v>
      </c>
      <c r="Q64" s="67" t="str">
        <f>'External Delivery Fulfillment'!L27</f>
        <v/>
      </c>
      <c r="R64" s="67">
        <f t="shared" si="6"/>
        <v>0</v>
      </c>
      <c r="S64" s="67" t="str">
        <f>'Forwarding From Client'!L27</f>
        <v/>
      </c>
      <c r="T64" s="67">
        <f t="shared" si="7"/>
        <v>0</v>
      </c>
      <c r="U64" s="67">
        <f>'Dala Restocking'!L27</f>
        <v>0</v>
      </c>
      <c r="V64" s="67">
        <f t="shared" si="8"/>
        <v>0</v>
      </c>
      <c r="W64" s="67" t="str">
        <f>'Client Restocking'!L27</f>
        <v/>
      </c>
    </row>
    <row r="65">
      <c r="B65" s="110"/>
      <c r="C65" s="109"/>
      <c r="D65" s="109"/>
      <c r="E65" s="109"/>
      <c r="F65" s="109"/>
      <c r="G65" s="67">
        <f t="shared" si="1"/>
        <v>0</v>
      </c>
      <c r="H65" s="109"/>
      <c r="I65" s="109"/>
      <c r="J65" s="109"/>
      <c r="K65" s="109"/>
      <c r="L65" s="103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Deliveries'!L28</f>
        <v/>
      </c>
      <c r="P65" s="67">
        <f t="shared" si="5"/>
        <v>0</v>
      </c>
      <c r="Q65" s="67" t="str">
        <f>'External Delivery Fulfillment'!L28</f>
        <v/>
      </c>
      <c r="R65" s="67">
        <f t="shared" si="6"/>
        <v>0</v>
      </c>
      <c r="S65" s="67" t="str">
        <f>'Forwarding From Client'!L28</f>
        <v/>
      </c>
      <c r="T65" s="67">
        <f t="shared" si="7"/>
        <v>0</v>
      </c>
      <c r="U65" s="67" t="str">
        <f>'Dala Restocking'!L28</f>
        <v/>
      </c>
      <c r="V65" s="67">
        <f t="shared" si="8"/>
        <v>0</v>
      </c>
      <c r="W65" s="67" t="str">
        <f>'Client Restocking'!L28</f>
        <v/>
      </c>
    </row>
    <row r="66">
      <c r="B66" s="110"/>
      <c r="C66" s="109"/>
      <c r="D66" s="109"/>
      <c r="E66" s="109"/>
      <c r="F66" s="109"/>
      <c r="G66" s="67">
        <f t="shared" si="1"/>
        <v>0</v>
      </c>
      <c r="H66" s="109"/>
      <c r="I66" s="109"/>
      <c r="J66" s="109"/>
      <c r="K66" s="109"/>
      <c r="L66" s="103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Deliveries'!L29</f>
        <v/>
      </c>
      <c r="P66" s="67">
        <f t="shared" si="5"/>
        <v>0</v>
      </c>
      <c r="Q66" s="67" t="str">
        <f>'External Delivery Fulfillment'!L29</f>
        <v/>
      </c>
      <c r="R66" s="67">
        <f t="shared" si="6"/>
        <v>0</v>
      </c>
      <c r="S66" s="67" t="str">
        <f>'Forwarding From Client'!L29</f>
        <v/>
      </c>
      <c r="T66" s="67">
        <f t="shared" si="7"/>
        <v>0</v>
      </c>
      <c r="U66" s="67" t="str">
        <f>'Dala Restocking'!L29</f>
        <v/>
      </c>
      <c r="V66" s="67">
        <f t="shared" si="8"/>
        <v>0</v>
      </c>
      <c r="W66" s="67" t="str">
        <f>'Client Restocking'!L29</f>
        <v/>
      </c>
    </row>
    <row r="67">
      <c r="B67" s="110"/>
      <c r="C67" s="109"/>
      <c r="D67" s="109"/>
      <c r="E67" s="109"/>
      <c r="F67" s="109"/>
      <c r="G67" s="67">
        <f t="shared" si="1"/>
        <v>0</v>
      </c>
      <c r="H67" s="109"/>
      <c r="I67" s="109"/>
      <c r="J67" s="109"/>
      <c r="K67" s="109"/>
      <c r="L67" s="103">
        <f t="shared" si="2"/>
        <v>0</v>
      </c>
      <c r="M67" s="67">
        <f t="shared" si="3"/>
        <v>0</v>
      </c>
      <c r="N67" s="67">
        <f t="shared" si="4"/>
        <v>0</v>
      </c>
      <c r="O67" s="67"/>
      <c r="P67" s="67">
        <f t="shared" si="5"/>
        <v>0</v>
      </c>
      <c r="Q67" s="67"/>
      <c r="R67" s="67">
        <f t="shared" si="6"/>
        <v>0</v>
      </c>
      <c r="S67" s="67" t="str">
        <f>'Forwarding From Client'!L30</f>
        <v/>
      </c>
      <c r="T67" s="67">
        <f t="shared" si="7"/>
        <v>0</v>
      </c>
      <c r="U67" s="67"/>
      <c r="V67" s="67">
        <f t="shared" si="8"/>
        <v>0</v>
      </c>
      <c r="W67" s="67"/>
    </row>
    <row r="68">
      <c r="B68" s="72" t="s">
        <v>91</v>
      </c>
      <c r="C68" s="72"/>
      <c r="D68" s="72"/>
      <c r="E68" s="68"/>
      <c r="F68" s="111">
        <f t="shared" ref="F68:W68" si="9">sum(F39:F67)</f>
        <v>0</v>
      </c>
      <c r="G68" s="111">
        <f t="shared" si="9"/>
        <v>0</v>
      </c>
      <c r="H68" s="111">
        <f t="shared" si="9"/>
        <v>0</v>
      </c>
      <c r="I68" s="111">
        <f t="shared" si="9"/>
        <v>0</v>
      </c>
      <c r="J68" s="111">
        <f t="shared" si="9"/>
        <v>0</v>
      </c>
      <c r="K68" s="111">
        <f t="shared" si="9"/>
        <v>19</v>
      </c>
      <c r="L68" s="111">
        <f t="shared" si="9"/>
        <v>-4</v>
      </c>
      <c r="M68" s="111">
        <f t="shared" si="9"/>
        <v>23</v>
      </c>
      <c r="N68" s="111">
        <f t="shared" si="9"/>
        <v>731400</v>
      </c>
      <c r="O68" s="111">
        <f t="shared" si="9"/>
        <v>4</v>
      </c>
      <c r="P68" s="111">
        <f t="shared" si="9"/>
        <v>9400</v>
      </c>
      <c r="Q68" s="111">
        <f t="shared" si="9"/>
        <v>0</v>
      </c>
      <c r="R68" s="67">
        <f t="shared" si="9"/>
        <v>0</v>
      </c>
      <c r="S68" s="67">
        <f t="shared" si="9"/>
        <v>0</v>
      </c>
      <c r="T68" s="67">
        <f t="shared" si="9"/>
        <v>0</v>
      </c>
      <c r="U68" s="67">
        <f t="shared" si="9"/>
        <v>0</v>
      </c>
      <c r="V68" s="67">
        <f t="shared" si="9"/>
        <v>0</v>
      </c>
      <c r="W68" s="67">
        <f t="shared" si="9"/>
        <v>0</v>
      </c>
    </row>
    <row r="69">
      <c r="C69" s="6" t="s">
        <v>92</v>
      </c>
      <c r="D69" s="6" t="s">
        <v>92</v>
      </c>
      <c r="E69" s="6" t="s">
        <v>92</v>
      </c>
      <c r="F69" s="6" t="s">
        <v>92</v>
      </c>
      <c r="G69" s="6" t="s">
        <v>92</v>
      </c>
      <c r="H69" s="6" t="s">
        <v>92</v>
      </c>
      <c r="I69" s="6" t="s">
        <v>92</v>
      </c>
      <c r="J69" s="6" t="s">
        <v>92</v>
      </c>
      <c r="K69" s="6" t="s">
        <v>92</v>
      </c>
      <c r="L69" s="6" t="s">
        <v>92</v>
      </c>
      <c r="M69" s="6" t="s">
        <v>92</v>
      </c>
      <c r="N69" s="6" t="s">
        <v>92</v>
      </c>
      <c r="O69" s="6" t="s">
        <v>92</v>
      </c>
      <c r="P69" s="6" t="s">
        <v>92</v>
      </c>
      <c r="Q69" s="6" t="s">
        <v>92</v>
      </c>
      <c r="R69" s="6" t="s">
        <v>92</v>
      </c>
      <c r="S69" s="6" t="s">
        <v>92</v>
      </c>
      <c r="T69" s="6" t="s">
        <v>92</v>
      </c>
      <c r="U69" s="6" t="s">
        <v>92</v>
      </c>
      <c r="V69" s="6" t="s">
        <v>92</v>
      </c>
      <c r="W69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6" t="s">
        <v>33</v>
      </c>
      <c r="C1" s="66" t="s">
        <v>29</v>
      </c>
      <c r="D1" s="66" t="s">
        <v>34</v>
      </c>
      <c r="E1" s="100" t="s">
        <v>35</v>
      </c>
      <c r="F1" s="74"/>
    </row>
    <row r="2">
      <c r="A2" s="75" t="s">
        <v>36</v>
      </c>
      <c r="B2" s="76" t="s">
        <v>27</v>
      </c>
      <c r="C2" s="77"/>
      <c r="D2" s="77"/>
      <c r="E2" s="78">
        <f>'Dala Sales &amp; Deliveries'!I1+'External Delivery Fulfillment'!I1+'Forwarding From Client'!I1</f>
        <v>4</v>
      </c>
      <c r="F2" s="74"/>
    </row>
    <row r="3">
      <c r="A3" s="79"/>
      <c r="B3" s="76" t="s">
        <v>37</v>
      </c>
      <c r="C3" s="77"/>
      <c r="D3" s="77"/>
      <c r="E3" s="78">
        <f>'Raw Data'!AX2</f>
        <v>2</v>
      </c>
      <c r="F3" s="74"/>
    </row>
    <row r="4">
      <c r="B4" s="112" t="s">
        <v>38</v>
      </c>
      <c r="C4" s="74"/>
      <c r="D4" s="74"/>
      <c r="E4" s="81">
        <f>'Dala Sales &amp; Deliveries'!I3</f>
        <v>127200</v>
      </c>
      <c r="F4" s="74"/>
    </row>
    <row r="5">
      <c r="B5" s="80" t="s">
        <v>39</v>
      </c>
      <c r="C5" s="74"/>
      <c r="D5" s="74"/>
      <c r="E5" s="81">
        <f>E4*1.075-E4</f>
        <v>9540</v>
      </c>
      <c r="F5" s="74"/>
    </row>
    <row r="6">
      <c r="A6" s="82"/>
      <c r="B6" s="83" t="s">
        <v>40</v>
      </c>
      <c r="C6" s="84"/>
      <c r="D6" s="85"/>
      <c r="E6" s="86">
        <f>sum(E4:E5)</f>
        <v>136740</v>
      </c>
      <c r="F6" s="74"/>
    </row>
    <row r="7">
      <c r="A7" s="75" t="s">
        <v>41</v>
      </c>
      <c r="B7" s="76" t="s">
        <v>42</v>
      </c>
      <c r="C7" s="77"/>
      <c r="D7" s="87"/>
      <c r="E7" s="113"/>
    </row>
    <row r="8">
      <c r="A8" s="79"/>
      <c r="B8" s="76" t="s">
        <v>48</v>
      </c>
      <c r="C8" s="114">
        <v>0.04</v>
      </c>
      <c r="D8" s="87"/>
      <c r="E8" s="93">
        <f>E7*(C8+100%)-E7</f>
        <v>0</v>
      </c>
      <c r="K8" s="7"/>
      <c r="L8" s="7"/>
      <c r="M8" s="7"/>
      <c r="N8" s="7"/>
    </row>
    <row r="9">
      <c r="A9" s="82"/>
      <c r="B9" s="83" t="s">
        <v>43</v>
      </c>
      <c r="C9" s="115">
        <v>0.07</v>
      </c>
      <c r="D9" s="85"/>
      <c r="E9" s="86">
        <f>E7*(C9+100%)-E7</f>
        <v>0</v>
      </c>
      <c r="K9" s="7"/>
      <c r="L9" s="7"/>
      <c r="M9" s="7"/>
      <c r="N9" s="7"/>
    </row>
    <row r="10">
      <c r="A10" s="75" t="s">
        <v>46</v>
      </c>
      <c r="B10" s="76" t="s">
        <v>47</v>
      </c>
      <c r="C10" s="116"/>
      <c r="D10" s="93">
        <v>350000.0</v>
      </c>
      <c r="E10" s="93">
        <f>C10*D10</f>
        <v>0</v>
      </c>
    </row>
    <row r="11">
      <c r="A11" s="79"/>
      <c r="B11" s="95" t="s">
        <v>93</v>
      </c>
      <c r="C11" s="77"/>
      <c r="D11" s="96"/>
      <c r="E11" s="93">
        <f>V67</f>
        <v>0</v>
      </c>
    </row>
    <row r="12">
      <c r="A12" s="79"/>
      <c r="B12" s="95" t="s">
        <v>63</v>
      </c>
      <c r="C12" s="77"/>
      <c r="D12" s="96"/>
      <c r="E12" s="93">
        <f>C24</f>
        <v>9400</v>
      </c>
    </row>
    <row r="13">
      <c r="A13" s="79"/>
      <c r="B13" s="76" t="s">
        <v>50</v>
      </c>
      <c r="C13" s="87"/>
      <c r="D13" s="87"/>
      <c r="E13" s="88">
        <v>0.0</v>
      </c>
    </row>
    <row r="14">
      <c r="A14" s="79"/>
      <c r="B14" s="76" t="s">
        <v>94</v>
      </c>
      <c r="C14" s="87"/>
      <c r="D14" s="87"/>
      <c r="E14" s="93">
        <f>C28</f>
        <v>0</v>
      </c>
    </row>
    <row r="15">
      <c r="A15" s="82"/>
      <c r="B15" s="83" t="s">
        <v>95</v>
      </c>
      <c r="C15" s="85"/>
      <c r="D15" s="85"/>
      <c r="E15" s="86">
        <f>sum(E10:E14)</f>
        <v>9400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55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6" t="s">
        <v>56</v>
      </c>
      <c r="C19" s="100">
        <f>U67</f>
        <v>0</v>
      </c>
      <c r="D19" s="99"/>
      <c r="H19" s="117"/>
      <c r="I19" s="101"/>
      <c r="J19" s="101"/>
      <c r="K19" s="101"/>
      <c r="L19" s="101"/>
      <c r="M19" s="102"/>
      <c r="N19" s="98"/>
      <c r="O19" s="98"/>
    </row>
    <row r="20">
      <c r="A20" s="99"/>
      <c r="B20" s="66" t="s">
        <v>57</v>
      </c>
      <c r="C20" s="100">
        <f>V67</f>
        <v>0</v>
      </c>
      <c r="D20" s="99"/>
      <c r="H20" s="117"/>
      <c r="I20" s="101"/>
      <c r="J20" s="101"/>
      <c r="K20" s="101"/>
      <c r="L20" s="101"/>
      <c r="M20" s="102"/>
      <c r="N20" s="98"/>
      <c r="O20" s="98"/>
    </row>
    <row r="21">
      <c r="A21" s="99"/>
      <c r="B21" s="66" t="s">
        <v>58</v>
      </c>
      <c r="C21" s="100">
        <f>S67</f>
        <v>0</v>
      </c>
      <c r="D21" s="99"/>
      <c r="H21" s="117"/>
      <c r="I21" s="101"/>
      <c r="J21" s="101"/>
      <c r="K21" s="101"/>
      <c r="L21" s="101"/>
      <c r="M21" s="102"/>
      <c r="N21" s="98"/>
      <c r="O21" s="98"/>
    </row>
    <row r="22">
      <c r="A22" s="99"/>
      <c r="B22" s="66" t="s">
        <v>59</v>
      </c>
      <c r="C22" s="100">
        <f>T67</f>
        <v>0</v>
      </c>
      <c r="D22" s="99"/>
      <c r="H22" s="117"/>
      <c r="I22" s="101"/>
      <c r="J22" s="101"/>
      <c r="K22" s="101"/>
      <c r="L22" s="101"/>
      <c r="M22" s="102"/>
      <c r="N22" s="98"/>
      <c r="O22" s="98"/>
    </row>
    <row r="23">
      <c r="A23" s="99"/>
      <c r="B23" s="66" t="s">
        <v>60</v>
      </c>
      <c r="C23" s="100">
        <f>O67</f>
        <v>4</v>
      </c>
      <c r="D23" s="99"/>
      <c r="H23" s="117"/>
      <c r="I23" s="101"/>
      <c r="J23" s="101"/>
      <c r="K23" s="101"/>
      <c r="L23" s="101"/>
      <c r="M23" s="102"/>
      <c r="N23" s="98"/>
      <c r="O23" s="98"/>
    </row>
    <row r="24">
      <c r="A24" s="99"/>
      <c r="B24" s="66" t="s">
        <v>61</v>
      </c>
      <c r="C24" s="100">
        <f>P67</f>
        <v>9400</v>
      </c>
      <c r="D24" s="99"/>
      <c r="H24" s="117"/>
      <c r="I24" s="101"/>
      <c r="J24" s="101"/>
      <c r="K24" s="101"/>
      <c r="L24" s="101"/>
      <c r="M24" s="102"/>
      <c r="N24" s="98"/>
      <c r="O24" s="98"/>
    </row>
    <row r="25">
      <c r="A25" s="99"/>
      <c r="B25" s="66" t="s">
        <v>62</v>
      </c>
      <c r="C25" s="100">
        <f>Q67</f>
        <v>0</v>
      </c>
      <c r="D25" s="99"/>
      <c r="H25" s="117"/>
      <c r="I25" s="101"/>
      <c r="J25" s="101"/>
      <c r="K25" s="101"/>
      <c r="L25" s="101"/>
      <c r="M25" s="102"/>
      <c r="N25" s="98"/>
      <c r="O25" s="98"/>
    </row>
    <row r="26">
      <c r="A26" s="99"/>
      <c r="B26" s="66" t="s">
        <v>63</v>
      </c>
      <c r="C26" s="100">
        <f>R67</f>
        <v>0</v>
      </c>
      <c r="D26" s="99"/>
    </row>
    <row r="27">
      <c r="A27" s="99"/>
      <c r="B27" s="66" t="s">
        <v>64</v>
      </c>
      <c r="C27" s="100">
        <f>F67</f>
        <v>0</v>
      </c>
      <c r="D27" s="99"/>
    </row>
    <row r="28">
      <c r="A28" s="99"/>
      <c r="B28" s="66" t="s">
        <v>65</v>
      </c>
      <c r="C28" s="100">
        <f>G67</f>
        <v>0</v>
      </c>
      <c r="D28" s="99"/>
    </row>
    <row r="29">
      <c r="A29" s="99"/>
      <c r="B29" s="66" t="s">
        <v>66</v>
      </c>
      <c r="C29" s="100">
        <f>I67</f>
        <v>0</v>
      </c>
      <c r="D29" s="99"/>
    </row>
    <row r="30">
      <c r="A30" s="99"/>
      <c r="B30" s="66" t="s">
        <v>96</v>
      </c>
      <c r="C30" s="100">
        <f>J67</f>
        <v>0</v>
      </c>
      <c r="D30" s="99"/>
    </row>
    <row r="31">
      <c r="A31" s="99"/>
      <c r="B31" s="66" t="s">
        <v>68</v>
      </c>
      <c r="C31" s="100">
        <f>L67</f>
        <v>-4</v>
      </c>
      <c r="D31" s="99"/>
    </row>
    <row r="32">
      <c r="A32" s="99"/>
      <c r="B32" s="66" t="s">
        <v>69</v>
      </c>
      <c r="C32" s="100">
        <f>K67</f>
        <v>33.5</v>
      </c>
      <c r="D32" s="99"/>
    </row>
    <row r="33">
      <c r="A33" s="99"/>
      <c r="B33" s="66" t="s">
        <v>70</v>
      </c>
      <c r="C33" s="100">
        <v>0.0</v>
      </c>
      <c r="D33" s="99"/>
    </row>
    <row r="34">
      <c r="A34" s="99"/>
      <c r="B34" s="66" t="s">
        <v>71</v>
      </c>
      <c r="C34" s="100">
        <v>0.0</v>
      </c>
      <c r="D34" s="99"/>
    </row>
    <row r="37">
      <c r="B37" s="66" t="s">
        <v>72</v>
      </c>
      <c r="C37" s="66" t="s">
        <v>73</v>
      </c>
      <c r="D37" s="66" t="s">
        <v>74</v>
      </c>
      <c r="E37" s="66" t="s">
        <v>75</v>
      </c>
      <c r="F37" s="72" t="s">
        <v>76</v>
      </c>
      <c r="G37" s="72" t="s">
        <v>77</v>
      </c>
      <c r="H37" s="72" t="s">
        <v>78</v>
      </c>
      <c r="I37" s="72" t="s">
        <v>79</v>
      </c>
      <c r="J37" s="72" t="s">
        <v>80</v>
      </c>
      <c r="K37" s="72" t="s">
        <v>81</v>
      </c>
      <c r="L37" s="72" t="s">
        <v>68</v>
      </c>
      <c r="M37" s="72" t="s">
        <v>70</v>
      </c>
      <c r="N37" s="72" t="s">
        <v>82</v>
      </c>
      <c r="O37" s="72" t="s">
        <v>60</v>
      </c>
      <c r="P37" s="72" t="s">
        <v>84</v>
      </c>
      <c r="Q37" s="72" t="s">
        <v>85</v>
      </c>
      <c r="R37" s="72" t="s">
        <v>86</v>
      </c>
      <c r="S37" s="72" t="s">
        <v>87</v>
      </c>
      <c r="T37" s="72" t="s">
        <v>59</v>
      </c>
      <c r="U37" s="72" t="s">
        <v>88</v>
      </c>
      <c r="V37" s="72" t="s">
        <v>89</v>
      </c>
      <c r="W37" s="72" t="s">
        <v>90</v>
      </c>
    </row>
    <row r="38">
      <c r="B38" s="72" t="s">
        <v>15</v>
      </c>
      <c r="C38" s="67">
        <f>'Internal Summary'!C39</f>
        <v>33600</v>
      </c>
      <c r="D38" s="67" t="str">
        <f>'Internal Summary'!D39</f>
        <v/>
      </c>
      <c r="E38" s="67">
        <f>'Internal Summary'!E39</f>
        <v>2350</v>
      </c>
      <c r="F38" s="106"/>
      <c r="G38" s="67">
        <f t="shared" ref="G38:G66" si="1">F38*C38</f>
        <v>0</v>
      </c>
      <c r="H38" s="106"/>
      <c r="I38" s="106"/>
      <c r="J38" s="106"/>
      <c r="K38" s="106">
        <v>0.0</v>
      </c>
      <c r="L38" s="111">
        <f t="shared" ref="L38:L66" si="2">H38+U38+W38-O38-Q38-I38-J38</f>
        <v>-2</v>
      </c>
      <c r="M38" s="67">
        <f t="shared" ref="M38:M66" si="3">K38-L38</f>
        <v>2</v>
      </c>
      <c r="N38" s="67">
        <f>M38*C38</f>
        <v>67200</v>
      </c>
      <c r="O38" s="67">
        <f>'Dala Sales &amp; Deliveries'!L2</f>
        <v>2</v>
      </c>
      <c r="P38" s="67">
        <f t="shared" ref="P38:P66" si="4">O38*E38</f>
        <v>4700</v>
      </c>
      <c r="Q38" s="67">
        <f>'External Delivery Fulfillment'!L2</f>
        <v>0</v>
      </c>
      <c r="R38" s="67">
        <f t="shared" ref="R38:R66" si="5">Q38*E38</f>
        <v>0</v>
      </c>
      <c r="S38" s="67">
        <f>'Forwarding From Client'!L2</f>
        <v>0</v>
      </c>
      <c r="T38" s="67">
        <f t="shared" ref="T38:T66" si="6">S38*E38</f>
        <v>0</v>
      </c>
      <c r="U38" s="67">
        <f>'Dala Restocking'!L2</f>
        <v>0</v>
      </c>
      <c r="V38" s="67">
        <f t="shared" ref="V38:V66" si="7">U38*D38</f>
        <v>0</v>
      </c>
      <c r="W38" s="67">
        <f>'Client Restocking'!L2</f>
        <v>0</v>
      </c>
    </row>
    <row r="39">
      <c r="B39" s="72" t="s">
        <v>19</v>
      </c>
      <c r="C39" s="67">
        <f>'Internal Summary'!C40</f>
        <v>30000</v>
      </c>
      <c r="D39" s="67" t="str">
        <f>'Internal Summary'!D40</f>
        <v/>
      </c>
      <c r="E39" s="67">
        <f>'Internal Summary'!E40</f>
        <v>2350</v>
      </c>
      <c r="F39" s="109"/>
      <c r="G39" s="67">
        <f t="shared" si="1"/>
        <v>0</v>
      </c>
      <c r="H39" s="109"/>
      <c r="I39" s="106"/>
      <c r="J39" s="109"/>
      <c r="K39" s="106">
        <v>0.0</v>
      </c>
      <c r="L39" s="111">
        <f t="shared" si="2"/>
        <v>-2</v>
      </c>
      <c r="M39" s="67">
        <f t="shared" si="3"/>
        <v>2</v>
      </c>
      <c r="N39" s="67"/>
      <c r="O39" s="67">
        <f>'Dala Sales &amp; Deliveries'!L3</f>
        <v>2</v>
      </c>
      <c r="P39" s="67">
        <f t="shared" si="4"/>
        <v>4700</v>
      </c>
      <c r="Q39" s="67">
        <f>'External Delivery Fulfillment'!L3</f>
        <v>0</v>
      </c>
      <c r="R39" s="67">
        <f t="shared" si="5"/>
        <v>0</v>
      </c>
      <c r="S39" s="67">
        <f>'Forwarding From Client'!L3</f>
        <v>0</v>
      </c>
      <c r="T39" s="67">
        <f t="shared" si="6"/>
        <v>0</v>
      </c>
      <c r="U39" s="67">
        <f>'Dala Restocking'!L3</f>
        <v>0</v>
      </c>
      <c r="V39" s="67">
        <f t="shared" si="7"/>
        <v>0</v>
      </c>
      <c r="W39" s="67">
        <f>'Client Restocking'!L3</f>
        <v>0</v>
      </c>
    </row>
    <row r="40">
      <c r="B40" s="67"/>
      <c r="C40" s="67" t="str">
        <f>'Internal Summary'!C41</f>
        <v/>
      </c>
      <c r="D40" s="67" t="str">
        <f>'Internal Summary'!D41</f>
        <v/>
      </c>
      <c r="E40" s="67" t="str">
        <f>'Internal Summary'!E41</f>
        <v/>
      </c>
      <c r="F40" s="109"/>
      <c r="G40" s="67">
        <f t="shared" si="1"/>
        <v>0</v>
      </c>
      <c r="H40" s="109"/>
      <c r="I40" s="106"/>
      <c r="J40" s="109"/>
      <c r="K40" s="106">
        <v>0.0</v>
      </c>
      <c r="L40" s="111">
        <f t="shared" si="2"/>
        <v>0</v>
      </c>
      <c r="M40" s="67">
        <f t="shared" si="3"/>
        <v>0</v>
      </c>
      <c r="N40" s="67"/>
      <c r="O40" s="67">
        <f>'Dala Sales &amp; Deliveries'!L4</f>
        <v>0</v>
      </c>
      <c r="P40" s="67">
        <f t="shared" si="4"/>
        <v>0</v>
      </c>
      <c r="Q40" s="67">
        <f>'External Delivery Fulfillment'!L4</f>
        <v>0</v>
      </c>
      <c r="R40" s="67">
        <f t="shared" si="5"/>
        <v>0</v>
      </c>
      <c r="S40" s="67">
        <f>'Forwarding From Client'!L4</f>
        <v>0</v>
      </c>
      <c r="T40" s="67">
        <f t="shared" si="6"/>
        <v>0</v>
      </c>
      <c r="U40" s="67">
        <f>'Dala Restocking'!L4</f>
        <v>0</v>
      </c>
      <c r="V40" s="67">
        <f t="shared" si="7"/>
        <v>0</v>
      </c>
      <c r="W40" s="67">
        <f>'Client Restocking'!L4</f>
        <v>0</v>
      </c>
    </row>
    <row r="41">
      <c r="B41" s="67"/>
      <c r="C41" s="67" t="str">
        <f>'Internal Summary'!C42</f>
        <v/>
      </c>
      <c r="D41" s="67" t="str">
        <f>'Internal Summary'!D42</f>
        <v/>
      </c>
      <c r="E41" s="67" t="str">
        <f>'Internal Summary'!E42</f>
        <v/>
      </c>
      <c r="F41" s="109"/>
      <c r="G41" s="67">
        <f t="shared" si="1"/>
        <v>0</v>
      </c>
      <c r="H41" s="109"/>
      <c r="I41" s="106"/>
      <c r="J41" s="109"/>
      <c r="K41" s="106">
        <v>0.0</v>
      </c>
      <c r="L41" s="111">
        <f t="shared" si="2"/>
        <v>0</v>
      </c>
      <c r="M41" s="67">
        <f t="shared" si="3"/>
        <v>0</v>
      </c>
      <c r="N41" s="67"/>
      <c r="O41" s="67">
        <f>'Dala Sales &amp; Deliveries'!L5</f>
        <v>0</v>
      </c>
      <c r="P41" s="67">
        <f t="shared" si="4"/>
        <v>0</v>
      </c>
      <c r="Q41" s="67">
        <f>'External Delivery Fulfillment'!L5</f>
        <v>0</v>
      </c>
      <c r="R41" s="67">
        <f t="shared" si="5"/>
        <v>0</v>
      </c>
      <c r="S41" s="67">
        <f>'Forwarding From Client'!L5</f>
        <v>0</v>
      </c>
      <c r="T41" s="67">
        <f t="shared" si="6"/>
        <v>0</v>
      </c>
      <c r="U41" s="67">
        <f>'Dala Restocking'!L5</f>
        <v>0</v>
      </c>
      <c r="V41" s="67">
        <f t="shared" si="7"/>
        <v>0</v>
      </c>
      <c r="W41" s="67">
        <f>'Client Restocking'!L5</f>
        <v>0</v>
      </c>
    </row>
    <row r="42">
      <c r="B42" s="67"/>
      <c r="C42" s="67" t="str">
        <f>'Internal Summary'!C43</f>
        <v/>
      </c>
      <c r="D42" s="67" t="str">
        <f>'Internal Summary'!D43</f>
        <v/>
      </c>
      <c r="E42" s="67" t="str">
        <f>'Internal Summary'!E43</f>
        <v/>
      </c>
      <c r="F42" s="109"/>
      <c r="G42" s="67">
        <f t="shared" si="1"/>
        <v>0</v>
      </c>
      <c r="H42" s="109"/>
      <c r="I42" s="109"/>
      <c r="J42" s="109"/>
      <c r="K42" s="106">
        <v>4.5</v>
      </c>
      <c r="L42" s="111">
        <f t="shared" si="2"/>
        <v>0</v>
      </c>
      <c r="M42" s="67">
        <f t="shared" si="3"/>
        <v>4.5</v>
      </c>
      <c r="N42" s="67"/>
      <c r="O42" s="67">
        <f>'Dala Sales &amp; Deliveries'!L6</f>
        <v>0</v>
      </c>
      <c r="P42" s="67">
        <f t="shared" si="4"/>
        <v>0</v>
      </c>
      <c r="Q42" s="67">
        <f>'External Delivery Fulfillment'!L6</f>
        <v>0</v>
      </c>
      <c r="R42" s="67">
        <f t="shared" si="5"/>
        <v>0</v>
      </c>
      <c r="S42" s="67">
        <f>'Forwarding From Client'!L6</f>
        <v>0</v>
      </c>
      <c r="T42" s="67">
        <f t="shared" si="6"/>
        <v>0</v>
      </c>
      <c r="U42" s="67">
        <f>'Dala Restocking'!L6</f>
        <v>0</v>
      </c>
      <c r="V42" s="67">
        <f t="shared" si="7"/>
        <v>0</v>
      </c>
      <c r="W42" s="67">
        <f>'Client Restocking'!L6</f>
        <v>0</v>
      </c>
    </row>
    <row r="43">
      <c r="B43" s="67"/>
      <c r="C43" s="67" t="str">
        <f>'Internal Summary'!C44</f>
        <v/>
      </c>
      <c r="D43" s="67" t="str">
        <f>'Internal Summary'!D44</f>
        <v/>
      </c>
      <c r="E43" s="67" t="str">
        <f>'Internal Summary'!E44</f>
        <v/>
      </c>
      <c r="F43" s="109"/>
      <c r="G43" s="67">
        <f t="shared" si="1"/>
        <v>0</v>
      </c>
      <c r="H43" s="109"/>
      <c r="I43" s="109"/>
      <c r="J43" s="109"/>
      <c r="K43" s="106">
        <v>2.0</v>
      </c>
      <c r="L43" s="111">
        <f t="shared" si="2"/>
        <v>0</v>
      </c>
      <c r="M43" s="67">
        <f t="shared" si="3"/>
        <v>2</v>
      </c>
      <c r="N43" s="67"/>
      <c r="O43" s="67">
        <f>'Dala Sales &amp; Deliveries'!L7</f>
        <v>0</v>
      </c>
      <c r="P43" s="67">
        <f t="shared" si="4"/>
        <v>0</v>
      </c>
      <c r="Q43" s="67">
        <f>'External Delivery Fulfillment'!L7</f>
        <v>0</v>
      </c>
      <c r="R43" s="67">
        <f t="shared" si="5"/>
        <v>0</v>
      </c>
      <c r="S43" s="67">
        <f>'Forwarding From Client'!L7</f>
        <v>0</v>
      </c>
      <c r="T43" s="67">
        <f t="shared" si="6"/>
        <v>0</v>
      </c>
      <c r="U43" s="67">
        <f>'Dala Restocking'!L7</f>
        <v>0</v>
      </c>
      <c r="V43" s="67">
        <f t="shared" si="7"/>
        <v>0</v>
      </c>
      <c r="W43" s="67">
        <f>'Client Restocking'!L7</f>
        <v>0</v>
      </c>
    </row>
    <row r="44">
      <c r="B44" s="67"/>
      <c r="C44" s="67" t="str">
        <f>'Internal Summary'!C45</f>
        <v/>
      </c>
      <c r="D44" s="67" t="str">
        <f>'Internal Summary'!D45</f>
        <v/>
      </c>
      <c r="E44" s="67" t="str">
        <f>'Internal Summary'!E45</f>
        <v/>
      </c>
      <c r="F44" s="109"/>
      <c r="G44" s="67">
        <f t="shared" si="1"/>
        <v>0</v>
      </c>
      <c r="H44" s="109"/>
      <c r="I44" s="109"/>
      <c r="J44" s="109"/>
      <c r="K44" s="106">
        <v>7.0</v>
      </c>
      <c r="L44" s="111">
        <f t="shared" si="2"/>
        <v>0</v>
      </c>
      <c r="M44" s="67">
        <f t="shared" si="3"/>
        <v>7</v>
      </c>
      <c r="N44" s="67"/>
      <c r="O44" s="67">
        <f>'Dala Sales &amp; Deliveries'!L8</f>
        <v>0</v>
      </c>
      <c r="P44" s="67">
        <f t="shared" si="4"/>
        <v>0</v>
      </c>
      <c r="Q44" s="67">
        <f>'External Delivery Fulfillment'!L8</f>
        <v>0</v>
      </c>
      <c r="R44" s="67">
        <f t="shared" si="5"/>
        <v>0</v>
      </c>
      <c r="S44" s="67">
        <f>'Forwarding From Client'!L8</f>
        <v>0</v>
      </c>
      <c r="T44" s="67">
        <f t="shared" si="6"/>
        <v>0</v>
      </c>
      <c r="U44" s="67">
        <f>'Dala Restocking'!L8</f>
        <v>0</v>
      </c>
      <c r="V44" s="67">
        <f t="shared" si="7"/>
        <v>0</v>
      </c>
      <c r="W44" s="67">
        <f>'Client Restocking'!L8</f>
        <v>0</v>
      </c>
    </row>
    <row r="45">
      <c r="B45" s="67"/>
      <c r="C45" s="67" t="str">
        <f>'Internal Summary'!C46</f>
        <v/>
      </c>
      <c r="D45" s="67" t="str">
        <f>'Internal Summary'!D46</f>
        <v/>
      </c>
      <c r="E45" s="67" t="str">
        <f>'Internal Summary'!E46</f>
        <v/>
      </c>
      <c r="F45" s="109"/>
      <c r="G45" s="67">
        <f t="shared" si="1"/>
        <v>0</v>
      </c>
      <c r="H45" s="109"/>
      <c r="I45" s="109"/>
      <c r="J45" s="109"/>
      <c r="K45" s="106">
        <v>4.5</v>
      </c>
      <c r="L45" s="111">
        <f t="shared" si="2"/>
        <v>0</v>
      </c>
      <c r="M45" s="67">
        <f t="shared" si="3"/>
        <v>4.5</v>
      </c>
      <c r="N45" s="67"/>
      <c r="O45" s="67">
        <f>'Dala Sales &amp; Deliveries'!L9</f>
        <v>0</v>
      </c>
      <c r="P45" s="67">
        <f t="shared" si="4"/>
        <v>0</v>
      </c>
      <c r="Q45" s="67">
        <f>'External Delivery Fulfillment'!L9</f>
        <v>0</v>
      </c>
      <c r="R45" s="67">
        <f t="shared" si="5"/>
        <v>0</v>
      </c>
      <c r="S45" s="67">
        <f>'Forwarding From Client'!L9</f>
        <v>0</v>
      </c>
      <c r="T45" s="67">
        <f t="shared" si="6"/>
        <v>0</v>
      </c>
      <c r="U45" s="67">
        <f>'Dala Restocking'!L9</f>
        <v>0</v>
      </c>
      <c r="V45" s="67">
        <f t="shared" si="7"/>
        <v>0</v>
      </c>
      <c r="W45" s="67">
        <f>'Client Restocking'!L9</f>
        <v>0</v>
      </c>
    </row>
    <row r="46">
      <c r="B46" s="67"/>
      <c r="C46" s="67" t="str">
        <f>'Internal Summary'!C47</f>
        <v/>
      </c>
      <c r="D46" s="67" t="str">
        <f>'Internal Summary'!D47</f>
        <v/>
      </c>
      <c r="E46" s="67" t="str">
        <f>'Internal Summary'!E47</f>
        <v/>
      </c>
      <c r="F46" s="109"/>
      <c r="G46" s="67">
        <f t="shared" si="1"/>
        <v>0</v>
      </c>
      <c r="H46" s="109"/>
      <c r="I46" s="109"/>
      <c r="J46" s="109"/>
      <c r="K46" s="106">
        <v>8.5</v>
      </c>
      <c r="L46" s="111">
        <f t="shared" si="2"/>
        <v>0</v>
      </c>
      <c r="M46" s="67">
        <f t="shared" si="3"/>
        <v>8.5</v>
      </c>
      <c r="N46" s="67"/>
      <c r="O46" s="67">
        <f>'Dala Sales &amp; Deliveries'!L10</f>
        <v>0</v>
      </c>
      <c r="P46" s="67">
        <f t="shared" si="4"/>
        <v>0</v>
      </c>
      <c r="Q46" s="67">
        <f>'External Delivery Fulfillment'!L10</f>
        <v>0</v>
      </c>
      <c r="R46" s="67">
        <f t="shared" si="5"/>
        <v>0</v>
      </c>
      <c r="S46" s="67">
        <f>'Forwarding From Client'!L10</f>
        <v>0</v>
      </c>
      <c r="T46" s="67">
        <f t="shared" si="6"/>
        <v>0</v>
      </c>
      <c r="U46" s="67">
        <f>'Dala Restocking'!L10</f>
        <v>0</v>
      </c>
      <c r="V46" s="67">
        <f t="shared" si="7"/>
        <v>0</v>
      </c>
      <c r="W46" s="67">
        <f>'Client Restocking'!L10</f>
        <v>0</v>
      </c>
    </row>
    <row r="47">
      <c r="B47" s="67"/>
      <c r="C47" s="67" t="str">
        <f>'Internal Summary'!C48</f>
        <v/>
      </c>
      <c r="D47" s="67" t="str">
        <f>'Internal Summary'!D48</f>
        <v/>
      </c>
      <c r="E47" s="67" t="str">
        <f>'Internal Summary'!E48</f>
        <v/>
      </c>
      <c r="F47" s="109"/>
      <c r="G47" s="67">
        <f t="shared" si="1"/>
        <v>0</v>
      </c>
      <c r="H47" s="109"/>
      <c r="I47" s="109"/>
      <c r="J47" s="109"/>
      <c r="K47" s="106">
        <v>7.0</v>
      </c>
      <c r="L47" s="111">
        <f t="shared" si="2"/>
        <v>0</v>
      </c>
      <c r="M47" s="67">
        <f t="shared" si="3"/>
        <v>7</v>
      </c>
      <c r="N47" s="67"/>
      <c r="O47" s="67">
        <f>'Dala Sales &amp; Deliveries'!L11</f>
        <v>0</v>
      </c>
      <c r="P47" s="67">
        <f t="shared" si="4"/>
        <v>0</v>
      </c>
      <c r="Q47" s="67">
        <f>'External Delivery Fulfillment'!L11</f>
        <v>0</v>
      </c>
      <c r="R47" s="67">
        <f t="shared" si="5"/>
        <v>0</v>
      </c>
      <c r="S47" s="67">
        <f>'Forwarding From Client'!L11</f>
        <v>0</v>
      </c>
      <c r="T47" s="67">
        <f t="shared" si="6"/>
        <v>0</v>
      </c>
      <c r="U47" s="67">
        <f>'Dala Restocking'!L11</f>
        <v>0</v>
      </c>
      <c r="V47" s="67">
        <f t="shared" si="7"/>
        <v>0</v>
      </c>
      <c r="W47" s="67">
        <f>'Client Restocking'!L11</f>
        <v>0</v>
      </c>
    </row>
    <row r="48">
      <c r="B48" s="67"/>
      <c r="C48" s="67" t="str">
        <f>'Internal Summary'!C49</f>
        <v/>
      </c>
      <c r="D48" s="67" t="str">
        <f>'Internal Summary'!D49</f>
        <v/>
      </c>
      <c r="E48" s="67" t="str">
        <f>'Internal Summary'!E49</f>
        <v/>
      </c>
      <c r="F48" s="109"/>
      <c r="G48" s="67">
        <f t="shared" si="1"/>
        <v>0</v>
      </c>
      <c r="H48" s="109"/>
      <c r="I48" s="109"/>
      <c r="J48" s="109"/>
      <c r="K48" s="106">
        <v>0.0</v>
      </c>
      <c r="L48" s="111">
        <f t="shared" si="2"/>
        <v>0</v>
      </c>
      <c r="M48" s="67">
        <f t="shared" si="3"/>
        <v>0</v>
      </c>
      <c r="N48" s="67"/>
      <c r="O48" s="67">
        <f>'Dala Sales &amp; Deliveries'!L12</f>
        <v>0</v>
      </c>
      <c r="P48" s="67">
        <f t="shared" si="4"/>
        <v>0</v>
      </c>
      <c r="Q48" s="67">
        <f>'External Delivery Fulfillment'!L12</f>
        <v>0</v>
      </c>
      <c r="R48" s="67">
        <f t="shared" si="5"/>
        <v>0</v>
      </c>
      <c r="S48" s="67">
        <f>'Forwarding From Client'!L12</f>
        <v>0</v>
      </c>
      <c r="T48" s="67">
        <f t="shared" si="6"/>
        <v>0</v>
      </c>
      <c r="U48" s="67">
        <f>'Dala Restocking'!L12</f>
        <v>0</v>
      </c>
      <c r="V48" s="67">
        <f t="shared" si="7"/>
        <v>0</v>
      </c>
      <c r="W48" s="67">
        <f>'Client Restocking'!L12</f>
        <v>0</v>
      </c>
    </row>
    <row r="49">
      <c r="B49" s="67"/>
      <c r="C49" s="67" t="str">
        <f>'Internal Summary'!C50</f>
        <v/>
      </c>
      <c r="D49" s="67" t="str">
        <f>'Internal Summary'!D50</f>
        <v/>
      </c>
      <c r="E49" s="67" t="str">
        <f>'Internal Summary'!E50</f>
        <v/>
      </c>
      <c r="F49" s="109"/>
      <c r="G49" s="67">
        <f t="shared" si="1"/>
        <v>0</v>
      </c>
      <c r="H49" s="109"/>
      <c r="I49" s="109"/>
      <c r="J49" s="109"/>
      <c r="K49" s="106">
        <v>0.0</v>
      </c>
      <c r="L49" s="111">
        <f t="shared" si="2"/>
        <v>0</v>
      </c>
      <c r="M49" s="67">
        <f t="shared" si="3"/>
        <v>0</v>
      </c>
      <c r="N49" s="67"/>
      <c r="O49" s="67">
        <f>'Dala Sales &amp; Deliveries'!L13</f>
        <v>0</v>
      </c>
      <c r="P49" s="67">
        <f t="shared" si="4"/>
        <v>0</v>
      </c>
      <c r="Q49" s="67">
        <f>'External Delivery Fulfillment'!L13</f>
        <v>0</v>
      </c>
      <c r="R49" s="67">
        <f t="shared" si="5"/>
        <v>0</v>
      </c>
      <c r="S49" s="67">
        <f>'Forwarding From Client'!L13</f>
        <v>0</v>
      </c>
      <c r="T49" s="67">
        <f t="shared" si="6"/>
        <v>0</v>
      </c>
      <c r="U49" s="67">
        <f>'Dala Restocking'!L13</f>
        <v>0</v>
      </c>
      <c r="V49" s="67">
        <f t="shared" si="7"/>
        <v>0</v>
      </c>
      <c r="W49" s="67">
        <f>'Client Restocking'!L13</f>
        <v>0</v>
      </c>
    </row>
    <row r="50">
      <c r="B50" s="67" t="str">
        <f>'Internal Summary'!B51</f>
        <v/>
      </c>
      <c r="C50" s="67" t="str">
        <f>'Internal Summary'!C51</f>
        <v/>
      </c>
      <c r="D50" s="67" t="str">
        <f>'Internal Summary'!D51</f>
        <v/>
      </c>
      <c r="E50" s="67" t="str">
        <f>'Internal Summary'!E51</f>
        <v/>
      </c>
      <c r="F50" s="109"/>
      <c r="G50" s="67">
        <f t="shared" si="1"/>
        <v>0</v>
      </c>
      <c r="H50" s="109"/>
      <c r="I50" s="109"/>
      <c r="J50" s="109"/>
      <c r="K50" s="109"/>
      <c r="L50" s="111">
        <f t="shared" si="2"/>
        <v>0</v>
      </c>
      <c r="M50" s="67">
        <f t="shared" si="3"/>
        <v>0</v>
      </c>
      <c r="N50" s="67"/>
      <c r="O50" s="67">
        <f>'Dala Sales &amp; Deliveries'!L14</f>
        <v>0</v>
      </c>
      <c r="P50" s="67">
        <f t="shared" si="4"/>
        <v>0</v>
      </c>
      <c r="Q50" s="67">
        <f>'External Delivery Fulfillment'!L14</f>
        <v>0</v>
      </c>
      <c r="R50" s="67">
        <f t="shared" si="5"/>
        <v>0</v>
      </c>
      <c r="S50" s="67">
        <f>'Forwarding From Client'!L14</f>
        <v>0</v>
      </c>
      <c r="T50" s="67">
        <f t="shared" si="6"/>
        <v>0</v>
      </c>
      <c r="U50" s="67">
        <f>'Dala Restocking'!L14</f>
        <v>0</v>
      </c>
      <c r="V50" s="67">
        <f t="shared" si="7"/>
        <v>0</v>
      </c>
      <c r="W50" s="67">
        <f>'Client Restocking'!L14</f>
        <v>0</v>
      </c>
    </row>
    <row r="51">
      <c r="B51" s="67" t="str">
        <f>'Internal Summary'!B52</f>
        <v/>
      </c>
      <c r="C51" s="67" t="str">
        <f>'Internal Summary'!C52</f>
        <v/>
      </c>
      <c r="D51" s="67" t="str">
        <f>'Internal Summary'!D52</f>
        <v/>
      </c>
      <c r="E51" s="67" t="str">
        <f>'Internal Summary'!E52</f>
        <v/>
      </c>
      <c r="F51" s="109"/>
      <c r="G51" s="67">
        <f t="shared" si="1"/>
        <v>0</v>
      </c>
      <c r="H51" s="109"/>
      <c r="I51" s="109"/>
      <c r="J51" s="109"/>
      <c r="K51" s="109"/>
      <c r="L51" s="111">
        <f t="shared" si="2"/>
        <v>0</v>
      </c>
      <c r="M51" s="67">
        <f t="shared" si="3"/>
        <v>0</v>
      </c>
      <c r="N51" s="67"/>
      <c r="O51" s="67">
        <f>'Dala Sales &amp; Deliveries'!L15</f>
        <v>0</v>
      </c>
      <c r="P51" s="67">
        <f t="shared" si="4"/>
        <v>0</v>
      </c>
      <c r="Q51" s="67">
        <f>'External Delivery Fulfillment'!L15</f>
        <v>0</v>
      </c>
      <c r="R51" s="67">
        <f t="shared" si="5"/>
        <v>0</v>
      </c>
      <c r="S51" s="67">
        <f>'Forwarding From Client'!L15</f>
        <v>0</v>
      </c>
      <c r="T51" s="67">
        <f t="shared" si="6"/>
        <v>0</v>
      </c>
      <c r="U51" s="67">
        <f>'Dala Restocking'!L15</f>
        <v>0</v>
      </c>
      <c r="V51" s="67">
        <f t="shared" si="7"/>
        <v>0</v>
      </c>
      <c r="W51" s="67">
        <f>'Client Restocking'!L15</f>
        <v>0</v>
      </c>
    </row>
    <row r="52">
      <c r="B52" s="67" t="str">
        <f>'Internal Summary'!B53</f>
        <v/>
      </c>
      <c r="C52" s="67" t="str">
        <f>'Internal Summary'!C53</f>
        <v/>
      </c>
      <c r="D52" s="67" t="str">
        <f>'Internal Summary'!D53</f>
        <v/>
      </c>
      <c r="E52" s="67" t="str">
        <f>'Internal Summary'!E53</f>
        <v/>
      </c>
      <c r="F52" s="109"/>
      <c r="G52" s="67">
        <f t="shared" si="1"/>
        <v>0</v>
      </c>
      <c r="H52" s="109"/>
      <c r="I52" s="109"/>
      <c r="J52" s="109"/>
      <c r="K52" s="109"/>
      <c r="L52" s="111">
        <f t="shared" si="2"/>
        <v>0</v>
      </c>
      <c r="M52" s="67">
        <f t="shared" si="3"/>
        <v>0</v>
      </c>
      <c r="N52" s="67"/>
      <c r="O52" s="67"/>
      <c r="P52" s="67">
        <f t="shared" si="4"/>
        <v>0</v>
      </c>
      <c r="Q52" s="67"/>
      <c r="R52" s="67">
        <f t="shared" si="5"/>
        <v>0</v>
      </c>
      <c r="S52" s="67" t="str">
        <f>'Forwarding From Client'!L16</f>
        <v/>
      </c>
      <c r="T52" s="67">
        <f t="shared" si="6"/>
        <v>0</v>
      </c>
      <c r="U52" s="67"/>
      <c r="V52" s="67">
        <f t="shared" si="7"/>
        <v>0</v>
      </c>
      <c r="W52" s="67"/>
    </row>
    <row r="53">
      <c r="B53" s="67" t="str">
        <f>'Internal Summary'!B54</f>
        <v/>
      </c>
      <c r="C53" s="67" t="str">
        <f>'Internal Summary'!C54</f>
        <v/>
      </c>
      <c r="D53" s="67" t="str">
        <f>'Internal Summary'!D54</f>
        <v/>
      </c>
      <c r="E53" s="67" t="str">
        <f>'Internal Summary'!E54</f>
        <v/>
      </c>
      <c r="F53" s="109"/>
      <c r="G53" s="67">
        <f t="shared" si="1"/>
        <v>0</v>
      </c>
      <c r="H53" s="109"/>
      <c r="I53" s="109"/>
      <c r="J53" s="109"/>
      <c r="K53" s="109"/>
      <c r="L53" s="111">
        <f t="shared" si="2"/>
        <v>0</v>
      </c>
      <c r="M53" s="67">
        <f t="shared" si="3"/>
        <v>0</v>
      </c>
      <c r="N53" s="67"/>
      <c r="O53" s="67"/>
      <c r="P53" s="67">
        <f t="shared" si="4"/>
        <v>0</v>
      </c>
      <c r="Q53" s="67"/>
      <c r="R53" s="67">
        <f t="shared" si="5"/>
        <v>0</v>
      </c>
      <c r="S53" s="67" t="str">
        <f>'Forwarding From Client'!L17</f>
        <v/>
      </c>
      <c r="T53" s="67">
        <f t="shared" si="6"/>
        <v>0</v>
      </c>
      <c r="U53" s="67"/>
      <c r="V53" s="67">
        <f t="shared" si="7"/>
        <v>0</v>
      </c>
      <c r="W53" s="67"/>
    </row>
    <row r="54">
      <c r="B54" s="67" t="str">
        <f>'Internal Summary'!B55</f>
        <v/>
      </c>
      <c r="C54" s="67" t="str">
        <f>'Internal Summary'!C55</f>
        <v/>
      </c>
      <c r="D54" s="67" t="str">
        <f>'Internal Summary'!D55</f>
        <v/>
      </c>
      <c r="E54" s="67" t="str">
        <f>'Internal Summary'!E55</f>
        <v/>
      </c>
      <c r="F54" s="109"/>
      <c r="G54" s="67">
        <f t="shared" si="1"/>
        <v>0</v>
      </c>
      <c r="H54" s="109"/>
      <c r="I54" s="109"/>
      <c r="J54" s="109"/>
      <c r="K54" s="109"/>
      <c r="L54" s="111">
        <f t="shared" si="2"/>
        <v>0</v>
      </c>
      <c r="M54" s="67">
        <f t="shared" si="3"/>
        <v>0</v>
      </c>
      <c r="N54" s="67"/>
      <c r="O54" s="67"/>
      <c r="P54" s="67">
        <f t="shared" si="4"/>
        <v>0</v>
      </c>
      <c r="Q54" s="67"/>
      <c r="R54" s="67">
        <f t="shared" si="5"/>
        <v>0</v>
      </c>
      <c r="S54" s="67" t="str">
        <f>'Forwarding From Client'!L18</f>
        <v/>
      </c>
      <c r="T54" s="67">
        <f t="shared" si="6"/>
        <v>0</v>
      </c>
      <c r="U54" s="67"/>
      <c r="V54" s="67">
        <f t="shared" si="7"/>
        <v>0</v>
      </c>
      <c r="W54" s="67"/>
    </row>
    <row r="55">
      <c r="B55" s="67" t="str">
        <f>'Internal Summary'!B56</f>
        <v/>
      </c>
      <c r="C55" s="67" t="str">
        <f>'Internal Summary'!C56</f>
        <v/>
      </c>
      <c r="D55" s="67" t="str">
        <f>'Internal Summary'!D56</f>
        <v/>
      </c>
      <c r="E55" s="67" t="str">
        <f>'Internal Summary'!E56</f>
        <v/>
      </c>
      <c r="F55" s="109"/>
      <c r="G55" s="67">
        <f t="shared" si="1"/>
        <v>0</v>
      </c>
      <c r="H55" s="109"/>
      <c r="I55" s="109"/>
      <c r="J55" s="109"/>
      <c r="K55" s="109"/>
      <c r="L55" s="111">
        <f t="shared" si="2"/>
        <v>0</v>
      </c>
      <c r="M55" s="67">
        <f t="shared" si="3"/>
        <v>0</v>
      </c>
      <c r="N55" s="67"/>
      <c r="O55" s="67"/>
      <c r="P55" s="67">
        <f t="shared" si="4"/>
        <v>0</v>
      </c>
      <c r="Q55" s="67"/>
      <c r="R55" s="67">
        <f t="shared" si="5"/>
        <v>0</v>
      </c>
      <c r="S55" s="67" t="str">
        <f>'Forwarding From Client'!L19</f>
        <v/>
      </c>
      <c r="T55" s="67">
        <f t="shared" si="6"/>
        <v>0</v>
      </c>
      <c r="U55" s="67"/>
      <c r="V55" s="67">
        <f t="shared" si="7"/>
        <v>0</v>
      </c>
      <c r="W55" s="67"/>
    </row>
    <row r="56">
      <c r="B56" s="67" t="str">
        <f>'Internal Summary'!B57</f>
        <v/>
      </c>
      <c r="C56" s="67" t="str">
        <f>'Internal Summary'!C57</f>
        <v/>
      </c>
      <c r="D56" s="67" t="str">
        <f>'Internal Summary'!D57</f>
        <v/>
      </c>
      <c r="E56" s="67" t="str">
        <f>'Internal Summary'!E57</f>
        <v/>
      </c>
      <c r="F56" s="109"/>
      <c r="G56" s="67">
        <f t="shared" si="1"/>
        <v>0</v>
      </c>
      <c r="H56" s="109"/>
      <c r="I56" s="109"/>
      <c r="J56" s="109"/>
      <c r="K56" s="109"/>
      <c r="L56" s="111">
        <f t="shared" si="2"/>
        <v>0</v>
      </c>
      <c r="M56" s="67">
        <f t="shared" si="3"/>
        <v>0</v>
      </c>
      <c r="N56" s="67"/>
      <c r="O56" s="67"/>
      <c r="P56" s="67">
        <f t="shared" si="4"/>
        <v>0</v>
      </c>
      <c r="Q56" s="67"/>
      <c r="R56" s="67">
        <f t="shared" si="5"/>
        <v>0</v>
      </c>
      <c r="S56" s="67" t="str">
        <f>'Forwarding From Client'!L20</f>
        <v/>
      </c>
      <c r="T56" s="67">
        <f t="shared" si="6"/>
        <v>0</v>
      </c>
      <c r="U56" s="67"/>
      <c r="V56" s="67">
        <f t="shared" si="7"/>
        <v>0</v>
      </c>
      <c r="W56" s="67"/>
    </row>
    <row r="57">
      <c r="B57" s="67" t="str">
        <f>'Internal Summary'!B58</f>
        <v/>
      </c>
      <c r="C57" s="67" t="str">
        <f>'Internal Summary'!C58</f>
        <v/>
      </c>
      <c r="D57" s="67" t="str">
        <f>'Internal Summary'!D58</f>
        <v/>
      </c>
      <c r="E57" s="67" t="str">
        <f>'Internal Summary'!E58</f>
        <v/>
      </c>
      <c r="F57" s="109"/>
      <c r="G57" s="67">
        <f t="shared" si="1"/>
        <v>0</v>
      </c>
      <c r="H57" s="109"/>
      <c r="I57" s="109"/>
      <c r="J57" s="109"/>
      <c r="K57" s="109"/>
      <c r="L57" s="111">
        <f t="shared" si="2"/>
        <v>0</v>
      </c>
      <c r="M57" s="67">
        <f t="shared" si="3"/>
        <v>0</v>
      </c>
      <c r="N57" s="67"/>
      <c r="O57" s="67"/>
      <c r="P57" s="67">
        <f t="shared" si="4"/>
        <v>0</v>
      </c>
      <c r="Q57" s="67"/>
      <c r="R57" s="67">
        <f t="shared" si="5"/>
        <v>0</v>
      </c>
      <c r="S57" s="67" t="str">
        <f>'Forwarding From Client'!L21</f>
        <v/>
      </c>
      <c r="T57" s="67">
        <f t="shared" si="6"/>
        <v>0</v>
      </c>
      <c r="U57" s="67"/>
      <c r="V57" s="67">
        <f t="shared" si="7"/>
        <v>0</v>
      </c>
      <c r="W57" s="67"/>
    </row>
    <row r="58">
      <c r="B58" s="67" t="str">
        <f>'Internal Summary'!B59</f>
        <v/>
      </c>
      <c r="C58" s="67" t="str">
        <f>'Internal Summary'!C59</f>
        <v/>
      </c>
      <c r="D58" s="67" t="str">
        <f>'Internal Summary'!D59</f>
        <v/>
      </c>
      <c r="E58" s="67" t="str">
        <f>'Internal Summary'!E59</f>
        <v/>
      </c>
      <c r="F58" s="109"/>
      <c r="G58" s="67">
        <f t="shared" si="1"/>
        <v>0</v>
      </c>
      <c r="H58" s="109"/>
      <c r="I58" s="109"/>
      <c r="J58" s="109"/>
      <c r="K58" s="109"/>
      <c r="L58" s="111">
        <f t="shared" si="2"/>
        <v>0</v>
      </c>
      <c r="M58" s="67">
        <f t="shared" si="3"/>
        <v>0</v>
      </c>
      <c r="N58" s="67"/>
      <c r="O58" s="67"/>
      <c r="P58" s="67">
        <f t="shared" si="4"/>
        <v>0</v>
      </c>
      <c r="Q58" s="67"/>
      <c r="R58" s="67">
        <f t="shared" si="5"/>
        <v>0</v>
      </c>
      <c r="S58" s="67" t="str">
        <f>'Forwarding From Client'!L22</f>
        <v/>
      </c>
      <c r="T58" s="67">
        <f t="shared" si="6"/>
        <v>0</v>
      </c>
      <c r="U58" s="67"/>
      <c r="V58" s="67">
        <f t="shared" si="7"/>
        <v>0</v>
      </c>
      <c r="W58" s="67"/>
    </row>
    <row r="59">
      <c r="B59" s="67" t="str">
        <f>'Internal Summary'!B60</f>
        <v/>
      </c>
      <c r="C59" s="67" t="str">
        <f>'Internal Summary'!C60</f>
        <v/>
      </c>
      <c r="D59" s="67" t="str">
        <f>'Internal Summary'!D60</f>
        <v/>
      </c>
      <c r="E59" s="67" t="str">
        <f>'Internal Summary'!E60</f>
        <v/>
      </c>
      <c r="F59" s="109"/>
      <c r="G59" s="67">
        <f t="shared" si="1"/>
        <v>0</v>
      </c>
      <c r="H59" s="109"/>
      <c r="I59" s="109"/>
      <c r="J59" s="109"/>
      <c r="K59" s="109"/>
      <c r="L59" s="111">
        <f t="shared" si="2"/>
        <v>0</v>
      </c>
      <c r="M59" s="67">
        <f t="shared" si="3"/>
        <v>0</v>
      </c>
      <c r="N59" s="67"/>
      <c r="O59" s="67"/>
      <c r="P59" s="67">
        <f t="shared" si="4"/>
        <v>0</v>
      </c>
      <c r="Q59" s="67"/>
      <c r="R59" s="67">
        <f t="shared" si="5"/>
        <v>0</v>
      </c>
      <c r="S59" s="67" t="str">
        <f>'Forwarding From Client'!L23</f>
        <v/>
      </c>
      <c r="T59" s="67">
        <f t="shared" si="6"/>
        <v>0</v>
      </c>
      <c r="U59" s="67"/>
      <c r="V59" s="67">
        <f t="shared" si="7"/>
        <v>0</v>
      </c>
      <c r="W59" s="67"/>
    </row>
    <row r="60">
      <c r="B60" s="67" t="str">
        <f>'Internal Summary'!B61</f>
        <v/>
      </c>
      <c r="C60" s="67" t="str">
        <f>'Internal Summary'!C61</f>
        <v/>
      </c>
      <c r="D60" s="67" t="str">
        <f>'Internal Summary'!D61</f>
        <v/>
      </c>
      <c r="E60" s="67" t="str">
        <f>'Internal Summary'!E61</f>
        <v/>
      </c>
      <c r="F60" s="109"/>
      <c r="G60" s="67">
        <f t="shared" si="1"/>
        <v>0</v>
      </c>
      <c r="H60" s="109"/>
      <c r="I60" s="109"/>
      <c r="J60" s="109"/>
      <c r="K60" s="109"/>
      <c r="L60" s="111">
        <f t="shared" si="2"/>
        <v>0</v>
      </c>
      <c r="M60" s="67">
        <f t="shared" si="3"/>
        <v>0</v>
      </c>
      <c r="N60" s="67"/>
      <c r="O60" s="67"/>
      <c r="P60" s="67">
        <f t="shared" si="4"/>
        <v>0</v>
      </c>
      <c r="Q60" s="67"/>
      <c r="R60" s="67">
        <f t="shared" si="5"/>
        <v>0</v>
      </c>
      <c r="S60" s="67" t="str">
        <f>'Forwarding From Client'!L24</f>
        <v/>
      </c>
      <c r="T60" s="67">
        <f t="shared" si="6"/>
        <v>0</v>
      </c>
      <c r="U60" s="67"/>
      <c r="V60" s="67">
        <f t="shared" si="7"/>
        <v>0</v>
      </c>
      <c r="W60" s="67"/>
    </row>
    <row r="61">
      <c r="B61" s="67" t="str">
        <f>'Internal Summary'!B62</f>
        <v/>
      </c>
      <c r="C61" s="67" t="str">
        <f>'Internal Summary'!C62</f>
        <v/>
      </c>
      <c r="D61" s="67" t="str">
        <f>'Internal Summary'!D62</f>
        <v/>
      </c>
      <c r="E61" s="67" t="str">
        <f>'Internal Summary'!E62</f>
        <v/>
      </c>
      <c r="F61" s="109"/>
      <c r="G61" s="67">
        <f t="shared" si="1"/>
        <v>0</v>
      </c>
      <c r="H61" s="109"/>
      <c r="I61" s="109"/>
      <c r="J61" s="109"/>
      <c r="K61" s="109"/>
      <c r="L61" s="111">
        <f t="shared" si="2"/>
        <v>0</v>
      </c>
      <c r="M61" s="67">
        <f t="shared" si="3"/>
        <v>0</v>
      </c>
      <c r="N61" s="67"/>
      <c r="O61" s="67"/>
      <c r="P61" s="67">
        <f t="shared" si="4"/>
        <v>0</v>
      </c>
      <c r="Q61" s="67"/>
      <c r="R61" s="67">
        <f t="shared" si="5"/>
        <v>0</v>
      </c>
      <c r="S61" s="67" t="str">
        <f>'Forwarding From Client'!L25</f>
        <v/>
      </c>
      <c r="T61" s="67">
        <f t="shared" si="6"/>
        <v>0</v>
      </c>
      <c r="U61" s="67"/>
      <c r="V61" s="67">
        <f t="shared" si="7"/>
        <v>0</v>
      </c>
      <c r="W61" s="67"/>
    </row>
    <row r="62">
      <c r="B62" s="67" t="str">
        <f>'Internal Summary'!B63</f>
        <v/>
      </c>
      <c r="C62" s="67" t="str">
        <f>'Internal Summary'!C63</f>
        <v/>
      </c>
      <c r="D62" s="67" t="str">
        <f>'Internal Summary'!D63</f>
        <v/>
      </c>
      <c r="E62" s="67" t="str">
        <f>'Internal Summary'!E63</f>
        <v/>
      </c>
      <c r="F62" s="109"/>
      <c r="G62" s="67">
        <f t="shared" si="1"/>
        <v>0</v>
      </c>
      <c r="H62" s="109"/>
      <c r="I62" s="109"/>
      <c r="J62" s="109"/>
      <c r="K62" s="109"/>
      <c r="L62" s="111">
        <f t="shared" si="2"/>
        <v>0</v>
      </c>
      <c r="M62" s="67">
        <f t="shared" si="3"/>
        <v>0</v>
      </c>
      <c r="N62" s="67"/>
      <c r="O62" s="67"/>
      <c r="P62" s="67">
        <f t="shared" si="4"/>
        <v>0</v>
      </c>
      <c r="Q62" s="67"/>
      <c r="R62" s="67">
        <f t="shared" si="5"/>
        <v>0</v>
      </c>
      <c r="S62" s="67" t="str">
        <f>'Forwarding From Client'!L26</f>
        <v/>
      </c>
      <c r="T62" s="67">
        <f t="shared" si="6"/>
        <v>0</v>
      </c>
      <c r="U62" s="67"/>
      <c r="V62" s="67">
        <f t="shared" si="7"/>
        <v>0</v>
      </c>
      <c r="W62" s="67"/>
    </row>
    <row r="63">
      <c r="B63" s="67" t="str">
        <f>'Internal Summary'!B64</f>
        <v/>
      </c>
      <c r="C63" s="67" t="str">
        <f>'Internal Summary'!C64</f>
        <v/>
      </c>
      <c r="D63" s="67" t="str">
        <f>'Internal Summary'!D64</f>
        <v/>
      </c>
      <c r="E63" s="67" t="str">
        <f>'Internal Summary'!E64</f>
        <v/>
      </c>
      <c r="F63" s="109"/>
      <c r="G63" s="67">
        <f t="shared" si="1"/>
        <v>0</v>
      </c>
      <c r="H63" s="109"/>
      <c r="I63" s="109"/>
      <c r="J63" s="109"/>
      <c r="K63" s="109"/>
      <c r="L63" s="111">
        <f t="shared" si="2"/>
        <v>0</v>
      </c>
      <c r="M63" s="67">
        <f t="shared" si="3"/>
        <v>0</v>
      </c>
      <c r="N63" s="67"/>
      <c r="O63" s="67"/>
      <c r="P63" s="67">
        <f t="shared" si="4"/>
        <v>0</v>
      </c>
      <c r="Q63" s="67"/>
      <c r="R63" s="67">
        <f t="shared" si="5"/>
        <v>0</v>
      </c>
      <c r="S63" s="67" t="str">
        <f>'Forwarding From Client'!L27</f>
        <v/>
      </c>
      <c r="T63" s="67">
        <f t="shared" si="6"/>
        <v>0</v>
      </c>
      <c r="U63" s="67"/>
      <c r="V63" s="67">
        <f t="shared" si="7"/>
        <v>0</v>
      </c>
      <c r="W63" s="67"/>
    </row>
    <row r="64">
      <c r="B64" s="67" t="str">
        <f>'Internal Summary'!B65</f>
        <v/>
      </c>
      <c r="C64" s="67" t="str">
        <f>'Internal Summary'!C65</f>
        <v/>
      </c>
      <c r="D64" s="67" t="str">
        <f>'Internal Summary'!D65</f>
        <v/>
      </c>
      <c r="E64" s="67" t="str">
        <f>'Internal Summary'!E65</f>
        <v/>
      </c>
      <c r="F64" s="109"/>
      <c r="G64" s="67">
        <f t="shared" si="1"/>
        <v>0</v>
      </c>
      <c r="H64" s="109"/>
      <c r="I64" s="109"/>
      <c r="J64" s="109"/>
      <c r="K64" s="109"/>
      <c r="L64" s="111">
        <f t="shared" si="2"/>
        <v>0</v>
      </c>
      <c r="M64" s="67">
        <f t="shared" si="3"/>
        <v>0</v>
      </c>
      <c r="N64" s="67"/>
      <c r="O64" s="67"/>
      <c r="P64" s="67">
        <f t="shared" si="4"/>
        <v>0</v>
      </c>
      <c r="Q64" s="67"/>
      <c r="R64" s="67">
        <f t="shared" si="5"/>
        <v>0</v>
      </c>
      <c r="S64" s="67" t="str">
        <f>'Forwarding From Client'!L28</f>
        <v/>
      </c>
      <c r="T64" s="67">
        <f t="shared" si="6"/>
        <v>0</v>
      </c>
      <c r="U64" s="67"/>
      <c r="V64" s="67">
        <f t="shared" si="7"/>
        <v>0</v>
      </c>
      <c r="W64" s="67"/>
    </row>
    <row r="65">
      <c r="B65" s="67" t="str">
        <f>'Internal Summary'!B66</f>
        <v/>
      </c>
      <c r="C65" s="67" t="str">
        <f>'Internal Summary'!C66</f>
        <v/>
      </c>
      <c r="D65" s="67" t="str">
        <f>'Internal Summary'!D66</f>
        <v/>
      </c>
      <c r="E65" s="67" t="str">
        <f>'Internal Summary'!E66</f>
        <v/>
      </c>
      <c r="F65" s="109"/>
      <c r="G65" s="67">
        <f t="shared" si="1"/>
        <v>0</v>
      </c>
      <c r="H65" s="109"/>
      <c r="I65" s="109"/>
      <c r="J65" s="109"/>
      <c r="K65" s="109"/>
      <c r="L65" s="111">
        <f t="shared" si="2"/>
        <v>0</v>
      </c>
      <c r="M65" s="67">
        <f t="shared" si="3"/>
        <v>0</v>
      </c>
      <c r="N65" s="67"/>
      <c r="O65" s="67"/>
      <c r="P65" s="67">
        <f t="shared" si="4"/>
        <v>0</v>
      </c>
      <c r="Q65" s="67"/>
      <c r="R65" s="67">
        <f t="shared" si="5"/>
        <v>0</v>
      </c>
      <c r="S65" s="67" t="str">
        <f>'Forwarding From Client'!L29</f>
        <v/>
      </c>
      <c r="T65" s="67">
        <f t="shared" si="6"/>
        <v>0</v>
      </c>
      <c r="U65" s="67"/>
      <c r="V65" s="67">
        <f t="shared" si="7"/>
        <v>0</v>
      </c>
      <c r="W65" s="67"/>
    </row>
    <row r="66">
      <c r="B66" s="67" t="str">
        <f>'Internal Summary'!B67</f>
        <v/>
      </c>
      <c r="C66" s="67" t="str">
        <f>'Internal Summary'!C67</f>
        <v/>
      </c>
      <c r="D66" s="67" t="str">
        <f>'Internal Summary'!D67</f>
        <v/>
      </c>
      <c r="E66" s="67" t="str">
        <f>'Internal Summary'!E67</f>
        <v/>
      </c>
      <c r="F66" s="109"/>
      <c r="G66" s="67">
        <f t="shared" si="1"/>
        <v>0</v>
      </c>
      <c r="H66" s="109"/>
      <c r="I66" s="109"/>
      <c r="J66" s="109"/>
      <c r="K66" s="109"/>
      <c r="L66" s="111">
        <f t="shared" si="2"/>
        <v>0</v>
      </c>
      <c r="M66" s="67">
        <f t="shared" si="3"/>
        <v>0</v>
      </c>
      <c r="N66" s="67"/>
      <c r="O66" s="67"/>
      <c r="P66" s="67">
        <f t="shared" si="4"/>
        <v>0</v>
      </c>
      <c r="Q66" s="67"/>
      <c r="R66" s="67">
        <f t="shared" si="5"/>
        <v>0</v>
      </c>
      <c r="S66" s="67" t="str">
        <f>'Forwarding From Client'!L30</f>
        <v/>
      </c>
      <c r="T66" s="67">
        <f t="shared" si="6"/>
        <v>0</v>
      </c>
      <c r="U66" s="67"/>
      <c r="V66" s="67">
        <f t="shared" si="7"/>
        <v>0</v>
      </c>
      <c r="W66" s="67"/>
    </row>
    <row r="67">
      <c r="B67" s="103" t="s">
        <v>91</v>
      </c>
      <c r="C67" s="103"/>
      <c r="D67" s="103"/>
      <c r="E67" s="67"/>
      <c r="F67" s="111">
        <f t="shared" ref="F67:W67" si="8">sum(F38:F66)</f>
        <v>0</v>
      </c>
      <c r="G67" s="111">
        <f t="shared" si="8"/>
        <v>0</v>
      </c>
      <c r="H67" s="111">
        <f t="shared" si="8"/>
        <v>0</v>
      </c>
      <c r="I67" s="111">
        <f t="shared" si="8"/>
        <v>0</v>
      </c>
      <c r="J67" s="111">
        <f t="shared" si="8"/>
        <v>0</v>
      </c>
      <c r="K67" s="111">
        <f t="shared" si="8"/>
        <v>33.5</v>
      </c>
      <c r="L67" s="111">
        <f t="shared" si="8"/>
        <v>-4</v>
      </c>
      <c r="M67" s="111">
        <f t="shared" si="8"/>
        <v>37.5</v>
      </c>
      <c r="N67" s="67">
        <f t="shared" si="8"/>
        <v>67200</v>
      </c>
      <c r="O67" s="67">
        <f t="shared" si="8"/>
        <v>4</v>
      </c>
      <c r="P67" s="67">
        <f t="shared" si="8"/>
        <v>9400</v>
      </c>
      <c r="Q67" s="67">
        <f t="shared" si="8"/>
        <v>0</v>
      </c>
      <c r="R67" s="67">
        <f t="shared" si="8"/>
        <v>0</v>
      </c>
      <c r="S67" s="67">
        <f t="shared" si="8"/>
        <v>0</v>
      </c>
      <c r="T67" s="67">
        <f t="shared" si="8"/>
        <v>0</v>
      </c>
      <c r="U67" s="67">
        <f t="shared" si="8"/>
        <v>0</v>
      </c>
      <c r="V67" s="67">
        <f t="shared" si="8"/>
        <v>0</v>
      </c>
      <c r="W67" s="67">
        <f t="shared" si="8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