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<sst xmlns="http://schemas.openxmlformats.org/spreadsheetml/2006/main" count="365" uniqueCount="104">
  <si>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</si>
  <si>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</si>
  <si>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</si>
  <si>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</si>
  <si>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</si>
  <si>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</si>
  <si>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</si>
  <si>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</si>
  <si>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</si>
  <si>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</si>
  <si>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</si>
  <si>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</si>
  <si>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</si>
  <si>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</si>
  <si>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</si>
  <si>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</si>
  <si>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Excel Plus Supermarket, Orchid Rd.</t>
  </si>
  <si>
    <t>SALES</t>
  </si>
  <si>
    <t>DT:002453</t>
  </si>
  <si>
    <t>Teewell Superstore</t>
  </si>
  <si>
    <t>DT:002464</t>
  </si>
  <si>
    <t>Prince Ebeano, OLOGOLO</t>
  </si>
  <si>
    <t>DT:002490</t>
  </si>
  <si>
    <t>Compramart Supermarket, ORCHID Rd.</t>
  </si>
  <si>
    <t>DT:002491</t>
  </si>
  <si>
    <t>Individual</t>
  </si>
  <si>
    <t>DT:002502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</si>
  <si>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</si>
  <si>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</si>
  <si>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</si>
  <si>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</si>
  <si>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</si>
  <si>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</si>
  <si>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</si>
  <si>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Sweet Potato Chips (24x) Total</t>
  </si>
  <si>
    <t>0.25 Total</t>
  </si>
  <si>
    <t>0.50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</si>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</sst>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05T00:00:00Z"/>
        <d v="2025-09-06T00:00:00Z"/>
        <d v="2025-09-11T00:00:00Z"/>
        <m/>
      </sharedItems>
    </cacheField>
    <cacheField name="Particulars" numFmtId="0">
      <sharedItems containsBlank="1">
        <s v="Excel Plus Supermarket, Orchid Rd."/>
        <s v="Teewell Superstore"/>
        <s v="Prince Ebeano, OLOGOLO"/>
        <s v="Compramart Supermarket, ORCHID Rd.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53"/>
        <s v="DT:002464"/>
        <s v="DT:002490"/>
        <s v="DT:002491"/>
        <s v="DT:002502"/>
        <m/>
      </sharedItems>
    </cacheField>
    <cacheField name="Quantity" numFmtId="4">
      <sharedItems containsString="0" containsBlank="1" containsNumber="1">
        <n v="1.0"/>
        <n v="0.25"/>
        <n v="0.5"/>
        <m/>
      </sharedItems>
    </cacheField>
    <cacheField name="Value" numFmtId="4">
      <sharedItems containsString="0" containsBlank="1" containsNumber="1">
        <n v="78139.53"/>
        <n v="21000.0"/>
        <n v="39069.77"/>
        <n v="19534.88"/>
        <m/>
      </sharedItems>
    </cacheField>
    <cacheField name="Total value" numFmtId="4">
      <sharedItems containsString="0" containsBlank="1" containsNumber="1">
        <n v="78139.53"/>
        <n v="21000.0"/>
        <n v="39069.77"/>
        <n v="19534.8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05T00:00:00Z"/>
        <d v="2025-09-06T00:00:00Z"/>
        <d v="2025-09-11T00:00:00Z"/>
        <m/>
      </sharedItems>
    </cacheField>
    <cacheField name="Particulars" numFmtId="0">
      <sharedItems containsBlank="1">
        <s v="Excel Plus Supermarket, Orchid Rd."/>
        <s v="Teewell Superstore"/>
        <s v="Prince Ebeano, OLOGOLO"/>
        <s v="Compramart Supermarket, ORCHID Rd.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53"/>
        <s v="DT:002464"/>
        <s v="DT:002490"/>
        <s v="DT:002491"/>
        <s v="DT:002502"/>
        <m/>
      </sharedItems>
    </cacheField>
    <cacheField name="Quantity" numFmtId="4">
      <sharedItems containsString="0" containsBlank="1" containsNumber="1">
        <n v="1.0"/>
        <n v="0.25"/>
        <n v="0.5"/>
        <m/>
      </sharedItems>
    </cacheField>
    <cacheField name="Value" numFmtId="4">
      <sharedItems containsString="0" containsBlank="1" containsNumber="1">
        <n v="78139.53"/>
        <n v="21000.0"/>
        <n v="39069.77"/>
        <n v="19534.8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3"/>
        <item x="0"/>
        <item x="4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3"/>
        <item x="0"/>
        <item x="4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4</v>
      </c>
    </row>
    <row r="3">
      <c r="A3" s="11" t="s">
        <v>15</v>
      </c>
      <c r="B3" s="12">
        <v>45905.0</v>
      </c>
      <c r="C3" s="13" t="s">
        <v>16</v>
      </c>
      <c r="D3" s="13" t="s">
        <v>17</v>
      </c>
      <c r="E3" s="14" t="s">
        <v>18</v>
      </c>
      <c r="F3" s="15">
        <v>1.0</v>
      </c>
      <c r="G3" s="16">
        <v>78139.53</v>
      </c>
      <c r="I3" s="11" t="s">
        <v>15</v>
      </c>
      <c r="J3" s="12">
        <v>45905.0</v>
      </c>
      <c r="K3" s="13" t="s">
        <v>16</v>
      </c>
      <c r="L3" s="13" t="s">
        <v>17</v>
      </c>
      <c r="M3" s="14" t="s">
        <v>18</v>
      </c>
      <c r="N3" s="15">
        <v>1.0</v>
      </c>
      <c r="O3" s="16">
        <v>78139.53</v>
      </c>
      <c r="P3" s="17">
        <f t="shared" ref="P3:P83" si="1">sumif(M:M,M3,O:O)</f>
        <v>78139.53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5"/>
      <c r="AN3" s="16"/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45906.0</v>
      </c>
      <c r="C4" s="13" t="s">
        <v>19</v>
      </c>
      <c r="D4" s="13" t="s">
        <v>17</v>
      </c>
      <c r="E4" s="14" t="s">
        <v>20</v>
      </c>
      <c r="F4" s="15">
        <v>0.25</v>
      </c>
      <c r="G4" s="16">
        <v>21000.0</v>
      </c>
      <c r="I4" s="11" t="s">
        <v>15</v>
      </c>
      <c r="J4" s="12">
        <v>45906.0</v>
      </c>
      <c r="K4" s="13" t="s">
        <v>19</v>
      </c>
      <c r="L4" s="13" t="s">
        <v>17</v>
      </c>
      <c r="M4" s="14" t="s">
        <v>20</v>
      </c>
      <c r="N4" s="15">
        <v>0.25</v>
      </c>
      <c r="O4" s="16">
        <v>21000.0</v>
      </c>
      <c r="P4" s="17">
        <f t="shared" si="1"/>
        <v>21000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45911.0</v>
      </c>
      <c r="C5" s="13" t="s">
        <v>21</v>
      </c>
      <c r="D5" s="13" t="s">
        <v>17</v>
      </c>
      <c r="E5" s="14" t="s">
        <v>22</v>
      </c>
      <c r="F5" s="15">
        <v>1.0</v>
      </c>
      <c r="G5" s="16">
        <v>78139.53</v>
      </c>
      <c r="I5" s="11" t="s">
        <v>15</v>
      </c>
      <c r="J5" s="12">
        <v>45911.0</v>
      </c>
      <c r="K5" s="13" t="s">
        <v>21</v>
      </c>
      <c r="L5" s="13" t="s">
        <v>17</v>
      </c>
      <c r="M5" s="14" t="s">
        <v>22</v>
      </c>
      <c r="N5" s="15">
        <v>1.0</v>
      </c>
      <c r="O5" s="16">
        <v>78139.53</v>
      </c>
      <c r="P5" s="17">
        <f t="shared" si="1"/>
        <v>78139.53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45911.0</v>
      </c>
      <c r="C6" s="13" t="s">
        <v>23</v>
      </c>
      <c r="D6" s="13" t="s">
        <v>17</v>
      </c>
      <c r="E6" s="14" t="s">
        <v>24</v>
      </c>
      <c r="F6" s="15">
        <v>0.5</v>
      </c>
      <c r="G6" s="16">
        <v>39069.77</v>
      </c>
      <c r="I6" s="11" t="s">
        <v>15</v>
      </c>
      <c r="J6" s="12">
        <v>45911.0</v>
      </c>
      <c r="K6" s="13" t="s">
        <v>23</v>
      </c>
      <c r="L6" s="13" t="s">
        <v>17</v>
      </c>
      <c r="M6" s="14" t="s">
        <v>24</v>
      </c>
      <c r="N6" s="15">
        <v>0.5</v>
      </c>
      <c r="O6" s="16">
        <v>39069.77</v>
      </c>
      <c r="P6" s="17">
        <f t="shared" si="1"/>
        <v>39069.77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 t="s">
        <v>15</v>
      </c>
      <c r="B7" s="12">
        <v>45911.0</v>
      </c>
      <c r="C7" s="13" t="s">
        <v>25</v>
      </c>
      <c r="D7" s="13" t="s">
        <v>17</v>
      </c>
      <c r="E7" s="14" t="s">
        <v>26</v>
      </c>
      <c r="F7" s="15">
        <v>0.25</v>
      </c>
      <c r="G7" s="16">
        <v>19534.88</v>
      </c>
      <c r="I7" s="11" t="s">
        <v>15</v>
      </c>
      <c r="J7" s="12">
        <v>45911.0</v>
      </c>
      <c r="K7" s="13" t="s">
        <v>25</v>
      </c>
      <c r="L7" s="13" t="s">
        <v>17</v>
      </c>
      <c r="M7" s="14" t="s">
        <v>26</v>
      </c>
      <c r="N7" s="15">
        <v>0.25</v>
      </c>
      <c r="O7" s="16">
        <v>19534.88</v>
      </c>
      <c r="P7" s="17">
        <f t="shared" si="1"/>
        <v>19534.88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7"/>
      <c r="AV7" s="28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7"/>
      <c r="AV8" s="28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P9" s="17">
        <f t="shared" si="1"/>
        <v>0</v>
      </c>
      <c r="Q9" s="18"/>
      <c r="R9" s="19"/>
      <c r="S9" s="20"/>
      <c r="T9" s="21"/>
      <c r="U9" s="21"/>
      <c r="V9" s="2"/>
      <c r="W9" s="2"/>
      <c r="X9" s="22"/>
      <c r="AQ9" s="27"/>
      <c r="AV9" s="28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Q10" s="18"/>
      <c r="R10" s="19"/>
      <c r="S10" s="20"/>
      <c r="T10" s="21"/>
      <c r="U10" s="21"/>
      <c r="V10" s="2"/>
      <c r="W10" s="23"/>
      <c r="X10" s="22"/>
      <c r="AQ10" s="27"/>
      <c r="AV10" s="28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27"/>
      <c r="AV11" s="28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27"/>
      <c r="AV12" s="28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5"/>
      <c r="O13" s="16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27"/>
      <c r="AV13" s="28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27"/>
      <c r="AV14" s="28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27"/>
      <c r="AV15" s="28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7"/>
      <c r="AV16" s="28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7"/>
      <c r="AV17" s="28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7"/>
      <c r="AV18" s="28"/>
    </row>
    <row r="19">
      <c r="A19" s="11"/>
      <c r="B19" s="12"/>
      <c r="C19" s="13"/>
      <c r="D19" s="13"/>
      <c r="E19" s="14"/>
      <c r="F19" s="14"/>
      <c r="G19" s="16"/>
      <c r="I19" s="29"/>
      <c r="J19" s="30"/>
      <c r="K19" s="31"/>
      <c r="L19" s="32"/>
      <c r="M19" s="33"/>
      <c r="N19" s="33"/>
      <c r="O19" s="34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7"/>
      <c r="AV19" s="28"/>
    </row>
    <row r="20">
      <c r="A20" s="29"/>
      <c r="B20" s="30"/>
      <c r="C20" s="31"/>
      <c r="D20" s="32"/>
      <c r="E20" s="33"/>
      <c r="F20" s="33"/>
      <c r="G20" s="34"/>
      <c r="I20" s="29"/>
      <c r="J20" s="30"/>
      <c r="K20" s="31"/>
      <c r="L20" s="32"/>
      <c r="M20" s="33"/>
      <c r="N20" s="33"/>
      <c r="O20" s="34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7"/>
      <c r="AV20" s="28"/>
    </row>
    <row r="21">
      <c r="A21" s="29"/>
      <c r="B21" s="30"/>
      <c r="C21" s="31"/>
      <c r="D21" s="32"/>
      <c r="E21" s="33"/>
      <c r="F21" s="33"/>
      <c r="G21" s="34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7"/>
      <c r="AV21" s="28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7"/>
      <c r="AV22" s="28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7"/>
      <c r="AV23" s="28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7"/>
      <c r="AV24" s="28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7"/>
      <c r="AV25" s="28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7"/>
      <c r="AV26" s="28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7"/>
      <c r="AV27" s="28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7"/>
      <c r="AV28" s="28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7"/>
      <c r="AV29" s="28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7"/>
      <c r="AV30" s="28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7"/>
      <c r="AV31" s="28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7"/>
      <c r="AV32" s="28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7"/>
      <c r="AV33" s="28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7"/>
      <c r="AV34" s="28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35"/>
      <c r="O35" s="36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7"/>
      <c r="AV35" s="28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7"/>
      <c r="AV36" s="28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7"/>
      <c r="AV37" s="28"/>
    </row>
    <row r="38">
      <c r="A38" s="19"/>
      <c r="B38" s="20"/>
      <c r="C38" s="21"/>
      <c r="D38" s="21"/>
      <c r="E38" s="2"/>
      <c r="F38" s="35"/>
      <c r="G38" s="36"/>
      <c r="I38" s="19"/>
      <c r="J38" s="20"/>
      <c r="K38" s="25"/>
      <c r="L38" s="21"/>
      <c r="M38" s="2"/>
      <c r="N38" s="35"/>
      <c r="O38" s="36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7"/>
      <c r="AV38" s="28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7"/>
      <c r="AV39" s="28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7"/>
      <c r="AV40" s="28"/>
    </row>
    <row r="41">
      <c r="A41" s="19"/>
      <c r="B41" s="20"/>
      <c r="C41" s="25"/>
      <c r="D41" s="21"/>
      <c r="E41" s="2"/>
      <c r="F41" s="35"/>
      <c r="G41" s="36"/>
      <c r="J41" s="27"/>
      <c r="O41" s="28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7"/>
      <c r="AV41" s="28"/>
    </row>
    <row r="42">
      <c r="A42" s="19"/>
      <c r="B42" s="20"/>
      <c r="C42" s="25"/>
      <c r="D42" s="21"/>
      <c r="E42" s="2"/>
      <c r="F42" s="23"/>
      <c r="G42" s="24"/>
      <c r="J42" s="27"/>
      <c r="O42" s="28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7"/>
      <c r="AV42" s="28"/>
    </row>
    <row r="43">
      <c r="A43" s="19"/>
      <c r="B43" s="20"/>
      <c r="C43" s="25"/>
      <c r="D43" s="21"/>
      <c r="E43" s="2"/>
      <c r="F43" s="23"/>
      <c r="G43" s="24"/>
      <c r="J43" s="27"/>
      <c r="O43" s="28"/>
      <c r="P43" s="17">
        <f t="shared" si="1"/>
        <v>0</v>
      </c>
      <c r="Q43" s="18"/>
      <c r="R43" s="18"/>
      <c r="S43" s="37"/>
      <c r="T43" s="38"/>
      <c r="U43" s="38"/>
      <c r="V43" s="39"/>
      <c r="W43" s="40"/>
      <c r="X43" s="41"/>
      <c r="AQ43" s="27"/>
      <c r="AV43" s="28"/>
    </row>
    <row r="44">
      <c r="B44" s="27"/>
      <c r="G44" s="28"/>
      <c r="J44" s="27"/>
      <c r="O44" s="28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7"/>
      <c r="AV44" s="28"/>
    </row>
    <row r="45">
      <c r="B45" s="27"/>
      <c r="G45" s="28"/>
      <c r="J45" s="27"/>
      <c r="O45" s="28"/>
      <c r="P45" s="17">
        <f t="shared" si="1"/>
        <v>0</v>
      </c>
      <c r="AQ45" s="27"/>
      <c r="AV45" s="28"/>
    </row>
    <row r="46">
      <c r="B46" s="27"/>
      <c r="G46" s="28"/>
      <c r="J46" s="27"/>
      <c r="O46" s="28"/>
      <c r="P46" s="17">
        <f t="shared" si="1"/>
        <v>0</v>
      </c>
      <c r="AQ46" s="27"/>
      <c r="AV46" s="28"/>
    </row>
    <row r="47">
      <c r="B47" s="27"/>
      <c r="G47" s="28"/>
      <c r="J47" s="27"/>
      <c r="O47" s="28"/>
      <c r="P47" s="17">
        <f t="shared" si="1"/>
        <v>0</v>
      </c>
      <c r="AQ47" s="27"/>
      <c r="AV47" s="28"/>
    </row>
    <row r="48">
      <c r="B48" s="27"/>
      <c r="G48" s="28"/>
      <c r="J48" s="27"/>
      <c r="O48" s="28"/>
      <c r="P48" s="17">
        <f t="shared" si="1"/>
        <v>0</v>
      </c>
      <c r="AQ48" s="27"/>
      <c r="AV48" s="28"/>
    </row>
    <row r="49">
      <c r="B49" s="27"/>
      <c r="G49" s="28"/>
      <c r="J49" s="27"/>
      <c r="O49" s="28"/>
      <c r="P49" s="17">
        <f t="shared" si="1"/>
        <v>0</v>
      </c>
      <c r="AQ49" s="27"/>
      <c r="AV49" s="28"/>
    </row>
    <row r="50">
      <c r="B50" s="27"/>
      <c r="G50" s="28"/>
      <c r="J50" s="27"/>
      <c r="O50" s="28"/>
      <c r="P50" s="17">
        <f t="shared" si="1"/>
        <v>0</v>
      </c>
      <c r="AQ50" s="27"/>
      <c r="AV50" s="28"/>
    </row>
    <row r="51">
      <c r="B51" s="27"/>
      <c r="G51" s="28"/>
      <c r="J51" s="27"/>
      <c r="O51" s="28"/>
      <c r="P51" s="17">
        <f t="shared" si="1"/>
        <v>0</v>
      </c>
      <c r="AQ51" s="27"/>
      <c r="AV51" s="28"/>
    </row>
    <row r="52">
      <c r="B52" s="27"/>
      <c r="G52" s="28"/>
      <c r="J52" s="27"/>
      <c r="O52" s="28"/>
      <c r="P52" s="17">
        <f t="shared" si="1"/>
        <v>0</v>
      </c>
      <c r="AQ52" s="27"/>
      <c r="AV52" s="28"/>
    </row>
    <row r="53">
      <c r="B53" s="27"/>
      <c r="G53" s="28"/>
      <c r="J53" s="27"/>
      <c r="O53" s="28"/>
      <c r="P53" s="17">
        <f t="shared" si="1"/>
        <v>0</v>
      </c>
      <c r="AQ53" s="27"/>
      <c r="AV53" s="28"/>
    </row>
    <row r="54">
      <c r="B54" s="27"/>
      <c r="G54" s="28"/>
      <c r="J54" s="27"/>
      <c r="O54" s="28"/>
      <c r="P54" s="17">
        <f t="shared" si="1"/>
        <v>0</v>
      </c>
      <c r="AQ54" s="27"/>
    </row>
    <row r="55">
      <c r="B55" s="27"/>
      <c r="G55" s="28"/>
      <c r="J55" s="27"/>
      <c r="O55" s="28"/>
      <c r="P55" s="17">
        <f t="shared" si="1"/>
        <v>0</v>
      </c>
      <c r="AQ55" s="27"/>
    </row>
    <row r="56">
      <c r="B56" s="27"/>
      <c r="G56" s="28"/>
      <c r="J56" s="27"/>
      <c r="O56" s="28"/>
      <c r="P56" s="17">
        <f t="shared" si="1"/>
        <v>0</v>
      </c>
      <c r="AQ56" s="27"/>
    </row>
    <row r="57">
      <c r="B57" s="27"/>
      <c r="G57" s="28"/>
      <c r="J57" s="27"/>
      <c r="O57" s="28"/>
      <c r="P57" s="17">
        <f t="shared" si="1"/>
        <v>0</v>
      </c>
      <c r="AQ57" s="27"/>
    </row>
    <row r="58">
      <c r="B58" s="27"/>
      <c r="G58" s="28"/>
      <c r="J58" s="27"/>
      <c r="O58" s="28"/>
      <c r="P58" s="17">
        <f t="shared" si="1"/>
        <v>0</v>
      </c>
      <c r="AQ58" s="27"/>
    </row>
    <row r="59">
      <c r="B59" s="27"/>
      <c r="G59" s="28"/>
      <c r="J59" s="27"/>
      <c r="O59" s="28"/>
      <c r="P59" s="17">
        <f t="shared" si="1"/>
        <v>0</v>
      </c>
      <c r="AQ59" s="27"/>
    </row>
    <row r="60">
      <c r="B60" s="27"/>
      <c r="G60" s="28"/>
      <c r="J60" s="27"/>
      <c r="O60" s="28"/>
      <c r="P60" s="17">
        <f t="shared" si="1"/>
        <v>0</v>
      </c>
      <c r="AQ60" s="27"/>
    </row>
    <row r="61">
      <c r="B61" s="27"/>
      <c r="G61" s="28"/>
      <c r="J61" s="27"/>
      <c r="O61" s="28"/>
      <c r="P61" s="17">
        <f t="shared" si="1"/>
        <v>0</v>
      </c>
      <c r="AQ61" s="27"/>
    </row>
    <row r="62">
      <c r="B62" s="27"/>
      <c r="G62" s="28"/>
      <c r="J62" s="27"/>
      <c r="O62" s="28"/>
      <c r="P62" s="17">
        <f t="shared" si="1"/>
        <v>0</v>
      </c>
      <c r="AQ62" s="27"/>
    </row>
    <row r="63">
      <c r="B63" s="27"/>
      <c r="G63" s="28"/>
      <c r="J63" s="27"/>
      <c r="O63" s="28"/>
      <c r="P63" s="17">
        <f t="shared" si="1"/>
        <v>0</v>
      </c>
      <c r="AQ63" s="27"/>
    </row>
    <row r="64">
      <c r="B64" s="27"/>
      <c r="G64" s="28"/>
      <c r="J64" s="27"/>
      <c r="O64" s="28"/>
      <c r="P64" s="17">
        <f t="shared" si="1"/>
        <v>0</v>
      </c>
      <c r="AQ64" s="27"/>
    </row>
    <row r="65">
      <c r="B65" s="27"/>
      <c r="G65" s="28"/>
      <c r="J65" s="27"/>
      <c r="O65" s="28"/>
      <c r="P65" s="17">
        <f t="shared" si="1"/>
        <v>0</v>
      </c>
      <c r="AQ65" s="27"/>
    </row>
    <row r="66">
      <c r="B66" s="27"/>
      <c r="G66" s="28"/>
      <c r="J66" s="27"/>
      <c r="O66" s="28"/>
      <c r="P66" s="17">
        <f t="shared" si="1"/>
        <v>0</v>
      </c>
      <c r="AQ66" s="27"/>
    </row>
    <row r="67">
      <c r="B67" s="27"/>
      <c r="G67" s="28"/>
      <c r="J67" s="27"/>
      <c r="O67" s="28"/>
      <c r="P67" s="17">
        <f t="shared" si="1"/>
        <v>0</v>
      </c>
      <c r="AQ67" s="27"/>
    </row>
    <row r="68">
      <c r="B68" s="27"/>
      <c r="G68" s="28"/>
      <c r="J68" s="27"/>
      <c r="O68" s="28"/>
      <c r="P68" s="17">
        <f t="shared" si="1"/>
        <v>0</v>
      </c>
      <c r="AQ68" s="27"/>
    </row>
    <row r="69">
      <c r="B69" s="27"/>
      <c r="G69" s="28"/>
      <c r="J69" s="27"/>
      <c r="O69" s="28"/>
      <c r="P69" s="17">
        <f t="shared" si="1"/>
        <v>0</v>
      </c>
      <c r="AQ69" s="27"/>
    </row>
    <row r="70">
      <c r="B70" s="27"/>
      <c r="G70" s="28"/>
      <c r="J70" s="27"/>
      <c r="O70" s="28"/>
      <c r="P70" s="17">
        <f t="shared" si="1"/>
        <v>0</v>
      </c>
      <c r="AQ70" s="27"/>
    </row>
    <row r="71">
      <c r="B71" s="27"/>
      <c r="G71" s="28"/>
      <c r="J71" s="27"/>
      <c r="O71" s="28"/>
      <c r="P71" s="17">
        <f t="shared" si="1"/>
        <v>0</v>
      </c>
      <c r="AQ71" s="27"/>
    </row>
    <row r="72">
      <c r="B72" s="27"/>
      <c r="G72" s="28"/>
      <c r="J72" s="27"/>
      <c r="O72" s="28"/>
      <c r="P72" s="17">
        <f t="shared" si="1"/>
        <v>0</v>
      </c>
      <c r="AQ72" s="27"/>
    </row>
    <row r="73">
      <c r="B73" s="27"/>
      <c r="G73" s="28"/>
      <c r="J73" s="27"/>
      <c r="O73" s="28"/>
      <c r="P73" s="17">
        <f t="shared" si="1"/>
        <v>0</v>
      </c>
      <c r="AQ73" s="27"/>
    </row>
    <row r="74">
      <c r="B74" s="27"/>
      <c r="G74" s="28"/>
      <c r="J74" s="27"/>
      <c r="O74" s="28"/>
      <c r="P74" s="17">
        <f t="shared" si="1"/>
        <v>0</v>
      </c>
      <c r="AQ74" s="27"/>
    </row>
    <row r="75">
      <c r="B75" s="27"/>
      <c r="G75" s="28"/>
      <c r="J75" s="27"/>
      <c r="O75" s="28"/>
      <c r="P75" s="17">
        <f t="shared" si="1"/>
        <v>0</v>
      </c>
      <c r="AQ75" s="27"/>
    </row>
    <row r="76">
      <c r="B76" s="27"/>
      <c r="G76" s="28"/>
      <c r="J76" s="27"/>
      <c r="O76" s="28"/>
      <c r="P76" s="17">
        <f t="shared" si="1"/>
        <v>0</v>
      </c>
      <c r="AQ76" s="27"/>
    </row>
    <row r="77">
      <c r="B77" s="27"/>
      <c r="G77" s="28"/>
      <c r="J77" s="27"/>
      <c r="O77" s="28"/>
      <c r="P77" s="17">
        <f t="shared" si="1"/>
        <v>0</v>
      </c>
      <c r="AQ77" s="27"/>
    </row>
    <row r="78">
      <c r="B78" s="27"/>
      <c r="G78" s="28"/>
      <c r="J78" s="27"/>
      <c r="O78" s="28"/>
      <c r="P78" s="17">
        <f t="shared" si="1"/>
        <v>0</v>
      </c>
      <c r="AQ78" s="27"/>
    </row>
    <row r="79">
      <c r="B79" s="27"/>
      <c r="G79" s="28"/>
      <c r="J79" s="27"/>
      <c r="O79" s="28"/>
      <c r="P79" s="17">
        <f t="shared" si="1"/>
        <v>0</v>
      </c>
      <c r="AQ79" s="27"/>
    </row>
    <row r="80">
      <c r="B80" s="27"/>
      <c r="G80" s="28"/>
      <c r="J80" s="27"/>
      <c r="O80" s="28"/>
      <c r="P80" s="17">
        <f t="shared" si="1"/>
        <v>0</v>
      </c>
      <c r="AQ80" s="27"/>
    </row>
    <row r="81">
      <c r="B81" s="27"/>
      <c r="G81" s="28"/>
      <c r="J81" s="27"/>
      <c r="O81" s="28"/>
      <c r="P81" s="17">
        <f t="shared" si="1"/>
        <v>0</v>
      </c>
      <c r="AQ81" s="27"/>
    </row>
    <row r="82">
      <c r="B82" s="27"/>
      <c r="G82" s="28"/>
      <c r="J82" s="27"/>
      <c r="O82" s="28"/>
      <c r="P82" s="17">
        <f t="shared" si="1"/>
        <v>0</v>
      </c>
      <c r="AQ82" s="27"/>
    </row>
    <row r="83">
      <c r="B83" s="27"/>
      <c r="G83" s="28"/>
      <c r="J83" s="27"/>
      <c r="O83" s="28"/>
      <c r="P83" s="17">
        <f t="shared" si="1"/>
        <v>0</v>
      </c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28</v>
      </c>
      <c r="I1" s="45">
        <f>countifs(B:B,"&lt;&gt;",F:F,"&lt;&gt;")-1</f>
        <v>5</v>
      </c>
      <c r="K1" s="6" t="s">
        <v>29</v>
      </c>
      <c r="L1" s="6" t="s">
        <v>30</v>
      </c>
      <c r="M1" s="6" t="s">
        <v>13</v>
      </c>
    </row>
    <row r="2">
      <c r="H2" s="44" t="s">
        <v>31</v>
      </c>
      <c r="I2" s="45">
        <f t="array" ref="I2">(COUNTA(UNIQUE(C:C))-1)</f>
        <v>5</v>
      </c>
      <c r="K2" s="46" t="str">
        <f>'Internal Summary'!B40</f>
        <v>300g Sweet Potato Chips (24x)</v>
      </c>
      <c r="L2" s="45">
        <f t="shared" ref="L2:L13" si="1">sumif(D:D,K2,E:E)</f>
        <v>3</v>
      </c>
      <c r="M2" s="45">
        <f t="shared" ref="M2:M13" si="2">sumif(D:D,K2,F:F)</f>
        <v>235883.71</v>
      </c>
      <c r="N2" s="47"/>
    </row>
    <row r="3">
      <c r="H3" s="44" t="s">
        <v>32</v>
      </c>
      <c r="I3" s="45">
        <f>sum(F:F)</f>
        <v>235883.71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  <c r="N3" s="47"/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27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>
        <filter val="39,069.77"/>
        <filter val="21,000.00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  <c r="M1" s="46" t="s">
        <v>13</v>
      </c>
    </row>
    <row r="2">
      <c r="H2" s="44" t="s">
        <v>31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32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37</v>
      </c>
      <c r="M1" s="46" t="s">
        <v>13</v>
      </c>
    </row>
    <row r="2">
      <c r="H2" s="44" t="s">
        <v>31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8">
        <f t="shared" ref="M2:M13" si="2">sumif(D:D,K2,F:F)</f>
        <v>0</v>
      </c>
    </row>
    <row r="3">
      <c r="H3" s="44" t="s">
        <v>32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8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8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8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8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8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8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8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8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8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8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</row>
    <row r="2">
      <c r="H2" s="44" t="s">
        <v>31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32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</row>
    <row r="2">
      <c r="H2" s="44" t="s">
        <v>31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32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4" t="s">
        <v>38</v>
      </c>
      <c r="C1" s="44" t="s">
        <v>30</v>
      </c>
      <c r="D1" s="44" t="s">
        <v>39</v>
      </c>
      <c r="E1" s="44" t="s">
        <v>40</v>
      </c>
      <c r="F1" s="51"/>
    </row>
    <row r="2">
      <c r="A2" s="52" t="s">
        <v>17</v>
      </c>
      <c r="B2" s="53" t="s">
        <v>28</v>
      </c>
      <c r="C2" s="54"/>
      <c r="D2" s="55"/>
      <c r="E2" s="56">
        <f>'Dala Sales &amp; Deliveries'!I1+'External Delivery Fulfillment'!I1</f>
        <v>5</v>
      </c>
      <c r="F2" s="51"/>
    </row>
    <row r="3">
      <c r="A3" s="57"/>
      <c r="B3" s="53" t="s">
        <v>41</v>
      </c>
      <c r="C3" s="54"/>
      <c r="D3" s="55"/>
      <c r="E3" s="58">
        <f>'Raw Data'!AX2</f>
        <v>4</v>
      </c>
      <c r="F3" s="51"/>
    </row>
    <row r="4">
      <c r="B4" s="59" t="s">
        <v>42</v>
      </c>
      <c r="C4" s="51"/>
      <c r="D4" s="60"/>
      <c r="E4" s="17">
        <f>'Dala Sales &amp; Deliveries'!I3</f>
        <v>235883.71</v>
      </c>
      <c r="F4" s="51"/>
    </row>
    <row r="5">
      <c r="B5" s="59" t="s">
        <v>43</v>
      </c>
      <c r="C5" s="51"/>
      <c r="D5" s="60"/>
      <c r="E5" s="17">
        <f>'External Delivery Fulfillment'!I3</f>
        <v>0</v>
      </c>
      <c r="F5" s="51"/>
    </row>
    <row r="6">
      <c r="A6" s="61"/>
      <c r="B6" s="62" t="s">
        <v>44</v>
      </c>
      <c r="C6" s="54"/>
      <c r="D6" s="55"/>
      <c r="E6" s="63">
        <f>E4*1.075-E4</f>
        <v>17691.27825</v>
      </c>
      <c r="F6" s="51"/>
    </row>
    <row r="7">
      <c r="A7" s="64"/>
      <c r="B7" s="65" t="s">
        <v>45</v>
      </c>
      <c r="C7" s="66"/>
      <c r="D7" s="55"/>
      <c r="E7" s="67">
        <f>sum(E4:E6)</f>
        <v>253574.9883</v>
      </c>
      <c r="F7" s="51"/>
    </row>
    <row r="8">
      <c r="A8" s="52" t="s">
        <v>46</v>
      </c>
      <c r="B8" s="53" t="s">
        <v>47</v>
      </c>
      <c r="C8" s="55"/>
      <c r="D8" s="68"/>
      <c r="E8" s="69">
        <v>0.0</v>
      </c>
    </row>
    <row r="9">
      <c r="A9" s="64"/>
      <c r="B9" s="65" t="s">
        <v>48</v>
      </c>
      <c r="C9" s="70">
        <v>0.1</v>
      </c>
      <c r="D9" s="71"/>
      <c r="E9" s="67">
        <f>E8*(C9+100%)-E8</f>
        <v>0</v>
      </c>
      <c r="K9" s="17"/>
      <c r="L9" s="17"/>
      <c r="M9" s="17"/>
    </row>
    <row r="10">
      <c r="A10" s="72" t="s">
        <v>49</v>
      </c>
      <c r="B10" s="65" t="s">
        <v>50</v>
      </c>
      <c r="C10" s="73"/>
      <c r="D10" s="71"/>
      <c r="E10" s="67">
        <f>E7-E8-E9</f>
        <v>253574.9883</v>
      </c>
    </row>
    <row r="11">
      <c r="A11" s="52" t="s">
        <v>51</v>
      </c>
      <c r="B11" s="53" t="s">
        <v>52</v>
      </c>
      <c r="C11" s="74">
        <v>1.0</v>
      </c>
      <c r="D11" s="56">
        <v>100000.0</v>
      </c>
      <c r="E11" s="56">
        <f>C11*D11</f>
        <v>100000</v>
      </c>
    </row>
    <row r="12">
      <c r="A12" s="57"/>
      <c r="B12" s="53" t="s">
        <v>48</v>
      </c>
      <c r="C12" s="75"/>
      <c r="D12" s="68"/>
      <c r="E12" s="56">
        <f>E10*C9</f>
        <v>25357.49883</v>
      </c>
    </row>
    <row r="13">
      <c r="A13" s="57"/>
      <c r="B13" s="62" t="s">
        <v>53</v>
      </c>
      <c r="C13" s="55"/>
      <c r="D13" s="58" t="s">
        <v>54</v>
      </c>
      <c r="E13" s="56">
        <f>C22+C26</f>
        <v>7050</v>
      </c>
    </row>
    <row r="14">
      <c r="A14" s="57"/>
      <c r="B14" s="53" t="s">
        <v>55</v>
      </c>
      <c r="C14" s="68"/>
      <c r="D14" s="68"/>
      <c r="E14" s="76">
        <v>0.0</v>
      </c>
    </row>
    <row r="15">
      <c r="A15" s="57"/>
      <c r="B15" s="53" t="s">
        <v>56</v>
      </c>
      <c r="C15" s="68"/>
      <c r="D15" s="68"/>
      <c r="E15" s="58">
        <v>0.0</v>
      </c>
    </row>
    <row r="16">
      <c r="A16" s="64"/>
      <c r="B16" s="65" t="s">
        <v>57</v>
      </c>
      <c r="C16" s="71"/>
      <c r="D16" s="71"/>
      <c r="E16" s="67">
        <f>sum(E11:E15)</f>
        <v>132407.4988</v>
      </c>
      <c r="H16" s="1"/>
      <c r="I16" s="1"/>
    </row>
    <row r="17">
      <c r="A17" s="72" t="s">
        <v>58</v>
      </c>
      <c r="B17" s="65" t="s">
        <v>59</v>
      </c>
      <c r="C17" s="71"/>
      <c r="D17" s="71"/>
      <c r="E17" s="67">
        <f>E10-E16+C36</f>
        <v>121167.4894</v>
      </c>
      <c r="H17" s="1"/>
      <c r="I17" s="63"/>
      <c r="J17" s="77"/>
      <c r="K17" s="77"/>
      <c r="L17" s="77"/>
      <c r="M17" s="77"/>
      <c r="N17" s="77"/>
    </row>
    <row r="18">
      <c r="A18" s="78"/>
      <c r="B18" s="78"/>
      <c r="C18" s="78"/>
      <c r="D18" s="78"/>
      <c r="E18" s="78"/>
      <c r="H18" s="1"/>
      <c r="I18" s="1"/>
      <c r="J18" s="77"/>
      <c r="K18" s="77"/>
      <c r="L18" s="77"/>
      <c r="M18" s="77"/>
      <c r="N18" s="77"/>
    </row>
    <row r="19">
      <c r="A19" s="1"/>
      <c r="B19" s="78"/>
      <c r="C19" s="78"/>
      <c r="D19" s="78"/>
      <c r="E19" s="78"/>
      <c r="H19" s="1"/>
      <c r="I19" s="1"/>
      <c r="J19" s="77"/>
      <c r="K19" s="77"/>
      <c r="L19" s="77"/>
      <c r="M19" s="77"/>
      <c r="N19" s="77"/>
    </row>
    <row r="20">
      <c r="A20" s="1" t="s">
        <v>60</v>
      </c>
      <c r="B20" s="78"/>
      <c r="C20" s="78"/>
      <c r="D20" s="78"/>
      <c r="E20" s="78"/>
      <c r="H20" s="1"/>
      <c r="I20" s="1"/>
      <c r="J20" s="77"/>
      <c r="K20" s="77"/>
      <c r="L20" s="77"/>
      <c r="M20" s="77"/>
      <c r="N20" s="77"/>
    </row>
    <row r="21">
      <c r="A21" s="78"/>
      <c r="B21" s="44" t="s">
        <v>61</v>
      </c>
      <c r="C21" s="79">
        <f>U69</f>
        <v>0</v>
      </c>
      <c r="H21" s="1"/>
      <c r="I21" s="1"/>
      <c r="J21" s="80"/>
      <c r="K21" s="80"/>
      <c r="L21" s="81"/>
      <c r="M21" s="77"/>
      <c r="N21" s="77"/>
    </row>
    <row r="22">
      <c r="A22" s="78"/>
      <c r="B22" s="44" t="s">
        <v>62</v>
      </c>
      <c r="C22" s="79">
        <f>V69</f>
        <v>0</v>
      </c>
      <c r="H22" s="1"/>
      <c r="I22" s="1"/>
      <c r="J22" s="80"/>
      <c r="K22" s="80"/>
      <c r="L22" s="81"/>
      <c r="M22" s="77"/>
      <c r="N22" s="77"/>
    </row>
    <row r="23">
      <c r="A23" s="78"/>
      <c r="B23" s="44" t="s">
        <v>63</v>
      </c>
      <c r="C23" s="79">
        <f>S69</f>
        <v>0</v>
      </c>
      <c r="H23" s="1"/>
      <c r="I23" s="1"/>
      <c r="J23" s="80"/>
      <c r="K23" s="80"/>
      <c r="L23" s="81"/>
      <c r="M23" s="77"/>
      <c r="N23" s="77"/>
    </row>
    <row r="24">
      <c r="A24" s="78"/>
      <c r="B24" s="44" t="s">
        <v>64</v>
      </c>
      <c r="C24" s="79">
        <f>T69</f>
        <v>0</v>
      </c>
      <c r="H24" s="1"/>
      <c r="I24" s="63"/>
      <c r="J24" s="80"/>
      <c r="K24" s="80"/>
      <c r="L24" s="81"/>
      <c r="M24" s="77"/>
      <c r="N24" s="77"/>
    </row>
    <row r="25">
      <c r="A25" s="78"/>
      <c r="B25" s="44" t="s">
        <v>65</v>
      </c>
      <c r="C25" s="79">
        <f>67</f>
        <v>67</v>
      </c>
      <c r="H25" s="1"/>
      <c r="I25" s="1"/>
    </row>
    <row r="26">
      <c r="A26" s="78"/>
      <c r="B26" s="44" t="s">
        <v>66</v>
      </c>
      <c r="C26" s="82">
        <f>P69</f>
        <v>7050</v>
      </c>
      <c r="H26" s="1"/>
      <c r="I26" s="1"/>
    </row>
    <row r="27">
      <c r="A27" s="78"/>
      <c r="B27" s="44" t="s">
        <v>67</v>
      </c>
      <c r="C27" s="45">
        <f>Q69</f>
        <v>0</v>
      </c>
      <c r="H27" s="1"/>
      <c r="I27" s="1"/>
    </row>
    <row r="28">
      <c r="A28" s="78"/>
      <c r="B28" s="44" t="s">
        <v>68</v>
      </c>
      <c r="C28" s="45">
        <f>R69</f>
        <v>0</v>
      </c>
      <c r="H28" s="1"/>
      <c r="I28" s="1"/>
    </row>
    <row r="29">
      <c r="A29" s="78"/>
      <c r="B29" s="44" t="s">
        <v>69</v>
      </c>
      <c r="C29" s="79">
        <f>F69</f>
        <v>0</v>
      </c>
      <c r="D29" s="78"/>
      <c r="H29" s="1"/>
      <c r="I29" s="1"/>
    </row>
    <row r="30">
      <c r="A30" s="78"/>
      <c r="B30" s="44" t="s">
        <v>70</v>
      </c>
      <c r="C30" s="79">
        <v>0.0</v>
      </c>
      <c r="D30" s="78"/>
      <c r="H30" s="1"/>
      <c r="I30" s="1"/>
    </row>
    <row r="31">
      <c r="A31" s="78"/>
      <c r="B31" s="44" t="s">
        <v>71</v>
      </c>
      <c r="C31" s="79">
        <f>I69</f>
        <v>0</v>
      </c>
      <c r="D31" s="78"/>
      <c r="H31" s="1"/>
      <c r="I31" s="1"/>
    </row>
    <row r="32">
      <c r="A32" s="78"/>
      <c r="B32" s="44" t="s">
        <v>72</v>
      </c>
      <c r="C32" s="79">
        <f>J69</f>
        <v>0</v>
      </c>
      <c r="D32" s="78"/>
      <c r="H32" s="1"/>
      <c r="I32" s="1"/>
    </row>
    <row r="33">
      <c r="B33" s="44" t="s">
        <v>73</v>
      </c>
      <c r="C33" s="79">
        <v>0.0</v>
      </c>
    </row>
    <row r="34">
      <c r="B34" s="44" t="s">
        <v>74</v>
      </c>
      <c r="C34" s="45">
        <f>K69</f>
        <v>6.5</v>
      </c>
    </row>
    <row r="35">
      <c r="B35" s="44" t="s">
        <v>75</v>
      </c>
      <c r="C35" s="79">
        <v>0.0</v>
      </c>
    </row>
    <row r="36">
      <c r="B36" s="44" t="s">
        <v>76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77</v>
      </c>
      <c r="C39" s="44" t="s">
        <v>78</v>
      </c>
      <c r="D39" s="44" t="s">
        <v>79</v>
      </c>
      <c r="E39" s="44" t="s">
        <v>80</v>
      </c>
      <c r="F39" s="46" t="s">
        <v>81</v>
      </c>
      <c r="G39" s="46" t="s">
        <v>82</v>
      </c>
      <c r="H39" s="46" t="s">
        <v>83</v>
      </c>
      <c r="I39" s="46" t="s">
        <v>84</v>
      </c>
      <c r="J39" s="46" t="s">
        <v>85</v>
      </c>
      <c r="K39" s="46" t="s">
        <v>86</v>
      </c>
      <c r="L39" s="46" t="s">
        <v>73</v>
      </c>
      <c r="M39" s="46" t="s">
        <v>75</v>
      </c>
      <c r="N39" s="46" t="s">
        <v>87</v>
      </c>
      <c r="O39" s="46" t="s">
        <v>88</v>
      </c>
      <c r="P39" s="46" t="s">
        <v>89</v>
      </c>
      <c r="Q39" s="46" t="s">
        <v>90</v>
      </c>
      <c r="R39" s="46" t="s">
        <v>91</v>
      </c>
      <c r="S39" s="46" t="s">
        <v>92</v>
      </c>
      <c r="T39" s="46" t="s">
        <v>64</v>
      </c>
      <c r="U39" s="46" t="s">
        <v>93</v>
      </c>
      <c r="V39" s="46" t="s">
        <v>94</v>
      </c>
      <c r="W39" s="46" t="s">
        <v>95</v>
      </c>
    </row>
    <row r="40">
      <c r="B40" s="83" t="s">
        <v>15</v>
      </c>
      <c r="C40" s="84">
        <v>84000.0</v>
      </c>
      <c r="D40" s="83">
        <v>1150.0</v>
      </c>
      <c r="E40" s="84">
        <v>2350.0</v>
      </c>
      <c r="F40" s="83"/>
      <c r="G40" s="48">
        <f t="shared" ref="G40:G68" si="1">F40*C40</f>
        <v>0</v>
      </c>
      <c r="H40" s="83">
        <v>20.0</v>
      </c>
      <c r="I40" s="83"/>
      <c r="J40" s="83"/>
      <c r="K40" s="83">
        <v>6.5</v>
      </c>
      <c r="L40" s="82">
        <f t="shared" ref="L40:L68" si="2">H40+U40+W40-O40-Q40-I40-J40</f>
        <v>17</v>
      </c>
      <c r="M40" s="45">
        <f t="shared" ref="M40:M68" si="3">K40-L40</f>
        <v>-10.5</v>
      </c>
      <c r="N40" s="48">
        <f t="shared" ref="N40:N68" si="4">M40*C40</f>
        <v>-882000</v>
      </c>
      <c r="O40" s="45">
        <f>'Dala Sales &amp; Deliveries'!L2</f>
        <v>3</v>
      </c>
      <c r="P40" s="48">
        <f t="shared" ref="P40:P68" si="5">O40*E40</f>
        <v>7050</v>
      </c>
      <c r="Q40" s="45">
        <f>'External Delivery Fulfillment'!L2</f>
        <v>0</v>
      </c>
      <c r="R40" s="48">
        <f t="shared" ref="R40:R68" si="6">Q40*E40</f>
        <v>0</v>
      </c>
      <c r="S40" s="45">
        <f>'Forwarding From Client'!L2</f>
        <v>0</v>
      </c>
      <c r="T40" s="48">
        <f t="shared" ref="T40:T68" si="7">S40*E40</f>
        <v>0</v>
      </c>
      <c r="U40" s="45">
        <f>'Dala Restocking'!L2</f>
        <v>0</v>
      </c>
      <c r="V40" s="48">
        <f t="shared" ref="V40:V68" si="8">U40*D40</f>
        <v>0</v>
      </c>
      <c r="W40" s="45">
        <f>'Client Restocking'!L2</f>
        <v>0</v>
      </c>
    </row>
    <row r="41">
      <c r="B41" s="83" t="s">
        <v>96</v>
      </c>
      <c r="C41" s="84">
        <v>120000.0</v>
      </c>
      <c r="D41" s="83">
        <v>1600.0</v>
      </c>
      <c r="E41" s="84">
        <v>3450.0</v>
      </c>
      <c r="F41" s="85"/>
      <c r="G41" s="48">
        <f t="shared" si="1"/>
        <v>0</v>
      </c>
      <c r="H41" s="83"/>
      <c r="I41" s="83"/>
      <c r="J41" s="85"/>
      <c r="K41" s="83">
        <v>0.0</v>
      </c>
      <c r="L41" s="82">
        <f t="shared" si="2"/>
        <v>0</v>
      </c>
      <c r="M41" s="45">
        <f t="shared" si="3"/>
        <v>0</v>
      </c>
      <c r="N41" s="48">
        <f t="shared" si="4"/>
        <v>0</v>
      </c>
      <c r="O41" s="45">
        <f>'Dala Sales &amp; Deliveries'!L3</f>
        <v>0</v>
      </c>
      <c r="P41" s="48">
        <f t="shared" si="5"/>
        <v>0</v>
      </c>
      <c r="Q41" s="45">
        <f>'External Delivery Fulfillment'!L3</f>
        <v>0</v>
      </c>
      <c r="R41" s="48">
        <f t="shared" si="6"/>
        <v>0</v>
      </c>
      <c r="S41" s="45">
        <f>'Forwarding From Client'!L3</f>
        <v>0</v>
      </c>
      <c r="T41" s="48">
        <f t="shared" si="7"/>
        <v>0</v>
      </c>
      <c r="U41" s="45">
        <f>'Dala Restocking'!L3</f>
        <v>0</v>
      </c>
      <c r="V41" s="48">
        <f t="shared" si="8"/>
        <v>0</v>
      </c>
      <c r="W41" s="45">
        <f>'Client Restocking'!L3</f>
        <v>0</v>
      </c>
    </row>
    <row r="42">
      <c r="B42" s="83" t="s">
        <v>97</v>
      </c>
      <c r="C42" s="84">
        <v>120000.0</v>
      </c>
      <c r="D42" s="83">
        <v>1600.0</v>
      </c>
      <c r="E42" s="84">
        <v>3450.0</v>
      </c>
      <c r="F42" s="85"/>
      <c r="G42" s="48">
        <f t="shared" si="1"/>
        <v>0</v>
      </c>
      <c r="H42" s="83"/>
      <c r="I42" s="83"/>
      <c r="J42" s="85"/>
      <c r="K42" s="83">
        <v>0.0</v>
      </c>
      <c r="L42" s="82">
        <f t="shared" si="2"/>
        <v>0</v>
      </c>
      <c r="M42" s="45">
        <f t="shared" si="3"/>
        <v>0</v>
      </c>
      <c r="N42" s="48">
        <f t="shared" si="4"/>
        <v>0</v>
      </c>
      <c r="O42" s="45">
        <f>'Dala Sales &amp; Deliveries'!L4</f>
        <v>0</v>
      </c>
      <c r="P42" s="48">
        <f t="shared" si="5"/>
        <v>0</v>
      </c>
      <c r="Q42" s="45">
        <f>'External Delivery Fulfillment'!L4</f>
        <v>0</v>
      </c>
      <c r="R42" s="48">
        <f t="shared" si="6"/>
        <v>0</v>
      </c>
      <c r="S42" s="45">
        <f>'Forwarding From Client'!L4</f>
        <v>0</v>
      </c>
      <c r="T42" s="48">
        <f t="shared" si="7"/>
        <v>0</v>
      </c>
      <c r="U42" s="45">
        <f>'Dala Restocking'!L4</f>
        <v>0</v>
      </c>
      <c r="V42" s="48">
        <f t="shared" si="8"/>
        <v>0</v>
      </c>
      <c r="W42" s="45">
        <f>'Client Restocking'!L4</f>
        <v>0</v>
      </c>
    </row>
    <row r="43">
      <c r="B43" s="83"/>
      <c r="C43" s="84"/>
      <c r="D43" s="83"/>
      <c r="E43" s="84"/>
      <c r="F43" s="85"/>
      <c r="G43" s="48">
        <f t="shared" si="1"/>
        <v>0</v>
      </c>
      <c r="H43" s="85"/>
      <c r="I43" s="83"/>
      <c r="J43" s="85"/>
      <c r="K43" s="85"/>
      <c r="L43" s="82">
        <f t="shared" si="2"/>
        <v>0</v>
      </c>
      <c r="M43" s="45">
        <f t="shared" si="3"/>
        <v>0</v>
      </c>
      <c r="N43" s="48">
        <f t="shared" si="4"/>
        <v>0</v>
      </c>
      <c r="O43" s="45">
        <f>'Dala Sales &amp; Deliveries'!L5</f>
        <v>0</v>
      </c>
      <c r="P43" s="48">
        <f t="shared" si="5"/>
        <v>0</v>
      </c>
      <c r="Q43" s="45">
        <f>'External Delivery Fulfillment'!L5</f>
        <v>0</v>
      </c>
      <c r="R43" s="48">
        <f t="shared" si="6"/>
        <v>0</v>
      </c>
      <c r="S43" s="45">
        <f>'Forwarding From Client'!L5</f>
        <v>0</v>
      </c>
      <c r="T43" s="48">
        <f t="shared" si="7"/>
        <v>0</v>
      </c>
      <c r="U43" s="45">
        <f>'Dala Restocking'!L5</f>
        <v>0</v>
      </c>
      <c r="V43" s="48">
        <f t="shared" si="8"/>
        <v>0</v>
      </c>
      <c r="W43" s="45">
        <f>'Client Restocking'!L5</f>
        <v>0</v>
      </c>
    </row>
    <row r="44">
      <c r="B44" s="83"/>
      <c r="C44" s="84"/>
      <c r="D44" s="83"/>
      <c r="E44" s="84"/>
      <c r="F44" s="85"/>
      <c r="G44" s="48">
        <f t="shared" si="1"/>
        <v>0</v>
      </c>
      <c r="H44" s="85"/>
      <c r="I44" s="85"/>
      <c r="J44" s="85"/>
      <c r="K44" s="85"/>
      <c r="L44" s="82">
        <f t="shared" si="2"/>
        <v>0</v>
      </c>
      <c r="M44" s="45">
        <f t="shared" si="3"/>
        <v>0</v>
      </c>
      <c r="N44" s="48">
        <f t="shared" si="4"/>
        <v>0</v>
      </c>
      <c r="O44" s="45">
        <f>'Dala Sales &amp; Deliveries'!L6</f>
        <v>0</v>
      </c>
      <c r="P44" s="48">
        <f t="shared" si="5"/>
        <v>0</v>
      </c>
      <c r="Q44" s="45">
        <f>'External Delivery Fulfillment'!L6</f>
        <v>0</v>
      </c>
      <c r="R44" s="48">
        <f t="shared" si="6"/>
        <v>0</v>
      </c>
      <c r="S44" s="45">
        <f>'Forwarding From Client'!L6</f>
        <v>0</v>
      </c>
      <c r="T44" s="48">
        <f t="shared" si="7"/>
        <v>0</v>
      </c>
      <c r="U44" s="45">
        <f>'Dala Restocking'!L6</f>
        <v>0</v>
      </c>
      <c r="V44" s="48">
        <f t="shared" si="8"/>
        <v>0</v>
      </c>
      <c r="W44" s="45">
        <f>'Client Restocking'!L6</f>
        <v>0</v>
      </c>
    </row>
    <row r="45">
      <c r="B45" s="83"/>
      <c r="C45" s="84"/>
      <c r="D45" s="83"/>
      <c r="E45" s="84"/>
      <c r="F45" s="85"/>
      <c r="G45" s="48">
        <f t="shared" si="1"/>
        <v>0</v>
      </c>
      <c r="H45" s="85"/>
      <c r="I45" s="85"/>
      <c r="J45" s="85"/>
      <c r="K45" s="85"/>
      <c r="L45" s="82">
        <f t="shared" si="2"/>
        <v>0</v>
      </c>
      <c r="M45" s="45">
        <f t="shared" si="3"/>
        <v>0</v>
      </c>
      <c r="N45" s="48">
        <f t="shared" si="4"/>
        <v>0</v>
      </c>
      <c r="O45" s="45">
        <f>'Dala Sales &amp; Deliveries'!L7</f>
        <v>0</v>
      </c>
      <c r="P45" s="48">
        <f t="shared" si="5"/>
        <v>0</v>
      </c>
      <c r="Q45" s="45">
        <f>'External Delivery Fulfillment'!L7</f>
        <v>0</v>
      </c>
      <c r="R45" s="48">
        <f t="shared" si="6"/>
        <v>0</v>
      </c>
      <c r="S45" s="45">
        <f>'Forwarding From Client'!L7</f>
        <v>0</v>
      </c>
      <c r="T45" s="48">
        <f t="shared" si="7"/>
        <v>0</v>
      </c>
      <c r="U45" s="45">
        <f>'Dala Restocking'!L7</f>
        <v>0</v>
      </c>
      <c r="V45" s="48">
        <f t="shared" si="8"/>
        <v>0</v>
      </c>
      <c r="W45" s="45">
        <f>'Client Restocking'!L7</f>
        <v>0</v>
      </c>
    </row>
    <row r="46">
      <c r="B46" s="83"/>
      <c r="C46" s="84"/>
      <c r="D46" s="83"/>
      <c r="E46" s="84"/>
      <c r="F46" s="85"/>
      <c r="G46" s="48">
        <f t="shared" si="1"/>
        <v>0</v>
      </c>
      <c r="H46" s="85"/>
      <c r="I46" s="85"/>
      <c r="J46" s="85"/>
      <c r="K46" s="85"/>
      <c r="L46" s="82">
        <f t="shared" si="2"/>
        <v>0</v>
      </c>
      <c r="M46" s="45">
        <f t="shared" si="3"/>
        <v>0</v>
      </c>
      <c r="N46" s="48">
        <f t="shared" si="4"/>
        <v>0</v>
      </c>
      <c r="O46" s="45">
        <f>'Dala Sales &amp; Deliveries'!L8</f>
        <v>0</v>
      </c>
      <c r="P46" s="48">
        <f t="shared" si="5"/>
        <v>0</v>
      </c>
      <c r="Q46" s="45">
        <f>'External Delivery Fulfillment'!L8</f>
        <v>0</v>
      </c>
      <c r="R46" s="48">
        <f t="shared" si="6"/>
        <v>0</v>
      </c>
      <c r="S46" s="45">
        <f>'Forwarding From Client'!L8</f>
        <v>0</v>
      </c>
      <c r="T46" s="48">
        <f t="shared" si="7"/>
        <v>0</v>
      </c>
      <c r="U46" s="45">
        <f>'Dala Restocking'!L8</f>
        <v>0</v>
      </c>
      <c r="V46" s="48">
        <f t="shared" si="8"/>
        <v>0</v>
      </c>
      <c r="W46" s="45">
        <f>'Client Restocking'!L8</f>
        <v>0</v>
      </c>
    </row>
    <row r="47">
      <c r="B47" s="83"/>
      <c r="C47" s="84"/>
      <c r="D47" s="83"/>
      <c r="E47" s="84"/>
      <c r="F47" s="85"/>
      <c r="G47" s="48">
        <f t="shared" si="1"/>
        <v>0</v>
      </c>
      <c r="H47" s="85"/>
      <c r="I47" s="85"/>
      <c r="J47" s="85"/>
      <c r="K47" s="85"/>
      <c r="L47" s="82">
        <f t="shared" si="2"/>
        <v>0</v>
      </c>
      <c r="M47" s="45">
        <f t="shared" si="3"/>
        <v>0</v>
      </c>
      <c r="N47" s="48">
        <f t="shared" si="4"/>
        <v>0</v>
      </c>
      <c r="O47" s="45">
        <f>'Dala Sales &amp; Deliveries'!L9</f>
        <v>0</v>
      </c>
      <c r="P47" s="48">
        <f t="shared" si="5"/>
        <v>0</v>
      </c>
      <c r="Q47" s="45">
        <f>'External Delivery Fulfillment'!L9</f>
        <v>0</v>
      </c>
      <c r="R47" s="48">
        <f t="shared" si="6"/>
        <v>0</v>
      </c>
      <c r="S47" s="45">
        <f>'Forwarding From Client'!L9</f>
        <v>0</v>
      </c>
      <c r="T47" s="48">
        <f t="shared" si="7"/>
        <v>0</v>
      </c>
      <c r="U47" s="45">
        <f>'Dala Restocking'!L9</f>
        <v>0</v>
      </c>
      <c r="V47" s="48">
        <f t="shared" si="8"/>
        <v>0</v>
      </c>
      <c r="W47" s="45">
        <f>'Client Restocking'!L9</f>
        <v>0</v>
      </c>
    </row>
    <row r="48">
      <c r="B48" s="83"/>
      <c r="C48" s="84"/>
      <c r="D48" s="83"/>
      <c r="E48" s="84"/>
      <c r="F48" s="85"/>
      <c r="G48" s="48">
        <f t="shared" si="1"/>
        <v>0</v>
      </c>
      <c r="H48" s="85"/>
      <c r="I48" s="85"/>
      <c r="J48" s="85"/>
      <c r="K48" s="85"/>
      <c r="L48" s="82">
        <f t="shared" si="2"/>
        <v>0</v>
      </c>
      <c r="M48" s="45">
        <f t="shared" si="3"/>
        <v>0</v>
      </c>
      <c r="N48" s="48">
        <f t="shared" si="4"/>
        <v>0</v>
      </c>
      <c r="O48" s="45">
        <f>'Dala Sales &amp; Deliveries'!L10</f>
        <v>0</v>
      </c>
      <c r="P48" s="48">
        <f t="shared" si="5"/>
        <v>0</v>
      </c>
      <c r="Q48" s="45">
        <f>'External Delivery Fulfillment'!L10</f>
        <v>0</v>
      </c>
      <c r="R48" s="48">
        <f t="shared" si="6"/>
        <v>0</v>
      </c>
      <c r="S48" s="45">
        <f>'Forwarding From Client'!L10</f>
        <v>0</v>
      </c>
      <c r="T48" s="48">
        <f t="shared" si="7"/>
        <v>0</v>
      </c>
      <c r="U48" s="45">
        <f>'Dala Restocking'!L10</f>
        <v>0</v>
      </c>
      <c r="V48" s="48">
        <f t="shared" si="8"/>
        <v>0</v>
      </c>
      <c r="W48" s="45">
        <f>'Client Restocking'!L10</f>
        <v>0</v>
      </c>
    </row>
    <row r="49">
      <c r="B49" s="83"/>
      <c r="C49" s="84"/>
      <c r="D49" s="83"/>
      <c r="E49" s="84"/>
      <c r="F49" s="85"/>
      <c r="G49" s="48">
        <f t="shared" si="1"/>
        <v>0</v>
      </c>
      <c r="H49" s="85"/>
      <c r="I49" s="85"/>
      <c r="J49" s="85"/>
      <c r="K49" s="85"/>
      <c r="L49" s="82">
        <f t="shared" si="2"/>
        <v>0</v>
      </c>
      <c r="M49" s="45">
        <f t="shared" si="3"/>
        <v>0</v>
      </c>
      <c r="N49" s="48">
        <f t="shared" si="4"/>
        <v>0</v>
      </c>
      <c r="O49" s="45">
        <f>'Dala Sales &amp; Deliveries'!L11</f>
        <v>0</v>
      </c>
      <c r="P49" s="48">
        <f t="shared" si="5"/>
        <v>0</v>
      </c>
      <c r="Q49" s="45">
        <f>'External Delivery Fulfillment'!L11</f>
        <v>0</v>
      </c>
      <c r="R49" s="48">
        <f t="shared" si="6"/>
        <v>0</v>
      </c>
      <c r="S49" s="45">
        <f>'Forwarding From Client'!L11</f>
        <v>0</v>
      </c>
      <c r="T49" s="48">
        <f t="shared" si="7"/>
        <v>0</v>
      </c>
      <c r="U49" s="45">
        <f>'Dala Restocking'!L11</f>
        <v>0</v>
      </c>
      <c r="V49" s="48">
        <f t="shared" si="8"/>
        <v>0</v>
      </c>
      <c r="W49" s="45">
        <f>'Client Restocking'!L11</f>
        <v>0</v>
      </c>
    </row>
    <row r="50">
      <c r="B50" s="83"/>
      <c r="C50" s="84"/>
      <c r="D50" s="83"/>
      <c r="E50" s="84"/>
      <c r="F50" s="85"/>
      <c r="G50" s="48">
        <f t="shared" si="1"/>
        <v>0</v>
      </c>
      <c r="H50" s="85"/>
      <c r="I50" s="85"/>
      <c r="J50" s="85"/>
      <c r="K50" s="85"/>
      <c r="L50" s="82">
        <f t="shared" si="2"/>
        <v>0</v>
      </c>
      <c r="M50" s="45">
        <f t="shared" si="3"/>
        <v>0</v>
      </c>
      <c r="N50" s="48">
        <f t="shared" si="4"/>
        <v>0</v>
      </c>
      <c r="O50" s="45">
        <f>'Dala Sales &amp; Deliveries'!L12</f>
        <v>0</v>
      </c>
      <c r="P50" s="48">
        <f t="shared" si="5"/>
        <v>0</v>
      </c>
      <c r="Q50" s="45">
        <f>'External Delivery Fulfillment'!L12</f>
        <v>0</v>
      </c>
      <c r="R50" s="48">
        <f t="shared" si="6"/>
        <v>0</v>
      </c>
      <c r="S50" s="45">
        <f>'Forwarding From Client'!L12</f>
        <v>0</v>
      </c>
      <c r="T50" s="48">
        <f t="shared" si="7"/>
        <v>0</v>
      </c>
      <c r="U50" s="45">
        <f>'Dala Restocking'!L12</f>
        <v>0</v>
      </c>
      <c r="V50" s="48">
        <f t="shared" si="8"/>
        <v>0</v>
      </c>
      <c r="W50" s="45">
        <f>'Client Restocking'!L12</f>
        <v>0</v>
      </c>
    </row>
    <row r="51">
      <c r="B51" s="83"/>
      <c r="C51" s="84"/>
      <c r="D51" s="83"/>
      <c r="E51" s="84"/>
      <c r="F51" s="85"/>
      <c r="G51" s="48">
        <f t="shared" si="1"/>
        <v>0</v>
      </c>
      <c r="H51" s="85"/>
      <c r="I51" s="85"/>
      <c r="J51" s="85"/>
      <c r="K51" s="85"/>
      <c r="L51" s="82">
        <f t="shared" si="2"/>
        <v>0</v>
      </c>
      <c r="M51" s="45">
        <f t="shared" si="3"/>
        <v>0</v>
      </c>
      <c r="N51" s="48">
        <f t="shared" si="4"/>
        <v>0</v>
      </c>
      <c r="O51" s="45">
        <f>'Dala Sales &amp; Deliveries'!L13</f>
        <v>0</v>
      </c>
      <c r="P51" s="48">
        <f t="shared" si="5"/>
        <v>0</v>
      </c>
      <c r="Q51" s="45">
        <f>'External Delivery Fulfillment'!L13</f>
        <v>0</v>
      </c>
      <c r="R51" s="48">
        <f t="shared" si="6"/>
        <v>0</v>
      </c>
      <c r="S51" s="45">
        <f>'Forwarding From Client'!L13</f>
        <v>0</v>
      </c>
      <c r="T51" s="48">
        <f t="shared" si="7"/>
        <v>0</v>
      </c>
      <c r="U51" s="45">
        <f>'Dala Restocking'!L13</f>
        <v>0</v>
      </c>
      <c r="V51" s="48">
        <f t="shared" si="8"/>
        <v>0</v>
      </c>
      <c r="W51" s="45">
        <f>'Client Restocking'!L13</f>
        <v>0</v>
      </c>
    </row>
    <row r="52">
      <c r="B52" s="85"/>
      <c r="C52" s="85"/>
      <c r="D52" s="85"/>
      <c r="E52" s="85"/>
      <c r="F52" s="85"/>
      <c r="G52" s="48">
        <f t="shared" si="1"/>
        <v>0</v>
      </c>
      <c r="H52" s="85"/>
      <c r="I52" s="85"/>
      <c r="J52" s="85"/>
      <c r="K52" s="85"/>
      <c r="L52" s="46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Deliveries'!L14</f>
        <v/>
      </c>
      <c r="P52" s="48">
        <f t="shared" si="5"/>
        <v>0</v>
      </c>
      <c r="Q52" s="48" t="str">
        <f>'External Delivery Fulfillment'!L14</f>
        <v/>
      </c>
      <c r="R52" s="48">
        <f t="shared" si="6"/>
        <v>0</v>
      </c>
      <c r="S52" s="48" t="str">
        <f>'Forwarding From Client'!L14</f>
        <v/>
      </c>
      <c r="T52" s="48">
        <f t="shared" si="7"/>
        <v>0</v>
      </c>
      <c r="U52" s="48" t="str">
        <f>'Dala Restocking'!L14</f>
        <v/>
      </c>
      <c r="V52" s="48">
        <f t="shared" si="8"/>
        <v>0</v>
      </c>
      <c r="W52" s="48" t="str">
        <f>'Client Restocking'!L14</f>
        <v/>
      </c>
    </row>
    <row r="53">
      <c r="B53" s="85"/>
      <c r="C53" s="85"/>
      <c r="D53" s="85"/>
      <c r="E53" s="85"/>
      <c r="F53" s="85"/>
      <c r="G53" s="48">
        <f t="shared" si="1"/>
        <v>0</v>
      </c>
      <c r="H53" s="85"/>
      <c r="I53" s="85"/>
      <c r="J53" s="85"/>
      <c r="K53" s="85"/>
      <c r="L53" s="46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Deliveries'!L15</f>
        <v/>
      </c>
      <c r="P53" s="48">
        <f t="shared" si="5"/>
        <v>0</v>
      </c>
      <c r="Q53" s="48" t="str">
        <f>'External Delivery Fulfillment'!L15</f>
        <v/>
      </c>
      <c r="R53" s="48">
        <f t="shared" si="6"/>
        <v>0</v>
      </c>
      <c r="S53" s="48" t="str">
        <f>'Forwarding From Client'!L15</f>
        <v/>
      </c>
      <c r="T53" s="48">
        <f t="shared" si="7"/>
        <v>0</v>
      </c>
      <c r="U53" s="48" t="str">
        <f>'Dala Restocking'!L15</f>
        <v/>
      </c>
      <c r="V53" s="48">
        <f t="shared" si="8"/>
        <v>0</v>
      </c>
      <c r="W53" s="48" t="str">
        <f>'Client Restocking'!L15</f>
        <v/>
      </c>
    </row>
    <row r="54">
      <c r="B54" s="85"/>
      <c r="C54" s="85"/>
      <c r="D54" s="85"/>
      <c r="E54" s="85"/>
      <c r="F54" s="85"/>
      <c r="G54" s="48">
        <f t="shared" si="1"/>
        <v>0</v>
      </c>
      <c r="H54" s="85"/>
      <c r="I54" s="85"/>
      <c r="J54" s="85"/>
      <c r="K54" s="85"/>
      <c r="L54" s="46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Deliveries'!L16</f>
        <v/>
      </c>
      <c r="P54" s="48">
        <f t="shared" si="5"/>
        <v>0</v>
      </c>
      <c r="Q54" s="48" t="str">
        <f>'External Delivery Fulfillment'!L16</f>
        <v/>
      </c>
      <c r="R54" s="48">
        <f t="shared" si="6"/>
        <v>0</v>
      </c>
      <c r="S54" s="48" t="str">
        <f>'Forwarding From Client'!L16</f>
        <v/>
      </c>
      <c r="T54" s="48">
        <f t="shared" si="7"/>
        <v>0</v>
      </c>
      <c r="U54" s="48" t="str">
        <f>'Dala Restocking'!L16</f>
        <v/>
      </c>
      <c r="V54" s="48">
        <f t="shared" si="8"/>
        <v>0</v>
      </c>
      <c r="W54" s="48" t="str">
        <f>'Client Restocking'!L16</f>
        <v/>
      </c>
    </row>
    <row r="55">
      <c r="B55" s="85"/>
      <c r="C55" s="85"/>
      <c r="D55" s="85"/>
      <c r="E55" s="85"/>
      <c r="F55" s="85"/>
      <c r="G55" s="48">
        <f t="shared" si="1"/>
        <v>0</v>
      </c>
      <c r="H55" s="85"/>
      <c r="I55" s="85"/>
      <c r="J55" s="85"/>
      <c r="K55" s="85"/>
      <c r="L55" s="46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Deliveries'!L17</f>
        <v/>
      </c>
      <c r="P55" s="48">
        <f t="shared" si="5"/>
        <v>0</v>
      </c>
      <c r="Q55" s="48" t="str">
        <f>'External Delivery Fulfillment'!L17</f>
        <v/>
      </c>
      <c r="R55" s="48">
        <f t="shared" si="6"/>
        <v>0</v>
      </c>
      <c r="S55" s="48" t="str">
        <f>'Forwarding From Client'!L17</f>
        <v/>
      </c>
      <c r="T55" s="48">
        <f t="shared" si="7"/>
        <v>0</v>
      </c>
      <c r="U55" s="48" t="str">
        <f>'Dala Restocking'!L17</f>
        <v/>
      </c>
      <c r="V55" s="48">
        <f t="shared" si="8"/>
        <v>0</v>
      </c>
      <c r="W55" s="48" t="str">
        <f>'Client Restocking'!L17</f>
        <v/>
      </c>
    </row>
    <row r="56">
      <c r="B56" s="85"/>
      <c r="C56" s="85"/>
      <c r="D56" s="85"/>
      <c r="E56" s="85"/>
      <c r="F56" s="85"/>
      <c r="G56" s="48">
        <f t="shared" si="1"/>
        <v>0</v>
      </c>
      <c r="H56" s="85"/>
      <c r="I56" s="85"/>
      <c r="J56" s="85"/>
      <c r="K56" s="85"/>
      <c r="L56" s="46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Deliveries'!L18</f>
        <v/>
      </c>
      <c r="P56" s="48">
        <f t="shared" si="5"/>
        <v>0</v>
      </c>
      <c r="Q56" s="48" t="str">
        <f>'External Delivery Fulfillment'!L18</f>
        <v/>
      </c>
      <c r="R56" s="48">
        <f t="shared" si="6"/>
        <v>0</v>
      </c>
      <c r="S56" s="48" t="str">
        <f>'Forwarding From Client'!L18</f>
        <v/>
      </c>
      <c r="T56" s="48">
        <f t="shared" si="7"/>
        <v>0</v>
      </c>
      <c r="U56" s="48" t="str">
        <f>'Dala Restocking'!L18</f>
        <v/>
      </c>
      <c r="V56" s="48">
        <f t="shared" si="8"/>
        <v>0</v>
      </c>
      <c r="W56" s="48" t="str">
        <f>'Client Restocking'!L18</f>
        <v/>
      </c>
    </row>
    <row r="57">
      <c r="B57" s="85"/>
      <c r="C57" s="85"/>
      <c r="D57" s="85"/>
      <c r="E57" s="85"/>
      <c r="F57" s="85"/>
      <c r="G57" s="48">
        <f t="shared" si="1"/>
        <v>0</v>
      </c>
      <c r="H57" s="85"/>
      <c r="I57" s="85"/>
      <c r="J57" s="85"/>
      <c r="K57" s="85"/>
      <c r="L57" s="46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Deliveries'!L19</f>
        <v/>
      </c>
      <c r="P57" s="48">
        <f t="shared" si="5"/>
        <v>0</v>
      </c>
      <c r="Q57" s="48" t="str">
        <f>'External Delivery Fulfillment'!L19</f>
        <v/>
      </c>
      <c r="R57" s="48">
        <f t="shared" si="6"/>
        <v>0</v>
      </c>
      <c r="S57" s="48" t="str">
        <f>'Forwarding From Client'!L19</f>
        <v/>
      </c>
      <c r="T57" s="48">
        <f t="shared" si="7"/>
        <v>0</v>
      </c>
      <c r="U57" s="48" t="str">
        <f>'Dala Restocking'!L19</f>
        <v/>
      </c>
      <c r="V57" s="48">
        <f t="shared" si="8"/>
        <v>0</v>
      </c>
      <c r="W57" s="48" t="str">
        <f>'Client Restocking'!L19</f>
        <v/>
      </c>
    </row>
    <row r="58">
      <c r="B58" s="85"/>
      <c r="C58" s="85"/>
      <c r="D58" s="85"/>
      <c r="E58" s="85"/>
      <c r="F58" s="85"/>
      <c r="G58" s="48">
        <f t="shared" si="1"/>
        <v>0</v>
      </c>
      <c r="H58" s="85"/>
      <c r="I58" s="85"/>
      <c r="J58" s="85"/>
      <c r="K58" s="85"/>
      <c r="L58" s="46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Deliveries'!L20</f>
        <v/>
      </c>
      <c r="P58" s="48">
        <f t="shared" si="5"/>
        <v>0</v>
      </c>
      <c r="Q58" s="48" t="str">
        <f>'External Delivery Fulfillment'!L20</f>
        <v/>
      </c>
      <c r="R58" s="48">
        <f t="shared" si="6"/>
        <v>0</v>
      </c>
      <c r="S58" s="48" t="str">
        <f>'Forwarding From Client'!L20</f>
        <v/>
      </c>
      <c r="T58" s="48">
        <f t="shared" si="7"/>
        <v>0</v>
      </c>
      <c r="U58" s="48" t="str">
        <f>'Dala Restocking'!L20</f>
        <v/>
      </c>
      <c r="V58" s="48">
        <f t="shared" si="8"/>
        <v>0</v>
      </c>
      <c r="W58" s="48" t="str">
        <f>'Client Restocking'!L20</f>
        <v/>
      </c>
    </row>
    <row r="59">
      <c r="B59" s="85"/>
      <c r="C59" s="85"/>
      <c r="D59" s="85"/>
      <c r="E59" s="85"/>
      <c r="F59" s="85"/>
      <c r="G59" s="48">
        <f t="shared" si="1"/>
        <v>0</v>
      </c>
      <c r="H59" s="85"/>
      <c r="I59" s="85"/>
      <c r="J59" s="85"/>
      <c r="K59" s="85"/>
      <c r="L59" s="46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Deliveries'!L21</f>
        <v/>
      </c>
      <c r="P59" s="48">
        <f t="shared" si="5"/>
        <v>0</v>
      </c>
      <c r="Q59" s="48" t="str">
        <f>'External Delivery Fulfillment'!L21</f>
        <v/>
      </c>
      <c r="R59" s="48">
        <f t="shared" si="6"/>
        <v>0</v>
      </c>
      <c r="S59" s="48" t="str">
        <f>'Forwarding From Client'!L21</f>
        <v/>
      </c>
      <c r="T59" s="48">
        <f t="shared" si="7"/>
        <v>0</v>
      </c>
      <c r="U59" s="48" t="str">
        <f>'Dala Restocking'!L21</f>
        <v/>
      </c>
      <c r="V59" s="48">
        <f t="shared" si="8"/>
        <v>0</v>
      </c>
      <c r="W59" s="48" t="str">
        <f>'Client Restocking'!L21</f>
        <v/>
      </c>
    </row>
    <row r="60">
      <c r="B60" s="85"/>
      <c r="C60" s="85"/>
      <c r="D60" s="85"/>
      <c r="E60" s="85"/>
      <c r="F60" s="85"/>
      <c r="G60" s="48">
        <f t="shared" si="1"/>
        <v>0</v>
      </c>
      <c r="H60" s="85"/>
      <c r="I60" s="85"/>
      <c r="J60" s="85"/>
      <c r="K60" s="85"/>
      <c r="L60" s="46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Deliveries'!L22</f>
        <v/>
      </c>
      <c r="P60" s="48">
        <f t="shared" si="5"/>
        <v>0</v>
      </c>
      <c r="Q60" s="48" t="str">
        <f>'External Delivery Fulfillment'!L22</f>
        <v/>
      </c>
      <c r="R60" s="48">
        <f t="shared" si="6"/>
        <v>0</v>
      </c>
      <c r="S60" s="48" t="str">
        <f>'Forwarding From Client'!L22</f>
        <v/>
      </c>
      <c r="T60" s="48">
        <f t="shared" si="7"/>
        <v>0</v>
      </c>
      <c r="U60" s="48" t="str">
        <f>'Dala Restocking'!L22</f>
        <v/>
      </c>
      <c r="V60" s="48">
        <f t="shared" si="8"/>
        <v>0</v>
      </c>
      <c r="W60" s="48" t="str">
        <f>'Client Restocking'!L22</f>
        <v/>
      </c>
    </row>
    <row r="61">
      <c r="B61" s="85"/>
      <c r="C61" s="85"/>
      <c r="D61" s="85"/>
      <c r="E61" s="85"/>
      <c r="F61" s="85"/>
      <c r="G61" s="48">
        <f t="shared" si="1"/>
        <v>0</v>
      </c>
      <c r="H61" s="85"/>
      <c r="I61" s="85"/>
      <c r="J61" s="85"/>
      <c r="K61" s="85"/>
      <c r="L61" s="46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Deliveries'!L23</f>
        <v/>
      </c>
      <c r="P61" s="48">
        <f t="shared" si="5"/>
        <v>0</v>
      </c>
      <c r="Q61" s="48" t="str">
        <f>'External Delivery Fulfillment'!L23</f>
        <v/>
      </c>
      <c r="R61" s="48">
        <f t="shared" si="6"/>
        <v>0</v>
      </c>
      <c r="S61" s="48" t="str">
        <f>'Forwarding From Client'!L23</f>
        <v/>
      </c>
      <c r="T61" s="48">
        <f t="shared" si="7"/>
        <v>0</v>
      </c>
      <c r="U61" s="48" t="str">
        <f>'Dala Restocking'!L23</f>
        <v/>
      </c>
      <c r="V61" s="48">
        <f t="shared" si="8"/>
        <v>0</v>
      </c>
      <c r="W61" s="48" t="str">
        <f>'Client Restocking'!L23</f>
        <v/>
      </c>
    </row>
    <row r="62">
      <c r="B62" s="85"/>
      <c r="C62" s="85"/>
      <c r="D62" s="85"/>
      <c r="E62" s="85"/>
      <c r="F62" s="85"/>
      <c r="G62" s="48">
        <f t="shared" si="1"/>
        <v>0</v>
      </c>
      <c r="H62" s="85"/>
      <c r="I62" s="85"/>
      <c r="J62" s="85"/>
      <c r="K62" s="85"/>
      <c r="L62" s="46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Deliveries'!L24</f>
        <v/>
      </c>
      <c r="P62" s="48">
        <f t="shared" si="5"/>
        <v>0</v>
      </c>
      <c r="Q62" s="48" t="str">
        <f>'External Delivery Fulfillment'!L24</f>
        <v/>
      </c>
      <c r="R62" s="48">
        <f t="shared" si="6"/>
        <v>0</v>
      </c>
      <c r="S62" s="48" t="str">
        <f>'Forwarding From Client'!L24</f>
        <v/>
      </c>
      <c r="T62" s="48">
        <f t="shared" si="7"/>
        <v>0</v>
      </c>
      <c r="U62" s="48" t="str">
        <f>'Dala Restocking'!L24</f>
        <v/>
      </c>
      <c r="V62" s="48">
        <f t="shared" si="8"/>
        <v>0</v>
      </c>
      <c r="W62" s="48" t="str">
        <f>'Client Restocking'!L24</f>
        <v/>
      </c>
    </row>
    <row r="63">
      <c r="B63" s="85"/>
      <c r="C63" s="85"/>
      <c r="D63" s="85"/>
      <c r="E63" s="85"/>
      <c r="F63" s="85"/>
      <c r="G63" s="48">
        <f t="shared" si="1"/>
        <v>0</v>
      </c>
      <c r="H63" s="85"/>
      <c r="I63" s="85"/>
      <c r="J63" s="85"/>
      <c r="K63" s="85"/>
      <c r="L63" s="46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Deliveries'!L25</f>
        <v/>
      </c>
      <c r="P63" s="48">
        <f t="shared" si="5"/>
        <v>0</v>
      </c>
      <c r="Q63" s="48" t="str">
        <f>'External Delivery Fulfillment'!L25</f>
        <v/>
      </c>
      <c r="R63" s="48">
        <f t="shared" si="6"/>
        <v>0</v>
      </c>
      <c r="S63" s="48" t="str">
        <f>'Forwarding From Client'!L25</f>
        <v/>
      </c>
      <c r="T63" s="48">
        <f t="shared" si="7"/>
        <v>0</v>
      </c>
      <c r="U63" s="48" t="str">
        <f>'Dala Restocking'!L25</f>
        <v/>
      </c>
      <c r="V63" s="48">
        <f t="shared" si="8"/>
        <v>0</v>
      </c>
      <c r="W63" s="48" t="str">
        <f>'Client Restocking'!L25</f>
        <v/>
      </c>
    </row>
    <row r="64">
      <c r="B64" s="85"/>
      <c r="C64" s="85"/>
      <c r="D64" s="85"/>
      <c r="E64" s="85"/>
      <c r="F64" s="85"/>
      <c r="G64" s="48">
        <f t="shared" si="1"/>
        <v>0</v>
      </c>
      <c r="H64" s="85"/>
      <c r="I64" s="85"/>
      <c r="J64" s="85"/>
      <c r="K64" s="85"/>
      <c r="L64" s="46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Deliveries'!L26</f>
        <v/>
      </c>
      <c r="P64" s="48">
        <f t="shared" si="5"/>
        <v>0</v>
      </c>
      <c r="Q64" s="48" t="str">
        <f>'External Delivery Fulfillment'!L26</f>
        <v/>
      </c>
      <c r="R64" s="48">
        <f t="shared" si="6"/>
        <v>0</v>
      </c>
      <c r="S64" s="48" t="str">
        <f>'Forwarding From Client'!L26</f>
        <v/>
      </c>
      <c r="T64" s="48">
        <f t="shared" si="7"/>
        <v>0</v>
      </c>
      <c r="U64" s="48" t="str">
        <f>'Dala Restocking'!L26</f>
        <v/>
      </c>
      <c r="V64" s="48">
        <f t="shared" si="8"/>
        <v>0</v>
      </c>
      <c r="W64" s="48" t="str">
        <f>'Client Restocking'!L26</f>
        <v/>
      </c>
    </row>
    <row r="65">
      <c r="B65" s="85"/>
      <c r="C65" s="85"/>
      <c r="D65" s="85"/>
      <c r="E65" s="85"/>
      <c r="F65" s="85"/>
      <c r="G65" s="48">
        <f t="shared" si="1"/>
        <v>0</v>
      </c>
      <c r="H65" s="85"/>
      <c r="I65" s="85"/>
      <c r="J65" s="85"/>
      <c r="K65" s="85"/>
      <c r="L65" s="46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Deliveries'!L27</f>
        <v/>
      </c>
      <c r="P65" s="48">
        <f t="shared" si="5"/>
        <v>0</v>
      </c>
      <c r="Q65" s="48" t="str">
        <f>'External Delivery Fulfillment'!L27</f>
        <v/>
      </c>
      <c r="R65" s="48">
        <f t="shared" si="6"/>
        <v>0</v>
      </c>
      <c r="S65" s="48" t="str">
        <f>'Forwarding From Client'!L27</f>
        <v/>
      </c>
      <c r="T65" s="48">
        <f t="shared" si="7"/>
        <v>0</v>
      </c>
      <c r="U65" s="48" t="str">
        <f>'Dala Restocking'!L27</f>
        <v/>
      </c>
      <c r="V65" s="48">
        <f t="shared" si="8"/>
        <v>0</v>
      </c>
      <c r="W65" s="48" t="str">
        <f>'Client Restocking'!L27</f>
        <v/>
      </c>
    </row>
    <row r="66">
      <c r="B66" s="85"/>
      <c r="C66" s="85"/>
      <c r="D66" s="85"/>
      <c r="E66" s="85"/>
      <c r="F66" s="85"/>
      <c r="G66" s="48">
        <f t="shared" si="1"/>
        <v>0</v>
      </c>
      <c r="H66" s="85"/>
      <c r="I66" s="85"/>
      <c r="J66" s="85"/>
      <c r="K66" s="85"/>
      <c r="L66" s="46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Deliveries'!L28</f>
        <v/>
      </c>
      <c r="P66" s="48">
        <f t="shared" si="5"/>
        <v>0</v>
      </c>
      <c r="Q66" s="48" t="str">
        <f>'External Delivery Fulfillment'!L28</f>
        <v/>
      </c>
      <c r="R66" s="48">
        <f t="shared" si="6"/>
        <v>0</v>
      </c>
      <c r="S66" s="48" t="str">
        <f>'Forwarding From Client'!L28</f>
        <v/>
      </c>
      <c r="T66" s="48">
        <f t="shared" si="7"/>
        <v>0</v>
      </c>
      <c r="U66" s="48" t="str">
        <f>'Dala Restocking'!L28</f>
        <v/>
      </c>
      <c r="V66" s="48">
        <f t="shared" si="8"/>
        <v>0</v>
      </c>
      <c r="W66" s="48" t="str">
        <f>'Client Restocking'!L28</f>
        <v/>
      </c>
    </row>
    <row r="67">
      <c r="B67" s="85"/>
      <c r="C67" s="85"/>
      <c r="D67" s="85"/>
      <c r="E67" s="85"/>
      <c r="F67" s="85"/>
      <c r="G67" s="48">
        <f t="shared" si="1"/>
        <v>0</v>
      </c>
      <c r="H67" s="85"/>
      <c r="I67" s="85"/>
      <c r="J67" s="85"/>
      <c r="K67" s="85"/>
      <c r="L67" s="46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Deliveries'!L29</f>
        <v/>
      </c>
      <c r="P67" s="48">
        <f t="shared" si="5"/>
        <v>0</v>
      </c>
      <c r="Q67" s="48" t="str">
        <f>'External Delivery Fulfillment'!L29</f>
        <v/>
      </c>
      <c r="R67" s="48">
        <f t="shared" si="6"/>
        <v>0</v>
      </c>
      <c r="S67" s="48" t="str">
        <f>'Forwarding From Client'!L29</f>
        <v/>
      </c>
      <c r="T67" s="48">
        <f t="shared" si="7"/>
        <v>0</v>
      </c>
      <c r="U67" s="48" t="str">
        <f>'Dala Restocking'!L29</f>
        <v/>
      </c>
      <c r="V67" s="48">
        <f t="shared" si="8"/>
        <v>0</v>
      </c>
      <c r="W67" s="48" t="str">
        <f>'Client Restocking'!L29</f>
        <v/>
      </c>
    </row>
    <row r="68">
      <c r="B68" s="85"/>
      <c r="C68" s="85"/>
      <c r="D68" s="85"/>
      <c r="E68" s="85"/>
      <c r="F68" s="85"/>
      <c r="G68" s="48">
        <f t="shared" si="1"/>
        <v>0</v>
      </c>
      <c r="H68" s="85"/>
      <c r="I68" s="85"/>
      <c r="J68" s="85"/>
      <c r="K68" s="85"/>
      <c r="L68" s="46">
        <f t="shared" si="2"/>
        <v>0</v>
      </c>
      <c r="M68" s="48">
        <f t="shared" si="3"/>
        <v>0</v>
      </c>
      <c r="N68" s="48">
        <f t="shared" si="4"/>
        <v>0</v>
      </c>
      <c r="O68" s="48" t="str">
        <f>'Dala Sales &amp; Deliveries'!L30</f>
        <v/>
      </c>
      <c r="P68" s="48">
        <f t="shared" si="5"/>
        <v>0</v>
      </c>
      <c r="Q68" s="48" t="str">
        <f>'External Delivery Fulfillment'!L30</f>
        <v/>
      </c>
      <c r="R68" s="48">
        <f t="shared" si="6"/>
        <v>0</v>
      </c>
      <c r="S68" s="48" t="str">
        <f>'Forwarding From Client'!L30</f>
        <v/>
      </c>
      <c r="T68" s="48">
        <f t="shared" si="7"/>
        <v>0</v>
      </c>
      <c r="U68" s="48" t="str">
        <f>'Dala Restocking'!L30</f>
        <v/>
      </c>
      <c r="V68" s="48">
        <f t="shared" si="8"/>
        <v>0</v>
      </c>
      <c r="W68" s="48" t="str">
        <f>'Client Restocking'!L30</f>
        <v/>
      </c>
    </row>
    <row r="69">
      <c r="B69" s="46" t="s">
        <v>98</v>
      </c>
      <c r="C69" s="46"/>
      <c r="D69" s="46"/>
      <c r="E69" s="48"/>
      <c r="F69" s="86">
        <f t="shared" ref="F69:W69" si="9">sum(F40:F68)</f>
        <v>0</v>
      </c>
      <c r="G69" s="86">
        <f t="shared" si="9"/>
        <v>0</v>
      </c>
      <c r="H69" s="86">
        <f t="shared" si="9"/>
        <v>20</v>
      </c>
      <c r="I69" s="86">
        <f t="shared" si="9"/>
        <v>0</v>
      </c>
      <c r="J69" s="86">
        <f t="shared" si="9"/>
        <v>0</v>
      </c>
      <c r="K69" s="86">
        <f t="shared" si="9"/>
        <v>6.5</v>
      </c>
      <c r="L69" s="45">
        <f t="shared" si="9"/>
        <v>17</v>
      </c>
      <c r="M69" s="45">
        <f t="shared" si="9"/>
        <v>-10.5</v>
      </c>
      <c r="N69" s="48">
        <f t="shared" si="9"/>
        <v>-882000</v>
      </c>
      <c r="O69" s="45">
        <f t="shared" si="9"/>
        <v>3</v>
      </c>
      <c r="P69" s="48">
        <f t="shared" si="9"/>
        <v>7050</v>
      </c>
      <c r="Q69" s="45">
        <f t="shared" si="9"/>
        <v>0</v>
      </c>
      <c r="R69" s="48">
        <f t="shared" si="9"/>
        <v>0</v>
      </c>
      <c r="S69" s="45">
        <f t="shared" si="9"/>
        <v>0</v>
      </c>
      <c r="T69" s="48">
        <f t="shared" si="9"/>
        <v>0</v>
      </c>
      <c r="U69" s="45">
        <f t="shared" si="9"/>
        <v>0</v>
      </c>
      <c r="V69" s="48">
        <f t="shared" si="9"/>
        <v>0</v>
      </c>
      <c r="W69" s="45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4" t="s">
        <v>38</v>
      </c>
      <c r="C1" s="44" t="s">
        <v>30</v>
      </c>
      <c r="D1" s="44" t="s">
        <v>39</v>
      </c>
      <c r="E1" s="44" t="s">
        <v>40</v>
      </c>
      <c r="F1" s="51"/>
    </row>
    <row r="2">
      <c r="A2" s="52" t="s">
        <v>17</v>
      </c>
      <c r="B2" s="53" t="s">
        <v>28</v>
      </c>
      <c r="C2" s="55"/>
      <c r="D2" s="55"/>
      <c r="E2" s="87">
        <f>'Dala Sales &amp; Deliveries'!I1+'External Delivery Fulfillment'!I1+'Forwarding From Client'!I1</f>
        <v>5</v>
      </c>
      <c r="F2" s="51"/>
    </row>
    <row r="3">
      <c r="A3" s="57"/>
      <c r="B3" s="53" t="s">
        <v>41</v>
      </c>
      <c r="C3" s="55"/>
      <c r="D3" s="55"/>
      <c r="E3" s="87">
        <f>'Raw Data'!AX2</f>
        <v>4</v>
      </c>
      <c r="F3" s="51"/>
    </row>
    <row r="4">
      <c r="B4" s="59" t="s">
        <v>42</v>
      </c>
      <c r="C4" s="51"/>
      <c r="D4" s="51"/>
      <c r="E4" s="88">
        <f>'Dala Sales &amp; Deliveries'!I3</f>
        <v>235883.71</v>
      </c>
      <c r="F4" s="51"/>
    </row>
    <row r="5">
      <c r="B5" s="59" t="s">
        <v>100</v>
      </c>
      <c r="C5" s="51"/>
      <c r="D5" s="51"/>
      <c r="E5" s="88">
        <f>E4*1.075-E4</f>
        <v>17691.27825</v>
      </c>
      <c r="F5" s="51"/>
    </row>
    <row r="6">
      <c r="A6" s="64"/>
      <c r="B6" s="65" t="s">
        <v>45</v>
      </c>
      <c r="C6" s="73"/>
      <c r="D6" s="71"/>
      <c r="E6" s="67">
        <f>sum(E4:E5)</f>
        <v>253574.9883</v>
      </c>
      <c r="F6" s="51"/>
    </row>
    <row r="7">
      <c r="A7" s="52" t="s">
        <v>46</v>
      </c>
      <c r="B7" s="53" t="s">
        <v>47</v>
      </c>
      <c r="C7" s="55"/>
      <c r="D7" s="68"/>
      <c r="E7" s="89"/>
    </row>
    <row r="8">
      <c r="A8" s="57"/>
      <c r="B8" s="53" t="s">
        <v>53</v>
      </c>
      <c r="C8" s="90">
        <v>0.07</v>
      </c>
      <c r="D8" s="68"/>
      <c r="E8" s="56">
        <f>E7*(C8+100%)-E7</f>
        <v>0</v>
      </c>
      <c r="K8" s="17"/>
      <c r="L8" s="17"/>
      <c r="M8" s="17"/>
      <c r="N8" s="17"/>
    </row>
    <row r="9">
      <c r="A9" s="64"/>
      <c r="B9" s="65" t="s">
        <v>48</v>
      </c>
      <c r="C9" s="70">
        <v>0.1</v>
      </c>
      <c r="D9" s="71"/>
      <c r="E9" s="67">
        <f>E7*(C9+100%)-E7</f>
        <v>0</v>
      </c>
      <c r="K9" s="17"/>
      <c r="L9" s="17"/>
      <c r="M9" s="17"/>
      <c r="N9" s="17"/>
    </row>
    <row r="10">
      <c r="A10" s="52" t="s">
        <v>51</v>
      </c>
      <c r="B10" s="53" t="s">
        <v>52</v>
      </c>
      <c r="C10" s="74">
        <v>1.0</v>
      </c>
      <c r="D10" s="56">
        <v>100000.0</v>
      </c>
      <c r="E10" s="56">
        <f>C10*D10</f>
        <v>100000</v>
      </c>
    </row>
    <row r="11">
      <c r="A11" s="57"/>
      <c r="B11" s="62" t="s">
        <v>101</v>
      </c>
      <c r="C11" s="55"/>
      <c r="D11" s="58"/>
      <c r="E11" s="56">
        <f>V67</f>
        <v>0</v>
      </c>
    </row>
    <row r="12">
      <c r="A12" s="57"/>
      <c r="B12" s="62" t="s">
        <v>68</v>
      </c>
      <c r="C12" s="55"/>
      <c r="D12" s="58"/>
      <c r="E12" s="56">
        <f>R67</f>
        <v>0</v>
      </c>
    </row>
    <row r="13">
      <c r="A13" s="57"/>
      <c r="B13" s="53" t="s">
        <v>55</v>
      </c>
      <c r="C13" s="68"/>
      <c r="D13" s="68"/>
      <c r="E13" s="69">
        <v>0.0</v>
      </c>
    </row>
    <row r="14">
      <c r="A14" s="57"/>
      <c r="B14" s="53" t="s">
        <v>56</v>
      </c>
      <c r="C14" s="68"/>
      <c r="D14" s="68"/>
      <c r="E14" s="56">
        <f>C28</f>
        <v>0</v>
      </c>
    </row>
    <row r="15">
      <c r="A15" s="64"/>
      <c r="B15" s="65" t="s">
        <v>102</v>
      </c>
      <c r="C15" s="71"/>
      <c r="D15" s="71"/>
      <c r="E15" s="67">
        <f>sum(E10:E14)</f>
        <v>100000</v>
      </c>
    </row>
    <row r="16">
      <c r="A16" s="78"/>
      <c r="B16" s="78"/>
      <c r="C16" s="78"/>
      <c r="D16" s="78"/>
      <c r="E16" s="78"/>
      <c r="H16" s="77"/>
      <c r="I16" s="77"/>
      <c r="J16" s="77"/>
      <c r="K16" s="77"/>
      <c r="L16" s="77"/>
      <c r="M16" s="77"/>
      <c r="N16" s="77"/>
      <c r="O16" s="77"/>
    </row>
    <row r="17">
      <c r="A17" s="1"/>
      <c r="B17" s="78"/>
      <c r="C17" s="78"/>
      <c r="D17" s="78"/>
      <c r="E17" s="78"/>
      <c r="H17" s="77"/>
      <c r="I17" s="77"/>
      <c r="J17" s="77"/>
      <c r="K17" s="77"/>
      <c r="L17" s="77"/>
      <c r="M17" s="77"/>
      <c r="N17" s="77"/>
      <c r="O17" s="77"/>
    </row>
    <row r="18">
      <c r="A18" s="1" t="s">
        <v>60</v>
      </c>
      <c r="B18" s="78"/>
      <c r="C18" s="78"/>
      <c r="D18" s="78"/>
      <c r="E18" s="78"/>
      <c r="H18" s="77"/>
      <c r="I18" s="77"/>
      <c r="J18" s="77"/>
      <c r="K18" s="77"/>
      <c r="L18" s="77"/>
      <c r="M18" s="77"/>
      <c r="N18" s="77"/>
      <c r="O18" s="77"/>
    </row>
    <row r="19">
      <c r="A19" s="78"/>
      <c r="B19" s="44" t="s">
        <v>61</v>
      </c>
      <c r="C19" s="79">
        <f>U67</f>
        <v>0</v>
      </c>
      <c r="D19" s="78"/>
      <c r="H19" s="91"/>
      <c r="I19" s="80"/>
      <c r="J19" s="80"/>
      <c r="K19" s="80"/>
      <c r="L19" s="80"/>
      <c r="M19" s="81"/>
      <c r="N19" s="77"/>
      <c r="O19" s="77"/>
    </row>
    <row r="20">
      <c r="A20" s="78"/>
      <c r="B20" s="44" t="s">
        <v>62</v>
      </c>
      <c r="C20" s="79">
        <f>V67</f>
        <v>0</v>
      </c>
      <c r="D20" s="78"/>
      <c r="H20" s="91"/>
      <c r="I20" s="80"/>
      <c r="J20" s="80"/>
      <c r="K20" s="80"/>
      <c r="L20" s="80"/>
      <c r="M20" s="81"/>
      <c r="N20" s="77"/>
      <c r="O20" s="77"/>
    </row>
    <row r="21">
      <c r="A21" s="78"/>
      <c r="B21" s="44" t="s">
        <v>63</v>
      </c>
      <c r="C21" s="79">
        <f>S67</f>
        <v>0</v>
      </c>
      <c r="D21" s="78"/>
      <c r="H21" s="91"/>
      <c r="I21" s="80"/>
      <c r="J21" s="80"/>
      <c r="K21" s="80"/>
      <c r="L21" s="80"/>
      <c r="M21" s="81"/>
      <c r="N21" s="77"/>
      <c r="O21" s="77"/>
    </row>
    <row r="22">
      <c r="A22" s="78"/>
      <c r="B22" s="44" t="s">
        <v>64</v>
      </c>
      <c r="C22" s="79">
        <f>T67</f>
        <v>0</v>
      </c>
      <c r="D22" s="78"/>
      <c r="H22" s="91"/>
      <c r="I22" s="80"/>
      <c r="J22" s="80"/>
      <c r="K22" s="80"/>
      <c r="L22" s="80"/>
      <c r="M22" s="81"/>
      <c r="N22" s="77"/>
      <c r="O22" s="77"/>
    </row>
    <row r="23">
      <c r="A23" s="78"/>
      <c r="B23" s="44" t="s">
        <v>65</v>
      </c>
      <c r="C23" s="79">
        <f>O67</f>
        <v>3</v>
      </c>
      <c r="D23" s="78"/>
      <c r="H23" s="91"/>
      <c r="I23" s="80"/>
      <c r="J23" s="80"/>
      <c r="K23" s="80"/>
      <c r="L23" s="80"/>
      <c r="M23" s="81"/>
      <c r="N23" s="77"/>
      <c r="O23" s="77"/>
    </row>
    <row r="24">
      <c r="A24" s="78"/>
      <c r="B24" s="44" t="s">
        <v>66</v>
      </c>
      <c r="C24" s="79">
        <f>P67</f>
        <v>7050</v>
      </c>
      <c r="D24" s="78"/>
      <c r="H24" s="91"/>
      <c r="I24" s="80"/>
      <c r="J24" s="80"/>
      <c r="K24" s="80"/>
      <c r="L24" s="80"/>
      <c r="M24" s="81"/>
      <c r="N24" s="77"/>
      <c r="O24" s="77"/>
    </row>
    <row r="25">
      <c r="A25" s="78"/>
      <c r="B25" s="44" t="s">
        <v>67</v>
      </c>
      <c r="C25" s="79">
        <f>Q67</f>
        <v>0</v>
      </c>
      <c r="D25" s="78"/>
      <c r="H25" s="91"/>
      <c r="I25" s="80"/>
      <c r="J25" s="80"/>
      <c r="K25" s="80"/>
      <c r="L25" s="80"/>
      <c r="M25" s="81"/>
      <c r="N25" s="77"/>
      <c r="O25" s="77"/>
    </row>
    <row r="26">
      <c r="A26" s="78"/>
      <c r="B26" s="44" t="s">
        <v>68</v>
      </c>
      <c r="C26" s="79">
        <f>R67</f>
        <v>0</v>
      </c>
      <c r="D26" s="78"/>
    </row>
    <row r="27">
      <c r="A27" s="78"/>
      <c r="B27" s="44" t="s">
        <v>69</v>
      </c>
      <c r="C27" s="79">
        <f>F67</f>
        <v>0</v>
      </c>
      <c r="D27" s="78"/>
    </row>
    <row r="28">
      <c r="A28" s="78"/>
      <c r="B28" s="44" t="s">
        <v>70</v>
      </c>
      <c r="C28" s="79">
        <f>G67</f>
        <v>0</v>
      </c>
      <c r="D28" s="78"/>
    </row>
    <row r="29">
      <c r="A29" s="78"/>
      <c r="B29" s="44" t="s">
        <v>71</v>
      </c>
      <c r="C29" s="79">
        <f>I67</f>
        <v>0</v>
      </c>
      <c r="D29" s="78"/>
    </row>
    <row r="30">
      <c r="A30" s="78"/>
      <c r="B30" s="44" t="s">
        <v>103</v>
      </c>
      <c r="C30" s="79">
        <f>J67</f>
        <v>0</v>
      </c>
      <c r="D30" s="78"/>
    </row>
    <row r="31">
      <c r="A31" s="78"/>
      <c r="B31" s="44" t="s">
        <v>73</v>
      </c>
      <c r="C31" s="79">
        <f>L67</f>
        <v>-3</v>
      </c>
      <c r="D31" s="78"/>
    </row>
    <row r="32">
      <c r="A32" s="78"/>
      <c r="B32" s="44" t="s">
        <v>74</v>
      </c>
      <c r="C32" s="79">
        <f>K67</f>
        <v>12.5</v>
      </c>
      <c r="D32" s="78"/>
    </row>
    <row r="33">
      <c r="A33" s="78"/>
      <c r="B33" s="44" t="s">
        <v>75</v>
      </c>
      <c r="C33" s="79">
        <f>M67</f>
        <v>15.5</v>
      </c>
      <c r="D33" s="78"/>
    </row>
    <row r="34">
      <c r="A34" s="78"/>
      <c r="B34" s="44" t="s">
        <v>76</v>
      </c>
      <c r="C34" s="79">
        <v>0.0</v>
      </c>
      <c r="D34" s="78"/>
    </row>
    <row r="36">
      <c r="A36" s="92"/>
    </row>
    <row r="37">
      <c r="A37" s="58"/>
      <c r="B37" s="93" t="s">
        <v>77</v>
      </c>
      <c r="C37" s="44" t="s">
        <v>78</v>
      </c>
      <c r="D37" s="44" t="s">
        <v>79</v>
      </c>
      <c r="E37" s="44" t="s">
        <v>80</v>
      </c>
      <c r="F37" s="46" t="s">
        <v>81</v>
      </c>
      <c r="G37" s="46" t="s">
        <v>82</v>
      </c>
      <c r="H37" s="46" t="s">
        <v>83</v>
      </c>
      <c r="I37" s="46" t="s">
        <v>84</v>
      </c>
      <c r="J37" s="46" t="s">
        <v>85</v>
      </c>
      <c r="K37" s="46" t="s">
        <v>86</v>
      </c>
      <c r="L37" s="46" t="s">
        <v>73</v>
      </c>
      <c r="M37" s="46" t="s">
        <v>75</v>
      </c>
      <c r="N37" s="46" t="s">
        <v>87</v>
      </c>
      <c r="O37" s="46" t="s">
        <v>65</v>
      </c>
      <c r="P37" s="46" t="s">
        <v>89</v>
      </c>
      <c r="Q37" s="46" t="s">
        <v>90</v>
      </c>
      <c r="R37" s="46" t="s">
        <v>91</v>
      </c>
      <c r="S37" s="46" t="s">
        <v>92</v>
      </c>
      <c r="T37" s="46" t="s">
        <v>64</v>
      </c>
      <c r="U37" s="46" t="s">
        <v>93</v>
      </c>
      <c r="V37" s="46" t="s">
        <v>94</v>
      </c>
      <c r="W37" s="46" t="s">
        <v>95</v>
      </c>
    </row>
    <row r="38">
      <c r="A38" s="94"/>
      <c r="B38" s="95" t="str">
        <f>'Internal Summary'!B40</f>
        <v>300g Sweet Potato Chips (24x)</v>
      </c>
      <c r="C38" s="45">
        <f>'Internal Summary'!C40</f>
        <v>84000</v>
      </c>
      <c r="D38" s="45">
        <f>'Internal Summary'!D40</f>
        <v>1150</v>
      </c>
      <c r="E38" s="45">
        <f>'Internal Summary'!E40</f>
        <v>2350</v>
      </c>
      <c r="F38" s="84"/>
      <c r="G38" s="45">
        <f t="shared" ref="G38:G66" si="1">F38*C38</f>
        <v>0</v>
      </c>
      <c r="H38" s="84"/>
      <c r="I38" s="84"/>
      <c r="J38" s="84"/>
      <c r="K38" s="84">
        <v>12.5</v>
      </c>
      <c r="L38" s="96">
        <f t="shared" ref="L38:L66" si="2">H38+U38+W38-O38-Q38-I38-J38</f>
        <v>-3</v>
      </c>
      <c r="M38" s="45">
        <f t="shared" ref="M38:M66" si="3">K38-L38</f>
        <v>15.5</v>
      </c>
      <c r="N38" s="45">
        <f t="shared" ref="N38:N66" si="4">M38*C38</f>
        <v>1302000</v>
      </c>
      <c r="O38" s="45">
        <f>'Dala Sales &amp; Deliveries'!L2</f>
        <v>3</v>
      </c>
      <c r="P38" s="45">
        <f t="shared" ref="P38:P66" si="5">O38*E38</f>
        <v>7050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4"/>
      <c r="B39" s="95" t="str">
        <f>'Internal Summary'!B41</f>
        <v>300g UnRipe Plantain Chips (30x)</v>
      </c>
      <c r="C39" s="45">
        <f>'Internal Summary'!C41</f>
        <v>120000</v>
      </c>
      <c r="D39" s="45">
        <f>'Internal Summary'!D41</f>
        <v>1600</v>
      </c>
      <c r="E39" s="45">
        <f>'Internal Summary'!E41</f>
        <v>3450</v>
      </c>
      <c r="F39" s="97"/>
      <c r="G39" s="45">
        <f t="shared" si="1"/>
        <v>0</v>
      </c>
      <c r="H39" s="97"/>
      <c r="I39" s="84"/>
      <c r="J39" s="97"/>
      <c r="K39" s="84">
        <v>0.0</v>
      </c>
      <c r="L39" s="96">
        <f t="shared" si="2"/>
        <v>0</v>
      </c>
      <c r="M39" s="45">
        <f t="shared" si="3"/>
        <v>0</v>
      </c>
      <c r="N39" s="45">
        <f t="shared" si="4"/>
        <v>0</v>
      </c>
      <c r="O39" s="45">
        <f>'Dala Sales &amp; Deliveries'!L3</f>
        <v>0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Summary'!B42</f>
        <v>300g Ripe Plantain Chips (30x)</v>
      </c>
      <c r="C40" s="45">
        <f>'Internal Summary'!C42</f>
        <v>120000</v>
      </c>
      <c r="D40" s="45">
        <f>'Internal Summary'!D42</f>
        <v>1600</v>
      </c>
      <c r="E40" s="45">
        <f>'Internal Summary'!E42</f>
        <v>3450</v>
      </c>
      <c r="F40" s="97"/>
      <c r="G40" s="45">
        <f t="shared" si="1"/>
        <v>0</v>
      </c>
      <c r="H40" s="97"/>
      <c r="I40" s="84"/>
      <c r="J40" s="97"/>
      <c r="K40" s="84">
        <v>0.0</v>
      </c>
      <c r="L40" s="96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7"/>
      <c r="G41" s="45">
        <f t="shared" si="1"/>
        <v>0</v>
      </c>
      <c r="H41" s="97"/>
      <c r="I41" s="84"/>
      <c r="J41" s="97"/>
      <c r="K41" s="84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7"/>
      <c r="G42" s="45">
        <f t="shared" si="1"/>
        <v>0</v>
      </c>
      <c r="H42" s="97"/>
      <c r="I42" s="97"/>
      <c r="J42" s="97"/>
      <c r="K42" s="84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7"/>
      <c r="G43" s="45">
        <f t="shared" si="1"/>
        <v>0</v>
      </c>
      <c r="H43" s="97"/>
      <c r="I43" s="97"/>
      <c r="J43" s="97"/>
      <c r="K43" s="84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7"/>
      <c r="G44" s="45">
        <f t="shared" si="1"/>
        <v>0</v>
      </c>
      <c r="H44" s="97"/>
      <c r="I44" s="97"/>
      <c r="J44" s="97"/>
      <c r="K44" s="84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7"/>
      <c r="G45" s="45">
        <f t="shared" si="1"/>
        <v>0</v>
      </c>
      <c r="H45" s="97"/>
      <c r="I45" s="97"/>
      <c r="J45" s="97"/>
      <c r="K45" s="84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7"/>
      <c r="G46" s="45">
        <f t="shared" si="1"/>
        <v>0</v>
      </c>
      <c r="H46" s="97"/>
      <c r="I46" s="97"/>
      <c r="J46" s="97"/>
      <c r="K46" s="84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7"/>
      <c r="G47" s="45">
        <f t="shared" si="1"/>
        <v>0</v>
      </c>
      <c r="H47" s="97"/>
      <c r="I47" s="97"/>
      <c r="J47" s="97"/>
      <c r="K47" s="84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7"/>
      <c r="G48" s="45">
        <f t="shared" si="1"/>
        <v>0</v>
      </c>
      <c r="H48" s="97"/>
      <c r="I48" s="97"/>
      <c r="J48" s="97"/>
      <c r="K48" s="84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7"/>
      <c r="G49" s="45">
        <f t="shared" si="1"/>
        <v>0</v>
      </c>
      <c r="H49" s="97"/>
      <c r="I49" s="97"/>
      <c r="J49" s="97"/>
      <c r="K49" s="84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48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48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48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48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48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48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48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48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48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48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48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48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48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48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48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48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48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98</v>
      </c>
      <c r="C67" s="82"/>
      <c r="D67" s="82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12.5</v>
      </c>
      <c r="L67" s="96">
        <f t="shared" si="9"/>
        <v>-3</v>
      </c>
      <c r="M67" s="45">
        <f t="shared" si="9"/>
        <v>15.5</v>
      </c>
      <c r="N67" s="45">
        <f t="shared" si="9"/>
        <v>1302000</v>
      </c>
      <c r="O67" s="45">
        <f t="shared" si="9"/>
        <v>3</v>
      </c>
      <c r="P67" s="45">
        <f t="shared" si="9"/>
        <v>7050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