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<sst xmlns="http://schemas.openxmlformats.org/spreadsheetml/2006/main" count="385" uniqueCount="105">
  <si>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</si>
  <si>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</si>
  <si>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</si>
  <si>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</si>
  <si>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</si>
  <si>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</si>
  <si>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</si>
  <si>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</si>
  <si>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</si>
  <si>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</si>
  <si>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</si>
  <si>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</si>
  <si>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</si>
  <si>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</si>
  <si>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</si>
  <si>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</si>
  <si>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</si>
  <si>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Purchase Inv-Dala</t>
  </si>
  <si>
    <t>500ml Fabfresh sweetened Yoghurt (12x)</t>
  </si>
  <si>
    <t>Life Back Pharmacy &amp; stores</t>
  </si>
  <si>
    <t>Sales</t>
  </si>
  <si>
    <t>DT:002380</t>
  </si>
  <si>
    <t>300ml Fabfresh Probiotic sweetened Yoghurt (12x)</t>
  </si>
  <si>
    <t>Ozzy Supermarket, VICTORY PARK EST.</t>
  </si>
  <si>
    <t>DT:002387</t>
  </si>
  <si>
    <t>D-Arena Supermarket, LEKKI</t>
  </si>
  <si>
    <t>DT:002431</t>
  </si>
  <si>
    <t>Limitless Mart, LEKKI</t>
  </si>
  <si>
    <t>DT:002419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</si>
  <si>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</si>
  <si>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</si>
  <si>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</si>
  <si>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</si>
  <si>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</si>
  <si>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</si>
  <si>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</si>
  <si>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</si>
  <si>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</si>
  <si>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</si>
  <si>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</si>
  <si>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</si>
  <si>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</si>
  <si>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</si>
  <si>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</si>
  <si>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</si>
  <si>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</si>
  <si>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</si>
  <si>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</si>
  <si>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</si>
  <si>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</si>
  <si>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</si>
  <si>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</si>
  <si>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</si>
  <si>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</si>
  <si>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</si>
  <si>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</si>
  <si>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</si>
  <si>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</si>
  <si>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</si>
  <si>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</si>
  <si>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</si>
  <si>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</si>
  <si>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</si>
  <si>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</si>
  <si>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</si>
  <si>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</si>
  <si>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</si>
  <si>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</si>
  <si>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</si>
  <si>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</si>
  <si>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</si>
  <si>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</si>
  <si>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</si>
  <si>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</si>
  <si>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</si>
  <si>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</si>
  <si>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</si>
  <si>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</si>
  <si>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</si>
  <si>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</si>
  <si>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</si>
  <si>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</si>
  <si>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</si>
  <si>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</si>
  <si>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</si>
  <si>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</si>
  <si>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</si>
  <si>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</si>
  <si>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</si>
  <si>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</si>
  <si>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</si>
  <si>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</si>
  <si>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</si>
  <si>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</si>
  <si>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</si>
  <si>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300ml Fabfresh Unsweetened Yoghurt (12x)</t>
  </si>
  <si>
    <t>500ml Fabfresh Unsweetened Yoghurt (12x)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</si>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</sst>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Fabfresh sweetened Yoghurt (12x)"/>
        <s v="300ml Fabfresh Probiotic sweetened Yoghurt (12x)"/>
        <m/>
      </sharedItems>
    </cacheField>
    <cacheField name="Date" numFmtId="164">
      <sharedItems containsDate="1" containsString="0" containsBlank="1">
        <d v="2025-09-01T00:00:00Z"/>
        <d v="2025-09-02T00:00:00Z"/>
        <d v="2025-09-04T00:00:00Z"/>
        <m/>
      </sharedItems>
    </cacheField>
    <cacheField name="Particulars" numFmtId="0">
      <sharedItems containsBlank="1">
        <s v="Life Back Pharmacy &amp; stores"/>
        <s v="Ozzy Supermarket, VICTORY PARK EST."/>
        <s v="D-Arena Supermarket, LEKKI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0"/>
        <s v="DT:002387"/>
        <s v="DT:002431"/>
        <s v="DT:002419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2000.0"/>
        <n v="26400.0"/>
        <n v="44000.0"/>
        <n v="13200.0"/>
        <m/>
      </sharedItems>
    </cacheField>
    <cacheField name="Total Value" numFmtId="0">
      <sharedItems containsSemiMixedTypes="0" containsString="0" containsNumber="1" containsInteger="1">
        <n v="22000.0"/>
        <n v="70400.0"/>
        <n v="35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Fabfresh sweetened Yoghurt (12x)"/>
        <s v="300ml Fabfresh Probiotic sweetened Yoghurt (12x)"/>
        <m/>
      </sharedItems>
    </cacheField>
    <cacheField name="Date" numFmtId="164">
      <sharedItems containsDate="1" containsString="0" containsBlank="1">
        <d v="2025-09-01T00:00:00Z"/>
        <d v="2025-09-02T00:00:00Z"/>
        <d v="2025-09-04T00:00:00Z"/>
        <m/>
      </sharedItems>
    </cacheField>
    <cacheField name="Particulars" numFmtId="0">
      <sharedItems containsBlank="1">
        <s v="Life Back Pharmacy &amp; stores"/>
        <s v="Ozzy Supermarket, VICTORY PARK EST."/>
        <s v="D-Arena Supermarket, LEKKI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0"/>
        <s v="DT:002387"/>
        <s v="DT:002431"/>
        <s v="DT:002419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2000.0"/>
        <n v="26400.0"/>
        <n v="44000.0"/>
        <n v="13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m/>
      </sharedItems>
    </cacheField>
    <cacheField name="Date" numFmtId="164">
      <sharedItems containsDate="1" containsString="0" containsBlank="1">
        <d v="2025-09-03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2.0"/>
        <m/>
      </sharedItems>
    </cacheField>
    <cacheField name="Quantity" numFmtId="0">
      <sharedItems containsString="0" containsBlank="1" containsNumber="1" containsInteger="1">
        <n v="3.0"/>
        <n v="5.0"/>
        <m/>
      </sharedItems>
    </cacheField>
    <cacheField name="Value" numFmtId="4">
      <sharedItems containsString="0" containsBlank="1" containsNumber="1" containsInteger="1">
        <n v="58500.0"/>
        <n v="66000.0"/>
        <n v="11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3</v>
      </c>
    </row>
    <row r="3" ht="22.5" customHeight="1">
      <c r="A3" s="13" t="s">
        <v>15</v>
      </c>
      <c r="B3" s="14">
        <v>45903.0</v>
      </c>
      <c r="C3" s="15" t="s">
        <v>16</v>
      </c>
      <c r="D3" s="15" t="s">
        <v>17</v>
      </c>
      <c r="E3" s="16">
        <v>2112.0</v>
      </c>
      <c r="F3" s="16">
        <v>3.0</v>
      </c>
      <c r="G3" s="17">
        <v>58500.0</v>
      </c>
      <c r="H3" s="18"/>
      <c r="I3" s="13" t="s">
        <v>18</v>
      </c>
      <c r="J3" s="14">
        <v>45901.0</v>
      </c>
      <c r="K3" s="15" t="s">
        <v>19</v>
      </c>
      <c r="L3" s="15" t="s">
        <v>20</v>
      </c>
      <c r="M3" s="16" t="s">
        <v>21</v>
      </c>
      <c r="N3" s="16">
        <v>1.0</v>
      </c>
      <c r="O3" s="17">
        <v>22000.0</v>
      </c>
      <c r="P3" s="19">
        <f t="shared" ref="P3:P95" si="1">sumif(M:M,M3,O:O)</f>
        <v>22000</v>
      </c>
      <c r="R3" s="20"/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0"/>
      <c r="AI3" s="21"/>
      <c r="AJ3" s="22"/>
      <c r="AK3" s="22"/>
      <c r="AL3" s="2"/>
      <c r="AM3" s="23"/>
      <c r="AN3" s="24"/>
      <c r="AP3" s="13" t="s">
        <v>15</v>
      </c>
      <c r="AQ3" s="14">
        <v>45903.0</v>
      </c>
      <c r="AR3" s="15" t="s">
        <v>16</v>
      </c>
      <c r="AS3" s="15" t="s">
        <v>17</v>
      </c>
      <c r="AT3" s="16">
        <v>2112.0</v>
      </c>
      <c r="AU3" s="16">
        <v>3.0</v>
      </c>
      <c r="AV3" s="17">
        <v>58500.0</v>
      </c>
    </row>
    <row r="4" ht="17.25" customHeight="1">
      <c r="A4" s="13" t="s">
        <v>22</v>
      </c>
      <c r="B4" s="14">
        <v>45903.0</v>
      </c>
      <c r="C4" s="15" t="s">
        <v>16</v>
      </c>
      <c r="D4" s="15" t="s">
        <v>17</v>
      </c>
      <c r="E4" s="16">
        <v>2112.0</v>
      </c>
      <c r="F4" s="16">
        <v>5.0</v>
      </c>
      <c r="G4" s="17">
        <v>66000.0</v>
      </c>
      <c r="H4" s="16"/>
      <c r="I4" s="13" t="s">
        <v>18</v>
      </c>
      <c r="J4" s="14">
        <v>45902.0</v>
      </c>
      <c r="K4" s="15" t="s">
        <v>23</v>
      </c>
      <c r="L4" s="15" t="s">
        <v>20</v>
      </c>
      <c r="M4" s="16" t="s">
        <v>24</v>
      </c>
      <c r="N4" s="16">
        <v>1.0</v>
      </c>
      <c r="O4" s="17">
        <v>22000.0</v>
      </c>
      <c r="P4" s="19">
        <f t="shared" si="1"/>
        <v>22000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0"/>
      <c r="AI4" s="21"/>
      <c r="AJ4" s="22"/>
      <c r="AK4" s="22"/>
      <c r="AL4" s="2"/>
      <c r="AM4" s="23"/>
      <c r="AN4" s="24"/>
      <c r="AP4" s="13" t="s">
        <v>22</v>
      </c>
      <c r="AQ4" s="14">
        <v>45903.0</v>
      </c>
      <c r="AR4" s="15" t="s">
        <v>16</v>
      </c>
      <c r="AS4" s="15" t="s">
        <v>17</v>
      </c>
      <c r="AT4" s="16">
        <v>2112.0</v>
      </c>
      <c r="AU4" s="16">
        <v>5.0</v>
      </c>
      <c r="AV4" s="17">
        <v>66000.0</v>
      </c>
    </row>
    <row r="5" ht="22.5" customHeight="1">
      <c r="A5" s="13" t="s">
        <v>18</v>
      </c>
      <c r="B5" s="14">
        <v>45903.0</v>
      </c>
      <c r="C5" s="15" t="s">
        <v>16</v>
      </c>
      <c r="D5" s="15" t="s">
        <v>17</v>
      </c>
      <c r="E5" s="16">
        <v>2112.0</v>
      </c>
      <c r="F5" s="16">
        <v>5.0</v>
      </c>
      <c r="G5" s="17">
        <v>110000.0</v>
      </c>
      <c r="H5" s="16"/>
      <c r="I5" s="13" t="s">
        <v>22</v>
      </c>
      <c r="J5" s="14">
        <v>45904.0</v>
      </c>
      <c r="K5" s="15" t="s">
        <v>25</v>
      </c>
      <c r="L5" s="15" t="s">
        <v>20</v>
      </c>
      <c r="M5" s="16" t="s">
        <v>26</v>
      </c>
      <c r="N5" s="16">
        <v>2.0</v>
      </c>
      <c r="O5" s="17">
        <v>26400.0</v>
      </c>
      <c r="P5" s="19">
        <f t="shared" si="1"/>
        <v>70400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3" t="s">
        <v>18</v>
      </c>
      <c r="AQ5" s="14">
        <v>45903.0</v>
      </c>
      <c r="AR5" s="15" t="s">
        <v>16</v>
      </c>
      <c r="AS5" s="15" t="s">
        <v>17</v>
      </c>
      <c r="AT5" s="16">
        <v>2112.0</v>
      </c>
      <c r="AU5" s="16">
        <v>5.0</v>
      </c>
      <c r="AV5" s="17">
        <v>110000.0</v>
      </c>
    </row>
    <row r="6" ht="22.5" customHeight="1">
      <c r="A6" s="13" t="s">
        <v>18</v>
      </c>
      <c r="B6" s="14">
        <v>45901.0</v>
      </c>
      <c r="C6" s="15" t="s">
        <v>19</v>
      </c>
      <c r="D6" s="15" t="s">
        <v>20</v>
      </c>
      <c r="E6" s="16" t="s">
        <v>21</v>
      </c>
      <c r="F6" s="16">
        <v>1.0</v>
      </c>
      <c r="G6" s="17">
        <v>22000.0</v>
      </c>
      <c r="H6" s="26"/>
      <c r="I6" s="13" t="s">
        <v>18</v>
      </c>
      <c r="J6" s="14">
        <v>45904.0</v>
      </c>
      <c r="K6" s="15" t="s">
        <v>25</v>
      </c>
      <c r="L6" s="15" t="s">
        <v>20</v>
      </c>
      <c r="M6" s="16" t="s">
        <v>26</v>
      </c>
      <c r="N6" s="16">
        <v>2.0</v>
      </c>
      <c r="O6" s="17">
        <v>44000.0</v>
      </c>
      <c r="P6" s="19">
        <f t="shared" si="1"/>
        <v>70400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27"/>
      <c r="AQ6" s="28"/>
      <c r="AR6" s="29"/>
      <c r="AS6" s="29"/>
      <c r="AT6" s="18"/>
      <c r="AU6" s="18"/>
      <c r="AV6" s="30"/>
    </row>
    <row r="7" ht="22.5" customHeight="1">
      <c r="A7" s="13" t="s">
        <v>18</v>
      </c>
      <c r="B7" s="14">
        <v>45902.0</v>
      </c>
      <c r="C7" s="15" t="s">
        <v>23</v>
      </c>
      <c r="D7" s="15" t="s">
        <v>20</v>
      </c>
      <c r="E7" s="16" t="s">
        <v>24</v>
      </c>
      <c r="F7" s="16">
        <v>1.0</v>
      </c>
      <c r="G7" s="17">
        <v>22000.0</v>
      </c>
      <c r="H7" s="26"/>
      <c r="I7" s="13" t="s">
        <v>22</v>
      </c>
      <c r="J7" s="14">
        <v>45904.0</v>
      </c>
      <c r="K7" s="15" t="s">
        <v>27</v>
      </c>
      <c r="L7" s="15" t="s">
        <v>20</v>
      </c>
      <c r="M7" s="16" t="s">
        <v>28</v>
      </c>
      <c r="N7" s="16">
        <v>1.0</v>
      </c>
      <c r="O7" s="17">
        <v>13200.0</v>
      </c>
      <c r="P7" s="19">
        <f t="shared" si="1"/>
        <v>35200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27"/>
      <c r="AQ7" s="28"/>
      <c r="AR7" s="29"/>
      <c r="AS7" s="29"/>
      <c r="AT7" s="18"/>
      <c r="AU7" s="18"/>
      <c r="AV7" s="30"/>
    </row>
    <row r="8" ht="22.5" customHeight="1">
      <c r="A8" s="13" t="s">
        <v>22</v>
      </c>
      <c r="B8" s="14">
        <v>45904.0</v>
      </c>
      <c r="C8" s="15" t="s">
        <v>25</v>
      </c>
      <c r="D8" s="15" t="s">
        <v>20</v>
      </c>
      <c r="E8" s="16" t="s">
        <v>26</v>
      </c>
      <c r="F8" s="16">
        <v>2.0</v>
      </c>
      <c r="G8" s="17">
        <v>26400.0</v>
      </c>
      <c r="H8" s="18"/>
      <c r="I8" s="13" t="s">
        <v>18</v>
      </c>
      <c r="J8" s="14">
        <v>45904.0</v>
      </c>
      <c r="K8" s="15" t="s">
        <v>27</v>
      </c>
      <c r="L8" s="15" t="s">
        <v>20</v>
      </c>
      <c r="M8" s="16" t="s">
        <v>28</v>
      </c>
      <c r="N8" s="16">
        <v>1.0</v>
      </c>
      <c r="O8" s="17">
        <v>22000.0</v>
      </c>
      <c r="P8" s="19">
        <f t="shared" si="1"/>
        <v>35200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27"/>
      <c r="AQ8" s="28"/>
      <c r="AR8" s="29"/>
      <c r="AS8" s="29"/>
      <c r="AT8" s="18"/>
      <c r="AU8" s="18"/>
      <c r="AV8" s="30"/>
    </row>
    <row r="9" ht="22.5" customHeight="1">
      <c r="A9" s="13" t="s">
        <v>18</v>
      </c>
      <c r="B9" s="14">
        <v>45904.0</v>
      </c>
      <c r="C9" s="15" t="s">
        <v>25</v>
      </c>
      <c r="D9" s="15" t="s">
        <v>20</v>
      </c>
      <c r="E9" s="16" t="s">
        <v>26</v>
      </c>
      <c r="F9" s="16">
        <v>2.0</v>
      </c>
      <c r="G9" s="17">
        <v>44000.0</v>
      </c>
      <c r="H9" s="16"/>
      <c r="I9" s="13"/>
      <c r="J9" s="14"/>
      <c r="K9" s="15"/>
      <c r="L9" s="15"/>
      <c r="M9" s="16"/>
      <c r="N9" s="16"/>
      <c r="O9" s="17"/>
      <c r="P9" s="19">
        <f t="shared" si="1"/>
        <v>0</v>
      </c>
      <c r="R9" s="20"/>
      <c r="S9" s="21"/>
      <c r="T9" s="31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27"/>
      <c r="AQ9" s="28"/>
      <c r="AR9" s="29"/>
      <c r="AS9" s="29"/>
      <c r="AT9" s="18"/>
      <c r="AU9" s="18"/>
      <c r="AV9" s="30"/>
    </row>
    <row r="10" ht="22.5" customHeight="1">
      <c r="A10" s="13" t="s">
        <v>22</v>
      </c>
      <c r="B10" s="14">
        <v>45904.0</v>
      </c>
      <c r="C10" s="15" t="s">
        <v>27</v>
      </c>
      <c r="D10" s="15" t="s">
        <v>20</v>
      </c>
      <c r="E10" s="16" t="s">
        <v>28</v>
      </c>
      <c r="F10" s="16">
        <v>1.0</v>
      </c>
      <c r="G10" s="17">
        <v>13200.0</v>
      </c>
      <c r="H10" s="18"/>
      <c r="I10" s="13"/>
      <c r="J10" s="14"/>
      <c r="K10" s="15"/>
      <c r="L10" s="15"/>
      <c r="M10" s="16"/>
      <c r="N10" s="16"/>
      <c r="O10" s="17"/>
      <c r="P10" s="19">
        <f t="shared" si="1"/>
        <v>0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27"/>
      <c r="AQ10" s="28"/>
      <c r="AR10" s="29"/>
      <c r="AS10" s="29"/>
      <c r="AT10" s="18"/>
      <c r="AU10" s="18"/>
      <c r="AV10" s="30"/>
    </row>
    <row r="11" ht="22.5" customHeight="1">
      <c r="A11" s="13" t="s">
        <v>18</v>
      </c>
      <c r="B11" s="14">
        <v>45904.0</v>
      </c>
      <c r="C11" s="15" t="s">
        <v>27</v>
      </c>
      <c r="D11" s="15" t="s">
        <v>20</v>
      </c>
      <c r="E11" s="16" t="s">
        <v>28</v>
      </c>
      <c r="F11" s="16">
        <v>1.0</v>
      </c>
      <c r="G11" s="17">
        <v>22000.0</v>
      </c>
      <c r="H11" s="26"/>
      <c r="I11" s="13"/>
      <c r="J11" s="14"/>
      <c r="K11" s="15"/>
      <c r="L11" s="15"/>
      <c r="M11" s="16"/>
      <c r="N11" s="16"/>
      <c r="O11" s="17"/>
      <c r="P11" s="19">
        <f t="shared" si="1"/>
        <v>0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27"/>
      <c r="AQ11" s="28"/>
      <c r="AR11" s="29"/>
      <c r="AS11" s="29"/>
      <c r="AT11" s="18"/>
      <c r="AU11" s="18"/>
      <c r="AV11" s="30"/>
    </row>
    <row r="12" ht="22.5" customHeight="1">
      <c r="A12" s="13"/>
      <c r="B12" s="14"/>
      <c r="C12" s="15"/>
      <c r="D12" s="15"/>
      <c r="E12" s="16"/>
      <c r="F12" s="16"/>
      <c r="G12" s="17"/>
      <c r="H12" s="32"/>
      <c r="I12" s="13"/>
      <c r="J12" s="14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31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27"/>
      <c r="AQ12" s="28"/>
      <c r="AR12" s="29"/>
      <c r="AS12" s="29"/>
      <c r="AT12" s="18"/>
      <c r="AU12" s="18"/>
      <c r="AV12" s="30"/>
    </row>
    <row r="13" ht="22.5" customHeight="1">
      <c r="A13" s="13"/>
      <c r="B13" s="14"/>
      <c r="C13" s="15"/>
      <c r="D13" s="15"/>
      <c r="E13" s="16"/>
      <c r="F13" s="16"/>
      <c r="G13" s="17"/>
      <c r="H13" s="16"/>
      <c r="I13" s="13"/>
      <c r="J13" s="14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27"/>
      <c r="AQ13" s="28"/>
      <c r="AR13" s="29"/>
      <c r="AS13" s="29"/>
      <c r="AT13" s="18"/>
      <c r="AU13" s="18"/>
      <c r="AV13" s="30"/>
    </row>
    <row r="14" ht="22.5" customHeight="1">
      <c r="A14" s="13"/>
      <c r="B14" s="14"/>
      <c r="C14" s="15"/>
      <c r="D14" s="15"/>
      <c r="E14" s="16"/>
      <c r="F14" s="16"/>
      <c r="G14" s="17"/>
      <c r="H14" s="16"/>
      <c r="I14" s="13"/>
      <c r="J14" s="14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27"/>
      <c r="AQ14" s="28"/>
      <c r="AR14" s="29"/>
      <c r="AS14" s="29"/>
      <c r="AT14" s="18"/>
      <c r="AU14" s="18"/>
      <c r="AV14" s="30"/>
    </row>
    <row r="15" ht="22.5" customHeight="1">
      <c r="A15" s="13"/>
      <c r="B15" s="14"/>
      <c r="C15" s="15"/>
      <c r="D15" s="15"/>
      <c r="E15" s="16"/>
      <c r="F15" s="16"/>
      <c r="G15" s="17"/>
      <c r="H15" s="18"/>
      <c r="I15" s="13"/>
      <c r="J15" s="14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27"/>
      <c r="AQ15" s="28"/>
      <c r="AR15" s="29"/>
      <c r="AS15" s="29"/>
      <c r="AT15" s="18"/>
      <c r="AU15" s="18"/>
      <c r="AV15" s="30"/>
    </row>
    <row r="16" ht="22.5" customHeight="1">
      <c r="A16" s="13"/>
      <c r="B16" s="14"/>
      <c r="C16" s="15"/>
      <c r="D16" s="15"/>
      <c r="E16" s="16"/>
      <c r="F16" s="16"/>
      <c r="G16" s="17"/>
      <c r="H16" s="16"/>
      <c r="I16" s="13"/>
      <c r="J16" s="14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27"/>
      <c r="AQ16" s="28"/>
      <c r="AR16" s="29"/>
      <c r="AS16" s="29"/>
      <c r="AT16" s="18"/>
      <c r="AU16" s="18"/>
      <c r="AV16" s="30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27"/>
      <c r="AQ17" s="28"/>
      <c r="AR17" s="29"/>
      <c r="AS17" s="29"/>
      <c r="AT17" s="18"/>
      <c r="AU17" s="18"/>
      <c r="AV17" s="30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27"/>
      <c r="AQ18" s="28"/>
      <c r="AR18" s="29"/>
      <c r="AS18" s="29"/>
      <c r="AT18" s="18"/>
      <c r="AU18" s="18"/>
      <c r="AV18" s="30"/>
    </row>
    <row r="19" ht="22.5" customHeight="1">
      <c r="A19" s="13"/>
      <c r="B19" s="14"/>
      <c r="C19" s="15"/>
      <c r="D19" s="15"/>
      <c r="E19" s="16"/>
      <c r="F19" s="16"/>
      <c r="G19" s="17"/>
      <c r="I19" s="13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27"/>
      <c r="AQ19" s="28"/>
      <c r="AR19" s="29"/>
      <c r="AS19" s="29"/>
      <c r="AT19" s="18"/>
      <c r="AU19" s="18"/>
      <c r="AV19" s="30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27"/>
      <c r="AQ20" s="28"/>
      <c r="AR20" s="29"/>
      <c r="AS20" s="29"/>
      <c r="AT20" s="18"/>
      <c r="AU20" s="18"/>
      <c r="AV20" s="30"/>
    </row>
    <row r="21" ht="22.5" customHeight="1">
      <c r="A21" s="13"/>
      <c r="B21" s="14"/>
      <c r="C21" s="15"/>
      <c r="D21" s="15"/>
      <c r="E21" s="16"/>
      <c r="F21" s="16"/>
      <c r="G21" s="17"/>
      <c r="I21" s="13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27"/>
      <c r="AQ21" s="28"/>
      <c r="AR21" s="29"/>
      <c r="AS21" s="29"/>
      <c r="AT21" s="18"/>
      <c r="AU21" s="18"/>
      <c r="AV21" s="30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31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27"/>
      <c r="AQ22" s="28"/>
      <c r="AR22" s="29"/>
      <c r="AS22" s="29"/>
      <c r="AT22" s="18"/>
      <c r="AU22" s="18"/>
      <c r="AV22" s="30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27"/>
      <c r="AQ23" s="28"/>
      <c r="AR23" s="29"/>
      <c r="AS23" s="29"/>
      <c r="AT23" s="18"/>
      <c r="AU23" s="18"/>
      <c r="AV23" s="30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27"/>
      <c r="AQ24" s="28"/>
      <c r="AR24" s="29"/>
      <c r="AS24" s="29"/>
      <c r="AT24" s="18"/>
      <c r="AU24" s="18"/>
      <c r="AV24" s="30"/>
    </row>
    <row r="25" ht="22.5" customHeight="1">
      <c r="A25" s="13"/>
      <c r="B25" s="14"/>
      <c r="C25" s="15"/>
      <c r="D25" s="15"/>
      <c r="E25" s="16"/>
      <c r="F25" s="16"/>
      <c r="G25" s="17"/>
      <c r="I25" s="13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31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27"/>
      <c r="AQ25" s="28"/>
      <c r="AR25" s="29"/>
      <c r="AS25" s="29"/>
      <c r="AT25" s="18"/>
      <c r="AU25" s="18"/>
      <c r="AV25" s="30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27"/>
      <c r="AQ26" s="28"/>
      <c r="AR26" s="29"/>
      <c r="AS26" s="29"/>
      <c r="AT26" s="18"/>
      <c r="AU26" s="18"/>
      <c r="AV26" s="30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27"/>
      <c r="AQ27" s="28"/>
      <c r="AR27" s="29"/>
      <c r="AS27" s="29"/>
      <c r="AT27" s="18"/>
      <c r="AU27" s="18"/>
      <c r="AV27" s="30"/>
    </row>
    <row r="28" ht="22.5" customHeight="1">
      <c r="A28" s="13"/>
      <c r="B28" s="14"/>
      <c r="C28" s="15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27"/>
      <c r="AQ28" s="28"/>
      <c r="AR28" s="29"/>
      <c r="AS28" s="29"/>
      <c r="AT28" s="18"/>
      <c r="AU28" s="18"/>
      <c r="AV28" s="30"/>
    </row>
    <row r="29" ht="22.5" customHeight="1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27"/>
      <c r="AQ29" s="28"/>
      <c r="AR29" s="29"/>
      <c r="AS29" s="29"/>
      <c r="AT29" s="18"/>
      <c r="AU29" s="18"/>
      <c r="AV29" s="30"/>
    </row>
    <row r="30" ht="22.5" customHeight="1">
      <c r="A30" s="13"/>
      <c r="B30" s="14"/>
      <c r="C30" s="1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27"/>
      <c r="AQ30" s="28"/>
      <c r="AR30" s="29"/>
      <c r="AS30" s="29"/>
      <c r="AT30" s="18"/>
      <c r="AU30" s="18"/>
      <c r="AV30" s="30"/>
    </row>
    <row r="31" ht="22.5" customHeight="1">
      <c r="A31" s="13"/>
      <c r="B31" s="14"/>
      <c r="C31" s="15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27"/>
      <c r="AQ31" s="28"/>
      <c r="AR31" s="29"/>
      <c r="AS31" s="29"/>
      <c r="AT31" s="18"/>
      <c r="AU31" s="18"/>
      <c r="AV31" s="30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27"/>
      <c r="AQ32" s="28"/>
      <c r="AR32" s="29"/>
      <c r="AS32" s="29"/>
      <c r="AT32" s="18"/>
      <c r="AU32" s="18"/>
      <c r="AV32" s="30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27"/>
      <c r="AQ33" s="28"/>
      <c r="AR33" s="29"/>
      <c r="AS33" s="29"/>
      <c r="AT33" s="18"/>
      <c r="AU33" s="18"/>
      <c r="AV33" s="30"/>
    </row>
    <row r="34" ht="22.5" customHeight="1">
      <c r="A34" s="13"/>
      <c r="B34" s="14"/>
      <c r="C34" s="15"/>
      <c r="D34" s="15"/>
      <c r="E34" s="16"/>
      <c r="F34" s="16"/>
      <c r="G34" s="17"/>
      <c r="I34" s="13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27"/>
      <c r="AQ34" s="28"/>
      <c r="AR34" s="29"/>
      <c r="AS34" s="29"/>
      <c r="AT34" s="18"/>
      <c r="AU34" s="18"/>
      <c r="AV34" s="30"/>
    </row>
    <row r="35" ht="22.5" customHeight="1">
      <c r="A35" s="13"/>
      <c r="B35" s="14"/>
      <c r="C35" s="15"/>
      <c r="D35" s="15"/>
      <c r="E35" s="16"/>
      <c r="F35" s="16"/>
      <c r="G35" s="17"/>
      <c r="I35" s="13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3"/>
      <c r="X35" s="24"/>
      <c r="AP35" s="27"/>
      <c r="AQ35" s="28"/>
      <c r="AR35" s="29"/>
      <c r="AS35" s="29"/>
      <c r="AT35" s="18"/>
      <c r="AU35" s="18"/>
      <c r="AV35" s="30"/>
    </row>
    <row r="36" ht="22.5" customHeight="1">
      <c r="A36" s="13"/>
      <c r="B36" s="14"/>
      <c r="C36" s="15"/>
      <c r="D36" s="15"/>
      <c r="E36" s="16"/>
      <c r="F36" s="16"/>
      <c r="G36" s="17"/>
      <c r="I36" s="13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3"/>
      <c r="X36" s="33"/>
      <c r="AP36" s="27"/>
      <c r="AQ36" s="28"/>
      <c r="AR36" s="29"/>
      <c r="AS36" s="29"/>
      <c r="AT36" s="18"/>
      <c r="AU36" s="18"/>
      <c r="AV36" s="30"/>
    </row>
    <row r="37" ht="22.5" customHeight="1">
      <c r="A37" s="13"/>
      <c r="B37" s="14"/>
      <c r="C37" s="15"/>
      <c r="D37" s="15"/>
      <c r="E37" s="16"/>
      <c r="F37" s="16"/>
      <c r="G37" s="17"/>
      <c r="I37" s="13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31"/>
      <c r="U37" s="22"/>
      <c r="V37" s="2"/>
      <c r="W37" s="23"/>
      <c r="X37" s="33"/>
      <c r="AP37" s="34"/>
      <c r="AQ37" s="35"/>
      <c r="AR37" s="36"/>
      <c r="AS37" s="36"/>
      <c r="AT37" s="37"/>
      <c r="AU37" s="37"/>
      <c r="AV37" s="38"/>
    </row>
    <row r="38" ht="22.5" customHeight="1">
      <c r="A38" s="13"/>
      <c r="B38" s="14"/>
      <c r="C38" s="15"/>
      <c r="D38" s="15"/>
      <c r="E38" s="16"/>
      <c r="F38" s="16"/>
      <c r="G38" s="17"/>
      <c r="I38" s="13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3"/>
      <c r="X38" s="33"/>
      <c r="AP38" s="20"/>
      <c r="AQ38" s="21"/>
      <c r="AR38" s="22"/>
      <c r="AS38" s="22"/>
      <c r="AT38" s="2"/>
      <c r="AU38" s="23"/>
      <c r="AV38" s="24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3"/>
      <c r="X39" s="33"/>
      <c r="AP39" s="20"/>
      <c r="AQ39" s="21"/>
      <c r="AR39" s="22"/>
      <c r="AS39" s="22"/>
      <c r="AT39" s="2"/>
      <c r="AU39" s="23"/>
      <c r="AV39" s="24"/>
    </row>
    <row r="40" ht="22.5" customHeight="1">
      <c r="A40" s="13"/>
      <c r="B40" s="14"/>
      <c r="C40" s="15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3"/>
      <c r="X40" s="33"/>
      <c r="AP40" s="20"/>
      <c r="AQ40" s="39"/>
      <c r="AR40" s="40"/>
      <c r="AS40" s="40"/>
      <c r="AT40" s="41"/>
      <c r="AU40" s="42"/>
      <c r="AV40" s="43"/>
    </row>
    <row r="41" ht="22.5" customHeight="1">
      <c r="A41" s="13"/>
      <c r="B41" s="14"/>
      <c r="C41" s="1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31"/>
      <c r="U41" s="22"/>
      <c r="V41" s="2"/>
      <c r="W41" s="23"/>
      <c r="X41" s="33"/>
      <c r="AP41" s="20"/>
      <c r="AQ41" s="21"/>
      <c r="AR41" s="22"/>
      <c r="AS41" s="22"/>
      <c r="AT41" s="2"/>
      <c r="AU41" s="23"/>
      <c r="AV41" s="24"/>
    </row>
    <row r="42" ht="22.5" customHeight="1">
      <c r="A42" s="13"/>
      <c r="B42" s="14"/>
      <c r="C42" s="15"/>
      <c r="D42" s="15"/>
      <c r="E42" s="16"/>
      <c r="F42" s="16"/>
      <c r="G42" s="17"/>
      <c r="I42" s="13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3"/>
      <c r="X42" s="33"/>
      <c r="AP42" s="20"/>
      <c r="AQ42" s="21"/>
      <c r="AR42" s="22"/>
      <c r="AS42" s="22"/>
      <c r="AT42" s="2"/>
      <c r="AU42" s="23"/>
      <c r="AV42" s="24"/>
    </row>
    <row r="43" ht="22.5" customHeight="1">
      <c r="A43" s="13"/>
      <c r="B43" s="14"/>
      <c r="C43" s="15"/>
      <c r="D43" s="15"/>
      <c r="E43" s="16"/>
      <c r="F43" s="16"/>
      <c r="G43" s="17"/>
      <c r="I43" s="13"/>
      <c r="J43" s="14"/>
      <c r="K43" s="15"/>
      <c r="L43" s="15"/>
      <c r="M43" s="16"/>
      <c r="N43" s="16"/>
      <c r="O43" s="17"/>
      <c r="P43" s="19">
        <f t="shared" si="1"/>
        <v>0</v>
      </c>
      <c r="R43" s="25"/>
      <c r="S43" s="39"/>
      <c r="T43" s="40"/>
      <c r="U43" s="40"/>
      <c r="V43" s="41"/>
      <c r="W43" s="42"/>
      <c r="X43" s="44"/>
      <c r="AP43" s="20"/>
      <c r="AQ43" s="21"/>
      <c r="AR43" s="22"/>
      <c r="AS43" s="22"/>
      <c r="AT43" s="2"/>
      <c r="AU43" s="23"/>
      <c r="AV43" s="24"/>
    </row>
    <row r="44" ht="22.5" customHeight="1">
      <c r="A44" s="13"/>
      <c r="B44" s="14"/>
      <c r="C44" s="15"/>
      <c r="D44" s="15"/>
      <c r="E44" s="16"/>
      <c r="F44" s="16"/>
      <c r="G44" s="17"/>
      <c r="I44" s="13"/>
      <c r="J44" s="14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33"/>
      <c r="AP44" s="20"/>
      <c r="AQ44" s="21"/>
      <c r="AR44" s="22"/>
      <c r="AS44" s="22"/>
      <c r="AT44" s="2"/>
      <c r="AU44" s="23"/>
      <c r="AV44" s="24"/>
    </row>
    <row r="45" ht="22.5" customHeight="1">
      <c r="A45" s="13"/>
      <c r="B45" s="14"/>
      <c r="C45" s="15"/>
      <c r="D45" s="15"/>
      <c r="E45" s="16"/>
      <c r="F45" s="16"/>
      <c r="G45" s="17"/>
      <c r="I45" s="13"/>
      <c r="J45" s="14"/>
      <c r="K45" s="15"/>
      <c r="L45" s="15"/>
      <c r="M45" s="16"/>
      <c r="N45" s="16"/>
      <c r="O45" s="17"/>
      <c r="P45" s="19">
        <f t="shared" si="1"/>
        <v>0</v>
      </c>
      <c r="AP45" s="20"/>
      <c r="AQ45" s="21"/>
      <c r="AR45" s="22"/>
      <c r="AS45" s="22"/>
      <c r="AT45" s="2"/>
      <c r="AU45" s="23"/>
      <c r="AV45" s="24"/>
    </row>
    <row r="46" ht="22.5" customHeight="1">
      <c r="A46" s="13"/>
      <c r="B46" s="14"/>
      <c r="C46" s="15"/>
      <c r="D46" s="15"/>
      <c r="E46" s="16"/>
      <c r="F46" s="16"/>
      <c r="G46" s="17"/>
      <c r="I46" s="27"/>
      <c r="J46" s="28"/>
      <c r="K46" s="45"/>
      <c r="L46" s="29"/>
      <c r="M46" s="18"/>
      <c r="N46" s="18"/>
      <c r="O46" s="30"/>
      <c r="P46" s="19">
        <f t="shared" si="1"/>
        <v>0</v>
      </c>
      <c r="AP46" s="20"/>
      <c r="AQ46" s="21"/>
      <c r="AR46" s="22"/>
      <c r="AS46" s="22"/>
      <c r="AT46" s="2"/>
      <c r="AU46" s="23"/>
      <c r="AV46" s="24"/>
    </row>
    <row r="47" ht="22.5" customHeight="1">
      <c r="A47" s="13"/>
      <c r="B47" s="14"/>
      <c r="C47" s="15"/>
      <c r="D47" s="15"/>
      <c r="E47" s="16"/>
      <c r="F47" s="16"/>
      <c r="G47" s="17"/>
      <c r="I47" s="27"/>
      <c r="J47" s="28"/>
      <c r="K47" s="45"/>
      <c r="L47" s="29"/>
      <c r="M47" s="18"/>
      <c r="N47" s="18"/>
      <c r="O47" s="30"/>
      <c r="P47" s="19">
        <f t="shared" si="1"/>
        <v>0</v>
      </c>
      <c r="AP47" s="20"/>
      <c r="AQ47" s="21"/>
      <c r="AR47" s="22"/>
      <c r="AS47" s="22"/>
      <c r="AT47" s="2"/>
      <c r="AU47" s="23"/>
      <c r="AV47" s="24"/>
    </row>
    <row r="48" ht="22.5" customHeight="1">
      <c r="A48" s="27"/>
      <c r="B48" s="28"/>
      <c r="C48" s="45"/>
      <c r="D48" s="29"/>
      <c r="E48" s="18"/>
      <c r="F48" s="18"/>
      <c r="G48" s="30"/>
      <c r="I48" s="27"/>
      <c r="J48" s="28"/>
      <c r="K48" s="45"/>
      <c r="L48" s="29"/>
      <c r="M48" s="18"/>
      <c r="N48" s="18"/>
      <c r="O48" s="30"/>
      <c r="P48" s="19">
        <f t="shared" si="1"/>
        <v>0</v>
      </c>
      <c r="AP48" s="20"/>
      <c r="AQ48" s="21"/>
      <c r="AR48" s="22"/>
      <c r="AS48" s="22"/>
      <c r="AT48" s="2"/>
      <c r="AU48" s="23"/>
      <c r="AV48" s="24"/>
    </row>
    <row r="49" ht="22.5" customHeight="1">
      <c r="A49" s="27"/>
      <c r="B49" s="28"/>
      <c r="C49" s="45"/>
      <c r="D49" s="29"/>
      <c r="E49" s="18"/>
      <c r="F49" s="18"/>
      <c r="G49" s="30"/>
      <c r="I49" s="27"/>
      <c r="J49" s="28"/>
      <c r="K49" s="45"/>
      <c r="L49" s="29"/>
      <c r="M49" s="18"/>
      <c r="N49" s="18"/>
      <c r="O49" s="30"/>
      <c r="P49" s="19">
        <f t="shared" si="1"/>
        <v>0</v>
      </c>
      <c r="AP49" s="20"/>
      <c r="AQ49" s="21"/>
      <c r="AR49" s="22"/>
      <c r="AS49" s="22"/>
      <c r="AT49" s="2"/>
      <c r="AU49" s="23"/>
      <c r="AV49" s="24"/>
    </row>
    <row r="50" ht="22.5" customHeight="1">
      <c r="A50" s="27"/>
      <c r="B50" s="28"/>
      <c r="C50" s="45"/>
      <c r="D50" s="29"/>
      <c r="E50" s="18"/>
      <c r="F50" s="18"/>
      <c r="G50" s="30"/>
      <c r="I50" s="27"/>
      <c r="J50" s="28"/>
      <c r="K50" s="45"/>
      <c r="L50" s="29"/>
      <c r="M50" s="18"/>
      <c r="N50" s="18"/>
      <c r="O50" s="30"/>
      <c r="P50" s="19">
        <f t="shared" si="1"/>
        <v>0</v>
      </c>
      <c r="AP50" s="20"/>
      <c r="AQ50" s="21"/>
      <c r="AR50" s="22"/>
      <c r="AS50" s="22"/>
      <c r="AT50" s="2"/>
      <c r="AU50" s="23"/>
      <c r="AV50" s="24"/>
    </row>
    <row r="51" ht="22.5" customHeight="1">
      <c r="A51" s="27"/>
      <c r="B51" s="28"/>
      <c r="C51" s="45"/>
      <c r="D51" s="29"/>
      <c r="E51" s="18"/>
      <c r="F51" s="18"/>
      <c r="G51" s="30"/>
      <c r="I51" s="27"/>
      <c r="J51" s="28"/>
      <c r="K51" s="45"/>
      <c r="L51" s="29"/>
      <c r="M51" s="18"/>
      <c r="N51" s="18"/>
      <c r="O51" s="30"/>
      <c r="P51" s="19">
        <f t="shared" si="1"/>
        <v>0</v>
      </c>
      <c r="AP51" s="20"/>
      <c r="AQ51" s="21"/>
      <c r="AR51" s="22"/>
      <c r="AS51" s="22"/>
      <c r="AT51" s="2"/>
      <c r="AU51" s="23"/>
      <c r="AV51" s="24"/>
    </row>
    <row r="52" ht="22.5" customHeight="1">
      <c r="A52" s="27"/>
      <c r="B52" s="28"/>
      <c r="C52" s="45"/>
      <c r="D52" s="29"/>
      <c r="E52" s="18"/>
      <c r="F52" s="18"/>
      <c r="G52" s="30"/>
      <c r="I52" s="27"/>
      <c r="J52" s="28"/>
      <c r="K52" s="45"/>
      <c r="L52" s="29"/>
      <c r="M52" s="18"/>
      <c r="N52" s="18"/>
      <c r="O52" s="30"/>
      <c r="P52" s="19">
        <f t="shared" si="1"/>
        <v>0</v>
      </c>
      <c r="AP52" s="20"/>
      <c r="AQ52" s="21"/>
      <c r="AR52" s="22"/>
      <c r="AS52" s="22"/>
      <c r="AT52" s="2"/>
      <c r="AU52" s="23"/>
      <c r="AV52" s="24"/>
    </row>
    <row r="53" ht="22.5" customHeight="1">
      <c r="A53" s="27"/>
      <c r="B53" s="28"/>
      <c r="C53" s="29"/>
      <c r="D53" s="29"/>
      <c r="E53" s="18"/>
      <c r="F53" s="18"/>
      <c r="G53" s="30"/>
      <c r="I53" s="27"/>
      <c r="J53" s="28"/>
      <c r="K53" s="45"/>
      <c r="L53" s="29"/>
      <c r="M53" s="18"/>
      <c r="N53" s="18"/>
      <c r="O53" s="30"/>
      <c r="P53" s="19">
        <f t="shared" si="1"/>
        <v>0</v>
      </c>
      <c r="AP53" s="20"/>
      <c r="AQ53" s="21"/>
      <c r="AR53" s="22"/>
      <c r="AS53" s="22"/>
      <c r="AT53" s="2"/>
      <c r="AU53" s="23"/>
      <c r="AV53" s="24"/>
    </row>
    <row r="54" ht="22.5" customHeight="1">
      <c r="A54" s="27"/>
      <c r="B54" s="28"/>
      <c r="C54" s="29"/>
      <c r="D54" s="29"/>
      <c r="E54" s="18"/>
      <c r="F54" s="18"/>
      <c r="G54" s="30"/>
      <c r="I54" s="27"/>
      <c r="J54" s="28"/>
      <c r="K54" s="29"/>
      <c r="L54" s="29"/>
      <c r="M54" s="18"/>
      <c r="N54" s="18"/>
      <c r="O54" s="30"/>
      <c r="P54" s="19">
        <f t="shared" si="1"/>
        <v>0</v>
      </c>
      <c r="AP54" s="20"/>
      <c r="AQ54" s="21"/>
      <c r="AR54" s="22"/>
      <c r="AS54" s="22"/>
      <c r="AT54" s="2"/>
      <c r="AU54" s="23"/>
      <c r="AV54" s="24"/>
    </row>
    <row r="55" ht="22.5" customHeight="1">
      <c r="A55" s="27"/>
      <c r="B55" s="28"/>
      <c r="C55" s="29"/>
      <c r="D55" s="29"/>
      <c r="E55" s="18"/>
      <c r="F55" s="18"/>
      <c r="G55" s="30"/>
      <c r="I55" s="27"/>
      <c r="J55" s="28"/>
      <c r="K55" s="29"/>
      <c r="L55" s="29"/>
      <c r="M55" s="18"/>
      <c r="N55" s="18"/>
      <c r="O55" s="30"/>
      <c r="P55" s="19">
        <f t="shared" si="1"/>
        <v>0</v>
      </c>
      <c r="AP55" s="20"/>
      <c r="AQ55" s="21"/>
      <c r="AR55" s="22"/>
      <c r="AS55" s="22"/>
      <c r="AT55" s="2"/>
      <c r="AU55" s="23"/>
      <c r="AV55" s="24"/>
    </row>
    <row r="56" ht="22.5" customHeight="1">
      <c r="A56" s="27"/>
      <c r="B56" s="28"/>
      <c r="C56" s="29"/>
      <c r="D56" s="29"/>
      <c r="E56" s="18"/>
      <c r="F56" s="18"/>
      <c r="G56" s="30"/>
      <c r="I56" s="27"/>
      <c r="J56" s="28"/>
      <c r="K56" s="29"/>
      <c r="L56" s="29"/>
      <c r="M56" s="18"/>
      <c r="N56" s="18"/>
      <c r="O56" s="30"/>
      <c r="P56" s="19">
        <f t="shared" si="1"/>
        <v>0</v>
      </c>
      <c r="AP56" s="20"/>
      <c r="AQ56" s="21"/>
      <c r="AR56" s="22"/>
      <c r="AS56" s="22"/>
      <c r="AT56" s="2"/>
      <c r="AU56" s="23"/>
      <c r="AV56" s="24"/>
    </row>
    <row r="57" ht="22.5" customHeight="1">
      <c r="A57" s="27"/>
      <c r="B57" s="28"/>
      <c r="C57" s="29"/>
      <c r="D57" s="29"/>
      <c r="E57" s="18"/>
      <c r="F57" s="18"/>
      <c r="G57" s="30"/>
      <c r="I57" s="27"/>
      <c r="J57" s="28"/>
      <c r="K57" s="29"/>
      <c r="L57" s="29"/>
      <c r="M57" s="18"/>
      <c r="N57" s="18"/>
      <c r="O57" s="30"/>
      <c r="P57" s="19">
        <f t="shared" si="1"/>
        <v>0</v>
      </c>
      <c r="AP57" s="20"/>
      <c r="AQ57" s="21"/>
      <c r="AR57" s="22"/>
      <c r="AS57" s="22"/>
      <c r="AT57" s="2"/>
      <c r="AU57" s="23"/>
      <c r="AV57" s="24"/>
    </row>
    <row r="58" ht="22.5" customHeight="1">
      <c r="A58" s="27"/>
      <c r="B58" s="28"/>
      <c r="C58" s="29"/>
      <c r="D58" s="29"/>
      <c r="E58" s="18"/>
      <c r="F58" s="18"/>
      <c r="G58" s="30"/>
      <c r="I58" s="27"/>
      <c r="J58" s="28"/>
      <c r="K58" s="29"/>
      <c r="L58" s="29"/>
      <c r="M58" s="18"/>
      <c r="N58" s="18"/>
      <c r="O58" s="30"/>
      <c r="P58" s="19">
        <f t="shared" si="1"/>
        <v>0</v>
      </c>
      <c r="AP58" s="20"/>
      <c r="AQ58" s="21"/>
      <c r="AR58" s="22"/>
      <c r="AS58" s="22"/>
      <c r="AT58" s="2"/>
      <c r="AU58" s="23"/>
      <c r="AV58" s="24"/>
    </row>
    <row r="59" ht="22.5" customHeight="1">
      <c r="A59" s="27"/>
      <c r="B59" s="28"/>
      <c r="C59" s="45"/>
      <c r="D59" s="29"/>
      <c r="E59" s="18"/>
      <c r="F59" s="18"/>
      <c r="G59" s="30"/>
      <c r="I59" s="27"/>
      <c r="J59" s="28"/>
      <c r="K59" s="29"/>
      <c r="L59" s="29"/>
      <c r="M59" s="18"/>
      <c r="N59" s="18"/>
      <c r="O59" s="30"/>
      <c r="P59" s="19">
        <f t="shared" si="1"/>
        <v>0</v>
      </c>
      <c r="AP59" s="20"/>
      <c r="AQ59" s="21"/>
      <c r="AR59" s="22"/>
      <c r="AS59" s="22"/>
      <c r="AT59" s="2"/>
      <c r="AU59" s="23"/>
      <c r="AV59" s="24"/>
    </row>
    <row r="60" ht="22.5" customHeight="1">
      <c r="A60" s="27"/>
      <c r="B60" s="28"/>
      <c r="C60" s="45"/>
      <c r="D60" s="29"/>
      <c r="E60" s="18"/>
      <c r="F60" s="18"/>
      <c r="G60" s="30"/>
      <c r="I60" s="27"/>
      <c r="J60" s="28"/>
      <c r="K60" s="29"/>
      <c r="L60" s="29"/>
      <c r="M60" s="18"/>
      <c r="N60" s="18"/>
      <c r="O60" s="30"/>
      <c r="P60" s="19">
        <f t="shared" si="1"/>
        <v>0</v>
      </c>
      <c r="AP60" s="20"/>
      <c r="AQ60" s="21"/>
      <c r="AR60" s="22"/>
      <c r="AS60" s="22"/>
      <c r="AT60" s="2"/>
      <c r="AU60" s="23"/>
      <c r="AV60" s="24"/>
    </row>
    <row r="61" ht="22.5" customHeight="1">
      <c r="A61" s="27"/>
      <c r="B61" s="28"/>
      <c r="C61" s="45"/>
      <c r="D61" s="29"/>
      <c r="E61" s="18"/>
      <c r="F61" s="18"/>
      <c r="G61" s="30"/>
      <c r="I61" s="27"/>
      <c r="J61" s="28"/>
      <c r="K61" s="29"/>
      <c r="L61" s="29"/>
      <c r="M61" s="18"/>
      <c r="N61" s="18"/>
      <c r="O61" s="30"/>
      <c r="P61" s="19">
        <f t="shared" si="1"/>
        <v>0</v>
      </c>
      <c r="AP61" s="20"/>
      <c r="AQ61" s="21"/>
      <c r="AR61" s="22"/>
      <c r="AS61" s="22"/>
      <c r="AT61" s="2"/>
      <c r="AU61" s="23"/>
      <c r="AV61" s="24"/>
    </row>
    <row r="62" ht="22.5" customHeight="1">
      <c r="A62" s="27"/>
      <c r="B62" s="28"/>
      <c r="C62" s="45"/>
      <c r="D62" s="29"/>
      <c r="E62" s="18"/>
      <c r="F62" s="18"/>
      <c r="G62" s="30"/>
      <c r="I62" s="27"/>
      <c r="J62" s="28"/>
      <c r="K62" s="29"/>
      <c r="L62" s="29"/>
      <c r="M62" s="18"/>
      <c r="N62" s="18"/>
      <c r="O62" s="30"/>
      <c r="P62" s="19">
        <f t="shared" si="1"/>
        <v>0</v>
      </c>
      <c r="AP62" s="20"/>
      <c r="AQ62" s="21"/>
      <c r="AR62" s="22"/>
      <c r="AS62" s="22"/>
      <c r="AT62" s="2"/>
      <c r="AU62" s="23"/>
      <c r="AV62" s="24"/>
    </row>
    <row r="63" ht="22.5" customHeight="1">
      <c r="A63" s="27"/>
      <c r="B63" s="28"/>
      <c r="C63" s="45"/>
      <c r="D63" s="29"/>
      <c r="E63" s="18"/>
      <c r="F63" s="18"/>
      <c r="G63" s="30"/>
      <c r="I63" s="27"/>
      <c r="J63" s="28"/>
      <c r="K63" s="29"/>
      <c r="L63" s="29"/>
      <c r="M63" s="18"/>
      <c r="N63" s="18"/>
      <c r="O63" s="30"/>
      <c r="P63" s="19">
        <f t="shared" si="1"/>
        <v>0</v>
      </c>
      <c r="AP63" s="20"/>
      <c r="AQ63" s="21"/>
      <c r="AR63" s="22"/>
      <c r="AS63" s="22"/>
      <c r="AT63" s="2"/>
      <c r="AU63" s="23"/>
      <c r="AV63" s="24"/>
    </row>
    <row r="64" ht="22.5" customHeight="1">
      <c r="A64" s="27"/>
      <c r="B64" s="28"/>
      <c r="C64" s="29"/>
      <c r="D64" s="29"/>
      <c r="E64" s="18"/>
      <c r="F64" s="18"/>
      <c r="G64" s="30"/>
      <c r="I64" s="27"/>
      <c r="J64" s="28"/>
      <c r="K64" s="29"/>
      <c r="L64" s="29"/>
      <c r="M64" s="18"/>
      <c r="N64" s="18"/>
      <c r="O64" s="30"/>
      <c r="P64" s="19">
        <f t="shared" si="1"/>
        <v>0</v>
      </c>
      <c r="AP64" s="20"/>
      <c r="AQ64" s="21"/>
      <c r="AR64" s="22"/>
      <c r="AS64" s="22"/>
      <c r="AT64" s="2"/>
      <c r="AU64" s="23"/>
      <c r="AV64" s="24"/>
    </row>
    <row r="65" ht="22.5" customHeight="1">
      <c r="A65" s="27"/>
      <c r="B65" s="28"/>
      <c r="C65" s="29"/>
      <c r="D65" s="29"/>
      <c r="E65" s="18"/>
      <c r="F65" s="18"/>
      <c r="G65" s="30"/>
      <c r="I65" s="27"/>
      <c r="J65" s="28"/>
      <c r="K65" s="45"/>
      <c r="L65" s="29"/>
      <c r="M65" s="18"/>
      <c r="N65" s="18"/>
      <c r="O65" s="30"/>
      <c r="P65" s="19">
        <f t="shared" si="1"/>
        <v>0</v>
      </c>
      <c r="AP65" s="20"/>
      <c r="AQ65" s="21"/>
      <c r="AR65" s="22"/>
      <c r="AS65" s="22"/>
      <c r="AT65" s="2"/>
      <c r="AU65" s="23"/>
      <c r="AV65" s="24"/>
    </row>
    <row r="66" ht="22.5" customHeight="1">
      <c r="A66" s="27"/>
      <c r="B66" s="28"/>
      <c r="C66" s="29"/>
      <c r="D66" s="29"/>
      <c r="E66" s="18"/>
      <c r="F66" s="18"/>
      <c r="G66" s="30"/>
      <c r="I66" s="27"/>
      <c r="J66" s="28"/>
      <c r="K66" s="45"/>
      <c r="L66" s="29"/>
      <c r="M66" s="18"/>
      <c r="N66" s="18"/>
      <c r="O66" s="30"/>
      <c r="P66" s="19">
        <f t="shared" si="1"/>
        <v>0</v>
      </c>
      <c r="AP66" s="20"/>
      <c r="AQ66" s="21"/>
      <c r="AR66" s="22"/>
      <c r="AS66" s="22"/>
      <c r="AT66" s="2"/>
      <c r="AU66" s="23"/>
      <c r="AV66" s="24"/>
    </row>
    <row r="67" ht="22.5" customHeight="1">
      <c r="A67" s="27"/>
      <c r="B67" s="28"/>
      <c r="C67" s="45"/>
      <c r="D67" s="29"/>
      <c r="E67" s="18"/>
      <c r="F67" s="18"/>
      <c r="G67" s="30"/>
      <c r="I67" s="27"/>
      <c r="J67" s="28"/>
      <c r="K67" s="45"/>
      <c r="L67" s="29"/>
      <c r="M67" s="18"/>
      <c r="N67" s="18"/>
      <c r="O67" s="30"/>
      <c r="P67" s="19">
        <f t="shared" si="1"/>
        <v>0</v>
      </c>
      <c r="AP67" s="20"/>
      <c r="AQ67" s="21"/>
      <c r="AR67" s="22"/>
      <c r="AS67" s="22"/>
      <c r="AT67" s="2"/>
      <c r="AU67" s="23"/>
      <c r="AV67" s="24"/>
    </row>
    <row r="68" ht="22.5" customHeight="1">
      <c r="A68" s="27"/>
      <c r="B68" s="28"/>
      <c r="C68" s="45"/>
      <c r="D68" s="29"/>
      <c r="E68" s="18"/>
      <c r="F68" s="18"/>
      <c r="G68" s="30"/>
      <c r="I68" s="27"/>
      <c r="J68" s="28"/>
      <c r="K68" s="45"/>
      <c r="L68" s="29"/>
      <c r="M68" s="18"/>
      <c r="N68" s="18"/>
      <c r="O68" s="30"/>
      <c r="P68" s="19">
        <f t="shared" si="1"/>
        <v>0</v>
      </c>
      <c r="AP68" s="20"/>
      <c r="AQ68" s="21"/>
      <c r="AR68" s="22"/>
      <c r="AS68" s="22"/>
      <c r="AT68" s="2"/>
      <c r="AU68" s="23"/>
      <c r="AV68" s="24"/>
    </row>
    <row r="69" ht="22.5" customHeight="1">
      <c r="A69" s="27"/>
      <c r="B69" s="28"/>
      <c r="C69" s="45"/>
      <c r="D69" s="29"/>
      <c r="E69" s="18"/>
      <c r="F69" s="18"/>
      <c r="G69" s="30"/>
      <c r="I69" s="27"/>
      <c r="J69" s="28"/>
      <c r="K69" s="45"/>
      <c r="L69" s="29"/>
      <c r="M69" s="18"/>
      <c r="N69" s="18"/>
      <c r="O69" s="30"/>
      <c r="P69" s="19">
        <f t="shared" si="1"/>
        <v>0</v>
      </c>
      <c r="AP69" s="20"/>
      <c r="AQ69" s="21"/>
      <c r="AR69" s="22"/>
      <c r="AS69" s="22"/>
      <c r="AT69" s="2"/>
      <c r="AU69" s="23"/>
      <c r="AV69" s="24"/>
    </row>
    <row r="70" ht="22.5" customHeight="1">
      <c r="A70" s="27"/>
      <c r="B70" s="28"/>
      <c r="C70" s="45"/>
      <c r="D70" s="29"/>
      <c r="E70" s="18"/>
      <c r="F70" s="18"/>
      <c r="G70" s="30"/>
      <c r="I70" s="27"/>
      <c r="J70" s="28"/>
      <c r="K70" s="45"/>
      <c r="L70" s="29"/>
      <c r="M70" s="18"/>
      <c r="N70" s="18"/>
      <c r="O70" s="30"/>
      <c r="P70" s="19">
        <f t="shared" si="1"/>
        <v>0</v>
      </c>
      <c r="AP70" s="20"/>
      <c r="AQ70" s="21"/>
      <c r="AR70" s="22"/>
      <c r="AS70" s="22"/>
      <c r="AT70" s="2"/>
      <c r="AU70" s="23"/>
      <c r="AV70" s="24"/>
    </row>
    <row r="71" ht="22.5" customHeight="1">
      <c r="A71" s="27"/>
      <c r="B71" s="28"/>
      <c r="C71" s="45"/>
      <c r="D71" s="29"/>
      <c r="E71" s="18"/>
      <c r="F71" s="18"/>
      <c r="G71" s="30"/>
      <c r="I71" s="27"/>
      <c r="J71" s="28"/>
      <c r="K71" s="45"/>
      <c r="L71" s="29"/>
      <c r="M71" s="18"/>
      <c r="N71" s="18"/>
      <c r="O71" s="30"/>
      <c r="P71" s="19">
        <f t="shared" si="1"/>
        <v>0</v>
      </c>
      <c r="AP71" s="20"/>
      <c r="AQ71" s="21"/>
      <c r="AR71" s="22"/>
      <c r="AS71" s="22"/>
      <c r="AT71" s="2"/>
      <c r="AU71" s="23"/>
      <c r="AV71" s="24"/>
    </row>
    <row r="72" ht="22.5" customHeight="1">
      <c r="A72" s="27"/>
      <c r="B72" s="28"/>
      <c r="C72" s="45"/>
      <c r="D72" s="29"/>
      <c r="E72" s="18"/>
      <c r="F72" s="18"/>
      <c r="G72" s="30"/>
      <c r="I72" s="27"/>
      <c r="J72" s="28"/>
      <c r="K72" s="29"/>
      <c r="L72" s="29"/>
      <c r="M72" s="18"/>
      <c r="N72" s="18"/>
      <c r="O72" s="30"/>
      <c r="P72" s="19">
        <f t="shared" si="1"/>
        <v>0</v>
      </c>
      <c r="AP72" s="20"/>
      <c r="AQ72" s="21"/>
      <c r="AR72" s="22"/>
      <c r="AS72" s="22"/>
      <c r="AT72" s="2"/>
      <c r="AU72" s="23"/>
      <c r="AV72" s="24"/>
    </row>
    <row r="73" ht="22.5" customHeight="1">
      <c r="A73" s="27"/>
      <c r="B73" s="28"/>
      <c r="C73" s="45"/>
      <c r="D73" s="29"/>
      <c r="E73" s="18"/>
      <c r="F73" s="18"/>
      <c r="G73" s="30"/>
      <c r="I73" s="27"/>
      <c r="J73" s="28"/>
      <c r="K73" s="29"/>
      <c r="L73" s="29"/>
      <c r="M73" s="18"/>
      <c r="N73" s="18"/>
      <c r="O73" s="30"/>
      <c r="P73" s="19">
        <f t="shared" si="1"/>
        <v>0</v>
      </c>
      <c r="AP73" s="20"/>
      <c r="AQ73" s="39"/>
      <c r="AR73" s="40"/>
      <c r="AS73" s="40"/>
      <c r="AT73" s="41"/>
      <c r="AU73" s="42"/>
      <c r="AV73" s="43"/>
    </row>
    <row r="74" ht="22.5" customHeight="1">
      <c r="A74" s="27"/>
      <c r="B74" s="28"/>
      <c r="C74" s="45"/>
      <c r="D74" s="29"/>
      <c r="E74" s="18"/>
      <c r="F74" s="18"/>
      <c r="G74" s="30"/>
      <c r="I74" s="27"/>
      <c r="J74" s="28"/>
      <c r="K74" s="45"/>
      <c r="L74" s="29"/>
      <c r="M74" s="18"/>
      <c r="N74" s="18"/>
      <c r="O74" s="30"/>
      <c r="P74" s="19">
        <f t="shared" si="1"/>
        <v>0</v>
      </c>
      <c r="AP74" s="20"/>
      <c r="AQ74" s="21"/>
      <c r="AR74" s="22"/>
      <c r="AS74" s="22"/>
      <c r="AT74" s="2"/>
      <c r="AU74" s="23"/>
      <c r="AV74" s="24"/>
    </row>
    <row r="75" ht="22.5" customHeight="1">
      <c r="A75" s="27"/>
      <c r="B75" s="28"/>
      <c r="C75" s="45"/>
      <c r="D75" s="29"/>
      <c r="E75" s="18"/>
      <c r="F75" s="18"/>
      <c r="G75" s="30"/>
      <c r="I75" s="27"/>
      <c r="J75" s="28"/>
      <c r="K75" s="45"/>
      <c r="L75" s="29"/>
      <c r="M75" s="18"/>
      <c r="N75" s="18"/>
      <c r="O75" s="30"/>
      <c r="P75" s="19">
        <f t="shared" si="1"/>
        <v>0</v>
      </c>
      <c r="AP75" s="20"/>
      <c r="AQ75" s="21"/>
      <c r="AR75" s="22"/>
      <c r="AS75" s="22"/>
      <c r="AT75" s="2"/>
      <c r="AU75" s="23"/>
      <c r="AV75" s="24"/>
    </row>
    <row r="76" ht="22.5" customHeight="1">
      <c r="A76" s="27"/>
      <c r="B76" s="28"/>
      <c r="C76" s="45"/>
      <c r="D76" s="29"/>
      <c r="E76" s="18"/>
      <c r="F76" s="18"/>
      <c r="G76" s="30"/>
      <c r="I76" s="27"/>
      <c r="J76" s="28"/>
      <c r="K76" s="45"/>
      <c r="L76" s="29"/>
      <c r="M76" s="18"/>
      <c r="N76" s="18"/>
      <c r="O76" s="30"/>
      <c r="P76" s="19">
        <f t="shared" si="1"/>
        <v>0</v>
      </c>
      <c r="AP76" s="20"/>
      <c r="AQ76" s="21"/>
      <c r="AR76" s="22"/>
      <c r="AS76" s="22"/>
      <c r="AT76" s="2"/>
      <c r="AU76" s="23"/>
      <c r="AV76" s="24"/>
    </row>
    <row r="77" ht="22.5" customHeight="1">
      <c r="A77" s="27"/>
      <c r="B77" s="28"/>
      <c r="C77" s="45"/>
      <c r="D77" s="29"/>
      <c r="E77" s="18"/>
      <c r="F77" s="18"/>
      <c r="G77" s="30"/>
      <c r="I77" s="27"/>
      <c r="J77" s="28"/>
      <c r="K77" s="45"/>
      <c r="L77" s="29"/>
      <c r="M77" s="18"/>
      <c r="N77" s="18"/>
      <c r="O77" s="30"/>
      <c r="P77" s="19">
        <f t="shared" si="1"/>
        <v>0</v>
      </c>
      <c r="AP77" s="20"/>
      <c r="AQ77" s="21"/>
      <c r="AR77" s="22"/>
      <c r="AS77" s="22"/>
      <c r="AT77" s="2"/>
      <c r="AU77" s="23"/>
      <c r="AV77" s="24"/>
    </row>
    <row r="78" ht="22.5" customHeight="1">
      <c r="A78" s="27"/>
      <c r="B78" s="28"/>
      <c r="C78" s="45"/>
      <c r="D78" s="29"/>
      <c r="E78" s="18"/>
      <c r="F78" s="18"/>
      <c r="G78" s="30"/>
      <c r="I78" s="27"/>
      <c r="J78" s="28"/>
      <c r="K78" s="45"/>
      <c r="L78" s="29"/>
      <c r="M78" s="18"/>
      <c r="N78" s="18"/>
      <c r="O78" s="30"/>
      <c r="P78" s="19">
        <f t="shared" si="1"/>
        <v>0</v>
      </c>
      <c r="AP78" s="20"/>
      <c r="AQ78" s="21"/>
      <c r="AR78" s="22"/>
      <c r="AS78" s="22"/>
      <c r="AT78" s="2"/>
      <c r="AU78" s="23"/>
      <c r="AV78" s="24"/>
    </row>
    <row r="79" ht="22.5" customHeight="1">
      <c r="A79" s="27"/>
      <c r="B79" s="28"/>
      <c r="C79" s="29"/>
      <c r="D79" s="29"/>
      <c r="E79" s="18"/>
      <c r="F79" s="18"/>
      <c r="G79" s="30"/>
      <c r="I79" s="27"/>
      <c r="J79" s="28"/>
      <c r="K79" s="45"/>
      <c r="L79" s="29"/>
      <c r="M79" s="18"/>
      <c r="N79" s="18"/>
      <c r="O79" s="30"/>
      <c r="P79" s="19">
        <f t="shared" si="1"/>
        <v>0</v>
      </c>
      <c r="AP79" s="20"/>
      <c r="AQ79" s="21"/>
      <c r="AR79" s="22"/>
      <c r="AS79" s="22"/>
      <c r="AT79" s="2"/>
      <c r="AU79" s="23"/>
      <c r="AV79" s="24"/>
    </row>
    <row r="80" ht="22.5" customHeight="1">
      <c r="A80" s="27"/>
      <c r="B80" s="28"/>
      <c r="C80" s="29"/>
      <c r="D80" s="29"/>
      <c r="E80" s="18"/>
      <c r="F80" s="18"/>
      <c r="G80" s="30"/>
      <c r="I80" s="27"/>
      <c r="J80" s="28"/>
      <c r="K80" s="45"/>
      <c r="L80" s="29"/>
      <c r="M80" s="18"/>
      <c r="N80" s="18"/>
      <c r="O80" s="30"/>
      <c r="P80" s="19">
        <f t="shared" si="1"/>
        <v>0</v>
      </c>
      <c r="AP80" s="20"/>
      <c r="AQ80" s="21"/>
      <c r="AR80" s="22"/>
      <c r="AS80" s="22"/>
      <c r="AT80" s="2"/>
      <c r="AU80" s="23"/>
      <c r="AV80" s="24"/>
    </row>
    <row r="81" ht="22.5" customHeight="1">
      <c r="A81" s="27"/>
      <c r="B81" s="28"/>
      <c r="C81" s="29"/>
      <c r="D81" s="29"/>
      <c r="E81" s="18"/>
      <c r="F81" s="18"/>
      <c r="G81" s="30"/>
      <c r="I81" s="27"/>
      <c r="J81" s="28"/>
      <c r="K81" s="45"/>
      <c r="L81" s="29"/>
      <c r="M81" s="18"/>
      <c r="N81" s="18"/>
      <c r="O81" s="30"/>
      <c r="P81" s="19">
        <f t="shared" si="1"/>
        <v>0</v>
      </c>
      <c r="AP81" s="20"/>
      <c r="AQ81" s="21"/>
      <c r="AR81" s="22"/>
      <c r="AS81" s="22"/>
      <c r="AT81" s="2"/>
      <c r="AU81" s="23"/>
      <c r="AV81" s="24"/>
    </row>
    <row r="82" ht="22.5" customHeight="1">
      <c r="A82" s="27"/>
      <c r="B82" s="28"/>
      <c r="C82" s="29"/>
      <c r="D82" s="29"/>
      <c r="E82" s="18"/>
      <c r="F82" s="18"/>
      <c r="G82" s="30"/>
      <c r="I82" s="27"/>
      <c r="J82" s="28"/>
      <c r="K82" s="45"/>
      <c r="L82" s="29"/>
      <c r="M82" s="18"/>
      <c r="N82" s="18"/>
      <c r="O82" s="30"/>
      <c r="P82" s="19">
        <f t="shared" si="1"/>
        <v>0</v>
      </c>
      <c r="AP82" s="20"/>
      <c r="AQ82" s="21"/>
      <c r="AR82" s="22"/>
      <c r="AS82" s="22"/>
      <c r="AT82" s="2"/>
      <c r="AU82" s="23"/>
      <c r="AV82" s="24"/>
    </row>
    <row r="83" ht="22.5" customHeight="1">
      <c r="A83" s="27"/>
      <c r="B83" s="28"/>
      <c r="C83" s="29"/>
      <c r="D83" s="29"/>
      <c r="E83" s="18"/>
      <c r="F83" s="18"/>
      <c r="G83" s="30"/>
      <c r="I83" s="27"/>
      <c r="J83" s="28"/>
      <c r="K83" s="45"/>
      <c r="L83" s="29"/>
      <c r="M83" s="18"/>
      <c r="N83" s="18"/>
      <c r="O83" s="30"/>
      <c r="P83" s="19">
        <f t="shared" si="1"/>
        <v>0</v>
      </c>
      <c r="AP83" s="20"/>
      <c r="AQ83" s="21"/>
      <c r="AR83" s="22"/>
      <c r="AS83" s="22"/>
      <c r="AT83" s="2"/>
      <c r="AU83" s="23"/>
      <c r="AV83" s="24"/>
    </row>
    <row r="84" ht="22.5" customHeight="1">
      <c r="A84" s="27"/>
      <c r="B84" s="28"/>
      <c r="C84" s="29"/>
      <c r="D84" s="29"/>
      <c r="E84" s="18"/>
      <c r="F84" s="18"/>
      <c r="G84" s="30"/>
      <c r="I84" s="27"/>
      <c r="J84" s="28"/>
      <c r="K84" s="45"/>
      <c r="L84" s="29"/>
      <c r="M84" s="18"/>
      <c r="N84" s="18"/>
      <c r="O84" s="30"/>
      <c r="P84" s="19">
        <f t="shared" si="1"/>
        <v>0</v>
      </c>
      <c r="AP84" s="20"/>
      <c r="AQ84" s="21"/>
      <c r="AR84" s="22"/>
      <c r="AS84" s="22"/>
      <c r="AT84" s="2"/>
      <c r="AU84" s="23"/>
      <c r="AV84" s="24"/>
    </row>
    <row r="85" ht="22.5" customHeight="1">
      <c r="A85" s="27"/>
      <c r="B85" s="28"/>
      <c r="C85" s="29"/>
      <c r="D85" s="29"/>
      <c r="E85" s="18"/>
      <c r="F85" s="18"/>
      <c r="G85" s="30"/>
      <c r="I85" s="27"/>
      <c r="J85" s="28"/>
      <c r="K85" s="45"/>
      <c r="L85" s="29"/>
      <c r="M85" s="18"/>
      <c r="N85" s="18"/>
      <c r="O85" s="30"/>
      <c r="P85" s="19">
        <f t="shared" si="1"/>
        <v>0</v>
      </c>
      <c r="AP85" s="20"/>
      <c r="AQ85" s="21"/>
      <c r="AR85" s="22"/>
      <c r="AS85" s="22"/>
      <c r="AT85" s="2"/>
      <c r="AU85" s="23"/>
      <c r="AV85" s="24"/>
    </row>
    <row r="86" ht="22.5" customHeight="1">
      <c r="A86" s="27"/>
      <c r="B86" s="28"/>
      <c r="C86" s="29"/>
      <c r="D86" s="29"/>
      <c r="E86" s="18"/>
      <c r="F86" s="18"/>
      <c r="G86" s="30"/>
      <c r="I86" s="27"/>
      <c r="J86" s="28"/>
      <c r="K86" s="45"/>
      <c r="L86" s="29"/>
      <c r="M86" s="18"/>
      <c r="N86" s="18"/>
      <c r="O86" s="30"/>
      <c r="P86" s="19">
        <f t="shared" si="1"/>
        <v>0</v>
      </c>
      <c r="AP86" s="20"/>
      <c r="AQ86" s="21"/>
      <c r="AR86" s="22"/>
      <c r="AS86" s="22"/>
      <c r="AT86" s="2"/>
      <c r="AU86" s="23"/>
      <c r="AV86" s="24"/>
    </row>
    <row r="87" ht="22.5" customHeight="1">
      <c r="A87" s="27"/>
      <c r="B87" s="28"/>
      <c r="C87" s="29"/>
      <c r="D87" s="29"/>
      <c r="E87" s="18"/>
      <c r="F87" s="18"/>
      <c r="G87" s="30"/>
      <c r="I87" s="27"/>
      <c r="J87" s="28"/>
      <c r="K87" s="45"/>
      <c r="L87" s="29"/>
      <c r="M87" s="18"/>
      <c r="N87" s="18"/>
      <c r="O87" s="30"/>
      <c r="P87" s="19">
        <f t="shared" si="1"/>
        <v>0</v>
      </c>
      <c r="AP87" s="20"/>
      <c r="AQ87" s="21"/>
      <c r="AR87" s="22"/>
      <c r="AS87" s="22"/>
      <c r="AT87" s="2"/>
      <c r="AU87" s="23"/>
      <c r="AV87" s="24"/>
    </row>
    <row r="88" ht="22.5" customHeight="1">
      <c r="A88" s="27"/>
      <c r="B88" s="28"/>
      <c r="C88" s="29"/>
      <c r="D88" s="29"/>
      <c r="E88" s="18"/>
      <c r="F88" s="18"/>
      <c r="G88" s="30"/>
      <c r="I88" s="27"/>
      <c r="J88" s="28"/>
      <c r="K88" s="45"/>
      <c r="L88" s="29"/>
      <c r="M88" s="18"/>
      <c r="N88" s="18"/>
      <c r="O88" s="30"/>
      <c r="P88" s="19">
        <f t="shared" si="1"/>
        <v>0</v>
      </c>
      <c r="AP88" s="20"/>
      <c r="AQ88" s="21"/>
      <c r="AR88" s="22"/>
      <c r="AS88" s="22"/>
      <c r="AT88" s="2"/>
      <c r="AU88" s="23"/>
      <c r="AV88" s="24"/>
    </row>
    <row r="89" ht="22.5" customHeight="1">
      <c r="A89" s="27"/>
      <c r="B89" s="28"/>
      <c r="C89" s="29"/>
      <c r="D89" s="29"/>
      <c r="E89" s="18"/>
      <c r="F89" s="18"/>
      <c r="G89" s="30"/>
      <c r="I89" s="27"/>
      <c r="J89" s="28"/>
      <c r="K89" s="45"/>
      <c r="L89" s="29"/>
      <c r="M89" s="18"/>
      <c r="N89" s="18"/>
      <c r="O89" s="30"/>
      <c r="P89" s="19">
        <f t="shared" si="1"/>
        <v>0</v>
      </c>
      <c r="AP89" s="20"/>
      <c r="AQ89" s="21"/>
      <c r="AR89" s="22"/>
      <c r="AS89" s="22"/>
      <c r="AT89" s="2"/>
      <c r="AU89" s="23"/>
      <c r="AV89" s="24"/>
    </row>
    <row r="90" ht="22.5" customHeight="1">
      <c r="A90" s="27"/>
      <c r="B90" s="28"/>
      <c r="C90" s="45"/>
      <c r="D90" s="29"/>
      <c r="E90" s="18"/>
      <c r="F90" s="18"/>
      <c r="G90" s="30"/>
      <c r="I90" s="27"/>
      <c r="J90" s="28"/>
      <c r="K90" s="45"/>
      <c r="L90" s="29"/>
      <c r="M90" s="18"/>
      <c r="N90" s="18"/>
      <c r="O90" s="30"/>
      <c r="P90" s="19">
        <f t="shared" si="1"/>
        <v>0</v>
      </c>
      <c r="AP90" s="20"/>
      <c r="AQ90" s="21"/>
      <c r="AR90" s="22"/>
      <c r="AS90" s="22"/>
      <c r="AT90" s="2"/>
      <c r="AU90" s="23"/>
      <c r="AV90" s="24"/>
    </row>
    <row r="91" ht="22.5" customHeight="1">
      <c r="A91" s="27"/>
      <c r="B91" s="28"/>
      <c r="C91" s="45"/>
      <c r="D91" s="29"/>
      <c r="E91" s="18"/>
      <c r="F91" s="18"/>
      <c r="G91" s="30"/>
      <c r="I91" s="27"/>
      <c r="J91" s="28"/>
      <c r="K91" s="45"/>
      <c r="L91" s="29"/>
      <c r="M91" s="18"/>
      <c r="N91" s="18"/>
      <c r="O91" s="30"/>
      <c r="P91" s="19">
        <f t="shared" si="1"/>
        <v>0</v>
      </c>
      <c r="AP91" s="20"/>
      <c r="AQ91" s="21"/>
      <c r="AR91" s="22"/>
      <c r="AS91" s="22"/>
      <c r="AT91" s="2"/>
      <c r="AU91" s="23"/>
      <c r="AV91" s="24"/>
    </row>
    <row r="92" ht="22.5" customHeight="1">
      <c r="A92" s="27"/>
      <c r="B92" s="28"/>
      <c r="C92" s="45"/>
      <c r="D92" s="29"/>
      <c r="E92" s="18"/>
      <c r="F92" s="18"/>
      <c r="G92" s="30"/>
      <c r="I92" s="27"/>
      <c r="J92" s="28"/>
      <c r="K92" s="45"/>
      <c r="L92" s="29"/>
      <c r="M92" s="18"/>
      <c r="N92" s="18"/>
      <c r="O92" s="30"/>
      <c r="P92" s="19">
        <f t="shared" si="1"/>
        <v>0</v>
      </c>
      <c r="AP92" s="20"/>
      <c r="AQ92" s="21"/>
      <c r="AR92" s="22"/>
      <c r="AS92" s="22"/>
      <c r="AT92" s="2"/>
      <c r="AU92" s="23"/>
      <c r="AV92" s="24"/>
    </row>
    <row r="93" ht="22.5" customHeight="1">
      <c r="A93" s="27"/>
      <c r="B93" s="28"/>
      <c r="C93" s="45"/>
      <c r="D93" s="29"/>
      <c r="E93" s="18"/>
      <c r="F93" s="18"/>
      <c r="G93" s="30"/>
      <c r="I93" s="27"/>
      <c r="J93" s="28"/>
      <c r="K93" s="45"/>
      <c r="L93" s="29"/>
      <c r="M93" s="18"/>
      <c r="N93" s="18"/>
      <c r="O93" s="30"/>
      <c r="P93" s="19">
        <f t="shared" si="1"/>
        <v>0</v>
      </c>
      <c r="AP93" s="20"/>
      <c r="AQ93" s="21"/>
      <c r="AR93" s="22"/>
      <c r="AS93" s="22"/>
      <c r="AT93" s="2"/>
      <c r="AU93" s="23"/>
      <c r="AV93" s="24"/>
    </row>
    <row r="94" ht="22.5" customHeight="1">
      <c r="A94" s="27"/>
      <c r="B94" s="28"/>
      <c r="C94" s="45"/>
      <c r="D94" s="29"/>
      <c r="E94" s="18"/>
      <c r="F94" s="18"/>
      <c r="G94" s="30"/>
      <c r="I94" s="27"/>
      <c r="J94" s="28"/>
      <c r="K94" s="45"/>
      <c r="L94" s="29"/>
      <c r="M94" s="18"/>
      <c r="N94" s="18"/>
      <c r="O94" s="30"/>
      <c r="P94" s="19">
        <f t="shared" si="1"/>
        <v>0</v>
      </c>
      <c r="AP94" s="20"/>
      <c r="AQ94" s="21"/>
      <c r="AR94" s="22"/>
      <c r="AS94" s="22"/>
      <c r="AT94" s="2"/>
      <c r="AU94" s="23"/>
      <c r="AV94" s="24"/>
    </row>
    <row r="95" ht="22.5" customHeight="1">
      <c r="A95" s="27"/>
      <c r="B95" s="28"/>
      <c r="C95" s="45"/>
      <c r="D95" s="29"/>
      <c r="E95" s="18"/>
      <c r="F95" s="18"/>
      <c r="G95" s="30"/>
      <c r="I95" s="27"/>
      <c r="J95" s="28"/>
      <c r="K95" s="45"/>
      <c r="L95" s="29"/>
      <c r="M95" s="18"/>
      <c r="N95" s="18"/>
      <c r="O95" s="30"/>
      <c r="P95" s="19">
        <f t="shared" si="1"/>
        <v>0</v>
      </c>
      <c r="AP95" s="20"/>
      <c r="AQ95" s="21"/>
      <c r="AR95" s="22"/>
      <c r="AS95" s="22"/>
      <c r="AT95" s="2"/>
      <c r="AU95" s="23"/>
      <c r="AV95" s="24"/>
    </row>
    <row r="96" ht="22.5" customHeight="1">
      <c r="A96" s="27"/>
      <c r="B96" s="28"/>
      <c r="C96" s="45"/>
      <c r="D96" s="29"/>
      <c r="E96" s="18"/>
      <c r="F96" s="18"/>
      <c r="G96" s="30"/>
      <c r="I96" s="27"/>
      <c r="J96" s="28"/>
      <c r="K96" s="45"/>
      <c r="L96" s="29"/>
      <c r="M96" s="18"/>
      <c r="N96" s="18"/>
      <c r="O96" s="30"/>
      <c r="P96" s="19">
        <f t="shared" ref="P96:P1844" si="2">sumif(K:K,K96,O:O)</f>
        <v>0</v>
      </c>
      <c r="AP96" s="20"/>
      <c r="AQ96" s="21"/>
      <c r="AR96" s="22"/>
      <c r="AS96" s="22"/>
      <c r="AT96" s="2"/>
      <c r="AU96" s="23"/>
      <c r="AV96" s="24"/>
    </row>
    <row r="97" ht="22.5" customHeight="1">
      <c r="A97" s="27"/>
      <c r="B97" s="28"/>
      <c r="C97" s="29"/>
      <c r="D97" s="29"/>
      <c r="E97" s="18"/>
      <c r="F97" s="18"/>
      <c r="G97" s="30"/>
      <c r="I97" s="27"/>
      <c r="J97" s="28"/>
      <c r="K97" s="45"/>
      <c r="L97" s="29"/>
      <c r="M97" s="18"/>
      <c r="N97" s="18"/>
      <c r="O97" s="30"/>
      <c r="P97" s="19">
        <f t="shared" si="2"/>
        <v>0</v>
      </c>
      <c r="AP97" s="20"/>
      <c r="AQ97" s="21"/>
      <c r="AR97" s="22"/>
      <c r="AS97" s="22"/>
      <c r="AT97" s="2"/>
      <c r="AU97" s="23"/>
      <c r="AV97" s="24"/>
    </row>
    <row r="98" ht="22.5" customHeight="1">
      <c r="A98" s="27"/>
      <c r="B98" s="28"/>
      <c r="C98" s="29"/>
      <c r="D98" s="29"/>
      <c r="E98" s="18"/>
      <c r="F98" s="18"/>
      <c r="G98" s="30"/>
      <c r="I98" s="27"/>
      <c r="J98" s="28"/>
      <c r="K98" s="45"/>
      <c r="L98" s="29"/>
      <c r="M98" s="18"/>
      <c r="N98" s="18"/>
      <c r="O98" s="30"/>
      <c r="P98" s="19">
        <f t="shared" si="2"/>
        <v>0</v>
      </c>
      <c r="AP98" s="20"/>
      <c r="AQ98" s="21"/>
      <c r="AR98" s="22"/>
      <c r="AS98" s="22"/>
      <c r="AT98" s="2"/>
      <c r="AU98" s="23"/>
      <c r="AV98" s="24"/>
    </row>
    <row r="99" ht="22.5" customHeight="1">
      <c r="A99" s="27"/>
      <c r="B99" s="28"/>
      <c r="C99" s="45"/>
      <c r="D99" s="29"/>
      <c r="E99" s="18"/>
      <c r="F99" s="18"/>
      <c r="G99" s="30"/>
      <c r="I99" s="27"/>
      <c r="J99" s="28"/>
      <c r="K99" s="45"/>
      <c r="L99" s="29"/>
      <c r="M99" s="18"/>
      <c r="N99" s="18"/>
      <c r="O99" s="30"/>
      <c r="P99" s="19">
        <f t="shared" si="2"/>
        <v>0</v>
      </c>
      <c r="AP99" s="20"/>
      <c r="AQ99" s="21"/>
      <c r="AR99" s="22"/>
      <c r="AS99" s="22"/>
      <c r="AT99" s="2"/>
      <c r="AU99" s="23"/>
      <c r="AV99" s="24"/>
    </row>
    <row r="100" ht="22.5" customHeight="1">
      <c r="A100" s="27"/>
      <c r="B100" s="28"/>
      <c r="C100" s="45"/>
      <c r="D100" s="29"/>
      <c r="E100" s="18"/>
      <c r="F100" s="18"/>
      <c r="G100" s="30"/>
      <c r="I100" s="27"/>
      <c r="J100" s="28"/>
      <c r="K100" s="45"/>
      <c r="L100" s="29"/>
      <c r="M100" s="18"/>
      <c r="N100" s="18"/>
      <c r="O100" s="30"/>
      <c r="P100" s="19">
        <f t="shared" si="2"/>
        <v>0</v>
      </c>
      <c r="AP100" s="20"/>
      <c r="AQ100" s="21"/>
      <c r="AR100" s="22"/>
      <c r="AS100" s="22"/>
      <c r="AT100" s="2"/>
      <c r="AU100" s="23"/>
      <c r="AV100" s="24"/>
    </row>
    <row r="101" ht="22.5" customHeight="1">
      <c r="A101" s="27"/>
      <c r="B101" s="28"/>
      <c r="C101" s="45"/>
      <c r="D101" s="29"/>
      <c r="E101" s="18"/>
      <c r="F101" s="18"/>
      <c r="G101" s="30"/>
      <c r="I101" s="27"/>
      <c r="J101" s="28"/>
      <c r="K101" s="45"/>
      <c r="L101" s="29"/>
      <c r="M101" s="18"/>
      <c r="N101" s="18"/>
      <c r="O101" s="30"/>
      <c r="P101" s="19">
        <f t="shared" si="2"/>
        <v>0</v>
      </c>
      <c r="AP101" s="20"/>
      <c r="AQ101" s="21"/>
      <c r="AR101" s="22"/>
      <c r="AS101" s="22"/>
      <c r="AT101" s="2"/>
      <c r="AU101" s="23"/>
      <c r="AV101" s="24"/>
    </row>
    <row r="102" ht="22.5" customHeight="1">
      <c r="A102" s="27"/>
      <c r="B102" s="28"/>
      <c r="C102" s="45"/>
      <c r="D102" s="29"/>
      <c r="E102" s="18"/>
      <c r="F102" s="18"/>
      <c r="G102" s="30"/>
      <c r="I102" s="27"/>
      <c r="J102" s="28"/>
      <c r="K102" s="45"/>
      <c r="L102" s="29"/>
      <c r="M102" s="18"/>
      <c r="N102" s="18"/>
      <c r="O102" s="30"/>
      <c r="P102" s="19">
        <f t="shared" si="2"/>
        <v>0</v>
      </c>
      <c r="AP102" s="20"/>
      <c r="AQ102" s="21"/>
      <c r="AR102" s="22"/>
      <c r="AS102" s="22"/>
      <c r="AT102" s="2"/>
      <c r="AU102" s="23"/>
      <c r="AV102" s="24"/>
    </row>
    <row r="103" ht="22.5" customHeight="1">
      <c r="A103" s="27"/>
      <c r="B103" s="28"/>
      <c r="C103" s="45"/>
      <c r="D103" s="29"/>
      <c r="E103" s="18"/>
      <c r="F103" s="18"/>
      <c r="G103" s="30"/>
      <c r="I103" s="27"/>
      <c r="J103" s="28"/>
      <c r="K103" s="45"/>
      <c r="L103" s="29"/>
      <c r="M103" s="18"/>
      <c r="N103" s="18"/>
      <c r="O103" s="30"/>
      <c r="P103" s="19">
        <f t="shared" si="2"/>
        <v>0</v>
      </c>
      <c r="AP103" s="20"/>
      <c r="AQ103" s="21"/>
      <c r="AR103" s="22"/>
      <c r="AS103" s="22"/>
      <c r="AT103" s="2"/>
      <c r="AU103" s="23"/>
      <c r="AV103" s="24"/>
    </row>
    <row r="104" ht="22.5" customHeight="1">
      <c r="A104" s="27"/>
      <c r="B104" s="28"/>
      <c r="C104" s="45"/>
      <c r="D104" s="29"/>
      <c r="E104" s="18"/>
      <c r="F104" s="18"/>
      <c r="G104" s="30"/>
      <c r="I104" s="27"/>
      <c r="J104" s="28"/>
      <c r="K104" s="45"/>
      <c r="L104" s="29"/>
      <c r="M104" s="18"/>
      <c r="N104" s="18"/>
      <c r="O104" s="30"/>
      <c r="P104" s="19">
        <f t="shared" si="2"/>
        <v>0</v>
      </c>
      <c r="AP104" s="20"/>
      <c r="AQ104" s="21"/>
      <c r="AR104" s="22"/>
      <c r="AS104" s="22"/>
      <c r="AT104" s="2"/>
      <c r="AU104" s="23"/>
      <c r="AV104" s="24"/>
    </row>
    <row r="105" ht="22.5" customHeight="1">
      <c r="A105" s="27"/>
      <c r="B105" s="28"/>
      <c r="C105" s="45"/>
      <c r="D105" s="29"/>
      <c r="E105" s="18"/>
      <c r="F105" s="18"/>
      <c r="G105" s="30"/>
      <c r="I105" s="27"/>
      <c r="J105" s="28"/>
      <c r="K105" s="45"/>
      <c r="L105" s="29"/>
      <c r="M105" s="18"/>
      <c r="N105" s="18"/>
      <c r="O105" s="30"/>
      <c r="P105" s="19">
        <f t="shared" si="2"/>
        <v>0</v>
      </c>
      <c r="AP105" s="20"/>
      <c r="AQ105" s="21"/>
      <c r="AR105" s="22"/>
      <c r="AS105" s="22"/>
      <c r="AT105" s="2"/>
      <c r="AU105" s="23"/>
      <c r="AV105" s="24"/>
    </row>
    <row r="106" ht="22.5" customHeight="1">
      <c r="A106" s="27"/>
      <c r="B106" s="28"/>
      <c r="C106" s="45"/>
      <c r="D106" s="29"/>
      <c r="E106" s="18"/>
      <c r="F106" s="18"/>
      <c r="G106" s="30"/>
      <c r="I106" s="27"/>
      <c r="J106" s="28"/>
      <c r="K106" s="45"/>
      <c r="L106" s="29"/>
      <c r="M106" s="18"/>
      <c r="N106" s="18"/>
      <c r="O106" s="30"/>
      <c r="P106" s="19">
        <f t="shared" si="2"/>
        <v>0</v>
      </c>
      <c r="AP106" s="20"/>
      <c r="AQ106" s="21"/>
      <c r="AR106" s="22"/>
      <c r="AS106" s="22"/>
      <c r="AT106" s="2"/>
      <c r="AU106" s="23"/>
      <c r="AV106" s="24"/>
    </row>
    <row r="107" ht="22.5" customHeight="1">
      <c r="A107" s="27"/>
      <c r="B107" s="28"/>
      <c r="C107" s="45"/>
      <c r="D107" s="29"/>
      <c r="E107" s="18"/>
      <c r="F107" s="18"/>
      <c r="G107" s="30"/>
      <c r="I107" s="27"/>
      <c r="J107" s="28"/>
      <c r="K107" s="45"/>
      <c r="L107" s="29"/>
      <c r="M107" s="18"/>
      <c r="N107" s="18"/>
      <c r="O107" s="30"/>
      <c r="P107" s="19">
        <f t="shared" si="2"/>
        <v>0</v>
      </c>
      <c r="AP107" s="20"/>
      <c r="AQ107" s="21"/>
      <c r="AR107" s="22"/>
      <c r="AS107" s="22"/>
      <c r="AT107" s="2"/>
      <c r="AU107" s="23"/>
      <c r="AV107" s="24"/>
    </row>
    <row r="108" ht="22.5" customHeight="1">
      <c r="A108" s="27"/>
      <c r="B108" s="28"/>
      <c r="C108" s="45"/>
      <c r="D108" s="29"/>
      <c r="E108" s="18"/>
      <c r="F108" s="18"/>
      <c r="G108" s="30"/>
      <c r="I108" s="27"/>
      <c r="J108" s="28"/>
      <c r="K108" s="45"/>
      <c r="L108" s="29"/>
      <c r="M108" s="18"/>
      <c r="N108" s="18"/>
      <c r="O108" s="30"/>
      <c r="P108" s="19">
        <f t="shared" si="2"/>
        <v>0</v>
      </c>
      <c r="AP108" s="20"/>
      <c r="AQ108" s="21"/>
      <c r="AR108" s="22"/>
      <c r="AS108" s="22"/>
      <c r="AT108" s="2"/>
      <c r="AU108" s="23"/>
      <c r="AV108" s="24"/>
    </row>
    <row r="109" ht="22.5" customHeight="1">
      <c r="A109" s="27"/>
      <c r="B109" s="28"/>
      <c r="C109" s="45"/>
      <c r="D109" s="29"/>
      <c r="E109" s="18"/>
      <c r="F109" s="18"/>
      <c r="G109" s="30"/>
      <c r="I109" s="27"/>
      <c r="J109" s="28"/>
      <c r="K109" s="45"/>
      <c r="L109" s="29"/>
      <c r="M109" s="18"/>
      <c r="N109" s="18"/>
      <c r="O109" s="30"/>
      <c r="P109" s="19">
        <f t="shared" si="2"/>
        <v>0</v>
      </c>
      <c r="AP109" s="20"/>
      <c r="AQ109" s="21"/>
      <c r="AR109" s="22"/>
      <c r="AS109" s="22"/>
      <c r="AT109" s="2"/>
      <c r="AU109" s="23"/>
      <c r="AV109" s="24"/>
    </row>
    <row r="110" ht="22.5" customHeight="1">
      <c r="A110" s="27"/>
      <c r="B110" s="28"/>
      <c r="C110" s="45"/>
      <c r="D110" s="29"/>
      <c r="E110" s="18"/>
      <c r="F110" s="18"/>
      <c r="G110" s="30"/>
      <c r="I110" s="27"/>
      <c r="J110" s="28"/>
      <c r="K110" s="45"/>
      <c r="L110" s="29"/>
      <c r="M110" s="18"/>
      <c r="N110" s="18"/>
      <c r="O110" s="30"/>
      <c r="P110" s="19">
        <f t="shared" si="2"/>
        <v>0</v>
      </c>
      <c r="AP110" s="20"/>
      <c r="AQ110" s="21"/>
      <c r="AR110" s="22"/>
      <c r="AS110" s="22"/>
      <c r="AT110" s="2"/>
      <c r="AU110" s="23"/>
      <c r="AV110" s="24"/>
    </row>
    <row r="111" ht="22.5" customHeight="1">
      <c r="A111" s="27"/>
      <c r="B111" s="28"/>
      <c r="C111" s="45"/>
      <c r="D111" s="29"/>
      <c r="E111" s="18"/>
      <c r="F111" s="18"/>
      <c r="G111" s="30"/>
      <c r="I111" s="27"/>
      <c r="J111" s="28"/>
      <c r="K111" s="45"/>
      <c r="L111" s="29"/>
      <c r="M111" s="18"/>
      <c r="N111" s="18"/>
      <c r="O111" s="30"/>
      <c r="P111" s="19">
        <f t="shared" si="2"/>
        <v>0</v>
      </c>
      <c r="AP111" s="20"/>
      <c r="AQ111" s="21"/>
      <c r="AR111" s="22"/>
      <c r="AS111" s="22"/>
      <c r="AT111" s="2"/>
      <c r="AU111" s="23"/>
      <c r="AV111" s="24"/>
    </row>
    <row r="112" ht="22.5" customHeight="1">
      <c r="A112" s="27"/>
      <c r="B112" s="28"/>
      <c r="C112" s="45"/>
      <c r="D112" s="29"/>
      <c r="E112" s="18"/>
      <c r="F112" s="18"/>
      <c r="G112" s="30"/>
      <c r="I112" s="27"/>
      <c r="J112" s="28"/>
      <c r="K112" s="45"/>
      <c r="L112" s="29"/>
      <c r="M112" s="18"/>
      <c r="N112" s="18"/>
      <c r="O112" s="30"/>
      <c r="P112" s="19">
        <f t="shared" si="2"/>
        <v>0</v>
      </c>
      <c r="AP112" s="20"/>
      <c r="AQ112" s="21"/>
      <c r="AR112" s="22"/>
      <c r="AS112" s="22"/>
      <c r="AT112" s="2"/>
      <c r="AU112" s="23"/>
      <c r="AV112" s="24"/>
    </row>
    <row r="113" ht="22.5" customHeight="1">
      <c r="A113" s="27"/>
      <c r="B113" s="28"/>
      <c r="C113" s="45"/>
      <c r="D113" s="29"/>
      <c r="E113" s="18"/>
      <c r="F113" s="18"/>
      <c r="G113" s="30"/>
      <c r="I113" s="27"/>
      <c r="J113" s="28"/>
      <c r="K113" s="29"/>
      <c r="L113" s="29"/>
      <c r="M113" s="18"/>
      <c r="N113" s="18"/>
      <c r="O113" s="30"/>
      <c r="P113" s="19">
        <f t="shared" si="2"/>
        <v>0</v>
      </c>
      <c r="AP113" s="20"/>
      <c r="AQ113" s="21"/>
      <c r="AR113" s="22"/>
      <c r="AS113" s="22"/>
      <c r="AT113" s="2"/>
      <c r="AU113" s="23"/>
      <c r="AV113" s="24"/>
    </row>
    <row r="114" ht="22.5" customHeight="1">
      <c r="A114" s="27"/>
      <c r="B114" s="28"/>
      <c r="C114" s="45"/>
      <c r="D114" s="29"/>
      <c r="E114" s="18"/>
      <c r="F114" s="18"/>
      <c r="G114" s="30"/>
      <c r="I114" s="27"/>
      <c r="J114" s="28"/>
      <c r="K114" s="29"/>
      <c r="L114" s="29"/>
      <c r="M114" s="18"/>
      <c r="N114" s="18"/>
      <c r="O114" s="30"/>
      <c r="P114" s="19">
        <f t="shared" si="2"/>
        <v>0</v>
      </c>
      <c r="AP114" s="20"/>
      <c r="AQ114" s="21"/>
      <c r="AR114" s="22"/>
      <c r="AS114" s="22"/>
      <c r="AT114" s="2"/>
      <c r="AU114" s="23"/>
      <c r="AV114" s="24"/>
    </row>
    <row r="115" ht="22.5" customHeight="1">
      <c r="A115" s="27"/>
      <c r="B115" s="28"/>
      <c r="C115" s="45"/>
      <c r="D115" s="29"/>
      <c r="E115" s="18"/>
      <c r="F115" s="18"/>
      <c r="G115" s="30"/>
      <c r="I115" s="27"/>
      <c r="J115" s="28"/>
      <c r="K115" s="29"/>
      <c r="L115" s="29"/>
      <c r="M115" s="18"/>
      <c r="N115" s="18"/>
      <c r="O115" s="30"/>
      <c r="P115" s="19">
        <f t="shared" si="2"/>
        <v>0</v>
      </c>
      <c r="AP115" s="20"/>
      <c r="AQ115" s="21"/>
      <c r="AR115" s="22"/>
      <c r="AS115" s="22"/>
      <c r="AT115" s="2"/>
      <c r="AU115" s="23"/>
      <c r="AV115" s="24"/>
    </row>
    <row r="116" ht="22.5" customHeight="1">
      <c r="A116" s="27"/>
      <c r="B116" s="28"/>
      <c r="C116" s="45"/>
      <c r="D116" s="29"/>
      <c r="E116" s="18"/>
      <c r="F116" s="18"/>
      <c r="G116" s="30"/>
      <c r="I116" s="27"/>
      <c r="J116" s="28"/>
      <c r="K116" s="29"/>
      <c r="L116" s="29"/>
      <c r="M116" s="18"/>
      <c r="N116" s="18"/>
      <c r="O116" s="30"/>
      <c r="P116" s="19">
        <f t="shared" si="2"/>
        <v>0</v>
      </c>
      <c r="AP116" s="20"/>
      <c r="AQ116" s="21"/>
      <c r="AR116" s="22"/>
      <c r="AS116" s="22"/>
      <c r="AT116" s="2"/>
      <c r="AU116" s="23"/>
      <c r="AV116" s="24"/>
    </row>
    <row r="117" ht="22.5" customHeight="1">
      <c r="A117" s="27"/>
      <c r="B117" s="28"/>
      <c r="C117" s="45"/>
      <c r="D117" s="29"/>
      <c r="E117" s="18"/>
      <c r="F117" s="18"/>
      <c r="G117" s="30"/>
      <c r="I117" s="27"/>
      <c r="J117" s="28"/>
      <c r="K117" s="29"/>
      <c r="L117" s="29"/>
      <c r="M117" s="18"/>
      <c r="N117" s="18"/>
      <c r="O117" s="30"/>
      <c r="P117" s="19">
        <f t="shared" si="2"/>
        <v>0</v>
      </c>
      <c r="AP117" s="20"/>
      <c r="AQ117" s="39"/>
      <c r="AR117" s="40"/>
      <c r="AS117" s="40"/>
      <c r="AT117" s="41"/>
      <c r="AU117" s="42"/>
      <c r="AV117" s="43"/>
    </row>
    <row r="118" ht="22.5" customHeight="1">
      <c r="A118" s="27"/>
      <c r="B118" s="28"/>
      <c r="C118" s="45"/>
      <c r="D118" s="29"/>
      <c r="E118" s="18"/>
      <c r="F118" s="18"/>
      <c r="G118" s="30"/>
      <c r="I118" s="27"/>
      <c r="J118" s="28"/>
      <c r="K118" s="45"/>
      <c r="L118" s="29"/>
      <c r="M118" s="18"/>
      <c r="N118" s="18"/>
      <c r="O118" s="30"/>
      <c r="P118" s="19">
        <f t="shared" si="2"/>
        <v>0</v>
      </c>
      <c r="AP118" s="20"/>
      <c r="AQ118" s="21"/>
      <c r="AR118" s="22"/>
      <c r="AS118" s="22"/>
      <c r="AT118" s="2"/>
      <c r="AU118" s="23"/>
      <c r="AV118" s="24"/>
    </row>
    <row r="119" ht="22.5" customHeight="1">
      <c r="A119" s="27"/>
      <c r="B119" s="28"/>
      <c r="C119" s="45"/>
      <c r="D119" s="29"/>
      <c r="E119" s="18"/>
      <c r="F119" s="18"/>
      <c r="G119" s="30"/>
      <c r="I119" s="27"/>
      <c r="J119" s="28"/>
      <c r="K119" s="45"/>
      <c r="L119" s="29"/>
      <c r="M119" s="18"/>
      <c r="N119" s="18"/>
      <c r="O119" s="30"/>
      <c r="P119" s="19">
        <f t="shared" si="2"/>
        <v>0</v>
      </c>
      <c r="AP119" s="20"/>
      <c r="AQ119" s="21"/>
      <c r="AR119" s="22"/>
      <c r="AS119" s="22"/>
      <c r="AT119" s="2"/>
      <c r="AU119" s="23"/>
      <c r="AV119" s="24"/>
    </row>
    <row r="120" ht="22.5" customHeight="1">
      <c r="A120" s="27"/>
      <c r="B120" s="28"/>
      <c r="C120" s="45"/>
      <c r="D120" s="29"/>
      <c r="E120" s="18"/>
      <c r="F120" s="18"/>
      <c r="G120" s="30"/>
      <c r="I120" s="27"/>
      <c r="J120" s="28"/>
      <c r="K120" s="29"/>
      <c r="L120" s="29"/>
      <c r="M120" s="18"/>
      <c r="N120" s="18"/>
      <c r="O120" s="30"/>
      <c r="P120" s="19">
        <f t="shared" si="2"/>
        <v>0</v>
      </c>
      <c r="AP120" s="20"/>
      <c r="AQ120" s="21"/>
      <c r="AR120" s="22"/>
      <c r="AS120" s="22"/>
      <c r="AT120" s="2"/>
      <c r="AU120" s="23"/>
      <c r="AV120" s="24"/>
    </row>
    <row r="121" ht="22.5" customHeight="1">
      <c r="A121" s="27"/>
      <c r="B121" s="28"/>
      <c r="C121" s="45"/>
      <c r="D121" s="29"/>
      <c r="E121" s="18"/>
      <c r="F121" s="18"/>
      <c r="G121" s="30"/>
      <c r="I121" s="27"/>
      <c r="J121" s="28"/>
      <c r="K121" s="29"/>
      <c r="L121" s="29"/>
      <c r="M121" s="18"/>
      <c r="N121" s="18"/>
      <c r="O121" s="30"/>
      <c r="P121" s="19">
        <f t="shared" si="2"/>
        <v>0</v>
      </c>
      <c r="AP121" s="20"/>
      <c r="AQ121" s="21"/>
      <c r="AR121" s="22"/>
      <c r="AS121" s="22"/>
      <c r="AT121" s="2"/>
      <c r="AU121" s="23"/>
      <c r="AV121" s="24"/>
    </row>
    <row r="122" ht="22.5" customHeight="1">
      <c r="A122" s="27"/>
      <c r="B122" s="28"/>
      <c r="C122" s="45"/>
      <c r="D122" s="29"/>
      <c r="E122" s="18"/>
      <c r="F122" s="18"/>
      <c r="G122" s="30"/>
      <c r="I122" s="27"/>
      <c r="J122" s="28"/>
      <c r="K122" s="45"/>
      <c r="L122" s="29"/>
      <c r="M122" s="18"/>
      <c r="N122" s="18"/>
      <c r="O122" s="30"/>
      <c r="P122" s="19">
        <f t="shared" si="2"/>
        <v>0</v>
      </c>
      <c r="AP122" s="20"/>
      <c r="AQ122" s="21"/>
      <c r="AR122" s="22"/>
      <c r="AS122" s="22"/>
      <c r="AT122" s="2"/>
      <c r="AU122" s="23"/>
      <c r="AV122" s="24"/>
    </row>
    <row r="123" ht="22.5" customHeight="1">
      <c r="A123" s="27"/>
      <c r="B123" s="28"/>
      <c r="C123" s="45"/>
      <c r="D123" s="29"/>
      <c r="E123" s="18"/>
      <c r="F123" s="18"/>
      <c r="G123" s="30"/>
      <c r="I123" s="27"/>
      <c r="J123" s="28"/>
      <c r="K123" s="45"/>
      <c r="L123" s="29"/>
      <c r="M123" s="18"/>
      <c r="N123" s="18"/>
      <c r="O123" s="30"/>
      <c r="P123" s="19">
        <f t="shared" si="2"/>
        <v>0</v>
      </c>
      <c r="AP123" s="20"/>
      <c r="AQ123" s="21"/>
      <c r="AR123" s="22"/>
      <c r="AS123" s="22"/>
      <c r="AT123" s="2"/>
      <c r="AU123" s="23"/>
      <c r="AV123" s="24"/>
    </row>
    <row r="124" ht="22.5" customHeight="1">
      <c r="A124" s="27"/>
      <c r="B124" s="28"/>
      <c r="C124" s="45"/>
      <c r="D124" s="29"/>
      <c r="E124" s="18"/>
      <c r="F124" s="18"/>
      <c r="G124" s="30"/>
      <c r="I124" s="27"/>
      <c r="J124" s="28"/>
      <c r="K124" s="45"/>
      <c r="L124" s="29"/>
      <c r="M124" s="18"/>
      <c r="N124" s="18"/>
      <c r="O124" s="30"/>
      <c r="P124" s="19">
        <f t="shared" si="2"/>
        <v>0</v>
      </c>
      <c r="AP124" s="20"/>
      <c r="AQ124" s="21"/>
      <c r="AR124" s="22"/>
      <c r="AS124" s="22"/>
      <c r="AT124" s="2"/>
      <c r="AU124" s="23"/>
      <c r="AV124" s="24"/>
    </row>
    <row r="125" ht="22.5" customHeight="1">
      <c r="A125" s="27"/>
      <c r="B125" s="28"/>
      <c r="C125" s="45"/>
      <c r="D125" s="29"/>
      <c r="E125" s="18"/>
      <c r="F125" s="18"/>
      <c r="G125" s="30"/>
      <c r="I125" s="27"/>
      <c r="J125" s="28"/>
      <c r="K125" s="45"/>
      <c r="L125" s="29"/>
      <c r="M125" s="18"/>
      <c r="N125" s="18"/>
      <c r="O125" s="30"/>
      <c r="P125" s="19">
        <f t="shared" si="2"/>
        <v>0</v>
      </c>
      <c r="AP125" s="20"/>
      <c r="AQ125" s="21"/>
      <c r="AR125" s="22"/>
      <c r="AS125" s="22"/>
      <c r="AT125" s="2"/>
      <c r="AU125" s="23"/>
      <c r="AV125" s="24"/>
    </row>
    <row r="126" ht="22.5" customHeight="1">
      <c r="A126" s="27"/>
      <c r="B126" s="28"/>
      <c r="C126" s="45"/>
      <c r="D126" s="29"/>
      <c r="E126" s="18"/>
      <c r="F126" s="18"/>
      <c r="G126" s="30"/>
      <c r="I126" s="27"/>
      <c r="J126" s="28"/>
      <c r="K126" s="29"/>
      <c r="L126" s="29"/>
      <c r="M126" s="18"/>
      <c r="N126" s="18"/>
      <c r="O126" s="30"/>
      <c r="P126" s="19">
        <f t="shared" si="2"/>
        <v>0</v>
      </c>
      <c r="AP126" s="20"/>
      <c r="AQ126" s="21"/>
      <c r="AR126" s="22"/>
      <c r="AS126" s="22"/>
      <c r="AT126" s="2"/>
      <c r="AU126" s="23"/>
      <c r="AV126" s="24"/>
    </row>
    <row r="127" ht="22.5" customHeight="1">
      <c r="A127" s="27"/>
      <c r="B127" s="28"/>
      <c r="C127" s="45"/>
      <c r="D127" s="29"/>
      <c r="E127" s="18"/>
      <c r="F127" s="18"/>
      <c r="G127" s="30"/>
      <c r="I127" s="27"/>
      <c r="J127" s="28"/>
      <c r="K127" s="29"/>
      <c r="L127" s="29"/>
      <c r="M127" s="18"/>
      <c r="N127" s="18"/>
      <c r="O127" s="30"/>
      <c r="P127" s="19">
        <f t="shared" si="2"/>
        <v>0</v>
      </c>
      <c r="AP127" s="20"/>
      <c r="AQ127" s="21"/>
      <c r="AR127" s="22"/>
      <c r="AS127" s="22"/>
      <c r="AT127" s="2"/>
      <c r="AU127" s="23"/>
      <c r="AV127" s="24"/>
    </row>
    <row r="128" ht="22.5" customHeight="1">
      <c r="A128" s="27"/>
      <c r="B128" s="28"/>
      <c r="C128" s="45"/>
      <c r="D128" s="29"/>
      <c r="E128" s="18"/>
      <c r="F128" s="18"/>
      <c r="G128" s="30"/>
      <c r="I128" s="27"/>
      <c r="J128" s="28"/>
      <c r="K128" s="29"/>
      <c r="L128" s="29"/>
      <c r="M128" s="18"/>
      <c r="N128" s="18"/>
      <c r="O128" s="30"/>
      <c r="P128" s="19">
        <f t="shared" si="2"/>
        <v>0</v>
      </c>
      <c r="AP128" s="20"/>
      <c r="AQ128" s="21"/>
      <c r="AR128" s="22"/>
      <c r="AS128" s="22"/>
      <c r="AT128" s="2"/>
      <c r="AU128" s="23"/>
      <c r="AV128" s="24"/>
    </row>
    <row r="129" ht="22.5" customHeight="1">
      <c r="A129" s="27"/>
      <c r="B129" s="28"/>
      <c r="C129" s="45"/>
      <c r="D129" s="29"/>
      <c r="E129" s="18"/>
      <c r="F129" s="18"/>
      <c r="G129" s="30"/>
      <c r="I129" s="27"/>
      <c r="J129" s="28"/>
      <c r="K129" s="29"/>
      <c r="L129" s="29"/>
      <c r="M129" s="18"/>
      <c r="N129" s="18"/>
      <c r="O129" s="30"/>
      <c r="P129" s="19">
        <f t="shared" si="2"/>
        <v>0</v>
      </c>
      <c r="AP129" s="20"/>
      <c r="AQ129" s="21"/>
      <c r="AR129" s="22"/>
      <c r="AS129" s="22"/>
      <c r="AT129" s="2"/>
      <c r="AU129" s="23"/>
      <c r="AV129" s="24"/>
    </row>
    <row r="130" ht="22.5" customHeight="1">
      <c r="A130" s="27"/>
      <c r="B130" s="28"/>
      <c r="C130" s="45"/>
      <c r="D130" s="29"/>
      <c r="E130" s="18"/>
      <c r="F130" s="18"/>
      <c r="G130" s="30"/>
      <c r="I130" s="27"/>
      <c r="J130" s="28"/>
      <c r="K130" s="29"/>
      <c r="L130" s="29"/>
      <c r="M130" s="18"/>
      <c r="N130" s="18"/>
      <c r="O130" s="30"/>
      <c r="P130" s="19">
        <f t="shared" si="2"/>
        <v>0</v>
      </c>
      <c r="AP130" s="20"/>
      <c r="AQ130" s="21"/>
      <c r="AR130" s="22"/>
      <c r="AS130" s="22"/>
      <c r="AT130" s="2"/>
      <c r="AU130" s="23"/>
      <c r="AV130" s="24"/>
    </row>
    <row r="131" ht="22.5" customHeight="1">
      <c r="A131" s="27"/>
      <c r="B131" s="28"/>
      <c r="C131" s="45"/>
      <c r="D131" s="29"/>
      <c r="E131" s="18"/>
      <c r="F131" s="18"/>
      <c r="G131" s="30"/>
      <c r="I131" s="27"/>
      <c r="J131" s="28"/>
      <c r="K131" s="45"/>
      <c r="L131" s="29"/>
      <c r="M131" s="18"/>
      <c r="N131" s="18"/>
      <c r="O131" s="30"/>
      <c r="P131" s="19">
        <f t="shared" si="2"/>
        <v>0</v>
      </c>
      <c r="AP131" s="20"/>
      <c r="AQ131" s="21"/>
      <c r="AR131" s="22"/>
      <c r="AS131" s="22"/>
      <c r="AT131" s="2"/>
      <c r="AU131" s="23"/>
      <c r="AV131" s="24"/>
    </row>
    <row r="132" ht="22.5" customHeight="1">
      <c r="A132" s="27"/>
      <c r="B132" s="28"/>
      <c r="C132" s="45"/>
      <c r="D132" s="29"/>
      <c r="E132" s="18"/>
      <c r="F132" s="18"/>
      <c r="G132" s="30"/>
      <c r="I132" s="27"/>
      <c r="J132" s="28"/>
      <c r="K132" s="45"/>
      <c r="L132" s="29"/>
      <c r="M132" s="18"/>
      <c r="N132" s="18"/>
      <c r="O132" s="30"/>
      <c r="P132" s="19">
        <f t="shared" si="2"/>
        <v>0</v>
      </c>
      <c r="AP132" s="20"/>
      <c r="AQ132" s="21"/>
      <c r="AR132" s="22"/>
      <c r="AS132" s="22"/>
      <c r="AT132" s="2"/>
      <c r="AU132" s="23"/>
      <c r="AV132" s="24"/>
    </row>
    <row r="133" ht="22.5" customHeight="1">
      <c r="A133" s="27"/>
      <c r="B133" s="28"/>
      <c r="C133" s="45"/>
      <c r="D133" s="29"/>
      <c r="E133" s="18"/>
      <c r="F133" s="18"/>
      <c r="G133" s="30"/>
      <c r="I133" s="27"/>
      <c r="J133" s="28"/>
      <c r="K133" s="45"/>
      <c r="L133" s="29"/>
      <c r="M133" s="18"/>
      <c r="N133" s="18"/>
      <c r="O133" s="30"/>
      <c r="P133" s="19">
        <f t="shared" si="2"/>
        <v>0</v>
      </c>
      <c r="AP133" s="20"/>
      <c r="AQ133" s="21"/>
      <c r="AR133" s="22"/>
      <c r="AS133" s="22"/>
      <c r="AT133" s="2"/>
      <c r="AU133" s="23"/>
      <c r="AV133" s="24"/>
    </row>
    <row r="134" ht="22.5" customHeight="1">
      <c r="A134" s="27"/>
      <c r="B134" s="28"/>
      <c r="C134" s="45"/>
      <c r="D134" s="29"/>
      <c r="E134" s="18"/>
      <c r="F134" s="18"/>
      <c r="G134" s="30"/>
      <c r="I134" s="27"/>
      <c r="J134" s="28"/>
      <c r="K134" s="45"/>
      <c r="L134" s="29"/>
      <c r="M134" s="18"/>
      <c r="N134" s="18"/>
      <c r="O134" s="30"/>
      <c r="P134" s="19">
        <f t="shared" si="2"/>
        <v>0</v>
      </c>
      <c r="AP134" s="20"/>
      <c r="AQ134" s="21"/>
      <c r="AR134" s="22"/>
      <c r="AS134" s="22"/>
      <c r="AT134" s="2"/>
      <c r="AU134" s="23"/>
      <c r="AV134" s="24"/>
    </row>
    <row r="135" ht="22.5" customHeight="1">
      <c r="A135" s="27"/>
      <c r="B135" s="28"/>
      <c r="C135" s="45"/>
      <c r="D135" s="29"/>
      <c r="E135" s="18"/>
      <c r="F135" s="18"/>
      <c r="G135" s="30"/>
      <c r="I135" s="27"/>
      <c r="J135" s="28"/>
      <c r="K135" s="29"/>
      <c r="L135" s="29"/>
      <c r="M135" s="18"/>
      <c r="N135" s="18"/>
      <c r="O135" s="30"/>
      <c r="P135" s="19">
        <f t="shared" si="2"/>
        <v>0</v>
      </c>
      <c r="AP135" s="20"/>
      <c r="AQ135" s="21"/>
      <c r="AR135" s="22"/>
      <c r="AS135" s="22"/>
      <c r="AT135" s="2"/>
      <c r="AU135" s="23"/>
      <c r="AV135" s="24"/>
    </row>
    <row r="136" ht="22.5" customHeight="1">
      <c r="A136" s="27"/>
      <c r="B136" s="28"/>
      <c r="C136" s="45"/>
      <c r="D136" s="29"/>
      <c r="E136" s="18"/>
      <c r="F136" s="18"/>
      <c r="G136" s="30"/>
      <c r="I136" s="27"/>
      <c r="J136" s="28"/>
      <c r="K136" s="45"/>
      <c r="L136" s="29"/>
      <c r="M136" s="18"/>
      <c r="N136" s="18"/>
      <c r="O136" s="30"/>
      <c r="P136" s="19">
        <f t="shared" si="2"/>
        <v>0</v>
      </c>
      <c r="AP136" s="20"/>
      <c r="AQ136" s="21"/>
      <c r="AR136" s="22"/>
      <c r="AS136" s="22"/>
      <c r="AT136" s="2"/>
      <c r="AU136" s="23"/>
      <c r="AV136" s="24"/>
    </row>
    <row r="137" ht="22.5" customHeight="1">
      <c r="A137" s="27"/>
      <c r="B137" s="28"/>
      <c r="C137" s="45"/>
      <c r="D137" s="29"/>
      <c r="E137" s="18"/>
      <c r="F137" s="18"/>
      <c r="G137" s="30"/>
      <c r="I137" s="27"/>
      <c r="J137" s="28"/>
      <c r="K137" s="45"/>
      <c r="L137" s="29"/>
      <c r="M137" s="18"/>
      <c r="N137" s="18"/>
      <c r="O137" s="30"/>
      <c r="P137" s="19">
        <f t="shared" si="2"/>
        <v>0</v>
      </c>
      <c r="AP137" s="20"/>
      <c r="AQ137" s="21"/>
      <c r="AR137" s="22"/>
      <c r="AS137" s="22"/>
      <c r="AT137" s="2"/>
      <c r="AU137" s="23"/>
      <c r="AV137" s="24"/>
    </row>
    <row r="138" ht="22.5" customHeight="1">
      <c r="A138" s="27"/>
      <c r="B138" s="28"/>
      <c r="C138" s="29"/>
      <c r="D138" s="29"/>
      <c r="E138" s="18"/>
      <c r="F138" s="18"/>
      <c r="G138" s="30"/>
      <c r="I138" s="27"/>
      <c r="J138" s="28"/>
      <c r="K138" s="45"/>
      <c r="L138" s="29"/>
      <c r="M138" s="18"/>
      <c r="N138" s="18"/>
      <c r="O138" s="30"/>
      <c r="P138" s="19">
        <f t="shared" si="2"/>
        <v>0</v>
      </c>
      <c r="AP138" s="20"/>
      <c r="AQ138" s="21"/>
      <c r="AR138" s="22"/>
      <c r="AS138" s="22"/>
      <c r="AT138" s="2"/>
      <c r="AU138" s="23"/>
      <c r="AV138" s="24"/>
    </row>
    <row r="139" ht="22.5" customHeight="1">
      <c r="A139" s="27"/>
      <c r="B139" s="28"/>
      <c r="C139" s="29"/>
      <c r="D139" s="29"/>
      <c r="E139" s="18"/>
      <c r="F139" s="18"/>
      <c r="G139" s="30"/>
      <c r="I139" s="27"/>
      <c r="J139" s="28"/>
      <c r="K139" s="45"/>
      <c r="L139" s="29"/>
      <c r="M139" s="18"/>
      <c r="N139" s="18"/>
      <c r="O139" s="30"/>
      <c r="P139" s="19">
        <f t="shared" si="2"/>
        <v>0</v>
      </c>
      <c r="AP139" s="20"/>
      <c r="AQ139" s="21"/>
      <c r="AR139" s="22"/>
      <c r="AS139" s="22"/>
      <c r="AT139" s="2"/>
      <c r="AU139" s="23"/>
      <c r="AV139" s="24"/>
    </row>
    <row r="140" ht="22.5" customHeight="1">
      <c r="A140" s="27"/>
      <c r="B140" s="28"/>
      <c r="C140" s="29"/>
      <c r="D140" s="29"/>
      <c r="E140" s="18"/>
      <c r="F140" s="18"/>
      <c r="G140" s="30"/>
      <c r="I140" s="27"/>
      <c r="J140" s="28"/>
      <c r="K140" s="45"/>
      <c r="L140" s="29"/>
      <c r="M140" s="18"/>
      <c r="N140" s="18"/>
      <c r="O140" s="30"/>
      <c r="P140" s="19">
        <f t="shared" si="2"/>
        <v>0</v>
      </c>
      <c r="AP140" s="20"/>
      <c r="AQ140" s="21"/>
      <c r="AR140" s="22"/>
      <c r="AS140" s="22"/>
      <c r="AT140" s="2"/>
      <c r="AU140" s="23"/>
      <c r="AV140" s="24"/>
    </row>
    <row r="141" ht="22.5" customHeight="1">
      <c r="A141" s="27"/>
      <c r="B141" s="28"/>
      <c r="C141" s="29"/>
      <c r="D141" s="29"/>
      <c r="E141" s="18"/>
      <c r="F141" s="18"/>
      <c r="G141" s="30"/>
      <c r="I141" s="27"/>
      <c r="J141" s="28"/>
      <c r="K141" s="45"/>
      <c r="L141" s="29"/>
      <c r="M141" s="18"/>
      <c r="N141" s="18"/>
      <c r="O141" s="30"/>
      <c r="P141" s="19">
        <f t="shared" si="2"/>
        <v>0</v>
      </c>
      <c r="AP141" s="20"/>
      <c r="AQ141" s="21"/>
      <c r="AR141" s="22"/>
      <c r="AS141" s="22"/>
      <c r="AT141" s="2"/>
      <c r="AU141" s="23"/>
      <c r="AV141" s="24"/>
    </row>
    <row r="142" ht="22.5" customHeight="1">
      <c r="A142" s="27"/>
      <c r="B142" s="28"/>
      <c r="C142" s="29"/>
      <c r="D142" s="29"/>
      <c r="E142" s="18"/>
      <c r="F142" s="18"/>
      <c r="G142" s="30"/>
      <c r="I142" s="27"/>
      <c r="J142" s="28"/>
      <c r="K142" s="29"/>
      <c r="L142" s="29"/>
      <c r="M142" s="18"/>
      <c r="N142" s="18"/>
      <c r="O142" s="30"/>
      <c r="P142" s="19">
        <f t="shared" si="2"/>
        <v>0</v>
      </c>
      <c r="AP142" s="20"/>
      <c r="AQ142" s="21"/>
      <c r="AR142" s="22"/>
      <c r="AS142" s="22"/>
      <c r="AT142" s="2"/>
      <c r="AU142" s="23"/>
      <c r="AV142" s="24"/>
    </row>
    <row r="143" ht="22.5" customHeight="1">
      <c r="A143" s="27"/>
      <c r="B143" s="28"/>
      <c r="C143" s="45"/>
      <c r="D143" s="29"/>
      <c r="E143" s="18"/>
      <c r="F143" s="18"/>
      <c r="G143" s="30"/>
      <c r="I143" s="27"/>
      <c r="J143" s="28"/>
      <c r="K143" s="29"/>
      <c r="L143" s="29"/>
      <c r="M143" s="18"/>
      <c r="N143" s="18"/>
      <c r="O143" s="30"/>
      <c r="P143" s="19">
        <f t="shared" si="2"/>
        <v>0</v>
      </c>
      <c r="AP143" s="20"/>
      <c r="AQ143" s="21"/>
      <c r="AR143" s="22"/>
      <c r="AS143" s="22"/>
      <c r="AT143" s="2"/>
      <c r="AU143" s="23"/>
      <c r="AV143" s="24"/>
    </row>
    <row r="144" ht="22.5" customHeight="1">
      <c r="A144" s="27"/>
      <c r="B144" s="28"/>
      <c r="C144" s="45"/>
      <c r="D144" s="29"/>
      <c r="E144" s="18"/>
      <c r="F144" s="18"/>
      <c r="G144" s="30"/>
      <c r="I144" s="27"/>
      <c r="J144" s="28"/>
      <c r="K144" s="29"/>
      <c r="L144" s="29"/>
      <c r="M144" s="18"/>
      <c r="N144" s="18"/>
      <c r="O144" s="30"/>
      <c r="P144" s="19">
        <f t="shared" si="2"/>
        <v>0</v>
      </c>
      <c r="AP144" s="20"/>
      <c r="AQ144" s="21"/>
      <c r="AR144" s="22"/>
      <c r="AS144" s="22"/>
      <c r="AT144" s="2"/>
      <c r="AU144" s="23"/>
      <c r="AV144" s="24"/>
    </row>
    <row r="145" ht="22.5" customHeight="1">
      <c r="A145" s="27"/>
      <c r="B145" s="28"/>
      <c r="C145" s="29"/>
      <c r="D145" s="29"/>
      <c r="E145" s="18"/>
      <c r="F145" s="18"/>
      <c r="G145" s="30"/>
      <c r="I145" s="27"/>
      <c r="J145" s="28"/>
      <c r="K145" s="29"/>
      <c r="L145" s="29"/>
      <c r="M145" s="18"/>
      <c r="N145" s="18"/>
      <c r="O145" s="30"/>
      <c r="P145" s="19">
        <f t="shared" si="2"/>
        <v>0</v>
      </c>
      <c r="AP145" s="20"/>
      <c r="AQ145" s="21"/>
      <c r="AR145" s="22"/>
      <c r="AS145" s="22"/>
      <c r="AT145" s="2"/>
      <c r="AU145" s="23"/>
      <c r="AV145" s="24"/>
    </row>
    <row r="146" ht="22.5" customHeight="1">
      <c r="A146" s="27"/>
      <c r="B146" s="28"/>
      <c r="C146" s="29"/>
      <c r="D146" s="29"/>
      <c r="E146" s="18"/>
      <c r="F146" s="18"/>
      <c r="G146" s="30"/>
      <c r="I146" s="27"/>
      <c r="J146" s="28"/>
      <c r="K146" s="45"/>
      <c r="L146" s="29"/>
      <c r="M146" s="18"/>
      <c r="N146" s="18"/>
      <c r="O146" s="30"/>
      <c r="P146" s="19">
        <f t="shared" si="2"/>
        <v>0</v>
      </c>
      <c r="AP146" s="20"/>
      <c r="AQ146" s="21"/>
      <c r="AR146" s="22"/>
      <c r="AS146" s="22"/>
      <c r="AT146" s="2"/>
      <c r="AU146" s="23"/>
      <c r="AV146" s="24"/>
    </row>
    <row r="147" ht="22.5" customHeight="1">
      <c r="A147" s="27"/>
      <c r="B147" s="28"/>
      <c r="C147" s="45"/>
      <c r="D147" s="29"/>
      <c r="E147" s="18"/>
      <c r="F147" s="18"/>
      <c r="G147" s="30"/>
      <c r="I147" s="27"/>
      <c r="J147" s="28"/>
      <c r="K147" s="45"/>
      <c r="L147" s="29"/>
      <c r="M147" s="18"/>
      <c r="N147" s="18"/>
      <c r="O147" s="30"/>
      <c r="P147" s="19">
        <f t="shared" si="2"/>
        <v>0</v>
      </c>
      <c r="AP147" s="20"/>
      <c r="AQ147" s="21"/>
      <c r="AR147" s="22"/>
      <c r="AS147" s="22"/>
      <c r="AT147" s="2"/>
      <c r="AU147" s="23"/>
      <c r="AV147" s="24"/>
    </row>
    <row r="148" ht="22.5" customHeight="1">
      <c r="A148" s="27"/>
      <c r="B148" s="28"/>
      <c r="C148" s="45"/>
      <c r="D148" s="29"/>
      <c r="E148" s="18"/>
      <c r="F148" s="18"/>
      <c r="G148" s="30"/>
      <c r="I148" s="27"/>
      <c r="J148" s="28"/>
      <c r="K148" s="29"/>
      <c r="L148" s="29"/>
      <c r="M148" s="18"/>
      <c r="N148" s="18"/>
      <c r="O148" s="30"/>
      <c r="P148" s="19">
        <f t="shared" si="2"/>
        <v>0</v>
      </c>
      <c r="AP148" s="20"/>
      <c r="AQ148" s="21"/>
      <c r="AR148" s="22"/>
      <c r="AS148" s="22"/>
      <c r="AT148" s="2"/>
      <c r="AU148" s="23"/>
      <c r="AV148" s="24"/>
    </row>
    <row r="149" ht="22.5" customHeight="1">
      <c r="A149" s="27"/>
      <c r="B149" s="28"/>
      <c r="C149" s="45"/>
      <c r="D149" s="29"/>
      <c r="E149" s="18"/>
      <c r="F149" s="18"/>
      <c r="G149" s="30"/>
      <c r="I149" s="27"/>
      <c r="J149" s="28"/>
      <c r="K149" s="29"/>
      <c r="L149" s="29"/>
      <c r="M149" s="18"/>
      <c r="N149" s="18"/>
      <c r="O149" s="30"/>
      <c r="P149" s="19">
        <f t="shared" si="2"/>
        <v>0</v>
      </c>
      <c r="AP149" s="20"/>
      <c r="AQ149" s="21"/>
      <c r="AR149" s="22"/>
      <c r="AS149" s="22"/>
      <c r="AT149" s="2"/>
      <c r="AU149" s="23"/>
      <c r="AV149" s="24"/>
    </row>
    <row r="150" ht="22.5" customHeight="1">
      <c r="A150" s="27"/>
      <c r="B150" s="28"/>
      <c r="C150" s="45"/>
      <c r="D150" s="29"/>
      <c r="E150" s="18"/>
      <c r="F150" s="18"/>
      <c r="G150" s="30"/>
      <c r="I150" s="27"/>
      <c r="J150" s="28"/>
      <c r="K150" s="29"/>
      <c r="L150" s="29"/>
      <c r="M150" s="18"/>
      <c r="N150" s="18"/>
      <c r="O150" s="30"/>
      <c r="P150" s="19">
        <f t="shared" si="2"/>
        <v>0</v>
      </c>
      <c r="AP150" s="20"/>
      <c r="AQ150" s="21"/>
      <c r="AR150" s="22"/>
      <c r="AS150" s="22"/>
      <c r="AT150" s="2"/>
      <c r="AU150" s="23"/>
      <c r="AV150" s="24"/>
    </row>
    <row r="151" ht="22.5" customHeight="1">
      <c r="A151" s="27"/>
      <c r="B151" s="28"/>
      <c r="C151" s="29"/>
      <c r="D151" s="29"/>
      <c r="E151" s="18"/>
      <c r="F151" s="18"/>
      <c r="G151" s="30"/>
      <c r="I151" s="27"/>
      <c r="J151" s="28"/>
      <c r="K151" s="29"/>
      <c r="L151" s="29"/>
      <c r="M151" s="18"/>
      <c r="N151" s="18"/>
      <c r="O151" s="30"/>
      <c r="P151" s="19">
        <f t="shared" si="2"/>
        <v>0</v>
      </c>
      <c r="AP151" s="20"/>
      <c r="AQ151" s="21"/>
      <c r="AR151" s="22"/>
      <c r="AS151" s="22"/>
      <c r="AT151" s="2"/>
      <c r="AU151" s="23"/>
      <c r="AV151" s="24"/>
    </row>
    <row r="152" ht="22.5" customHeight="1">
      <c r="A152" s="27"/>
      <c r="B152" s="28"/>
      <c r="C152" s="29"/>
      <c r="D152" s="29"/>
      <c r="E152" s="18"/>
      <c r="F152" s="18"/>
      <c r="G152" s="30"/>
      <c r="I152" s="27"/>
      <c r="J152" s="28"/>
      <c r="K152" s="45"/>
      <c r="L152" s="29"/>
      <c r="M152" s="18"/>
      <c r="N152" s="18"/>
      <c r="O152" s="30"/>
      <c r="P152" s="19">
        <f t="shared" si="2"/>
        <v>0</v>
      </c>
      <c r="AP152" s="20"/>
      <c r="AQ152" s="21"/>
      <c r="AR152" s="22"/>
      <c r="AS152" s="22"/>
      <c r="AT152" s="2"/>
      <c r="AU152" s="23"/>
      <c r="AV152" s="24"/>
    </row>
    <row r="153" ht="22.5" customHeight="1">
      <c r="A153" s="27"/>
      <c r="B153" s="28"/>
      <c r="C153" s="29"/>
      <c r="D153" s="29"/>
      <c r="E153" s="18"/>
      <c r="F153" s="18"/>
      <c r="G153" s="30"/>
      <c r="I153" s="27"/>
      <c r="J153" s="28"/>
      <c r="K153" s="45"/>
      <c r="L153" s="29"/>
      <c r="M153" s="18"/>
      <c r="N153" s="18"/>
      <c r="O153" s="30"/>
      <c r="P153" s="19">
        <f t="shared" si="2"/>
        <v>0</v>
      </c>
      <c r="AP153" s="20"/>
      <c r="AQ153" s="21"/>
      <c r="AR153" s="22"/>
      <c r="AS153" s="22"/>
      <c r="AT153" s="2"/>
      <c r="AU153" s="23"/>
      <c r="AV153" s="24"/>
    </row>
    <row r="154" ht="22.5" customHeight="1">
      <c r="A154" s="27"/>
      <c r="B154" s="28"/>
      <c r="C154" s="29"/>
      <c r="D154" s="29"/>
      <c r="E154" s="18"/>
      <c r="F154" s="18"/>
      <c r="G154" s="30"/>
      <c r="I154" s="27"/>
      <c r="J154" s="28"/>
      <c r="K154" s="45"/>
      <c r="L154" s="29"/>
      <c r="M154" s="18"/>
      <c r="N154" s="18"/>
      <c r="O154" s="30"/>
      <c r="P154" s="19">
        <f t="shared" si="2"/>
        <v>0</v>
      </c>
      <c r="AP154" s="20"/>
      <c r="AQ154" s="21"/>
      <c r="AR154" s="22"/>
      <c r="AS154" s="22"/>
      <c r="AT154" s="2"/>
      <c r="AU154" s="2"/>
      <c r="AV154" s="24"/>
    </row>
    <row r="155" ht="22.5" customHeight="1">
      <c r="A155" s="27"/>
      <c r="B155" s="28"/>
      <c r="C155" s="29"/>
      <c r="D155" s="29"/>
      <c r="E155" s="18"/>
      <c r="F155" s="18"/>
      <c r="G155" s="30"/>
      <c r="I155" s="27"/>
      <c r="J155" s="28"/>
      <c r="K155" s="45"/>
      <c r="L155" s="29"/>
      <c r="M155" s="18"/>
      <c r="N155" s="18"/>
      <c r="O155" s="30"/>
      <c r="P155" s="19">
        <f t="shared" si="2"/>
        <v>0</v>
      </c>
      <c r="AP155" s="25"/>
      <c r="AQ155" s="39"/>
      <c r="AR155" s="40"/>
      <c r="AS155" s="40"/>
      <c r="AT155" s="41"/>
      <c r="AU155" s="42"/>
      <c r="AV155" s="43"/>
    </row>
    <row r="156" ht="22.5" customHeight="1">
      <c r="A156" s="27"/>
      <c r="B156" s="28"/>
      <c r="C156" s="45"/>
      <c r="D156" s="29"/>
      <c r="E156" s="18"/>
      <c r="F156" s="18"/>
      <c r="G156" s="30"/>
      <c r="I156" s="34"/>
      <c r="J156" s="35"/>
      <c r="K156" s="46"/>
      <c r="L156" s="36"/>
      <c r="M156" s="37"/>
      <c r="N156" s="37"/>
      <c r="O156" s="38"/>
      <c r="P156" s="19">
        <f t="shared" si="2"/>
        <v>0</v>
      </c>
      <c r="AP156" s="20"/>
      <c r="AQ156" s="21"/>
      <c r="AR156" s="22"/>
      <c r="AS156" s="22"/>
      <c r="AT156" s="2"/>
      <c r="AU156" s="23"/>
      <c r="AV156" s="24"/>
    </row>
    <row r="157" ht="22.5" customHeight="1">
      <c r="A157" s="27"/>
      <c r="B157" s="28"/>
      <c r="C157" s="45"/>
      <c r="D157" s="29"/>
      <c r="E157" s="18"/>
      <c r="F157" s="18"/>
      <c r="G157" s="30"/>
      <c r="I157" s="34"/>
      <c r="J157" s="35"/>
      <c r="K157" s="46"/>
      <c r="L157" s="36"/>
      <c r="M157" s="37"/>
      <c r="N157" s="37"/>
      <c r="O157" s="38"/>
      <c r="P157" s="19">
        <f t="shared" si="2"/>
        <v>0</v>
      </c>
      <c r="AP157" s="20"/>
      <c r="AQ157" s="21"/>
      <c r="AR157" s="22"/>
      <c r="AS157" s="22"/>
      <c r="AT157" s="2"/>
      <c r="AU157" s="23"/>
      <c r="AV157" s="24"/>
    </row>
    <row r="158" ht="22.5" customHeight="1">
      <c r="A158" s="27"/>
      <c r="B158" s="28"/>
      <c r="C158" s="45"/>
      <c r="D158" s="29"/>
      <c r="E158" s="18"/>
      <c r="F158" s="18"/>
      <c r="G158" s="30"/>
      <c r="I158" s="34"/>
      <c r="J158" s="35"/>
      <c r="K158" s="46"/>
      <c r="L158" s="36"/>
      <c r="M158" s="37"/>
      <c r="N158" s="37"/>
      <c r="O158" s="38"/>
      <c r="P158" s="19">
        <f t="shared" si="2"/>
        <v>0</v>
      </c>
      <c r="AP158" s="20"/>
      <c r="AQ158" s="21"/>
      <c r="AR158" s="22"/>
      <c r="AS158" s="22"/>
      <c r="AT158" s="2"/>
      <c r="AU158" s="23"/>
      <c r="AV158" s="24"/>
    </row>
    <row r="159" ht="22.5" customHeight="1">
      <c r="A159" s="27"/>
      <c r="B159" s="28"/>
      <c r="C159" s="45"/>
      <c r="D159" s="29"/>
      <c r="E159" s="18"/>
      <c r="F159" s="18"/>
      <c r="G159" s="30"/>
      <c r="I159" s="34"/>
      <c r="J159" s="35"/>
      <c r="K159" s="46"/>
      <c r="L159" s="36"/>
      <c r="M159" s="37"/>
      <c r="N159" s="37"/>
      <c r="O159" s="38"/>
      <c r="P159" s="19">
        <f t="shared" si="2"/>
        <v>0</v>
      </c>
    </row>
    <row r="160" ht="22.5" customHeight="1">
      <c r="A160" s="27"/>
      <c r="B160" s="28"/>
      <c r="C160" s="29"/>
      <c r="D160" s="29"/>
      <c r="E160" s="18"/>
      <c r="F160" s="18"/>
      <c r="G160" s="30"/>
      <c r="I160" s="34"/>
      <c r="J160" s="35"/>
      <c r="K160" s="46"/>
      <c r="L160" s="36"/>
      <c r="M160" s="37"/>
      <c r="N160" s="37"/>
      <c r="O160" s="38"/>
      <c r="P160" s="19">
        <f t="shared" si="2"/>
        <v>0</v>
      </c>
    </row>
    <row r="161" ht="22.5" customHeight="1">
      <c r="A161" s="27"/>
      <c r="B161" s="28"/>
      <c r="C161" s="45"/>
      <c r="D161" s="29"/>
      <c r="E161" s="18"/>
      <c r="F161" s="18"/>
      <c r="G161" s="30"/>
      <c r="I161" s="34"/>
      <c r="J161" s="35"/>
      <c r="K161" s="36"/>
      <c r="L161" s="36"/>
      <c r="M161" s="37"/>
      <c r="N161" s="37"/>
      <c r="O161" s="38"/>
      <c r="P161" s="19">
        <f t="shared" si="2"/>
        <v>0</v>
      </c>
    </row>
    <row r="162" ht="22.5" customHeight="1">
      <c r="A162" s="27"/>
      <c r="B162" s="28"/>
      <c r="C162" s="45"/>
      <c r="D162" s="29"/>
      <c r="E162" s="18"/>
      <c r="F162" s="18"/>
      <c r="G162" s="30"/>
      <c r="I162" s="34"/>
      <c r="J162" s="35"/>
      <c r="K162" s="36"/>
      <c r="L162" s="36"/>
      <c r="M162" s="37"/>
      <c r="N162" s="37"/>
      <c r="O162" s="38"/>
      <c r="P162" s="19">
        <f t="shared" si="2"/>
        <v>0</v>
      </c>
    </row>
    <row r="163" ht="22.5" customHeight="1">
      <c r="A163" s="27"/>
      <c r="B163" s="28"/>
      <c r="C163" s="45"/>
      <c r="D163" s="29"/>
      <c r="E163" s="18"/>
      <c r="F163" s="18"/>
      <c r="G163" s="30"/>
      <c r="I163" s="34"/>
      <c r="J163" s="35"/>
      <c r="K163" s="36"/>
      <c r="L163" s="36"/>
      <c r="M163" s="37"/>
      <c r="N163" s="37"/>
      <c r="O163" s="38"/>
      <c r="P163" s="19">
        <f t="shared" si="2"/>
        <v>0</v>
      </c>
    </row>
    <row r="164" ht="22.5" customHeight="1">
      <c r="A164" s="27"/>
      <c r="B164" s="28"/>
      <c r="C164" s="45"/>
      <c r="D164" s="29"/>
      <c r="E164" s="18"/>
      <c r="F164" s="18"/>
      <c r="G164" s="30"/>
      <c r="I164" s="34"/>
      <c r="J164" s="35"/>
      <c r="K164" s="36"/>
      <c r="L164" s="36"/>
      <c r="M164" s="37"/>
      <c r="N164" s="37"/>
      <c r="O164" s="38"/>
      <c r="P164" s="19">
        <f t="shared" si="2"/>
        <v>0</v>
      </c>
    </row>
    <row r="165" ht="22.5" customHeight="1">
      <c r="A165" s="27"/>
      <c r="B165" s="28"/>
      <c r="C165" s="45"/>
      <c r="D165" s="29"/>
      <c r="E165" s="18"/>
      <c r="F165" s="18"/>
      <c r="G165" s="30"/>
      <c r="I165" s="34"/>
      <c r="J165" s="35"/>
      <c r="K165" s="36"/>
      <c r="L165" s="36"/>
      <c r="M165" s="37"/>
      <c r="N165" s="37"/>
      <c r="O165" s="38"/>
      <c r="P165" s="19">
        <f t="shared" si="2"/>
        <v>0</v>
      </c>
    </row>
    <row r="166" ht="22.5" customHeight="1">
      <c r="A166" s="27"/>
      <c r="B166" s="28"/>
      <c r="C166" s="45"/>
      <c r="D166" s="29"/>
      <c r="E166" s="18"/>
      <c r="F166" s="18"/>
      <c r="G166" s="30"/>
      <c r="I166" s="34"/>
      <c r="J166" s="35"/>
      <c r="K166" s="36"/>
      <c r="L166" s="36"/>
      <c r="M166" s="37"/>
      <c r="N166" s="37"/>
      <c r="O166" s="38"/>
      <c r="P166" s="19">
        <f t="shared" si="2"/>
        <v>0</v>
      </c>
    </row>
    <row r="167" ht="22.5" customHeight="1">
      <c r="A167" s="27"/>
      <c r="B167" s="28"/>
      <c r="C167" s="29"/>
      <c r="D167" s="29"/>
      <c r="E167" s="18"/>
      <c r="F167" s="18"/>
      <c r="G167" s="30"/>
      <c r="I167" s="34"/>
      <c r="J167" s="35"/>
      <c r="K167" s="36"/>
      <c r="L167" s="36"/>
      <c r="M167" s="37"/>
      <c r="N167" s="37"/>
      <c r="O167" s="38"/>
      <c r="P167" s="19">
        <f t="shared" si="2"/>
        <v>0</v>
      </c>
    </row>
    <row r="168" ht="22.5" customHeight="1">
      <c r="A168" s="27"/>
      <c r="B168" s="28"/>
      <c r="C168" s="29"/>
      <c r="D168" s="29"/>
      <c r="E168" s="18"/>
      <c r="F168" s="18"/>
      <c r="G168" s="30"/>
      <c r="I168" s="34"/>
      <c r="J168" s="35"/>
      <c r="K168" s="46"/>
      <c r="L168" s="36"/>
      <c r="M168" s="37"/>
      <c r="N168" s="37"/>
      <c r="O168" s="38"/>
      <c r="P168" s="19">
        <f t="shared" si="2"/>
        <v>0</v>
      </c>
    </row>
    <row r="169" ht="22.5" customHeight="1">
      <c r="A169" s="27"/>
      <c r="B169" s="28"/>
      <c r="C169" s="29"/>
      <c r="D169" s="29"/>
      <c r="E169" s="18"/>
      <c r="F169" s="18"/>
      <c r="G169" s="30"/>
      <c r="I169" s="34"/>
      <c r="J169" s="35"/>
      <c r="K169" s="46"/>
      <c r="L169" s="36"/>
      <c r="M169" s="37"/>
      <c r="N169" s="37"/>
      <c r="O169" s="38"/>
      <c r="P169" s="19">
        <f t="shared" si="2"/>
        <v>0</v>
      </c>
    </row>
    <row r="170" ht="22.5" customHeight="1">
      <c r="A170" s="27"/>
      <c r="B170" s="28"/>
      <c r="C170" s="29"/>
      <c r="D170" s="29"/>
      <c r="E170" s="18"/>
      <c r="F170" s="18"/>
      <c r="G170" s="30"/>
      <c r="I170" s="34"/>
      <c r="J170" s="35"/>
      <c r="K170" s="46"/>
      <c r="L170" s="36"/>
      <c r="M170" s="37"/>
      <c r="N170" s="37"/>
      <c r="O170" s="38"/>
      <c r="P170" s="19">
        <f t="shared" si="2"/>
        <v>0</v>
      </c>
    </row>
    <row r="171" ht="22.5" customHeight="1">
      <c r="A171" s="27"/>
      <c r="B171" s="28"/>
      <c r="C171" s="45"/>
      <c r="D171" s="29"/>
      <c r="E171" s="18"/>
      <c r="F171" s="18"/>
      <c r="G171" s="30"/>
      <c r="I171" s="34"/>
      <c r="J171" s="35"/>
      <c r="K171" s="46"/>
      <c r="L171" s="36"/>
      <c r="M171" s="37"/>
      <c r="N171" s="37"/>
      <c r="O171" s="38"/>
      <c r="P171" s="19">
        <f t="shared" si="2"/>
        <v>0</v>
      </c>
    </row>
    <row r="172" ht="22.5" customHeight="1">
      <c r="A172" s="27"/>
      <c r="B172" s="28"/>
      <c r="C172" s="45"/>
      <c r="D172" s="29"/>
      <c r="E172" s="18"/>
      <c r="F172" s="18"/>
      <c r="G172" s="30"/>
      <c r="I172" s="34"/>
      <c r="J172" s="35"/>
      <c r="K172" s="46"/>
      <c r="L172" s="36"/>
      <c r="M172" s="37"/>
      <c r="N172" s="37"/>
      <c r="O172" s="38"/>
      <c r="P172" s="19">
        <f t="shared" si="2"/>
        <v>0</v>
      </c>
    </row>
    <row r="173" ht="22.5" customHeight="1">
      <c r="A173" s="27"/>
      <c r="B173" s="28"/>
      <c r="C173" s="29"/>
      <c r="D173" s="29"/>
      <c r="E173" s="18"/>
      <c r="F173" s="18"/>
      <c r="G173" s="30"/>
      <c r="I173" s="34"/>
      <c r="J173" s="35"/>
      <c r="K173" s="46"/>
      <c r="L173" s="36"/>
      <c r="M173" s="37"/>
      <c r="N173" s="37"/>
      <c r="O173" s="38"/>
      <c r="P173" s="19">
        <f t="shared" si="2"/>
        <v>0</v>
      </c>
    </row>
    <row r="174" ht="22.5" customHeight="1">
      <c r="A174" s="27"/>
      <c r="B174" s="28"/>
      <c r="C174" s="29"/>
      <c r="D174" s="29"/>
      <c r="E174" s="18"/>
      <c r="F174" s="18"/>
      <c r="G174" s="30"/>
      <c r="I174" s="34"/>
      <c r="J174" s="35"/>
      <c r="K174" s="46"/>
      <c r="L174" s="36"/>
      <c r="M174" s="37"/>
      <c r="N174" s="37"/>
      <c r="O174" s="38"/>
      <c r="P174" s="19">
        <f t="shared" si="2"/>
        <v>0</v>
      </c>
    </row>
    <row r="175" ht="22.5" customHeight="1">
      <c r="A175" s="27"/>
      <c r="B175" s="28"/>
      <c r="C175" s="29"/>
      <c r="D175" s="29"/>
      <c r="E175" s="18"/>
      <c r="F175" s="18"/>
      <c r="G175" s="30"/>
      <c r="I175" s="34"/>
      <c r="J175" s="35"/>
      <c r="K175" s="46"/>
      <c r="L175" s="36"/>
      <c r="M175" s="37"/>
      <c r="N175" s="37"/>
      <c r="O175" s="38"/>
      <c r="P175" s="19">
        <f t="shared" si="2"/>
        <v>0</v>
      </c>
    </row>
    <row r="176" ht="22.5" customHeight="1">
      <c r="A176" s="27"/>
      <c r="B176" s="28"/>
      <c r="C176" s="29"/>
      <c r="D176" s="29"/>
      <c r="E176" s="18"/>
      <c r="F176" s="18"/>
      <c r="G176" s="30"/>
      <c r="I176" s="34"/>
      <c r="J176" s="35"/>
      <c r="K176" s="46"/>
      <c r="L176" s="36"/>
      <c r="M176" s="37"/>
      <c r="N176" s="37"/>
      <c r="O176" s="38"/>
      <c r="P176" s="19">
        <f t="shared" si="2"/>
        <v>0</v>
      </c>
    </row>
    <row r="177" ht="22.5" customHeight="1">
      <c r="A177" s="27"/>
      <c r="B177" s="28"/>
      <c r="C177" s="45"/>
      <c r="D177" s="29"/>
      <c r="E177" s="18"/>
      <c r="F177" s="18"/>
      <c r="G177" s="30"/>
      <c r="I177" s="34"/>
      <c r="J177" s="35"/>
      <c r="K177" s="46"/>
      <c r="L177" s="36"/>
      <c r="M177" s="37"/>
      <c r="N177" s="37"/>
      <c r="O177" s="38"/>
      <c r="P177" s="19">
        <f t="shared" si="2"/>
        <v>0</v>
      </c>
    </row>
    <row r="178" ht="22.5" customHeight="1">
      <c r="A178" s="27"/>
      <c r="B178" s="28"/>
      <c r="C178" s="45"/>
      <c r="D178" s="29"/>
      <c r="E178" s="18"/>
      <c r="F178" s="18"/>
      <c r="G178" s="30"/>
      <c r="I178" s="34"/>
      <c r="J178" s="35"/>
      <c r="K178" s="46"/>
      <c r="L178" s="36"/>
      <c r="M178" s="37"/>
      <c r="N178" s="37"/>
      <c r="O178" s="38"/>
      <c r="P178" s="19">
        <f t="shared" si="2"/>
        <v>0</v>
      </c>
    </row>
    <row r="179" ht="22.5" customHeight="1">
      <c r="A179" s="27"/>
      <c r="B179" s="28"/>
      <c r="C179" s="45"/>
      <c r="D179" s="29"/>
      <c r="E179" s="18"/>
      <c r="F179" s="18"/>
      <c r="G179" s="30"/>
      <c r="I179" s="34"/>
      <c r="J179" s="35"/>
      <c r="K179" s="46"/>
      <c r="L179" s="36"/>
      <c r="M179" s="37"/>
      <c r="N179" s="37"/>
      <c r="O179" s="38"/>
      <c r="P179" s="19">
        <f t="shared" si="2"/>
        <v>0</v>
      </c>
    </row>
    <row r="180" ht="22.5" customHeight="1">
      <c r="A180" s="27"/>
      <c r="B180" s="28"/>
      <c r="C180" s="45"/>
      <c r="D180" s="29"/>
      <c r="E180" s="18"/>
      <c r="F180" s="18"/>
      <c r="G180" s="30"/>
      <c r="I180" s="34"/>
      <c r="J180" s="35"/>
      <c r="K180" s="46"/>
      <c r="L180" s="36"/>
      <c r="M180" s="37"/>
      <c r="N180" s="37"/>
      <c r="O180" s="38"/>
      <c r="P180" s="19">
        <f t="shared" si="2"/>
        <v>0</v>
      </c>
    </row>
    <row r="181" ht="22.5" customHeight="1">
      <c r="A181" s="34"/>
      <c r="B181" s="35"/>
      <c r="C181" s="46"/>
      <c r="D181" s="36"/>
      <c r="E181" s="37"/>
      <c r="F181" s="37"/>
      <c r="G181" s="38"/>
      <c r="I181" s="34"/>
      <c r="J181" s="35"/>
      <c r="K181" s="46"/>
      <c r="L181" s="36"/>
      <c r="M181" s="37"/>
      <c r="N181" s="37"/>
      <c r="O181" s="38"/>
      <c r="P181" s="19">
        <f t="shared" si="2"/>
        <v>0</v>
      </c>
    </row>
    <row r="182" ht="22.5" customHeight="1">
      <c r="A182" s="34"/>
      <c r="B182" s="35"/>
      <c r="C182" s="46"/>
      <c r="D182" s="36"/>
      <c r="E182" s="37"/>
      <c r="F182" s="37"/>
      <c r="G182" s="38"/>
      <c r="I182" s="34"/>
      <c r="J182" s="35"/>
      <c r="K182" s="46"/>
      <c r="L182" s="36"/>
      <c r="M182" s="37"/>
      <c r="N182" s="37"/>
      <c r="O182" s="38"/>
      <c r="P182" s="19">
        <f t="shared" si="2"/>
        <v>0</v>
      </c>
    </row>
    <row r="183" ht="22.5" customHeight="1">
      <c r="A183" s="34"/>
      <c r="B183" s="35"/>
      <c r="C183" s="46"/>
      <c r="D183" s="36"/>
      <c r="E183" s="37"/>
      <c r="F183" s="37"/>
      <c r="G183" s="38"/>
      <c r="I183" s="34"/>
      <c r="J183" s="35"/>
      <c r="K183" s="46"/>
      <c r="L183" s="36"/>
      <c r="M183" s="37"/>
      <c r="N183" s="37"/>
      <c r="O183" s="38"/>
      <c r="P183" s="19">
        <f t="shared" si="2"/>
        <v>0</v>
      </c>
    </row>
    <row r="184" ht="22.5" customHeight="1">
      <c r="A184" s="34"/>
      <c r="B184" s="35"/>
      <c r="C184" s="46"/>
      <c r="D184" s="36"/>
      <c r="E184" s="37"/>
      <c r="F184" s="37"/>
      <c r="G184" s="38"/>
      <c r="I184" s="34"/>
      <c r="J184" s="35"/>
      <c r="K184" s="46"/>
      <c r="L184" s="36"/>
      <c r="M184" s="37"/>
      <c r="N184" s="37"/>
      <c r="O184" s="38"/>
      <c r="P184" s="19">
        <f t="shared" si="2"/>
        <v>0</v>
      </c>
    </row>
    <row r="185" ht="22.5" customHeight="1">
      <c r="A185" s="34"/>
      <c r="B185" s="35"/>
      <c r="C185" s="46"/>
      <c r="D185" s="36"/>
      <c r="E185" s="37"/>
      <c r="F185" s="37"/>
      <c r="G185" s="38"/>
      <c r="I185" s="34"/>
      <c r="J185" s="35"/>
      <c r="K185" s="46"/>
      <c r="L185" s="36"/>
      <c r="M185" s="37"/>
      <c r="N185" s="37"/>
      <c r="O185" s="38"/>
      <c r="P185" s="19">
        <f t="shared" si="2"/>
        <v>0</v>
      </c>
    </row>
    <row r="186" ht="22.5" customHeight="1">
      <c r="A186" s="34"/>
      <c r="B186" s="35"/>
      <c r="C186" s="46"/>
      <c r="D186" s="36"/>
      <c r="E186" s="37"/>
      <c r="F186" s="37"/>
      <c r="G186" s="38"/>
      <c r="I186" s="34"/>
      <c r="J186" s="35"/>
      <c r="K186" s="46"/>
      <c r="L186" s="36"/>
      <c r="M186" s="37"/>
      <c r="N186" s="37"/>
      <c r="O186" s="38"/>
      <c r="P186" s="19">
        <f t="shared" si="2"/>
        <v>0</v>
      </c>
    </row>
    <row r="187" ht="22.5" customHeight="1">
      <c r="A187" s="34"/>
      <c r="B187" s="35"/>
      <c r="C187" s="46"/>
      <c r="D187" s="36"/>
      <c r="E187" s="37"/>
      <c r="F187" s="37"/>
      <c r="G187" s="38"/>
      <c r="I187" s="34"/>
      <c r="J187" s="35"/>
      <c r="K187" s="46"/>
      <c r="L187" s="36"/>
      <c r="M187" s="37"/>
      <c r="N187" s="37"/>
      <c r="O187" s="38"/>
      <c r="P187" s="19">
        <f t="shared" si="2"/>
        <v>0</v>
      </c>
    </row>
    <row r="188" ht="22.5" customHeight="1">
      <c r="A188" s="34"/>
      <c r="B188" s="35"/>
      <c r="C188" s="46"/>
      <c r="D188" s="36"/>
      <c r="E188" s="37"/>
      <c r="F188" s="37"/>
      <c r="G188" s="38"/>
      <c r="I188" s="34"/>
      <c r="J188" s="35"/>
      <c r="K188" s="46"/>
      <c r="L188" s="36"/>
      <c r="M188" s="37"/>
      <c r="N188" s="37"/>
      <c r="O188" s="38"/>
      <c r="P188" s="19">
        <f t="shared" si="2"/>
        <v>0</v>
      </c>
    </row>
    <row r="189" ht="22.5" customHeight="1">
      <c r="A189" s="34"/>
      <c r="B189" s="35"/>
      <c r="C189" s="46"/>
      <c r="D189" s="36"/>
      <c r="E189" s="37"/>
      <c r="F189" s="37"/>
      <c r="G189" s="38"/>
      <c r="I189" s="34"/>
      <c r="J189" s="35"/>
      <c r="K189" s="46"/>
      <c r="L189" s="36"/>
      <c r="M189" s="37"/>
      <c r="N189" s="37"/>
      <c r="O189" s="38"/>
      <c r="P189" s="19">
        <f t="shared" si="2"/>
        <v>0</v>
      </c>
    </row>
    <row r="190" ht="22.5" customHeight="1">
      <c r="A190" s="34"/>
      <c r="B190" s="35"/>
      <c r="C190" s="46"/>
      <c r="D190" s="36"/>
      <c r="E190" s="37"/>
      <c r="F190" s="37"/>
      <c r="G190" s="38"/>
      <c r="I190" s="34"/>
      <c r="J190" s="35"/>
      <c r="K190" s="46"/>
      <c r="L190" s="36"/>
      <c r="M190" s="37"/>
      <c r="N190" s="37"/>
      <c r="O190" s="38"/>
      <c r="P190" s="19">
        <f t="shared" si="2"/>
        <v>0</v>
      </c>
    </row>
    <row r="191" ht="22.5" customHeight="1">
      <c r="A191" s="34"/>
      <c r="B191" s="35"/>
      <c r="C191" s="46"/>
      <c r="D191" s="36"/>
      <c r="E191" s="37"/>
      <c r="F191" s="37"/>
      <c r="G191" s="38"/>
      <c r="I191" s="34"/>
      <c r="J191" s="35"/>
      <c r="K191" s="46"/>
      <c r="L191" s="36"/>
      <c r="M191" s="37"/>
      <c r="N191" s="37"/>
      <c r="O191" s="38"/>
      <c r="P191" s="19">
        <f t="shared" si="2"/>
        <v>0</v>
      </c>
    </row>
    <row r="192" ht="22.5" customHeight="1">
      <c r="A192" s="34"/>
      <c r="B192" s="35"/>
      <c r="C192" s="46"/>
      <c r="D192" s="36"/>
      <c r="E192" s="37"/>
      <c r="F192" s="37"/>
      <c r="G192" s="38"/>
      <c r="I192" s="34"/>
      <c r="J192" s="35"/>
      <c r="K192" s="46"/>
      <c r="L192" s="36"/>
      <c r="M192" s="37"/>
      <c r="N192" s="37"/>
      <c r="O192" s="38"/>
      <c r="P192" s="19">
        <f t="shared" si="2"/>
        <v>0</v>
      </c>
    </row>
    <row r="193" ht="22.5" customHeight="1">
      <c r="A193" s="34"/>
      <c r="B193" s="35"/>
      <c r="C193" s="46"/>
      <c r="D193" s="36"/>
      <c r="E193" s="37"/>
      <c r="F193" s="37"/>
      <c r="G193" s="38"/>
      <c r="I193" s="34"/>
      <c r="J193" s="35"/>
      <c r="K193" s="46"/>
      <c r="L193" s="36"/>
      <c r="M193" s="37"/>
      <c r="N193" s="37"/>
      <c r="O193" s="38"/>
      <c r="P193" s="19">
        <f t="shared" si="2"/>
        <v>0</v>
      </c>
    </row>
    <row r="194" ht="22.5" customHeight="1">
      <c r="A194" s="34"/>
      <c r="B194" s="35"/>
      <c r="C194" s="46"/>
      <c r="D194" s="36"/>
      <c r="E194" s="37"/>
      <c r="F194" s="37"/>
      <c r="G194" s="38"/>
      <c r="I194" s="34"/>
      <c r="J194" s="35"/>
      <c r="K194" s="46"/>
      <c r="L194" s="36"/>
      <c r="M194" s="37"/>
      <c r="N194" s="37"/>
      <c r="O194" s="38"/>
      <c r="P194" s="19">
        <f t="shared" si="2"/>
        <v>0</v>
      </c>
    </row>
    <row r="195" ht="22.5" customHeight="1">
      <c r="A195" s="34"/>
      <c r="B195" s="35"/>
      <c r="C195" s="46"/>
      <c r="D195" s="36"/>
      <c r="E195" s="37"/>
      <c r="F195" s="37"/>
      <c r="G195" s="38"/>
      <c r="I195" s="34"/>
      <c r="J195" s="35"/>
      <c r="K195" s="46"/>
      <c r="L195" s="36"/>
      <c r="M195" s="37"/>
      <c r="N195" s="37"/>
      <c r="O195" s="38"/>
      <c r="P195" s="19">
        <f t="shared" si="2"/>
        <v>0</v>
      </c>
    </row>
    <row r="196" ht="22.5" customHeight="1">
      <c r="A196" s="34"/>
      <c r="B196" s="35"/>
      <c r="C196" s="46"/>
      <c r="D196" s="36"/>
      <c r="E196" s="37"/>
      <c r="F196" s="37"/>
      <c r="G196" s="38"/>
      <c r="I196" s="34"/>
      <c r="J196" s="35"/>
      <c r="K196" s="46"/>
      <c r="L196" s="36"/>
      <c r="M196" s="37"/>
      <c r="N196" s="37"/>
      <c r="O196" s="38"/>
      <c r="P196" s="19">
        <f t="shared" si="2"/>
        <v>0</v>
      </c>
    </row>
    <row r="197" ht="22.5" customHeight="1">
      <c r="A197" s="34"/>
      <c r="B197" s="35"/>
      <c r="C197" s="46"/>
      <c r="D197" s="36"/>
      <c r="E197" s="37"/>
      <c r="F197" s="37"/>
      <c r="G197" s="38"/>
      <c r="I197" s="34"/>
      <c r="J197" s="35"/>
      <c r="K197" s="46"/>
      <c r="L197" s="36"/>
      <c r="M197" s="37"/>
      <c r="N197" s="37"/>
      <c r="O197" s="38"/>
      <c r="P197" s="19">
        <f t="shared" si="2"/>
        <v>0</v>
      </c>
    </row>
    <row r="198" ht="22.5" customHeight="1">
      <c r="A198" s="34"/>
      <c r="B198" s="35"/>
      <c r="C198" s="46"/>
      <c r="D198" s="36"/>
      <c r="E198" s="37"/>
      <c r="F198" s="37"/>
      <c r="G198" s="38"/>
      <c r="I198" s="34"/>
      <c r="J198" s="35"/>
      <c r="K198" s="46"/>
      <c r="L198" s="36"/>
      <c r="M198" s="37"/>
      <c r="N198" s="37"/>
      <c r="O198" s="38"/>
      <c r="P198" s="19">
        <f t="shared" si="2"/>
        <v>0</v>
      </c>
    </row>
    <row r="199" ht="22.5" customHeight="1">
      <c r="A199" s="34"/>
      <c r="B199" s="35"/>
      <c r="C199" s="46"/>
      <c r="D199" s="36"/>
      <c r="E199" s="37"/>
      <c r="F199" s="37"/>
      <c r="G199" s="38"/>
      <c r="I199" s="34"/>
      <c r="J199" s="35"/>
      <c r="K199" s="46"/>
      <c r="L199" s="36"/>
      <c r="M199" s="37"/>
      <c r="N199" s="37"/>
      <c r="O199" s="38"/>
      <c r="P199" s="19">
        <f t="shared" si="2"/>
        <v>0</v>
      </c>
    </row>
    <row r="200" ht="22.5" customHeight="1">
      <c r="A200" s="34"/>
      <c r="B200" s="35"/>
      <c r="C200" s="46"/>
      <c r="D200" s="36"/>
      <c r="E200" s="37"/>
      <c r="F200" s="37"/>
      <c r="G200" s="38"/>
      <c r="I200" s="34"/>
      <c r="J200" s="35"/>
      <c r="K200" s="46"/>
      <c r="L200" s="36"/>
      <c r="M200" s="37"/>
      <c r="N200" s="37"/>
      <c r="O200" s="38"/>
      <c r="P200" s="19">
        <f t="shared" si="2"/>
        <v>0</v>
      </c>
    </row>
    <row r="201" ht="22.5" customHeight="1">
      <c r="A201" s="34"/>
      <c r="B201" s="35"/>
      <c r="C201" s="46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19">
        <f t="shared" si="2"/>
        <v>0</v>
      </c>
    </row>
    <row r="202" ht="22.5" customHeight="1">
      <c r="A202" s="34"/>
      <c r="B202" s="35"/>
      <c r="C202" s="46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19">
        <f t="shared" si="2"/>
        <v>0</v>
      </c>
    </row>
    <row r="203" ht="22.5" customHeight="1">
      <c r="A203" s="34"/>
      <c r="B203" s="35"/>
      <c r="C203" s="46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19">
        <f t="shared" si="2"/>
        <v>0</v>
      </c>
    </row>
    <row r="204" ht="22.5" customHeight="1">
      <c r="A204" s="34"/>
      <c r="B204" s="35"/>
      <c r="C204" s="46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19">
        <f t="shared" si="2"/>
        <v>0</v>
      </c>
    </row>
    <row r="205" ht="22.5" customHeight="1">
      <c r="A205" s="34"/>
      <c r="B205" s="35"/>
      <c r="C205" s="46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19">
        <f t="shared" si="2"/>
        <v>0</v>
      </c>
    </row>
    <row r="206" ht="22.5" customHeight="1">
      <c r="A206" s="34"/>
      <c r="B206" s="35"/>
      <c r="C206" s="46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19">
        <f t="shared" si="2"/>
        <v>0</v>
      </c>
    </row>
    <row r="207" ht="22.5" customHeight="1">
      <c r="A207" s="34"/>
      <c r="B207" s="35"/>
      <c r="C207" s="46"/>
      <c r="D207" s="36"/>
      <c r="E207" s="37"/>
      <c r="F207" s="37"/>
      <c r="G207" s="38"/>
      <c r="I207" s="34"/>
      <c r="J207" s="35"/>
      <c r="K207" s="46"/>
      <c r="L207" s="36"/>
      <c r="M207" s="37"/>
      <c r="N207" s="37"/>
      <c r="O207" s="38"/>
      <c r="P207" s="19">
        <f t="shared" si="2"/>
        <v>0</v>
      </c>
    </row>
    <row r="208" ht="22.5" customHeight="1">
      <c r="A208" s="34"/>
      <c r="B208" s="35"/>
      <c r="C208" s="46"/>
      <c r="D208" s="36"/>
      <c r="E208" s="37"/>
      <c r="F208" s="37"/>
      <c r="G208" s="38"/>
      <c r="I208" s="34"/>
      <c r="J208" s="35"/>
      <c r="K208" s="46"/>
      <c r="L208" s="36"/>
      <c r="M208" s="37"/>
      <c r="N208" s="37"/>
      <c r="O208" s="38"/>
      <c r="P208" s="19">
        <f t="shared" si="2"/>
        <v>0</v>
      </c>
    </row>
    <row r="209" ht="22.5" customHeight="1">
      <c r="A209" s="34"/>
      <c r="B209" s="35"/>
      <c r="C209" s="46"/>
      <c r="D209" s="36"/>
      <c r="E209" s="37"/>
      <c r="F209" s="37"/>
      <c r="G209" s="38"/>
      <c r="I209" s="34"/>
      <c r="J209" s="35"/>
      <c r="K209" s="46"/>
      <c r="L209" s="36"/>
      <c r="M209" s="37"/>
      <c r="N209" s="37"/>
      <c r="O209" s="38"/>
      <c r="P209" s="19">
        <f t="shared" si="2"/>
        <v>0</v>
      </c>
    </row>
    <row r="210" ht="22.5" customHeight="1">
      <c r="A210" s="34"/>
      <c r="B210" s="35"/>
      <c r="C210" s="46"/>
      <c r="D210" s="36"/>
      <c r="E210" s="37"/>
      <c r="F210" s="37"/>
      <c r="G210" s="38"/>
      <c r="I210" s="34"/>
      <c r="J210" s="35"/>
      <c r="K210" s="46"/>
      <c r="L210" s="36"/>
      <c r="M210" s="37"/>
      <c r="N210" s="37"/>
      <c r="O210" s="38"/>
      <c r="P210" s="19">
        <f t="shared" si="2"/>
        <v>0</v>
      </c>
    </row>
    <row r="211" ht="22.5" customHeight="1">
      <c r="A211" s="34"/>
      <c r="B211" s="35"/>
      <c r="C211" s="46"/>
      <c r="D211" s="36"/>
      <c r="E211" s="37"/>
      <c r="F211" s="37"/>
      <c r="G211" s="38"/>
      <c r="I211" s="34"/>
      <c r="J211" s="35"/>
      <c r="K211" s="46"/>
      <c r="L211" s="36"/>
      <c r="M211" s="37"/>
      <c r="N211" s="37"/>
      <c r="O211" s="38"/>
      <c r="P211" s="19">
        <f t="shared" si="2"/>
        <v>0</v>
      </c>
    </row>
    <row r="212" ht="22.5" customHeight="1">
      <c r="A212" s="34"/>
      <c r="B212" s="35"/>
      <c r="C212" s="46"/>
      <c r="D212" s="36"/>
      <c r="E212" s="37"/>
      <c r="F212" s="37"/>
      <c r="G212" s="38"/>
      <c r="I212" s="34"/>
      <c r="J212" s="35"/>
      <c r="K212" s="46"/>
      <c r="L212" s="36"/>
      <c r="M212" s="37"/>
      <c r="N212" s="37"/>
      <c r="O212" s="38"/>
      <c r="P212" s="19">
        <f t="shared" si="2"/>
        <v>0</v>
      </c>
    </row>
    <row r="213" ht="22.5" customHeight="1">
      <c r="A213" s="34"/>
      <c r="B213" s="35"/>
      <c r="C213" s="46"/>
      <c r="D213" s="36"/>
      <c r="E213" s="37"/>
      <c r="F213" s="37"/>
      <c r="G213" s="38"/>
      <c r="I213" s="34"/>
      <c r="J213" s="35"/>
      <c r="K213" s="46"/>
      <c r="L213" s="36"/>
      <c r="M213" s="37"/>
      <c r="N213" s="37"/>
      <c r="O213" s="38"/>
      <c r="P213" s="19">
        <f t="shared" si="2"/>
        <v>0</v>
      </c>
    </row>
    <row r="214" ht="22.5" customHeight="1">
      <c r="A214" s="34"/>
      <c r="B214" s="35"/>
      <c r="C214" s="36"/>
      <c r="D214" s="36"/>
      <c r="E214" s="37"/>
      <c r="F214" s="37"/>
      <c r="G214" s="38"/>
      <c r="I214" s="34"/>
      <c r="J214" s="35"/>
      <c r="K214" s="46"/>
      <c r="L214" s="36"/>
      <c r="M214" s="37"/>
      <c r="N214" s="37"/>
      <c r="O214" s="38"/>
      <c r="P214" s="19">
        <f t="shared" si="2"/>
        <v>0</v>
      </c>
    </row>
    <row r="215" ht="22.5" customHeight="1">
      <c r="A215" s="34"/>
      <c r="B215" s="35"/>
      <c r="C215" s="36"/>
      <c r="D215" s="36"/>
      <c r="E215" s="37"/>
      <c r="F215" s="37"/>
      <c r="G215" s="38"/>
      <c r="I215" s="34"/>
      <c r="J215" s="35"/>
      <c r="K215" s="46"/>
      <c r="L215" s="36"/>
      <c r="M215" s="37"/>
      <c r="N215" s="37"/>
      <c r="O215" s="38"/>
      <c r="P215" s="19">
        <f t="shared" si="2"/>
        <v>0</v>
      </c>
    </row>
    <row r="216" ht="22.5" customHeight="1">
      <c r="A216" s="34"/>
      <c r="B216" s="35"/>
      <c r="C216" s="36"/>
      <c r="D216" s="36"/>
      <c r="E216" s="37"/>
      <c r="F216" s="37"/>
      <c r="G216" s="38"/>
      <c r="I216" s="34"/>
      <c r="J216" s="35"/>
      <c r="K216" s="46"/>
      <c r="L216" s="36"/>
      <c r="M216" s="37"/>
      <c r="N216" s="37"/>
      <c r="O216" s="38"/>
      <c r="P216" s="19">
        <f t="shared" si="2"/>
        <v>0</v>
      </c>
    </row>
    <row r="217" ht="22.5" customHeight="1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19">
        <f t="shared" si="2"/>
        <v>0</v>
      </c>
    </row>
    <row r="218" ht="22.5" customHeight="1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19">
        <f t="shared" si="2"/>
        <v>0</v>
      </c>
    </row>
    <row r="219" ht="22.5" customHeight="1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19">
        <f t="shared" si="2"/>
        <v>0</v>
      </c>
    </row>
    <row r="220" ht="22.5" customHeight="1">
      <c r="A220" s="34"/>
      <c r="B220" s="35"/>
      <c r="C220" s="46"/>
      <c r="D220" s="36"/>
      <c r="E220" s="37"/>
      <c r="F220" s="37"/>
      <c r="G220" s="38"/>
      <c r="I220" s="34"/>
      <c r="J220" s="35"/>
      <c r="K220" s="46"/>
      <c r="L220" s="36"/>
      <c r="M220" s="37"/>
      <c r="N220" s="37"/>
      <c r="O220" s="38"/>
      <c r="P220" s="19">
        <f t="shared" si="2"/>
        <v>0</v>
      </c>
    </row>
    <row r="221" ht="22.5" customHeight="1">
      <c r="A221" s="34"/>
      <c r="B221" s="35"/>
      <c r="C221" s="46"/>
      <c r="D221" s="36"/>
      <c r="E221" s="37"/>
      <c r="F221" s="37"/>
      <c r="G221" s="38"/>
      <c r="I221" s="34"/>
      <c r="J221" s="35"/>
      <c r="K221" s="46"/>
      <c r="L221" s="36"/>
      <c r="M221" s="37"/>
      <c r="N221" s="37"/>
      <c r="O221" s="38"/>
      <c r="P221" s="19">
        <f t="shared" si="2"/>
        <v>0</v>
      </c>
    </row>
    <row r="222" ht="22.5" customHeight="1">
      <c r="A222" s="34"/>
      <c r="B222" s="35"/>
      <c r="C222" s="46"/>
      <c r="D222" s="36"/>
      <c r="E222" s="37"/>
      <c r="F222" s="37"/>
      <c r="G222" s="38"/>
      <c r="I222" s="34"/>
      <c r="J222" s="35"/>
      <c r="K222" s="46"/>
      <c r="L222" s="36"/>
      <c r="M222" s="37"/>
      <c r="N222" s="37"/>
      <c r="O222" s="38"/>
      <c r="P222" s="19">
        <f t="shared" si="2"/>
        <v>0</v>
      </c>
    </row>
    <row r="223" ht="22.5" customHeight="1">
      <c r="A223" s="34"/>
      <c r="B223" s="35"/>
      <c r="C223" s="46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19">
        <f t="shared" si="2"/>
        <v>0</v>
      </c>
    </row>
    <row r="224" ht="22.5" customHeight="1">
      <c r="A224" s="34"/>
      <c r="B224" s="35"/>
      <c r="C224" s="46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19">
        <f t="shared" si="2"/>
        <v>0</v>
      </c>
    </row>
    <row r="225" ht="22.5" customHeight="1">
      <c r="A225" s="34"/>
      <c r="B225" s="35"/>
      <c r="C225" s="46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19">
        <f t="shared" si="2"/>
        <v>0</v>
      </c>
    </row>
    <row r="226" ht="22.5" customHeight="1">
      <c r="A226" s="34"/>
      <c r="B226" s="35"/>
      <c r="C226" s="46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19">
        <f t="shared" si="2"/>
        <v>0</v>
      </c>
    </row>
    <row r="227" ht="22.5" customHeight="1">
      <c r="A227" s="34"/>
      <c r="B227" s="35"/>
      <c r="C227" s="46"/>
      <c r="D227" s="36"/>
      <c r="E227" s="37"/>
      <c r="F227" s="37"/>
      <c r="G227" s="38"/>
      <c r="I227" s="34"/>
      <c r="J227" s="35"/>
      <c r="K227" s="46"/>
      <c r="L227" s="36"/>
      <c r="M227" s="37"/>
      <c r="N227" s="37"/>
      <c r="O227" s="38"/>
      <c r="P227" s="19">
        <f t="shared" si="2"/>
        <v>0</v>
      </c>
    </row>
    <row r="228" ht="22.5" customHeight="1">
      <c r="A228" s="34"/>
      <c r="B228" s="35"/>
      <c r="C228" s="46"/>
      <c r="D228" s="36"/>
      <c r="E228" s="37"/>
      <c r="F228" s="37"/>
      <c r="G228" s="38"/>
      <c r="I228" s="34"/>
      <c r="J228" s="35"/>
      <c r="K228" s="46"/>
      <c r="L228" s="36"/>
      <c r="M228" s="37"/>
      <c r="N228" s="37"/>
      <c r="O228" s="38"/>
      <c r="P228" s="19">
        <f t="shared" si="2"/>
        <v>0</v>
      </c>
    </row>
    <row r="229" ht="22.5" customHeight="1">
      <c r="A229" s="34"/>
      <c r="B229" s="35"/>
      <c r="C229" s="46"/>
      <c r="D229" s="36"/>
      <c r="E229" s="37"/>
      <c r="F229" s="37"/>
      <c r="G229" s="38"/>
      <c r="I229" s="34"/>
      <c r="J229" s="35"/>
      <c r="K229" s="46"/>
      <c r="L229" s="36"/>
      <c r="M229" s="37"/>
      <c r="N229" s="37"/>
      <c r="O229" s="38"/>
      <c r="P229" s="19">
        <f t="shared" si="2"/>
        <v>0</v>
      </c>
    </row>
    <row r="230" ht="22.5" customHeight="1">
      <c r="A230" s="34"/>
      <c r="B230" s="35"/>
      <c r="C230" s="36"/>
      <c r="D230" s="36"/>
      <c r="E230" s="37"/>
      <c r="F230" s="37"/>
      <c r="G230" s="38"/>
      <c r="I230" s="34"/>
      <c r="J230" s="35"/>
      <c r="K230" s="46"/>
      <c r="L230" s="36"/>
      <c r="M230" s="37"/>
      <c r="N230" s="37"/>
      <c r="O230" s="38"/>
      <c r="P230" s="19">
        <f t="shared" si="2"/>
        <v>0</v>
      </c>
    </row>
    <row r="231" ht="22.5" customHeight="1">
      <c r="A231" s="34"/>
      <c r="B231" s="35"/>
      <c r="C231" s="36"/>
      <c r="D231" s="36"/>
      <c r="E231" s="37"/>
      <c r="F231" s="37"/>
      <c r="G231" s="38"/>
      <c r="I231" s="34"/>
      <c r="J231" s="35"/>
      <c r="K231" s="46"/>
      <c r="L231" s="36"/>
      <c r="M231" s="37"/>
      <c r="N231" s="37"/>
      <c r="O231" s="38"/>
      <c r="P231" s="19">
        <f t="shared" si="2"/>
        <v>0</v>
      </c>
    </row>
    <row r="232" ht="22.5" customHeight="1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19">
        <f t="shared" si="2"/>
        <v>0</v>
      </c>
    </row>
    <row r="233" ht="22.5" customHeight="1">
      <c r="A233" s="34"/>
      <c r="B233" s="35"/>
      <c r="C233" s="46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19">
        <f t="shared" si="2"/>
        <v>0</v>
      </c>
    </row>
    <row r="234" ht="22.5" customHeight="1">
      <c r="A234" s="34"/>
      <c r="B234" s="35"/>
      <c r="C234" s="46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19">
        <f t="shared" si="2"/>
        <v>0</v>
      </c>
    </row>
    <row r="235" ht="22.5" customHeight="1">
      <c r="A235" s="34"/>
      <c r="B235" s="35"/>
      <c r="C235" s="46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19">
        <f t="shared" si="2"/>
        <v>0</v>
      </c>
    </row>
    <row r="236" ht="22.5" customHeight="1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19">
        <f t="shared" si="2"/>
        <v>0</v>
      </c>
    </row>
    <row r="237" ht="22.5" customHeight="1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19">
        <f t="shared" si="2"/>
        <v>0</v>
      </c>
    </row>
    <row r="238" ht="22.5" customHeight="1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19">
        <f t="shared" si="2"/>
        <v>0</v>
      </c>
    </row>
    <row r="239" ht="22.5" customHeight="1">
      <c r="A239" s="34"/>
      <c r="B239" s="35"/>
      <c r="C239" s="36"/>
      <c r="D239" s="36"/>
      <c r="E239" s="37"/>
      <c r="F239" s="37"/>
      <c r="G239" s="38"/>
      <c r="I239" s="34"/>
      <c r="J239" s="35"/>
      <c r="K239" s="46"/>
      <c r="L239" s="36"/>
      <c r="M239" s="37"/>
      <c r="N239" s="37"/>
      <c r="O239" s="38"/>
      <c r="P239" s="19">
        <f t="shared" si="2"/>
        <v>0</v>
      </c>
    </row>
    <row r="240" ht="22.5" customHeight="1">
      <c r="A240" s="34"/>
      <c r="B240" s="35"/>
      <c r="C240" s="46"/>
      <c r="D240" s="36"/>
      <c r="E240" s="37"/>
      <c r="F240" s="37"/>
      <c r="G240" s="38"/>
      <c r="I240" s="34"/>
      <c r="J240" s="35"/>
      <c r="K240" s="46"/>
      <c r="L240" s="36"/>
      <c r="M240" s="37"/>
      <c r="N240" s="37"/>
      <c r="O240" s="38"/>
      <c r="P240" s="19">
        <f t="shared" si="2"/>
        <v>0</v>
      </c>
    </row>
    <row r="241" ht="22.5" customHeight="1">
      <c r="A241" s="34"/>
      <c r="B241" s="35"/>
      <c r="C241" s="46"/>
      <c r="D241" s="36"/>
      <c r="E241" s="37"/>
      <c r="F241" s="37"/>
      <c r="G241" s="38"/>
      <c r="I241" s="34"/>
      <c r="J241" s="35"/>
      <c r="K241" s="46"/>
      <c r="L241" s="36"/>
      <c r="M241" s="37"/>
      <c r="N241" s="37"/>
      <c r="O241" s="38"/>
      <c r="P241" s="19">
        <f t="shared" si="2"/>
        <v>0</v>
      </c>
    </row>
    <row r="242" ht="22.5" customHeight="1">
      <c r="A242" s="34"/>
      <c r="B242" s="35"/>
      <c r="C242" s="46"/>
      <c r="D242" s="36"/>
      <c r="E242" s="37"/>
      <c r="F242" s="37"/>
      <c r="G242" s="38"/>
      <c r="I242" s="34"/>
      <c r="J242" s="35"/>
      <c r="K242" s="46"/>
      <c r="L242" s="36"/>
      <c r="M242" s="37"/>
      <c r="N242" s="37"/>
      <c r="O242" s="38"/>
      <c r="P242" s="19">
        <f t="shared" si="2"/>
        <v>0</v>
      </c>
    </row>
    <row r="243" ht="22.5" customHeight="1">
      <c r="A243" s="34"/>
      <c r="B243" s="35"/>
      <c r="C243" s="46"/>
      <c r="D243" s="36"/>
      <c r="E243" s="37"/>
      <c r="F243" s="37"/>
      <c r="G243" s="38"/>
      <c r="I243" s="34"/>
      <c r="J243" s="35"/>
      <c r="K243" s="46"/>
      <c r="L243" s="36"/>
      <c r="M243" s="37"/>
      <c r="N243" s="37"/>
      <c r="O243" s="38"/>
      <c r="P243" s="19">
        <f t="shared" si="2"/>
        <v>0</v>
      </c>
    </row>
    <row r="244" ht="22.5" customHeight="1">
      <c r="A244" s="34"/>
      <c r="B244" s="35"/>
      <c r="C244" s="46"/>
      <c r="D244" s="36"/>
      <c r="E244" s="37"/>
      <c r="F244" s="37"/>
      <c r="G244" s="38"/>
      <c r="I244" s="34"/>
      <c r="J244" s="35"/>
      <c r="K244" s="46"/>
      <c r="L244" s="36"/>
      <c r="M244" s="37"/>
      <c r="N244" s="37"/>
      <c r="O244" s="38"/>
      <c r="P244" s="19">
        <f t="shared" si="2"/>
        <v>0</v>
      </c>
    </row>
    <row r="245" ht="22.5" customHeight="1">
      <c r="A245" s="34"/>
      <c r="B245" s="35"/>
      <c r="C245" s="36"/>
      <c r="D245" s="36"/>
      <c r="E245" s="37"/>
      <c r="F245" s="37"/>
      <c r="G245" s="38"/>
      <c r="I245" s="34"/>
      <c r="J245" s="35"/>
      <c r="K245" s="46"/>
      <c r="L245" s="36"/>
      <c r="M245" s="37"/>
      <c r="N245" s="37"/>
      <c r="O245" s="38"/>
      <c r="P245" s="19">
        <f t="shared" si="2"/>
        <v>0</v>
      </c>
    </row>
    <row r="246" ht="22.5" customHeight="1">
      <c r="A246" s="34"/>
      <c r="B246" s="35"/>
      <c r="C246" s="36"/>
      <c r="D246" s="36"/>
      <c r="E246" s="37"/>
      <c r="F246" s="37"/>
      <c r="G246" s="38"/>
      <c r="I246" s="34"/>
      <c r="J246" s="35"/>
      <c r="K246" s="46"/>
      <c r="L246" s="36"/>
      <c r="M246" s="37"/>
      <c r="N246" s="37"/>
      <c r="O246" s="38"/>
      <c r="P246" s="19">
        <f t="shared" si="2"/>
        <v>0</v>
      </c>
    </row>
    <row r="247" ht="22.5" customHeight="1">
      <c r="A247" s="34"/>
      <c r="B247" s="35"/>
      <c r="C247" s="36"/>
      <c r="D247" s="36"/>
      <c r="E247" s="37"/>
      <c r="F247" s="37"/>
      <c r="G247" s="38"/>
      <c r="I247" s="34"/>
      <c r="J247" s="35"/>
      <c r="K247" s="46"/>
      <c r="L247" s="36"/>
      <c r="M247" s="37"/>
      <c r="N247" s="37"/>
      <c r="O247" s="38"/>
      <c r="P247" s="19">
        <f t="shared" si="2"/>
        <v>0</v>
      </c>
    </row>
    <row r="248" ht="22.5" customHeight="1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19">
        <f t="shared" si="2"/>
        <v>0</v>
      </c>
    </row>
    <row r="249" ht="22.5" customHeight="1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19">
        <f t="shared" si="2"/>
        <v>0</v>
      </c>
    </row>
    <row r="250" ht="22.5" customHeight="1">
      <c r="A250" s="34"/>
      <c r="B250" s="35"/>
      <c r="C250" s="36"/>
      <c r="D250" s="36"/>
      <c r="E250" s="37"/>
      <c r="F250" s="37"/>
      <c r="G250" s="38"/>
      <c r="I250" s="34"/>
      <c r="J250" s="35"/>
      <c r="K250" s="46"/>
      <c r="L250" s="36"/>
      <c r="M250" s="37"/>
      <c r="N250" s="37"/>
      <c r="O250" s="38"/>
      <c r="P250" s="19">
        <f t="shared" si="2"/>
        <v>0</v>
      </c>
    </row>
    <row r="251" ht="22.5" customHeight="1">
      <c r="A251" s="34"/>
      <c r="B251" s="35"/>
      <c r="C251" s="36"/>
      <c r="D251" s="36"/>
      <c r="E251" s="37"/>
      <c r="F251" s="37"/>
      <c r="G251" s="38"/>
      <c r="I251" s="34"/>
      <c r="J251" s="35"/>
      <c r="K251" s="46"/>
      <c r="L251" s="36"/>
      <c r="M251" s="37"/>
      <c r="N251" s="37"/>
      <c r="O251" s="38"/>
      <c r="P251" s="19">
        <f t="shared" si="2"/>
        <v>0</v>
      </c>
    </row>
    <row r="252" ht="22.5" customHeight="1">
      <c r="A252" s="34"/>
      <c r="B252" s="35"/>
      <c r="C252" s="46"/>
      <c r="D252" s="36"/>
      <c r="E252" s="37"/>
      <c r="F252" s="37"/>
      <c r="G252" s="38"/>
      <c r="I252" s="34"/>
      <c r="J252" s="35"/>
      <c r="K252" s="46"/>
      <c r="L252" s="36"/>
      <c r="M252" s="37"/>
      <c r="N252" s="37"/>
      <c r="O252" s="38"/>
      <c r="P252" s="19">
        <f t="shared" si="2"/>
        <v>0</v>
      </c>
    </row>
    <row r="253" ht="22.5" customHeight="1">
      <c r="A253" s="34"/>
      <c r="B253" s="35"/>
      <c r="C253" s="46"/>
      <c r="D253" s="36"/>
      <c r="E253" s="37"/>
      <c r="F253" s="37"/>
      <c r="G253" s="38"/>
      <c r="I253" s="34"/>
      <c r="J253" s="35"/>
      <c r="K253" s="46"/>
      <c r="L253" s="36"/>
      <c r="M253" s="37"/>
      <c r="N253" s="37"/>
      <c r="O253" s="38"/>
      <c r="P253" s="19">
        <f t="shared" si="2"/>
        <v>0</v>
      </c>
    </row>
    <row r="254" ht="22.5" customHeight="1">
      <c r="A254" s="34"/>
      <c r="B254" s="35"/>
      <c r="C254" s="46"/>
      <c r="D254" s="36"/>
      <c r="E254" s="37"/>
      <c r="F254" s="37"/>
      <c r="G254" s="38"/>
      <c r="I254" s="34"/>
      <c r="J254" s="35"/>
      <c r="K254" s="46"/>
      <c r="L254" s="36"/>
      <c r="M254" s="37"/>
      <c r="N254" s="37"/>
      <c r="O254" s="38"/>
      <c r="P254" s="19">
        <f t="shared" si="2"/>
        <v>0</v>
      </c>
    </row>
    <row r="255" ht="22.5" customHeight="1">
      <c r="A255" s="34"/>
      <c r="B255" s="35"/>
      <c r="C255" s="46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19">
        <f t="shared" si="2"/>
        <v>0</v>
      </c>
    </row>
    <row r="256" ht="22.5" customHeight="1">
      <c r="A256" s="34"/>
      <c r="B256" s="35"/>
      <c r="C256" s="46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19">
        <f t="shared" si="2"/>
        <v>0</v>
      </c>
    </row>
    <row r="257" ht="22.5" customHeight="1">
      <c r="A257" s="34"/>
      <c r="B257" s="35"/>
      <c r="C257" s="46"/>
      <c r="D257" s="36"/>
      <c r="E257" s="37"/>
      <c r="F257" s="37"/>
      <c r="G257" s="38"/>
      <c r="I257" s="34"/>
      <c r="J257" s="35"/>
      <c r="K257" s="46"/>
      <c r="L257" s="36"/>
      <c r="M257" s="37"/>
      <c r="N257" s="37"/>
      <c r="O257" s="38"/>
      <c r="P257" s="19">
        <f t="shared" si="2"/>
        <v>0</v>
      </c>
    </row>
    <row r="258" ht="22.5" customHeight="1">
      <c r="A258" s="34"/>
      <c r="B258" s="35"/>
      <c r="C258" s="46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19">
        <f t="shared" si="2"/>
        <v>0</v>
      </c>
    </row>
    <row r="259" ht="22.5" customHeight="1">
      <c r="A259" s="34"/>
      <c r="B259" s="35"/>
      <c r="C259" s="46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19">
        <f t="shared" si="2"/>
        <v>0</v>
      </c>
    </row>
    <row r="260" ht="22.5" customHeight="1">
      <c r="A260" s="34"/>
      <c r="B260" s="35"/>
      <c r="C260" s="46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19">
        <f t="shared" si="2"/>
        <v>0</v>
      </c>
    </row>
    <row r="261" ht="22.5" customHeight="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19">
        <f t="shared" si="2"/>
        <v>0</v>
      </c>
    </row>
    <row r="262" ht="22.5" customHeight="1">
      <c r="A262" s="34"/>
      <c r="B262" s="35"/>
      <c r="C262" s="36"/>
      <c r="D262" s="36"/>
      <c r="E262" s="37"/>
      <c r="F262" s="37"/>
      <c r="G262" s="38"/>
      <c r="I262" s="34"/>
      <c r="J262" s="35"/>
      <c r="K262" s="46"/>
      <c r="L262" s="36"/>
      <c r="M262" s="37"/>
      <c r="N262" s="37"/>
      <c r="O262" s="38"/>
      <c r="P262" s="19">
        <f t="shared" si="2"/>
        <v>0</v>
      </c>
    </row>
    <row r="263" ht="22.5" customHeight="1">
      <c r="A263" s="34"/>
      <c r="B263" s="35"/>
      <c r="C263" s="46"/>
      <c r="D263" s="36"/>
      <c r="E263" s="37"/>
      <c r="F263" s="37"/>
      <c r="G263" s="38"/>
      <c r="I263" s="34"/>
      <c r="J263" s="35"/>
      <c r="K263" s="46"/>
      <c r="L263" s="36"/>
      <c r="M263" s="37"/>
      <c r="N263" s="37"/>
      <c r="O263" s="38"/>
      <c r="P263" s="19">
        <f t="shared" si="2"/>
        <v>0</v>
      </c>
    </row>
    <row r="264" ht="22.5" customHeight="1">
      <c r="A264" s="34"/>
      <c r="B264" s="35"/>
      <c r="C264" s="46"/>
      <c r="D264" s="36"/>
      <c r="E264" s="37"/>
      <c r="F264" s="37"/>
      <c r="G264" s="38"/>
      <c r="I264" s="34"/>
      <c r="J264" s="35"/>
      <c r="K264" s="46"/>
      <c r="L264" s="36"/>
      <c r="M264" s="37"/>
      <c r="N264" s="37"/>
      <c r="O264" s="38"/>
      <c r="P264" s="19">
        <f t="shared" si="2"/>
        <v>0</v>
      </c>
    </row>
    <row r="265" ht="22.5" customHeight="1">
      <c r="A265" s="34"/>
      <c r="B265" s="35"/>
      <c r="C265" s="46"/>
      <c r="D265" s="36"/>
      <c r="E265" s="37"/>
      <c r="F265" s="37"/>
      <c r="G265" s="38"/>
      <c r="I265" s="34"/>
      <c r="J265" s="35"/>
      <c r="K265" s="46"/>
      <c r="L265" s="36"/>
      <c r="M265" s="37"/>
      <c r="N265" s="37"/>
      <c r="O265" s="38"/>
      <c r="P265" s="19">
        <f t="shared" si="2"/>
        <v>0</v>
      </c>
    </row>
    <row r="266" ht="22.5" customHeight="1">
      <c r="A266" s="34"/>
      <c r="B266" s="35"/>
      <c r="C266" s="46"/>
      <c r="D266" s="36"/>
      <c r="E266" s="37"/>
      <c r="F266" s="37"/>
      <c r="G266" s="38"/>
      <c r="I266" s="34"/>
      <c r="J266" s="35"/>
      <c r="K266" s="46"/>
      <c r="L266" s="36"/>
      <c r="M266" s="37"/>
      <c r="N266" s="37"/>
      <c r="O266" s="38"/>
      <c r="P266" s="19">
        <f t="shared" si="2"/>
        <v>0</v>
      </c>
    </row>
    <row r="267" ht="22.5" customHeight="1">
      <c r="A267" s="34"/>
      <c r="B267" s="35"/>
      <c r="C267" s="46"/>
      <c r="D267" s="36"/>
      <c r="E267" s="37"/>
      <c r="F267" s="37"/>
      <c r="G267" s="38"/>
      <c r="I267" s="34"/>
      <c r="J267" s="35"/>
      <c r="K267" s="46"/>
      <c r="L267" s="36"/>
      <c r="M267" s="37"/>
      <c r="N267" s="37"/>
      <c r="O267" s="38"/>
      <c r="P267" s="19">
        <f t="shared" si="2"/>
        <v>0</v>
      </c>
    </row>
    <row r="268" ht="22.5" customHeight="1">
      <c r="A268" s="34"/>
      <c r="B268" s="35"/>
      <c r="C268" s="36"/>
      <c r="D268" s="36"/>
      <c r="E268" s="37"/>
      <c r="F268" s="37"/>
      <c r="G268" s="38"/>
      <c r="I268" s="34"/>
      <c r="J268" s="35"/>
      <c r="K268" s="46"/>
      <c r="L268" s="36"/>
      <c r="M268" s="37"/>
      <c r="N268" s="37"/>
      <c r="O268" s="38"/>
      <c r="P268" s="19">
        <f t="shared" si="2"/>
        <v>0</v>
      </c>
    </row>
    <row r="269" ht="22.5" customHeight="1">
      <c r="A269" s="34"/>
      <c r="B269" s="35"/>
      <c r="C269" s="36"/>
      <c r="D269" s="36"/>
      <c r="E269" s="37"/>
      <c r="F269" s="37"/>
      <c r="G269" s="38"/>
      <c r="I269" s="34"/>
      <c r="J269" s="35"/>
      <c r="K269" s="46"/>
      <c r="L269" s="36"/>
      <c r="M269" s="37"/>
      <c r="N269" s="37"/>
      <c r="O269" s="38"/>
      <c r="P269" s="19">
        <f t="shared" si="2"/>
        <v>0</v>
      </c>
    </row>
    <row r="270" ht="22.5" customHeight="1">
      <c r="A270" s="34"/>
      <c r="B270" s="35"/>
      <c r="C270" s="46"/>
      <c r="D270" s="36"/>
      <c r="E270" s="37"/>
      <c r="F270" s="37"/>
      <c r="G270" s="38"/>
      <c r="I270" s="34"/>
      <c r="J270" s="35"/>
      <c r="K270" s="46"/>
      <c r="L270" s="36"/>
      <c r="M270" s="37"/>
      <c r="N270" s="37"/>
      <c r="O270" s="38"/>
      <c r="P270" s="19">
        <f t="shared" si="2"/>
        <v>0</v>
      </c>
    </row>
    <row r="271" ht="22.5" customHeight="1">
      <c r="A271" s="34"/>
      <c r="B271" s="35"/>
      <c r="C271" s="46"/>
      <c r="D271" s="36"/>
      <c r="E271" s="37"/>
      <c r="F271" s="37"/>
      <c r="G271" s="38"/>
      <c r="I271" s="34"/>
      <c r="J271" s="35"/>
      <c r="K271" s="46"/>
      <c r="L271" s="36"/>
      <c r="M271" s="37"/>
      <c r="N271" s="37"/>
      <c r="O271" s="38"/>
      <c r="P271" s="19">
        <f t="shared" si="2"/>
        <v>0</v>
      </c>
    </row>
    <row r="272" ht="22.5" customHeight="1">
      <c r="A272" s="34"/>
      <c r="B272" s="35"/>
      <c r="C272" s="46"/>
      <c r="D272" s="36"/>
      <c r="E272" s="37"/>
      <c r="F272" s="37"/>
      <c r="G272" s="38"/>
      <c r="I272" s="34"/>
      <c r="J272" s="35"/>
      <c r="K272" s="46"/>
      <c r="L272" s="36"/>
      <c r="M272" s="37"/>
      <c r="N272" s="37"/>
      <c r="O272" s="38"/>
      <c r="P272" s="19">
        <f t="shared" si="2"/>
        <v>0</v>
      </c>
    </row>
    <row r="273" ht="22.5" customHeight="1">
      <c r="A273" s="34"/>
      <c r="B273" s="35"/>
      <c r="C273" s="46"/>
      <c r="D273" s="36"/>
      <c r="E273" s="37"/>
      <c r="F273" s="37"/>
      <c r="G273" s="38"/>
      <c r="I273" s="34"/>
      <c r="J273" s="35"/>
      <c r="K273" s="46"/>
      <c r="L273" s="36"/>
      <c r="M273" s="37"/>
      <c r="N273" s="37"/>
      <c r="O273" s="38"/>
      <c r="P273" s="19">
        <f t="shared" si="2"/>
        <v>0</v>
      </c>
    </row>
    <row r="274" ht="22.5" customHeight="1">
      <c r="A274" s="34"/>
      <c r="B274" s="35"/>
      <c r="C274" s="46"/>
      <c r="D274" s="36"/>
      <c r="E274" s="37"/>
      <c r="F274" s="37"/>
      <c r="G274" s="38"/>
      <c r="I274" s="34"/>
      <c r="J274" s="35"/>
      <c r="K274" s="46"/>
      <c r="L274" s="36"/>
      <c r="M274" s="37"/>
      <c r="N274" s="37"/>
      <c r="O274" s="38"/>
      <c r="P274" s="19">
        <f t="shared" si="2"/>
        <v>0</v>
      </c>
    </row>
    <row r="275" ht="22.5" customHeight="1">
      <c r="A275" s="34"/>
      <c r="B275" s="35"/>
      <c r="C275" s="46"/>
      <c r="D275" s="36"/>
      <c r="E275" s="37"/>
      <c r="F275" s="37"/>
      <c r="G275" s="38"/>
      <c r="I275" s="34"/>
      <c r="J275" s="35"/>
      <c r="K275" s="46"/>
      <c r="L275" s="36"/>
      <c r="M275" s="37"/>
      <c r="N275" s="37"/>
      <c r="O275" s="38"/>
      <c r="P275" s="19">
        <f t="shared" si="2"/>
        <v>0</v>
      </c>
    </row>
    <row r="276" ht="22.5" customHeight="1">
      <c r="A276" s="34"/>
      <c r="B276" s="35"/>
      <c r="C276" s="46"/>
      <c r="D276" s="36"/>
      <c r="E276" s="37"/>
      <c r="F276" s="37"/>
      <c r="G276" s="38"/>
      <c r="I276" s="34"/>
      <c r="J276" s="35"/>
      <c r="K276" s="46"/>
      <c r="L276" s="36"/>
      <c r="M276" s="37"/>
      <c r="N276" s="37"/>
      <c r="O276" s="38"/>
      <c r="P276" s="19">
        <f t="shared" si="2"/>
        <v>0</v>
      </c>
    </row>
    <row r="277" ht="22.5" customHeight="1">
      <c r="A277" s="34"/>
      <c r="B277" s="35"/>
      <c r="C277" s="46"/>
      <c r="D277" s="36"/>
      <c r="E277" s="37"/>
      <c r="F277" s="37"/>
      <c r="G277" s="38"/>
      <c r="I277" s="34"/>
      <c r="J277" s="35"/>
      <c r="K277" s="46"/>
      <c r="L277" s="36"/>
      <c r="M277" s="37"/>
      <c r="N277" s="37"/>
      <c r="O277" s="38"/>
      <c r="P277" s="19">
        <f t="shared" si="2"/>
        <v>0</v>
      </c>
    </row>
    <row r="278" ht="22.5" customHeight="1">
      <c r="A278" s="34"/>
      <c r="B278" s="35"/>
      <c r="C278" s="46"/>
      <c r="D278" s="36"/>
      <c r="E278" s="37"/>
      <c r="F278" s="37"/>
      <c r="G278" s="38"/>
      <c r="I278" s="34"/>
      <c r="J278" s="35"/>
      <c r="K278" s="46"/>
      <c r="L278" s="36"/>
      <c r="M278" s="37"/>
      <c r="N278" s="37"/>
      <c r="O278" s="38"/>
      <c r="P278" s="19">
        <f t="shared" si="2"/>
        <v>0</v>
      </c>
    </row>
    <row r="279" ht="22.5" customHeight="1">
      <c r="A279" s="34"/>
      <c r="B279" s="35"/>
      <c r="C279" s="46"/>
      <c r="D279" s="36"/>
      <c r="E279" s="37"/>
      <c r="F279" s="37"/>
      <c r="G279" s="38"/>
      <c r="I279" s="34"/>
      <c r="J279" s="35"/>
      <c r="K279" s="46"/>
      <c r="L279" s="36"/>
      <c r="M279" s="37"/>
      <c r="N279" s="37"/>
      <c r="O279" s="38"/>
      <c r="P279" s="19">
        <f t="shared" si="2"/>
        <v>0</v>
      </c>
    </row>
    <row r="280" ht="22.5" customHeight="1">
      <c r="A280" s="34"/>
      <c r="B280" s="35"/>
      <c r="C280" s="46"/>
      <c r="D280" s="36"/>
      <c r="E280" s="37"/>
      <c r="F280" s="37"/>
      <c r="G280" s="38"/>
      <c r="I280" s="34"/>
      <c r="J280" s="35"/>
      <c r="K280" s="46"/>
      <c r="L280" s="36"/>
      <c r="M280" s="37"/>
      <c r="N280" s="37"/>
      <c r="O280" s="38"/>
      <c r="P280" s="19">
        <f t="shared" si="2"/>
        <v>0</v>
      </c>
    </row>
    <row r="281" ht="22.5" customHeight="1">
      <c r="A281" s="34"/>
      <c r="B281" s="35"/>
      <c r="C281" s="46"/>
      <c r="D281" s="36"/>
      <c r="E281" s="37"/>
      <c r="F281" s="37"/>
      <c r="G281" s="38"/>
      <c r="I281" s="34"/>
      <c r="J281" s="35"/>
      <c r="K281" s="46"/>
      <c r="L281" s="36"/>
      <c r="M281" s="37"/>
      <c r="N281" s="37"/>
      <c r="O281" s="38"/>
      <c r="P281" s="19">
        <f t="shared" si="2"/>
        <v>0</v>
      </c>
    </row>
    <row r="282" ht="22.5" customHeight="1">
      <c r="A282" s="34"/>
      <c r="B282" s="35"/>
      <c r="C282" s="36"/>
      <c r="D282" s="36"/>
      <c r="E282" s="37"/>
      <c r="F282" s="37"/>
      <c r="G282" s="38"/>
      <c r="I282" s="34"/>
      <c r="J282" s="35"/>
      <c r="K282" s="46"/>
      <c r="L282" s="36"/>
      <c r="M282" s="37"/>
      <c r="N282" s="37"/>
      <c r="O282" s="38"/>
      <c r="P282" s="19">
        <f t="shared" si="2"/>
        <v>0</v>
      </c>
    </row>
    <row r="283" ht="22.5" customHeight="1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19">
        <f t="shared" si="2"/>
        <v>0</v>
      </c>
    </row>
    <row r="284" ht="22.5" customHeight="1">
      <c r="A284" s="34"/>
      <c r="B284" s="35"/>
      <c r="C284" s="46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19">
        <f t="shared" si="2"/>
        <v>0</v>
      </c>
    </row>
    <row r="285" ht="22.5" customHeight="1">
      <c r="A285" s="34"/>
      <c r="B285" s="35"/>
      <c r="C285" s="46"/>
      <c r="D285" s="36"/>
      <c r="E285" s="37"/>
      <c r="F285" s="37"/>
      <c r="G285" s="38"/>
      <c r="I285" s="47"/>
      <c r="J285" s="48"/>
      <c r="K285" s="36"/>
      <c r="L285" s="36"/>
      <c r="M285" s="37"/>
      <c r="N285" s="37"/>
      <c r="O285" s="38"/>
      <c r="P285" s="19">
        <f t="shared" si="2"/>
        <v>0</v>
      </c>
    </row>
    <row r="286" ht="22.5" customHeight="1">
      <c r="A286" s="34"/>
      <c r="B286" s="35"/>
      <c r="C286" s="46"/>
      <c r="D286" s="36"/>
      <c r="E286" s="37"/>
      <c r="F286" s="37"/>
      <c r="G286" s="38"/>
      <c r="I286" s="47"/>
      <c r="J286" s="48"/>
      <c r="K286" s="36"/>
      <c r="L286" s="36"/>
      <c r="M286" s="37"/>
      <c r="N286" s="37"/>
      <c r="O286" s="38"/>
      <c r="P286" s="19">
        <f t="shared" si="2"/>
        <v>0</v>
      </c>
    </row>
    <row r="287" ht="22.5" customHeight="1">
      <c r="A287" s="34"/>
      <c r="B287" s="35"/>
      <c r="C287" s="46"/>
      <c r="D287" s="36"/>
      <c r="E287" s="37"/>
      <c r="F287" s="37"/>
      <c r="G287" s="38"/>
      <c r="I287" s="47"/>
      <c r="J287" s="48"/>
      <c r="K287" s="36"/>
      <c r="L287" s="36"/>
      <c r="M287" s="37"/>
      <c r="N287" s="37"/>
      <c r="O287" s="38"/>
      <c r="P287" s="19">
        <f t="shared" si="2"/>
        <v>0</v>
      </c>
    </row>
    <row r="288" ht="22.5" customHeight="1">
      <c r="A288" s="34"/>
      <c r="B288" s="35"/>
      <c r="C288" s="46"/>
      <c r="D288" s="36"/>
      <c r="E288" s="37"/>
      <c r="F288" s="37"/>
      <c r="G288" s="38"/>
      <c r="I288" s="47"/>
      <c r="J288" s="48"/>
      <c r="K288" s="36"/>
      <c r="L288" s="36"/>
      <c r="M288" s="37"/>
      <c r="N288" s="37"/>
      <c r="O288" s="38"/>
      <c r="P288" s="19">
        <f t="shared" si="2"/>
        <v>0</v>
      </c>
    </row>
    <row r="289" ht="22.5" customHeight="1">
      <c r="A289" s="34"/>
      <c r="B289" s="35"/>
      <c r="C289" s="46"/>
      <c r="D289" s="36"/>
      <c r="E289" s="37"/>
      <c r="F289" s="37"/>
      <c r="G289" s="38"/>
      <c r="I289" s="47"/>
      <c r="J289" s="48"/>
      <c r="K289" s="36"/>
      <c r="L289" s="36"/>
      <c r="M289" s="37"/>
      <c r="N289" s="37"/>
      <c r="O289" s="38"/>
      <c r="P289" s="19">
        <f t="shared" si="2"/>
        <v>0</v>
      </c>
    </row>
    <row r="290" ht="22.5" customHeight="1">
      <c r="A290" s="34"/>
      <c r="B290" s="35"/>
      <c r="C290" s="46"/>
      <c r="D290" s="36"/>
      <c r="E290" s="37"/>
      <c r="F290" s="37"/>
      <c r="G290" s="38"/>
      <c r="I290" s="47"/>
      <c r="J290" s="48"/>
      <c r="K290" s="36"/>
      <c r="L290" s="36"/>
      <c r="M290" s="37"/>
      <c r="N290" s="37"/>
      <c r="O290" s="38"/>
      <c r="P290" s="19">
        <f t="shared" si="2"/>
        <v>0</v>
      </c>
    </row>
    <row r="291" ht="22.5" customHeight="1">
      <c r="A291" s="34"/>
      <c r="B291" s="35"/>
      <c r="C291" s="46"/>
      <c r="D291" s="36"/>
      <c r="E291" s="37"/>
      <c r="F291" s="37"/>
      <c r="G291" s="38"/>
      <c r="I291" s="47"/>
      <c r="J291" s="48"/>
      <c r="K291" s="36"/>
      <c r="L291" s="36"/>
      <c r="M291" s="37"/>
      <c r="N291" s="37"/>
      <c r="O291" s="38"/>
      <c r="P291" s="19">
        <f t="shared" si="2"/>
        <v>0</v>
      </c>
    </row>
    <row r="292" ht="22.5" customHeight="1">
      <c r="A292" s="34"/>
      <c r="B292" s="35"/>
      <c r="C292" s="46"/>
      <c r="D292" s="36"/>
      <c r="E292" s="37"/>
      <c r="F292" s="37"/>
      <c r="G292" s="38"/>
      <c r="I292" s="47"/>
      <c r="J292" s="48"/>
      <c r="K292" s="36"/>
      <c r="L292" s="36"/>
      <c r="M292" s="37"/>
      <c r="N292" s="37"/>
      <c r="O292" s="38"/>
      <c r="P292" s="19">
        <f t="shared" si="2"/>
        <v>0</v>
      </c>
    </row>
    <row r="293" ht="22.5" customHeight="1">
      <c r="A293" s="34"/>
      <c r="B293" s="35"/>
      <c r="C293" s="36"/>
      <c r="D293" s="36"/>
      <c r="E293" s="37"/>
      <c r="F293" s="37"/>
      <c r="G293" s="38"/>
      <c r="I293" s="47"/>
      <c r="J293" s="48"/>
      <c r="K293" s="46"/>
      <c r="L293" s="36"/>
      <c r="M293" s="37"/>
      <c r="N293" s="37"/>
      <c r="O293" s="38"/>
      <c r="P293" s="19">
        <f t="shared" si="2"/>
        <v>0</v>
      </c>
    </row>
    <row r="294" ht="22.5" customHeight="1">
      <c r="A294" s="34"/>
      <c r="B294" s="35"/>
      <c r="C294" s="36"/>
      <c r="D294" s="36"/>
      <c r="E294" s="37"/>
      <c r="F294" s="37"/>
      <c r="G294" s="38"/>
      <c r="I294" s="47"/>
      <c r="J294" s="48"/>
      <c r="K294" s="46"/>
      <c r="L294" s="36"/>
      <c r="M294" s="37"/>
      <c r="N294" s="37"/>
      <c r="O294" s="38"/>
      <c r="P294" s="19">
        <f t="shared" si="2"/>
        <v>0</v>
      </c>
    </row>
    <row r="295" ht="22.5" customHeight="1">
      <c r="A295" s="34"/>
      <c r="B295" s="35"/>
      <c r="C295" s="36"/>
      <c r="D295" s="36"/>
      <c r="E295" s="37"/>
      <c r="F295" s="37"/>
      <c r="G295" s="38"/>
      <c r="I295" s="47"/>
      <c r="J295" s="48"/>
      <c r="K295" s="46"/>
      <c r="L295" s="36"/>
      <c r="M295" s="37"/>
      <c r="N295" s="37"/>
      <c r="O295" s="38"/>
      <c r="P295" s="19">
        <f t="shared" si="2"/>
        <v>0</v>
      </c>
    </row>
    <row r="296" ht="22.5" customHeight="1">
      <c r="A296" s="34"/>
      <c r="B296" s="35"/>
      <c r="C296" s="36"/>
      <c r="D296" s="36"/>
      <c r="E296" s="37"/>
      <c r="F296" s="37"/>
      <c r="G296" s="38"/>
      <c r="I296" s="47"/>
      <c r="J296" s="48"/>
      <c r="K296" s="46"/>
      <c r="L296" s="36"/>
      <c r="M296" s="37"/>
      <c r="N296" s="37"/>
      <c r="O296" s="38"/>
      <c r="P296" s="19">
        <f t="shared" si="2"/>
        <v>0</v>
      </c>
    </row>
    <row r="297" ht="22.5" customHeight="1">
      <c r="A297" s="34"/>
      <c r="B297" s="35"/>
      <c r="C297" s="46"/>
      <c r="D297" s="36"/>
      <c r="E297" s="37"/>
      <c r="F297" s="37"/>
      <c r="G297" s="38"/>
      <c r="I297" s="47"/>
      <c r="J297" s="48"/>
      <c r="K297" s="46"/>
      <c r="L297" s="36"/>
      <c r="M297" s="37"/>
      <c r="N297" s="37"/>
      <c r="O297" s="38"/>
      <c r="P297" s="19">
        <f t="shared" si="2"/>
        <v>0</v>
      </c>
    </row>
    <row r="298" ht="22.5" customHeight="1">
      <c r="A298" s="34"/>
      <c r="B298" s="35"/>
      <c r="C298" s="46"/>
      <c r="D298" s="36"/>
      <c r="E298" s="37"/>
      <c r="F298" s="37"/>
      <c r="G298" s="38"/>
      <c r="I298" s="47"/>
      <c r="J298" s="48"/>
      <c r="K298" s="46"/>
      <c r="L298" s="36"/>
      <c r="M298" s="37"/>
      <c r="N298" s="37"/>
      <c r="O298" s="38"/>
      <c r="P298" s="19">
        <f t="shared" si="2"/>
        <v>0</v>
      </c>
    </row>
    <row r="299" ht="22.5" customHeight="1">
      <c r="A299" s="34"/>
      <c r="B299" s="35"/>
      <c r="C299" s="46"/>
      <c r="D299" s="36"/>
      <c r="E299" s="37"/>
      <c r="F299" s="37"/>
      <c r="G299" s="38"/>
      <c r="I299" s="47"/>
      <c r="J299" s="48"/>
      <c r="K299" s="36"/>
      <c r="L299" s="36"/>
      <c r="M299" s="37"/>
      <c r="N299" s="37"/>
      <c r="O299" s="38"/>
      <c r="P299" s="19">
        <f t="shared" si="2"/>
        <v>0</v>
      </c>
    </row>
    <row r="300" ht="22.5" customHeight="1">
      <c r="A300" s="34"/>
      <c r="B300" s="35"/>
      <c r="C300" s="46"/>
      <c r="D300" s="36"/>
      <c r="E300" s="37"/>
      <c r="F300" s="37"/>
      <c r="G300" s="38"/>
      <c r="I300" s="47"/>
      <c r="J300" s="48"/>
      <c r="K300" s="36"/>
      <c r="L300" s="36"/>
      <c r="M300" s="37"/>
      <c r="N300" s="37"/>
      <c r="O300" s="38"/>
      <c r="P300" s="19">
        <f t="shared" si="2"/>
        <v>0</v>
      </c>
    </row>
    <row r="301" ht="22.5" customHeight="1">
      <c r="A301" s="34"/>
      <c r="B301" s="35"/>
      <c r="C301" s="46"/>
      <c r="D301" s="36"/>
      <c r="E301" s="37"/>
      <c r="F301" s="37"/>
      <c r="G301" s="38"/>
      <c r="I301" s="47"/>
      <c r="J301" s="48"/>
      <c r="K301" s="36"/>
      <c r="L301" s="36"/>
      <c r="M301" s="37"/>
      <c r="N301" s="37"/>
      <c r="O301" s="38"/>
      <c r="P301" s="19">
        <f t="shared" si="2"/>
        <v>0</v>
      </c>
    </row>
    <row r="302" ht="22.5" customHeight="1">
      <c r="A302" s="34"/>
      <c r="B302" s="35"/>
      <c r="C302" s="46"/>
      <c r="D302" s="36"/>
      <c r="E302" s="37"/>
      <c r="F302" s="37"/>
      <c r="G302" s="38"/>
      <c r="I302" s="47"/>
      <c r="J302" s="48"/>
      <c r="K302" s="36"/>
      <c r="L302" s="36"/>
      <c r="M302" s="37"/>
      <c r="N302" s="37"/>
      <c r="O302" s="38"/>
      <c r="P302" s="19">
        <f t="shared" si="2"/>
        <v>0</v>
      </c>
    </row>
    <row r="303" ht="22.5" customHeight="1">
      <c r="A303" s="34"/>
      <c r="B303" s="35"/>
      <c r="C303" s="46"/>
      <c r="D303" s="36"/>
      <c r="E303" s="37"/>
      <c r="F303" s="37"/>
      <c r="G303" s="38"/>
      <c r="I303" s="47"/>
      <c r="J303" s="48"/>
      <c r="K303" s="36"/>
      <c r="L303" s="36"/>
      <c r="M303" s="37"/>
      <c r="N303" s="37"/>
      <c r="O303" s="38"/>
      <c r="P303" s="19">
        <f t="shared" si="2"/>
        <v>0</v>
      </c>
    </row>
    <row r="304" ht="22.5" customHeight="1">
      <c r="A304" s="34"/>
      <c r="B304" s="35"/>
      <c r="C304" s="46"/>
      <c r="D304" s="36"/>
      <c r="E304" s="37"/>
      <c r="F304" s="37"/>
      <c r="G304" s="38"/>
      <c r="I304" s="47"/>
      <c r="J304" s="48"/>
      <c r="K304" s="36"/>
      <c r="L304" s="36"/>
      <c r="M304" s="37"/>
      <c r="N304" s="37"/>
      <c r="O304" s="38"/>
      <c r="P304" s="19">
        <f t="shared" si="2"/>
        <v>0</v>
      </c>
    </row>
    <row r="305" ht="22.5" customHeight="1">
      <c r="A305" s="34"/>
      <c r="B305" s="35"/>
      <c r="C305" s="46"/>
      <c r="D305" s="36"/>
      <c r="E305" s="37"/>
      <c r="F305" s="37"/>
      <c r="G305" s="38"/>
      <c r="I305" s="47"/>
      <c r="J305" s="48"/>
      <c r="K305" s="36"/>
      <c r="L305" s="36"/>
      <c r="M305" s="37"/>
      <c r="N305" s="37"/>
      <c r="O305" s="38"/>
      <c r="P305" s="19">
        <f t="shared" si="2"/>
        <v>0</v>
      </c>
    </row>
    <row r="306" ht="22.5" customHeight="1">
      <c r="A306" s="34"/>
      <c r="B306" s="35"/>
      <c r="C306" s="46"/>
      <c r="D306" s="36"/>
      <c r="E306" s="37"/>
      <c r="F306" s="37"/>
      <c r="G306" s="38"/>
      <c r="I306" s="47"/>
      <c r="J306" s="48"/>
      <c r="K306" s="36"/>
      <c r="L306" s="36"/>
      <c r="M306" s="37"/>
      <c r="N306" s="37"/>
      <c r="O306" s="38"/>
      <c r="P306" s="19">
        <f t="shared" si="2"/>
        <v>0</v>
      </c>
    </row>
    <row r="307" ht="22.5" customHeight="1">
      <c r="A307" s="34"/>
      <c r="B307" s="35"/>
      <c r="C307" s="46"/>
      <c r="D307" s="36"/>
      <c r="E307" s="37"/>
      <c r="F307" s="37"/>
      <c r="G307" s="38"/>
      <c r="I307" s="47"/>
      <c r="J307" s="48"/>
      <c r="K307" s="36"/>
      <c r="L307" s="36"/>
      <c r="M307" s="37"/>
      <c r="N307" s="37"/>
      <c r="O307" s="38"/>
      <c r="P307" s="19">
        <f t="shared" si="2"/>
        <v>0</v>
      </c>
    </row>
    <row r="308" ht="22.5" customHeight="1">
      <c r="A308" s="34"/>
      <c r="B308" s="35"/>
      <c r="C308" s="46"/>
      <c r="D308" s="36"/>
      <c r="E308" s="37"/>
      <c r="F308" s="37"/>
      <c r="G308" s="38"/>
      <c r="I308" s="47"/>
      <c r="J308" s="48"/>
      <c r="K308" s="36"/>
      <c r="L308" s="36"/>
      <c r="M308" s="37"/>
      <c r="N308" s="37"/>
      <c r="O308" s="38"/>
      <c r="P308" s="19">
        <f t="shared" si="2"/>
        <v>0</v>
      </c>
    </row>
    <row r="309" ht="22.5" customHeight="1">
      <c r="A309" s="34"/>
      <c r="B309" s="35"/>
      <c r="C309" s="46"/>
      <c r="D309" s="36"/>
      <c r="E309" s="37"/>
      <c r="F309" s="37"/>
      <c r="G309" s="38"/>
      <c r="I309" s="47"/>
      <c r="J309" s="48"/>
      <c r="K309" s="36"/>
      <c r="L309" s="36"/>
      <c r="M309" s="37"/>
      <c r="N309" s="37"/>
      <c r="O309" s="38"/>
      <c r="P309" s="19">
        <f t="shared" si="2"/>
        <v>0</v>
      </c>
    </row>
    <row r="310" ht="22.5" customHeight="1">
      <c r="A310" s="34"/>
      <c r="B310" s="35"/>
      <c r="C310" s="46"/>
      <c r="D310" s="36"/>
      <c r="E310" s="37"/>
      <c r="F310" s="37"/>
      <c r="G310" s="38"/>
      <c r="I310" s="47"/>
      <c r="J310" s="48"/>
      <c r="K310" s="36"/>
      <c r="L310" s="36"/>
      <c r="M310" s="37"/>
      <c r="N310" s="37"/>
      <c r="O310" s="38"/>
      <c r="P310" s="19">
        <f t="shared" si="2"/>
        <v>0</v>
      </c>
    </row>
    <row r="311" ht="22.5" customHeight="1">
      <c r="A311" s="34"/>
      <c r="B311" s="35"/>
      <c r="C311" s="46"/>
      <c r="D311" s="36"/>
      <c r="E311" s="37"/>
      <c r="F311" s="37"/>
      <c r="G311" s="38"/>
      <c r="I311" s="47"/>
      <c r="J311" s="48"/>
      <c r="K311" s="36"/>
      <c r="L311" s="36"/>
      <c r="M311" s="37"/>
      <c r="N311" s="37"/>
      <c r="O311" s="38"/>
      <c r="P311" s="19">
        <f t="shared" si="2"/>
        <v>0</v>
      </c>
    </row>
    <row r="312" ht="22.5" customHeight="1">
      <c r="A312" s="34"/>
      <c r="B312" s="35"/>
      <c r="C312" s="46"/>
      <c r="D312" s="36"/>
      <c r="E312" s="37"/>
      <c r="F312" s="37"/>
      <c r="G312" s="38"/>
      <c r="I312" s="47"/>
      <c r="J312" s="48"/>
      <c r="K312" s="36"/>
      <c r="L312" s="36"/>
      <c r="M312" s="37"/>
      <c r="N312" s="37"/>
      <c r="O312" s="38"/>
      <c r="P312" s="19">
        <f t="shared" si="2"/>
        <v>0</v>
      </c>
    </row>
    <row r="313" ht="22.5" customHeight="1">
      <c r="A313" s="34"/>
      <c r="B313" s="35"/>
      <c r="C313" s="46"/>
      <c r="D313" s="36"/>
      <c r="E313" s="37"/>
      <c r="F313" s="37"/>
      <c r="G313" s="38"/>
      <c r="I313" s="47"/>
      <c r="J313" s="48"/>
      <c r="K313" s="46"/>
      <c r="L313" s="36"/>
      <c r="M313" s="37"/>
      <c r="N313" s="37"/>
      <c r="O313" s="38"/>
      <c r="P313" s="19">
        <f t="shared" si="2"/>
        <v>0</v>
      </c>
    </row>
    <row r="314" ht="22.5" customHeight="1">
      <c r="A314" s="34"/>
      <c r="B314" s="35"/>
      <c r="C314" s="46"/>
      <c r="D314" s="36"/>
      <c r="E314" s="37"/>
      <c r="F314" s="37"/>
      <c r="G314" s="38"/>
      <c r="I314" s="47"/>
      <c r="J314" s="48"/>
      <c r="K314" s="46"/>
      <c r="L314" s="36"/>
      <c r="M314" s="37"/>
      <c r="N314" s="37"/>
      <c r="O314" s="38"/>
      <c r="P314" s="19">
        <f t="shared" si="2"/>
        <v>0</v>
      </c>
    </row>
    <row r="315" ht="22.5" customHeight="1">
      <c r="A315" s="34"/>
      <c r="B315" s="35"/>
      <c r="C315" s="46"/>
      <c r="D315" s="36"/>
      <c r="E315" s="37"/>
      <c r="F315" s="37"/>
      <c r="G315" s="38"/>
      <c r="I315" s="47"/>
      <c r="J315" s="48"/>
      <c r="K315" s="46"/>
      <c r="L315" s="36"/>
      <c r="M315" s="37"/>
      <c r="N315" s="37"/>
      <c r="O315" s="38"/>
      <c r="P315" s="19">
        <f t="shared" si="2"/>
        <v>0</v>
      </c>
    </row>
    <row r="316" ht="22.5" customHeight="1">
      <c r="A316" s="34"/>
      <c r="B316" s="35"/>
      <c r="C316" s="46"/>
      <c r="D316" s="36"/>
      <c r="E316" s="37"/>
      <c r="F316" s="37"/>
      <c r="G316" s="38"/>
      <c r="I316" s="47"/>
      <c r="J316" s="48"/>
      <c r="K316" s="46"/>
      <c r="L316" s="36"/>
      <c r="M316" s="37"/>
      <c r="N316" s="37"/>
      <c r="O316" s="38"/>
      <c r="P316" s="19">
        <f t="shared" si="2"/>
        <v>0</v>
      </c>
    </row>
    <row r="317" ht="22.5" customHeight="1">
      <c r="A317" s="34"/>
      <c r="B317" s="35"/>
      <c r="C317" s="46"/>
      <c r="D317" s="36"/>
      <c r="E317" s="37"/>
      <c r="F317" s="37"/>
      <c r="G317" s="38"/>
      <c r="I317" s="47"/>
      <c r="J317" s="48"/>
      <c r="K317" s="36"/>
      <c r="L317" s="36"/>
      <c r="M317" s="37"/>
      <c r="N317" s="37"/>
      <c r="O317" s="38"/>
      <c r="P317" s="19">
        <f t="shared" si="2"/>
        <v>0</v>
      </c>
    </row>
    <row r="318" ht="22.5" customHeight="1">
      <c r="A318" s="34"/>
      <c r="B318" s="35"/>
      <c r="C318" s="36"/>
      <c r="D318" s="36"/>
      <c r="E318" s="37"/>
      <c r="F318" s="37"/>
      <c r="G318" s="38"/>
      <c r="I318" s="20"/>
      <c r="J318" s="21"/>
      <c r="K318" s="31"/>
      <c r="L318" s="22"/>
      <c r="M318" s="2"/>
      <c r="N318" s="23"/>
      <c r="O318" s="24"/>
      <c r="P318" s="19">
        <f t="shared" si="2"/>
        <v>0</v>
      </c>
    </row>
    <row r="319" ht="22.5" customHeight="1">
      <c r="A319" s="34"/>
      <c r="B319" s="35"/>
      <c r="C319" s="36"/>
      <c r="D319" s="36"/>
      <c r="E319" s="37"/>
      <c r="F319" s="37"/>
      <c r="G319" s="38"/>
      <c r="I319" s="20"/>
      <c r="J319" s="21"/>
      <c r="K319" s="31"/>
      <c r="L319" s="22"/>
      <c r="M319" s="2"/>
      <c r="N319" s="23"/>
      <c r="O319" s="24"/>
      <c r="P319" s="19">
        <f t="shared" si="2"/>
        <v>0</v>
      </c>
    </row>
    <row r="320" ht="22.5" customHeight="1">
      <c r="A320" s="47"/>
      <c r="B320" s="48"/>
      <c r="C320" s="36"/>
      <c r="D320" s="36"/>
      <c r="E320" s="37"/>
      <c r="F320" s="37"/>
      <c r="G320" s="38"/>
      <c r="I320" s="20"/>
      <c r="J320" s="21"/>
      <c r="K320" s="31"/>
      <c r="L320" s="22"/>
      <c r="M320" s="2"/>
      <c r="N320" s="23"/>
      <c r="O320" s="24"/>
      <c r="P320" s="19">
        <f t="shared" si="2"/>
        <v>0</v>
      </c>
    </row>
    <row r="321" ht="22.5" customHeight="1">
      <c r="A321" s="47"/>
      <c r="B321" s="48"/>
      <c r="C321" s="36"/>
      <c r="D321" s="36"/>
      <c r="E321" s="37"/>
      <c r="F321" s="37"/>
      <c r="G321" s="38"/>
      <c r="I321" s="20"/>
      <c r="J321" s="21"/>
      <c r="K321" s="31"/>
      <c r="L321" s="22"/>
      <c r="M321" s="2"/>
      <c r="N321" s="23"/>
      <c r="O321" s="24"/>
      <c r="P321" s="19">
        <f t="shared" si="2"/>
        <v>0</v>
      </c>
    </row>
    <row r="322" ht="22.5" customHeight="1">
      <c r="A322" s="47"/>
      <c r="B322" s="48"/>
      <c r="C322" s="36"/>
      <c r="D322" s="36"/>
      <c r="E322" s="37"/>
      <c r="F322" s="37"/>
      <c r="G322" s="38"/>
      <c r="I322" s="20"/>
      <c r="J322" s="21"/>
      <c r="K322" s="31"/>
      <c r="L322" s="22"/>
      <c r="M322" s="2"/>
      <c r="N322" s="23"/>
      <c r="O322" s="24"/>
      <c r="P322" s="19">
        <f t="shared" si="2"/>
        <v>0</v>
      </c>
    </row>
    <row r="323" ht="22.5" customHeight="1">
      <c r="A323" s="47"/>
      <c r="B323" s="48"/>
      <c r="C323" s="36"/>
      <c r="D323" s="36"/>
      <c r="E323" s="37"/>
      <c r="F323" s="37"/>
      <c r="G323" s="38"/>
      <c r="I323" s="20"/>
      <c r="J323" s="21"/>
      <c r="K323" s="22"/>
      <c r="L323" s="22"/>
      <c r="M323" s="2"/>
      <c r="N323" s="23"/>
      <c r="O323" s="24"/>
      <c r="P323" s="19">
        <f t="shared" si="2"/>
        <v>0</v>
      </c>
    </row>
    <row r="324" ht="22.5" customHeight="1">
      <c r="A324" s="47"/>
      <c r="B324" s="48"/>
      <c r="C324" s="36"/>
      <c r="D324" s="36"/>
      <c r="E324" s="37"/>
      <c r="F324" s="37"/>
      <c r="G324" s="38"/>
      <c r="I324" s="20"/>
      <c r="J324" s="21"/>
      <c r="K324" s="31"/>
      <c r="L324" s="22"/>
      <c r="M324" s="2"/>
      <c r="N324" s="23"/>
      <c r="O324" s="24"/>
      <c r="P324" s="19">
        <f t="shared" si="2"/>
        <v>0</v>
      </c>
    </row>
    <row r="325" ht="22.5" customHeight="1">
      <c r="A325" s="47"/>
      <c r="B325" s="48"/>
      <c r="C325" s="36"/>
      <c r="D325" s="36"/>
      <c r="E325" s="37"/>
      <c r="F325" s="37"/>
      <c r="G325" s="38"/>
      <c r="I325" s="20"/>
      <c r="J325" s="21"/>
      <c r="K325" s="22"/>
      <c r="L325" s="22"/>
      <c r="M325" s="2"/>
      <c r="N325" s="23"/>
      <c r="O325" s="24"/>
      <c r="P325" s="19">
        <f t="shared" si="2"/>
        <v>0</v>
      </c>
    </row>
    <row r="326" ht="22.5" customHeight="1">
      <c r="A326" s="47"/>
      <c r="B326" s="48"/>
      <c r="C326" s="36"/>
      <c r="D326" s="36"/>
      <c r="E326" s="37"/>
      <c r="F326" s="37"/>
      <c r="G326" s="38"/>
      <c r="I326" s="20"/>
      <c r="J326" s="21"/>
      <c r="K326" s="31"/>
      <c r="L326" s="22"/>
      <c r="M326" s="2"/>
      <c r="N326" s="23"/>
      <c r="O326" s="24"/>
      <c r="P326" s="19">
        <f t="shared" si="2"/>
        <v>0</v>
      </c>
    </row>
    <row r="327" ht="22.5" customHeight="1">
      <c r="A327" s="47"/>
      <c r="B327" s="48"/>
      <c r="C327" s="36"/>
      <c r="D327" s="36"/>
      <c r="E327" s="37"/>
      <c r="F327" s="37"/>
      <c r="G327" s="38"/>
      <c r="I327" s="20"/>
      <c r="J327" s="21"/>
      <c r="K327" s="31"/>
      <c r="L327" s="22"/>
      <c r="M327" s="2"/>
      <c r="N327" s="23"/>
      <c r="O327" s="24"/>
      <c r="P327" s="19">
        <f t="shared" si="2"/>
        <v>0</v>
      </c>
    </row>
    <row r="328" ht="22.5" customHeight="1">
      <c r="A328" s="47"/>
      <c r="B328" s="48"/>
      <c r="C328" s="46"/>
      <c r="D328" s="36"/>
      <c r="E328" s="37"/>
      <c r="F328" s="37"/>
      <c r="G328" s="38"/>
      <c r="I328" s="20"/>
      <c r="J328" s="21"/>
      <c r="K328" s="22"/>
      <c r="L328" s="22"/>
      <c r="M328" s="2"/>
      <c r="N328" s="23"/>
      <c r="O328" s="24"/>
      <c r="P328" s="19">
        <f t="shared" si="2"/>
        <v>0</v>
      </c>
    </row>
    <row r="329" ht="22.5" customHeight="1">
      <c r="A329" s="47"/>
      <c r="B329" s="48"/>
      <c r="C329" s="46"/>
      <c r="D329" s="36"/>
      <c r="E329" s="37"/>
      <c r="F329" s="37"/>
      <c r="G329" s="38"/>
      <c r="I329" s="20"/>
      <c r="J329" s="21"/>
      <c r="K329" s="31"/>
      <c r="L329" s="22"/>
      <c r="M329" s="2"/>
      <c r="N329" s="23"/>
      <c r="O329" s="24"/>
      <c r="P329" s="19">
        <f t="shared" si="2"/>
        <v>0</v>
      </c>
    </row>
    <row r="330" ht="22.5" customHeight="1">
      <c r="A330" s="47"/>
      <c r="B330" s="48"/>
      <c r="C330" s="46"/>
      <c r="D330" s="36"/>
      <c r="E330" s="37"/>
      <c r="F330" s="37"/>
      <c r="G330" s="38"/>
      <c r="I330" s="20"/>
      <c r="J330" s="21"/>
      <c r="K330" s="22"/>
      <c r="L330" s="22"/>
      <c r="M330" s="2"/>
      <c r="N330" s="23"/>
      <c r="O330" s="24"/>
      <c r="P330" s="19">
        <f t="shared" si="2"/>
        <v>0</v>
      </c>
    </row>
    <row r="331" ht="22.5" customHeight="1">
      <c r="A331" s="47"/>
      <c r="B331" s="48"/>
      <c r="C331" s="46"/>
      <c r="D331" s="36"/>
      <c r="E331" s="37"/>
      <c r="F331" s="37"/>
      <c r="G331" s="38"/>
      <c r="I331" s="20"/>
      <c r="J331" s="21"/>
      <c r="K331" s="31"/>
      <c r="L331" s="22"/>
      <c r="M331" s="2"/>
      <c r="N331" s="23"/>
      <c r="O331" s="24"/>
      <c r="P331" s="19">
        <f t="shared" si="2"/>
        <v>0</v>
      </c>
    </row>
    <row r="332" ht="22.5" customHeight="1">
      <c r="A332" s="47"/>
      <c r="B332" s="48"/>
      <c r="C332" s="46"/>
      <c r="D332" s="36"/>
      <c r="E332" s="37"/>
      <c r="F332" s="37"/>
      <c r="G332" s="38"/>
      <c r="I332" s="20"/>
      <c r="J332" s="21"/>
      <c r="K332" s="31"/>
      <c r="L332" s="22"/>
      <c r="M332" s="2"/>
      <c r="N332" s="23"/>
      <c r="O332" s="24"/>
      <c r="P332" s="19">
        <f t="shared" si="2"/>
        <v>0</v>
      </c>
    </row>
    <row r="333" ht="22.5" customHeight="1">
      <c r="A333" s="47"/>
      <c r="B333" s="48"/>
      <c r="C333" s="46"/>
      <c r="D333" s="36"/>
      <c r="E333" s="37"/>
      <c r="F333" s="37"/>
      <c r="G333" s="38"/>
      <c r="I333" s="20"/>
      <c r="J333" s="21"/>
      <c r="K333" s="31"/>
      <c r="L333" s="22"/>
      <c r="M333" s="2"/>
      <c r="N333" s="23"/>
      <c r="O333" s="24"/>
      <c r="P333" s="19">
        <f t="shared" si="2"/>
        <v>0</v>
      </c>
    </row>
    <row r="334" ht="22.5" customHeight="1">
      <c r="A334" s="47"/>
      <c r="B334" s="48"/>
      <c r="C334" s="36"/>
      <c r="D334" s="36"/>
      <c r="E334" s="37"/>
      <c r="F334" s="37"/>
      <c r="G334" s="38"/>
      <c r="I334" s="20"/>
      <c r="J334" s="21"/>
      <c r="K334" s="31"/>
      <c r="L334" s="22"/>
      <c r="M334" s="2"/>
      <c r="N334" s="23"/>
      <c r="O334" s="24"/>
      <c r="P334" s="19">
        <f t="shared" si="2"/>
        <v>0</v>
      </c>
    </row>
    <row r="335" ht="22.5" customHeight="1">
      <c r="A335" s="47"/>
      <c r="B335" s="48"/>
      <c r="C335" s="36"/>
      <c r="D335" s="36"/>
      <c r="E335" s="37"/>
      <c r="F335" s="37"/>
      <c r="G335" s="38"/>
      <c r="I335" s="20"/>
      <c r="J335" s="21"/>
      <c r="K335" s="22"/>
      <c r="L335" s="22"/>
      <c r="M335" s="2"/>
      <c r="N335" s="23"/>
      <c r="O335" s="24"/>
      <c r="P335" s="19">
        <f t="shared" si="2"/>
        <v>0</v>
      </c>
    </row>
    <row r="336" ht="22.5" customHeight="1">
      <c r="A336" s="47"/>
      <c r="B336" s="48"/>
      <c r="C336" s="36"/>
      <c r="D336" s="36"/>
      <c r="E336" s="37"/>
      <c r="F336" s="37"/>
      <c r="G336" s="38"/>
      <c r="I336" s="20"/>
      <c r="J336" s="21"/>
      <c r="K336" s="22"/>
      <c r="L336" s="22"/>
      <c r="M336" s="2"/>
      <c r="N336" s="23"/>
      <c r="O336" s="24"/>
      <c r="P336" s="19">
        <f t="shared" si="2"/>
        <v>0</v>
      </c>
    </row>
    <row r="337" ht="22.5" customHeight="1">
      <c r="A337" s="47"/>
      <c r="B337" s="48"/>
      <c r="C337" s="36"/>
      <c r="D337" s="36"/>
      <c r="E337" s="37"/>
      <c r="F337" s="37"/>
      <c r="G337" s="38"/>
      <c r="I337" s="20"/>
      <c r="J337" s="21"/>
      <c r="K337" s="31"/>
      <c r="L337" s="22"/>
      <c r="M337" s="2"/>
      <c r="N337" s="23"/>
      <c r="O337" s="24"/>
      <c r="P337" s="19">
        <f t="shared" si="2"/>
        <v>0</v>
      </c>
    </row>
    <row r="338" ht="22.5" customHeight="1">
      <c r="A338" s="47"/>
      <c r="B338" s="48"/>
      <c r="C338" s="36"/>
      <c r="D338" s="36"/>
      <c r="E338" s="37"/>
      <c r="F338" s="37"/>
      <c r="G338" s="38"/>
      <c r="I338" s="20"/>
      <c r="J338" s="21"/>
      <c r="K338" s="31"/>
      <c r="L338" s="22"/>
      <c r="M338" s="2"/>
      <c r="N338" s="23"/>
      <c r="O338" s="24"/>
      <c r="P338" s="19">
        <f t="shared" si="2"/>
        <v>0</v>
      </c>
    </row>
    <row r="339" ht="22.5" customHeight="1">
      <c r="A339" s="47"/>
      <c r="B339" s="48"/>
      <c r="C339" s="36"/>
      <c r="D339" s="36"/>
      <c r="E339" s="37"/>
      <c r="F339" s="37"/>
      <c r="G339" s="38"/>
      <c r="I339" s="20"/>
      <c r="J339" s="21"/>
      <c r="K339" s="31"/>
      <c r="L339" s="22"/>
      <c r="M339" s="2"/>
      <c r="N339" s="23"/>
      <c r="O339" s="24"/>
      <c r="P339" s="19">
        <f t="shared" si="2"/>
        <v>0</v>
      </c>
    </row>
    <row r="340" ht="22.5" customHeight="1">
      <c r="A340" s="47"/>
      <c r="B340" s="48"/>
      <c r="C340" s="36"/>
      <c r="D340" s="36"/>
      <c r="E340" s="37"/>
      <c r="F340" s="37"/>
      <c r="G340" s="38"/>
      <c r="I340" s="20"/>
      <c r="J340" s="21"/>
      <c r="K340" s="31"/>
      <c r="L340" s="22"/>
      <c r="M340" s="2"/>
      <c r="N340" s="23"/>
      <c r="O340" s="24"/>
      <c r="P340" s="19">
        <f t="shared" si="2"/>
        <v>0</v>
      </c>
    </row>
    <row r="341" ht="22.5" customHeight="1">
      <c r="A341" s="47"/>
      <c r="B341" s="48"/>
      <c r="C341" s="36"/>
      <c r="D341" s="36"/>
      <c r="E341" s="37"/>
      <c r="F341" s="37"/>
      <c r="G341" s="38"/>
      <c r="I341" s="20"/>
      <c r="J341" s="21"/>
      <c r="K341" s="31"/>
      <c r="L341" s="22"/>
      <c r="M341" s="2"/>
      <c r="N341" s="23"/>
      <c r="O341" s="24"/>
      <c r="P341" s="19">
        <f t="shared" si="2"/>
        <v>0</v>
      </c>
    </row>
    <row r="342" ht="22.5" customHeight="1">
      <c r="A342" s="47"/>
      <c r="B342" s="48"/>
      <c r="C342" s="36"/>
      <c r="D342" s="36"/>
      <c r="E342" s="37"/>
      <c r="F342" s="37"/>
      <c r="G342" s="38"/>
      <c r="I342" s="20"/>
      <c r="J342" s="21"/>
      <c r="K342" s="22"/>
      <c r="L342" s="22"/>
      <c r="M342" s="2"/>
      <c r="N342" s="23"/>
      <c r="O342" s="24"/>
      <c r="P342" s="19">
        <f t="shared" si="2"/>
        <v>0</v>
      </c>
    </row>
    <row r="343" ht="22.5" customHeight="1">
      <c r="A343" s="47"/>
      <c r="B343" s="48"/>
      <c r="C343" s="36"/>
      <c r="D343" s="36"/>
      <c r="E343" s="37"/>
      <c r="F343" s="37"/>
      <c r="G343" s="38"/>
      <c r="I343" s="20"/>
      <c r="J343" s="21"/>
      <c r="K343" s="22"/>
      <c r="L343" s="22"/>
      <c r="M343" s="2"/>
      <c r="N343" s="23"/>
      <c r="O343" s="24"/>
      <c r="P343" s="19">
        <f t="shared" si="2"/>
        <v>0</v>
      </c>
    </row>
    <row r="344" ht="22.5" customHeight="1">
      <c r="A344" s="47"/>
      <c r="B344" s="48"/>
      <c r="C344" s="36"/>
      <c r="D344" s="36"/>
      <c r="E344" s="37"/>
      <c r="F344" s="37"/>
      <c r="G344" s="38"/>
      <c r="I344" s="20"/>
      <c r="J344" s="21"/>
      <c r="K344" s="31"/>
      <c r="L344" s="22"/>
      <c r="M344" s="2"/>
      <c r="N344" s="23"/>
      <c r="O344" s="24"/>
      <c r="P344" s="19">
        <f t="shared" si="2"/>
        <v>0</v>
      </c>
    </row>
    <row r="345" ht="22.5" customHeight="1">
      <c r="A345" s="47"/>
      <c r="B345" s="48"/>
      <c r="C345" s="36"/>
      <c r="D345" s="36"/>
      <c r="E345" s="37"/>
      <c r="F345" s="37"/>
      <c r="G345" s="38"/>
      <c r="I345" s="20"/>
      <c r="J345" s="21"/>
      <c r="K345" s="31"/>
      <c r="L345" s="22"/>
      <c r="M345" s="2"/>
      <c r="N345" s="23"/>
      <c r="O345" s="24"/>
      <c r="P345" s="19">
        <f t="shared" si="2"/>
        <v>0</v>
      </c>
    </row>
    <row r="346" ht="22.5" customHeight="1">
      <c r="A346" s="47"/>
      <c r="B346" s="48"/>
      <c r="C346" s="36"/>
      <c r="D346" s="36"/>
      <c r="E346" s="37"/>
      <c r="F346" s="37"/>
      <c r="G346" s="38"/>
      <c r="I346" s="20"/>
      <c r="J346" s="21"/>
      <c r="K346" s="22"/>
      <c r="L346" s="22"/>
      <c r="M346" s="2"/>
      <c r="N346" s="23"/>
      <c r="O346" s="24"/>
      <c r="P346" s="19">
        <f t="shared" si="2"/>
        <v>0</v>
      </c>
    </row>
    <row r="347" ht="22.5" customHeight="1">
      <c r="A347" s="47"/>
      <c r="B347" s="48"/>
      <c r="C347" s="36"/>
      <c r="D347" s="36"/>
      <c r="E347" s="37"/>
      <c r="F347" s="37"/>
      <c r="G347" s="38"/>
      <c r="I347" s="20"/>
      <c r="J347" s="21"/>
      <c r="K347" s="31"/>
      <c r="L347" s="22"/>
      <c r="M347" s="2"/>
      <c r="N347" s="23"/>
      <c r="O347" s="24"/>
      <c r="P347" s="19">
        <f t="shared" si="2"/>
        <v>0</v>
      </c>
    </row>
    <row r="348" ht="22.5" customHeight="1">
      <c r="A348" s="47"/>
      <c r="B348" s="48"/>
      <c r="C348" s="46"/>
      <c r="D348" s="36"/>
      <c r="E348" s="37"/>
      <c r="F348" s="37"/>
      <c r="G348" s="38"/>
      <c r="I348" s="20"/>
      <c r="J348" s="21"/>
      <c r="K348" s="31"/>
      <c r="L348" s="22"/>
      <c r="M348" s="2"/>
      <c r="N348" s="23"/>
      <c r="O348" s="24"/>
      <c r="P348" s="19">
        <f t="shared" si="2"/>
        <v>0</v>
      </c>
    </row>
    <row r="349" ht="22.5" customHeight="1">
      <c r="A349" s="47"/>
      <c r="B349" s="48"/>
      <c r="C349" s="46"/>
      <c r="D349" s="36"/>
      <c r="E349" s="37"/>
      <c r="F349" s="37"/>
      <c r="G349" s="38"/>
      <c r="I349" s="20"/>
      <c r="J349" s="21"/>
      <c r="K349" s="22"/>
      <c r="L349" s="22"/>
      <c r="M349" s="2"/>
      <c r="N349" s="23"/>
      <c r="O349" s="24"/>
      <c r="P349" s="19">
        <f t="shared" si="2"/>
        <v>0</v>
      </c>
    </row>
    <row r="350" ht="22.5" customHeight="1">
      <c r="A350" s="47"/>
      <c r="B350" s="48"/>
      <c r="C350" s="46"/>
      <c r="D350" s="36"/>
      <c r="E350" s="37"/>
      <c r="F350" s="37"/>
      <c r="G350" s="38"/>
      <c r="I350" s="20"/>
      <c r="J350" s="21"/>
      <c r="K350" s="31"/>
      <c r="L350" s="22"/>
      <c r="M350" s="2"/>
      <c r="N350" s="23"/>
      <c r="O350" s="24"/>
      <c r="P350" s="19">
        <f t="shared" si="2"/>
        <v>0</v>
      </c>
    </row>
    <row r="351" ht="22.5" customHeight="1">
      <c r="A351" s="47"/>
      <c r="B351" s="48"/>
      <c r="C351" s="46"/>
      <c r="D351" s="36"/>
      <c r="E351" s="37"/>
      <c r="F351" s="37"/>
      <c r="G351" s="38"/>
      <c r="I351" s="20"/>
      <c r="J351" s="21"/>
      <c r="K351" s="22"/>
      <c r="L351" s="22"/>
      <c r="M351" s="2"/>
      <c r="N351" s="23"/>
      <c r="O351" s="24"/>
      <c r="P351" s="19">
        <f t="shared" si="2"/>
        <v>0</v>
      </c>
    </row>
    <row r="352" ht="22.5" customHeight="1">
      <c r="A352" s="47"/>
      <c r="B352" s="48"/>
      <c r="C352" s="36"/>
      <c r="D352" s="36"/>
      <c r="E352" s="37"/>
      <c r="F352" s="37"/>
      <c r="G352" s="38"/>
      <c r="I352" s="20"/>
      <c r="J352" s="21"/>
      <c r="K352" s="22"/>
      <c r="L352" s="22"/>
      <c r="M352" s="2"/>
      <c r="N352" s="23"/>
      <c r="O352" s="24"/>
      <c r="P352" s="19">
        <f t="shared" si="2"/>
        <v>0</v>
      </c>
    </row>
    <row r="353" ht="22.5" customHeight="1">
      <c r="A353" s="20"/>
      <c r="B353" s="21"/>
      <c r="C353" s="31"/>
      <c r="D353" s="22"/>
      <c r="E353" s="2"/>
      <c r="F353" s="23"/>
      <c r="G353" s="24"/>
      <c r="I353" s="20"/>
      <c r="J353" s="21"/>
      <c r="K353" s="31"/>
      <c r="L353" s="22"/>
      <c r="M353" s="2"/>
      <c r="N353" s="23"/>
      <c r="O353" s="24"/>
      <c r="P353" s="19">
        <f t="shared" si="2"/>
        <v>0</v>
      </c>
    </row>
    <row r="354" ht="22.5" customHeight="1">
      <c r="A354" s="20"/>
      <c r="B354" s="21"/>
      <c r="C354" s="31"/>
      <c r="D354" s="22"/>
      <c r="E354" s="2"/>
      <c r="F354" s="23"/>
      <c r="G354" s="24"/>
      <c r="I354" s="20"/>
      <c r="J354" s="21"/>
      <c r="K354" s="31"/>
      <c r="L354" s="22"/>
      <c r="M354" s="2"/>
      <c r="N354" s="23"/>
      <c r="O354" s="24"/>
      <c r="P354" s="19">
        <f t="shared" si="2"/>
        <v>0</v>
      </c>
    </row>
    <row r="355" ht="22.5" customHeight="1">
      <c r="A355" s="20"/>
      <c r="B355" s="21"/>
      <c r="C355" s="22"/>
      <c r="D355" s="22"/>
      <c r="E355" s="2"/>
      <c r="F355" s="23"/>
      <c r="G355" s="24"/>
      <c r="I355" s="20"/>
      <c r="J355" s="21"/>
      <c r="K355" s="31"/>
      <c r="L355" s="22"/>
      <c r="M355" s="2"/>
      <c r="N355" s="23"/>
      <c r="O355" s="24"/>
      <c r="P355" s="19">
        <f t="shared" si="2"/>
        <v>0</v>
      </c>
    </row>
    <row r="356" ht="22.5" customHeight="1">
      <c r="A356" s="20"/>
      <c r="B356" s="21"/>
      <c r="C356" s="22"/>
      <c r="D356" s="22"/>
      <c r="E356" s="2"/>
      <c r="F356" s="23"/>
      <c r="G356" s="24"/>
      <c r="I356" s="20"/>
      <c r="J356" s="21"/>
      <c r="K356" s="31"/>
      <c r="L356" s="22"/>
      <c r="M356" s="2"/>
      <c r="N356" s="23"/>
      <c r="O356" s="24"/>
      <c r="P356" s="19">
        <f t="shared" si="2"/>
        <v>0</v>
      </c>
    </row>
    <row r="357" ht="22.5" customHeight="1">
      <c r="A357" s="20"/>
      <c r="B357" s="21"/>
      <c r="C357" s="22"/>
      <c r="D357" s="22"/>
      <c r="E357" s="2"/>
      <c r="F357" s="23"/>
      <c r="G357" s="24"/>
      <c r="I357" s="20"/>
      <c r="J357" s="21"/>
      <c r="K357" s="31"/>
      <c r="L357" s="22"/>
      <c r="M357" s="2"/>
      <c r="N357" s="23"/>
      <c r="O357" s="24"/>
      <c r="P357" s="19">
        <f t="shared" si="2"/>
        <v>0</v>
      </c>
    </row>
    <row r="358" ht="22.5" customHeight="1">
      <c r="A358" s="20"/>
      <c r="B358" s="21"/>
      <c r="C358" s="31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19">
        <f t="shared" si="2"/>
        <v>0</v>
      </c>
    </row>
    <row r="359" ht="22.5" customHeight="1">
      <c r="A359" s="20"/>
      <c r="B359" s="21"/>
      <c r="C359" s="31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19">
        <f t="shared" si="2"/>
        <v>0</v>
      </c>
    </row>
    <row r="360" ht="22.5" customHeight="1">
      <c r="A360" s="20"/>
      <c r="B360" s="21"/>
      <c r="C360" s="22"/>
      <c r="D360" s="22"/>
      <c r="E360" s="2"/>
      <c r="F360" s="23"/>
      <c r="G360" s="24"/>
      <c r="I360" s="20"/>
      <c r="J360" s="21"/>
      <c r="K360" s="31"/>
      <c r="L360" s="22"/>
      <c r="M360" s="2"/>
      <c r="N360" s="23"/>
      <c r="O360" s="24"/>
      <c r="P360" s="19">
        <f t="shared" si="2"/>
        <v>0</v>
      </c>
    </row>
    <row r="361" ht="22.5" customHeight="1">
      <c r="A361" s="20"/>
      <c r="B361" s="21"/>
      <c r="C361" s="22"/>
      <c r="D361" s="22"/>
      <c r="E361" s="2"/>
      <c r="F361" s="23"/>
      <c r="G361" s="24"/>
      <c r="I361" s="20"/>
      <c r="J361" s="21"/>
      <c r="K361" s="31"/>
      <c r="L361" s="22"/>
      <c r="M361" s="2"/>
      <c r="N361" s="23"/>
      <c r="O361" s="24"/>
      <c r="P361" s="19">
        <f t="shared" si="2"/>
        <v>0</v>
      </c>
    </row>
    <row r="362" ht="22.5" customHeight="1">
      <c r="A362" s="20"/>
      <c r="B362" s="21"/>
      <c r="C362" s="22"/>
      <c r="D362" s="22"/>
      <c r="E362" s="2"/>
      <c r="F362" s="23"/>
      <c r="G362" s="24"/>
      <c r="I362" s="20"/>
      <c r="J362" s="21"/>
      <c r="K362" s="31"/>
      <c r="L362" s="22"/>
      <c r="M362" s="2"/>
      <c r="N362" s="23"/>
      <c r="O362" s="24"/>
      <c r="P362" s="19">
        <f t="shared" si="2"/>
        <v>0</v>
      </c>
    </row>
    <row r="363" ht="22.5" customHeight="1">
      <c r="A363" s="20"/>
      <c r="B363" s="21"/>
      <c r="C363" s="22"/>
      <c r="D363" s="22"/>
      <c r="E363" s="2"/>
      <c r="F363" s="23"/>
      <c r="G363" s="24"/>
      <c r="I363" s="20"/>
      <c r="J363" s="21"/>
      <c r="K363" s="31"/>
      <c r="L363" s="22"/>
      <c r="M363" s="2"/>
      <c r="N363" s="23"/>
      <c r="O363" s="24"/>
      <c r="P363" s="19">
        <f t="shared" si="2"/>
        <v>0</v>
      </c>
    </row>
    <row r="364" ht="22.5" customHeight="1">
      <c r="A364" s="20"/>
      <c r="B364" s="21"/>
      <c r="C364" s="22"/>
      <c r="D364" s="22"/>
      <c r="E364" s="2"/>
      <c r="F364" s="23"/>
      <c r="G364" s="24"/>
      <c r="I364" s="20"/>
      <c r="J364" s="21"/>
      <c r="K364" s="31"/>
      <c r="L364" s="22"/>
      <c r="M364" s="2"/>
      <c r="N364" s="23"/>
      <c r="O364" s="24"/>
      <c r="P364" s="19">
        <f t="shared" si="2"/>
        <v>0</v>
      </c>
    </row>
    <row r="365" ht="22.5" customHeight="1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19">
        <f t="shared" si="2"/>
        <v>0</v>
      </c>
    </row>
    <row r="366" ht="22.5" customHeight="1">
      <c r="A366" s="20"/>
      <c r="B366" s="21"/>
      <c r="C366" s="22"/>
      <c r="D366" s="22"/>
      <c r="E366" s="2"/>
      <c r="F366" s="23"/>
      <c r="G366" s="24"/>
      <c r="I366" s="20"/>
      <c r="J366" s="21"/>
      <c r="K366" s="31"/>
      <c r="L366" s="22"/>
      <c r="M366" s="2"/>
      <c r="N366" s="23"/>
      <c r="O366" s="24"/>
      <c r="P366" s="19">
        <f t="shared" si="2"/>
        <v>0</v>
      </c>
    </row>
    <row r="367" ht="22.5" customHeight="1">
      <c r="A367" s="20"/>
      <c r="B367" s="21"/>
      <c r="C367" s="31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19">
        <f t="shared" si="2"/>
        <v>0</v>
      </c>
    </row>
    <row r="368" ht="22.5" customHeight="1">
      <c r="A368" s="20"/>
      <c r="B368" s="21"/>
      <c r="C368" s="31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19">
        <f t="shared" si="2"/>
        <v>0</v>
      </c>
    </row>
    <row r="369" ht="22.5" customHeight="1">
      <c r="A369" s="20"/>
      <c r="B369" s="21"/>
      <c r="C369" s="31"/>
      <c r="D369" s="22"/>
      <c r="E369" s="2"/>
      <c r="F369" s="23"/>
      <c r="G369" s="24"/>
      <c r="I369" s="20"/>
      <c r="J369" s="21"/>
      <c r="K369" s="31"/>
      <c r="L369" s="22"/>
      <c r="M369" s="2"/>
      <c r="N369" s="23"/>
      <c r="O369" s="24"/>
      <c r="P369" s="19">
        <f t="shared" si="2"/>
        <v>0</v>
      </c>
    </row>
    <row r="370" ht="22.5" customHeight="1">
      <c r="A370" s="20"/>
      <c r="B370" s="21"/>
      <c r="C370" s="31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19">
        <f t="shared" si="2"/>
        <v>0</v>
      </c>
    </row>
    <row r="371" ht="22.5" customHeight="1">
      <c r="A371" s="20"/>
      <c r="B371" s="21"/>
      <c r="C371" s="22"/>
      <c r="D371" s="22"/>
      <c r="E371" s="2"/>
      <c r="F371" s="23"/>
      <c r="G371" s="24"/>
      <c r="I371" s="20"/>
      <c r="J371" s="21"/>
      <c r="K371" s="31"/>
      <c r="L371" s="22"/>
      <c r="M371" s="2"/>
      <c r="N371" s="23"/>
      <c r="O371" s="24"/>
      <c r="P371" s="19">
        <f t="shared" si="2"/>
        <v>0</v>
      </c>
    </row>
    <row r="372" ht="22.5" customHeight="1">
      <c r="A372" s="20"/>
      <c r="B372" s="21"/>
      <c r="C372" s="31"/>
      <c r="D372" s="22"/>
      <c r="E372" s="2"/>
      <c r="F372" s="23"/>
      <c r="G372" s="24"/>
      <c r="I372" s="20"/>
      <c r="J372" s="21"/>
      <c r="K372" s="31"/>
      <c r="L372" s="22"/>
      <c r="M372" s="2"/>
      <c r="N372" s="23"/>
      <c r="O372" s="24"/>
      <c r="P372" s="19">
        <f t="shared" si="2"/>
        <v>0</v>
      </c>
    </row>
    <row r="373" ht="22.5" customHeight="1">
      <c r="A373" s="20"/>
      <c r="B373" s="21"/>
      <c r="C373" s="31"/>
      <c r="D373" s="22"/>
      <c r="E373" s="2"/>
      <c r="F373" s="23"/>
      <c r="G373" s="24"/>
      <c r="I373" s="20"/>
      <c r="J373" s="21"/>
      <c r="K373" s="31"/>
      <c r="L373" s="22"/>
      <c r="M373" s="2"/>
      <c r="N373" s="23"/>
      <c r="O373" s="24"/>
      <c r="P373" s="19">
        <f t="shared" si="2"/>
        <v>0</v>
      </c>
    </row>
    <row r="374" ht="22.5" customHeight="1">
      <c r="A374" s="20"/>
      <c r="B374" s="21"/>
      <c r="C374" s="31"/>
      <c r="D374" s="22"/>
      <c r="E374" s="2"/>
      <c r="F374" s="23"/>
      <c r="G374" s="24"/>
      <c r="I374" s="20"/>
      <c r="J374" s="21"/>
      <c r="K374" s="31"/>
      <c r="L374" s="22"/>
      <c r="M374" s="2"/>
      <c r="N374" s="23"/>
      <c r="O374" s="24"/>
      <c r="P374" s="19">
        <f t="shared" si="2"/>
        <v>0</v>
      </c>
    </row>
    <row r="375" ht="22.5" customHeight="1">
      <c r="A375" s="20"/>
      <c r="B375" s="21"/>
      <c r="C375" s="31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19">
        <f t="shared" si="2"/>
        <v>0</v>
      </c>
    </row>
    <row r="376" ht="22.5" customHeight="1">
      <c r="A376" s="20"/>
      <c r="B376" s="21"/>
      <c r="C376" s="31"/>
      <c r="D376" s="22"/>
      <c r="E376" s="2"/>
      <c r="F376" s="23"/>
      <c r="G376" s="24"/>
      <c r="I376" s="20"/>
      <c r="J376" s="21"/>
      <c r="K376" s="31"/>
      <c r="L376" s="22"/>
      <c r="M376" s="2"/>
      <c r="N376" s="23"/>
      <c r="O376" s="24"/>
      <c r="P376" s="19">
        <f t="shared" si="2"/>
        <v>0</v>
      </c>
    </row>
    <row r="377" ht="22.5" customHeight="1">
      <c r="A377" s="20"/>
      <c r="B377" s="21"/>
      <c r="C377" s="31"/>
      <c r="D377" s="22"/>
      <c r="E377" s="2"/>
      <c r="F377" s="23"/>
      <c r="G377" s="24"/>
      <c r="I377" s="20"/>
      <c r="J377" s="21"/>
      <c r="K377" s="31"/>
      <c r="L377" s="22"/>
      <c r="M377" s="2"/>
      <c r="N377" s="23"/>
      <c r="O377" s="24"/>
      <c r="P377" s="19">
        <f t="shared" si="2"/>
        <v>0</v>
      </c>
    </row>
    <row r="378" ht="22.5" customHeight="1">
      <c r="A378" s="20"/>
      <c r="B378" s="21"/>
      <c r="C378" s="31"/>
      <c r="D378" s="22"/>
      <c r="E378" s="2"/>
      <c r="F378" s="23"/>
      <c r="G378" s="24"/>
      <c r="I378" s="20"/>
      <c r="J378" s="21"/>
      <c r="K378" s="31"/>
      <c r="L378" s="22"/>
      <c r="M378" s="2"/>
      <c r="N378" s="23"/>
      <c r="O378" s="24"/>
      <c r="P378" s="19">
        <f t="shared" si="2"/>
        <v>0</v>
      </c>
    </row>
    <row r="379" ht="22.5" customHeight="1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19">
        <f t="shared" si="2"/>
        <v>0</v>
      </c>
    </row>
    <row r="380" ht="22.5" customHeight="1">
      <c r="A380" s="20"/>
      <c r="B380" s="21"/>
      <c r="C380" s="31"/>
      <c r="D380" s="22"/>
      <c r="E380" s="2"/>
      <c r="F380" s="23"/>
      <c r="G380" s="24"/>
      <c r="I380" s="20"/>
      <c r="J380" s="21"/>
      <c r="K380" s="31"/>
      <c r="L380" s="22"/>
      <c r="M380" s="2"/>
      <c r="N380" s="23"/>
      <c r="O380" s="24"/>
      <c r="P380" s="19">
        <f t="shared" si="2"/>
        <v>0</v>
      </c>
    </row>
    <row r="381" ht="22.5" customHeight="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19">
        <f t="shared" si="2"/>
        <v>0</v>
      </c>
    </row>
    <row r="382" ht="22.5" customHeight="1">
      <c r="A382" s="20"/>
      <c r="B382" s="21"/>
      <c r="C382" s="31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19">
        <f t="shared" si="2"/>
        <v>0</v>
      </c>
    </row>
    <row r="383" ht="22.5" customHeight="1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19">
        <f t="shared" si="2"/>
        <v>0</v>
      </c>
    </row>
    <row r="384" ht="22.5" customHeight="1">
      <c r="A384" s="20"/>
      <c r="B384" s="21"/>
      <c r="C384" s="22"/>
      <c r="D384" s="22"/>
      <c r="E384" s="2"/>
      <c r="F384" s="23"/>
      <c r="G384" s="24"/>
      <c r="I384" s="20"/>
      <c r="J384" s="21"/>
      <c r="K384" s="31"/>
      <c r="L384" s="22"/>
      <c r="M384" s="2"/>
      <c r="N384" s="23"/>
      <c r="O384" s="24"/>
      <c r="P384" s="19">
        <f t="shared" si="2"/>
        <v>0</v>
      </c>
    </row>
    <row r="385" ht="22.5" customHeight="1">
      <c r="A385" s="20"/>
      <c r="B385" s="21"/>
      <c r="C385" s="31"/>
      <c r="D385" s="22"/>
      <c r="E385" s="2"/>
      <c r="F385" s="23"/>
      <c r="G385" s="24"/>
      <c r="I385" s="20"/>
      <c r="J385" s="21"/>
      <c r="K385" s="31"/>
      <c r="L385" s="22"/>
      <c r="M385" s="2"/>
      <c r="N385" s="23"/>
      <c r="O385" s="24"/>
      <c r="P385" s="19">
        <f t="shared" si="2"/>
        <v>0</v>
      </c>
    </row>
    <row r="386" ht="22.5" customHeight="1">
      <c r="A386" s="20"/>
      <c r="B386" s="21"/>
      <c r="C386" s="22"/>
      <c r="D386" s="22"/>
      <c r="E386" s="2"/>
      <c r="F386" s="23"/>
      <c r="G386" s="24"/>
      <c r="I386" s="20"/>
      <c r="J386" s="21"/>
      <c r="K386" s="31"/>
      <c r="L386" s="22"/>
      <c r="M386" s="2"/>
      <c r="N386" s="23"/>
      <c r="O386" s="24"/>
      <c r="P386" s="19">
        <f t="shared" si="2"/>
        <v>0</v>
      </c>
    </row>
    <row r="387" ht="22.5" customHeight="1">
      <c r="A387" s="20"/>
      <c r="B387" s="21"/>
      <c r="C387" s="22"/>
      <c r="D387" s="22"/>
      <c r="E387" s="2"/>
      <c r="F387" s="23"/>
      <c r="G387" s="24"/>
      <c r="I387" s="20"/>
      <c r="J387" s="21"/>
      <c r="K387" s="31"/>
      <c r="L387" s="22"/>
      <c r="M387" s="2"/>
      <c r="N387" s="23"/>
      <c r="O387" s="24"/>
      <c r="P387" s="19">
        <f t="shared" si="2"/>
        <v>0</v>
      </c>
    </row>
    <row r="388" ht="22.5" customHeight="1">
      <c r="A388" s="20"/>
      <c r="B388" s="21"/>
      <c r="C388" s="22"/>
      <c r="D388" s="22"/>
      <c r="E388" s="2"/>
      <c r="F388" s="23"/>
      <c r="G388" s="24"/>
      <c r="I388" s="20"/>
      <c r="J388" s="21"/>
      <c r="K388" s="31"/>
      <c r="L388" s="22"/>
      <c r="M388" s="2"/>
      <c r="N388" s="23"/>
      <c r="O388" s="24"/>
      <c r="P388" s="19">
        <f t="shared" si="2"/>
        <v>0</v>
      </c>
    </row>
    <row r="389" ht="22.5" customHeight="1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19">
        <f t="shared" si="2"/>
        <v>0</v>
      </c>
    </row>
    <row r="390" ht="22.5" customHeight="1">
      <c r="A390" s="20"/>
      <c r="B390" s="21"/>
      <c r="C390" s="22"/>
      <c r="D390" s="22"/>
      <c r="E390" s="2"/>
      <c r="F390" s="23"/>
      <c r="G390" s="24"/>
      <c r="I390" s="20"/>
      <c r="J390" s="21"/>
      <c r="K390" s="31"/>
      <c r="L390" s="22"/>
      <c r="M390" s="2"/>
      <c r="N390" s="23"/>
      <c r="O390" s="24"/>
      <c r="P390" s="19">
        <f t="shared" si="2"/>
        <v>0</v>
      </c>
    </row>
    <row r="391" ht="22.5" customHeight="1">
      <c r="A391" s="20"/>
      <c r="B391" s="21"/>
      <c r="C391" s="22"/>
      <c r="D391" s="22"/>
      <c r="E391" s="2"/>
      <c r="F391" s="23"/>
      <c r="G391" s="24"/>
      <c r="I391" s="20"/>
      <c r="J391" s="21"/>
      <c r="K391" s="31"/>
      <c r="L391" s="22"/>
      <c r="M391" s="2"/>
      <c r="N391" s="23"/>
      <c r="O391" s="24"/>
      <c r="P391" s="19">
        <f t="shared" si="2"/>
        <v>0</v>
      </c>
    </row>
    <row r="392" ht="22.5" customHeight="1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19">
        <f t="shared" si="2"/>
        <v>0</v>
      </c>
    </row>
    <row r="393" ht="22.5" customHeight="1">
      <c r="A393" s="20"/>
      <c r="B393" s="21"/>
      <c r="C393" s="31"/>
      <c r="D393" s="22"/>
      <c r="E393" s="2"/>
      <c r="F393" s="23"/>
      <c r="G393" s="24"/>
      <c r="I393" s="20"/>
      <c r="J393" s="21"/>
      <c r="K393" s="31"/>
      <c r="L393" s="22"/>
      <c r="M393" s="2"/>
      <c r="N393" s="23"/>
      <c r="O393" s="24"/>
      <c r="P393" s="19">
        <f t="shared" si="2"/>
        <v>0</v>
      </c>
    </row>
    <row r="394" ht="22.5" customHeight="1">
      <c r="A394" s="20"/>
      <c r="B394" s="21"/>
      <c r="C394" s="31"/>
      <c r="D394" s="22"/>
      <c r="E394" s="2"/>
      <c r="F394" s="23"/>
      <c r="G394" s="24"/>
      <c r="I394" s="20"/>
      <c r="J394" s="21"/>
      <c r="K394" s="31"/>
      <c r="L394" s="22"/>
      <c r="M394" s="2"/>
      <c r="N394" s="23"/>
      <c r="O394" s="24"/>
      <c r="P394" s="19">
        <f t="shared" si="2"/>
        <v>0</v>
      </c>
    </row>
    <row r="395" ht="22.5" customHeight="1">
      <c r="A395" s="20"/>
      <c r="B395" s="39"/>
      <c r="C395" s="49"/>
      <c r="D395" s="40"/>
      <c r="E395" s="41"/>
      <c r="F395" s="42"/>
      <c r="G395" s="43"/>
      <c r="I395" s="20"/>
      <c r="J395" s="21"/>
      <c r="K395" s="31"/>
      <c r="L395" s="22"/>
      <c r="M395" s="2"/>
      <c r="N395" s="23"/>
      <c r="O395" s="24"/>
      <c r="P395" s="19">
        <f t="shared" si="2"/>
        <v>0</v>
      </c>
    </row>
    <row r="396" ht="22.5" customHeight="1">
      <c r="A396" s="20"/>
      <c r="B396" s="21"/>
      <c r="C396" s="31"/>
      <c r="D396" s="22"/>
      <c r="E396" s="2"/>
      <c r="F396" s="23"/>
      <c r="G396" s="24"/>
      <c r="I396" s="20"/>
      <c r="J396" s="21"/>
      <c r="K396" s="31"/>
      <c r="L396" s="22"/>
      <c r="M396" s="2"/>
      <c r="N396" s="23"/>
      <c r="O396" s="24"/>
      <c r="P396" s="19">
        <f t="shared" si="2"/>
        <v>0</v>
      </c>
    </row>
    <row r="397" ht="22.5" customHeight="1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19">
        <f t="shared" si="2"/>
        <v>0</v>
      </c>
    </row>
    <row r="398" ht="22.5" customHeight="1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19">
        <f t="shared" si="2"/>
        <v>0</v>
      </c>
    </row>
    <row r="399" ht="22.5" customHeight="1">
      <c r="A399" s="20"/>
      <c r="B399" s="21"/>
      <c r="C399" s="31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19">
        <f t="shared" si="2"/>
        <v>0</v>
      </c>
    </row>
    <row r="400" ht="22.5" customHeight="1">
      <c r="A400" s="20"/>
      <c r="B400" s="21"/>
      <c r="C400" s="22"/>
      <c r="D400" s="22"/>
      <c r="E400" s="2"/>
      <c r="F400" s="23"/>
      <c r="G400" s="24"/>
      <c r="I400" s="20"/>
      <c r="J400" s="21"/>
      <c r="K400" s="31"/>
      <c r="L400" s="22"/>
      <c r="M400" s="2"/>
      <c r="N400" s="23"/>
      <c r="O400" s="24"/>
      <c r="P400" s="19">
        <f t="shared" si="2"/>
        <v>0</v>
      </c>
    </row>
    <row r="401" ht="22.5" customHeight="1">
      <c r="A401" s="20"/>
      <c r="B401" s="21"/>
      <c r="C401" s="31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19">
        <f t="shared" si="2"/>
        <v>0</v>
      </c>
    </row>
    <row r="402" ht="22.5" customHeight="1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19">
        <f t="shared" si="2"/>
        <v>0</v>
      </c>
    </row>
    <row r="403" ht="22.5" customHeight="1">
      <c r="A403" s="20"/>
      <c r="B403" s="21"/>
      <c r="C403" s="31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19">
        <f t="shared" si="2"/>
        <v>0</v>
      </c>
    </row>
    <row r="404" ht="22.5" customHeight="1">
      <c r="A404" s="20"/>
      <c r="B404" s="21"/>
      <c r="C404" s="22"/>
      <c r="D404" s="22"/>
      <c r="E404" s="2"/>
      <c r="F404" s="23"/>
      <c r="G404" s="24"/>
      <c r="I404" s="20"/>
      <c r="J404" s="21"/>
      <c r="K404" s="31"/>
      <c r="L404" s="22"/>
      <c r="M404" s="2"/>
      <c r="N404" s="23"/>
      <c r="O404" s="24"/>
      <c r="P404" s="19">
        <f t="shared" si="2"/>
        <v>0</v>
      </c>
    </row>
    <row r="405" ht="22.5" customHeight="1">
      <c r="A405" s="20"/>
      <c r="B405" s="21"/>
      <c r="C405" s="31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19">
        <f t="shared" si="2"/>
        <v>0</v>
      </c>
    </row>
    <row r="406" ht="22.5" customHeight="1">
      <c r="A406" s="20"/>
      <c r="B406" s="21"/>
      <c r="C406" s="31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19">
        <f t="shared" si="2"/>
        <v>0</v>
      </c>
    </row>
    <row r="407" ht="22.5" customHeight="1">
      <c r="A407" s="20"/>
      <c r="B407" s="21"/>
      <c r="C407" s="31"/>
      <c r="D407" s="22"/>
      <c r="E407" s="2"/>
      <c r="F407" s="23"/>
      <c r="G407" s="24"/>
      <c r="I407" s="20"/>
      <c r="J407" s="21"/>
      <c r="K407" s="31"/>
      <c r="L407" s="22"/>
      <c r="M407" s="2"/>
      <c r="N407" s="23"/>
      <c r="O407" s="24"/>
      <c r="P407" s="19">
        <f t="shared" si="2"/>
        <v>0</v>
      </c>
    </row>
    <row r="408" ht="22.5" customHeight="1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19">
        <f t="shared" si="2"/>
        <v>0</v>
      </c>
    </row>
    <row r="409" ht="22.5" customHeight="1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19">
        <f t="shared" si="2"/>
        <v>0</v>
      </c>
    </row>
    <row r="410" ht="22.5" customHeight="1">
      <c r="A410" s="20"/>
      <c r="B410" s="21"/>
      <c r="C410" s="31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19">
        <f t="shared" si="2"/>
        <v>0</v>
      </c>
    </row>
    <row r="411" ht="22.5" customHeight="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19">
        <f t="shared" si="2"/>
        <v>0</v>
      </c>
    </row>
    <row r="412" ht="22.5" customHeight="1">
      <c r="A412" s="20"/>
      <c r="B412" s="21"/>
      <c r="C412" s="31"/>
      <c r="D412" s="22"/>
      <c r="E412" s="2"/>
      <c r="F412" s="23"/>
      <c r="G412" s="24"/>
      <c r="I412" s="20"/>
      <c r="J412" s="21"/>
      <c r="K412" s="31"/>
      <c r="L412" s="22"/>
      <c r="M412" s="2"/>
      <c r="N412" s="23"/>
      <c r="O412" s="24"/>
      <c r="P412" s="19">
        <f t="shared" si="2"/>
        <v>0</v>
      </c>
    </row>
    <row r="413" ht="22.5" customHeight="1">
      <c r="A413" s="20"/>
      <c r="B413" s="21"/>
      <c r="C413" s="31"/>
      <c r="D413" s="22"/>
      <c r="E413" s="2"/>
      <c r="F413" s="23"/>
      <c r="G413" s="24"/>
      <c r="I413" s="20"/>
      <c r="J413" s="21"/>
      <c r="K413" s="31"/>
      <c r="L413" s="22"/>
      <c r="M413" s="2"/>
      <c r="N413" s="23"/>
      <c r="O413" s="24"/>
      <c r="P413" s="19">
        <f t="shared" si="2"/>
        <v>0</v>
      </c>
    </row>
    <row r="414" ht="22.5" customHeight="1">
      <c r="A414" s="20"/>
      <c r="B414" s="21"/>
      <c r="C414" s="22"/>
      <c r="D414" s="22"/>
      <c r="E414" s="2"/>
      <c r="F414" s="23"/>
      <c r="G414" s="24"/>
      <c r="I414" s="20"/>
      <c r="J414" s="21"/>
      <c r="K414" s="31"/>
      <c r="L414" s="22"/>
      <c r="M414" s="2"/>
      <c r="N414" s="23"/>
      <c r="O414" s="24"/>
      <c r="P414" s="19">
        <f t="shared" si="2"/>
        <v>0</v>
      </c>
    </row>
    <row r="415" ht="22.5" customHeight="1">
      <c r="A415" s="20"/>
      <c r="B415" s="21"/>
      <c r="C415" s="22"/>
      <c r="D415" s="22"/>
      <c r="E415" s="2"/>
      <c r="F415" s="23"/>
      <c r="G415" s="24"/>
      <c r="I415" s="20"/>
      <c r="J415" s="21"/>
      <c r="K415" s="31"/>
      <c r="L415" s="22"/>
      <c r="M415" s="2"/>
      <c r="N415" s="23"/>
      <c r="O415" s="24"/>
      <c r="P415" s="19">
        <f t="shared" si="2"/>
        <v>0</v>
      </c>
    </row>
    <row r="416" ht="22.5" customHeight="1">
      <c r="A416" s="20"/>
      <c r="B416" s="21"/>
      <c r="C416" s="31"/>
      <c r="D416" s="22"/>
      <c r="E416" s="2"/>
      <c r="F416" s="23"/>
      <c r="G416" s="24"/>
      <c r="I416" s="20"/>
      <c r="J416" s="21"/>
      <c r="K416" s="31"/>
      <c r="L416" s="22"/>
      <c r="M416" s="2"/>
      <c r="N416" s="23"/>
      <c r="O416" s="24"/>
      <c r="P416" s="19">
        <f t="shared" si="2"/>
        <v>0</v>
      </c>
    </row>
    <row r="417" ht="22.5" customHeight="1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19">
        <f t="shared" si="2"/>
        <v>0</v>
      </c>
    </row>
    <row r="418" ht="22.5" customHeight="1">
      <c r="A418" s="20"/>
      <c r="B418" s="21"/>
      <c r="C418" s="22"/>
      <c r="D418" s="22"/>
      <c r="E418" s="2"/>
      <c r="F418" s="23"/>
      <c r="G418" s="24"/>
      <c r="I418" s="20"/>
      <c r="J418" s="21"/>
      <c r="K418" s="31"/>
      <c r="L418" s="22"/>
      <c r="M418" s="2"/>
      <c r="N418" s="23"/>
      <c r="O418" s="24"/>
      <c r="P418" s="19">
        <f t="shared" si="2"/>
        <v>0</v>
      </c>
    </row>
    <row r="419" ht="22.5" customHeight="1">
      <c r="A419" s="20"/>
      <c r="B419" s="21"/>
      <c r="C419" s="31"/>
      <c r="D419" s="22"/>
      <c r="E419" s="2"/>
      <c r="F419" s="23"/>
      <c r="G419" s="24"/>
      <c r="I419" s="20"/>
      <c r="J419" s="21"/>
      <c r="K419" s="31"/>
      <c r="L419" s="22"/>
      <c r="M419" s="2"/>
      <c r="N419" s="23"/>
      <c r="O419" s="24"/>
      <c r="P419" s="19">
        <f t="shared" si="2"/>
        <v>0</v>
      </c>
    </row>
    <row r="420" ht="22.5" customHeight="1">
      <c r="A420" s="20"/>
      <c r="B420" s="21"/>
      <c r="C420" s="31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19">
        <f t="shared" si="2"/>
        <v>0</v>
      </c>
    </row>
    <row r="421" ht="22.5" customHeight="1">
      <c r="A421" s="20"/>
      <c r="B421" s="21"/>
      <c r="C421" s="22"/>
      <c r="D421" s="22"/>
      <c r="E421" s="2"/>
      <c r="F421" s="23"/>
      <c r="G421" s="24"/>
      <c r="I421" s="20"/>
      <c r="J421" s="21"/>
      <c r="K421" s="31"/>
      <c r="L421" s="22"/>
      <c r="M421" s="2"/>
      <c r="N421" s="23"/>
      <c r="O421" s="24"/>
      <c r="P421" s="19">
        <f t="shared" si="2"/>
        <v>0</v>
      </c>
    </row>
    <row r="422" ht="22.5" customHeight="1">
      <c r="A422" s="20"/>
      <c r="B422" s="21"/>
      <c r="C422" s="22"/>
      <c r="D422" s="22"/>
      <c r="E422" s="2"/>
      <c r="F422" s="23"/>
      <c r="G422" s="24"/>
      <c r="I422" s="20"/>
      <c r="J422" s="21"/>
      <c r="K422" s="31"/>
      <c r="L422" s="22"/>
      <c r="M422" s="2"/>
      <c r="N422" s="23"/>
      <c r="O422" s="24"/>
      <c r="P422" s="19">
        <f t="shared" si="2"/>
        <v>0</v>
      </c>
    </row>
    <row r="423" ht="22.5" customHeight="1">
      <c r="A423" s="20"/>
      <c r="B423" s="21"/>
      <c r="C423" s="22"/>
      <c r="D423" s="22"/>
      <c r="E423" s="2"/>
      <c r="F423" s="23"/>
      <c r="G423" s="24"/>
      <c r="I423" s="20"/>
      <c r="J423" s="21"/>
      <c r="K423" s="31"/>
      <c r="L423" s="22"/>
      <c r="M423" s="2"/>
      <c r="N423" s="23"/>
      <c r="O423" s="24"/>
      <c r="P423" s="19">
        <f t="shared" si="2"/>
        <v>0</v>
      </c>
    </row>
    <row r="424" ht="22.5" customHeight="1">
      <c r="A424" s="20"/>
      <c r="B424" s="21"/>
      <c r="C424" s="22"/>
      <c r="D424" s="22"/>
      <c r="E424" s="2"/>
      <c r="F424" s="23"/>
      <c r="G424" s="24"/>
      <c r="I424" s="20"/>
      <c r="J424" s="21"/>
      <c r="K424" s="31"/>
      <c r="L424" s="22"/>
      <c r="M424" s="2"/>
      <c r="N424" s="23"/>
      <c r="O424" s="24"/>
      <c r="P424" s="19">
        <f t="shared" si="2"/>
        <v>0</v>
      </c>
    </row>
    <row r="425" ht="22.5" customHeight="1">
      <c r="A425" s="20"/>
      <c r="B425" s="21"/>
      <c r="C425" s="22"/>
      <c r="D425" s="22"/>
      <c r="E425" s="2"/>
      <c r="F425" s="23"/>
      <c r="G425" s="24"/>
      <c r="I425" s="20"/>
      <c r="J425" s="21"/>
      <c r="K425" s="31"/>
      <c r="L425" s="22"/>
      <c r="M425" s="2"/>
      <c r="N425" s="23"/>
      <c r="O425" s="24"/>
      <c r="P425" s="19">
        <f t="shared" si="2"/>
        <v>0</v>
      </c>
    </row>
    <row r="426" ht="22.5" customHeight="1">
      <c r="A426" s="20"/>
      <c r="B426" s="21"/>
      <c r="C426" s="31"/>
      <c r="D426" s="22"/>
      <c r="E426" s="2"/>
      <c r="F426" s="23"/>
      <c r="G426" s="24"/>
      <c r="I426" s="20"/>
      <c r="J426" s="21"/>
      <c r="K426" s="31"/>
      <c r="L426" s="22"/>
      <c r="M426" s="2"/>
      <c r="N426" s="23"/>
      <c r="O426" s="24"/>
      <c r="P426" s="19">
        <f t="shared" si="2"/>
        <v>0</v>
      </c>
    </row>
    <row r="427" ht="22.5" customHeight="1">
      <c r="A427" s="20"/>
      <c r="B427" s="21"/>
      <c r="C427" s="31"/>
      <c r="D427" s="22"/>
      <c r="E427" s="2"/>
      <c r="F427" s="23"/>
      <c r="G427" s="24"/>
      <c r="I427" s="20"/>
      <c r="J427" s="21"/>
      <c r="K427" s="31"/>
      <c r="L427" s="22"/>
      <c r="M427" s="2"/>
      <c r="N427" s="23"/>
      <c r="O427" s="24"/>
      <c r="P427" s="19">
        <f t="shared" si="2"/>
        <v>0</v>
      </c>
    </row>
    <row r="428" ht="22.5" customHeight="1">
      <c r="A428" s="20"/>
      <c r="B428" s="21"/>
      <c r="C428" s="31"/>
      <c r="D428" s="22"/>
      <c r="E428" s="2"/>
      <c r="F428" s="23"/>
      <c r="G428" s="24"/>
      <c r="I428" s="20"/>
      <c r="J428" s="21"/>
      <c r="K428" s="31"/>
      <c r="L428" s="22"/>
      <c r="M428" s="2"/>
      <c r="N428" s="23"/>
      <c r="O428" s="24"/>
      <c r="P428" s="19">
        <f t="shared" si="2"/>
        <v>0</v>
      </c>
    </row>
    <row r="429" ht="22.5" customHeight="1">
      <c r="A429" s="20"/>
      <c r="B429" s="21"/>
      <c r="C429" s="31"/>
      <c r="D429" s="22"/>
      <c r="E429" s="2"/>
      <c r="F429" s="23"/>
      <c r="G429" s="24"/>
      <c r="I429" s="20"/>
      <c r="J429" s="21"/>
      <c r="K429" s="31"/>
      <c r="L429" s="22"/>
      <c r="M429" s="2"/>
      <c r="N429" s="23"/>
      <c r="O429" s="24"/>
      <c r="P429" s="19">
        <f t="shared" si="2"/>
        <v>0</v>
      </c>
    </row>
    <row r="430" ht="22.5" customHeight="1">
      <c r="A430" s="20"/>
      <c r="B430" s="21"/>
      <c r="C430" s="31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19">
        <f t="shared" si="2"/>
        <v>0</v>
      </c>
    </row>
    <row r="431" ht="22.5" customHeight="1">
      <c r="A431" s="20"/>
      <c r="B431" s="21"/>
      <c r="C431" s="31"/>
      <c r="D431" s="22"/>
      <c r="E431" s="2"/>
      <c r="F431" s="23"/>
      <c r="G431" s="24"/>
      <c r="I431" s="20"/>
      <c r="J431" s="21"/>
      <c r="K431" s="31"/>
      <c r="L431" s="22"/>
      <c r="M431" s="2"/>
      <c r="N431" s="23"/>
      <c r="O431" s="24"/>
      <c r="P431" s="19">
        <f t="shared" si="2"/>
        <v>0</v>
      </c>
    </row>
    <row r="432" ht="22.5" customHeight="1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19">
        <f t="shared" si="2"/>
        <v>0</v>
      </c>
    </row>
    <row r="433" ht="22.5" customHeight="1">
      <c r="A433" s="20"/>
      <c r="B433" s="21"/>
      <c r="C433" s="31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19">
        <f t="shared" si="2"/>
        <v>0</v>
      </c>
    </row>
    <row r="434" ht="22.5" customHeight="1">
      <c r="A434" s="20"/>
      <c r="B434" s="21"/>
      <c r="C434" s="31"/>
      <c r="D434" s="22"/>
      <c r="E434" s="2"/>
      <c r="F434" s="23"/>
      <c r="G434" s="24"/>
      <c r="I434" s="20"/>
      <c r="J434" s="21"/>
      <c r="K434" s="31"/>
      <c r="L434" s="22"/>
      <c r="M434" s="2"/>
      <c r="N434" s="23"/>
      <c r="O434" s="24"/>
      <c r="P434" s="19">
        <f t="shared" si="2"/>
        <v>0</v>
      </c>
    </row>
    <row r="435" ht="22.5" customHeight="1">
      <c r="A435" s="20"/>
      <c r="B435" s="21"/>
      <c r="C435" s="31"/>
      <c r="D435" s="22"/>
      <c r="E435" s="2"/>
      <c r="F435" s="23"/>
      <c r="G435" s="24"/>
      <c r="I435" s="20"/>
      <c r="J435" s="21"/>
      <c r="K435" s="31"/>
      <c r="L435" s="22"/>
      <c r="M435" s="2"/>
      <c r="N435" s="23"/>
      <c r="O435" s="24"/>
      <c r="P435" s="19">
        <f t="shared" si="2"/>
        <v>0</v>
      </c>
    </row>
    <row r="436" ht="22.5" customHeight="1">
      <c r="A436" s="20"/>
      <c r="B436" s="21"/>
      <c r="C436" s="31"/>
      <c r="D436" s="22"/>
      <c r="E436" s="2"/>
      <c r="F436" s="23"/>
      <c r="G436" s="24"/>
      <c r="I436" s="20"/>
      <c r="J436" s="21"/>
      <c r="K436" s="31"/>
      <c r="L436" s="22"/>
      <c r="M436" s="2"/>
      <c r="N436" s="23"/>
      <c r="O436" s="24"/>
      <c r="P436" s="19">
        <f t="shared" si="2"/>
        <v>0</v>
      </c>
    </row>
    <row r="437" ht="22.5" customHeight="1">
      <c r="A437" s="20"/>
      <c r="B437" s="21"/>
      <c r="C437" s="31"/>
      <c r="D437" s="22"/>
      <c r="E437" s="2"/>
      <c r="F437" s="23"/>
      <c r="G437" s="24"/>
      <c r="I437" s="20"/>
      <c r="J437" s="21"/>
      <c r="K437" s="31"/>
      <c r="L437" s="22"/>
      <c r="M437" s="2"/>
      <c r="N437" s="23"/>
      <c r="O437" s="24"/>
      <c r="P437" s="19">
        <f t="shared" si="2"/>
        <v>0</v>
      </c>
    </row>
    <row r="438" ht="22.5" customHeight="1">
      <c r="A438" s="20"/>
      <c r="B438" s="21"/>
      <c r="C438" s="22"/>
      <c r="D438" s="22"/>
      <c r="E438" s="2"/>
      <c r="F438" s="23"/>
      <c r="G438" s="24"/>
      <c r="I438" s="20"/>
      <c r="J438" s="21"/>
      <c r="K438" s="31"/>
      <c r="L438" s="22"/>
      <c r="M438" s="2"/>
      <c r="N438" s="23"/>
      <c r="O438" s="24"/>
      <c r="P438" s="19">
        <f t="shared" si="2"/>
        <v>0</v>
      </c>
    </row>
    <row r="439" ht="22.5" customHeight="1">
      <c r="A439" s="20"/>
      <c r="B439" s="21"/>
      <c r="C439" s="31"/>
      <c r="D439" s="22"/>
      <c r="E439" s="2"/>
      <c r="F439" s="23"/>
      <c r="G439" s="24"/>
      <c r="I439" s="20"/>
      <c r="J439" s="21"/>
      <c r="K439" s="31"/>
      <c r="L439" s="22"/>
      <c r="M439" s="2"/>
      <c r="N439" s="23"/>
      <c r="O439" s="24"/>
      <c r="P439" s="19">
        <f t="shared" si="2"/>
        <v>0</v>
      </c>
    </row>
    <row r="440" ht="22.5" customHeight="1">
      <c r="A440" s="20"/>
      <c r="B440" s="21"/>
      <c r="C440" s="31"/>
      <c r="D440" s="22"/>
      <c r="E440" s="2"/>
      <c r="F440" s="23"/>
      <c r="G440" s="24"/>
      <c r="I440" s="20"/>
      <c r="J440" s="21"/>
      <c r="K440" s="31"/>
      <c r="L440" s="22"/>
      <c r="M440" s="2"/>
      <c r="N440" s="23"/>
      <c r="O440" s="24"/>
      <c r="P440" s="19">
        <f t="shared" si="2"/>
        <v>0</v>
      </c>
    </row>
    <row r="441" ht="22.5" customHeight="1">
      <c r="A441" s="20"/>
      <c r="B441" s="21"/>
      <c r="C441" s="31"/>
      <c r="D441" s="22"/>
      <c r="E441" s="2"/>
      <c r="F441" s="23"/>
      <c r="G441" s="24"/>
      <c r="I441" s="20"/>
      <c r="J441" s="21"/>
      <c r="K441" s="31"/>
      <c r="L441" s="22"/>
      <c r="M441" s="2"/>
      <c r="N441" s="23"/>
      <c r="O441" s="24"/>
      <c r="P441" s="19">
        <f t="shared" si="2"/>
        <v>0</v>
      </c>
    </row>
    <row r="442" ht="22.5" customHeight="1">
      <c r="A442" s="20"/>
      <c r="B442" s="21"/>
      <c r="C442" s="31"/>
      <c r="D442" s="22"/>
      <c r="E442" s="2"/>
      <c r="F442" s="23"/>
      <c r="G442" s="24"/>
      <c r="I442" s="20"/>
      <c r="J442" s="21"/>
      <c r="K442" s="31"/>
      <c r="L442" s="22"/>
      <c r="M442" s="2"/>
      <c r="N442" s="23"/>
      <c r="O442" s="24"/>
      <c r="P442" s="19">
        <f t="shared" si="2"/>
        <v>0</v>
      </c>
    </row>
    <row r="443" ht="22.5" customHeight="1">
      <c r="A443" s="20"/>
      <c r="B443" s="21"/>
      <c r="C443" s="22"/>
      <c r="D443" s="22"/>
      <c r="E443" s="2"/>
      <c r="F443" s="23"/>
      <c r="G443" s="24"/>
      <c r="I443" s="20"/>
      <c r="J443" s="21"/>
      <c r="K443" s="31"/>
      <c r="L443" s="22"/>
      <c r="M443" s="2"/>
      <c r="N443" s="23"/>
      <c r="O443" s="24"/>
      <c r="P443" s="19">
        <f t="shared" si="2"/>
        <v>0</v>
      </c>
    </row>
    <row r="444" ht="22.5" customHeight="1">
      <c r="A444" s="20"/>
      <c r="B444" s="21"/>
      <c r="C444" s="22"/>
      <c r="D444" s="22"/>
      <c r="E444" s="2"/>
      <c r="F444" s="23"/>
      <c r="G444" s="24"/>
      <c r="I444" s="20"/>
      <c r="J444" s="21"/>
      <c r="K444" s="31"/>
      <c r="L444" s="22"/>
      <c r="M444" s="2"/>
      <c r="N444" s="23"/>
      <c r="O444" s="24"/>
      <c r="P444" s="19">
        <f t="shared" si="2"/>
        <v>0</v>
      </c>
    </row>
    <row r="445" ht="22.5" customHeight="1">
      <c r="A445" s="20"/>
      <c r="B445" s="21"/>
      <c r="C445" s="31"/>
      <c r="D445" s="22"/>
      <c r="E445" s="2"/>
      <c r="F445" s="23"/>
      <c r="G445" s="24"/>
      <c r="I445" s="20"/>
      <c r="J445" s="21"/>
      <c r="K445" s="31"/>
      <c r="L445" s="22"/>
      <c r="M445" s="2"/>
      <c r="N445" s="23"/>
      <c r="O445" s="24"/>
      <c r="P445" s="19">
        <f t="shared" si="2"/>
        <v>0</v>
      </c>
    </row>
    <row r="446" ht="22.5" customHeight="1">
      <c r="A446" s="20"/>
      <c r="B446" s="21"/>
      <c r="C446" s="22"/>
      <c r="D446" s="22"/>
      <c r="E446" s="2"/>
      <c r="F446" s="23"/>
      <c r="G446" s="24"/>
      <c r="I446" s="20"/>
      <c r="J446" s="21"/>
      <c r="K446" s="31"/>
      <c r="L446" s="22"/>
      <c r="M446" s="2"/>
      <c r="N446" s="23"/>
      <c r="O446" s="24"/>
      <c r="P446" s="19">
        <f t="shared" si="2"/>
        <v>0</v>
      </c>
    </row>
    <row r="447" ht="22.5" customHeight="1">
      <c r="A447" s="20"/>
      <c r="B447" s="21"/>
      <c r="C447" s="31"/>
      <c r="D447" s="22"/>
      <c r="E447" s="2"/>
      <c r="F447" s="23"/>
      <c r="G447" s="24"/>
      <c r="I447" s="20"/>
      <c r="J447" s="21"/>
      <c r="K447" s="31"/>
      <c r="L447" s="22"/>
      <c r="M447" s="2"/>
      <c r="N447" s="23"/>
      <c r="O447" s="24"/>
      <c r="P447" s="19">
        <f t="shared" si="2"/>
        <v>0</v>
      </c>
    </row>
    <row r="448" ht="22.5" customHeight="1">
      <c r="A448" s="20"/>
      <c r="B448" s="21"/>
      <c r="C448" s="31"/>
      <c r="D448" s="22"/>
      <c r="E448" s="2"/>
      <c r="F448" s="23"/>
      <c r="G448" s="24"/>
      <c r="I448" s="20"/>
      <c r="J448" s="21"/>
      <c r="K448" s="31"/>
      <c r="L448" s="22"/>
      <c r="M448" s="2"/>
      <c r="N448" s="23"/>
      <c r="O448" s="24"/>
      <c r="P448" s="19">
        <f t="shared" si="2"/>
        <v>0</v>
      </c>
    </row>
    <row r="449" ht="22.5" customHeight="1">
      <c r="A449" s="20"/>
      <c r="B449" s="21"/>
      <c r="C449" s="31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19">
        <f t="shared" si="2"/>
        <v>0</v>
      </c>
    </row>
    <row r="450" ht="22.5" customHeight="1">
      <c r="A450" s="20"/>
      <c r="B450" s="21"/>
      <c r="C450" s="31"/>
      <c r="D450" s="22"/>
      <c r="E450" s="2"/>
      <c r="F450" s="23"/>
      <c r="G450" s="24"/>
      <c r="I450" s="20"/>
      <c r="J450" s="21"/>
      <c r="K450" s="31"/>
      <c r="L450" s="22"/>
      <c r="M450" s="2"/>
      <c r="N450" s="23"/>
      <c r="O450" s="24"/>
      <c r="P450" s="19">
        <f t="shared" si="2"/>
        <v>0</v>
      </c>
    </row>
    <row r="451" ht="22.5" customHeight="1">
      <c r="A451" s="20"/>
      <c r="B451" s="21"/>
      <c r="C451" s="31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19">
        <f t="shared" si="2"/>
        <v>0</v>
      </c>
    </row>
    <row r="452" ht="22.5" customHeight="1">
      <c r="A452" s="20"/>
      <c r="B452" s="21"/>
      <c r="C452" s="31"/>
      <c r="D452" s="22"/>
      <c r="E452" s="2"/>
      <c r="F452" s="23"/>
      <c r="G452" s="24"/>
      <c r="I452" s="20"/>
      <c r="J452" s="21"/>
      <c r="K452" s="31"/>
      <c r="L452" s="22"/>
      <c r="M452" s="2"/>
      <c r="N452" s="23"/>
      <c r="O452" s="24"/>
      <c r="P452" s="19">
        <f t="shared" si="2"/>
        <v>0</v>
      </c>
    </row>
    <row r="453" ht="22.5" customHeight="1">
      <c r="A453" s="20"/>
      <c r="B453" s="21"/>
      <c r="C453" s="31"/>
      <c r="D453" s="22"/>
      <c r="E453" s="2"/>
      <c r="F453" s="23"/>
      <c r="G453" s="24"/>
      <c r="I453" s="20"/>
      <c r="J453" s="21"/>
      <c r="K453" s="31"/>
      <c r="L453" s="22"/>
      <c r="M453" s="2"/>
      <c r="N453" s="23"/>
      <c r="O453" s="24"/>
      <c r="P453" s="19">
        <f t="shared" si="2"/>
        <v>0</v>
      </c>
    </row>
    <row r="454" ht="22.5" customHeight="1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19">
        <f t="shared" si="2"/>
        <v>0</v>
      </c>
    </row>
    <row r="455" ht="22.5" customHeight="1">
      <c r="A455" s="20"/>
      <c r="B455" s="21"/>
      <c r="C455" s="31"/>
      <c r="D455" s="22"/>
      <c r="E455" s="2"/>
      <c r="F455" s="23"/>
      <c r="G455" s="24"/>
      <c r="I455" s="20"/>
      <c r="J455" s="21"/>
      <c r="K455" s="31"/>
      <c r="L455" s="22"/>
      <c r="M455" s="2"/>
      <c r="N455" s="23"/>
      <c r="O455" s="24"/>
      <c r="P455" s="19">
        <f t="shared" si="2"/>
        <v>0</v>
      </c>
    </row>
    <row r="456" ht="22.5" customHeight="1">
      <c r="A456" s="20"/>
      <c r="B456" s="21"/>
      <c r="C456" s="31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19">
        <f t="shared" si="2"/>
        <v>0</v>
      </c>
    </row>
    <row r="457" ht="22.5" customHeight="1">
      <c r="A457" s="20"/>
      <c r="B457" s="21"/>
      <c r="C457" s="22"/>
      <c r="D457" s="22"/>
      <c r="E457" s="2"/>
      <c r="F457" s="23"/>
      <c r="G457" s="24"/>
      <c r="I457" s="25"/>
      <c r="J457" s="39"/>
      <c r="K457" s="49"/>
      <c r="L457" s="40"/>
      <c r="M457" s="41"/>
      <c r="N457" s="42"/>
      <c r="O457" s="43"/>
      <c r="P457" s="19">
        <f t="shared" si="2"/>
        <v>0</v>
      </c>
    </row>
    <row r="458" ht="22.5" customHeight="1">
      <c r="A458" s="20"/>
      <c r="B458" s="21"/>
      <c r="C458" s="31"/>
      <c r="D458" s="22"/>
      <c r="E458" s="2"/>
      <c r="F458" s="23"/>
      <c r="G458" s="24"/>
      <c r="I458" s="20"/>
      <c r="J458" s="21"/>
      <c r="K458" s="31"/>
      <c r="L458" s="22"/>
      <c r="M458" s="2"/>
      <c r="N458" s="23"/>
      <c r="O458" s="24"/>
      <c r="P458" s="19">
        <f t="shared" si="2"/>
        <v>0</v>
      </c>
    </row>
    <row r="459" ht="22.5" customHeight="1">
      <c r="A459" s="20"/>
      <c r="B459" s="21"/>
      <c r="C459" s="31"/>
      <c r="D459" s="22"/>
      <c r="E459" s="2"/>
      <c r="F459" s="23"/>
      <c r="G459" s="24"/>
      <c r="I459" s="20"/>
      <c r="J459" s="21"/>
      <c r="K459" s="31"/>
      <c r="L459" s="22"/>
      <c r="M459" s="2"/>
      <c r="N459" s="23"/>
      <c r="O459" s="24"/>
      <c r="P459" s="19">
        <f t="shared" si="2"/>
        <v>0</v>
      </c>
    </row>
    <row r="460" ht="22.5" customHeight="1">
      <c r="A460" s="20"/>
      <c r="B460" s="21"/>
      <c r="C460" s="22"/>
      <c r="D460" s="22"/>
      <c r="E460" s="2"/>
      <c r="F460" s="23"/>
      <c r="G460" s="24"/>
      <c r="I460" s="20"/>
      <c r="J460" s="21"/>
      <c r="K460" s="31"/>
      <c r="L460" s="22"/>
      <c r="M460" s="2"/>
      <c r="N460" s="23"/>
      <c r="O460" s="24"/>
      <c r="P460" s="19">
        <f t="shared" si="2"/>
        <v>0</v>
      </c>
    </row>
    <row r="461" ht="22.5" customHeight="1">
      <c r="A461" s="20"/>
      <c r="B461" s="21"/>
      <c r="C461" s="31"/>
      <c r="D461" s="22"/>
      <c r="E461" s="2"/>
      <c r="F461" s="23"/>
      <c r="G461" s="24"/>
      <c r="I461" s="20"/>
      <c r="J461" s="21"/>
      <c r="K461" s="31"/>
      <c r="L461" s="22"/>
      <c r="M461" s="2"/>
      <c r="N461" s="23"/>
      <c r="O461" s="24"/>
      <c r="P461" s="19">
        <f t="shared" si="2"/>
        <v>0</v>
      </c>
    </row>
    <row r="462" ht="22.5" customHeight="1">
      <c r="A462" s="20"/>
      <c r="B462" s="21"/>
      <c r="C462" s="22"/>
      <c r="D462" s="22"/>
      <c r="E462" s="2"/>
      <c r="F462" s="23"/>
      <c r="G462" s="24"/>
      <c r="I462" s="20"/>
      <c r="J462" s="21"/>
      <c r="K462" s="31"/>
      <c r="L462" s="22"/>
      <c r="M462" s="2"/>
      <c r="N462" s="23"/>
      <c r="O462" s="24"/>
      <c r="P462" s="19">
        <f t="shared" si="2"/>
        <v>0</v>
      </c>
    </row>
    <row r="463" ht="22.5" customHeight="1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19">
        <f t="shared" si="2"/>
        <v>0</v>
      </c>
    </row>
    <row r="464" ht="22.5" customHeight="1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19">
        <f t="shared" si="2"/>
        <v>0</v>
      </c>
    </row>
    <row r="465" ht="22.5" customHeight="1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19">
        <f t="shared" si="2"/>
        <v>0</v>
      </c>
    </row>
    <row r="466" ht="22.5" customHeight="1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19">
        <f t="shared" si="2"/>
        <v>0</v>
      </c>
    </row>
    <row r="467" ht="22.5" customHeight="1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19">
        <f t="shared" si="2"/>
        <v>0</v>
      </c>
    </row>
    <row r="468" ht="22.5" customHeight="1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19">
        <f t="shared" si="2"/>
        <v>0</v>
      </c>
    </row>
    <row r="469" ht="22.5" customHeight="1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19">
        <f t="shared" si="2"/>
        <v>0</v>
      </c>
    </row>
    <row r="470" ht="22.5" customHeight="1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19">
        <f t="shared" si="2"/>
        <v>0</v>
      </c>
    </row>
    <row r="471" ht="22.5" customHeight="1">
      <c r="A471" s="20"/>
      <c r="B471" s="21"/>
      <c r="C471" s="22"/>
      <c r="D471" s="22"/>
      <c r="E471" s="2"/>
      <c r="F471" s="23"/>
      <c r="G471" s="24"/>
      <c r="I471" s="20"/>
      <c r="J471" s="21"/>
      <c r="K471" s="31"/>
      <c r="L471" s="22"/>
      <c r="M471" s="2"/>
      <c r="N471" s="23"/>
      <c r="O471" s="24"/>
      <c r="P471" s="19">
        <f t="shared" si="2"/>
        <v>0</v>
      </c>
    </row>
    <row r="472" ht="22.5" customHeight="1">
      <c r="A472" s="20"/>
      <c r="B472" s="21"/>
      <c r="C472" s="31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19">
        <f t="shared" si="2"/>
        <v>0</v>
      </c>
    </row>
    <row r="473" ht="22.5" customHeight="1">
      <c r="A473" s="20"/>
      <c r="B473" s="21"/>
      <c r="C473" s="22"/>
      <c r="D473" s="22"/>
      <c r="E473" s="2"/>
      <c r="F473" s="23"/>
      <c r="G473" s="24"/>
      <c r="I473" s="20"/>
      <c r="J473" s="21"/>
      <c r="K473" s="31"/>
      <c r="L473" s="22"/>
      <c r="M473" s="2"/>
      <c r="N473" s="23"/>
      <c r="O473" s="24"/>
      <c r="P473" s="19">
        <f t="shared" si="2"/>
        <v>0</v>
      </c>
    </row>
    <row r="474" ht="22.5" customHeight="1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19">
        <f t="shared" si="2"/>
        <v>0</v>
      </c>
    </row>
    <row r="475" ht="22.5" customHeight="1">
      <c r="A475" s="20"/>
      <c r="B475" s="21"/>
      <c r="C475" s="31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19">
        <f t="shared" si="2"/>
        <v>0</v>
      </c>
    </row>
    <row r="476" ht="22.5" customHeight="1">
      <c r="A476" s="20"/>
      <c r="B476" s="21"/>
      <c r="C476" s="31"/>
      <c r="D476" s="22"/>
      <c r="E476" s="2"/>
      <c r="F476" s="23"/>
      <c r="G476" s="24"/>
      <c r="I476" s="20"/>
      <c r="J476" s="21"/>
      <c r="K476" s="31"/>
      <c r="L476" s="22"/>
      <c r="M476" s="2"/>
      <c r="N476" s="23"/>
      <c r="O476" s="24"/>
      <c r="P476" s="19">
        <f t="shared" si="2"/>
        <v>0</v>
      </c>
    </row>
    <row r="477" ht="22.5" customHeight="1">
      <c r="A477" s="20"/>
      <c r="B477" s="21"/>
      <c r="C477" s="31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19">
        <f t="shared" si="2"/>
        <v>0</v>
      </c>
    </row>
    <row r="478" ht="22.5" customHeight="1">
      <c r="A478" s="20"/>
      <c r="B478" s="21"/>
      <c r="C478" s="31"/>
      <c r="D478" s="22"/>
      <c r="E478" s="2"/>
      <c r="F478" s="23"/>
      <c r="G478" s="24"/>
      <c r="I478" s="20"/>
      <c r="J478" s="21"/>
      <c r="K478" s="31"/>
      <c r="L478" s="22"/>
      <c r="M478" s="2"/>
      <c r="N478" s="23"/>
      <c r="O478" s="24"/>
      <c r="P478" s="19">
        <f t="shared" si="2"/>
        <v>0</v>
      </c>
    </row>
    <row r="479" ht="22.5" customHeight="1">
      <c r="A479" s="20"/>
      <c r="B479" s="21"/>
      <c r="C479" s="31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19">
        <f t="shared" si="2"/>
        <v>0</v>
      </c>
    </row>
    <row r="480" ht="22.5" customHeight="1">
      <c r="A480" s="20"/>
      <c r="B480" s="21"/>
      <c r="C480" s="31"/>
      <c r="D480" s="22"/>
      <c r="E480" s="2"/>
      <c r="F480" s="23"/>
      <c r="G480" s="24"/>
      <c r="I480" s="20"/>
      <c r="J480" s="21"/>
      <c r="K480" s="31"/>
      <c r="L480" s="22"/>
      <c r="M480" s="2"/>
      <c r="N480" s="23"/>
      <c r="O480" s="24"/>
      <c r="P480" s="19">
        <f t="shared" si="2"/>
        <v>0</v>
      </c>
    </row>
    <row r="481" ht="22.5" customHeight="1">
      <c r="A481" s="20"/>
      <c r="B481" s="21"/>
      <c r="C481" s="31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19">
        <f t="shared" si="2"/>
        <v>0</v>
      </c>
    </row>
    <row r="482" ht="22.5" customHeight="1">
      <c r="A482" s="20"/>
      <c r="B482" s="21"/>
      <c r="C482" s="31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19">
        <f t="shared" si="2"/>
        <v>0</v>
      </c>
    </row>
    <row r="483" ht="22.5" customHeight="1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19">
        <f t="shared" si="2"/>
        <v>0</v>
      </c>
    </row>
    <row r="484" ht="22.5" customHeight="1">
      <c r="A484" s="20"/>
      <c r="B484" s="21"/>
      <c r="C484" s="31"/>
      <c r="D484" s="22"/>
      <c r="E484" s="2"/>
      <c r="F484" s="23"/>
      <c r="G484" s="24"/>
      <c r="I484" s="20"/>
      <c r="J484" s="21"/>
      <c r="K484" s="31"/>
      <c r="L484" s="22"/>
      <c r="M484" s="2"/>
      <c r="N484" s="23"/>
      <c r="O484" s="24"/>
      <c r="P484" s="19">
        <f t="shared" si="2"/>
        <v>0</v>
      </c>
    </row>
    <row r="485" ht="22.5" customHeight="1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19">
        <f t="shared" si="2"/>
        <v>0</v>
      </c>
    </row>
    <row r="486" ht="22.5" customHeight="1">
      <c r="A486" s="20"/>
      <c r="B486" s="21"/>
      <c r="C486" s="31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19">
        <f t="shared" si="2"/>
        <v>0</v>
      </c>
    </row>
    <row r="487" ht="22.5" customHeight="1">
      <c r="A487" s="20"/>
      <c r="B487" s="21"/>
      <c r="C487" s="31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19">
        <f t="shared" si="2"/>
        <v>0</v>
      </c>
    </row>
    <row r="488" ht="22.5" customHeight="1">
      <c r="A488" s="20"/>
      <c r="B488" s="21"/>
      <c r="C488" s="22"/>
      <c r="D488" s="22"/>
      <c r="E488" s="2"/>
      <c r="F488" s="23"/>
      <c r="G488" s="24"/>
      <c r="I488" s="20"/>
      <c r="J488" s="21"/>
      <c r="K488" s="31"/>
      <c r="L488" s="22"/>
      <c r="M488" s="2"/>
      <c r="N488" s="23"/>
      <c r="O488" s="24"/>
      <c r="P488" s="19">
        <f t="shared" si="2"/>
        <v>0</v>
      </c>
    </row>
    <row r="489" ht="22.5" customHeight="1">
      <c r="A489" s="20"/>
      <c r="B489" s="21"/>
      <c r="C489" s="31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19">
        <f t="shared" si="2"/>
        <v>0</v>
      </c>
    </row>
    <row r="490" ht="22.5" customHeight="1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19">
        <f t="shared" si="2"/>
        <v>0</v>
      </c>
    </row>
    <row r="491" ht="22.5" customHeight="1">
      <c r="A491" s="20"/>
      <c r="B491" s="21"/>
      <c r="C491" s="31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19">
        <f t="shared" si="2"/>
        <v>0</v>
      </c>
    </row>
    <row r="492" ht="22.5" customHeight="1">
      <c r="A492" s="20"/>
      <c r="B492" s="21"/>
      <c r="C492" s="31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19">
        <f t="shared" si="2"/>
        <v>0</v>
      </c>
    </row>
    <row r="493" ht="22.5" customHeight="1">
      <c r="A493" s="20"/>
      <c r="B493" s="21"/>
      <c r="C493" s="31"/>
      <c r="D493" s="22"/>
      <c r="E493" s="2"/>
      <c r="F493" s="23"/>
      <c r="G493" s="24"/>
      <c r="I493" s="20"/>
      <c r="J493" s="21"/>
      <c r="K493" s="31"/>
      <c r="L493" s="22"/>
      <c r="M493" s="2"/>
      <c r="N493" s="23"/>
      <c r="O493" s="24"/>
      <c r="P493" s="19">
        <f t="shared" si="2"/>
        <v>0</v>
      </c>
    </row>
    <row r="494" ht="22.5" customHeight="1">
      <c r="A494" s="20"/>
      <c r="B494" s="21"/>
      <c r="C494" s="31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19">
        <f t="shared" si="2"/>
        <v>0</v>
      </c>
    </row>
    <row r="495" ht="22.5" customHeight="1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19">
        <f t="shared" si="2"/>
        <v>0</v>
      </c>
    </row>
    <row r="496" ht="22.5" customHeight="1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19">
        <f t="shared" si="2"/>
        <v>0</v>
      </c>
    </row>
    <row r="497" ht="22.5" customHeight="1">
      <c r="A497" s="20"/>
      <c r="B497" s="21"/>
      <c r="C497" s="31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19">
        <f t="shared" si="2"/>
        <v>0</v>
      </c>
    </row>
    <row r="498" ht="22.5" customHeight="1">
      <c r="A498" s="20"/>
      <c r="B498" s="21"/>
      <c r="C498" s="31"/>
      <c r="D498" s="22"/>
      <c r="E498" s="2"/>
      <c r="F498" s="23"/>
      <c r="G498" s="24"/>
      <c r="I498" s="20"/>
      <c r="J498" s="21"/>
      <c r="K498" s="31"/>
      <c r="L498" s="22"/>
      <c r="M498" s="2"/>
      <c r="N498" s="23"/>
      <c r="O498" s="24"/>
      <c r="P498" s="19">
        <f t="shared" si="2"/>
        <v>0</v>
      </c>
    </row>
    <row r="499" ht="22.5" customHeight="1">
      <c r="A499" s="20"/>
      <c r="B499" s="21"/>
      <c r="C499" s="31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19">
        <f t="shared" si="2"/>
        <v>0</v>
      </c>
    </row>
    <row r="500" ht="22.5" customHeight="1">
      <c r="A500" s="20"/>
      <c r="B500" s="21"/>
      <c r="C500" s="31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19">
        <f t="shared" si="2"/>
        <v>0</v>
      </c>
    </row>
    <row r="501" ht="22.5" customHeight="1">
      <c r="A501" s="20"/>
      <c r="B501" s="21"/>
      <c r="C501" s="31"/>
      <c r="D501" s="22"/>
      <c r="E501" s="2"/>
      <c r="F501" s="23"/>
      <c r="G501" s="24"/>
      <c r="I501" s="20"/>
      <c r="J501" s="21"/>
      <c r="K501" s="31"/>
      <c r="L501" s="22"/>
      <c r="M501" s="2"/>
      <c r="N501" s="23"/>
      <c r="O501" s="24"/>
      <c r="P501" s="19">
        <f t="shared" si="2"/>
        <v>0</v>
      </c>
    </row>
    <row r="502" ht="22.5" customHeight="1">
      <c r="A502" s="20"/>
      <c r="B502" s="21"/>
      <c r="C502" s="22"/>
      <c r="D502" s="22"/>
      <c r="E502" s="2"/>
      <c r="F502" s="23"/>
      <c r="G502" s="24"/>
      <c r="I502" s="20"/>
      <c r="J502" s="21"/>
      <c r="K502" s="31"/>
      <c r="L502" s="22"/>
      <c r="M502" s="2"/>
      <c r="N502" s="23"/>
      <c r="O502" s="24"/>
      <c r="P502" s="19">
        <f t="shared" si="2"/>
        <v>0</v>
      </c>
    </row>
    <row r="503" ht="22.5" customHeight="1">
      <c r="A503" s="20"/>
      <c r="B503" s="21"/>
      <c r="C503" s="22"/>
      <c r="D503" s="22"/>
      <c r="E503" s="2"/>
      <c r="F503" s="23"/>
      <c r="G503" s="24"/>
      <c r="I503" s="20"/>
      <c r="J503" s="21"/>
      <c r="K503" s="31"/>
      <c r="L503" s="22"/>
      <c r="M503" s="2"/>
      <c r="N503" s="23"/>
      <c r="O503" s="24"/>
      <c r="P503" s="19">
        <f t="shared" si="2"/>
        <v>0</v>
      </c>
    </row>
    <row r="504" ht="22.5" customHeight="1">
      <c r="A504" s="20"/>
      <c r="B504" s="21"/>
      <c r="C504" s="31"/>
      <c r="D504" s="22"/>
      <c r="E504" s="2"/>
      <c r="F504" s="23"/>
      <c r="G504" s="24"/>
      <c r="I504" s="20"/>
      <c r="J504" s="21"/>
      <c r="K504" s="31"/>
      <c r="L504" s="22"/>
      <c r="M504" s="2"/>
      <c r="N504" s="23"/>
      <c r="O504" s="24"/>
      <c r="P504" s="19">
        <f t="shared" si="2"/>
        <v>0</v>
      </c>
    </row>
    <row r="505" ht="22.5" customHeight="1">
      <c r="A505" s="20"/>
      <c r="B505" s="21"/>
      <c r="C505" s="31"/>
      <c r="D505" s="22"/>
      <c r="E505" s="2"/>
      <c r="F505" s="23"/>
      <c r="G505" s="24"/>
      <c r="I505" s="20"/>
      <c r="J505" s="21"/>
      <c r="K505" s="31"/>
      <c r="L505" s="22"/>
      <c r="M505" s="2"/>
      <c r="N505" s="23"/>
      <c r="O505" s="24"/>
      <c r="P505" s="19">
        <f t="shared" si="2"/>
        <v>0</v>
      </c>
    </row>
    <row r="506" ht="22.5" customHeight="1">
      <c r="A506" s="20"/>
      <c r="B506" s="21"/>
      <c r="C506" s="22"/>
      <c r="D506" s="22"/>
      <c r="E506" s="2"/>
      <c r="F506" s="23"/>
      <c r="G506" s="24"/>
      <c r="I506" s="20"/>
      <c r="J506" s="21"/>
      <c r="K506" s="31"/>
      <c r="L506" s="22"/>
      <c r="M506" s="2"/>
      <c r="N506" s="23"/>
      <c r="O506" s="24"/>
      <c r="P506" s="19">
        <f t="shared" si="2"/>
        <v>0</v>
      </c>
    </row>
    <row r="507" ht="22.5" customHeight="1">
      <c r="A507" s="20"/>
      <c r="B507" s="21"/>
      <c r="C507" s="31"/>
      <c r="D507" s="22"/>
      <c r="E507" s="2"/>
      <c r="F507" s="23"/>
      <c r="G507" s="24"/>
      <c r="I507" s="20"/>
      <c r="J507" s="21"/>
      <c r="K507" s="31"/>
      <c r="L507" s="22"/>
      <c r="M507" s="2"/>
      <c r="N507" s="23"/>
      <c r="O507" s="24"/>
      <c r="P507" s="19">
        <f t="shared" si="2"/>
        <v>0</v>
      </c>
    </row>
    <row r="508" ht="22.5" customHeight="1">
      <c r="A508" s="20"/>
      <c r="B508" s="21"/>
      <c r="C508" s="31"/>
      <c r="D508" s="22"/>
      <c r="E508" s="2"/>
      <c r="F508" s="23"/>
      <c r="G508" s="24"/>
      <c r="I508" s="20"/>
      <c r="J508" s="21"/>
      <c r="K508" s="31"/>
      <c r="L508" s="22"/>
      <c r="M508" s="2"/>
      <c r="N508" s="23"/>
      <c r="O508" s="24"/>
      <c r="P508" s="19">
        <f t="shared" si="2"/>
        <v>0</v>
      </c>
    </row>
    <row r="509" ht="22.5" customHeight="1">
      <c r="A509" s="20"/>
      <c r="B509" s="21"/>
      <c r="C509" s="22"/>
      <c r="D509" s="22"/>
      <c r="E509" s="2"/>
      <c r="F509" s="23"/>
      <c r="G509" s="24"/>
      <c r="I509" s="20"/>
      <c r="J509" s="21"/>
      <c r="K509" s="31"/>
      <c r="L509" s="22"/>
      <c r="M509" s="2"/>
      <c r="N509" s="23"/>
      <c r="O509" s="24"/>
      <c r="P509" s="19">
        <f t="shared" si="2"/>
        <v>0</v>
      </c>
    </row>
    <row r="510" ht="22.5" customHeight="1">
      <c r="A510" s="20"/>
      <c r="B510" s="21"/>
      <c r="C510" s="31"/>
      <c r="D510" s="22"/>
      <c r="E510" s="2"/>
      <c r="F510" s="23"/>
      <c r="G510" s="24"/>
      <c r="I510" s="20"/>
      <c r="J510" s="21"/>
      <c r="K510" s="31"/>
      <c r="L510" s="22"/>
      <c r="M510" s="2"/>
      <c r="N510" s="23"/>
      <c r="O510" s="24"/>
      <c r="P510" s="19">
        <f t="shared" si="2"/>
        <v>0</v>
      </c>
    </row>
    <row r="511" ht="22.5" customHeight="1">
      <c r="A511" s="20"/>
      <c r="B511" s="21"/>
      <c r="C511" s="22"/>
      <c r="D511" s="22"/>
      <c r="E511" s="2"/>
      <c r="F511" s="23"/>
      <c r="G511" s="24"/>
      <c r="I511" s="20"/>
      <c r="J511" s="21"/>
      <c r="K511" s="31"/>
      <c r="L511" s="22"/>
      <c r="M511" s="2"/>
      <c r="N511" s="23"/>
      <c r="O511" s="24"/>
      <c r="P511" s="19">
        <f t="shared" si="2"/>
        <v>0</v>
      </c>
    </row>
    <row r="512" ht="22.5" customHeight="1">
      <c r="A512" s="20"/>
      <c r="B512" s="21"/>
      <c r="C512" s="22"/>
      <c r="D512" s="22"/>
      <c r="E512" s="2"/>
      <c r="F512" s="23"/>
      <c r="G512" s="24"/>
      <c r="I512" s="20"/>
      <c r="J512" s="21"/>
      <c r="K512" s="31"/>
      <c r="L512" s="22"/>
      <c r="M512" s="2"/>
      <c r="N512" s="23"/>
      <c r="O512" s="24"/>
      <c r="P512" s="19">
        <f t="shared" si="2"/>
        <v>0</v>
      </c>
    </row>
    <row r="513" ht="22.5" customHeight="1">
      <c r="A513" s="20"/>
      <c r="B513" s="21"/>
      <c r="C513" s="31"/>
      <c r="D513" s="22"/>
      <c r="E513" s="2"/>
      <c r="F513" s="23"/>
      <c r="G513" s="24"/>
      <c r="I513" s="20"/>
      <c r="J513" s="21"/>
      <c r="K513" s="31"/>
      <c r="L513" s="22"/>
      <c r="M513" s="2"/>
      <c r="N513" s="23"/>
      <c r="O513" s="24"/>
      <c r="P513" s="19">
        <f t="shared" si="2"/>
        <v>0</v>
      </c>
    </row>
    <row r="514" ht="22.5" customHeight="1">
      <c r="A514" s="20"/>
      <c r="B514" s="21"/>
      <c r="C514" s="31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19">
        <f t="shared" si="2"/>
        <v>0</v>
      </c>
    </row>
    <row r="515" ht="22.5" customHeight="1">
      <c r="A515" s="20"/>
      <c r="B515" s="21"/>
      <c r="C515" s="31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19">
        <f t="shared" si="2"/>
        <v>0</v>
      </c>
    </row>
    <row r="516" ht="22.5" customHeight="1">
      <c r="A516" s="20"/>
      <c r="B516" s="21"/>
      <c r="C516" s="31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19">
        <f t="shared" si="2"/>
        <v>0</v>
      </c>
    </row>
    <row r="517" ht="22.5" customHeight="1">
      <c r="A517" s="20"/>
      <c r="B517" s="21"/>
      <c r="C517" s="31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19">
        <f t="shared" si="2"/>
        <v>0</v>
      </c>
    </row>
    <row r="518" ht="22.5" customHeight="1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19">
        <f t="shared" si="2"/>
        <v>0</v>
      </c>
    </row>
    <row r="519" ht="22.5" customHeight="1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19">
        <f t="shared" si="2"/>
        <v>0</v>
      </c>
    </row>
    <row r="520" ht="22.5" customHeight="1">
      <c r="A520" s="20"/>
      <c r="B520" s="21"/>
      <c r="C520" s="31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19">
        <f t="shared" si="2"/>
        <v>0</v>
      </c>
    </row>
    <row r="521" ht="22.5" customHeight="1">
      <c r="A521" s="20"/>
      <c r="B521" s="21"/>
      <c r="C521" s="31"/>
      <c r="D521" s="22"/>
      <c r="E521" s="2"/>
      <c r="F521" s="23"/>
      <c r="G521" s="24"/>
      <c r="I521" s="20"/>
      <c r="J521" s="21"/>
      <c r="K521" s="31"/>
      <c r="L521" s="22"/>
      <c r="M521" s="2"/>
      <c r="N521" s="23"/>
      <c r="O521" s="24"/>
      <c r="P521" s="19">
        <f t="shared" si="2"/>
        <v>0</v>
      </c>
    </row>
    <row r="522" ht="22.5" customHeight="1">
      <c r="A522" s="20"/>
      <c r="B522" s="21"/>
      <c r="C522" s="31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19">
        <f t="shared" si="2"/>
        <v>0</v>
      </c>
    </row>
    <row r="523" ht="22.5" customHeight="1">
      <c r="A523" s="20"/>
      <c r="B523" s="21"/>
      <c r="C523" s="31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19">
        <f t="shared" si="2"/>
        <v>0</v>
      </c>
    </row>
    <row r="524" ht="22.5" customHeight="1">
      <c r="A524" s="20"/>
      <c r="B524" s="21"/>
      <c r="C524" s="31"/>
      <c r="D524" s="22"/>
      <c r="E524" s="2"/>
      <c r="F524" s="23"/>
      <c r="G524" s="24"/>
      <c r="I524" s="20"/>
      <c r="J524" s="21"/>
      <c r="K524" s="31"/>
      <c r="L524" s="22"/>
      <c r="M524" s="2"/>
      <c r="N524" s="23"/>
      <c r="O524" s="24"/>
      <c r="P524" s="19">
        <f t="shared" si="2"/>
        <v>0</v>
      </c>
    </row>
    <row r="525" ht="22.5" customHeight="1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19">
        <f t="shared" si="2"/>
        <v>0</v>
      </c>
    </row>
    <row r="526" ht="22.5" customHeight="1">
      <c r="A526" s="20"/>
      <c r="B526" s="21"/>
      <c r="C526" s="31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19">
        <f t="shared" si="2"/>
        <v>0</v>
      </c>
    </row>
    <row r="527" ht="22.5" customHeight="1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19">
        <f t="shared" si="2"/>
        <v>0</v>
      </c>
    </row>
    <row r="528" ht="22.5" customHeight="1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19">
        <f t="shared" si="2"/>
        <v>0</v>
      </c>
    </row>
    <row r="529" ht="22.5" customHeight="1">
      <c r="A529" s="20"/>
      <c r="B529" s="21"/>
      <c r="C529" s="31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19">
        <f t="shared" si="2"/>
        <v>0</v>
      </c>
    </row>
    <row r="530" ht="22.5" customHeight="1">
      <c r="A530" s="20"/>
      <c r="B530" s="21"/>
      <c r="C530" s="22"/>
      <c r="D530" s="22"/>
      <c r="E530" s="2"/>
      <c r="F530" s="23"/>
      <c r="G530" s="24"/>
      <c r="I530" s="20"/>
      <c r="J530" s="21"/>
      <c r="K530" s="31"/>
      <c r="L530" s="22"/>
      <c r="M530" s="2"/>
      <c r="N530" s="23"/>
      <c r="O530" s="24"/>
      <c r="P530" s="19">
        <f t="shared" si="2"/>
        <v>0</v>
      </c>
    </row>
    <row r="531" ht="22.5" customHeight="1">
      <c r="A531" s="20"/>
      <c r="B531" s="21"/>
      <c r="C531" s="31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19">
        <f t="shared" si="2"/>
        <v>0</v>
      </c>
    </row>
    <row r="532" ht="22.5" customHeight="1">
      <c r="A532" s="20"/>
      <c r="B532" s="21"/>
      <c r="C532" s="31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19">
        <f t="shared" si="2"/>
        <v>0</v>
      </c>
    </row>
    <row r="533" ht="22.5" customHeight="1">
      <c r="A533" s="20"/>
      <c r="B533" s="21"/>
      <c r="C533" s="31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19">
        <f t="shared" si="2"/>
        <v>0</v>
      </c>
    </row>
    <row r="534" ht="22.5" customHeight="1">
      <c r="A534" s="20"/>
      <c r="B534" s="21"/>
      <c r="C534" s="31"/>
      <c r="D534" s="22"/>
      <c r="E534" s="2"/>
      <c r="F534" s="23"/>
      <c r="G534" s="24"/>
      <c r="I534" s="20"/>
      <c r="J534" s="21"/>
      <c r="K534" s="31"/>
      <c r="L534" s="22"/>
      <c r="M534" s="2"/>
      <c r="N534" s="23"/>
      <c r="O534" s="24"/>
      <c r="P534" s="19">
        <f t="shared" si="2"/>
        <v>0</v>
      </c>
    </row>
    <row r="535" ht="22.5" customHeight="1">
      <c r="A535" s="20"/>
      <c r="B535" s="21"/>
      <c r="C535" s="22"/>
      <c r="D535" s="22"/>
      <c r="E535" s="2"/>
      <c r="F535" s="23"/>
      <c r="G535" s="24"/>
      <c r="I535" s="20"/>
      <c r="J535" s="21"/>
      <c r="K535" s="31"/>
      <c r="L535" s="22"/>
      <c r="M535" s="2"/>
      <c r="N535" s="23"/>
      <c r="O535" s="24"/>
      <c r="P535" s="19">
        <f t="shared" si="2"/>
        <v>0</v>
      </c>
    </row>
    <row r="536" ht="22.5" customHeight="1">
      <c r="A536" s="20"/>
      <c r="B536" s="21"/>
      <c r="C536" s="31"/>
      <c r="D536" s="22"/>
      <c r="E536" s="2"/>
      <c r="F536" s="23"/>
      <c r="G536" s="24"/>
      <c r="I536" s="20"/>
      <c r="J536" s="21"/>
      <c r="K536" s="31"/>
      <c r="L536" s="22"/>
      <c r="M536" s="2"/>
      <c r="N536" s="23"/>
      <c r="O536" s="24"/>
      <c r="P536" s="19">
        <f t="shared" si="2"/>
        <v>0</v>
      </c>
    </row>
    <row r="537" ht="22.5" customHeight="1">
      <c r="A537" s="20"/>
      <c r="B537" s="21"/>
      <c r="C537" s="31"/>
      <c r="D537" s="22"/>
      <c r="E537" s="2"/>
      <c r="F537" s="23"/>
      <c r="G537" s="24"/>
      <c r="I537" s="20"/>
      <c r="J537" s="21"/>
      <c r="K537" s="31"/>
      <c r="L537" s="22"/>
      <c r="M537" s="2"/>
      <c r="N537" s="23"/>
      <c r="O537" s="24"/>
      <c r="P537" s="19">
        <f t="shared" si="2"/>
        <v>0</v>
      </c>
    </row>
    <row r="538" ht="22.5" customHeight="1">
      <c r="A538" s="20"/>
      <c r="B538" s="21"/>
      <c r="C538" s="31"/>
      <c r="D538" s="22"/>
      <c r="E538" s="2"/>
      <c r="F538" s="23"/>
      <c r="G538" s="24"/>
      <c r="I538" s="20"/>
      <c r="J538" s="21"/>
      <c r="K538" s="31"/>
      <c r="L538" s="22"/>
      <c r="M538" s="2"/>
      <c r="N538" s="23"/>
      <c r="O538" s="24"/>
      <c r="P538" s="19">
        <f t="shared" si="2"/>
        <v>0</v>
      </c>
    </row>
    <row r="539" ht="22.5" customHeight="1">
      <c r="A539" s="20"/>
      <c r="B539" s="21"/>
      <c r="C539" s="22"/>
      <c r="D539" s="22"/>
      <c r="E539" s="2"/>
      <c r="F539" s="23"/>
      <c r="G539" s="24"/>
      <c r="I539" s="20"/>
      <c r="J539" s="21"/>
      <c r="K539" s="31"/>
      <c r="L539" s="22"/>
      <c r="M539" s="2"/>
      <c r="N539" s="23"/>
      <c r="O539" s="24"/>
      <c r="P539" s="19">
        <f t="shared" si="2"/>
        <v>0</v>
      </c>
    </row>
    <row r="540" ht="22.5" customHeight="1">
      <c r="A540" s="20"/>
      <c r="B540" s="21"/>
      <c r="C540" s="31"/>
      <c r="D540" s="22"/>
      <c r="E540" s="2"/>
      <c r="F540" s="23"/>
      <c r="G540" s="24"/>
      <c r="I540" s="20"/>
      <c r="J540" s="21"/>
      <c r="K540" s="31"/>
      <c r="L540" s="22"/>
      <c r="M540" s="2"/>
      <c r="N540" s="23"/>
      <c r="O540" s="24"/>
      <c r="P540" s="19">
        <f t="shared" si="2"/>
        <v>0</v>
      </c>
    </row>
    <row r="541" ht="22.5" customHeight="1">
      <c r="A541" s="20"/>
      <c r="B541" s="21"/>
      <c r="C541" s="22"/>
      <c r="D541" s="22"/>
      <c r="E541" s="2"/>
      <c r="F541" s="23"/>
      <c r="G541" s="24"/>
      <c r="I541" s="20"/>
      <c r="J541" s="21"/>
      <c r="K541" s="31"/>
      <c r="L541" s="22"/>
      <c r="M541" s="2"/>
      <c r="N541" s="23"/>
      <c r="O541" s="24"/>
      <c r="P541" s="19">
        <f t="shared" si="2"/>
        <v>0</v>
      </c>
    </row>
    <row r="542" ht="22.5" customHeight="1">
      <c r="A542" s="20"/>
      <c r="B542" s="21"/>
      <c r="C542" s="22"/>
      <c r="D542" s="22"/>
      <c r="E542" s="2"/>
      <c r="F542" s="23"/>
      <c r="G542" s="24"/>
      <c r="I542" s="20"/>
      <c r="J542" s="21"/>
      <c r="K542" s="31"/>
      <c r="L542" s="22"/>
      <c r="M542" s="2"/>
      <c r="N542" s="23"/>
      <c r="O542" s="24"/>
      <c r="P542" s="19">
        <f t="shared" si="2"/>
        <v>0</v>
      </c>
    </row>
    <row r="543" ht="22.5" customHeight="1">
      <c r="A543" s="20"/>
      <c r="B543" s="21"/>
      <c r="C543" s="22"/>
      <c r="D543" s="22"/>
      <c r="E543" s="2"/>
      <c r="F543" s="23"/>
      <c r="G543" s="24"/>
      <c r="I543" s="20"/>
      <c r="J543" s="21"/>
      <c r="K543" s="31"/>
      <c r="L543" s="22"/>
      <c r="M543" s="2"/>
      <c r="N543" s="23"/>
      <c r="O543" s="24"/>
      <c r="P543" s="19">
        <f t="shared" si="2"/>
        <v>0</v>
      </c>
    </row>
    <row r="544" ht="22.5" customHeight="1">
      <c r="A544" s="20"/>
      <c r="B544" s="21"/>
      <c r="C544" s="31"/>
      <c r="D544" s="22"/>
      <c r="E544" s="2"/>
      <c r="F544" s="23"/>
      <c r="G544" s="24"/>
      <c r="I544" s="20"/>
      <c r="J544" s="21"/>
      <c r="K544" s="31"/>
      <c r="L544" s="22"/>
      <c r="M544" s="2"/>
      <c r="N544" s="23"/>
      <c r="O544" s="24"/>
      <c r="P544" s="19">
        <f t="shared" si="2"/>
        <v>0</v>
      </c>
    </row>
    <row r="545" ht="22.5" customHeight="1">
      <c r="A545" s="20"/>
      <c r="B545" s="21"/>
      <c r="C545" s="31"/>
      <c r="D545" s="22"/>
      <c r="E545" s="2"/>
      <c r="F545" s="23"/>
      <c r="G545" s="24"/>
      <c r="I545" s="20"/>
      <c r="J545" s="21"/>
      <c r="K545" s="31"/>
      <c r="L545" s="22"/>
      <c r="M545" s="2"/>
      <c r="N545" s="23"/>
      <c r="O545" s="24"/>
      <c r="P545" s="19">
        <f t="shared" si="2"/>
        <v>0</v>
      </c>
    </row>
    <row r="546" ht="22.5" customHeight="1">
      <c r="A546" s="20"/>
      <c r="B546" s="21"/>
      <c r="C546" s="31"/>
      <c r="D546" s="22"/>
      <c r="E546" s="2"/>
      <c r="F546" s="23"/>
      <c r="G546" s="24"/>
      <c r="I546" s="20"/>
      <c r="J546" s="21"/>
      <c r="K546" s="31"/>
      <c r="L546" s="22"/>
      <c r="M546" s="2"/>
      <c r="N546" s="23"/>
      <c r="O546" s="24"/>
      <c r="P546" s="19">
        <f t="shared" si="2"/>
        <v>0</v>
      </c>
    </row>
    <row r="547" ht="22.5" customHeight="1">
      <c r="A547" s="20"/>
      <c r="B547" s="21"/>
      <c r="C547" s="31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19">
        <f t="shared" si="2"/>
        <v>0</v>
      </c>
    </row>
    <row r="548" ht="22.5" customHeight="1">
      <c r="A548" s="20"/>
      <c r="B548" s="21"/>
      <c r="C548" s="31"/>
      <c r="D548" s="22"/>
      <c r="E548" s="2"/>
      <c r="F548" s="23"/>
      <c r="G548" s="24"/>
      <c r="I548" s="20"/>
      <c r="J548" s="21"/>
      <c r="K548" s="31"/>
      <c r="L548" s="22"/>
      <c r="M548" s="2"/>
      <c r="N548" s="23"/>
      <c r="O548" s="24"/>
      <c r="P548" s="19">
        <f t="shared" si="2"/>
        <v>0</v>
      </c>
    </row>
    <row r="549" ht="22.5" customHeight="1">
      <c r="A549" s="20"/>
      <c r="B549" s="21"/>
      <c r="C549" s="22"/>
      <c r="D549" s="22"/>
      <c r="E549" s="2"/>
      <c r="F549" s="23"/>
      <c r="G549" s="24"/>
      <c r="I549" s="20"/>
      <c r="J549" s="21"/>
      <c r="K549" s="31"/>
      <c r="L549" s="22"/>
      <c r="M549" s="2"/>
      <c r="N549" s="23"/>
      <c r="O549" s="24"/>
      <c r="P549" s="19">
        <f t="shared" si="2"/>
        <v>0</v>
      </c>
    </row>
    <row r="550" ht="22.5" customHeight="1">
      <c r="A550" s="20"/>
      <c r="B550" s="21"/>
      <c r="C550" s="31"/>
      <c r="D550" s="22"/>
      <c r="E550" s="2"/>
      <c r="F550" s="23"/>
      <c r="G550" s="24"/>
      <c r="I550" s="20"/>
      <c r="J550" s="21"/>
      <c r="K550" s="31"/>
      <c r="L550" s="22"/>
      <c r="M550" s="2"/>
      <c r="N550" s="23"/>
      <c r="O550" s="24"/>
      <c r="P550" s="19">
        <f t="shared" si="2"/>
        <v>0</v>
      </c>
    </row>
    <row r="551" ht="22.5" customHeight="1">
      <c r="A551" s="20"/>
      <c r="B551" s="21"/>
      <c r="C551" s="31"/>
      <c r="D551" s="22"/>
      <c r="E551" s="2"/>
      <c r="F551" s="23"/>
      <c r="G551" s="24"/>
      <c r="I551" s="20"/>
      <c r="J551" s="21"/>
      <c r="K551" s="31"/>
      <c r="L551" s="22"/>
      <c r="M551" s="2"/>
      <c r="N551" s="23"/>
      <c r="O551" s="24"/>
      <c r="P551" s="19">
        <f t="shared" si="2"/>
        <v>0</v>
      </c>
    </row>
    <row r="552" ht="22.5" customHeight="1">
      <c r="A552" s="20"/>
      <c r="B552" s="21"/>
      <c r="C552" s="22"/>
      <c r="D552" s="22"/>
      <c r="E552" s="2"/>
      <c r="F552" s="23"/>
      <c r="G552" s="24"/>
      <c r="I552" s="20"/>
      <c r="J552" s="21"/>
      <c r="K552" s="31"/>
      <c r="L552" s="22"/>
      <c r="M552" s="2"/>
      <c r="N552" s="2"/>
      <c r="O552" s="24"/>
      <c r="P552" s="19">
        <f t="shared" si="2"/>
        <v>0</v>
      </c>
    </row>
    <row r="553" ht="22.5" customHeight="1">
      <c r="A553" s="20"/>
      <c r="B553" s="21"/>
      <c r="C553" s="31"/>
      <c r="D553" s="22"/>
      <c r="E553" s="2"/>
      <c r="F553" s="23"/>
      <c r="G553" s="24"/>
      <c r="I553" s="25"/>
      <c r="J553" s="39"/>
      <c r="K553" s="40"/>
      <c r="L553" s="40"/>
      <c r="M553" s="41"/>
      <c r="N553" s="42"/>
      <c r="O553" s="43"/>
      <c r="P553" s="19">
        <f t="shared" si="2"/>
        <v>0</v>
      </c>
    </row>
    <row r="554" ht="22.5" customHeight="1">
      <c r="A554" s="20"/>
      <c r="B554" s="21"/>
      <c r="C554" s="31"/>
      <c r="D554" s="22"/>
      <c r="E554" s="2"/>
      <c r="F554" s="23"/>
      <c r="G554" s="24"/>
      <c r="I554" s="20"/>
      <c r="J554" s="21"/>
      <c r="K554" s="31"/>
      <c r="L554" s="22"/>
      <c r="M554" s="2"/>
      <c r="N554" s="23"/>
      <c r="O554" s="24"/>
      <c r="P554" s="19">
        <f t="shared" si="2"/>
        <v>0</v>
      </c>
    </row>
    <row r="555" ht="22.5" customHeight="1">
      <c r="A555" s="20"/>
      <c r="B555" s="21"/>
      <c r="C555" s="31"/>
      <c r="D555" s="22"/>
      <c r="E555" s="2"/>
      <c r="F555" s="23"/>
      <c r="G555" s="24"/>
      <c r="I555" s="20"/>
      <c r="J555" s="21"/>
      <c r="K555" s="31"/>
      <c r="L555" s="22"/>
      <c r="M555" s="2"/>
      <c r="N555" s="23"/>
      <c r="O555" s="24"/>
      <c r="P555" s="19">
        <f t="shared" si="2"/>
        <v>0</v>
      </c>
    </row>
    <row r="556" ht="22.5" customHeight="1">
      <c r="A556" s="20"/>
      <c r="B556" s="21"/>
      <c r="C556" s="31"/>
      <c r="D556" s="22"/>
      <c r="E556" s="2"/>
      <c r="F556" s="23"/>
      <c r="G556" s="24"/>
      <c r="I556" s="20"/>
      <c r="J556" s="21"/>
      <c r="K556" s="31"/>
      <c r="L556" s="22"/>
      <c r="M556" s="2"/>
      <c r="N556" s="23"/>
      <c r="O556" s="24"/>
      <c r="P556" s="19">
        <f t="shared" si="2"/>
        <v>0</v>
      </c>
    </row>
    <row r="557" ht="22.5" customHeight="1">
      <c r="A557" s="20"/>
      <c r="B557" s="21"/>
      <c r="C557" s="22"/>
      <c r="D557" s="22"/>
      <c r="E557" s="2"/>
      <c r="F557" s="23"/>
      <c r="G557" s="24"/>
      <c r="I557" s="20"/>
      <c r="J557" s="21"/>
      <c r="K557" s="31"/>
      <c r="L557" s="22"/>
      <c r="M557" s="2"/>
      <c r="N557" s="23"/>
      <c r="O557" s="24"/>
      <c r="P557" s="19">
        <f t="shared" si="2"/>
        <v>0</v>
      </c>
    </row>
    <row r="558" ht="22.5" customHeight="1">
      <c r="A558" s="20"/>
      <c r="B558" s="21"/>
      <c r="C558" s="22"/>
      <c r="D558" s="22"/>
      <c r="E558" s="2"/>
      <c r="F558" s="23"/>
      <c r="G558" s="24"/>
      <c r="I558" s="20"/>
      <c r="J558" s="21"/>
      <c r="K558" s="31"/>
      <c r="L558" s="22"/>
      <c r="M558" s="2"/>
      <c r="N558" s="23"/>
      <c r="O558" s="24"/>
      <c r="P558" s="19">
        <f t="shared" si="2"/>
        <v>0</v>
      </c>
    </row>
    <row r="559" ht="22.5" customHeight="1">
      <c r="A559" s="20"/>
      <c r="B559" s="21"/>
      <c r="C559" s="22"/>
      <c r="D559" s="22"/>
      <c r="E559" s="2"/>
      <c r="F559" s="23"/>
      <c r="G559" s="24"/>
      <c r="I559" s="20"/>
      <c r="J559" s="21"/>
      <c r="K559" s="31"/>
      <c r="L559" s="22"/>
      <c r="M559" s="2"/>
      <c r="N559" s="23"/>
      <c r="O559" s="24"/>
      <c r="P559" s="19">
        <f t="shared" si="2"/>
        <v>0</v>
      </c>
    </row>
    <row r="560" ht="22.5" customHeight="1">
      <c r="A560" s="20"/>
      <c r="B560" s="21"/>
      <c r="C560" s="31"/>
      <c r="D560" s="22"/>
      <c r="E560" s="2"/>
      <c r="F560" s="23"/>
      <c r="G560" s="24"/>
      <c r="I560" s="20"/>
      <c r="J560" s="21"/>
      <c r="K560" s="31"/>
      <c r="L560" s="22"/>
      <c r="M560" s="2"/>
      <c r="N560" s="23"/>
      <c r="O560" s="24"/>
      <c r="P560" s="19">
        <f t="shared" si="2"/>
        <v>0</v>
      </c>
    </row>
    <row r="561" ht="22.5" customHeight="1">
      <c r="A561" s="20"/>
      <c r="B561" s="21"/>
      <c r="C561" s="22"/>
      <c r="D561" s="22"/>
      <c r="E561" s="2"/>
      <c r="F561" s="23"/>
      <c r="G561" s="24"/>
      <c r="I561" s="20"/>
      <c r="J561" s="21"/>
      <c r="K561" s="31"/>
      <c r="L561" s="22"/>
      <c r="M561" s="2"/>
      <c r="N561" s="23"/>
      <c r="O561" s="24"/>
      <c r="P561" s="19">
        <f t="shared" si="2"/>
        <v>0</v>
      </c>
    </row>
    <row r="562" ht="22.5" customHeight="1">
      <c r="A562" s="20"/>
      <c r="B562" s="21"/>
      <c r="C562" s="22"/>
      <c r="D562" s="22"/>
      <c r="E562" s="2"/>
      <c r="F562" s="23"/>
      <c r="G562" s="24"/>
      <c r="I562" s="20"/>
      <c r="J562" s="21"/>
      <c r="K562" s="31"/>
      <c r="L562" s="22"/>
      <c r="M562" s="2"/>
      <c r="N562" s="23"/>
      <c r="O562" s="24"/>
      <c r="P562" s="19">
        <f t="shared" si="2"/>
        <v>0</v>
      </c>
    </row>
    <row r="563" ht="22.5" customHeight="1">
      <c r="A563" s="20"/>
      <c r="B563" s="21"/>
      <c r="C563" s="22"/>
      <c r="D563" s="22"/>
      <c r="E563" s="2"/>
      <c r="F563" s="23"/>
      <c r="G563" s="24"/>
      <c r="I563" s="20"/>
      <c r="J563" s="21"/>
      <c r="K563" s="31"/>
      <c r="L563" s="22"/>
      <c r="M563" s="2"/>
      <c r="N563" s="23"/>
      <c r="O563" s="24"/>
      <c r="P563" s="19">
        <f t="shared" si="2"/>
        <v>0</v>
      </c>
    </row>
    <row r="564" ht="22.5" customHeight="1">
      <c r="A564" s="20"/>
      <c r="B564" s="21"/>
      <c r="C564" s="31"/>
      <c r="D564" s="22"/>
      <c r="E564" s="2"/>
      <c r="F564" s="23"/>
      <c r="G564" s="24"/>
      <c r="I564" s="20"/>
      <c r="J564" s="21"/>
      <c r="K564" s="31"/>
      <c r="L564" s="22"/>
      <c r="M564" s="2"/>
      <c r="N564" s="23"/>
      <c r="O564" s="24"/>
      <c r="P564" s="19">
        <f t="shared" si="2"/>
        <v>0</v>
      </c>
    </row>
    <row r="565" ht="22.5" customHeight="1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19">
        <f t="shared" si="2"/>
        <v>0</v>
      </c>
    </row>
    <row r="566" ht="22.5" customHeight="1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19">
        <f t="shared" si="2"/>
        <v>0</v>
      </c>
    </row>
    <row r="567" ht="22.5" customHeight="1">
      <c r="A567" s="20"/>
      <c r="B567" s="21"/>
      <c r="C567" s="31"/>
      <c r="D567" s="22"/>
      <c r="E567" s="2"/>
      <c r="F567" s="23"/>
      <c r="G567" s="24"/>
      <c r="I567" s="20"/>
      <c r="J567" s="21"/>
      <c r="K567" s="31"/>
      <c r="L567" s="22"/>
      <c r="M567" s="2"/>
      <c r="N567" s="23"/>
      <c r="O567" s="24"/>
      <c r="P567" s="19">
        <f t="shared" si="2"/>
        <v>0</v>
      </c>
    </row>
    <row r="568" ht="22.5" customHeight="1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19">
        <f t="shared" si="2"/>
        <v>0</v>
      </c>
    </row>
    <row r="569" ht="22.5" customHeight="1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19">
        <f t="shared" si="2"/>
        <v>0</v>
      </c>
    </row>
    <row r="570" ht="22.5" customHeight="1">
      <c r="A570" s="20"/>
      <c r="B570" s="21"/>
      <c r="C570" s="22"/>
      <c r="D570" s="22"/>
      <c r="E570" s="2"/>
      <c r="F570" s="23"/>
      <c r="G570" s="24"/>
      <c r="I570" s="20"/>
      <c r="J570" s="21"/>
      <c r="K570" s="31"/>
      <c r="L570" s="22"/>
      <c r="M570" s="2"/>
      <c r="N570" s="23"/>
      <c r="O570" s="24"/>
      <c r="P570" s="19">
        <f t="shared" si="2"/>
        <v>0</v>
      </c>
    </row>
    <row r="571" ht="22.5" customHeight="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19">
        <f t="shared" si="2"/>
        <v>0</v>
      </c>
    </row>
    <row r="572" ht="22.5" customHeight="1">
      <c r="A572" s="20"/>
      <c r="B572" s="21"/>
      <c r="C572" s="31"/>
      <c r="D572" s="22"/>
      <c r="E572" s="2"/>
      <c r="F572" s="23"/>
      <c r="G572" s="24"/>
      <c r="I572" s="20"/>
      <c r="J572" s="21"/>
      <c r="K572" s="31"/>
      <c r="L572" s="22"/>
      <c r="M572" s="2"/>
      <c r="N572" s="23"/>
      <c r="O572" s="24"/>
      <c r="P572" s="19">
        <f t="shared" si="2"/>
        <v>0</v>
      </c>
    </row>
    <row r="573" ht="22.5" customHeight="1">
      <c r="A573" s="20"/>
      <c r="B573" s="21"/>
      <c r="C573" s="31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19">
        <f t="shared" si="2"/>
        <v>0</v>
      </c>
    </row>
    <row r="574" ht="22.5" customHeight="1">
      <c r="A574" s="20"/>
      <c r="B574" s="21"/>
      <c r="C574" s="31"/>
      <c r="D574" s="22"/>
      <c r="E574" s="2"/>
      <c r="F574" s="23"/>
      <c r="G574" s="24"/>
      <c r="I574" s="20"/>
      <c r="J574" s="21"/>
      <c r="K574" s="31"/>
      <c r="L574" s="22"/>
      <c r="M574" s="2"/>
      <c r="N574" s="23"/>
      <c r="O574" s="24"/>
      <c r="P574" s="19">
        <f t="shared" si="2"/>
        <v>0</v>
      </c>
    </row>
    <row r="575" ht="22.5" customHeight="1">
      <c r="A575" s="20"/>
      <c r="B575" s="21"/>
      <c r="C575" s="31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19">
        <f t="shared" si="2"/>
        <v>0</v>
      </c>
    </row>
    <row r="576" ht="22.5" customHeight="1">
      <c r="A576" s="20"/>
      <c r="B576" s="21"/>
      <c r="C576" s="31"/>
      <c r="D576" s="22"/>
      <c r="E576" s="2"/>
      <c r="F576" s="23"/>
      <c r="G576" s="24"/>
      <c r="I576" s="20"/>
      <c r="J576" s="21"/>
      <c r="K576" s="31"/>
      <c r="L576" s="22"/>
      <c r="M576" s="2"/>
      <c r="N576" s="23"/>
      <c r="O576" s="24"/>
      <c r="P576" s="19">
        <f t="shared" si="2"/>
        <v>0</v>
      </c>
    </row>
    <row r="577" ht="22.5" customHeight="1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19">
        <f t="shared" si="2"/>
        <v>0</v>
      </c>
    </row>
    <row r="578" ht="22.5" customHeight="1">
      <c r="A578" s="20"/>
      <c r="B578" s="21"/>
      <c r="C578" s="31"/>
      <c r="D578" s="22"/>
      <c r="E578" s="2"/>
      <c r="F578" s="23"/>
      <c r="G578" s="24"/>
      <c r="I578" s="20"/>
      <c r="J578" s="21"/>
      <c r="K578" s="31"/>
      <c r="L578" s="22"/>
      <c r="M578" s="2"/>
      <c r="N578" s="23"/>
      <c r="O578" s="24"/>
      <c r="P578" s="19">
        <f t="shared" si="2"/>
        <v>0</v>
      </c>
    </row>
    <row r="579" ht="22.5" customHeight="1">
      <c r="A579" s="20"/>
      <c r="B579" s="21"/>
      <c r="C579" s="31"/>
      <c r="D579" s="22"/>
      <c r="E579" s="2"/>
      <c r="F579" s="23"/>
      <c r="G579" s="24"/>
      <c r="I579" s="20"/>
      <c r="J579" s="21"/>
      <c r="K579" s="31"/>
      <c r="L579" s="22"/>
      <c r="M579" s="2"/>
      <c r="N579" s="23"/>
      <c r="O579" s="24"/>
      <c r="P579" s="19">
        <f t="shared" si="2"/>
        <v>0</v>
      </c>
    </row>
    <row r="580" ht="22.5" customHeight="1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19">
        <f t="shared" si="2"/>
        <v>0</v>
      </c>
    </row>
    <row r="581" ht="22.5" customHeight="1">
      <c r="A581" s="20"/>
      <c r="B581" s="21"/>
      <c r="C581" s="31"/>
      <c r="D581" s="22"/>
      <c r="E581" s="2"/>
      <c r="F581" s="23"/>
      <c r="G581" s="24"/>
      <c r="I581" s="20"/>
      <c r="J581" s="21"/>
      <c r="K581" s="31"/>
      <c r="L581" s="22"/>
      <c r="M581" s="2"/>
      <c r="N581" s="23"/>
      <c r="O581" s="24"/>
      <c r="P581" s="19">
        <f t="shared" si="2"/>
        <v>0</v>
      </c>
    </row>
    <row r="582" ht="22.5" customHeight="1">
      <c r="A582" s="20"/>
      <c r="B582" s="21"/>
      <c r="C582" s="31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19">
        <f t="shared" si="2"/>
        <v>0</v>
      </c>
    </row>
    <row r="583" ht="22.5" customHeight="1">
      <c r="A583" s="20"/>
      <c r="B583" s="21"/>
      <c r="C583" s="31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19">
        <f t="shared" si="2"/>
        <v>0</v>
      </c>
    </row>
    <row r="584" ht="22.5" customHeight="1">
      <c r="A584" s="20"/>
      <c r="B584" s="21"/>
      <c r="C584" s="31"/>
      <c r="D584" s="22"/>
      <c r="E584" s="2"/>
      <c r="F584" s="23"/>
      <c r="G584" s="24"/>
      <c r="I584" s="20"/>
      <c r="J584" s="21"/>
      <c r="K584" s="31"/>
      <c r="L584" s="22"/>
      <c r="M584" s="2"/>
      <c r="N584" s="23"/>
      <c r="O584" s="24"/>
      <c r="P584" s="19">
        <f t="shared" si="2"/>
        <v>0</v>
      </c>
    </row>
    <row r="585" ht="22.5" customHeight="1">
      <c r="A585" s="20"/>
      <c r="B585" s="21"/>
      <c r="C585" s="31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19">
        <f t="shared" si="2"/>
        <v>0</v>
      </c>
    </row>
    <row r="586" ht="22.5" customHeight="1">
      <c r="A586" s="20"/>
      <c r="B586" s="21"/>
      <c r="C586" s="31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19">
        <f t="shared" si="2"/>
        <v>0</v>
      </c>
    </row>
    <row r="587" ht="22.5" customHeight="1">
      <c r="A587" s="20"/>
      <c r="B587" s="21"/>
      <c r="C587" s="31"/>
      <c r="D587" s="22"/>
      <c r="E587" s="2"/>
      <c r="F587" s="23"/>
      <c r="G587" s="24"/>
      <c r="I587" s="20"/>
      <c r="J587" s="21"/>
      <c r="K587" s="31"/>
      <c r="L587" s="22"/>
      <c r="M587" s="2"/>
      <c r="N587" s="23"/>
      <c r="O587" s="24"/>
      <c r="P587" s="19">
        <f t="shared" si="2"/>
        <v>0</v>
      </c>
    </row>
    <row r="588" ht="22.5" customHeight="1">
      <c r="A588" s="20"/>
      <c r="B588" s="21"/>
      <c r="C588" s="31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19">
        <f t="shared" si="2"/>
        <v>0</v>
      </c>
    </row>
    <row r="589" ht="22.5" customHeight="1">
      <c r="A589" s="20"/>
      <c r="B589" s="21"/>
      <c r="C589" s="31"/>
      <c r="D589" s="22"/>
      <c r="E589" s="2"/>
      <c r="F589" s="23"/>
      <c r="G589" s="24"/>
      <c r="I589" s="20"/>
      <c r="J589" s="21"/>
      <c r="K589" s="31"/>
      <c r="L589" s="22"/>
      <c r="M589" s="2"/>
      <c r="N589" s="23"/>
      <c r="O589" s="24"/>
      <c r="P589" s="19">
        <f t="shared" si="2"/>
        <v>0</v>
      </c>
    </row>
    <row r="590" ht="22.5" customHeight="1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19">
        <f t="shared" si="2"/>
        <v>0</v>
      </c>
    </row>
    <row r="591" ht="22.5" customHeight="1">
      <c r="A591" s="20"/>
      <c r="B591" s="21"/>
      <c r="C591" s="31"/>
      <c r="D591" s="22"/>
      <c r="E591" s="2"/>
      <c r="F591" s="23"/>
      <c r="G591" s="24"/>
      <c r="I591" s="20"/>
      <c r="J591" s="21"/>
      <c r="K591" s="31"/>
      <c r="L591" s="22"/>
      <c r="M591" s="2"/>
      <c r="N591" s="23"/>
      <c r="O591" s="24"/>
      <c r="P591" s="19">
        <f t="shared" si="2"/>
        <v>0</v>
      </c>
    </row>
    <row r="592" ht="22.5" customHeight="1">
      <c r="A592" s="20"/>
      <c r="B592" s="21"/>
      <c r="C592" s="22"/>
      <c r="D592" s="22"/>
      <c r="E592" s="2"/>
      <c r="F592" s="23"/>
      <c r="G592" s="24"/>
      <c r="I592" s="20"/>
      <c r="J592" s="21"/>
      <c r="K592" s="31"/>
      <c r="L592" s="22"/>
      <c r="M592" s="2"/>
      <c r="N592" s="23"/>
      <c r="O592" s="24"/>
      <c r="P592" s="19">
        <f t="shared" si="2"/>
        <v>0</v>
      </c>
    </row>
    <row r="593" ht="22.5" customHeight="1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19">
        <f t="shared" si="2"/>
        <v>0</v>
      </c>
    </row>
    <row r="594" ht="22.5" customHeight="1">
      <c r="A594" s="20"/>
      <c r="B594" s="21"/>
      <c r="C594" s="31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19">
        <f t="shared" si="2"/>
        <v>0</v>
      </c>
    </row>
    <row r="595" ht="22.5" customHeight="1">
      <c r="A595" s="20"/>
      <c r="B595" s="21"/>
      <c r="C595" s="31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19">
        <f t="shared" si="2"/>
        <v>0</v>
      </c>
    </row>
    <row r="596" ht="22.5" customHeight="1">
      <c r="A596" s="20"/>
      <c r="B596" s="21"/>
      <c r="C596" s="31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19">
        <f t="shared" si="2"/>
        <v>0</v>
      </c>
    </row>
    <row r="597" ht="22.5" customHeight="1">
      <c r="A597" s="20"/>
      <c r="B597" s="21"/>
      <c r="C597" s="31"/>
      <c r="D597" s="22"/>
      <c r="E597" s="2"/>
      <c r="F597" s="23"/>
      <c r="G597" s="24"/>
      <c r="I597" s="20"/>
      <c r="J597" s="21"/>
      <c r="K597" s="31"/>
      <c r="L597" s="22"/>
      <c r="M597" s="2"/>
      <c r="N597" s="23"/>
      <c r="O597" s="24"/>
      <c r="P597" s="19">
        <f t="shared" si="2"/>
        <v>0</v>
      </c>
    </row>
    <row r="598" ht="22.5" customHeight="1">
      <c r="A598" s="20"/>
      <c r="B598" s="21"/>
      <c r="C598" s="31"/>
      <c r="D598" s="22"/>
      <c r="E598" s="2"/>
      <c r="F598" s="23"/>
      <c r="G598" s="24"/>
      <c r="I598" s="20"/>
      <c r="J598" s="21"/>
      <c r="K598" s="31"/>
      <c r="L598" s="22"/>
      <c r="M598" s="2"/>
      <c r="N598" s="23"/>
      <c r="O598" s="24"/>
      <c r="P598" s="19">
        <f t="shared" si="2"/>
        <v>0</v>
      </c>
    </row>
    <row r="599" ht="22.5" customHeight="1">
      <c r="A599" s="20"/>
      <c r="B599" s="21"/>
      <c r="C599" s="31"/>
      <c r="D599" s="22"/>
      <c r="E599" s="2"/>
      <c r="F599" s="23"/>
      <c r="G599" s="24"/>
      <c r="I599" s="20"/>
      <c r="J599" s="21"/>
      <c r="K599" s="31"/>
      <c r="L599" s="22"/>
      <c r="M599" s="2"/>
      <c r="N599" s="23"/>
      <c r="O599" s="24"/>
      <c r="P599" s="19">
        <f t="shared" si="2"/>
        <v>0</v>
      </c>
    </row>
    <row r="600" ht="22.5" customHeight="1">
      <c r="A600" s="20"/>
      <c r="B600" s="21"/>
      <c r="C600" s="31"/>
      <c r="D600" s="22"/>
      <c r="E600" s="2"/>
      <c r="F600" s="23"/>
      <c r="G600" s="24"/>
      <c r="I600" s="20"/>
      <c r="J600" s="21"/>
      <c r="K600" s="31"/>
      <c r="L600" s="22"/>
      <c r="M600" s="2"/>
      <c r="N600" s="23"/>
      <c r="O600" s="24"/>
      <c r="P600" s="19">
        <f t="shared" si="2"/>
        <v>0</v>
      </c>
    </row>
    <row r="601" ht="22.5" customHeight="1">
      <c r="A601" s="20"/>
      <c r="B601" s="21"/>
      <c r="C601" s="31"/>
      <c r="D601" s="22"/>
      <c r="E601" s="2"/>
      <c r="F601" s="23"/>
      <c r="G601" s="24"/>
      <c r="I601" s="20"/>
      <c r="J601" s="21"/>
      <c r="K601" s="31"/>
      <c r="L601" s="22"/>
      <c r="M601" s="2"/>
      <c r="N601" s="23"/>
      <c r="O601" s="24"/>
      <c r="P601" s="19">
        <f t="shared" si="2"/>
        <v>0</v>
      </c>
    </row>
    <row r="602" ht="22.5" customHeight="1">
      <c r="A602" s="20"/>
      <c r="B602" s="21"/>
      <c r="C602" s="31"/>
      <c r="D602" s="22"/>
      <c r="E602" s="2"/>
      <c r="F602" s="23"/>
      <c r="G602" s="24"/>
      <c r="I602" s="20"/>
      <c r="J602" s="21"/>
      <c r="K602" s="31"/>
      <c r="L602" s="22"/>
      <c r="M602" s="2"/>
      <c r="N602" s="23"/>
      <c r="O602" s="24"/>
      <c r="P602" s="19">
        <f t="shared" si="2"/>
        <v>0</v>
      </c>
    </row>
    <row r="603" ht="22.5" customHeight="1">
      <c r="A603" s="20"/>
      <c r="B603" s="21"/>
      <c r="C603" s="31"/>
      <c r="D603" s="22"/>
      <c r="E603" s="2"/>
      <c r="F603" s="23"/>
      <c r="G603" s="24"/>
      <c r="I603" s="20"/>
      <c r="J603" s="21"/>
      <c r="K603" s="31"/>
      <c r="L603" s="22"/>
      <c r="M603" s="2"/>
      <c r="N603" s="23"/>
      <c r="O603" s="24"/>
      <c r="P603" s="19">
        <f t="shared" si="2"/>
        <v>0</v>
      </c>
    </row>
    <row r="604" ht="22.5" customHeight="1">
      <c r="A604" s="20"/>
      <c r="B604" s="21"/>
      <c r="C604" s="31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19">
        <f t="shared" si="2"/>
        <v>0</v>
      </c>
    </row>
    <row r="605" ht="22.5" customHeight="1">
      <c r="A605" s="20"/>
      <c r="B605" s="21"/>
      <c r="C605" s="31"/>
      <c r="D605" s="22"/>
      <c r="E605" s="2"/>
      <c r="F605" s="23"/>
      <c r="G605" s="24"/>
      <c r="I605" s="20"/>
      <c r="J605" s="21"/>
      <c r="K605" s="31"/>
      <c r="L605" s="22"/>
      <c r="M605" s="2"/>
      <c r="N605" s="23"/>
      <c r="O605" s="24"/>
      <c r="P605" s="19">
        <f t="shared" si="2"/>
        <v>0</v>
      </c>
    </row>
    <row r="606" ht="22.5" customHeight="1">
      <c r="A606" s="20"/>
      <c r="B606" s="21"/>
      <c r="C606" s="31"/>
      <c r="D606" s="22"/>
      <c r="E606" s="2"/>
      <c r="F606" s="23"/>
      <c r="G606" s="24"/>
      <c r="I606" s="20"/>
      <c r="J606" s="21"/>
      <c r="K606" s="31"/>
      <c r="L606" s="22"/>
      <c r="M606" s="2"/>
      <c r="N606" s="23"/>
      <c r="O606" s="24"/>
      <c r="P606" s="19">
        <f t="shared" si="2"/>
        <v>0</v>
      </c>
    </row>
    <row r="607" ht="22.5" customHeight="1">
      <c r="A607" s="20"/>
      <c r="B607" s="21"/>
      <c r="C607" s="31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19">
        <f t="shared" si="2"/>
        <v>0</v>
      </c>
    </row>
    <row r="608" ht="22.5" customHeight="1">
      <c r="A608" s="20"/>
      <c r="B608" s="21"/>
      <c r="C608" s="31"/>
      <c r="D608" s="22"/>
      <c r="E608" s="2"/>
      <c r="F608" s="23"/>
      <c r="G608" s="24"/>
      <c r="I608" s="20"/>
      <c r="J608" s="21"/>
      <c r="K608" s="31"/>
      <c r="L608" s="22"/>
      <c r="M608" s="2"/>
      <c r="N608" s="23"/>
      <c r="O608" s="24"/>
      <c r="P608" s="19">
        <f t="shared" si="2"/>
        <v>0</v>
      </c>
    </row>
    <row r="609" ht="22.5" customHeight="1">
      <c r="A609" s="20"/>
      <c r="B609" s="21"/>
      <c r="C609" s="22"/>
      <c r="D609" s="22"/>
      <c r="E609" s="2"/>
      <c r="F609" s="23"/>
      <c r="G609" s="24"/>
      <c r="I609" s="20"/>
      <c r="J609" s="21"/>
      <c r="K609" s="31"/>
      <c r="L609" s="22"/>
      <c r="M609" s="2"/>
      <c r="N609" s="23"/>
      <c r="O609" s="24"/>
      <c r="P609" s="19">
        <f t="shared" si="2"/>
        <v>0</v>
      </c>
    </row>
    <row r="610" ht="22.5" customHeight="1">
      <c r="A610" s="20"/>
      <c r="B610" s="21"/>
      <c r="C610" s="31"/>
      <c r="D610" s="22"/>
      <c r="E610" s="2"/>
      <c r="F610" s="23"/>
      <c r="G610" s="24"/>
      <c r="I610" s="20"/>
      <c r="J610" s="21"/>
      <c r="K610" s="31"/>
      <c r="L610" s="22"/>
      <c r="M610" s="2"/>
      <c r="N610" s="23"/>
      <c r="O610" s="24"/>
      <c r="P610" s="19">
        <f t="shared" si="2"/>
        <v>0</v>
      </c>
    </row>
    <row r="611" ht="22.5" customHeight="1">
      <c r="A611" s="20"/>
      <c r="B611" s="21"/>
      <c r="C611" s="22"/>
      <c r="D611" s="22"/>
      <c r="E611" s="2"/>
      <c r="F611" s="23"/>
      <c r="G611" s="24"/>
      <c r="I611" s="20"/>
      <c r="J611" s="21"/>
      <c r="K611" s="31"/>
      <c r="L611" s="22"/>
      <c r="M611" s="2"/>
      <c r="N611" s="23"/>
      <c r="O611" s="24"/>
      <c r="P611" s="19">
        <f t="shared" si="2"/>
        <v>0</v>
      </c>
    </row>
    <row r="612" ht="22.5" customHeight="1">
      <c r="A612" s="20"/>
      <c r="B612" s="21"/>
      <c r="C612" s="31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19">
        <f t="shared" si="2"/>
        <v>0</v>
      </c>
    </row>
    <row r="613" ht="22.5" customHeight="1">
      <c r="A613" s="20"/>
      <c r="B613" s="21"/>
      <c r="C613" s="31"/>
      <c r="D613" s="22"/>
      <c r="E613" s="2"/>
      <c r="F613" s="23"/>
      <c r="G613" s="24"/>
      <c r="I613" s="20"/>
      <c r="J613" s="21"/>
      <c r="K613" s="31"/>
      <c r="L613" s="22"/>
      <c r="M613" s="2"/>
      <c r="N613" s="23"/>
      <c r="O613" s="24"/>
      <c r="P613" s="19">
        <f t="shared" si="2"/>
        <v>0</v>
      </c>
    </row>
    <row r="614" ht="22.5" customHeight="1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19">
        <f t="shared" si="2"/>
        <v>0</v>
      </c>
    </row>
    <row r="615" ht="22.5" customHeight="1">
      <c r="A615" s="20"/>
      <c r="B615" s="21"/>
      <c r="C615" s="31"/>
      <c r="D615" s="22"/>
      <c r="E615" s="2"/>
      <c r="F615" s="23"/>
      <c r="G615" s="24"/>
      <c r="I615" s="20"/>
      <c r="J615" s="21"/>
      <c r="K615" s="31"/>
      <c r="L615" s="22"/>
      <c r="M615" s="2"/>
      <c r="N615" s="23"/>
      <c r="O615" s="24"/>
      <c r="P615" s="19">
        <f t="shared" si="2"/>
        <v>0</v>
      </c>
    </row>
    <row r="616" ht="22.5" customHeight="1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19">
        <f t="shared" si="2"/>
        <v>0</v>
      </c>
    </row>
    <row r="617" ht="22.5" customHeight="1">
      <c r="A617" s="25"/>
      <c r="B617" s="39"/>
      <c r="C617" s="49"/>
      <c r="D617" s="40"/>
      <c r="E617" s="41"/>
      <c r="F617" s="42"/>
      <c r="G617" s="43"/>
      <c r="I617" s="20"/>
      <c r="J617" s="21"/>
      <c r="K617" s="31"/>
      <c r="L617" s="22"/>
      <c r="M617" s="2"/>
      <c r="N617" s="23"/>
      <c r="O617" s="24"/>
      <c r="P617" s="19">
        <f t="shared" si="2"/>
        <v>0</v>
      </c>
    </row>
    <row r="618" ht="22.5" customHeight="1">
      <c r="A618" s="20"/>
      <c r="B618" s="21"/>
      <c r="C618" s="31"/>
      <c r="D618" s="22"/>
      <c r="E618" s="2"/>
      <c r="F618" s="23"/>
      <c r="G618" s="24"/>
      <c r="I618" s="20"/>
      <c r="J618" s="21"/>
      <c r="K618" s="31"/>
      <c r="L618" s="22"/>
      <c r="M618" s="2"/>
      <c r="N618" s="23"/>
      <c r="O618" s="24"/>
      <c r="P618" s="19">
        <f t="shared" si="2"/>
        <v>0</v>
      </c>
    </row>
    <row r="619" ht="22.5" customHeight="1">
      <c r="A619" s="20"/>
      <c r="B619" s="21"/>
      <c r="C619" s="31"/>
      <c r="D619" s="22"/>
      <c r="E619" s="2"/>
      <c r="F619" s="23"/>
      <c r="G619" s="24"/>
      <c r="I619" s="20"/>
      <c r="J619" s="21"/>
      <c r="K619" s="31"/>
      <c r="L619" s="22"/>
      <c r="M619" s="2"/>
      <c r="N619" s="23"/>
      <c r="O619" s="24"/>
      <c r="P619" s="19">
        <f t="shared" si="2"/>
        <v>0</v>
      </c>
    </row>
    <row r="620" ht="22.5" customHeight="1">
      <c r="A620" s="20"/>
      <c r="B620" s="21"/>
      <c r="C620" s="31"/>
      <c r="D620" s="22"/>
      <c r="E620" s="2"/>
      <c r="F620" s="23"/>
      <c r="G620" s="24"/>
      <c r="I620" s="20"/>
      <c r="J620" s="21"/>
      <c r="K620" s="31"/>
      <c r="L620" s="22"/>
      <c r="M620" s="2"/>
      <c r="N620" s="23"/>
      <c r="O620" s="24"/>
      <c r="P620" s="19">
        <f t="shared" si="2"/>
        <v>0</v>
      </c>
    </row>
    <row r="621" ht="22.5" customHeight="1">
      <c r="A621" s="20"/>
      <c r="B621" s="21"/>
      <c r="C621" s="31"/>
      <c r="D621" s="22"/>
      <c r="E621" s="2"/>
      <c r="F621" s="23"/>
      <c r="G621" s="24"/>
      <c r="I621" s="20"/>
      <c r="J621" s="21"/>
      <c r="K621" s="31"/>
      <c r="L621" s="22"/>
      <c r="M621" s="2"/>
      <c r="N621" s="23"/>
      <c r="O621" s="24"/>
      <c r="P621" s="19">
        <f t="shared" si="2"/>
        <v>0</v>
      </c>
    </row>
    <row r="622" ht="22.5" customHeight="1">
      <c r="A622" s="20"/>
      <c r="B622" s="21"/>
      <c r="C622" s="31"/>
      <c r="D622" s="22"/>
      <c r="E622" s="2"/>
      <c r="F622" s="23"/>
      <c r="G622" s="24"/>
      <c r="I622" s="20"/>
      <c r="J622" s="21"/>
      <c r="K622" s="31"/>
      <c r="L622" s="22"/>
      <c r="M622" s="2"/>
      <c r="N622" s="23"/>
      <c r="O622" s="24"/>
      <c r="P622" s="19">
        <f t="shared" si="2"/>
        <v>0</v>
      </c>
    </row>
    <row r="623" ht="22.5" customHeight="1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19">
        <f t="shared" si="2"/>
        <v>0</v>
      </c>
    </row>
    <row r="624" ht="22.5" customHeight="1">
      <c r="A624" s="20"/>
      <c r="B624" s="21"/>
      <c r="C624" s="22"/>
      <c r="D624" s="22"/>
      <c r="E624" s="2"/>
      <c r="F624" s="23"/>
      <c r="G624" s="24"/>
      <c r="I624" s="20"/>
      <c r="J624" s="21"/>
      <c r="K624" s="31"/>
      <c r="L624" s="22"/>
      <c r="M624" s="2"/>
      <c r="N624" s="23"/>
      <c r="O624" s="24"/>
      <c r="P624" s="19">
        <f t="shared" si="2"/>
        <v>0</v>
      </c>
    </row>
    <row r="625" ht="22.5" customHeight="1">
      <c r="A625" s="20"/>
      <c r="B625" s="21"/>
      <c r="C625" s="22"/>
      <c r="D625" s="22"/>
      <c r="E625" s="2"/>
      <c r="F625" s="23"/>
      <c r="G625" s="24"/>
      <c r="I625" s="20"/>
      <c r="J625" s="21"/>
      <c r="K625" s="31"/>
      <c r="L625" s="22"/>
      <c r="M625" s="2"/>
      <c r="N625" s="23"/>
      <c r="O625" s="24"/>
      <c r="P625" s="19">
        <f t="shared" si="2"/>
        <v>0</v>
      </c>
    </row>
    <row r="626" ht="22.5" customHeight="1">
      <c r="A626" s="20"/>
      <c r="B626" s="21"/>
      <c r="C626" s="22"/>
      <c r="D626" s="22"/>
      <c r="E626" s="2"/>
      <c r="F626" s="23"/>
      <c r="G626" s="24"/>
      <c r="I626" s="20"/>
      <c r="J626" s="21"/>
      <c r="K626" s="31"/>
      <c r="L626" s="22"/>
      <c r="M626" s="2"/>
      <c r="N626" s="23"/>
      <c r="O626" s="24"/>
      <c r="P626" s="19">
        <f t="shared" si="2"/>
        <v>0</v>
      </c>
    </row>
    <row r="627" ht="22.5" customHeight="1">
      <c r="A627" s="20"/>
      <c r="B627" s="21"/>
      <c r="C627" s="22"/>
      <c r="D627" s="22"/>
      <c r="E627" s="2"/>
      <c r="F627" s="23"/>
      <c r="G627" s="24"/>
      <c r="I627" s="20"/>
      <c r="J627" s="21"/>
      <c r="K627" s="31"/>
      <c r="L627" s="22"/>
      <c r="M627" s="2"/>
      <c r="N627" s="23"/>
      <c r="O627" s="24"/>
      <c r="P627" s="19">
        <f t="shared" si="2"/>
        <v>0</v>
      </c>
    </row>
    <row r="628" ht="22.5" customHeight="1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19">
        <f t="shared" si="2"/>
        <v>0</v>
      </c>
    </row>
    <row r="629" ht="22.5" customHeight="1">
      <c r="A629" s="20"/>
      <c r="B629" s="21"/>
      <c r="C629" s="22"/>
      <c r="D629" s="22"/>
      <c r="E629" s="2"/>
      <c r="F629" s="23"/>
      <c r="G629" s="24"/>
      <c r="I629" s="20"/>
      <c r="J629" s="21"/>
      <c r="K629" s="31"/>
      <c r="L629" s="22"/>
      <c r="M629" s="2"/>
      <c r="N629" s="23"/>
      <c r="O629" s="24"/>
      <c r="P629" s="19">
        <f t="shared" si="2"/>
        <v>0</v>
      </c>
    </row>
    <row r="630" ht="22.5" customHeight="1">
      <c r="A630" s="20"/>
      <c r="B630" s="21"/>
      <c r="C630" s="22"/>
      <c r="D630" s="22"/>
      <c r="E630" s="2"/>
      <c r="F630" s="23"/>
      <c r="G630" s="24"/>
      <c r="I630" s="20"/>
      <c r="J630" s="21"/>
      <c r="K630" s="31"/>
      <c r="L630" s="22"/>
      <c r="M630" s="2"/>
      <c r="N630" s="23"/>
      <c r="O630" s="24"/>
      <c r="P630" s="19">
        <f t="shared" si="2"/>
        <v>0</v>
      </c>
    </row>
    <row r="631" ht="22.5" customHeight="1">
      <c r="A631" s="20"/>
      <c r="B631" s="21"/>
      <c r="C631" s="31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19">
        <f t="shared" si="2"/>
        <v>0</v>
      </c>
    </row>
    <row r="632" ht="22.5" customHeight="1">
      <c r="A632" s="20"/>
      <c r="B632" s="21"/>
      <c r="C632" s="22"/>
      <c r="D632" s="22"/>
      <c r="E632" s="2"/>
      <c r="F632" s="23"/>
      <c r="G632" s="24"/>
      <c r="I632" s="20"/>
      <c r="J632" s="21"/>
      <c r="K632" s="31"/>
      <c r="L632" s="22"/>
      <c r="M632" s="2"/>
      <c r="N632" s="23"/>
      <c r="O632" s="24"/>
      <c r="P632" s="19">
        <f t="shared" si="2"/>
        <v>0</v>
      </c>
    </row>
    <row r="633" ht="22.5" customHeight="1">
      <c r="A633" s="20"/>
      <c r="B633" s="21"/>
      <c r="C633" s="31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19">
        <f t="shared" si="2"/>
        <v>0</v>
      </c>
    </row>
    <row r="634" ht="22.5" customHeight="1">
      <c r="A634" s="20"/>
      <c r="B634" s="21"/>
      <c r="C634" s="22"/>
      <c r="D634" s="22"/>
      <c r="E634" s="2"/>
      <c r="F634" s="23"/>
      <c r="G634" s="24"/>
      <c r="I634" s="20"/>
      <c r="J634" s="21"/>
      <c r="K634" s="31"/>
      <c r="L634" s="22"/>
      <c r="M634" s="2"/>
      <c r="N634" s="23"/>
      <c r="O634" s="24"/>
      <c r="P634" s="19">
        <f t="shared" si="2"/>
        <v>0</v>
      </c>
    </row>
    <row r="635" ht="22.5" customHeight="1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19">
        <f t="shared" si="2"/>
        <v>0</v>
      </c>
    </row>
    <row r="636" ht="22.5" customHeight="1">
      <c r="A636" s="20"/>
      <c r="B636" s="21"/>
      <c r="C636" s="31"/>
      <c r="D636" s="22"/>
      <c r="E636" s="2"/>
      <c r="F636" s="23"/>
      <c r="G636" s="24"/>
      <c r="I636" s="20"/>
      <c r="J636" s="21"/>
      <c r="K636" s="31"/>
      <c r="L636" s="22"/>
      <c r="M636" s="2"/>
      <c r="N636" s="23"/>
      <c r="O636" s="24"/>
      <c r="P636" s="19">
        <f t="shared" si="2"/>
        <v>0</v>
      </c>
    </row>
    <row r="637" ht="22.5" customHeight="1">
      <c r="A637" s="20"/>
      <c r="B637" s="21"/>
      <c r="C637" s="22"/>
      <c r="D637" s="22"/>
      <c r="E637" s="2"/>
      <c r="F637" s="23"/>
      <c r="G637" s="24"/>
      <c r="I637" s="20"/>
      <c r="J637" s="21"/>
      <c r="K637" s="31"/>
      <c r="L637" s="22"/>
      <c r="M637" s="2"/>
      <c r="N637" s="23"/>
      <c r="O637" s="24"/>
      <c r="P637" s="19">
        <f t="shared" si="2"/>
        <v>0</v>
      </c>
    </row>
    <row r="638" ht="22.5" customHeight="1">
      <c r="A638" s="20"/>
      <c r="B638" s="21"/>
      <c r="C638" s="31"/>
      <c r="D638" s="22"/>
      <c r="E638" s="2"/>
      <c r="F638" s="23"/>
      <c r="G638" s="24"/>
      <c r="I638" s="20"/>
      <c r="J638" s="21"/>
      <c r="K638" s="31"/>
      <c r="L638" s="22"/>
      <c r="M638" s="2"/>
      <c r="N638" s="23"/>
      <c r="O638" s="24"/>
      <c r="P638" s="19">
        <f t="shared" si="2"/>
        <v>0</v>
      </c>
    </row>
    <row r="639" ht="22.5" customHeight="1">
      <c r="A639" s="20"/>
      <c r="B639" s="21"/>
      <c r="C639" s="22"/>
      <c r="D639" s="22"/>
      <c r="E639" s="2"/>
      <c r="F639" s="23"/>
      <c r="G639" s="24"/>
      <c r="I639" s="20"/>
      <c r="J639" s="21"/>
      <c r="K639" s="31"/>
      <c r="L639" s="22"/>
      <c r="M639" s="2"/>
      <c r="N639" s="23"/>
      <c r="O639" s="24"/>
      <c r="P639" s="19">
        <f t="shared" si="2"/>
        <v>0</v>
      </c>
    </row>
    <row r="640" ht="22.5" customHeight="1">
      <c r="A640" s="20"/>
      <c r="B640" s="21"/>
      <c r="C640" s="31"/>
      <c r="D640" s="22"/>
      <c r="E640" s="2"/>
      <c r="F640" s="23"/>
      <c r="G640" s="24"/>
      <c r="I640" s="20"/>
      <c r="J640" s="21"/>
      <c r="K640" s="31"/>
      <c r="L640" s="22"/>
      <c r="M640" s="2"/>
      <c r="N640" s="23"/>
      <c r="O640" s="24"/>
      <c r="P640" s="19">
        <f t="shared" si="2"/>
        <v>0</v>
      </c>
    </row>
    <row r="641" ht="22.5" customHeight="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19">
        <f t="shared" si="2"/>
        <v>0</v>
      </c>
    </row>
    <row r="642" ht="22.5" customHeight="1">
      <c r="A642" s="20"/>
      <c r="B642" s="21"/>
      <c r="C642" s="22"/>
      <c r="D642" s="22"/>
      <c r="E642" s="2"/>
      <c r="F642" s="23"/>
      <c r="G642" s="24"/>
      <c r="I642" s="20"/>
      <c r="J642" s="21"/>
      <c r="K642" s="31"/>
      <c r="L642" s="22"/>
      <c r="M642" s="2"/>
      <c r="N642" s="23"/>
      <c r="O642" s="24"/>
      <c r="P642" s="19">
        <f t="shared" si="2"/>
        <v>0</v>
      </c>
    </row>
    <row r="643" ht="22.5" customHeight="1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19">
        <f t="shared" si="2"/>
        <v>0</v>
      </c>
    </row>
    <row r="644" ht="22.5" customHeight="1">
      <c r="A644" s="20"/>
      <c r="B644" s="21"/>
      <c r="C644" s="31"/>
      <c r="D644" s="22"/>
      <c r="E644" s="2"/>
      <c r="F644" s="23"/>
      <c r="G644" s="24"/>
      <c r="I644" s="20"/>
      <c r="J644" s="21"/>
      <c r="K644" s="31"/>
      <c r="L644" s="22"/>
      <c r="M644" s="2"/>
      <c r="N644" s="23"/>
      <c r="O644" s="24"/>
      <c r="P644" s="19">
        <f t="shared" si="2"/>
        <v>0</v>
      </c>
    </row>
    <row r="645" ht="22.5" customHeight="1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19">
        <f t="shared" si="2"/>
        <v>0</v>
      </c>
    </row>
    <row r="646" ht="22.5" customHeight="1">
      <c r="A646" s="20"/>
      <c r="B646" s="21"/>
      <c r="C646" s="22"/>
      <c r="D646" s="22"/>
      <c r="E646" s="2"/>
      <c r="F646" s="23"/>
      <c r="G646" s="24"/>
      <c r="I646" s="20"/>
      <c r="J646" s="21"/>
      <c r="K646" s="31"/>
      <c r="L646" s="22"/>
      <c r="M646" s="2"/>
      <c r="N646" s="23"/>
      <c r="O646" s="24"/>
      <c r="P646" s="19">
        <f t="shared" si="2"/>
        <v>0</v>
      </c>
    </row>
    <row r="647" ht="22.5" customHeight="1">
      <c r="A647" s="20"/>
      <c r="B647" s="21"/>
      <c r="C647" s="22"/>
      <c r="D647" s="22"/>
      <c r="E647" s="2"/>
      <c r="F647" s="23"/>
      <c r="G647" s="24"/>
      <c r="I647" s="20"/>
      <c r="J647" s="21"/>
      <c r="K647" s="31"/>
      <c r="L647" s="22"/>
      <c r="M647" s="2"/>
      <c r="N647" s="23"/>
      <c r="O647" s="24"/>
      <c r="P647" s="19">
        <f t="shared" si="2"/>
        <v>0</v>
      </c>
    </row>
    <row r="648" ht="22.5" customHeight="1">
      <c r="A648" s="20"/>
      <c r="B648" s="21"/>
      <c r="C648" s="31"/>
      <c r="D648" s="22"/>
      <c r="E648" s="2"/>
      <c r="F648" s="23"/>
      <c r="G648" s="24"/>
      <c r="I648" s="20"/>
      <c r="J648" s="39"/>
      <c r="K648" s="40"/>
      <c r="L648" s="40"/>
      <c r="M648" s="41"/>
      <c r="N648" s="42"/>
      <c r="O648" s="43"/>
      <c r="P648" s="19">
        <f t="shared" si="2"/>
        <v>0</v>
      </c>
    </row>
    <row r="649" ht="22.5" customHeight="1">
      <c r="A649" s="20"/>
      <c r="B649" s="21"/>
      <c r="C649" s="22"/>
      <c r="D649" s="22"/>
      <c r="E649" s="2"/>
      <c r="F649" s="23"/>
      <c r="G649" s="24"/>
      <c r="I649" s="20"/>
      <c r="J649" s="21"/>
      <c r="K649" s="31"/>
      <c r="L649" s="22"/>
      <c r="M649" s="2"/>
      <c r="N649" s="23"/>
      <c r="O649" s="24"/>
      <c r="P649" s="19">
        <f t="shared" si="2"/>
        <v>0</v>
      </c>
    </row>
    <row r="650" ht="22.5" customHeight="1">
      <c r="A650" s="20"/>
      <c r="B650" s="21"/>
      <c r="C650" s="22"/>
      <c r="D650" s="22"/>
      <c r="E650" s="2"/>
      <c r="F650" s="23"/>
      <c r="G650" s="24"/>
      <c r="I650" s="20"/>
      <c r="J650" s="21"/>
      <c r="K650" s="31"/>
      <c r="L650" s="22"/>
      <c r="M650" s="2"/>
      <c r="N650" s="23"/>
      <c r="O650" s="24"/>
      <c r="P650" s="19">
        <f t="shared" si="2"/>
        <v>0</v>
      </c>
    </row>
    <row r="651" ht="22.5" customHeight="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19">
        <f t="shared" si="2"/>
        <v>0</v>
      </c>
    </row>
    <row r="652" ht="22.5" customHeight="1">
      <c r="A652" s="20"/>
      <c r="B652" s="21"/>
      <c r="C652" s="22"/>
      <c r="D652" s="22"/>
      <c r="E652" s="2"/>
      <c r="F652" s="23"/>
      <c r="G652" s="24"/>
      <c r="I652" s="20"/>
      <c r="J652" s="21"/>
      <c r="K652" s="31"/>
      <c r="L652" s="22"/>
      <c r="M652" s="2"/>
      <c r="N652" s="23"/>
      <c r="O652" s="24"/>
      <c r="P652" s="19">
        <f t="shared" si="2"/>
        <v>0</v>
      </c>
    </row>
    <row r="653" ht="22.5" customHeight="1">
      <c r="A653" s="20"/>
      <c r="B653" s="21"/>
      <c r="C653" s="31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19">
        <f t="shared" si="2"/>
        <v>0</v>
      </c>
    </row>
    <row r="654" ht="22.5" customHeight="1">
      <c r="A654" s="20"/>
      <c r="B654" s="21"/>
      <c r="C654" s="22"/>
      <c r="D654" s="22"/>
      <c r="E654" s="2"/>
      <c r="F654" s="23"/>
      <c r="G654" s="24"/>
      <c r="I654" s="20"/>
      <c r="J654" s="21"/>
      <c r="K654" s="31"/>
      <c r="L654" s="22"/>
      <c r="M654" s="2"/>
      <c r="N654" s="23"/>
      <c r="O654" s="24"/>
      <c r="P654" s="19">
        <f t="shared" si="2"/>
        <v>0</v>
      </c>
    </row>
    <row r="655" ht="22.5" customHeight="1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19">
        <f t="shared" si="2"/>
        <v>0</v>
      </c>
    </row>
    <row r="656" ht="22.5" customHeight="1">
      <c r="A656" s="20"/>
      <c r="B656" s="21"/>
      <c r="C656" s="22"/>
      <c r="D656" s="22"/>
      <c r="E656" s="2"/>
      <c r="F656" s="23"/>
      <c r="G656" s="24"/>
      <c r="I656" s="20"/>
      <c r="J656" s="21"/>
      <c r="K656" s="31"/>
      <c r="L656" s="22"/>
      <c r="M656" s="2"/>
      <c r="N656" s="23"/>
      <c r="O656" s="24"/>
      <c r="P656" s="19">
        <f t="shared" si="2"/>
        <v>0</v>
      </c>
    </row>
    <row r="657" ht="22.5" customHeight="1">
      <c r="A657" s="20"/>
      <c r="B657" s="21"/>
      <c r="C657" s="22"/>
      <c r="D657" s="22"/>
      <c r="E657" s="2"/>
      <c r="F657" s="23"/>
      <c r="G657" s="24"/>
      <c r="I657" s="20"/>
      <c r="J657" s="21"/>
      <c r="K657" s="31"/>
      <c r="L657" s="22"/>
      <c r="M657" s="2"/>
      <c r="N657" s="23"/>
      <c r="O657" s="24"/>
      <c r="P657" s="19">
        <f t="shared" si="2"/>
        <v>0</v>
      </c>
    </row>
    <row r="658" ht="22.5" customHeight="1">
      <c r="A658" s="20"/>
      <c r="B658" s="21"/>
      <c r="C658" s="31"/>
      <c r="D658" s="22"/>
      <c r="E658" s="2"/>
      <c r="F658" s="23"/>
      <c r="G658" s="24"/>
      <c r="I658" s="20"/>
      <c r="J658" s="21"/>
      <c r="K658" s="31"/>
      <c r="L658" s="22"/>
      <c r="M658" s="2"/>
      <c r="N658" s="23"/>
      <c r="O658" s="24"/>
      <c r="P658" s="19">
        <f t="shared" si="2"/>
        <v>0</v>
      </c>
    </row>
    <row r="659" ht="22.5" customHeight="1">
      <c r="A659" s="20"/>
      <c r="B659" s="21"/>
      <c r="C659" s="22"/>
      <c r="D659" s="22"/>
      <c r="E659" s="2"/>
      <c r="F659" s="23"/>
      <c r="G659" s="24"/>
      <c r="I659" s="20"/>
      <c r="J659" s="21"/>
      <c r="K659" s="31"/>
      <c r="L659" s="22"/>
      <c r="M659" s="2"/>
      <c r="N659" s="23"/>
      <c r="O659" s="24"/>
      <c r="P659" s="19">
        <f t="shared" si="2"/>
        <v>0</v>
      </c>
    </row>
    <row r="660" ht="22.5" customHeight="1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19">
        <f t="shared" si="2"/>
        <v>0</v>
      </c>
    </row>
    <row r="661" ht="22.5" customHeight="1">
      <c r="A661" s="20"/>
      <c r="B661" s="21"/>
      <c r="C661" s="31"/>
      <c r="D661" s="22"/>
      <c r="E661" s="2"/>
      <c r="F661" s="23"/>
      <c r="G661" s="24"/>
      <c r="I661" s="20"/>
      <c r="J661" s="21"/>
      <c r="K661" s="31"/>
      <c r="L661" s="22"/>
      <c r="M661" s="2"/>
      <c r="N661" s="23"/>
      <c r="O661" s="24"/>
      <c r="P661" s="19">
        <f t="shared" si="2"/>
        <v>0</v>
      </c>
    </row>
    <row r="662" ht="22.5" customHeight="1">
      <c r="A662" s="20"/>
      <c r="B662" s="21"/>
      <c r="C662" s="31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19">
        <f t="shared" si="2"/>
        <v>0</v>
      </c>
    </row>
    <row r="663" ht="22.5" customHeight="1">
      <c r="A663" s="20"/>
      <c r="B663" s="21"/>
      <c r="C663" s="31"/>
      <c r="D663" s="22"/>
      <c r="E663" s="2"/>
      <c r="F663" s="23"/>
      <c r="G663" s="24"/>
      <c r="I663" s="20"/>
      <c r="J663" s="21"/>
      <c r="K663" s="31"/>
      <c r="L663" s="22"/>
      <c r="M663" s="2"/>
      <c r="N663" s="23"/>
      <c r="O663" s="24"/>
      <c r="P663" s="19">
        <f t="shared" si="2"/>
        <v>0</v>
      </c>
    </row>
    <row r="664" ht="22.5" customHeight="1">
      <c r="A664" s="20"/>
      <c r="B664" s="21"/>
      <c r="C664" s="31"/>
      <c r="D664" s="22"/>
      <c r="E664" s="2"/>
      <c r="F664" s="23"/>
      <c r="G664" s="24"/>
      <c r="I664" s="20"/>
      <c r="J664" s="21"/>
      <c r="K664" s="31"/>
      <c r="L664" s="22"/>
      <c r="M664" s="2"/>
      <c r="N664" s="23"/>
      <c r="O664" s="24"/>
      <c r="P664" s="19">
        <f t="shared" si="2"/>
        <v>0</v>
      </c>
    </row>
    <row r="665" ht="22.5" customHeight="1">
      <c r="A665" s="20"/>
      <c r="B665" s="21"/>
      <c r="C665" s="31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19">
        <f t="shared" si="2"/>
        <v>0</v>
      </c>
    </row>
    <row r="666" ht="22.5" customHeight="1">
      <c r="A666" s="20"/>
      <c r="B666" s="21"/>
      <c r="C666" s="31"/>
      <c r="D666" s="22"/>
      <c r="E666" s="2"/>
      <c r="F666" s="23"/>
      <c r="G666" s="24"/>
      <c r="I666" s="20"/>
      <c r="J666" s="21"/>
      <c r="K666" s="31"/>
      <c r="L666" s="22"/>
      <c r="M666" s="2"/>
      <c r="N666" s="23"/>
      <c r="O666" s="24"/>
      <c r="P666" s="19">
        <f t="shared" si="2"/>
        <v>0</v>
      </c>
    </row>
    <row r="667" ht="22.5" customHeight="1">
      <c r="A667" s="20"/>
      <c r="B667" s="21"/>
      <c r="C667" s="31"/>
      <c r="D667" s="22"/>
      <c r="E667" s="2"/>
      <c r="F667" s="23"/>
      <c r="G667" s="24"/>
      <c r="I667" s="20"/>
      <c r="J667" s="21"/>
      <c r="K667" s="31"/>
      <c r="L667" s="22"/>
      <c r="M667" s="2"/>
      <c r="N667" s="23"/>
      <c r="O667" s="24"/>
      <c r="P667" s="19">
        <f t="shared" si="2"/>
        <v>0</v>
      </c>
    </row>
    <row r="668" ht="22.5" customHeight="1">
      <c r="A668" s="20"/>
      <c r="B668" s="21"/>
      <c r="C668" s="31"/>
      <c r="D668" s="22"/>
      <c r="E668" s="2"/>
      <c r="F668" s="23"/>
      <c r="G668" s="24"/>
      <c r="I668" s="20"/>
      <c r="J668" s="21"/>
      <c r="K668" s="31"/>
      <c r="L668" s="22"/>
      <c r="M668" s="2"/>
      <c r="N668" s="23"/>
      <c r="O668" s="24"/>
      <c r="P668" s="19">
        <f t="shared" si="2"/>
        <v>0</v>
      </c>
    </row>
    <row r="669" ht="22.5" customHeight="1">
      <c r="A669" s="20"/>
      <c r="B669" s="21"/>
      <c r="C669" s="31"/>
      <c r="D669" s="22"/>
      <c r="E669" s="2"/>
      <c r="F669" s="23"/>
      <c r="G669" s="24"/>
      <c r="I669" s="20"/>
      <c r="J669" s="21"/>
      <c r="K669" s="31"/>
      <c r="L669" s="22"/>
      <c r="M669" s="2"/>
      <c r="N669" s="23"/>
      <c r="O669" s="24"/>
      <c r="P669" s="19">
        <f t="shared" si="2"/>
        <v>0</v>
      </c>
    </row>
    <row r="670" ht="22.5" customHeight="1">
      <c r="A670" s="20"/>
      <c r="B670" s="21"/>
      <c r="C670" s="31"/>
      <c r="D670" s="22"/>
      <c r="E670" s="2"/>
      <c r="F670" s="23"/>
      <c r="G670" s="24"/>
      <c r="I670" s="20"/>
      <c r="J670" s="21"/>
      <c r="K670" s="31"/>
      <c r="L670" s="22"/>
      <c r="M670" s="2"/>
      <c r="N670" s="23"/>
      <c r="O670" s="24"/>
      <c r="P670" s="19">
        <f t="shared" si="2"/>
        <v>0</v>
      </c>
    </row>
    <row r="671" ht="22.5" customHeight="1">
      <c r="A671" s="20"/>
      <c r="B671" s="21"/>
      <c r="C671" s="31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19">
        <f t="shared" si="2"/>
        <v>0</v>
      </c>
    </row>
    <row r="672" ht="22.5" customHeight="1">
      <c r="A672" s="20"/>
      <c r="B672" s="21"/>
      <c r="C672" s="31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19">
        <f t="shared" si="2"/>
        <v>0</v>
      </c>
    </row>
    <row r="673" ht="22.5" customHeight="1">
      <c r="A673" s="20"/>
      <c r="B673" s="21"/>
      <c r="C673" s="31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19">
        <f t="shared" si="2"/>
        <v>0</v>
      </c>
    </row>
    <row r="674" ht="22.5" customHeight="1">
      <c r="A674" s="20"/>
      <c r="B674" s="21"/>
      <c r="C674" s="22"/>
      <c r="D674" s="22"/>
      <c r="E674" s="2"/>
      <c r="F674" s="23"/>
      <c r="G674" s="24"/>
      <c r="I674" s="20"/>
      <c r="J674" s="21"/>
      <c r="K674" s="31"/>
      <c r="L674" s="22"/>
      <c r="M674" s="2"/>
      <c r="N674" s="23"/>
      <c r="O674" s="24"/>
      <c r="P674" s="19">
        <f t="shared" si="2"/>
        <v>0</v>
      </c>
    </row>
    <row r="675" ht="22.5" customHeight="1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19">
        <f t="shared" si="2"/>
        <v>0</v>
      </c>
    </row>
    <row r="676" ht="22.5" customHeight="1">
      <c r="A676" s="20"/>
      <c r="B676" s="21"/>
      <c r="C676" s="22"/>
      <c r="D676" s="22"/>
      <c r="E676" s="2"/>
      <c r="F676" s="23"/>
      <c r="G676" s="24"/>
      <c r="I676" s="20"/>
      <c r="J676" s="21"/>
      <c r="K676" s="31"/>
      <c r="L676" s="22"/>
      <c r="M676" s="2"/>
      <c r="N676" s="23"/>
      <c r="O676" s="24"/>
      <c r="P676" s="19">
        <f t="shared" si="2"/>
        <v>0</v>
      </c>
    </row>
    <row r="677" ht="22.5" customHeight="1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19">
        <f t="shared" si="2"/>
        <v>0</v>
      </c>
    </row>
    <row r="678" ht="22.5" customHeight="1">
      <c r="A678" s="20"/>
      <c r="B678" s="21"/>
      <c r="C678" s="22"/>
      <c r="D678" s="22"/>
      <c r="E678" s="2"/>
      <c r="F678" s="23"/>
      <c r="G678" s="24"/>
      <c r="I678" s="20"/>
      <c r="J678" s="21"/>
      <c r="K678" s="31"/>
      <c r="L678" s="22"/>
      <c r="M678" s="2"/>
      <c r="N678" s="23"/>
      <c r="O678" s="24"/>
      <c r="P678" s="19">
        <f t="shared" si="2"/>
        <v>0</v>
      </c>
    </row>
    <row r="679" ht="22.5" customHeight="1">
      <c r="A679" s="20"/>
      <c r="B679" s="21"/>
      <c r="C679" s="22"/>
      <c r="D679" s="22"/>
      <c r="E679" s="2"/>
      <c r="F679" s="23"/>
      <c r="G679" s="24"/>
      <c r="I679" s="20"/>
      <c r="J679" s="21"/>
      <c r="K679" s="31"/>
      <c r="L679" s="22"/>
      <c r="M679" s="2"/>
      <c r="N679" s="23"/>
      <c r="O679" s="24"/>
      <c r="P679" s="19">
        <f t="shared" si="2"/>
        <v>0</v>
      </c>
    </row>
    <row r="680" ht="22.5" customHeight="1">
      <c r="A680" s="20"/>
      <c r="B680" s="21"/>
      <c r="C680" s="22"/>
      <c r="D680" s="22"/>
      <c r="E680" s="2"/>
      <c r="F680" s="23"/>
      <c r="G680" s="24"/>
      <c r="I680" s="20"/>
      <c r="J680" s="21"/>
      <c r="K680" s="31"/>
      <c r="L680" s="22"/>
      <c r="M680" s="2"/>
      <c r="N680" s="23"/>
      <c r="O680" s="24"/>
      <c r="P680" s="19">
        <f t="shared" si="2"/>
        <v>0</v>
      </c>
    </row>
    <row r="681" ht="22.5" customHeight="1">
      <c r="A681" s="20"/>
      <c r="B681" s="21"/>
      <c r="C681" s="31"/>
      <c r="D681" s="22"/>
      <c r="E681" s="2"/>
      <c r="F681" s="23"/>
      <c r="G681" s="24"/>
      <c r="I681" s="20"/>
      <c r="J681" s="21"/>
      <c r="K681" s="31"/>
      <c r="L681" s="22"/>
      <c r="M681" s="2"/>
      <c r="N681" s="23"/>
      <c r="O681" s="24"/>
      <c r="P681" s="19">
        <f t="shared" si="2"/>
        <v>0</v>
      </c>
    </row>
    <row r="682" ht="22.5" customHeight="1">
      <c r="A682" s="20"/>
      <c r="B682" s="21"/>
      <c r="C682" s="22"/>
      <c r="D682" s="22"/>
      <c r="E682" s="2"/>
      <c r="F682" s="23"/>
      <c r="G682" s="24"/>
      <c r="I682" s="20"/>
      <c r="J682" s="21"/>
      <c r="K682" s="31"/>
      <c r="L682" s="22"/>
      <c r="M682" s="2"/>
      <c r="N682" s="23"/>
      <c r="O682" s="24"/>
      <c r="P682" s="19">
        <f t="shared" si="2"/>
        <v>0</v>
      </c>
    </row>
    <row r="683" ht="22.5" customHeight="1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19">
        <f t="shared" si="2"/>
        <v>0</v>
      </c>
    </row>
    <row r="684" ht="22.5" customHeight="1">
      <c r="A684" s="20"/>
      <c r="B684" s="21"/>
      <c r="C684" s="31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19">
        <f t="shared" si="2"/>
        <v>0</v>
      </c>
    </row>
    <row r="685" ht="22.5" customHeight="1">
      <c r="A685" s="20"/>
      <c r="B685" s="21"/>
      <c r="C685" s="22"/>
      <c r="D685" s="22"/>
      <c r="E685" s="2"/>
      <c r="F685" s="23"/>
      <c r="G685" s="24"/>
      <c r="I685" s="20"/>
      <c r="J685" s="21"/>
      <c r="K685" s="31"/>
      <c r="L685" s="22"/>
      <c r="M685" s="2"/>
      <c r="N685" s="23"/>
      <c r="O685" s="24"/>
      <c r="P685" s="19">
        <f t="shared" si="2"/>
        <v>0</v>
      </c>
    </row>
    <row r="686" ht="22.5" customHeight="1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19">
        <f t="shared" si="2"/>
        <v>0</v>
      </c>
    </row>
    <row r="687" ht="22.5" customHeight="1">
      <c r="A687" s="20"/>
      <c r="B687" s="21"/>
      <c r="C687" s="22"/>
      <c r="D687" s="22"/>
      <c r="E687" s="2"/>
      <c r="F687" s="23"/>
      <c r="G687" s="24"/>
      <c r="I687" s="20"/>
      <c r="J687" s="21"/>
      <c r="K687" s="31"/>
      <c r="L687" s="22"/>
      <c r="M687" s="2"/>
      <c r="N687" s="23"/>
      <c r="O687" s="24"/>
      <c r="P687" s="19">
        <f t="shared" si="2"/>
        <v>0</v>
      </c>
    </row>
    <row r="688" ht="22.5" customHeight="1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19">
        <f t="shared" si="2"/>
        <v>0</v>
      </c>
    </row>
    <row r="689" ht="22.5" customHeight="1">
      <c r="A689" s="20"/>
      <c r="B689" s="21"/>
      <c r="C689" s="22"/>
      <c r="D689" s="22"/>
      <c r="E689" s="2"/>
      <c r="F689" s="23"/>
      <c r="G689" s="24"/>
      <c r="I689" s="20"/>
      <c r="J689" s="21"/>
      <c r="K689" s="31"/>
      <c r="L689" s="22"/>
      <c r="M689" s="2"/>
      <c r="N689" s="23"/>
      <c r="O689" s="24"/>
      <c r="P689" s="19">
        <f t="shared" si="2"/>
        <v>0</v>
      </c>
    </row>
    <row r="690" ht="22.5" customHeight="1">
      <c r="A690" s="20"/>
      <c r="B690" s="21"/>
      <c r="C690" s="31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19">
        <f t="shared" si="2"/>
        <v>0</v>
      </c>
    </row>
    <row r="691" ht="22.5" customHeight="1">
      <c r="A691" s="20"/>
      <c r="B691" s="21"/>
      <c r="C691" s="22"/>
      <c r="D691" s="22"/>
      <c r="E691" s="2"/>
      <c r="F691" s="23"/>
      <c r="G691" s="24"/>
      <c r="I691" s="20"/>
      <c r="J691" s="21"/>
      <c r="K691" s="31"/>
      <c r="L691" s="22"/>
      <c r="M691" s="2"/>
      <c r="N691" s="23"/>
      <c r="O691" s="24"/>
      <c r="P691" s="19">
        <f t="shared" si="2"/>
        <v>0</v>
      </c>
    </row>
    <row r="692" ht="22.5" customHeight="1">
      <c r="A692" s="20"/>
      <c r="B692" s="21"/>
      <c r="C692" s="22"/>
      <c r="D692" s="22"/>
      <c r="E692" s="2"/>
      <c r="F692" s="23"/>
      <c r="G692" s="24"/>
      <c r="I692" s="20"/>
      <c r="J692" s="21"/>
      <c r="K692" s="31"/>
      <c r="L692" s="22"/>
      <c r="M692" s="2"/>
      <c r="N692" s="23"/>
      <c r="O692" s="24"/>
      <c r="P692" s="19">
        <f t="shared" si="2"/>
        <v>0</v>
      </c>
    </row>
    <row r="693" ht="22.5" customHeight="1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19">
        <f t="shared" si="2"/>
        <v>0</v>
      </c>
    </row>
    <row r="694" ht="22.5" customHeight="1">
      <c r="A694" s="20"/>
      <c r="B694" s="21"/>
      <c r="C694" s="31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19">
        <f t="shared" si="2"/>
        <v>0</v>
      </c>
    </row>
    <row r="695" ht="22.5" customHeight="1">
      <c r="A695" s="20"/>
      <c r="B695" s="21"/>
      <c r="C695" s="31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19">
        <f t="shared" si="2"/>
        <v>0</v>
      </c>
    </row>
    <row r="696" ht="22.5" customHeight="1">
      <c r="A696" s="20"/>
      <c r="B696" s="21"/>
      <c r="C696" s="31"/>
      <c r="D696" s="22"/>
      <c r="E696" s="2"/>
      <c r="F696" s="23"/>
      <c r="G696" s="24"/>
      <c r="I696" s="20"/>
      <c r="J696" s="21"/>
      <c r="K696" s="31"/>
      <c r="L696" s="22"/>
      <c r="M696" s="2"/>
      <c r="N696" s="23"/>
      <c r="O696" s="24"/>
      <c r="P696" s="19">
        <f t="shared" si="2"/>
        <v>0</v>
      </c>
    </row>
    <row r="697" ht="22.5" customHeight="1">
      <c r="A697" s="20"/>
      <c r="B697" s="21"/>
      <c r="C697" s="31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19">
        <f t="shared" si="2"/>
        <v>0</v>
      </c>
    </row>
    <row r="698" ht="22.5" customHeight="1">
      <c r="A698" s="20"/>
      <c r="B698" s="21"/>
      <c r="C698" s="31"/>
      <c r="D698" s="22"/>
      <c r="E698" s="2"/>
      <c r="F698" s="23"/>
      <c r="G698" s="24"/>
      <c r="I698" s="20"/>
      <c r="J698" s="21"/>
      <c r="K698" s="31"/>
      <c r="L698" s="22"/>
      <c r="M698" s="2"/>
      <c r="N698" s="23"/>
      <c r="O698" s="24"/>
      <c r="P698" s="19">
        <f t="shared" si="2"/>
        <v>0</v>
      </c>
    </row>
    <row r="699" ht="22.5" customHeight="1">
      <c r="A699" s="20"/>
      <c r="B699" s="21"/>
      <c r="C699" s="31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19">
        <f t="shared" si="2"/>
        <v>0</v>
      </c>
    </row>
    <row r="700" ht="22.5" customHeight="1">
      <c r="A700" s="20"/>
      <c r="B700" s="21"/>
      <c r="C700" s="31"/>
      <c r="D700" s="22"/>
      <c r="E700" s="2"/>
      <c r="F700" s="23"/>
      <c r="G700" s="24"/>
      <c r="I700" s="20"/>
      <c r="J700" s="21"/>
      <c r="K700" s="31"/>
      <c r="L700" s="22"/>
      <c r="M700" s="2"/>
      <c r="N700" s="23"/>
      <c r="O700" s="24"/>
      <c r="P700" s="19">
        <f t="shared" si="2"/>
        <v>0</v>
      </c>
    </row>
    <row r="701" ht="22.5" customHeight="1">
      <c r="A701" s="20"/>
      <c r="B701" s="21"/>
      <c r="C701" s="31"/>
      <c r="D701" s="22"/>
      <c r="E701" s="2"/>
      <c r="F701" s="23"/>
      <c r="G701" s="24"/>
      <c r="I701" s="20"/>
      <c r="J701" s="21"/>
      <c r="K701" s="31"/>
      <c r="L701" s="22"/>
      <c r="M701" s="2"/>
      <c r="N701" s="23"/>
      <c r="O701" s="24"/>
      <c r="P701" s="19">
        <f t="shared" si="2"/>
        <v>0</v>
      </c>
    </row>
    <row r="702" ht="22.5" customHeight="1">
      <c r="A702" s="20"/>
      <c r="B702" s="21"/>
      <c r="C702" s="31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19">
        <f t="shared" si="2"/>
        <v>0</v>
      </c>
    </row>
    <row r="703" ht="22.5" customHeight="1">
      <c r="A703" s="20"/>
      <c r="B703" s="21"/>
      <c r="C703" s="31"/>
      <c r="D703" s="22"/>
      <c r="E703" s="2"/>
      <c r="F703" s="23"/>
      <c r="G703" s="24"/>
      <c r="I703" s="20"/>
      <c r="J703" s="21"/>
      <c r="K703" s="31"/>
      <c r="L703" s="22"/>
      <c r="M703" s="2"/>
      <c r="N703" s="23"/>
      <c r="O703" s="24"/>
      <c r="P703" s="19">
        <f t="shared" si="2"/>
        <v>0</v>
      </c>
    </row>
    <row r="704" ht="22.5" customHeight="1">
      <c r="A704" s="20"/>
      <c r="B704" s="21"/>
      <c r="C704" s="31"/>
      <c r="D704" s="22"/>
      <c r="E704" s="2"/>
      <c r="F704" s="23"/>
      <c r="G704" s="24"/>
      <c r="I704" s="20"/>
      <c r="J704" s="21"/>
      <c r="K704" s="31"/>
      <c r="L704" s="22"/>
      <c r="M704" s="2"/>
      <c r="N704" s="23"/>
      <c r="O704" s="24"/>
      <c r="P704" s="19">
        <f t="shared" si="2"/>
        <v>0</v>
      </c>
    </row>
    <row r="705" ht="22.5" customHeight="1">
      <c r="A705" s="20"/>
      <c r="B705" s="21"/>
      <c r="C705" s="31"/>
      <c r="D705" s="22"/>
      <c r="E705" s="2"/>
      <c r="F705" s="23"/>
      <c r="G705" s="24"/>
      <c r="I705" s="20"/>
      <c r="J705" s="21"/>
      <c r="K705" s="31"/>
      <c r="L705" s="22"/>
      <c r="M705" s="2"/>
      <c r="N705" s="23"/>
      <c r="O705" s="24"/>
      <c r="P705" s="19">
        <f t="shared" si="2"/>
        <v>0</v>
      </c>
    </row>
    <row r="706" ht="22.5" customHeight="1">
      <c r="A706" s="20"/>
      <c r="B706" s="21"/>
      <c r="C706" s="31"/>
      <c r="D706" s="22"/>
      <c r="E706" s="2"/>
      <c r="F706" s="23"/>
      <c r="G706" s="24"/>
      <c r="I706" s="20"/>
      <c r="J706" s="21"/>
      <c r="K706" s="31"/>
      <c r="L706" s="22"/>
      <c r="M706" s="2"/>
      <c r="N706" s="23"/>
      <c r="O706" s="24"/>
      <c r="P706" s="19">
        <f t="shared" si="2"/>
        <v>0</v>
      </c>
    </row>
    <row r="707" ht="22.5" customHeight="1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19">
        <f t="shared" si="2"/>
        <v>0</v>
      </c>
    </row>
    <row r="708" ht="22.5" customHeight="1">
      <c r="A708" s="20"/>
      <c r="B708" s="21"/>
      <c r="C708" s="31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19">
        <f t="shared" si="2"/>
        <v>0</v>
      </c>
    </row>
    <row r="709" ht="22.5" customHeight="1">
      <c r="A709" s="20"/>
      <c r="B709" s="21"/>
      <c r="C709" s="31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19">
        <f t="shared" si="2"/>
        <v>0</v>
      </c>
    </row>
    <row r="710" ht="22.5" customHeight="1">
      <c r="A710" s="20"/>
      <c r="B710" s="21"/>
      <c r="C710" s="31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19">
        <f t="shared" si="2"/>
        <v>0</v>
      </c>
    </row>
    <row r="711" ht="22.5" customHeight="1">
      <c r="A711" s="20"/>
      <c r="B711" s="21"/>
      <c r="C711" s="31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19">
        <f t="shared" si="2"/>
        <v>0</v>
      </c>
    </row>
    <row r="712" ht="22.5" customHeight="1">
      <c r="A712" s="20"/>
      <c r="B712" s="21"/>
      <c r="C712" s="31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19">
        <f t="shared" si="2"/>
        <v>0</v>
      </c>
    </row>
    <row r="713" ht="22.5" customHeight="1">
      <c r="A713" s="25"/>
      <c r="B713" s="39"/>
      <c r="C713" s="40"/>
      <c r="D713" s="40"/>
      <c r="E713" s="41"/>
      <c r="F713" s="42"/>
      <c r="G713" s="43"/>
      <c r="I713" s="20"/>
      <c r="J713" s="21"/>
      <c r="K713" s="31"/>
      <c r="L713" s="22"/>
      <c r="M713" s="2"/>
      <c r="N713" s="23"/>
      <c r="O713" s="24"/>
      <c r="P713" s="19">
        <f t="shared" si="2"/>
        <v>0</v>
      </c>
    </row>
    <row r="714" ht="22.5" customHeight="1">
      <c r="A714" s="20"/>
      <c r="B714" s="21"/>
      <c r="C714" s="31"/>
      <c r="D714" s="22"/>
      <c r="E714" s="2"/>
      <c r="F714" s="23"/>
      <c r="G714" s="24"/>
      <c r="I714" s="20"/>
      <c r="J714" s="21"/>
      <c r="K714" s="31"/>
      <c r="L714" s="22"/>
      <c r="M714" s="2"/>
      <c r="N714" s="23"/>
      <c r="O714" s="24"/>
      <c r="P714" s="19">
        <f t="shared" si="2"/>
        <v>0</v>
      </c>
    </row>
    <row r="715" ht="22.5" customHeight="1">
      <c r="A715" s="20"/>
      <c r="B715" s="21"/>
      <c r="C715" s="31"/>
      <c r="D715" s="22"/>
      <c r="E715" s="2"/>
      <c r="F715" s="23"/>
      <c r="G715" s="24"/>
      <c r="I715" s="20"/>
      <c r="J715" s="21"/>
      <c r="K715" s="31"/>
      <c r="L715" s="22"/>
      <c r="M715" s="2"/>
      <c r="N715" s="23"/>
      <c r="O715" s="24"/>
      <c r="P715" s="19">
        <f t="shared" si="2"/>
        <v>0</v>
      </c>
    </row>
    <row r="716" ht="22.5" customHeight="1">
      <c r="A716" s="20"/>
      <c r="B716" s="21"/>
      <c r="C716" s="31"/>
      <c r="D716" s="22"/>
      <c r="E716" s="2"/>
      <c r="F716" s="23"/>
      <c r="G716" s="24"/>
      <c r="I716" s="20"/>
      <c r="J716" s="21"/>
      <c r="K716" s="31"/>
      <c r="L716" s="22"/>
      <c r="M716" s="2"/>
      <c r="N716" s="23"/>
      <c r="O716" s="24"/>
      <c r="P716" s="19">
        <f t="shared" si="2"/>
        <v>0</v>
      </c>
    </row>
    <row r="717" ht="22.5" customHeight="1">
      <c r="A717" s="20"/>
      <c r="B717" s="21"/>
      <c r="C717" s="31"/>
      <c r="D717" s="22"/>
      <c r="E717" s="2"/>
      <c r="F717" s="23"/>
      <c r="G717" s="24"/>
      <c r="I717" s="20"/>
      <c r="J717" s="21"/>
      <c r="K717" s="31"/>
      <c r="L717" s="22"/>
      <c r="M717" s="2"/>
      <c r="N717" s="23"/>
      <c r="O717" s="24"/>
      <c r="P717" s="19">
        <f t="shared" si="2"/>
        <v>0</v>
      </c>
    </row>
    <row r="718" ht="22.5" customHeight="1">
      <c r="A718" s="20"/>
      <c r="B718" s="21"/>
      <c r="C718" s="31"/>
      <c r="D718" s="22"/>
      <c r="E718" s="2"/>
      <c r="F718" s="23"/>
      <c r="G718" s="24"/>
      <c r="I718" s="20"/>
      <c r="J718" s="21"/>
      <c r="K718" s="31"/>
      <c r="L718" s="22"/>
      <c r="M718" s="2"/>
      <c r="N718" s="23"/>
      <c r="O718" s="24"/>
      <c r="P718" s="19">
        <f t="shared" si="2"/>
        <v>0</v>
      </c>
    </row>
    <row r="719" ht="22.5" customHeight="1">
      <c r="A719" s="20"/>
      <c r="B719" s="21"/>
      <c r="C719" s="31"/>
      <c r="D719" s="22"/>
      <c r="E719" s="2"/>
      <c r="F719" s="23"/>
      <c r="G719" s="24"/>
      <c r="I719" s="20"/>
      <c r="J719" s="21"/>
      <c r="K719" s="31"/>
      <c r="L719" s="22"/>
      <c r="M719" s="2"/>
      <c r="N719" s="23"/>
      <c r="O719" s="24"/>
      <c r="P719" s="19">
        <f t="shared" si="2"/>
        <v>0</v>
      </c>
    </row>
    <row r="720" ht="22.5" customHeight="1">
      <c r="A720" s="20"/>
      <c r="B720" s="21"/>
      <c r="C720" s="31"/>
      <c r="D720" s="22"/>
      <c r="E720" s="2"/>
      <c r="F720" s="23"/>
      <c r="G720" s="24"/>
      <c r="I720" s="20"/>
      <c r="J720" s="21"/>
      <c r="K720" s="31"/>
      <c r="L720" s="22"/>
      <c r="M720" s="2"/>
      <c r="N720" s="23"/>
      <c r="O720" s="24"/>
      <c r="P720" s="19">
        <f t="shared" si="2"/>
        <v>0</v>
      </c>
    </row>
    <row r="721" ht="22.5" customHeight="1">
      <c r="A721" s="20"/>
      <c r="B721" s="21"/>
      <c r="C721" s="31"/>
      <c r="D721" s="22"/>
      <c r="E721" s="2"/>
      <c r="F721" s="23"/>
      <c r="G721" s="24"/>
      <c r="I721" s="20"/>
      <c r="J721" s="21"/>
      <c r="K721" s="31"/>
      <c r="L721" s="22"/>
      <c r="M721" s="2"/>
      <c r="N721" s="23"/>
      <c r="O721" s="24"/>
      <c r="P721" s="19">
        <f t="shared" si="2"/>
        <v>0</v>
      </c>
    </row>
    <row r="722" ht="22.5" customHeight="1">
      <c r="A722" s="20"/>
      <c r="B722" s="21"/>
      <c r="C722" s="31"/>
      <c r="D722" s="22"/>
      <c r="E722" s="2"/>
      <c r="F722" s="23"/>
      <c r="G722" s="24"/>
      <c r="I722" s="20"/>
      <c r="J722" s="21"/>
      <c r="K722" s="31"/>
      <c r="L722" s="22"/>
      <c r="M722" s="2"/>
      <c r="N722" s="23"/>
      <c r="O722" s="24"/>
      <c r="P722" s="19">
        <f t="shared" si="2"/>
        <v>0</v>
      </c>
    </row>
    <row r="723" ht="22.5" customHeight="1">
      <c r="A723" s="20"/>
      <c r="B723" s="21"/>
      <c r="C723" s="31"/>
      <c r="D723" s="22"/>
      <c r="E723" s="2"/>
      <c r="F723" s="23"/>
      <c r="G723" s="24"/>
      <c r="P723" s="19">
        <f t="shared" si="2"/>
        <v>0</v>
      </c>
    </row>
    <row r="724" ht="22.5" customHeight="1">
      <c r="A724" s="20"/>
      <c r="B724" s="21"/>
      <c r="C724" s="31"/>
      <c r="D724" s="22"/>
      <c r="E724" s="2"/>
      <c r="F724" s="23"/>
      <c r="G724" s="24"/>
      <c r="P724" s="19">
        <f t="shared" si="2"/>
        <v>0</v>
      </c>
    </row>
    <row r="725" ht="22.5" customHeight="1">
      <c r="A725" s="20"/>
      <c r="B725" s="21"/>
      <c r="C725" s="22"/>
      <c r="D725" s="22"/>
      <c r="E725" s="2"/>
      <c r="F725" s="23"/>
      <c r="G725" s="24"/>
      <c r="P725" s="19">
        <f t="shared" si="2"/>
        <v>0</v>
      </c>
    </row>
    <row r="726" ht="22.5" customHeight="1">
      <c r="A726" s="20"/>
      <c r="B726" s="21"/>
      <c r="C726" s="22"/>
      <c r="D726" s="22"/>
      <c r="E726" s="2"/>
      <c r="F726" s="23"/>
      <c r="G726" s="24"/>
      <c r="P726" s="19">
        <f t="shared" si="2"/>
        <v>0</v>
      </c>
    </row>
    <row r="727" ht="22.5" customHeight="1">
      <c r="A727" s="20"/>
      <c r="B727" s="21"/>
      <c r="C727" s="31"/>
      <c r="D727" s="22"/>
      <c r="E727" s="2"/>
      <c r="F727" s="23"/>
      <c r="G727" s="24"/>
      <c r="P727" s="19">
        <f t="shared" si="2"/>
        <v>0</v>
      </c>
    </row>
    <row r="728" ht="22.5" customHeight="1">
      <c r="A728" s="20"/>
      <c r="B728" s="21"/>
      <c r="C728" s="22"/>
      <c r="D728" s="22"/>
      <c r="E728" s="2"/>
      <c r="F728" s="23"/>
      <c r="G728" s="24"/>
      <c r="P728" s="19">
        <f t="shared" si="2"/>
        <v>0</v>
      </c>
    </row>
    <row r="729" ht="22.5" customHeight="1">
      <c r="A729" s="20"/>
      <c r="B729" s="21"/>
      <c r="C729" s="22"/>
      <c r="D729" s="22"/>
      <c r="E729" s="2"/>
      <c r="F729" s="23"/>
      <c r="G729" s="24"/>
      <c r="P729" s="19">
        <f t="shared" si="2"/>
        <v>0</v>
      </c>
    </row>
    <row r="730" ht="22.5" customHeight="1">
      <c r="A730" s="20"/>
      <c r="B730" s="21"/>
      <c r="C730" s="31"/>
      <c r="D730" s="22"/>
      <c r="E730" s="2"/>
      <c r="F730" s="23"/>
      <c r="G730" s="24"/>
      <c r="P730" s="19">
        <f t="shared" si="2"/>
        <v>0</v>
      </c>
    </row>
    <row r="731" ht="22.5" customHeight="1">
      <c r="A731" s="20"/>
      <c r="B731" s="21"/>
      <c r="C731" s="22"/>
      <c r="D731" s="22"/>
      <c r="E731" s="2"/>
      <c r="F731" s="23"/>
      <c r="G731" s="24"/>
      <c r="P731" s="19">
        <f t="shared" si="2"/>
        <v>0</v>
      </c>
    </row>
    <row r="732" ht="22.5" customHeight="1">
      <c r="A732" s="20"/>
      <c r="B732" s="21"/>
      <c r="C732" s="31"/>
      <c r="D732" s="22"/>
      <c r="E732" s="2"/>
      <c r="F732" s="23"/>
      <c r="G732" s="24"/>
      <c r="P732" s="19">
        <f t="shared" si="2"/>
        <v>0</v>
      </c>
    </row>
    <row r="733" ht="22.5" customHeight="1">
      <c r="A733" s="20"/>
      <c r="B733" s="21"/>
      <c r="C733" s="22"/>
      <c r="D733" s="22"/>
      <c r="E733" s="2"/>
      <c r="F733" s="23"/>
      <c r="G733" s="24"/>
      <c r="P733" s="19">
        <f t="shared" si="2"/>
        <v>0</v>
      </c>
    </row>
    <row r="734" ht="22.5" customHeight="1">
      <c r="A734" s="20"/>
      <c r="B734" s="21"/>
      <c r="C734" s="31"/>
      <c r="D734" s="22"/>
      <c r="E734" s="2"/>
      <c r="F734" s="23"/>
      <c r="G734" s="24"/>
      <c r="P734" s="19">
        <f t="shared" si="2"/>
        <v>0</v>
      </c>
    </row>
    <row r="735" ht="22.5" customHeight="1">
      <c r="A735" s="20"/>
      <c r="B735" s="21"/>
      <c r="C735" s="22"/>
      <c r="D735" s="22"/>
      <c r="E735" s="2"/>
      <c r="F735" s="23"/>
      <c r="G735" s="24"/>
      <c r="P735" s="19">
        <f t="shared" si="2"/>
        <v>0</v>
      </c>
    </row>
    <row r="736" ht="22.5" customHeight="1">
      <c r="A736" s="20"/>
      <c r="B736" s="21"/>
      <c r="C736" s="31"/>
      <c r="D736" s="22"/>
      <c r="E736" s="2"/>
      <c r="F736" s="23"/>
      <c r="G736" s="24"/>
      <c r="P736" s="19">
        <f t="shared" si="2"/>
        <v>0</v>
      </c>
    </row>
    <row r="737" ht="22.5" customHeight="1">
      <c r="A737" s="20"/>
      <c r="B737" s="21"/>
      <c r="C737" s="22"/>
      <c r="D737" s="22"/>
      <c r="E737" s="2"/>
      <c r="F737" s="23"/>
      <c r="G737" s="24"/>
      <c r="P737" s="19">
        <f t="shared" si="2"/>
        <v>0</v>
      </c>
    </row>
    <row r="738" ht="22.5" customHeight="1">
      <c r="A738" s="20"/>
      <c r="B738" s="21"/>
      <c r="C738" s="31"/>
      <c r="D738" s="22"/>
      <c r="E738" s="2"/>
      <c r="F738" s="23"/>
      <c r="G738" s="24"/>
      <c r="P738" s="19">
        <f t="shared" si="2"/>
        <v>0</v>
      </c>
    </row>
    <row r="739" ht="22.5" customHeight="1">
      <c r="A739" s="20"/>
      <c r="B739" s="21"/>
      <c r="C739" s="31"/>
      <c r="D739" s="22"/>
      <c r="E739" s="2"/>
      <c r="F739" s="23"/>
      <c r="G739" s="24"/>
      <c r="P739" s="19">
        <f t="shared" si="2"/>
        <v>0</v>
      </c>
    </row>
    <row r="740" ht="22.5" customHeight="1">
      <c r="A740" s="20"/>
      <c r="B740" s="21"/>
      <c r="C740" s="22"/>
      <c r="D740" s="22"/>
      <c r="E740" s="2"/>
      <c r="F740" s="23"/>
      <c r="G740" s="24"/>
      <c r="P740" s="19">
        <f t="shared" si="2"/>
        <v>0</v>
      </c>
    </row>
    <row r="741" ht="22.5" customHeight="1">
      <c r="A741" s="20"/>
      <c r="B741" s="21"/>
      <c r="C741" s="31"/>
      <c r="D741" s="22"/>
      <c r="E741" s="2"/>
      <c r="F741" s="23"/>
      <c r="G741" s="24"/>
      <c r="P741" s="19">
        <f t="shared" si="2"/>
        <v>0</v>
      </c>
    </row>
    <row r="742" ht="22.5" customHeight="1">
      <c r="A742" s="20"/>
      <c r="B742" s="21"/>
      <c r="C742" s="22"/>
      <c r="D742" s="22"/>
      <c r="E742" s="2"/>
      <c r="F742" s="23"/>
      <c r="G742" s="24"/>
      <c r="P742" s="19">
        <f t="shared" si="2"/>
        <v>0</v>
      </c>
    </row>
    <row r="743" ht="22.5" customHeight="1">
      <c r="A743" s="20"/>
      <c r="B743" s="21"/>
      <c r="C743" s="22"/>
      <c r="D743" s="22"/>
      <c r="E743" s="2"/>
      <c r="F743" s="23"/>
      <c r="G743" s="24"/>
      <c r="P743" s="19">
        <f t="shared" si="2"/>
        <v>0</v>
      </c>
    </row>
    <row r="744" ht="22.5" customHeight="1">
      <c r="A744" s="20"/>
      <c r="B744" s="21"/>
      <c r="C744" s="31"/>
      <c r="D744" s="22"/>
      <c r="E744" s="2"/>
      <c r="F744" s="23"/>
      <c r="G744" s="24"/>
      <c r="P744" s="19">
        <f t="shared" si="2"/>
        <v>0</v>
      </c>
    </row>
    <row r="745" ht="22.5" customHeight="1">
      <c r="A745" s="20"/>
      <c r="B745" s="21"/>
      <c r="C745" s="22"/>
      <c r="D745" s="22"/>
      <c r="E745" s="2"/>
      <c r="F745" s="23"/>
      <c r="G745" s="24"/>
      <c r="P745" s="19">
        <f t="shared" si="2"/>
        <v>0</v>
      </c>
    </row>
    <row r="746" ht="22.5" customHeight="1">
      <c r="A746" s="20"/>
      <c r="B746" s="21"/>
      <c r="C746" s="22"/>
      <c r="D746" s="22"/>
      <c r="E746" s="2"/>
      <c r="F746" s="23"/>
      <c r="G746" s="24"/>
      <c r="P746" s="19">
        <f t="shared" si="2"/>
        <v>0</v>
      </c>
    </row>
    <row r="747" ht="22.5" customHeight="1">
      <c r="A747" s="20"/>
      <c r="B747" s="21"/>
      <c r="C747" s="31"/>
      <c r="D747" s="22"/>
      <c r="E747" s="2"/>
      <c r="F747" s="23"/>
      <c r="G747" s="24"/>
      <c r="P747" s="19">
        <f t="shared" si="2"/>
        <v>0</v>
      </c>
    </row>
    <row r="748" ht="22.5" customHeight="1">
      <c r="A748" s="20"/>
      <c r="B748" s="21"/>
      <c r="C748" s="22"/>
      <c r="D748" s="22"/>
      <c r="E748" s="2"/>
      <c r="F748" s="23"/>
      <c r="G748" s="24"/>
      <c r="P748" s="19">
        <f t="shared" si="2"/>
        <v>0</v>
      </c>
    </row>
    <row r="749" ht="22.5" customHeight="1">
      <c r="A749" s="20"/>
      <c r="B749" s="21"/>
      <c r="C749" s="31"/>
      <c r="D749" s="22"/>
      <c r="E749" s="2"/>
      <c r="F749" s="23"/>
      <c r="G749" s="24"/>
      <c r="P749" s="19">
        <f t="shared" si="2"/>
        <v>0</v>
      </c>
    </row>
    <row r="750" ht="22.5" customHeight="1">
      <c r="A750" s="20"/>
      <c r="B750" s="21"/>
      <c r="C750" s="22"/>
      <c r="D750" s="22"/>
      <c r="E750" s="2"/>
      <c r="F750" s="23"/>
      <c r="G750" s="24"/>
      <c r="P750" s="19">
        <f t="shared" si="2"/>
        <v>0</v>
      </c>
    </row>
    <row r="751" ht="22.5" customHeight="1">
      <c r="A751" s="20"/>
      <c r="B751" s="21"/>
      <c r="C751" s="31"/>
      <c r="D751" s="22"/>
      <c r="E751" s="2"/>
      <c r="F751" s="23"/>
      <c r="G751" s="24"/>
      <c r="P751" s="19">
        <f t="shared" si="2"/>
        <v>0</v>
      </c>
    </row>
    <row r="752" ht="22.5" customHeight="1">
      <c r="A752" s="20"/>
      <c r="B752" s="21"/>
      <c r="C752" s="31"/>
      <c r="D752" s="22"/>
      <c r="E752" s="2"/>
      <c r="F752" s="23"/>
      <c r="G752" s="24"/>
      <c r="P752" s="19">
        <f t="shared" si="2"/>
        <v>0</v>
      </c>
    </row>
    <row r="753" ht="22.5" customHeight="1">
      <c r="A753" s="20"/>
      <c r="B753" s="21"/>
      <c r="C753" s="22"/>
      <c r="D753" s="22"/>
      <c r="E753" s="2"/>
      <c r="F753" s="23"/>
      <c r="G753" s="24"/>
      <c r="P753" s="19">
        <f t="shared" si="2"/>
        <v>0</v>
      </c>
    </row>
    <row r="754" ht="22.5" customHeight="1">
      <c r="A754" s="20"/>
      <c r="B754" s="21"/>
      <c r="C754" s="22"/>
      <c r="D754" s="22"/>
      <c r="E754" s="2"/>
      <c r="F754" s="23"/>
      <c r="G754" s="24"/>
      <c r="P754" s="19">
        <f t="shared" si="2"/>
        <v>0</v>
      </c>
    </row>
    <row r="755" ht="22.5" customHeight="1">
      <c r="A755" s="20"/>
      <c r="B755" s="21"/>
      <c r="C755" s="22"/>
      <c r="D755" s="22"/>
      <c r="E755" s="2"/>
      <c r="F755" s="23"/>
      <c r="G755" s="24"/>
      <c r="P755" s="19">
        <f t="shared" si="2"/>
        <v>0</v>
      </c>
    </row>
    <row r="756" ht="22.5" customHeight="1">
      <c r="A756" s="20"/>
      <c r="B756" s="21"/>
      <c r="C756" s="22"/>
      <c r="D756" s="22"/>
      <c r="E756" s="2"/>
      <c r="F756" s="23"/>
      <c r="G756" s="24"/>
      <c r="P756" s="19">
        <f t="shared" si="2"/>
        <v>0</v>
      </c>
    </row>
    <row r="757" ht="22.5" customHeight="1">
      <c r="A757" s="20"/>
      <c r="B757" s="21"/>
      <c r="C757" s="31"/>
      <c r="D757" s="22"/>
      <c r="E757" s="2"/>
      <c r="F757" s="23"/>
      <c r="G757" s="24"/>
      <c r="P757" s="19">
        <f t="shared" si="2"/>
        <v>0</v>
      </c>
    </row>
    <row r="758" ht="22.5" customHeight="1">
      <c r="A758" s="20"/>
      <c r="B758" s="21"/>
      <c r="C758" s="31"/>
      <c r="D758" s="22"/>
      <c r="E758" s="2"/>
      <c r="F758" s="23"/>
      <c r="G758" s="24"/>
      <c r="P758" s="19">
        <f t="shared" si="2"/>
        <v>0</v>
      </c>
    </row>
    <row r="759" ht="22.5" customHeight="1">
      <c r="A759" s="20"/>
      <c r="B759" s="21"/>
      <c r="C759" s="31"/>
      <c r="D759" s="22"/>
      <c r="E759" s="2"/>
      <c r="F759" s="23"/>
      <c r="G759" s="24"/>
      <c r="P759" s="19">
        <f t="shared" si="2"/>
        <v>0</v>
      </c>
    </row>
    <row r="760" ht="22.5" customHeight="1">
      <c r="A760" s="20"/>
      <c r="B760" s="21"/>
      <c r="C760" s="31"/>
      <c r="D760" s="22"/>
      <c r="E760" s="2"/>
      <c r="F760" s="23"/>
      <c r="G760" s="24"/>
      <c r="P760" s="19">
        <f t="shared" si="2"/>
        <v>0</v>
      </c>
    </row>
    <row r="761" ht="22.5" customHeight="1">
      <c r="A761" s="20"/>
      <c r="B761" s="21"/>
      <c r="C761" s="31"/>
      <c r="D761" s="22"/>
      <c r="E761" s="2"/>
      <c r="F761" s="23"/>
      <c r="G761" s="24"/>
      <c r="P761" s="19">
        <f t="shared" si="2"/>
        <v>0</v>
      </c>
    </row>
    <row r="762" ht="22.5" customHeight="1">
      <c r="A762" s="20"/>
      <c r="B762" s="21"/>
      <c r="C762" s="31"/>
      <c r="D762" s="22"/>
      <c r="E762" s="2"/>
      <c r="F762" s="23"/>
      <c r="G762" s="24"/>
      <c r="P762" s="19">
        <f t="shared" si="2"/>
        <v>0</v>
      </c>
    </row>
    <row r="763" ht="22.5" customHeight="1">
      <c r="A763" s="20"/>
      <c r="B763" s="21"/>
      <c r="C763" s="31"/>
      <c r="D763" s="22"/>
      <c r="E763" s="2"/>
      <c r="F763" s="23"/>
      <c r="G763" s="24"/>
      <c r="P763" s="19">
        <f t="shared" si="2"/>
        <v>0</v>
      </c>
    </row>
    <row r="764" ht="22.5" customHeight="1">
      <c r="A764" s="20"/>
      <c r="B764" s="21"/>
      <c r="C764" s="22"/>
      <c r="D764" s="22"/>
      <c r="E764" s="2"/>
      <c r="F764" s="23"/>
      <c r="G764" s="24"/>
      <c r="P764" s="19">
        <f t="shared" si="2"/>
        <v>0</v>
      </c>
    </row>
    <row r="765" ht="22.5" customHeight="1">
      <c r="A765" s="20"/>
      <c r="B765" s="21"/>
      <c r="C765" s="31"/>
      <c r="D765" s="22"/>
      <c r="E765" s="2"/>
      <c r="F765" s="23"/>
      <c r="G765" s="24"/>
      <c r="P765" s="19">
        <f t="shared" si="2"/>
        <v>0</v>
      </c>
    </row>
    <row r="766" ht="22.5" customHeight="1">
      <c r="A766" s="20"/>
      <c r="B766" s="21"/>
      <c r="C766" s="31"/>
      <c r="D766" s="22"/>
      <c r="E766" s="2"/>
      <c r="F766" s="23"/>
      <c r="G766" s="24"/>
      <c r="P766" s="19">
        <f t="shared" si="2"/>
        <v>0</v>
      </c>
    </row>
    <row r="767" ht="22.5" customHeight="1">
      <c r="A767" s="20"/>
      <c r="B767" s="21"/>
      <c r="C767" s="22"/>
      <c r="D767" s="22"/>
      <c r="E767" s="2"/>
      <c r="F767" s="23"/>
      <c r="G767" s="24"/>
      <c r="P767" s="19">
        <f t="shared" si="2"/>
        <v>0</v>
      </c>
    </row>
    <row r="768" ht="22.5" customHeight="1">
      <c r="A768" s="20"/>
      <c r="B768" s="21"/>
      <c r="C768" s="31"/>
      <c r="D768" s="22"/>
      <c r="E768" s="2"/>
      <c r="F768" s="23"/>
      <c r="G768" s="24"/>
      <c r="P768" s="19">
        <f t="shared" si="2"/>
        <v>0</v>
      </c>
    </row>
    <row r="769" ht="22.5" customHeight="1">
      <c r="A769" s="20"/>
      <c r="B769" s="21"/>
      <c r="C769" s="31"/>
      <c r="D769" s="22"/>
      <c r="E769" s="2"/>
      <c r="F769" s="23"/>
      <c r="G769" s="24"/>
      <c r="P769" s="19">
        <f t="shared" si="2"/>
        <v>0</v>
      </c>
    </row>
    <row r="770" ht="22.5" customHeight="1">
      <c r="A770" s="20"/>
      <c r="B770" s="21"/>
      <c r="C770" s="31"/>
      <c r="D770" s="22"/>
      <c r="E770" s="2"/>
      <c r="F770" s="23"/>
      <c r="G770" s="24"/>
      <c r="P770" s="19">
        <f t="shared" si="2"/>
        <v>0</v>
      </c>
    </row>
    <row r="771" ht="22.5" customHeight="1">
      <c r="A771" s="20"/>
      <c r="B771" s="21"/>
      <c r="C771" s="31"/>
      <c r="D771" s="22"/>
      <c r="E771" s="2"/>
      <c r="F771" s="23"/>
      <c r="G771" s="24"/>
      <c r="P771" s="19">
        <f t="shared" si="2"/>
        <v>0</v>
      </c>
    </row>
    <row r="772" ht="22.5" customHeight="1">
      <c r="A772" s="20"/>
      <c r="B772" s="21"/>
      <c r="C772" s="22"/>
      <c r="D772" s="22"/>
      <c r="E772" s="2"/>
      <c r="F772" s="23"/>
      <c r="G772" s="24"/>
      <c r="P772" s="19">
        <f t="shared" si="2"/>
        <v>0</v>
      </c>
    </row>
    <row r="773" ht="22.5" customHeight="1">
      <c r="A773" s="20"/>
      <c r="B773" s="21"/>
      <c r="C773" s="31"/>
      <c r="D773" s="22"/>
      <c r="E773" s="2"/>
      <c r="F773" s="23"/>
      <c r="G773" s="24"/>
      <c r="P773" s="19">
        <f t="shared" si="2"/>
        <v>0</v>
      </c>
    </row>
    <row r="774" ht="22.5" customHeight="1">
      <c r="A774" s="20"/>
      <c r="B774" s="21"/>
      <c r="C774" s="22"/>
      <c r="D774" s="22"/>
      <c r="E774" s="2"/>
      <c r="F774" s="23"/>
      <c r="G774" s="24"/>
      <c r="P774" s="19">
        <f t="shared" si="2"/>
        <v>0</v>
      </c>
    </row>
    <row r="775" ht="22.5" customHeight="1">
      <c r="A775" s="20"/>
      <c r="B775" s="21"/>
      <c r="C775" s="31"/>
      <c r="D775" s="22"/>
      <c r="E775" s="2"/>
      <c r="F775" s="23"/>
      <c r="G775" s="24"/>
      <c r="P775" s="19">
        <f t="shared" si="2"/>
        <v>0</v>
      </c>
    </row>
    <row r="776" ht="22.5" customHeight="1">
      <c r="A776" s="20"/>
      <c r="B776" s="21"/>
      <c r="C776" s="22"/>
      <c r="D776" s="22"/>
      <c r="E776" s="2"/>
      <c r="F776" s="23"/>
      <c r="G776" s="24"/>
      <c r="P776" s="19">
        <f t="shared" si="2"/>
        <v>0</v>
      </c>
    </row>
    <row r="777" ht="22.5" customHeight="1">
      <c r="A777" s="20"/>
      <c r="B777" s="21"/>
      <c r="C777" s="31"/>
      <c r="D777" s="22"/>
      <c r="E777" s="2"/>
      <c r="F777" s="23"/>
      <c r="G777" s="24"/>
      <c r="P777" s="19">
        <f t="shared" si="2"/>
        <v>0</v>
      </c>
    </row>
    <row r="778" ht="22.5" customHeight="1">
      <c r="A778" s="20"/>
      <c r="B778" s="21"/>
      <c r="C778" s="31"/>
      <c r="D778" s="22"/>
      <c r="E778" s="2"/>
      <c r="F778" s="23"/>
      <c r="G778" s="24"/>
      <c r="P778" s="19">
        <f t="shared" si="2"/>
        <v>0</v>
      </c>
    </row>
    <row r="779" ht="22.5" customHeight="1">
      <c r="A779" s="20"/>
      <c r="B779" s="21"/>
      <c r="C779" s="31"/>
      <c r="D779" s="22"/>
      <c r="E779" s="2"/>
      <c r="F779" s="23"/>
      <c r="G779" s="24"/>
      <c r="P779" s="19">
        <f t="shared" si="2"/>
        <v>0</v>
      </c>
    </row>
    <row r="780" ht="22.5" customHeight="1">
      <c r="A780" s="20"/>
      <c r="B780" s="21"/>
      <c r="C780" s="31"/>
      <c r="D780" s="22"/>
      <c r="E780" s="2"/>
      <c r="F780" s="23"/>
      <c r="G780" s="24"/>
      <c r="P780" s="19">
        <f t="shared" si="2"/>
        <v>0</v>
      </c>
    </row>
    <row r="781" ht="22.5" customHeight="1">
      <c r="A781" s="20"/>
      <c r="B781" s="21"/>
      <c r="C781" s="31"/>
      <c r="D781" s="22"/>
      <c r="E781" s="2"/>
      <c r="F781" s="23"/>
      <c r="G781" s="24"/>
      <c r="P781" s="19">
        <f t="shared" si="2"/>
        <v>0</v>
      </c>
    </row>
    <row r="782" ht="22.5" customHeight="1">
      <c r="A782" s="20"/>
      <c r="B782" s="21"/>
      <c r="C782" s="31"/>
      <c r="D782" s="22"/>
      <c r="E782" s="2"/>
      <c r="F782" s="23"/>
      <c r="G782" s="24"/>
      <c r="P782" s="19">
        <f t="shared" si="2"/>
        <v>0</v>
      </c>
    </row>
    <row r="783" ht="22.5" customHeight="1">
      <c r="A783" s="20"/>
      <c r="B783" s="21"/>
      <c r="C783" s="22"/>
      <c r="D783" s="22"/>
      <c r="E783" s="2"/>
      <c r="F783" s="23"/>
      <c r="G783" s="24"/>
      <c r="P783" s="19">
        <f t="shared" si="2"/>
        <v>0</v>
      </c>
    </row>
    <row r="784" ht="22.5" customHeight="1">
      <c r="A784" s="20"/>
      <c r="B784" s="21"/>
      <c r="C784" s="31"/>
      <c r="D784" s="22"/>
      <c r="E784" s="2"/>
      <c r="F784" s="23"/>
      <c r="G784" s="24"/>
      <c r="P784" s="19">
        <f t="shared" si="2"/>
        <v>0</v>
      </c>
    </row>
    <row r="785" ht="22.5" customHeight="1">
      <c r="A785" s="20"/>
      <c r="B785" s="21"/>
      <c r="C785" s="31"/>
      <c r="D785" s="22"/>
      <c r="E785" s="2"/>
      <c r="F785" s="23"/>
      <c r="G785" s="24"/>
      <c r="P785" s="19">
        <f t="shared" si="2"/>
        <v>0</v>
      </c>
    </row>
    <row r="786" ht="22.5" customHeight="1">
      <c r="A786" s="20"/>
      <c r="B786" s="21"/>
      <c r="C786" s="31"/>
      <c r="D786" s="22"/>
      <c r="E786" s="2"/>
      <c r="F786" s="23"/>
      <c r="G786" s="24"/>
      <c r="P786" s="19">
        <f t="shared" si="2"/>
        <v>0</v>
      </c>
    </row>
    <row r="787" ht="22.5" customHeight="1">
      <c r="A787" s="20"/>
      <c r="B787" s="21"/>
      <c r="C787" s="31"/>
      <c r="D787" s="22"/>
      <c r="E787" s="2"/>
      <c r="F787" s="23"/>
      <c r="G787" s="24"/>
      <c r="P787" s="19">
        <f t="shared" si="2"/>
        <v>0</v>
      </c>
    </row>
    <row r="788" ht="22.5" customHeight="1">
      <c r="A788" s="20"/>
      <c r="B788" s="21"/>
      <c r="C788" s="22"/>
      <c r="D788" s="22"/>
      <c r="E788" s="2"/>
      <c r="F788" s="23"/>
      <c r="G788" s="24"/>
      <c r="P788" s="19">
        <f t="shared" si="2"/>
        <v>0</v>
      </c>
    </row>
    <row r="789" ht="22.5" customHeight="1">
      <c r="A789" s="20"/>
      <c r="B789" s="21"/>
      <c r="C789" s="31"/>
      <c r="D789" s="22"/>
      <c r="E789" s="2"/>
      <c r="F789" s="23"/>
      <c r="G789" s="24"/>
      <c r="P789" s="19">
        <f t="shared" si="2"/>
        <v>0</v>
      </c>
    </row>
    <row r="790" ht="22.5" customHeight="1">
      <c r="A790" s="20"/>
      <c r="B790" s="21"/>
      <c r="C790" s="31"/>
      <c r="D790" s="22"/>
      <c r="E790" s="2"/>
      <c r="F790" s="23"/>
      <c r="G790" s="24"/>
      <c r="P790" s="19">
        <f t="shared" si="2"/>
        <v>0</v>
      </c>
    </row>
    <row r="791" ht="22.5" customHeight="1">
      <c r="A791" s="20"/>
      <c r="B791" s="21"/>
      <c r="C791" s="22"/>
      <c r="D791" s="22"/>
      <c r="E791" s="2"/>
      <c r="F791" s="23"/>
      <c r="G791" s="24"/>
      <c r="P791" s="19">
        <f t="shared" si="2"/>
        <v>0</v>
      </c>
    </row>
    <row r="792" ht="22.5" customHeight="1">
      <c r="A792" s="20"/>
      <c r="B792" s="21"/>
      <c r="C792" s="31"/>
      <c r="D792" s="22"/>
      <c r="E792" s="2"/>
      <c r="F792" s="23"/>
      <c r="G792" s="24"/>
      <c r="P792" s="19">
        <f t="shared" si="2"/>
        <v>0</v>
      </c>
    </row>
    <row r="793" ht="22.5" customHeight="1">
      <c r="A793" s="20"/>
      <c r="B793" s="21"/>
      <c r="C793" s="22"/>
      <c r="D793" s="22"/>
      <c r="E793" s="2"/>
      <c r="F793" s="23"/>
      <c r="G793" s="24"/>
      <c r="P793" s="19">
        <f t="shared" si="2"/>
        <v>0</v>
      </c>
    </row>
    <row r="794" ht="22.5" customHeight="1">
      <c r="A794" s="20"/>
      <c r="B794" s="21"/>
      <c r="C794" s="31"/>
      <c r="D794" s="22"/>
      <c r="E794" s="2"/>
      <c r="F794" s="23"/>
      <c r="G794" s="24"/>
      <c r="P794" s="19">
        <f t="shared" si="2"/>
        <v>0</v>
      </c>
    </row>
    <row r="795" ht="22.5" customHeight="1">
      <c r="A795" s="20"/>
      <c r="B795" s="21"/>
      <c r="C795" s="22"/>
      <c r="D795" s="22"/>
      <c r="E795" s="2"/>
      <c r="F795" s="23"/>
      <c r="G795" s="24"/>
      <c r="P795" s="19">
        <f t="shared" si="2"/>
        <v>0</v>
      </c>
    </row>
    <row r="796" ht="22.5" customHeight="1">
      <c r="A796" s="20"/>
      <c r="B796" s="21"/>
      <c r="C796" s="31"/>
      <c r="D796" s="22"/>
      <c r="E796" s="2"/>
      <c r="F796" s="23"/>
      <c r="G796" s="24"/>
      <c r="P796" s="19">
        <f t="shared" si="2"/>
        <v>0</v>
      </c>
    </row>
    <row r="797" ht="22.5" customHeight="1">
      <c r="A797" s="20"/>
      <c r="B797" s="21"/>
      <c r="C797" s="31"/>
      <c r="D797" s="22"/>
      <c r="E797" s="2"/>
      <c r="F797" s="23"/>
      <c r="G797" s="24"/>
      <c r="P797" s="19">
        <f t="shared" si="2"/>
        <v>0</v>
      </c>
    </row>
    <row r="798" ht="22.5" customHeight="1">
      <c r="A798" s="20"/>
      <c r="B798" s="21"/>
      <c r="C798" s="31"/>
      <c r="D798" s="22"/>
      <c r="E798" s="2"/>
      <c r="F798" s="23"/>
      <c r="G798" s="24"/>
      <c r="P798" s="19">
        <f t="shared" si="2"/>
        <v>0</v>
      </c>
    </row>
    <row r="799" ht="22.5" customHeight="1">
      <c r="A799" s="20"/>
      <c r="B799" s="21"/>
      <c r="C799" s="31"/>
      <c r="D799" s="22"/>
      <c r="E799" s="2"/>
      <c r="F799" s="23"/>
      <c r="G799" s="24"/>
      <c r="P799" s="19">
        <f t="shared" si="2"/>
        <v>0</v>
      </c>
    </row>
    <row r="800" ht="22.5" customHeight="1">
      <c r="A800" s="20"/>
      <c r="B800" s="21"/>
      <c r="C800" s="31"/>
      <c r="D800" s="22"/>
      <c r="E800" s="2"/>
      <c r="F800" s="23"/>
      <c r="G800" s="24"/>
      <c r="P800" s="19">
        <f t="shared" si="2"/>
        <v>0</v>
      </c>
    </row>
    <row r="801" ht="22.5" customHeight="1">
      <c r="A801" s="20"/>
      <c r="B801" s="21"/>
      <c r="C801" s="22"/>
      <c r="D801" s="22"/>
      <c r="E801" s="2"/>
      <c r="F801" s="23"/>
      <c r="G801" s="24"/>
      <c r="P801" s="19">
        <f t="shared" si="2"/>
        <v>0</v>
      </c>
    </row>
    <row r="802" ht="22.5" customHeight="1">
      <c r="A802" s="20"/>
      <c r="B802" s="21"/>
      <c r="C802" s="31"/>
      <c r="D802" s="22"/>
      <c r="E802" s="2"/>
      <c r="F802" s="23"/>
      <c r="G802" s="24"/>
      <c r="P802" s="19">
        <f t="shared" si="2"/>
        <v>0</v>
      </c>
    </row>
    <row r="803" ht="22.5" customHeight="1">
      <c r="A803" s="20"/>
      <c r="B803" s="21"/>
      <c r="C803" s="22"/>
      <c r="D803" s="22"/>
      <c r="E803" s="2"/>
      <c r="F803" s="23"/>
      <c r="G803" s="24"/>
      <c r="P803" s="19">
        <f t="shared" si="2"/>
        <v>0</v>
      </c>
    </row>
    <row r="804" ht="22.5" customHeight="1">
      <c r="A804" s="20"/>
      <c r="B804" s="21"/>
      <c r="C804" s="31"/>
      <c r="D804" s="22"/>
      <c r="E804" s="2"/>
      <c r="F804" s="23"/>
      <c r="G804" s="24"/>
      <c r="P804" s="19">
        <f t="shared" si="2"/>
        <v>0</v>
      </c>
    </row>
    <row r="805" ht="22.5" customHeight="1">
      <c r="A805" s="20"/>
      <c r="B805" s="21"/>
      <c r="C805" s="22"/>
      <c r="D805" s="22"/>
      <c r="E805" s="2"/>
      <c r="F805" s="23"/>
      <c r="G805" s="24"/>
      <c r="P805" s="19">
        <f t="shared" si="2"/>
        <v>0</v>
      </c>
    </row>
    <row r="806" ht="22.5" customHeight="1">
      <c r="A806" s="20"/>
      <c r="B806" s="21"/>
      <c r="C806" s="31"/>
      <c r="D806" s="22"/>
      <c r="E806" s="2"/>
      <c r="F806" s="23"/>
      <c r="G806" s="24"/>
      <c r="P806" s="19">
        <f t="shared" si="2"/>
        <v>0</v>
      </c>
    </row>
    <row r="807" ht="22.5" customHeight="1">
      <c r="A807" s="20"/>
      <c r="B807" s="21"/>
      <c r="C807" s="31"/>
      <c r="D807" s="22"/>
      <c r="E807" s="2"/>
      <c r="F807" s="23"/>
      <c r="G807" s="24"/>
      <c r="P807" s="19">
        <f t="shared" si="2"/>
        <v>0</v>
      </c>
    </row>
    <row r="808" ht="22.5" customHeight="1">
      <c r="A808" s="20"/>
      <c r="B808" s="39"/>
      <c r="C808" s="40"/>
      <c r="D808" s="40"/>
      <c r="E808" s="41"/>
      <c r="F808" s="42"/>
      <c r="G808" s="43"/>
      <c r="P808" s="19">
        <f t="shared" si="2"/>
        <v>0</v>
      </c>
    </row>
    <row r="809" ht="22.5" customHeight="1">
      <c r="A809" s="20"/>
      <c r="B809" s="21"/>
      <c r="C809" s="31"/>
      <c r="D809" s="22"/>
      <c r="E809" s="2"/>
      <c r="F809" s="23"/>
      <c r="G809" s="24"/>
      <c r="P809" s="19">
        <f t="shared" si="2"/>
        <v>0</v>
      </c>
    </row>
    <row r="810" ht="22.5" customHeight="1">
      <c r="A810" s="20"/>
      <c r="B810" s="21"/>
      <c r="C810" s="31"/>
      <c r="D810" s="22"/>
      <c r="E810" s="2"/>
      <c r="F810" s="23"/>
      <c r="G810" s="24"/>
      <c r="P810" s="19">
        <f t="shared" si="2"/>
        <v>0</v>
      </c>
    </row>
    <row r="811" ht="22.5" customHeight="1">
      <c r="A811" s="20"/>
      <c r="B811" s="21"/>
      <c r="C811" s="22"/>
      <c r="D811" s="22"/>
      <c r="E811" s="2"/>
      <c r="F811" s="23"/>
      <c r="G811" s="24"/>
      <c r="P811" s="19">
        <f t="shared" si="2"/>
        <v>0</v>
      </c>
    </row>
    <row r="812" ht="22.5" customHeight="1">
      <c r="A812" s="20"/>
      <c r="B812" s="21"/>
      <c r="C812" s="31"/>
      <c r="D812" s="22"/>
      <c r="E812" s="2"/>
      <c r="F812" s="23"/>
      <c r="G812" s="24"/>
      <c r="P812" s="19">
        <f t="shared" si="2"/>
        <v>0</v>
      </c>
    </row>
    <row r="813" ht="22.5" customHeight="1">
      <c r="A813" s="20"/>
      <c r="B813" s="21"/>
      <c r="C813" s="22"/>
      <c r="D813" s="22"/>
      <c r="E813" s="2"/>
      <c r="F813" s="23"/>
      <c r="G813" s="24"/>
      <c r="P813" s="19">
        <f t="shared" si="2"/>
        <v>0</v>
      </c>
    </row>
    <row r="814" ht="22.5" customHeight="1">
      <c r="A814" s="20"/>
      <c r="B814" s="21"/>
      <c r="C814" s="31"/>
      <c r="D814" s="22"/>
      <c r="E814" s="2"/>
      <c r="F814" s="23"/>
      <c r="G814" s="24"/>
      <c r="P814" s="19">
        <f t="shared" si="2"/>
        <v>0</v>
      </c>
    </row>
    <row r="815" ht="22.5" customHeight="1">
      <c r="A815" s="20"/>
      <c r="B815" s="21"/>
      <c r="C815" s="22"/>
      <c r="D815" s="22"/>
      <c r="E815" s="2"/>
      <c r="F815" s="23"/>
      <c r="G815" s="24"/>
      <c r="P815" s="19">
        <f t="shared" si="2"/>
        <v>0</v>
      </c>
    </row>
    <row r="816" ht="22.5" customHeight="1">
      <c r="A816" s="20"/>
      <c r="B816" s="21"/>
      <c r="C816" s="31"/>
      <c r="D816" s="22"/>
      <c r="E816" s="2"/>
      <c r="F816" s="23"/>
      <c r="G816" s="24"/>
      <c r="P816" s="19">
        <f t="shared" si="2"/>
        <v>0</v>
      </c>
    </row>
    <row r="817" ht="22.5" customHeight="1">
      <c r="A817" s="20"/>
      <c r="B817" s="21"/>
      <c r="C817" s="31"/>
      <c r="D817" s="22"/>
      <c r="E817" s="2"/>
      <c r="F817" s="23"/>
      <c r="G817" s="24"/>
      <c r="P817" s="19">
        <f t="shared" si="2"/>
        <v>0</v>
      </c>
    </row>
    <row r="818" ht="22.5" customHeight="1">
      <c r="A818" s="20"/>
      <c r="B818" s="21"/>
      <c r="C818" s="31"/>
      <c r="D818" s="22"/>
      <c r="E818" s="2"/>
      <c r="F818" s="23"/>
      <c r="G818" s="24"/>
      <c r="P818" s="19">
        <f t="shared" si="2"/>
        <v>0</v>
      </c>
    </row>
    <row r="819" ht="22.5" customHeight="1">
      <c r="A819" s="20"/>
      <c r="B819" s="21"/>
      <c r="C819" s="31"/>
      <c r="D819" s="22"/>
      <c r="E819" s="2"/>
      <c r="F819" s="23"/>
      <c r="G819" s="24"/>
      <c r="P819" s="19">
        <f t="shared" si="2"/>
        <v>0</v>
      </c>
    </row>
    <row r="820" ht="22.5" customHeight="1">
      <c r="A820" s="20"/>
      <c r="B820" s="21"/>
      <c r="C820" s="22"/>
      <c r="D820" s="22"/>
      <c r="E820" s="2"/>
      <c r="F820" s="23"/>
      <c r="G820" s="24"/>
      <c r="P820" s="19">
        <f t="shared" si="2"/>
        <v>0</v>
      </c>
    </row>
    <row r="821" ht="22.5" customHeight="1">
      <c r="A821" s="20"/>
      <c r="B821" s="21"/>
      <c r="C821" s="31"/>
      <c r="D821" s="22"/>
      <c r="E821" s="2"/>
      <c r="F821" s="23"/>
      <c r="G821" s="24"/>
      <c r="P821" s="19">
        <f t="shared" si="2"/>
        <v>0</v>
      </c>
    </row>
    <row r="822" ht="22.5" customHeight="1">
      <c r="A822" s="20"/>
      <c r="B822" s="21"/>
      <c r="C822" s="22"/>
      <c r="D822" s="22"/>
      <c r="E822" s="2"/>
      <c r="F822" s="23"/>
      <c r="G822" s="24"/>
      <c r="P822" s="19">
        <f t="shared" si="2"/>
        <v>0</v>
      </c>
    </row>
    <row r="823" ht="22.5" customHeight="1">
      <c r="A823" s="20"/>
      <c r="B823" s="21"/>
      <c r="C823" s="31"/>
      <c r="D823" s="22"/>
      <c r="E823" s="2"/>
      <c r="F823" s="23"/>
      <c r="G823" s="24"/>
      <c r="P823" s="19">
        <f t="shared" si="2"/>
        <v>0</v>
      </c>
    </row>
    <row r="824" ht="22.5" customHeight="1">
      <c r="A824" s="20"/>
      <c r="B824" s="21"/>
      <c r="C824" s="31"/>
      <c r="D824" s="22"/>
      <c r="E824" s="2"/>
      <c r="F824" s="23"/>
      <c r="G824" s="24"/>
      <c r="P824" s="19">
        <f t="shared" si="2"/>
        <v>0</v>
      </c>
    </row>
    <row r="825" ht="22.5" customHeight="1">
      <c r="A825" s="20"/>
      <c r="B825" s="21"/>
      <c r="C825" s="22"/>
      <c r="D825" s="22"/>
      <c r="E825" s="2"/>
      <c r="F825" s="23"/>
      <c r="G825" s="24"/>
      <c r="P825" s="19">
        <f t="shared" si="2"/>
        <v>0</v>
      </c>
    </row>
    <row r="826" ht="22.5" customHeight="1">
      <c r="A826" s="20"/>
      <c r="B826" s="21"/>
      <c r="C826" s="31"/>
      <c r="D826" s="22"/>
      <c r="E826" s="2"/>
      <c r="F826" s="23"/>
      <c r="G826" s="24"/>
      <c r="P826" s="19">
        <f t="shared" si="2"/>
        <v>0</v>
      </c>
    </row>
    <row r="827" ht="22.5" customHeight="1">
      <c r="A827" s="20"/>
      <c r="B827" s="21"/>
      <c r="C827" s="31"/>
      <c r="D827" s="22"/>
      <c r="E827" s="2"/>
      <c r="F827" s="23"/>
      <c r="G827" s="24"/>
      <c r="P827" s="19">
        <f t="shared" si="2"/>
        <v>0</v>
      </c>
    </row>
    <row r="828" ht="22.5" customHeight="1">
      <c r="A828" s="20"/>
      <c r="B828" s="21"/>
      <c r="C828" s="31"/>
      <c r="D828" s="22"/>
      <c r="E828" s="2"/>
      <c r="F828" s="23"/>
      <c r="G828" s="24"/>
      <c r="P828" s="19">
        <f t="shared" si="2"/>
        <v>0</v>
      </c>
    </row>
    <row r="829" ht="22.5" customHeight="1">
      <c r="A829" s="20"/>
      <c r="B829" s="21"/>
      <c r="C829" s="31"/>
      <c r="D829" s="22"/>
      <c r="E829" s="2"/>
      <c r="F829" s="23"/>
      <c r="G829" s="24"/>
      <c r="P829" s="19">
        <f t="shared" si="2"/>
        <v>0</v>
      </c>
    </row>
    <row r="830" ht="22.5" customHeight="1">
      <c r="A830" s="20"/>
      <c r="B830" s="21"/>
      <c r="C830" s="31"/>
      <c r="D830" s="22"/>
      <c r="E830" s="2"/>
      <c r="F830" s="23"/>
      <c r="G830" s="24"/>
      <c r="P830" s="19">
        <f t="shared" si="2"/>
        <v>0</v>
      </c>
    </row>
    <row r="831" ht="22.5" customHeight="1">
      <c r="A831" s="20"/>
      <c r="B831" s="21"/>
      <c r="C831" s="22"/>
      <c r="D831" s="22"/>
      <c r="E831" s="2"/>
      <c r="F831" s="23"/>
      <c r="G831" s="24"/>
      <c r="P831" s="19">
        <f t="shared" si="2"/>
        <v>0</v>
      </c>
    </row>
    <row r="832" ht="22.5" customHeight="1">
      <c r="A832" s="20"/>
      <c r="B832" s="21"/>
      <c r="C832" s="22"/>
      <c r="D832" s="22"/>
      <c r="E832" s="2"/>
      <c r="F832" s="23"/>
      <c r="G832" s="24"/>
      <c r="P832" s="19">
        <f t="shared" si="2"/>
        <v>0</v>
      </c>
    </row>
    <row r="833" ht="22.5" customHeight="1">
      <c r="A833" s="20"/>
      <c r="B833" s="21"/>
      <c r="C833" s="22"/>
      <c r="D833" s="22"/>
      <c r="E833" s="2"/>
      <c r="F833" s="23"/>
      <c r="G833" s="24"/>
      <c r="P833" s="19">
        <f t="shared" si="2"/>
        <v>0</v>
      </c>
    </row>
    <row r="834" ht="22.5" customHeight="1">
      <c r="A834" s="20"/>
      <c r="B834" s="21"/>
      <c r="C834" s="31"/>
      <c r="D834" s="22"/>
      <c r="E834" s="2"/>
      <c r="F834" s="23"/>
      <c r="G834" s="24"/>
      <c r="P834" s="19">
        <f t="shared" si="2"/>
        <v>0</v>
      </c>
    </row>
    <row r="835" ht="22.5" customHeight="1">
      <c r="A835" s="20"/>
      <c r="B835" s="21"/>
      <c r="C835" s="22"/>
      <c r="D835" s="22"/>
      <c r="E835" s="2"/>
      <c r="F835" s="23"/>
      <c r="G835" s="24"/>
      <c r="P835" s="19">
        <f t="shared" si="2"/>
        <v>0</v>
      </c>
    </row>
    <row r="836" ht="22.5" customHeight="1">
      <c r="A836" s="20"/>
      <c r="B836" s="21"/>
      <c r="C836" s="31"/>
      <c r="D836" s="22"/>
      <c r="E836" s="2"/>
      <c r="F836" s="23"/>
      <c r="G836" s="24"/>
      <c r="P836" s="19">
        <f t="shared" si="2"/>
        <v>0</v>
      </c>
    </row>
    <row r="837" ht="22.5" customHeight="1">
      <c r="A837" s="20"/>
      <c r="B837" s="21"/>
      <c r="C837" s="22"/>
      <c r="D837" s="22"/>
      <c r="E837" s="2"/>
      <c r="F837" s="23"/>
      <c r="G837" s="24"/>
      <c r="P837" s="19">
        <f t="shared" si="2"/>
        <v>0</v>
      </c>
    </row>
    <row r="838" ht="22.5" customHeight="1">
      <c r="A838" s="20"/>
      <c r="B838" s="21"/>
      <c r="C838" s="31"/>
      <c r="D838" s="22"/>
      <c r="E838" s="2"/>
      <c r="F838" s="23"/>
      <c r="G838" s="24"/>
      <c r="P838" s="19">
        <f t="shared" si="2"/>
        <v>0</v>
      </c>
    </row>
    <row r="839" ht="22.5" customHeight="1">
      <c r="A839" s="20"/>
      <c r="B839" s="21"/>
      <c r="C839" s="31"/>
      <c r="D839" s="22"/>
      <c r="E839" s="2"/>
      <c r="F839" s="23"/>
      <c r="G839" s="24"/>
      <c r="P839" s="19">
        <f t="shared" si="2"/>
        <v>0</v>
      </c>
    </row>
    <row r="840" ht="22.5" customHeight="1">
      <c r="A840" s="20"/>
      <c r="B840" s="21"/>
      <c r="C840" s="31"/>
      <c r="D840" s="22"/>
      <c r="E840" s="2"/>
      <c r="F840" s="23"/>
      <c r="G840" s="24"/>
      <c r="P840" s="19">
        <f t="shared" si="2"/>
        <v>0</v>
      </c>
    </row>
    <row r="841" ht="22.5" customHeight="1">
      <c r="A841" s="20"/>
      <c r="B841" s="21"/>
      <c r="C841" s="31"/>
      <c r="D841" s="22"/>
      <c r="E841" s="2"/>
      <c r="F841" s="23"/>
      <c r="G841" s="24"/>
      <c r="P841" s="19">
        <f t="shared" si="2"/>
        <v>0</v>
      </c>
    </row>
    <row r="842" ht="22.5" customHeight="1">
      <c r="A842" s="20"/>
      <c r="B842" s="21"/>
      <c r="C842" s="31"/>
      <c r="D842" s="22"/>
      <c r="E842" s="2"/>
      <c r="F842" s="23"/>
      <c r="G842" s="24"/>
      <c r="P842" s="19">
        <f t="shared" si="2"/>
        <v>0</v>
      </c>
    </row>
    <row r="843" ht="22.5" customHeight="1">
      <c r="A843" s="20"/>
      <c r="B843" s="21"/>
      <c r="C843" s="22"/>
      <c r="D843" s="22"/>
      <c r="E843" s="2"/>
      <c r="F843" s="23"/>
      <c r="G843" s="24"/>
      <c r="P843" s="19">
        <f t="shared" si="2"/>
        <v>0</v>
      </c>
    </row>
    <row r="844" ht="22.5" customHeight="1">
      <c r="A844" s="20"/>
      <c r="B844" s="21"/>
      <c r="C844" s="22"/>
      <c r="D844" s="22"/>
      <c r="E844" s="2"/>
      <c r="F844" s="23"/>
      <c r="G844" s="24"/>
      <c r="P844" s="19">
        <f t="shared" si="2"/>
        <v>0</v>
      </c>
    </row>
    <row r="845" ht="22.5" customHeight="1">
      <c r="A845" s="20"/>
      <c r="B845" s="21"/>
      <c r="C845" s="31"/>
      <c r="D845" s="22"/>
      <c r="E845" s="2"/>
      <c r="F845" s="23"/>
      <c r="G845" s="24"/>
      <c r="P845" s="19">
        <f t="shared" si="2"/>
        <v>0</v>
      </c>
    </row>
    <row r="846" ht="22.5" customHeight="1">
      <c r="A846" s="20"/>
      <c r="B846" s="21"/>
      <c r="C846" s="22"/>
      <c r="D846" s="22"/>
      <c r="E846" s="2"/>
      <c r="F846" s="23"/>
      <c r="G846" s="24"/>
      <c r="P846" s="19">
        <f t="shared" si="2"/>
        <v>0</v>
      </c>
    </row>
    <row r="847" ht="22.5" customHeight="1">
      <c r="A847" s="20"/>
      <c r="B847" s="21"/>
      <c r="C847" s="31"/>
      <c r="D847" s="22"/>
      <c r="E847" s="2"/>
      <c r="F847" s="23"/>
      <c r="G847" s="24"/>
      <c r="P847" s="19">
        <f t="shared" si="2"/>
        <v>0</v>
      </c>
    </row>
    <row r="848" ht="22.5" customHeight="1">
      <c r="A848" s="20"/>
      <c r="B848" s="21"/>
      <c r="C848" s="22"/>
      <c r="D848" s="22"/>
      <c r="E848" s="2"/>
      <c r="F848" s="23"/>
      <c r="G848" s="24"/>
      <c r="P848" s="19">
        <f t="shared" si="2"/>
        <v>0</v>
      </c>
    </row>
    <row r="849" ht="22.5" customHeight="1">
      <c r="A849" s="20"/>
      <c r="B849" s="21"/>
      <c r="C849" s="31"/>
      <c r="D849" s="22"/>
      <c r="E849" s="2"/>
      <c r="F849" s="23"/>
      <c r="G849" s="24"/>
      <c r="P849" s="19">
        <f t="shared" si="2"/>
        <v>0</v>
      </c>
    </row>
    <row r="850" ht="22.5" customHeight="1">
      <c r="A850" s="20"/>
      <c r="B850" s="21"/>
      <c r="C850" s="22"/>
      <c r="D850" s="22"/>
      <c r="E850" s="2"/>
      <c r="F850" s="23"/>
      <c r="G850" s="24"/>
      <c r="P850" s="19">
        <f t="shared" si="2"/>
        <v>0</v>
      </c>
    </row>
    <row r="851" ht="22.5" customHeight="1">
      <c r="A851" s="20"/>
      <c r="B851" s="21"/>
      <c r="C851" s="31"/>
      <c r="D851" s="22"/>
      <c r="E851" s="2"/>
      <c r="F851" s="23"/>
      <c r="G851" s="24"/>
      <c r="P851" s="19">
        <f t="shared" si="2"/>
        <v>0</v>
      </c>
    </row>
    <row r="852" ht="22.5" customHeight="1">
      <c r="A852" s="20"/>
      <c r="B852" s="21"/>
      <c r="C852" s="31"/>
      <c r="D852" s="22"/>
      <c r="E852" s="2"/>
      <c r="F852" s="23"/>
      <c r="G852" s="24"/>
      <c r="P852" s="19">
        <f t="shared" si="2"/>
        <v>0</v>
      </c>
    </row>
    <row r="853" ht="22.5" customHeight="1">
      <c r="A853" s="20"/>
      <c r="B853" s="21"/>
      <c r="C853" s="22"/>
      <c r="D853" s="22"/>
      <c r="E853" s="2"/>
      <c r="F853" s="23"/>
      <c r="G853" s="24"/>
      <c r="P853" s="19">
        <f t="shared" si="2"/>
        <v>0</v>
      </c>
    </row>
    <row r="854" ht="22.5" customHeight="1">
      <c r="A854" s="20"/>
      <c r="B854" s="21"/>
      <c r="C854" s="22"/>
      <c r="D854" s="22"/>
      <c r="E854" s="2"/>
      <c r="F854" s="23"/>
      <c r="G854" s="24"/>
      <c r="P854" s="19">
        <f t="shared" si="2"/>
        <v>0</v>
      </c>
    </row>
    <row r="855" ht="22.5" customHeight="1">
      <c r="A855" s="20"/>
      <c r="B855" s="21"/>
      <c r="C855" s="22"/>
      <c r="D855" s="22"/>
      <c r="E855" s="2"/>
      <c r="F855" s="23"/>
      <c r="G855" s="24"/>
      <c r="P855" s="19">
        <f t="shared" si="2"/>
        <v>0</v>
      </c>
    </row>
    <row r="856" ht="22.5" customHeight="1">
      <c r="A856" s="20"/>
      <c r="B856" s="21"/>
      <c r="C856" s="31"/>
      <c r="D856" s="22"/>
      <c r="E856" s="2"/>
      <c r="F856" s="23"/>
      <c r="G856" s="24"/>
      <c r="P856" s="19">
        <f t="shared" si="2"/>
        <v>0</v>
      </c>
    </row>
    <row r="857" ht="22.5" customHeight="1">
      <c r="A857" s="20"/>
      <c r="B857" s="21"/>
      <c r="C857" s="22"/>
      <c r="D857" s="22"/>
      <c r="E857" s="2"/>
      <c r="F857" s="23"/>
      <c r="G857" s="24"/>
      <c r="P857" s="19">
        <f t="shared" si="2"/>
        <v>0</v>
      </c>
    </row>
    <row r="858" ht="22.5" customHeight="1">
      <c r="A858" s="20"/>
      <c r="B858" s="21"/>
      <c r="C858" s="31"/>
      <c r="D858" s="22"/>
      <c r="E858" s="2"/>
      <c r="F858" s="23"/>
      <c r="G858" s="24"/>
      <c r="P858" s="19">
        <f t="shared" si="2"/>
        <v>0</v>
      </c>
    </row>
    <row r="859" ht="22.5" customHeight="1">
      <c r="A859" s="20"/>
      <c r="B859" s="21"/>
      <c r="C859" s="22"/>
      <c r="D859" s="22"/>
      <c r="E859" s="2"/>
      <c r="F859" s="23"/>
      <c r="G859" s="24"/>
      <c r="P859" s="19">
        <f t="shared" si="2"/>
        <v>0</v>
      </c>
    </row>
    <row r="860" ht="22.5" customHeight="1">
      <c r="A860" s="20"/>
      <c r="B860" s="21"/>
      <c r="C860" s="31"/>
      <c r="D860" s="22"/>
      <c r="E860" s="2"/>
      <c r="F860" s="23"/>
      <c r="G860" s="24"/>
      <c r="P860" s="19">
        <f t="shared" si="2"/>
        <v>0</v>
      </c>
    </row>
    <row r="861" ht="22.5" customHeight="1">
      <c r="A861" s="20"/>
      <c r="B861" s="21"/>
      <c r="C861" s="31"/>
      <c r="D861" s="22"/>
      <c r="E861" s="2"/>
      <c r="F861" s="23"/>
      <c r="G861" s="24"/>
      <c r="P861" s="19">
        <f t="shared" si="2"/>
        <v>0</v>
      </c>
    </row>
    <row r="862" ht="22.5" customHeight="1">
      <c r="A862" s="20"/>
      <c r="B862" s="21"/>
      <c r="C862" s="22"/>
      <c r="D862" s="22"/>
      <c r="E862" s="2"/>
      <c r="F862" s="23"/>
      <c r="G862" s="24"/>
      <c r="P862" s="19">
        <f t="shared" si="2"/>
        <v>0</v>
      </c>
    </row>
    <row r="863" ht="22.5" customHeight="1">
      <c r="A863" s="20"/>
      <c r="B863" s="21"/>
      <c r="C863" s="31"/>
      <c r="D863" s="22"/>
      <c r="E863" s="2"/>
      <c r="F863" s="23"/>
      <c r="G863" s="24"/>
      <c r="P863" s="19">
        <f t="shared" si="2"/>
        <v>0</v>
      </c>
    </row>
    <row r="864" ht="22.5" customHeight="1">
      <c r="A864" s="20"/>
      <c r="B864" s="21"/>
      <c r="C864" s="31"/>
      <c r="D864" s="22"/>
      <c r="E864" s="2"/>
      <c r="F864" s="23"/>
      <c r="G864" s="24"/>
      <c r="P864" s="19">
        <f t="shared" si="2"/>
        <v>0</v>
      </c>
    </row>
    <row r="865" ht="22.5" customHeight="1">
      <c r="A865" s="20"/>
      <c r="B865" s="21"/>
      <c r="C865" s="31"/>
      <c r="D865" s="22"/>
      <c r="E865" s="2"/>
      <c r="F865" s="23"/>
      <c r="G865" s="24"/>
      <c r="P865" s="19">
        <f t="shared" si="2"/>
        <v>0</v>
      </c>
    </row>
    <row r="866" ht="22.5" customHeight="1">
      <c r="A866" s="20"/>
      <c r="B866" s="21"/>
      <c r="C866" s="31"/>
      <c r="D866" s="22"/>
      <c r="E866" s="2"/>
      <c r="F866" s="23"/>
      <c r="G866" s="24"/>
      <c r="P866" s="19">
        <f t="shared" si="2"/>
        <v>0</v>
      </c>
    </row>
    <row r="867" ht="22.5" customHeight="1">
      <c r="A867" s="20"/>
      <c r="B867" s="21"/>
      <c r="C867" s="22"/>
      <c r="D867" s="22"/>
      <c r="E867" s="2"/>
      <c r="F867" s="23"/>
      <c r="G867" s="24"/>
      <c r="P867" s="19">
        <f t="shared" si="2"/>
        <v>0</v>
      </c>
    </row>
    <row r="868" ht="22.5" customHeight="1">
      <c r="A868" s="20"/>
      <c r="B868" s="21"/>
      <c r="C868" s="22"/>
      <c r="D868" s="22"/>
      <c r="E868" s="2"/>
      <c r="F868" s="23"/>
      <c r="G868" s="24"/>
      <c r="P868" s="19">
        <f t="shared" si="2"/>
        <v>0</v>
      </c>
    </row>
    <row r="869" ht="22.5" customHeight="1">
      <c r="A869" s="20"/>
      <c r="B869" s="21"/>
      <c r="C869" s="22"/>
      <c r="D869" s="22"/>
      <c r="E869" s="2"/>
      <c r="F869" s="23"/>
      <c r="G869" s="24"/>
      <c r="P869" s="19">
        <f t="shared" si="2"/>
        <v>0</v>
      </c>
    </row>
    <row r="870" ht="22.5" customHeight="1">
      <c r="A870" s="20"/>
      <c r="B870" s="21"/>
      <c r="C870" s="22"/>
      <c r="D870" s="22"/>
      <c r="E870" s="2"/>
      <c r="F870" s="23"/>
      <c r="G870" s="24"/>
      <c r="P870" s="19">
        <f t="shared" si="2"/>
        <v>0</v>
      </c>
    </row>
    <row r="871" ht="22.5" customHeight="1">
      <c r="A871" s="20"/>
      <c r="B871" s="21"/>
      <c r="C871" s="22"/>
      <c r="D871" s="22"/>
      <c r="E871" s="2"/>
      <c r="F871" s="23"/>
      <c r="G871" s="24"/>
      <c r="P871" s="19">
        <f t="shared" si="2"/>
        <v>0</v>
      </c>
    </row>
    <row r="872" ht="22.5" customHeight="1">
      <c r="A872" s="20"/>
      <c r="B872" s="21"/>
      <c r="C872" s="22"/>
      <c r="D872" s="22"/>
      <c r="E872" s="2"/>
      <c r="F872" s="23"/>
      <c r="G872" s="24"/>
      <c r="P872" s="19">
        <f t="shared" si="2"/>
        <v>0</v>
      </c>
    </row>
    <row r="873" ht="22.5" customHeight="1">
      <c r="A873" s="20"/>
      <c r="B873" s="21"/>
      <c r="C873" s="31"/>
      <c r="D873" s="22"/>
      <c r="E873" s="2"/>
      <c r="F873" s="23"/>
      <c r="G873" s="24"/>
      <c r="P873" s="19">
        <f t="shared" si="2"/>
        <v>0</v>
      </c>
    </row>
    <row r="874" ht="22.5" customHeight="1">
      <c r="A874" s="20"/>
      <c r="B874" s="21"/>
      <c r="C874" s="31"/>
      <c r="D874" s="22"/>
      <c r="E874" s="2"/>
      <c r="F874" s="23"/>
      <c r="G874" s="24"/>
      <c r="P874" s="19">
        <f t="shared" si="2"/>
        <v>0</v>
      </c>
    </row>
    <row r="875" ht="22.5" customHeight="1">
      <c r="A875" s="20"/>
      <c r="B875" s="21"/>
      <c r="C875" s="31"/>
      <c r="D875" s="22"/>
      <c r="E875" s="2"/>
      <c r="F875" s="23"/>
      <c r="G875" s="24"/>
      <c r="P875" s="19">
        <f t="shared" si="2"/>
        <v>0</v>
      </c>
    </row>
    <row r="876" ht="22.5" customHeight="1">
      <c r="A876" s="20"/>
      <c r="B876" s="21"/>
      <c r="C876" s="31"/>
      <c r="D876" s="22"/>
      <c r="E876" s="2"/>
      <c r="F876" s="23"/>
      <c r="G876" s="24"/>
      <c r="P876" s="19">
        <f t="shared" si="2"/>
        <v>0</v>
      </c>
    </row>
    <row r="877" ht="22.5" customHeight="1">
      <c r="A877" s="20"/>
      <c r="B877" s="21"/>
      <c r="C877" s="31"/>
      <c r="D877" s="22"/>
      <c r="E877" s="2"/>
      <c r="F877" s="23"/>
      <c r="G877" s="24"/>
      <c r="P877" s="19">
        <f t="shared" si="2"/>
        <v>0</v>
      </c>
    </row>
    <row r="878" ht="22.5" customHeight="1">
      <c r="A878" s="20"/>
      <c r="B878" s="21"/>
      <c r="C878" s="31"/>
      <c r="D878" s="22"/>
      <c r="E878" s="2"/>
      <c r="F878" s="23"/>
      <c r="G878" s="24"/>
      <c r="P878" s="19">
        <f t="shared" si="2"/>
        <v>0</v>
      </c>
    </row>
    <row r="879" ht="22.5" customHeight="1">
      <c r="A879" s="20"/>
      <c r="B879" s="21"/>
      <c r="C879" s="31"/>
      <c r="D879" s="22"/>
      <c r="E879" s="2"/>
      <c r="F879" s="23"/>
      <c r="G879" s="24"/>
      <c r="P879" s="19">
        <f t="shared" si="2"/>
        <v>0</v>
      </c>
    </row>
    <row r="880" ht="22.5" customHeight="1">
      <c r="A880" s="20"/>
      <c r="B880" s="21"/>
      <c r="C880" s="31"/>
      <c r="D880" s="22"/>
      <c r="E880" s="2"/>
      <c r="F880" s="23"/>
      <c r="G880" s="24"/>
      <c r="P880" s="19">
        <f t="shared" si="2"/>
        <v>0</v>
      </c>
    </row>
    <row r="881" ht="22.5" customHeight="1">
      <c r="A881" s="20"/>
      <c r="B881" s="21"/>
      <c r="C881" s="31"/>
      <c r="D881" s="22"/>
      <c r="E881" s="2"/>
      <c r="F881" s="23"/>
      <c r="G881" s="24"/>
      <c r="P881" s="19">
        <f t="shared" si="2"/>
        <v>0</v>
      </c>
    </row>
    <row r="882" ht="22.5" customHeight="1">
      <c r="A882" s="20"/>
      <c r="B882" s="21"/>
      <c r="C882" s="31"/>
      <c r="D882" s="22"/>
      <c r="E882" s="2"/>
      <c r="F882" s="23"/>
      <c r="G882" s="24"/>
      <c r="P882" s="19">
        <f t="shared" si="2"/>
        <v>0</v>
      </c>
    </row>
    <row r="883" ht="22.5" customHeight="1">
      <c r="A883" s="20"/>
      <c r="B883" s="50"/>
      <c r="C883" s="51"/>
      <c r="D883" s="52"/>
      <c r="E883" s="52"/>
      <c r="F883" s="53"/>
      <c r="G883" s="54"/>
      <c r="P883" s="19">
        <f t="shared" si="2"/>
        <v>0</v>
      </c>
    </row>
    <row r="884" ht="22.5" customHeight="1">
      <c r="A884" s="20"/>
      <c r="B884" s="50"/>
      <c r="C884" s="51"/>
      <c r="D884" s="52"/>
      <c r="E884" s="52"/>
      <c r="F884" s="53"/>
      <c r="G884" s="54"/>
      <c r="P884" s="19">
        <f t="shared" si="2"/>
        <v>0</v>
      </c>
    </row>
    <row r="885" ht="22.5" customHeight="1">
      <c r="A885" s="20"/>
      <c r="B885" s="21"/>
      <c r="C885" s="3"/>
      <c r="D885" s="55"/>
      <c r="E885" s="56"/>
      <c r="F885" s="23"/>
      <c r="G885" s="24"/>
      <c r="P885" s="19">
        <f t="shared" si="2"/>
        <v>0</v>
      </c>
    </row>
    <row r="886" ht="22.5" customHeight="1">
      <c r="A886" s="20"/>
      <c r="B886" s="21"/>
      <c r="C886" s="57"/>
      <c r="D886" s="58"/>
      <c r="E886" s="56"/>
      <c r="F886" s="23"/>
      <c r="G886" s="59"/>
      <c r="P886" s="19">
        <f t="shared" si="2"/>
        <v>0</v>
      </c>
    </row>
    <row r="887" ht="22.5" customHeight="1">
      <c r="A887" s="20"/>
      <c r="B887" s="21"/>
      <c r="C887" s="57"/>
      <c r="D887" s="58"/>
      <c r="E887" s="56"/>
      <c r="F887" s="23"/>
      <c r="G887" s="59"/>
      <c r="P887" s="19">
        <f t="shared" si="2"/>
        <v>0</v>
      </c>
    </row>
    <row r="888" ht="22.5" customHeight="1">
      <c r="A888" s="20"/>
      <c r="B888" s="21"/>
      <c r="C888" s="57"/>
      <c r="D888" s="58"/>
      <c r="E888" s="56"/>
      <c r="F888" s="23"/>
      <c r="G888" s="59"/>
      <c r="P888" s="19">
        <f t="shared" si="2"/>
        <v>0</v>
      </c>
    </row>
    <row r="889" ht="22.5" customHeight="1">
      <c r="A889" s="20"/>
      <c r="B889" s="60"/>
      <c r="C889" s="61"/>
      <c r="D889" s="62"/>
      <c r="E889" s="62"/>
      <c r="F889" s="63"/>
      <c r="G889" s="64"/>
      <c r="P889" s="19">
        <f t="shared" si="2"/>
        <v>0</v>
      </c>
    </row>
    <row r="890" ht="22.5" customHeight="1">
      <c r="P890" s="19">
        <f t="shared" si="2"/>
        <v>0</v>
      </c>
    </row>
    <row r="891" ht="22.5" customHeight="1">
      <c r="P891" s="19">
        <f t="shared" si="2"/>
        <v>0</v>
      </c>
    </row>
    <row r="892" ht="22.5" customHeight="1">
      <c r="P892" s="19">
        <f t="shared" si="2"/>
        <v>0</v>
      </c>
    </row>
    <row r="893" ht="22.5" customHeight="1">
      <c r="P893" s="19">
        <f t="shared" si="2"/>
        <v>0</v>
      </c>
    </row>
    <row r="894" ht="22.5" customHeight="1">
      <c r="P894" s="19">
        <f t="shared" si="2"/>
        <v>0</v>
      </c>
    </row>
    <row r="895" ht="22.5" customHeight="1">
      <c r="P895" s="19">
        <f t="shared" si="2"/>
        <v>0</v>
      </c>
    </row>
    <row r="896" ht="22.5" customHeight="1">
      <c r="P896" s="19">
        <f t="shared" si="2"/>
        <v>0</v>
      </c>
    </row>
    <row r="897" ht="22.5" customHeight="1">
      <c r="P897" s="19">
        <f t="shared" si="2"/>
        <v>0</v>
      </c>
    </row>
    <row r="898" ht="22.5" customHeight="1">
      <c r="P898" s="19">
        <f t="shared" si="2"/>
        <v>0</v>
      </c>
    </row>
    <row r="899" ht="22.5" customHeight="1">
      <c r="P899" s="19">
        <f t="shared" si="2"/>
        <v>0</v>
      </c>
    </row>
    <row r="900" ht="22.5" customHeight="1">
      <c r="P900" s="19">
        <f t="shared" si="2"/>
        <v>0</v>
      </c>
    </row>
    <row r="901" ht="22.5" customHeight="1">
      <c r="P901" s="19">
        <f t="shared" si="2"/>
        <v>0</v>
      </c>
    </row>
    <row r="902" ht="22.5" customHeight="1">
      <c r="P902" s="19">
        <f t="shared" si="2"/>
        <v>0</v>
      </c>
    </row>
    <row r="903" ht="22.5" customHeight="1">
      <c r="P903" s="19">
        <f t="shared" si="2"/>
        <v>0</v>
      </c>
    </row>
    <row r="904" ht="22.5" customHeight="1">
      <c r="P904" s="19">
        <f t="shared" si="2"/>
        <v>0</v>
      </c>
    </row>
    <row r="905" ht="22.5" customHeight="1">
      <c r="P905" s="19">
        <f t="shared" si="2"/>
        <v>0</v>
      </c>
    </row>
    <row r="906" ht="22.5" customHeight="1">
      <c r="P906" s="19">
        <f t="shared" si="2"/>
        <v>0</v>
      </c>
    </row>
    <row r="907" ht="22.5" customHeight="1">
      <c r="P907" s="19">
        <f t="shared" si="2"/>
        <v>0</v>
      </c>
    </row>
    <row r="908" ht="22.5" customHeight="1">
      <c r="P908" s="19">
        <f t="shared" si="2"/>
        <v>0</v>
      </c>
    </row>
    <row r="909" ht="22.5" customHeight="1">
      <c r="P909" s="19">
        <f t="shared" si="2"/>
        <v>0</v>
      </c>
    </row>
    <row r="910" ht="22.5" customHeight="1">
      <c r="P910" s="19">
        <f t="shared" si="2"/>
        <v>0</v>
      </c>
    </row>
    <row r="911" ht="22.5" customHeight="1">
      <c r="P911" s="19">
        <f t="shared" si="2"/>
        <v>0</v>
      </c>
    </row>
    <row r="912" ht="22.5" customHeight="1">
      <c r="P912" s="19">
        <f t="shared" si="2"/>
        <v>0</v>
      </c>
    </row>
    <row r="913" ht="22.5" customHeight="1">
      <c r="P913" s="19">
        <f t="shared" si="2"/>
        <v>0</v>
      </c>
    </row>
    <row r="914" ht="22.5" customHeight="1">
      <c r="P914" s="19">
        <f t="shared" si="2"/>
        <v>0</v>
      </c>
    </row>
    <row r="915" ht="22.5" customHeight="1">
      <c r="P915" s="19">
        <f t="shared" si="2"/>
        <v>0</v>
      </c>
    </row>
    <row r="916" ht="22.5" customHeight="1">
      <c r="P916" s="19">
        <f t="shared" si="2"/>
        <v>0</v>
      </c>
    </row>
    <row r="917" ht="22.5" customHeight="1">
      <c r="P917" s="19">
        <f t="shared" si="2"/>
        <v>0</v>
      </c>
    </row>
    <row r="918" ht="22.5" customHeight="1">
      <c r="P918" s="19">
        <f t="shared" si="2"/>
        <v>0</v>
      </c>
    </row>
    <row r="919" ht="22.5" customHeight="1">
      <c r="P919" s="19">
        <f t="shared" si="2"/>
        <v>0</v>
      </c>
    </row>
    <row r="920" ht="22.5" customHeight="1">
      <c r="P920" s="19">
        <f t="shared" si="2"/>
        <v>0</v>
      </c>
    </row>
    <row r="921" ht="22.5" customHeight="1">
      <c r="P921" s="19">
        <f t="shared" si="2"/>
        <v>0</v>
      </c>
    </row>
    <row r="922" ht="22.5" customHeight="1">
      <c r="P922" s="19">
        <f t="shared" si="2"/>
        <v>0</v>
      </c>
    </row>
    <row r="923" ht="22.5" customHeight="1">
      <c r="P923" s="19">
        <f t="shared" si="2"/>
        <v>0</v>
      </c>
    </row>
    <row r="924" ht="22.5" customHeight="1">
      <c r="P924" s="19">
        <f t="shared" si="2"/>
        <v>0</v>
      </c>
    </row>
    <row r="925" ht="22.5" customHeight="1">
      <c r="P925" s="19">
        <f t="shared" si="2"/>
        <v>0</v>
      </c>
    </row>
    <row r="926" ht="22.5" customHeight="1">
      <c r="P926" s="19">
        <f t="shared" si="2"/>
        <v>0</v>
      </c>
    </row>
    <row r="927" ht="22.5" customHeight="1">
      <c r="P927" s="19">
        <f t="shared" si="2"/>
        <v>0</v>
      </c>
    </row>
    <row r="928" ht="22.5" customHeight="1">
      <c r="P928" s="19">
        <f t="shared" si="2"/>
        <v>0</v>
      </c>
    </row>
    <row r="929" ht="22.5" customHeight="1">
      <c r="P929" s="19">
        <f t="shared" si="2"/>
        <v>0</v>
      </c>
    </row>
    <row r="930" ht="22.5" customHeight="1">
      <c r="P930" s="19">
        <f t="shared" si="2"/>
        <v>0</v>
      </c>
    </row>
    <row r="931" ht="22.5" customHeight="1">
      <c r="P931" s="19">
        <f t="shared" si="2"/>
        <v>0</v>
      </c>
    </row>
    <row r="932" ht="22.5" customHeight="1">
      <c r="P932" s="19">
        <f t="shared" si="2"/>
        <v>0</v>
      </c>
    </row>
    <row r="933" ht="22.5" customHeight="1">
      <c r="P933" s="19">
        <f t="shared" si="2"/>
        <v>0</v>
      </c>
    </row>
    <row r="934" ht="22.5" customHeight="1">
      <c r="P934" s="19">
        <f t="shared" si="2"/>
        <v>0</v>
      </c>
    </row>
    <row r="935" ht="22.5" customHeight="1">
      <c r="P935" s="19">
        <f t="shared" si="2"/>
        <v>0</v>
      </c>
    </row>
    <row r="936" ht="22.5" customHeight="1">
      <c r="P936" s="19">
        <f t="shared" si="2"/>
        <v>0</v>
      </c>
    </row>
    <row r="937" ht="22.5" customHeight="1">
      <c r="P937" s="19">
        <f t="shared" si="2"/>
        <v>0</v>
      </c>
    </row>
    <row r="938" ht="22.5" customHeight="1">
      <c r="P938" s="19">
        <f t="shared" si="2"/>
        <v>0</v>
      </c>
    </row>
    <row r="939" ht="22.5" customHeight="1">
      <c r="P939" s="19">
        <f t="shared" si="2"/>
        <v>0</v>
      </c>
    </row>
    <row r="940" ht="22.5" customHeight="1">
      <c r="P940" s="19">
        <f t="shared" si="2"/>
        <v>0</v>
      </c>
    </row>
    <row r="941" ht="22.5" customHeight="1">
      <c r="P941" s="19">
        <f t="shared" si="2"/>
        <v>0</v>
      </c>
    </row>
    <row r="942" ht="22.5" customHeight="1">
      <c r="P942" s="19">
        <f t="shared" si="2"/>
        <v>0</v>
      </c>
    </row>
    <row r="943" ht="22.5" customHeight="1">
      <c r="P943" s="19">
        <f t="shared" si="2"/>
        <v>0</v>
      </c>
    </row>
    <row r="944" ht="22.5" customHeight="1">
      <c r="P944" s="19">
        <f t="shared" si="2"/>
        <v>0</v>
      </c>
    </row>
    <row r="945" ht="22.5" customHeight="1">
      <c r="P945" s="19">
        <f t="shared" si="2"/>
        <v>0</v>
      </c>
    </row>
    <row r="946" ht="22.5" customHeight="1">
      <c r="P946" s="19">
        <f t="shared" si="2"/>
        <v>0</v>
      </c>
    </row>
    <row r="947" ht="22.5" customHeight="1">
      <c r="P947" s="19">
        <f t="shared" si="2"/>
        <v>0</v>
      </c>
    </row>
    <row r="948" ht="22.5" customHeight="1">
      <c r="P948" s="19">
        <f t="shared" si="2"/>
        <v>0</v>
      </c>
    </row>
    <row r="949" ht="22.5" customHeight="1">
      <c r="P949" s="19">
        <f t="shared" si="2"/>
        <v>0</v>
      </c>
    </row>
    <row r="950" ht="22.5" customHeight="1">
      <c r="P950" s="19">
        <f t="shared" si="2"/>
        <v>0</v>
      </c>
    </row>
    <row r="951" ht="22.5" customHeight="1">
      <c r="P951" s="19">
        <f t="shared" si="2"/>
        <v>0</v>
      </c>
    </row>
    <row r="952" ht="22.5" customHeight="1">
      <c r="P952" s="19">
        <f t="shared" si="2"/>
        <v>0</v>
      </c>
    </row>
    <row r="953" ht="22.5" customHeight="1">
      <c r="P953" s="19">
        <f t="shared" si="2"/>
        <v>0</v>
      </c>
    </row>
    <row r="954" ht="22.5" customHeight="1">
      <c r="P954" s="19">
        <f t="shared" si="2"/>
        <v>0</v>
      </c>
    </row>
    <row r="955" ht="22.5" customHeight="1">
      <c r="P955" s="19">
        <f t="shared" si="2"/>
        <v>0</v>
      </c>
    </row>
    <row r="956" ht="22.5" customHeight="1">
      <c r="P956" s="19">
        <f t="shared" si="2"/>
        <v>0</v>
      </c>
    </row>
    <row r="957" ht="22.5" customHeight="1">
      <c r="P957" s="19">
        <f t="shared" si="2"/>
        <v>0</v>
      </c>
    </row>
    <row r="958" ht="22.5" customHeight="1">
      <c r="P958" s="19">
        <f t="shared" si="2"/>
        <v>0</v>
      </c>
    </row>
    <row r="959" ht="22.5" customHeight="1">
      <c r="P959" s="19">
        <f t="shared" si="2"/>
        <v>0</v>
      </c>
    </row>
    <row r="960" ht="22.5" customHeight="1">
      <c r="P960" s="19">
        <f t="shared" si="2"/>
        <v>0</v>
      </c>
    </row>
    <row r="961" ht="22.5" customHeight="1">
      <c r="P961" s="19">
        <f t="shared" si="2"/>
        <v>0</v>
      </c>
    </row>
    <row r="962" ht="22.5" customHeight="1">
      <c r="P962" s="19">
        <f t="shared" si="2"/>
        <v>0</v>
      </c>
    </row>
    <row r="963" ht="22.5" customHeight="1">
      <c r="P963" s="19">
        <f t="shared" si="2"/>
        <v>0</v>
      </c>
    </row>
    <row r="964" ht="22.5" customHeight="1">
      <c r="P964" s="19">
        <f t="shared" si="2"/>
        <v>0</v>
      </c>
    </row>
    <row r="965" ht="22.5" customHeight="1">
      <c r="P965" s="19">
        <f t="shared" si="2"/>
        <v>0</v>
      </c>
    </row>
    <row r="966" ht="22.5" customHeight="1">
      <c r="P966" s="19">
        <f t="shared" si="2"/>
        <v>0</v>
      </c>
    </row>
    <row r="967" ht="22.5" customHeight="1">
      <c r="P967" s="19">
        <f t="shared" si="2"/>
        <v>0</v>
      </c>
    </row>
    <row r="968" ht="22.5" customHeight="1">
      <c r="P968" s="19">
        <f t="shared" si="2"/>
        <v>0</v>
      </c>
    </row>
    <row r="969" ht="22.5" customHeight="1">
      <c r="P969" s="19">
        <f t="shared" si="2"/>
        <v>0</v>
      </c>
    </row>
    <row r="970" ht="22.5" customHeight="1">
      <c r="P970" s="19">
        <f t="shared" si="2"/>
        <v>0</v>
      </c>
    </row>
    <row r="971" ht="22.5" customHeight="1">
      <c r="P971" s="19">
        <f t="shared" si="2"/>
        <v>0</v>
      </c>
    </row>
    <row r="972" ht="22.5" customHeight="1">
      <c r="P972" s="19">
        <f t="shared" si="2"/>
        <v>0</v>
      </c>
    </row>
    <row r="973" ht="22.5" customHeight="1">
      <c r="P973" s="19">
        <f t="shared" si="2"/>
        <v>0</v>
      </c>
    </row>
    <row r="974" ht="22.5" customHeight="1">
      <c r="P974" s="19">
        <f t="shared" si="2"/>
        <v>0</v>
      </c>
    </row>
    <row r="975" ht="22.5" customHeight="1">
      <c r="P975" s="19">
        <f t="shared" si="2"/>
        <v>0</v>
      </c>
    </row>
    <row r="976" ht="22.5" customHeight="1">
      <c r="P976" s="19">
        <f t="shared" si="2"/>
        <v>0</v>
      </c>
    </row>
    <row r="977" ht="22.5" customHeight="1">
      <c r="P977" s="19">
        <f t="shared" si="2"/>
        <v>0</v>
      </c>
    </row>
    <row r="978" ht="22.5" customHeight="1">
      <c r="P978" s="19">
        <f t="shared" si="2"/>
        <v>0</v>
      </c>
    </row>
    <row r="979" ht="22.5" customHeight="1">
      <c r="P979" s="19">
        <f t="shared" si="2"/>
        <v>0</v>
      </c>
    </row>
    <row r="980" ht="22.5" customHeight="1">
      <c r="P980" s="19">
        <f t="shared" si="2"/>
        <v>0</v>
      </c>
    </row>
    <row r="981" ht="22.5" customHeight="1">
      <c r="P981" s="19">
        <f t="shared" si="2"/>
        <v>0</v>
      </c>
    </row>
    <row r="982" ht="22.5" customHeight="1">
      <c r="P982" s="19">
        <f t="shared" si="2"/>
        <v>0</v>
      </c>
    </row>
    <row r="983" ht="22.5" customHeight="1">
      <c r="P983" s="19">
        <f t="shared" si="2"/>
        <v>0</v>
      </c>
    </row>
    <row r="984" ht="22.5" customHeight="1">
      <c r="P984" s="19">
        <f t="shared" si="2"/>
        <v>0</v>
      </c>
    </row>
    <row r="985" ht="22.5" customHeight="1">
      <c r="P985" s="19">
        <f t="shared" si="2"/>
        <v>0</v>
      </c>
    </row>
    <row r="986" ht="22.5" customHeight="1">
      <c r="P986" s="19">
        <f t="shared" si="2"/>
        <v>0</v>
      </c>
    </row>
    <row r="987" ht="22.5" customHeight="1">
      <c r="P987" s="19">
        <f t="shared" si="2"/>
        <v>0</v>
      </c>
    </row>
    <row r="988" ht="22.5" customHeight="1">
      <c r="P988" s="19">
        <f t="shared" si="2"/>
        <v>0</v>
      </c>
    </row>
    <row r="989" ht="22.5" customHeight="1">
      <c r="P989" s="19">
        <f t="shared" si="2"/>
        <v>0</v>
      </c>
    </row>
    <row r="990" ht="22.5" customHeight="1">
      <c r="P990" s="19">
        <f t="shared" si="2"/>
        <v>0</v>
      </c>
    </row>
    <row r="991" ht="22.5" customHeight="1">
      <c r="P991" s="19">
        <f t="shared" si="2"/>
        <v>0</v>
      </c>
    </row>
    <row r="992" ht="22.5" customHeight="1">
      <c r="P992" s="19">
        <f t="shared" si="2"/>
        <v>0</v>
      </c>
    </row>
    <row r="993" ht="22.5" customHeight="1">
      <c r="P993" s="19">
        <f t="shared" si="2"/>
        <v>0</v>
      </c>
    </row>
    <row r="994" ht="22.5" customHeight="1">
      <c r="P994" s="19">
        <f t="shared" si="2"/>
        <v>0</v>
      </c>
    </row>
    <row r="995" ht="22.5" customHeight="1">
      <c r="P995" s="19">
        <f t="shared" si="2"/>
        <v>0</v>
      </c>
    </row>
    <row r="996" ht="22.5" customHeight="1">
      <c r="P996" s="19">
        <f t="shared" si="2"/>
        <v>0</v>
      </c>
    </row>
    <row r="997" ht="22.5" customHeight="1">
      <c r="P997" s="19">
        <f t="shared" si="2"/>
        <v>0</v>
      </c>
    </row>
    <row r="998" ht="22.5" customHeight="1">
      <c r="P998" s="19">
        <f t="shared" si="2"/>
        <v>0</v>
      </c>
    </row>
    <row r="999" ht="22.5" customHeight="1">
      <c r="P999" s="19">
        <f t="shared" si="2"/>
        <v>0</v>
      </c>
    </row>
    <row r="1000" ht="22.5" customHeight="1">
      <c r="P1000" s="19">
        <f t="shared" si="2"/>
        <v>0</v>
      </c>
    </row>
    <row r="1001" ht="22.5" customHeight="1">
      <c r="P1001" s="19">
        <f t="shared" si="2"/>
        <v>0</v>
      </c>
    </row>
    <row r="1002" ht="22.5" customHeight="1">
      <c r="P1002" s="19">
        <f t="shared" si="2"/>
        <v>0</v>
      </c>
    </row>
    <row r="1003" ht="22.5" customHeight="1">
      <c r="P1003" s="19">
        <f t="shared" si="2"/>
        <v>0</v>
      </c>
    </row>
    <row r="1004" ht="22.5" customHeight="1">
      <c r="P1004" s="19">
        <f t="shared" si="2"/>
        <v>0</v>
      </c>
    </row>
    <row r="1005" ht="22.5" customHeight="1">
      <c r="P1005" s="19">
        <f t="shared" si="2"/>
        <v>0</v>
      </c>
    </row>
    <row r="1006" ht="22.5" customHeight="1">
      <c r="P1006" s="19">
        <f t="shared" si="2"/>
        <v>0</v>
      </c>
    </row>
    <row r="1007" ht="22.5" customHeight="1">
      <c r="P1007" s="19">
        <f t="shared" si="2"/>
        <v>0</v>
      </c>
    </row>
    <row r="1008" ht="22.5" customHeight="1">
      <c r="P1008" s="19">
        <f t="shared" si="2"/>
        <v>0</v>
      </c>
    </row>
    <row r="1009" ht="22.5" customHeight="1">
      <c r="P1009" s="19">
        <f t="shared" si="2"/>
        <v>0</v>
      </c>
    </row>
    <row r="1010" ht="22.5" customHeight="1">
      <c r="P1010" s="19">
        <f t="shared" si="2"/>
        <v>0</v>
      </c>
    </row>
    <row r="1011" ht="22.5" customHeight="1">
      <c r="P1011" s="19">
        <f t="shared" si="2"/>
        <v>0</v>
      </c>
    </row>
    <row r="1012" ht="22.5" customHeight="1">
      <c r="P1012" s="19">
        <f t="shared" si="2"/>
        <v>0</v>
      </c>
    </row>
    <row r="1013" ht="22.5" customHeight="1">
      <c r="P1013" s="19">
        <f t="shared" si="2"/>
        <v>0</v>
      </c>
    </row>
    <row r="1014" ht="22.5" customHeight="1">
      <c r="P1014" s="19">
        <f t="shared" si="2"/>
        <v>0</v>
      </c>
    </row>
    <row r="1015" ht="22.5" customHeight="1">
      <c r="P1015" s="19">
        <f t="shared" si="2"/>
        <v>0</v>
      </c>
    </row>
    <row r="1016" ht="22.5" customHeight="1">
      <c r="P1016" s="19">
        <f t="shared" si="2"/>
        <v>0</v>
      </c>
    </row>
    <row r="1017" ht="22.5" customHeight="1">
      <c r="P1017" s="19">
        <f t="shared" si="2"/>
        <v>0</v>
      </c>
    </row>
    <row r="1018" ht="22.5" customHeight="1">
      <c r="P1018" s="19">
        <f t="shared" si="2"/>
        <v>0</v>
      </c>
    </row>
    <row r="1019" ht="22.5" customHeight="1">
      <c r="P1019" s="19">
        <f t="shared" si="2"/>
        <v>0</v>
      </c>
    </row>
    <row r="1020" ht="22.5" customHeight="1">
      <c r="P1020" s="19">
        <f t="shared" si="2"/>
        <v>0</v>
      </c>
    </row>
    <row r="1021" ht="22.5" customHeight="1">
      <c r="P1021" s="19">
        <f t="shared" si="2"/>
        <v>0</v>
      </c>
    </row>
    <row r="1022" ht="22.5" customHeight="1">
      <c r="P1022" s="19">
        <f t="shared" si="2"/>
        <v>0</v>
      </c>
    </row>
    <row r="1023" ht="22.5" customHeight="1">
      <c r="P1023" s="19">
        <f t="shared" si="2"/>
        <v>0</v>
      </c>
    </row>
    <row r="1024" ht="22.5" customHeight="1">
      <c r="P1024" s="19">
        <f t="shared" si="2"/>
        <v>0</v>
      </c>
    </row>
    <row r="1025" ht="22.5" customHeight="1">
      <c r="P1025" s="19">
        <f t="shared" si="2"/>
        <v>0</v>
      </c>
    </row>
    <row r="1026" ht="22.5" customHeight="1">
      <c r="P1026" s="19">
        <f t="shared" si="2"/>
        <v>0</v>
      </c>
    </row>
    <row r="1027" ht="22.5" customHeight="1">
      <c r="P1027" s="19">
        <f t="shared" si="2"/>
        <v>0</v>
      </c>
    </row>
    <row r="1028" ht="22.5" customHeight="1">
      <c r="P1028" s="19">
        <f t="shared" si="2"/>
        <v>0</v>
      </c>
    </row>
    <row r="1029" ht="22.5" customHeight="1">
      <c r="P1029" s="19">
        <f t="shared" si="2"/>
        <v>0</v>
      </c>
    </row>
    <row r="1030" ht="22.5" customHeight="1">
      <c r="P1030" s="19">
        <f t="shared" si="2"/>
        <v>0</v>
      </c>
    </row>
    <row r="1031" ht="22.5" customHeight="1">
      <c r="P1031" s="19">
        <f t="shared" si="2"/>
        <v>0</v>
      </c>
    </row>
    <row r="1032" ht="22.5" customHeight="1">
      <c r="P1032" s="19">
        <f t="shared" si="2"/>
        <v>0</v>
      </c>
    </row>
    <row r="1033" ht="22.5" customHeight="1">
      <c r="P1033" s="19">
        <f t="shared" si="2"/>
        <v>0</v>
      </c>
    </row>
    <row r="1034" ht="22.5" customHeight="1">
      <c r="P1034" s="19">
        <f t="shared" si="2"/>
        <v>0</v>
      </c>
    </row>
    <row r="1035" ht="22.5" customHeight="1">
      <c r="P1035" s="19">
        <f t="shared" si="2"/>
        <v>0</v>
      </c>
    </row>
    <row r="1036" ht="22.5" customHeight="1">
      <c r="P1036" s="19">
        <f t="shared" si="2"/>
        <v>0</v>
      </c>
    </row>
    <row r="1037" ht="22.5" customHeight="1">
      <c r="P1037" s="19">
        <f t="shared" si="2"/>
        <v>0</v>
      </c>
    </row>
    <row r="1038" ht="22.5" customHeight="1">
      <c r="P1038" s="19">
        <f t="shared" si="2"/>
        <v>0</v>
      </c>
    </row>
    <row r="1039" ht="22.5" customHeight="1">
      <c r="P1039" s="19">
        <f t="shared" si="2"/>
        <v>0</v>
      </c>
    </row>
    <row r="1040" ht="22.5" customHeight="1">
      <c r="P1040" s="19">
        <f t="shared" si="2"/>
        <v>0</v>
      </c>
    </row>
    <row r="1041" ht="22.5" customHeight="1">
      <c r="P1041" s="19">
        <f t="shared" si="2"/>
        <v>0</v>
      </c>
    </row>
    <row r="1042" ht="22.5" customHeight="1">
      <c r="P1042" s="19">
        <f t="shared" si="2"/>
        <v>0</v>
      </c>
    </row>
    <row r="1043" ht="22.5" customHeight="1">
      <c r="P1043" s="19">
        <f t="shared" si="2"/>
        <v>0</v>
      </c>
    </row>
    <row r="1044" ht="22.5" customHeight="1">
      <c r="P1044" s="19">
        <f t="shared" si="2"/>
        <v>0</v>
      </c>
    </row>
    <row r="1045" ht="22.5" customHeight="1">
      <c r="P1045" s="19">
        <f t="shared" si="2"/>
        <v>0</v>
      </c>
    </row>
    <row r="1046" ht="22.5" customHeight="1">
      <c r="P1046" s="19">
        <f t="shared" si="2"/>
        <v>0</v>
      </c>
    </row>
    <row r="1047" ht="22.5" customHeight="1">
      <c r="P1047" s="19">
        <f t="shared" si="2"/>
        <v>0</v>
      </c>
    </row>
    <row r="1048" ht="22.5" customHeight="1">
      <c r="P1048" s="19">
        <f t="shared" si="2"/>
        <v>0</v>
      </c>
    </row>
    <row r="1049" ht="22.5" customHeight="1">
      <c r="P1049" s="19">
        <f t="shared" si="2"/>
        <v>0</v>
      </c>
    </row>
    <row r="1050" ht="22.5" customHeight="1">
      <c r="P1050" s="19">
        <f t="shared" si="2"/>
        <v>0</v>
      </c>
    </row>
    <row r="1051" ht="22.5" customHeight="1">
      <c r="P1051" s="19">
        <f t="shared" si="2"/>
        <v>0</v>
      </c>
    </row>
    <row r="1052" ht="22.5" customHeight="1">
      <c r="P1052" s="19">
        <f t="shared" si="2"/>
        <v>0</v>
      </c>
    </row>
    <row r="1053" ht="22.5" customHeight="1">
      <c r="P1053" s="19">
        <f t="shared" si="2"/>
        <v>0</v>
      </c>
    </row>
    <row r="1054" ht="22.5" customHeight="1">
      <c r="P1054" s="19">
        <f t="shared" si="2"/>
        <v>0</v>
      </c>
    </row>
    <row r="1055" ht="22.5" customHeight="1">
      <c r="P1055" s="19">
        <f t="shared" si="2"/>
        <v>0</v>
      </c>
    </row>
    <row r="1056" ht="22.5" customHeight="1">
      <c r="P1056" s="19">
        <f t="shared" si="2"/>
        <v>0</v>
      </c>
    </row>
    <row r="1057" ht="22.5" customHeight="1">
      <c r="P1057" s="19">
        <f t="shared" si="2"/>
        <v>0</v>
      </c>
    </row>
    <row r="1058" ht="22.5" customHeight="1">
      <c r="P1058" s="19">
        <f t="shared" si="2"/>
        <v>0</v>
      </c>
    </row>
    <row r="1059" ht="22.5" customHeight="1">
      <c r="P1059" s="19">
        <f t="shared" si="2"/>
        <v>0</v>
      </c>
    </row>
    <row r="1060" ht="22.5" customHeight="1">
      <c r="P1060" s="19">
        <f t="shared" si="2"/>
        <v>0</v>
      </c>
    </row>
    <row r="1061" ht="22.5" customHeight="1">
      <c r="P1061" s="19">
        <f t="shared" si="2"/>
        <v>0</v>
      </c>
    </row>
    <row r="1062" ht="22.5" customHeight="1">
      <c r="P1062" s="19">
        <f t="shared" si="2"/>
        <v>0</v>
      </c>
    </row>
    <row r="1063" ht="22.5" customHeight="1">
      <c r="P1063" s="19">
        <f t="shared" si="2"/>
        <v>0</v>
      </c>
    </row>
    <row r="1064" ht="22.5" customHeight="1">
      <c r="P1064" s="19">
        <f t="shared" si="2"/>
        <v>0</v>
      </c>
    </row>
    <row r="1065" ht="22.5" customHeight="1">
      <c r="P1065" s="19">
        <f t="shared" si="2"/>
        <v>0</v>
      </c>
    </row>
    <row r="1066" ht="22.5" customHeight="1">
      <c r="P1066" s="19">
        <f t="shared" si="2"/>
        <v>0</v>
      </c>
    </row>
    <row r="1067" ht="22.5" customHeight="1">
      <c r="P1067" s="19">
        <f t="shared" si="2"/>
        <v>0</v>
      </c>
    </row>
    <row r="1068" ht="22.5" customHeight="1">
      <c r="P1068" s="19">
        <f t="shared" si="2"/>
        <v>0</v>
      </c>
    </row>
    <row r="1069" ht="22.5" customHeight="1">
      <c r="P1069" s="19">
        <f t="shared" si="2"/>
        <v>0</v>
      </c>
    </row>
    <row r="1070" ht="22.5" customHeight="1">
      <c r="P1070" s="19">
        <f t="shared" si="2"/>
        <v>0</v>
      </c>
    </row>
    <row r="1071" ht="22.5" customHeight="1">
      <c r="P1071" s="19">
        <f t="shared" si="2"/>
        <v>0</v>
      </c>
    </row>
    <row r="1072" ht="22.5" customHeight="1">
      <c r="P1072" s="19">
        <f t="shared" si="2"/>
        <v>0</v>
      </c>
    </row>
    <row r="1073" ht="22.5" customHeight="1">
      <c r="P1073" s="19">
        <f t="shared" si="2"/>
        <v>0</v>
      </c>
    </row>
    <row r="1074" ht="22.5" customHeight="1">
      <c r="P1074" s="19">
        <f t="shared" si="2"/>
        <v>0</v>
      </c>
    </row>
    <row r="1075" ht="22.5" customHeight="1">
      <c r="P1075" s="19">
        <f t="shared" si="2"/>
        <v>0</v>
      </c>
    </row>
    <row r="1076" ht="22.5" customHeight="1">
      <c r="P1076" s="19">
        <f t="shared" si="2"/>
        <v>0</v>
      </c>
    </row>
    <row r="1077" ht="22.5" customHeight="1">
      <c r="P1077" s="19">
        <f t="shared" si="2"/>
        <v>0</v>
      </c>
    </row>
    <row r="1078" ht="22.5" customHeight="1">
      <c r="P1078" s="19">
        <f t="shared" si="2"/>
        <v>0</v>
      </c>
    </row>
    <row r="1079" ht="22.5" customHeight="1">
      <c r="P1079" s="19">
        <f t="shared" si="2"/>
        <v>0</v>
      </c>
    </row>
    <row r="1080" ht="22.5" customHeight="1">
      <c r="P1080" s="19">
        <f t="shared" si="2"/>
        <v>0</v>
      </c>
    </row>
    <row r="1081" ht="22.5" customHeight="1">
      <c r="P1081" s="19">
        <f t="shared" si="2"/>
        <v>0</v>
      </c>
    </row>
    <row r="1082" ht="22.5" customHeight="1">
      <c r="P1082" s="19">
        <f t="shared" si="2"/>
        <v>0</v>
      </c>
    </row>
    <row r="1083" ht="22.5" customHeight="1">
      <c r="P1083" s="19">
        <f t="shared" si="2"/>
        <v>0</v>
      </c>
    </row>
    <row r="1084" ht="22.5" customHeight="1">
      <c r="P1084" s="19">
        <f t="shared" si="2"/>
        <v>0</v>
      </c>
    </row>
    <row r="1085" ht="22.5" customHeight="1">
      <c r="P1085" s="19">
        <f t="shared" si="2"/>
        <v>0</v>
      </c>
    </row>
    <row r="1086" ht="22.5" customHeight="1">
      <c r="P1086" s="19">
        <f t="shared" si="2"/>
        <v>0</v>
      </c>
    </row>
    <row r="1087" ht="22.5" customHeight="1">
      <c r="P1087" s="19">
        <f t="shared" si="2"/>
        <v>0</v>
      </c>
    </row>
    <row r="1088" ht="22.5" customHeight="1">
      <c r="P1088" s="19">
        <f t="shared" si="2"/>
        <v>0</v>
      </c>
    </row>
    <row r="1089" ht="22.5" customHeight="1">
      <c r="P1089" s="19">
        <f t="shared" si="2"/>
        <v>0</v>
      </c>
    </row>
    <row r="1090" ht="22.5" customHeight="1">
      <c r="P1090" s="19">
        <f t="shared" si="2"/>
        <v>0</v>
      </c>
    </row>
    <row r="1091" ht="22.5" customHeight="1">
      <c r="P1091" s="19">
        <f t="shared" si="2"/>
        <v>0</v>
      </c>
    </row>
    <row r="1092" ht="22.5" customHeight="1">
      <c r="P1092" s="19">
        <f t="shared" si="2"/>
        <v>0</v>
      </c>
    </row>
    <row r="1093" ht="22.5" customHeight="1">
      <c r="P1093" s="19">
        <f t="shared" si="2"/>
        <v>0</v>
      </c>
    </row>
    <row r="1094" ht="22.5" customHeight="1">
      <c r="P1094" s="19">
        <f t="shared" si="2"/>
        <v>0</v>
      </c>
    </row>
    <row r="1095" ht="22.5" customHeight="1">
      <c r="P1095" s="19">
        <f t="shared" si="2"/>
        <v>0</v>
      </c>
    </row>
    <row r="1096" ht="22.5" customHeight="1">
      <c r="P1096" s="19">
        <f t="shared" si="2"/>
        <v>0</v>
      </c>
    </row>
    <row r="1097" ht="22.5" customHeight="1">
      <c r="P1097" s="19">
        <f t="shared" si="2"/>
        <v>0</v>
      </c>
    </row>
    <row r="1098" ht="22.5" customHeight="1">
      <c r="P1098" s="19">
        <f t="shared" si="2"/>
        <v>0</v>
      </c>
    </row>
    <row r="1099" ht="22.5" customHeight="1">
      <c r="P1099" s="19">
        <f t="shared" si="2"/>
        <v>0</v>
      </c>
    </row>
    <row r="1100" ht="22.5" customHeight="1">
      <c r="P1100" s="19">
        <f t="shared" si="2"/>
        <v>0</v>
      </c>
    </row>
    <row r="1101" ht="22.5" customHeight="1">
      <c r="P1101" s="19">
        <f t="shared" si="2"/>
        <v>0</v>
      </c>
    </row>
    <row r="1102" ht="22.5" customHeight="1">
      <c r="P1102" s="19">
        <f t="shared" si="2"/>
        <v>0</v>
      </c>
    </row>
    <row r="1103" ht="22.5" customHeight="1">
      <c r="P1103" s="19">
        <f t="shared" si="2"/>
        <v>0</v>
      </c>
    </row>
    <row r="1104" ht="22.5" customHeight="1">
      <c r="P1104" s="19">
        <f t="shared" si="2"/>
        <v>0</v>
      </c>
    </row>
    <row r="1105" ht="22.5" customHeight="1">
      <c r="P1105" s="19">
        <f t="shared" si="2"/>
        <v>0</v>
      </c>
    </row>
    <row r="1106" ht="22.5" customHeight="1">
      <c r="P1106" s="19">
        <f t="shared" si="2"/>
        <v>0</v>
      </c>
    </row>
    <row r="1107" ht="22.5" customHeight="1">
      <c r="P1107" s="19">
        <f t="shared" si="2"/>
        <v>0</v>
      </c>
    </row>
    <row r="1108" ht="22.5" customHeight="1">
      <c r="P1108" s="19">
        <f t="shared" si="2"/>
        <v>0</v>
      </c>
    </row>
    <row r="1109" ht="22.5" customHeight="1">
      <c r="P1109" s="19">
        <f t="shared" si="2"/>
        <v>0</v>
      </c>
    </row>
    <row r="1110" ht="22.5" customHeight="1">
      <c r="P1110" s="19">
        <f t="shared" si="2"/>
        <v>0</v>
      </c>
    </row>
    <row r="1111" ht="22.5" customHeight="1">
      <c r="P1111" s="19">
        <f t="shared" si="2"/>
        <v>0</v>
      </c>
    </row>
    <row r="1112" ht="22.5" customHeight="1">
      <c r="P1112" s="19">
        <f t="shared" si="2"/>
        <v>0</v>
      </c>
    </row>
    <row r="1113" ht="22.5" customHeight="1">
      <c r="P1113" s="19">
        <f t="shared" si="2"/>
        <v>0</v>
      </c>
    </row>
    <row r="1114" ht="22.5" customHeight="1">
      <c r="P1114" s="19">
        <f t="shared" si="2"/>
        <v>0</v>
      </c>
    </row>
    <row r="1115" ht="22.5" customHeight="1">
      <c r="P1115" s="19">
        <f t="shared" si="2"/>
        <v>0</v>
      </c>
    </row>
    <row r="1116" ht="22.5" customHeight="1">
      <c r="P1116" s="19">
        <f t="shared" si="2"/>
        <v>0</v>
      </c>
    </row>
    <row r="1117" ht="22.5" customHeight="1">
      <c r="P1117" s="19">
        <f t="shared" si="2"/>
        <v>0</v>
      </c>
    </row>
    <row r="1118" ht="22.5" customHeight="1">
      <c r="P1118" s="19">
        <f t="shared" si="2"/>
        <v>0</v>
      </c>
    </row>
    <row r="1119" ht="22.5" customHeight="1">
      <c r="P1119" s="19">
        <f t="shared" si="2"/>
        <v>0</v>
      </c>
    </row>
    <row r="1120" ht="22.5" customHeight="1">
      <c r="P1120" s="19">
        <f t="shared" si="2"/>
        <v>0</v>
      </c>
    </row>
    <row r="1121" ht="22.5" customHeight="1">
      <c r="P1121" s="19">
        <f t="shared" si="2"/>
        <v>0</v>
      </c>
    </row>
    <row r="1122" ht="22.5" customHeight="1">
      <c r="P1122" s="19">
        <f t="shared" si="2"/>
        <v>0</v>
      </c>
    </row>
    <row r="1123" ht="22.5" customHeight="1">
      <c r="P1123" s="19">
        <f t="shared" si="2"/>
        <v>0</v>
      </c>
    </row>
    <row r="1124" ht="22.5" customHeight="1">
      <c r="P1124" s="19">
        <f t="shared" si="2"/>
        <v>0</v>
      </c>
    </row>
    <row r="1125" ht="22.5" customHeight="1">
      <c r="P1125" s="19">
        <f t="shared" si="2"/>
        <v>0</v>
      </c>
    </row>
    <row r="1126" ht="22.5" customHeight="1">
      <c r="P1126" s="19">
        <f t="shared" si="2"/>
        <v>0</v>
      </c>
    </row>
    <row r="1127" ht="22.5" customHeight="1">
      <c r="P1127" s="19">
        <f t="shared" si="2"/>
        <v>0</v>
      </c>
    </row>
    <row r="1128" ht="22.5" customHeight="1">
      <c r="P1128" s="19">
        <f t="shared" si="2"/>
        <v>0</v>
      </c>
    </row>
    <row r="1129" ht="22.5" customHeight="1">
      <c r="P1129" s="19">
        <f t="shared" si="2"/>
        <v>0</v>
      </c>
    </row>
    <row r="1130" ht="22.5" customHeight="1">
      <c r="P1130" s="19">
        <f t="shared" si="2"/>
        <v>0</v>
      </c>
    </row>
    <row r="1131" ht="22.5" customHeight="1">
      <c r="P1131" s="19">
        <f t="shared" si="2"/>
        <v>0</v>
      </c>
    </row>
    <row r="1132" ht="22.5" customHeight="1">
      <c r="P1132" s="19">
        <f t="shared" si="2"/>
        <v>0</v>
      </c>
    </row>
    <row r="1133" ht="22.5" customHeight="1">
      <c r="P1133" s="19">
        <f t="shared" si="2"/>
        <v>0</v>
      </c>
    </row>
    <row r="1134" ht="22.5" customHeight="1">
      <c r="P1134" s="19">
        <f t="shared" si="2"/>
        <v>0</v>
      </c>
    </row>
    <row r="1135" ht="22.5" customHeight="1">
      <c r="P1135" s="19">
        <f t="shared" si="2"/>
        <v>0</v>
      </c>
    </row>
    <row r="1136" ht="22.5" customHeight="1">
      <c r="P1136" s="19">
        <f t="shared" si="2"/>
        <v>0</v>
      </c>
    </row>
    <row r="1137" ht="22.5" customHeight="1">
      <c r="P1137" s="19">
        <f t="shared" si="2"/>
        <v>0</v>
      </c>
    </row>
    <row r="1138" ht="22.5" customHeight="1">
      <c r="P1138" s="19">
        <f t="shared" si="2"/>
        <v>0</v>
      </c>
    </row>
    <row r="1139" ht="22.5" customHeight="1">
      <c r="P1139" s="19">
        <f t="shared" si="2"/>
        <v>0</v>
      </c>
    </row>
    <row r="1140" ht="22.5" customHeight="1">
      <c r="P1140" s="19">
        <f t="shared" si="2"/>
        <v>0</v>
      </c>
    </row>
    <row r="1141" ht="22.5" customHeight="1">
      <c r="P1141" s="19">
        <f t="shared" si="2"/>
        <v>0</v>
      </c>
    </row>
    <row r="1142" ht="22.5" customHeight="1">
      <c r="P1142" s="19">
        <f t="shared" si="2"/>
        <v>0</v>
      </c>
    </row>
    <row r="1143" ht="22.5" customHeight="1">
      <c r="P1143" s="19">
        <f t="shared" si="2"/>
        <v>0</v>
      </c>
    </row>
    <row r="1144" ht="22.5" customHeight="1">
      <c r="P1144" s="19">
        <f t="shared" si="2"/>
        <v>0</v>
      </c>
    </row>
    <row r="1145" ht="22.5" customHeight="1">
      <c r="P1145" s="19">
        <f t="shared" si="2"/>
        <v>0</v>
      </c>
    </row>
    <row r="1146" ht="22.5" customHeight="1">
      <c r="P1146" s="19">
        <f t="shared" si="2"/>
        <v>0</v>
      </c>
    </row>
    <row r="1147" ht="22.5" customHeight="1">
      <c r="P1147" s="19">
        <f t="shared" si="2"/>
        <v>0</v>
      </c>
    </row>
    <row r="1148" ht="22.5" customHeight="1">
      <c r="P1148" s="19">
        <f t="shared" si="2"/>
        <v>0</v>
      </c>
    </row>
    <row r="1149" ht="22.5" customHeight="1">
      <c r="P1149" s="19">
        <f t="shared" si="2"/>
        <v>0</v>
      </c>
    </row>
    <row r="1150" ht="22.5" customHeight="1">
      <c r="P1150" s="19">
        <f t="shared" si="2"/>
        <v>0</v>
      </c>
    </row>
    <row r="1151" ht="22.5" customHeight="1">
      <c r="P1151" s="19">
        <f t="shared" si="2"/>
        <v>0</v>
      </c>
    </row>
    <row r="1152" ht="22.5" customHeight="1">
      <c r="P1152" s="19">
        <f t="shared" si="2"/>
        <v>0</v>
      </c>
    </row>
    <row r="1153" ht="22.5" customHeight="1">
      <c r="P1153" s="19">
        <f t="shared" si="2"/>
        <v>0</v>
      </c>
    </row>
    <row r="1154" ht="22.5" customHeight="1">
      <c r="P1154" s="19">
        <f t="shared" si="2"/>
        <v>0</v>
      </c>
    </row>
    <row r="1155" ht="22.5" customHeight="1">
      <c r="P1155" s="19">
        <f t="shared" si="2"/>
        <v>0</v>
      </c>
    </row>
    <row r="1156" ht="22.5" customHeight="1">
      <c r="P1156" s="19">
        <f t="shared" si="2"/>
        <v>0</v>
      </c>
    </row>
    <row r="1157" ht="22.5" customHeight="1">
      <c r="P1157" s="19">
        <f t="shared" si="2"/>
        <v>0</v>
      </c>
    </row>
    <row r="1158" ht="22.5" customHeight="1">
      <c r="P1158" s="19">
        <f t="shared" si="2"/>
        <v>0</v>
      </c>
    </row>
    <row r="1159" ht="22.5" customHeight="1">
      <c r="P1159" s="19">
        <f t="shared" si="2"/>
        <v>0</v>
      </c>
    </row>
    <row r="1160" ht="22.5" customHeight="1">
      <c r="P1160" s="19">
        <f t="shared" si="2"/>
        <v>0</v>
      </c>
    </row>
    <row r="1161" ht="22.5" customHeight="1">
      <c r="P1161" s="19">
        <f t="shared" si="2"/>
        <v>0</v>
      </c>
    </row>
    <row r="1162" ht="22.5" customHeight="1">
      <c r="P1162" s="19">
        <f t="shared" si="2"/>
        <v>0</v>
      </c>
    </row>
    <row r="1163" ht="22.5" customHeight="1">
      <c r="P1163" s="19">
        <f t="shared" si="2"/>
        <v>0</v>
      </c>
    </row>
    <row r="1164" ht="22.5" customHeight="1">
      <c r="P1164" s="19">
        <f t="shared" si="2"/>
        <v>0</v>
      </c>
    </row>
    <row r="1165" ht="22.5" customHeight="1">
      <c r="P1165" s="19">
        <f t="shared" si="2"/>
        <v>0</v>
      </c>
    </row>
    <row r="1166" ht="22.5" customHeight="1">
      <c r="P1166" s="19">
        <f t="shared" si="2"/>
        <v>0</v>
      </c>
    </row>
    <row r="1167" ht="22.5" customHeight="1">
      <c r="P1167" s="19">
        <f t="shared" si="2"/>
        <v>0</v>
      </c>
    </row>
    <row r="1168" ht="22.5" customHeight="1">
      <c r="P1168" s="19">
        <f t="shared" si="2"/>
        <v>0</v>
      </c>
    </row>
    <row r="1169" ht="22.5" customHeight="1">
      <c r="P1169" s="19">
        <f t="shared" si="2"/>
        <v>0</v>
      </c>
    </row>
    <row r="1170" ht="22.5" customHeight="1">
      <c r="P1170" s="19">
        <f t="shared" si="2"/>
        <v>0</v>
      </c>
    </row>
    <row r="1171" ht="22.5" customHeight="1">
      <c r="P1171" s="19">
        <f t="shared" si="2"/>
        <v>0</v>
      </c>
    </row>
    <row r="1172" ht="22.5" customHeight="1">
      <c r="P1172" s="19">
        <f t="shared" si="2"/>
        <v>0</v>
      </c>
    </row>
    <row r="1173" ht="22.5" customHeight="1">
      <c r="P1173" s="19">
        <f t="shared" si="2"/>
        <v>0</v>
      </c>
    </row>
    <row r="1174" ht="22.5" customHeight="1">
      <c r="P1174" s="19">
        <f t="shared" si="2"/>
        <v>0</v>
      </c>
    </row>
    <row r="1175" ht="22.5" customHeight="1">
      <c r="P1175" s="19">
        <f t="shared" si="2"/>
        <v>0</v>
      </c>
    </row>
    <row r="1176" ht="22.5" customHeight="1">
      <c r="P1176" s="19">
        <f t="shared" si="2"/>
        <v>0</v>
      </c>
    </row>
    <row r="1177" ht="22.5" customHeight="1">
      <c r="P1177" s="19">
        <f t="shared" si="2"/>
        <v>0</v>
      </c>
    </row>
    <row r="1178" ht="22.5" customHeight="1">
      <c r="P1178" s="19">
        <f t="shared" si="2"/>
        <v>0</v>
      </c>
    </row>
    <row r="1179" ht="22.5" customHeight="1">
      <c r="P1179" s="19">
        <f t="shared" si="2"/>
        <v>0</v>
      </c>
    </row>
    <row r="1180" ht="22.5" customHeight="1">
      <c r="P1180" s="19">
        <f t="shared" si="2"/>
        <v>0</v>
      </c>
    </row>
    <row r="1181" ht="22.5" customHeight="1">
      <c r="P1181" s="19">
        <f t="shared" si="2"/>
        <v>0</v>
      </c>
    </row>
    <row r="1182" ht="22.5" customHeight="1">
      <c r="P1182" s="19">
        <f t="shared" si="2"/>
        <v>0</v>
      </c>
    </row>
    <row r="1183" ht="22.5" customHeight="1">
      <c r="P1183" s="19">
        <f t="shared" si="2"/>
        <v>0</v>
      </c>
    </row>
    <row r="1184" ht="22.5" customHeight="1">
      <c r="P1184" s="19">
        <f t="shared" si="2"/>
        <v>0</v>
      </c>
    </row>
    <row r="1185" ht="22.5" customHeight="1">
      <c r="P1185" s="19">
        <f t="shared" si="2"/>
        <v>0</v>
      </c>
    </row>
    <row r="1186" ht="22.5" customHeight="1">
      <c r="P1186" s="19">
        <f t="shared" si="2"/>
        <v>0</v>
      </c>
    </row>
    <row r="1187" ht="22.5" customHeight="1">
      <c r="P1187" s="19">
        <f t="shared" si="2"/>
        <v>0</v>
      </c>
    </row>
    <row r="1188" ht="22.5" customHeight="1">
      <c r="P1188" s="19">
        <f t="shared" si="2"/>
        <v>0</v>
      </c>
    </row>
    <row r="1189" ht="22.5" customHeight="1">
      <c r="P1189" s="19">
        <f t="shared" si="2"/>
        <v>0</v>
      </c>
    </row>
    <row r="1190" ht="22.5" customHeight="1">
      <c r="P1190" s="19">
        <f t="shared" si="2"/>
        <v>0</v>
      </c>
    </row>
    <row r="1191" ht="22.5" customHeight="1">
      <c r="P1191" s="19">
        <f t="shared" si="2"/>
        <v>0</v>
      </c>
    </row>
    <row r="1192" ht="22.5" customHeight="1">
      <c r="P1192" s="19">
        <f t="shared" si="2"/>
        <v>0</v>
      </c>
    </row>
    <row r="1193" ht="22.5" customHeight="1">
      <c r="P1193" s="19">
        <f t="shared" si="2"/>
        <v>0</v>
      </c>
    </row>
    <row r="1194" ht="22.5" customHeight="1">
      <c r="P1194" s="19">
        <f t="shared" si="2"/>
        <v>0</v>
      </c>
    </row>
    <row r="1195" ht="22.5" customHeight="1">
      <c r="P1195" s="19">
        <f t="shared" si="2"/>
        <v>0</v>
      </c>
    </row>
    <row r="1196" ht="22.5" customHeight="1">
      <c r="P1196" s="19">
        <f t="shared" si="2"/>
        <v>0</v>
      </c>
    </row>
    <row r="1197" ht="22.5" customHeight="1">
      <c r="P1197" s="19">
        <f t="shared" si="2"/>
        <v>0</v>
      </c>
    </row>
    <row r="1198" ht="22.5" customHeight="1">
      <c r="P1198" s="19">
        <f t="shared" si="2"/>
        <v>0</v>
      </c>
    </row>
    <row r="1199" ht="22.5" customHeight="1">
      <c r="P1199" s="19">
        <f t="shared" si="2"/>
        <v>0</v>
      </c>
    </row>
    <row r="1200" ht="22.5" customHeight="1">
      <c r="P1200" s="19">
        <f t="shared" si="2"/>
        <v>0</v>
      </c>
    </row>
    <row r="1201" ht="22.5" customHeight="1">
      <c r="P1201" s="19">
        <f t="shared" si="2"/>
        <v>0</v>
      </c>
    </row>
    <row r="1202" ht="22.5" customHeight="1">
      <c r="P1202" s="19">
        <f t="shared" si="2"/>
        <v>0</v>
      </c>
    </row>
    <row r="1203" ht="22.5" customHeight="1">
      <c r="P1203" s="19">
        <f t="shared" si="2"/>
        <v>0</v>
      </c>
    </row>
    <row r="1204" ht="22.5" customHeight="1">
      <c r="P1204" s="19">
        <f t="shared" si="2"/>
        <v>0</v>
      </c>
    </row>
    <row r="1205" ht="22.5" customHeight="1">
      <c r="P1205" s="19">
        <f t="shared" si="2"/>
        <v>0</v>
      </c>
    </row>
    <row r="1206" ht="22.5" customHeight="1">
      <c r="P1206" s="19">
        <f t="shared" si="2"/>
        <v>0</v>
      </c>
    </row>
    <row r="1207" ht="22.5" customHeight="1">
      <c r="P1207" s="19">
        <f t="shared" si="2"/>
        <v>0</v>
      </c>
    </row>
    <row r="1208" ht="22.5" customHeight="1">
      <c r="P1208" s="19">
        <f t="shared" si="2"/>
        <v>0</v>
      </c>
    </row>
    <row r="1209" ht="22.5" customHeight="1">
      <c r="P1209" s="19">
        <f t="shared" si="2"/>
        <v>0</v>
      </c>
    </row>
    <row r="1210" ht="22.5" customHeight="1">
      <c r="P1210" s="19">
        <f t="shared" si="2"/>
        <v>0</v>
      </c>
    </row>
    <row r="1211" ht="22.5" customHeight="1">
      <c r="P1211" s="19">
        <f t="shared" si="2"/>
        <v>0</v>
      </c>
    </row>
    <row r="1212" ht="22.5" customHeight="1">
      <c r="P1212" s="19">
        <f t="shared" si="2"/>
        <v>0</v>
      </c>
    </row>
    <row r="1213" ht="22.5" customHeight="1">
      <c r="P1213" s="19">
        <f t="shared" si="2"/>
        <v>0</v>
      </c>
    </row>
    <row r="1214" ht="22.5" customHeight="1">
      <c r="P1214" s="19">
        <f t="shared" si="2"/>
        <v>0</v>
      </c>
    </row>
    <row r="1215" ht="22.5" customHeight="1">
      <c r="P1215" s="19">
        <f t="shared" si="2"/>
        <v>0</v>
      </c>
    </row>
    <row r="1216" ht="22.5" customHeight="1">
      <c r="P1216" s="19">
        <f t="shared" si="2"/>
        <v>0</v>
      </c>
    </row>
    <row r="1217" ht="22.5" customHeight="1">
      <c r="P1217" s="19">
        <f t="shared" si="2"/>
        <v>0</v>
      </c>
    </row>
    <row r="1218" ht="22.5" customHeight="1">
      <c r="P1218" s="19">
        <f t="shared" si="2"/>
        <v>0</v>
      </c>
    </row>
    <row r="1219" ht="22.5" customHeight="1">
      <c r="P1219" s="19">
        <f t="shared" si="2"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si="2"/>
        <v>0</v>
      </c>
    </row>
    <row r="1222" ht="22.5" customHeight="1">
      <c r="P1222" s="19">
        <f t="shared" si="2"/>
        <v>0</v>
      </c>
    </row>
    <row r="1223" ht="22.5" customHeight="1">
      <c r="P1223" s="19">
        <f t="shared" si="2"/>
        <v>0</v>
      </c>
    </row>
    <row r="1224" ht="22.5" customHeight="1">
      <c r="P1224" s="19">
        <f t="shared" si="2"/>
        <v>0</v>
      </c>
    </row>
    <row r="1225" ht="22.5" customHeight="1">
      <c r="P1225" s="19">
        <f t="shared" si="2"/>
        <v>0</v>
      </c>
    </row>
    <row r="1226" ht="22.5" customHeight="1">
      <c r="P1226" s="19">
        <f t="shared" si="2"/>
        <v>0</v>
      </c>
    </row>
    <row r="1227" ht="22.5" customHeight="1">
      <c r="P1227" s="19">
        <f t="shared" si="2"/>
        <v>0</v>
      </c>
    </row>
    <row r="1228" ht="22.5" customHeight="1">
      <c r="P1228" s="19">
        <f t="shared" si="2"/>
        <v>0</v>
      </c>
    </row>
    <row r="1229" ht="22.5" customHeight="1">
      <c r="P1229" s="19">
        <f t="shared" si="2"/>
        <v>0</v>
      </c>
    </row>
    <row r="1230" ht="22.5" customHeight="1">
      <c r="P1230" s="19">
        <f t="shared" si="2"/>
        <v>0</v>
      </c>
    </row>
    <row r="1231" ht="22.5" customHeight="1">
      <c r="P1231" s="19">
        <f t="shared" si="2"/>
        <v>0</v>
      </c>
    </row>
    <row r="1232" ht="22.5" customHeight="1">
      <c r="P1232" s="19">
        <f t="shared" si="2"/>
        <v>0</v>
      </c>
    </row>
    <row r="1233" ht="22.5" customHeight="1">
      <c r="P1233" s="19">
        <f t="shared" si="2"/>
        <v>0</v>
      </c>
    </row>
    <row r="1234" ht="22.5" customHeight="1">
      <c r="P1234" s="19">
        <f t="shared" si="2"/>
        <v>0</v>
      </c>
    </row>
    <row r="1235" ht="22.5" customHeight="1">
      <c r="P1235" s="19">
        <f t="shared" si="2"/>
        <v>0</v>
      </c>
    </row>
    <row r="1236" ht="22.5" customHeight="1">
      <c r="P1236" s="19">
        <f t="shared" si="2"/>
        <v>0</v>
      </c>
    </row>
    <row r="1237" ht="22.5" customHeight="1">
      <c r="P1237" s="19">
        <f t="shared" si="2"/>
        <v>0</v>
      </c>
    </row>
    <row r="1238" ht="22.5" customHeight="1">
      <c r="P1238" s="19">
        <f t="shared" si="2"/>
        <v>0</v>
      </c>
    </row>
    <row r="1239" ht="22.5" customHeight="1">
      <c r="P1239" s="19">
        <f t="shared" si="2"/>
        <v>0</v>
      </c>
    </row>
    <row r="1240" ht="22.5" customHeight="1">
      <c r="P1240" s="19">
        <f t="shared" si="2"/>
        <v>0</v>
      </c>
    </row>
    <row r="1241" ht="22.5" customHeight="1">
      <c r="P1241" s="19">
        <f t="shared" si="2"/>
        <v>0</v>
      </c>
    </row>
    <row r="1242" ht="22.5" customHeight="1">
      <c r="P1242" s="19">
        <f t="shared" si="2"/>
        <v>0</v>
      </c>
    </row>
    <row r="1243" ht="22.5" customHeight="1">
      <c r="P1243" s="19">
        <f t="shared" si="2"/>
        <v>0</v>
      </c>
    </row>
    <row r="1244" ht="22.5" customHeight="1">
      <c r="P1244" s="19">
        <f t="shared" si="2"/>
        <v>0</v>
      </c>
    </row>
    <row r="1245" ht="22.5" customHeight="1">
      <c r="P1245" s="19">
        <f t="shared" si="2"/>
        <v>0</v>
      </c>
    </row>
    <row r="1246" ht="22.5" customHeight="1">
      <c r="P1246" s="19">
        <f t="shared" si="2"/>
        <v>0</v>
      </c>
    </row>
    <row r="1247" ht="22.5" customHeight="1">
      <c r="P1247" s="19">
        <f t="shared" si="2"/>
        <v>0</v>
      </c>
    </row>
    <row r="1248" ht="22.5" customHeight="1">
      <c r="P1248" s="19">
        <f t="shared" si="2"/>
        <v>0</v>
      </c>
    </row>
    <row r="1249" ht="22.5" customHeight="1">
      <c r="P1249" s="19">
        <f t="shared" si="2"/>
        <v>0</v>
      </c>
    </row>
    <row r="1250" ht="22.5" customHeight="1">
      <c r="P1250" s="19">
        <f t="shared" si="2"/>
        <v>0</v>
      </c>
    </row>
    <row r="1251" ht="22.5" customHeight="1">
      <c r="P1251" s="19">
        <f t="shared" si="2"/>
        <v>0</v>
      </c>
    </row>
    <row r="1252" ht="22.5" customHeight="1">
      <c r="P1252" s="19">
        <f t="shared" si="2"/>
        <v>0</v>
      </c>
    </row>
    <row r="1253" ht="22.5" customHeight="1">
      <c r="P1253" s="19">
        <f t="shared" si="2"/>
        <v>0</v>
      </c>
    </row>
    <row r="1254" ht="22.5" customHeight="1">
      <c r="P1254" s="19">
        <f t="shared" si="2"/>
        <v>0</v>
      </c>
    </row>
    <row r="1255" ht="22.5" customHeight="1">
      <c r="P1255" s="19">
        <f t="shared" si="2"/>
        <v>0</v>
      </c>
    </row>
    <row r="1256" ht="22.5" customHeight="1">
      <c r="P1256" s="19">
        <f t="shared" si="2"/>
        <v>0</v>
      </c>
    </row>
    <row r="1257" ht="22.5" customHeight="1">
      <c r="P1257" s="19">
        <f t="shared" si="2"/>
        <v>0</v>
      </c>
    </row>
    <row r="1258" ht="22.5" customHeight="1">
      <c r="P1258" s="19">
        <f t="shared" si="2"/>
        <v>0</v>
      </c>
    </row>
    <row r="1259" ht="22.5" customHeight="1">
      <c r="P1259" s="19">
        <f t="shared" si="2"/>
        <v>0</v>
      </c>
    </row>
    <row r="1260" ht="22.5" customHeight="1">
      <c r="P1260" s="19">
        <f t="shared" si="2"/>
        <v>0</v>
      </c>
    </row>
    <row r="1261" ht="22.5" customHeight="1">
      <c r="P1261" s="19">
        <f t="shared" si="2"/>
        <v>0</v>
      </c>
    </row>
    <row r="1262" ht="22.5" customHeight="1">
      <c r="P1262" s="19">
        <f t="shared" si="2"/>
        <v>0</v>
      </c>
    </row>
    <row r="1263" ht="22.5" customHeight="1">
      <c r="P1263" s="19">
        <f t="shared" si="2"/>
        <v>0</v>
      </c>
    </row>
    <row r="1264" ht="22.5" customHeight="1">
      <c r="P1264" s="19">
        <f t="shared" si="2"/>
        <v>0</v>
      </c>
    </row>
    <row r="1265" ht="22.5" customHeight="1">
      <c r="P1265" s="19">
        <f t="shared" si="2"/>
        <v>0</v>
      </c>
    </row>
    <row r="1266" ht="22.5" customHeight="1">
      <c r="P1266" s="19">
        <f t="shared" si="2"/>
        <v>0</v>
      </c>
    </row>
    <row r="1267" ht="22.5" customHeight="1">
      <c r="P1267" s="19">
        <f t="shared" si="2"/>
        <v>0</v>
      </c>
    </row>
    <row r="1268" ht="22.5" customHeight="1">
      <c r="P1268" s="19">
        <f t="shared" si="2"/>
        <v>0</v>
      </c>
    </row>
    <row r="1269" ht="22.5" customHeight="1">
      <c r="P1269" s="19">
        <f t="shared" si="2"/>
        <v>0</v>
      </c>
    </row>
    <row r="1270" ht="22.5" customHeight="1">
      <c r="P1270" s="19">
        <f t="shared" si="2"/>
        <v>0</v>
      </c>
    </row>
    <row r="1271" ht="22.5" customHeight="1">
      <c r="P1271" s="19">
        <f t="shared" si="2"/>
        <v>0</v>
      </c>
    </row>
    <row r="1272" ht="22.5" customHeight="1">
      <c r="P1272" s="19">
        <f t="shared" si="2"/>
        <v>0</v>
      </c>
    </row>
    <row r="1273" ht="22.5" customHeight="1">
      <c r="P1273" s="19">
        <f t="shared" si="2"/>
        <v>0</v>
      </c>
    </row>
    <row r="1274" ht="22.5" customHeight="1">
      <c r="P1274" s="19">
        <f t="shared" si="2"/>
        <v>0</v>
      </c>
    </row>
    <row r="1275" ht="22.5" customHeight="1">
      <c r="P1275" s="19">
        <f t="shared" si="2"/>
        <v>0</v>
      </c>
    </row>
    <row r="1276" ht="22.5" customHeight="1">
      <c r="P1276" s="19">
        <f t="shared" si="2"/>
        <v>0</v>
      </c>
    </row>
    <row r="1277" ht="22.5" customHeight="1">
      <c r="P1277" s="19">
        <f t="shared" si="2"/>
        <v>0</v>
      </c>
    </row>
    <row r="1278" ht="22.5" customHeight="1">
      <c r="P1278" s="19">
        <f t="shared" si="2"/>
        <v>0</v>
      </c>
    </row>
    <row r="1279" ht="22.5" customHeight="1">
      <c r="P1279" s="19">
        <f t="shared" si="2"/>
        <v>0</v>
      </c>
    </row>
    <row r="1280" ht="22.5" customHeight="1">
      <c r="P1280" s="19">
        <f t="shared" si="2"/>
        <v>0</v>
      </c>
    </row>
    <row r="1281" ht="22.5" customHeight="1">
      <c r="P1281" s="19">
        <f t="shared" si="2"/>
        <v>0</v>
      </c>
    </row>
    <row r="1282" ht="22.5" customHeight="1">
      <c r="P1282" s="19">
        <f t="shared" si="2"/>
        <v>0</v>
      </c>
    </row>
    <row r="1283" ht="22.5" customHeight="1">
      <c r="P1283" s="19">
        <f t="shared" si="2"/>
        <v>0</v>
      </c>
    </row>
    <row r="1284" ht="22.5" customHeight="1">
      <c r="P1284" s="19">
        <f t="shared" si="2"/>
        <v>0</v>
      </c>
    </row>
    <row r="1285" ht="22.5" customHeight="1">
      <c r="P1285" s="19">
        <f t="shared" si="2"/>
        <v>0</v>
      </c>
    </row>
    <row r="1286" ht="22.5" customHeight="1">
      <c r="P1286" s="19">
        <f t="shared" si="2"/>
        <v>0</v>
      </c>
    </row>
    <row r="1287" ht="22.5" customHeight="1">
      <c r="P1287" s="19">
        <f t="shared" si="2"/>
        <v>0</v>
      </c>
    </row>
    <row r="1288" ht="22.5" customHeight="1">
      <c r="P1288" s="19">
        <f t="shared" si="2"/>
        <v>0</v>
      </c>
    </row>
    <row r="1289" ht="22.5" customHeight="1">
      <c r="P1289" s="19">
        <f t="shared" si="2"/>
        <v>0</v>
      </c>
    </row>
    <row r="1290" ht="22.5" customHeight="1">
      <c r="P1290" s="19">
        <f t="shared" si="2"/>
        <v>0</v>
      </c>
    </row>
    <row r="1291" ht="22.5" customHeight="1">
      <c r="P1291" s="19">
        <f t="shared" si="2"/>
        <v>0</v>
      </c>
    </row>
    <row r="1292" ht="22.5" customHeight="1">
      <c r="P1292" s="19">
        <f t="shared" si="2"/>
        <v>0</v>
      </c>
    </row>
    <row r="1293" ht="22.5" customHeight="1">
      <c r="P1293" s="19">
        <f t="shared" si="2"/>
        <v>0</v>
      </c>
    </row>
    <row r="1294" ht="22.5" customHeight="1">
      <c r="P1294" s="19">
        <f t="shared" si="2"/>
        <v>0</v>
      </c>
    </row>
    <row r="1295" ht="22.5" customHeight="1">
      <c r="P1295" s="19">
        <f t="shared" si="2"/>
        <v>0</v>
      </c>
    </row>
    <row r="1296" ht="22.5" customHeight="1">
      <c r="P1296" s="19">
        <f t="shared" si="2"/>
        <v>0</v>
      </c>
    </row>
    <row r="1297" ht="22.5" customHeight="1">
      <c r="P1297" s="19">
        <f t="shared" si="2"/>
        <v>0</v>
      </c>
    </row>
    <row r="1298" ht="22.5" customHeight="1">
      <c r="P1298" s="19">
        <f t="shared" si="2"/>
        <v>0</v>
      </c>
    </row>
    <row r="1299" ht="22.5" customHeight="1">
      <c r="P1299" s="19">
        <f t="shared" si="2"/>
        <v>0</v>
      </c>
    </row>
    <row r="1300" ht="22.5" customHeight="1">
      <c r="P1300" s="19">
        <f t="shared" si="2"/>
        <v>0</v>
      </c>
    </row>
    <row r="1301" ht="22.5" customHeight="1">
      <c r="P1301" s="19">
        <f t="shared" si="2"/>
        <v>0</v>
      </c>
    </row>
    <row r="1302" ht="22.5" customHeight="1">
      <c r="P1302" s="19">
        <f t="shared" si="2"/>
        <v>0</v>
      </c>
    </row>
    <row r="1303" ht="22.5" customHeight="1">
      <c r="P1303" s="19">
        <f t="shared" si="2"/>
        <v>0</v>
      </c>
    </row>
    <row r="1304" ht="22.5" customHeight="1">
      <c r="P1304" s="19">
        <f t="shared" si="2"/>
        <v>0</v>
      </c>
    </row>
    <row r="1305" ht="22.5" customHeight="1">
      <c r="P1305" s="19">
        <f t="shared" si="2"/>
        <v>0</v>
      </c>
    </row>
    <row r="1306" ht="22.5" customHeight="1">
      <c r="P1306" s="19">
        <f t="shared" si="2"/>
        <v>0</v>
      </c>
    </row>
    <row r="1307" ht="22.5" customHeight="1">
      <c r="P1307" s="19">
        <f t="shared" si="2"/>
        <v>0</v>
      </c>
    </row>
    <row r="1308" ht="22.5" customHeight="1">
      <c r="P1308" s="19">
        <f t="shared" si="2"/>
        <v>0</v>
      </c>
    </row>
    <row r="1309" ht="22.5" customHeight="1">
      <c r="P1309" s="19">
        <f t="shared" si="2"/>
        <v>0</v>
      </c>
    </row>
    <row r="1310" ht="22.5" customHeight="1">
      <c r="P1310" s="19">
        <f t="shared" si="2"/>
        <v>0</v>
      </c>
    </row>
    <row r="1311" ht="22.5" customHeight="1">
      <c r="P1311" s="19">
        <f t="shared" si="2"/>
        <v>0</v>
      </c>
    </row>
    <row r="1312" ht="22.5" customHeight="1">
      <c r="P1312" s="19">
        <f t="shared" si="2"/>
        <v>0</v>
      </c>
    </row>
    <row r="1313" ht="22.5" customHeight="1">
      <c r="P1313" s="19">
        <f t="shared" si="2"/>
        <v>0</v>
      </c>
    </row>
    <row r="1314" ht="22.5" customHeight="1">
      <c r="P1314" s="19">
        <f t="shared" si="2"/>
        <v>0</v>
      </c>
    </row>
    <row r="1315" ht="22.5" customHeight="1">
      <c r="P1315" s="19">
        <f t="shared" si="2"/>
        <v>0</v>
      </c>
    </row>
    <row r="1316" ht="22.5" customHeight="1">
      <c r="P1316" s="19">
        <f t="shared" si="2"/>
        <v>0</v>
      </c>
    </row>
    <row r="1317" ht="22.5" customHeight="1">
      <c r="P1317" s="19">
        <f t="shared" si="2"/>
        <v>0</v>
      </c>
    </row>
    <row r="1318" ht="22.5" customHeight="1">
      <c r="P1318" s="19">
        <f t="shared" si="2"/>
        <v>0</v>
      </c>
    </row>
    <row r="1319" ht="22.5" customHeight="1">
      <c r="P1319" s="19">
        <f t="shared" si="2"/>
        <v>0</v>
      </c>
    </row>
    <row r="1320" ht="22.5" customHeight="1">
      <c r="P1320" s="19">
        <f t="shared" si="2"/>
        <v>0</v>
      </c>
    </row>
    <row r="1321" ht="22.5" customHeight="1">
      <c r="P1321" s="19">
        <f t="shared" si="2"/>
        <v>0</v>
      </c>
    </row>
    <row r="1322" ht="22.5" customHeight="1">
      <c r="P1322" s="19">
        <f t="shared" si="2"/>
        <v>0</v>
      </c>
    </row>
    <row r="1323" ht="22.5" customHeight="1">
      <c r="P1323" s="19">
        <f t="shared" si="2"/>
        <v>0</v>
      </c>
    </row>
    <row r="1324" ht="22.5" customHeight="1">
      <c r="P1324" s="19">
        <f t="shared" si="2"/>
        <v>0</v>
      </c>
    </row>
    <row r="1325" ht="22.5" customHeight="1">
      <c r="P1325" s="19">
        <f t="shared" si="2"/>
        <v>0</v>
      </c>
    </row>
    <row r="1326" ht="22.5" customHeight="1">
      <c r="P1326" s="19">
        <f t="shared" si="2"/>
        <v>0</v>
      </c>
    </row>
    <row r="1327" ht="22.5" customHeight="1">
      <c r="P1327" s="19">
        <f t="shared" si="2"/>
        <v>0</v>
      </c>
    </row>
    <row r="1328" ht="22.5" customHeight="1">
      <c r="P1328" s="19">
        <f t="shared" si="2"/>
        <v>0</v>
      </c>
    </row>
    <row r="1329" ht="22.5" customHeight="1">
      <c r="P1329" s="19">
        <f t="shared" si="2"/>
        <v>0</v>
      </c>
    </row>
    <row r="1330" ht="22.5" customHeight="1">
      <c r="P1330" s="19">
        <f t="shared" si="2"/>
        <v>0</v>
      </c>
    </row>
    <row r="1331" ht="22.5" customHeight="1">
      <c r="P1331" s="19">
        <f t="shared" si="2"/>
        <v>0</v>
      </c>
    </row>
    <row r="1332" ht="22.5" customHeight="1">
      <c r="P1332" s="19">
        <f t="shared" si="2"/>
        <v>0</v>
      </c>
    </row>
    <row r="1333" ht="22.5" customHeight="1">
      <c r="P1333" s="19">
        <f t="shared" si="2"/>
        <v>0</v>
      </c>
    </row>
    <row r="1334" ht="22.5" customHeight="1">
      <c r="P1334" s="19">
        <f t="shared" si="2"/>
        <v>0</v>
      </c>
    </row>
    <row r="1335" ht="22.5" customHeight="1">
      <c r="P1335" s="19">
        <f t="shared" si="2"/>
        <v>0</v>
      </c>
    </row>
    <row r="1336" ht="22.5" customHeight="1">
      <c r="P1336" s="19">
        <f t="shared" si="2"/>
        <v>0</v>
      </c>
    </row>
    <row r="1337" ht="22.5" customHeight="1">
      <c r="P1337" s="19">
        <f t="shared" si="2"/>
        <v>0</v>
      </c>
    </row>
    <row r="1338" ht="22.5" customHeight="1">
      <c r="P1338" s="19">
        <f t="shared" si="2"/>
        <v>0</v>
      </c>
    </row>
    <row r="1339" ht="22.5" customHeight="1">
      <c r="P1339" s="19">
        <f t="shared" si="2"/>
        <v>0</v>
      </c>
    </row>
    <row r="1340" ht="22.5" customHeight="1">
      <c r="P1340" s="19">
        <f t="shared" si="2"/>
        <v>0</v>
      </c>
    </row>
    <row r="1341" ht="22.5" customHeight="1">
      <c r="P1341" s="19">
        <f t="shared" si="2"/>
        <v>0</v>
      </c>
    </row>
    <row r="1342" ht="22.5" customHeight="1">
      <c r="P1342" s="19">
        <f t="shared" si="2"/>
        <v>0</v>
      </c>
    </row>
    <row r="1343" ht="22.5" customHeight="1">
      <c r="P1343" s="19">
        <f t="shared" si="2"/>
        <v>0</v>
      </c>
    </row>
    <row r="1344" ht="22.5" customHeight="1">
      <c r="P1344" s="19">
        <f t="shared" si="2"/>
        <v>0</v>
      </c>
    </row>
    <row r="1345" ht="22.5" customHeight="1">
      <c r="P1345" s="19">
        <f t="shared" si="2"/>
        <v>0</v>
      </c>
    </row>
    <row r="1346" ht="22.5" customHeight="1">
      <c r="P1346" s="19">
        <f t="shared" si="2"/>
        <v>0</v>
      </c>
    </row>
    <row r="1347" ht="22.5" customHeight="1">
      <c r="P1347" s="19">
        <f t="shared" si="2"/>
        <v>0</v>
      </c>
    </row>
    <row r="1348" ht="22.5" customHeight="1">
      <c r="P1348" s="19">
        <f t="shared" si="2"/>
        <v>0</v>
      </c>
    </row>
    <row r="1349" ht="22.5" customHeight="1">
      <c r="P1349" s="19">
        <f t="shared" si="2"/>
        <v>0</v>
      </c>
    </row>
    <row r="1350" ht="22.5" customHeight="1">
      <c r="P1350" s="19">
        <f t="shared" si="2"/>
        <v>0</v>
      </c>
    </row>
    <row r="1351" ht="22.5" customHeight="1">
      <c r="P1351" s="19">
        <f t="shared" si="2"/>
        <v>0</v>
      </c>
    </row>
    <row r="1352" ht="22.5" customHeight="1">
      <c r="P1352" s="19">
        <f t="shared" si="2"/>
        <v>0</v>
      </c>
    </row>
    <row r="1353" ht="22.5" customHeight="1">
      <c r="P1353" s="19">
        <f t="shared" si="2"/>
        <v>0</v>
      </c>
    </row>
    <row r="1354" ht="22.5" customHeight="1">
      <c r="P1354" s="19">
        <f t="shared" si="2"/>
        <v>0</v>
      </c>
    </row>
    <row r="1355" ht="22.5" customHeight="1">
      <c r="P1355" s="19">
        <f t="shared" si="2"/>
        <v>0</v>
      </c>
    </row>
    <row r="1356" ht="22.5" customHeight="1">
      <c r="P1356" s="19">
        <f t="shared" si="2"/>
        <v>0</v>
      </c>
    </row>
    <row r="1357" ht="22.5" customHeight="1">
      <c r="P1357" s="19">
        <f t="shared" si="2"/>
        <v>0</v>
      </c>
    </row>
    <row r="1358" ht="22.5" customHeight="1">
      <c r="P1358" s="19">
        <f t="shared" si="2"/>
        <v>0</v>
      </c>
    </row>
    <row r="1359" ht="22.5" customHeight="1">
      <c r="P1359" s="19">
        <f t="shared" si="2"/>
        <v>0</v>
      </c>
    </row>
    <row r="1360" ht="22.5" customHeight="1">
      <c r="P1360" s="19">
        <f t="shared" si="2"/>
        <v>0</v>
      </c>
    </row>
    <row r="1361" ht="22.5" customHeight="1">
      <c r="P1361" s="19">
        <f t="shared" si="2"/>
        <v>0</v>
      </c>
    </row>
    <row r="1362" ht="22.5" customHeight="1">
      <c r="P1362" s="19">
        <f t="shared" si="2"/>
        <v>0</v>
      </c>
    </row>
    <row r="1363" ht="22.5" customHeight="1">
      <c r="P1363" s="19">
        <f t="shared" si="2"/>
        <v>0</v>
      </c>
    </row>
    <row r="1364" ht="22.5" customHeight="1">
      <c r="P1364" s="19">
        <f t="shared" si="2"/>
        <v>0</v>
      </c>
    </row>
    <row r="1365" ht="22.5" customHeight="1">
      <c r="P1365" s="19">
        <f t="shared" si="2"/>
        <v>0</v>
      </c>
    </row>
    <row r="1366" ht="22.5" customHeight="1">
      <c r="P1366" s="19">
        <f t="shared" si="2"/>
        <v>0</v>
      </c>
    </row>
    <row r="1367" ht="22.5" customHeight="1">
      <c r="P1367" s="19">
        <f t="shared" si="2"/>
        <v>0</v>
      </c>
    </row>
    <row r="1368" ht="22.5" customHeight="1">
      <c r="P1368" s="19">
        <f t="shared" si="2"/>
        <v>0</v>
      </c>
    </row>
    <row r="1369" ht="22.5" customHeight="1">
      <c r="P1369" s="19">
        <f t="shared" si="2"/>
        <v>0</v>
      </c>
    </row>
    <row r="1370" ht="22.5" customHeight="1">
      <c r="P1370" s="19">
        <f t="shared" si="2"/>
        <v>0</v>
      </c>
    </row>
    <row r="1371" ht="22.5" customHeight="1">
      <c r="P1371" s="19">
        <f t="shared" si="2"/>
        <v>0</v>
      </c>
    </row>
    <row r="1372" ht="22.5" customHeight="1">
      <c r="P1372" s="19">
        <f t="shared" si="2"/>
        <v>0</v>
      </c>
    </row>
    <row r="1373" ht="22.5" customHeight="1">
      <c r="P1373" s="19">
        <f t="shared" si="2"/>
        <v>0</v>
      </c>
    </row>
    <row r="1374" ht="22.5" customHeight="1">
      <c r="P1374" s="19">
        <f t="shared" si="2"/>
        <v>0</v>
      </c>
    </row>
    <row r="1375" ht="22.5" customHeight="1">
      <c r="P1375" s="19">
        <f t="shared" si="2"/>
        <v>0</v>
      </c>
    </row>
    <row r="1376" ht="22.5" customHeight="1">
      <c r="P1376" s="19">
        <f t="shared" si="2"/>
        <v>0</v>
      </c>
    </row>
    <row r="1377" ht="22.5" customHeight="1">
      <c r="P1377" s="19">
        <f t="shared" si="2"/>
        <v>0</v>
      </c>
    </row>
    <row r="1378" ht="22.5" customHeight="1">
      <c r="P1378" s="19">
        <f t="shared" si="2"/>
        <v>0</v>
      </c>
    </row>
    <row r="1379" ht="22.5" customHeight="1">
      <c r="P1379" s="19">
        <f t="shared" si="2"/>
        <v>0</v>
      </c>
    </row>
    <row r="1380" ht="22.5" customHeight="1">
      <c r="P1380" s="19">
        <f t="shared" si="2"/>
        <v>0</v>
      </c>
    </row>
    <row r="1381" ht="22.5" customHeight="1">
      <c r="P1381" s="19">
        <f t="shared" si="2"/>
        <v>0</v>
      </c>
    </row>
    <row r="1382" ht="22.5" customHeight="1">
      <c r="P1382" s="19">
        <f t="shared" si="2"/>
        <v>0</v>
      </c>
    </row>
    <row r="1383" ht="22.5" customHeight="1">
      <c r="P1383" s="19">
        <f t="shared" si="2"/>
        <v>0</v>
      </c>
    </row>
    <row r="1384" ht="22.5" customHeight="1">
      <c r="P1384" s="19">
        <f t="shared" si="2"/>
        <v>0</v>
      </c>
    </row>
    <row r="1385" ht="22.5" customHeight="1">
      <c r="P1385" s="19">
        <f t="shared" si="2"/>
        <v>0</v>
      </c>
    </row>
    <row r="1386" ht="22.5" customHeight="1">
      <c r="P1386" s="19">
        <f t="shared" si="2"/>
        <v>0</v>
      </c>
    </row>
    <row r="1387" ht="22.5" customHeight="1">
      <c r="P1387" s="19">
        <f t="shared" si="2"/>
        <v>0</v>
      </c>
    </row>
    <row r="1388" ht="22.5" customHeight="1">
      <c r="P1388" s="19">
        <f t="shared" si="2"/>
        <v>0</v>
      </c>
    </row>
    <row r="1389" ht="22.5" customHeight="1">
      <c r="P1389" s="19">
        <f t="shared" si="2"/>
        <v>0</v>
      </c>
    </row>
    <row r="1390" ht="22.5" customHeight="1">
      <c r="P1390" s="19">
        <f t="shared" si="2"/>
        <v>0</v>
      </c>
    </row>
    <row r="1391" ht="22.5" customHeight="1">
      <c r="P1391" s="19">
        <f t="shared" si="2"/>
        <v>0</v>
      </c>
    </row>
    <row r="1392" ht="22.5" customHeight="1">
      <c r="P1392" s="19">
        <f t="shared" si="2"/>
        <v>0</v>
      </c>
    </row>
    <row r="1393" ht="22.5" customHeight="1">
      <c r="P1393" s="19">
        <f t="shared" si="2"/>
        <v>0</v>
      </c>
    </row>
    <row r="1394" ht="22.5" customHeight="1">
      <c r="P1394" s="19">
        <f t="shared" si="2"/>
        <v>0</v>
      </c>
    </row>
    <row r="1395" ht="22.5" customHeight="1">
      <c r="P1395" s="19">
        <f t="shared" si="2"/>
        <v>0</v>
      </c>
    </row>
    <row r="1396" ht="22.5" customHeight="1">
      <c r="P1396" s="19">
        <f t="shared" si="2"/>
        <v>0</v>
      </c>
    </row>
    <row r="1397" ht="22.5" customHeight="1">
      <c r="P1397" s="19">
        <f t="shared" si="2"/>
        <v>0</v>
      </c>
    </row>
    <row r="1398" ht="22.5" customHeight="1">
      <c r="P1398" s="19">
        <f t="shared" si="2"/>
        <v>0</v>
      </c>
    </row>
    <row r="1399" ht="22.5" customHeight="1">
      <c r="P1399" s="19">
        <f t="shared" si="2"/>
        <v>0</v>
      </c>
    </row>
    <row r="1400" ht="22.5" customHeight="1">
      <c r="P1400" s="19">
        <f t="shared" si="2"/>
        <v>0</v>
      </c>
    </row>
    <row r="1401" ht="22.5" customHeight="1">
      <c r="P1401" s="19">
        <f t="shared" si="2"/>
        <v>0</v>
      </c>
    </row>
    <row r="1402" ht="22.5" customHeight="1">
      <c r="P1402" s="19">
        <f t="shared" si="2"/>
        <v>0</v>
      </c>
    </row>
    <row r="1403" ht="22.5" customHeight="1">
      <c r="P1403" s="19">
        <f t="shared" si="2"/>
        <v>0</v>
      </c>
    </row>
    <row r="1404" ht="22.5" customHeight="1">
      <c r="P1404" s="19">
        <f t="shared" si="2"/>
        <v>0</v>
      </c>
    </row>
    <row r="1405" ht="22.5" customHeight="1">
      <c r="P1405" s="19">
        <f t="shared" si="2"/>
        <v>0</v>
      </c>
    </row>
    <row r="1406" ht="22.5" customHeight="1">
      <c r="P1406" s="19">
        <f t="shared" si="2"/>
        <v>0</v>
      </c>
    </row>
    <row r="1407" ht="22.5" customHeight="1">
      <c r="P1407" s="19">
        <f t="shared" si="2"/>
        <v>0</v>
      </c>
    </row>
    <row r="1408" ht="22.5" customHeight="1">
      <c r="P1408" s="19">
        <f t="shared" si="2"/>
        <v>0</v>
      </c>
    </row>
    <row r="1409" ht="22.5" customHeight="1">
      <c r="P1409" s="19">
        <f t="shared" si="2"/>
        <v>0</v>
      </c>
    </row>
    <row r="1410" ht="22.5" customHeight="1">
      <c r="P1410" s="19">
        <f t="shared" si="2"/>
        <v>0</v>
      </c>
    </row>
    <row r="1411" ht="22.5" customHeight="1">
      <c r="P1411" s="19">
        <f t="shared" si="2"/>
        <v>0</v>
      </c>
    </row>
    <row r="1412" ht="22.5" customHeight="1">
      <c r="P1412" s="19">
        <f t="shared" si="2"/>
        <v>0</v>
      </c>
    </row>
    <row r="1413" ht="22.5" customHeight="1">
      <c r="P1413" s="19">
        <f t="shared" si="2"/>
        <v>0</v>
      </c>
    </row>
    <row r="1414" ht="22.5" customHeight="1">
      <c r="P1414" s="19">
        <f t="shared" si="2"/>
        <v>0</v>
      </c>
    </row>
    <row r="1415" ht="22.5" customHeight="1">
      <c r="P1415" s="19">
        <f t="shared" si="2"/>
        <v>0</v>
      </c>
    </row>
    <row r="1416" ht="22.5" customHeight="1">
      <c r="P1416" s="19">
        <f t="shared" si="2"/>
        <v>0</v>
      </c>
    </row>
    <row r="1417" ht="22.5" customHeight="1">
      <c r="P1417" s="19">
        <f t="shared" si="2"/>
        <v>0</v>
      </c>
    </row>
    <row r="1418" ht="22.5" customHeight="1">
      <c r="P1418" s="19">
        <f t="shared" si="2"/>
        <v>0</v>
      </c>
    </row>
    <row r="1419" ht="22.5" customHeight="1">
      <c r="P1419" s="19">
        <f t="shared" si="2"/>
        <v>0</v>
      </c>
    </row>
    <row r="1420" ht="22.5" customHeight="1">
      <c r="P1420" s="19">
        <f t="shared" si="2"/>
        <v>0</v>
      </c>
    </row>
    <row r="1421" ht="22.5" customHeight="1">
      <c r="P1421" s="19">
        <f t="shared" si="2"/>
        <v>0</v>
      </c>
    </row>
    <row r="1422" ht="22.5" customHeight="1">
      <c r="P1422" s="19">
        <f t="shared" si="2"/>
        <v>0</v>
      </c>
    </row>
    <row r="1423" ht="22.5" customHeight="1">
      <c r="P1423" s="19">
        <f t="shared" si="2"/>
        <v>0</v>
      </c>
    </row>
    <row r="1424" ht="22.5" customHeight="1">
      <c r="P1424" s="19">
        <f t="shared" si="2"/>
        <v>0</v>
      </c>
    </row>
    <row r="1425" ht="22.5" customHeight="1">
      <c r="P1425" s="19">
        <f t="shared" si="2"/>
        <v>0</v>
      </c>
    </row>
    <row r="1426" ht="22.5" customHeight="1">
      <c r="P1426" s="19">
        <f t="shared" si="2"/>
        <v>0</v>
      </c>
    </row>
    <row r="1427" ht="22.5" customHeight="1">
      <c r="P1427" s="19">
        <f t="shared" si="2"/>
        <v>0</v>
      </c>
    </row>
    <row r="1428" ht="22.5" customHeight="1">
      <c r="P1428" s="19">
        <f t="shared" si="2"/>
        <v>0</v>
      </c>
    </row>
    <row r="1429" ht="22.5" customHeight="1">
      <c r="P1429" s="19">
        <f t="shared" si="2"/>
        <v>0</v>
      </c>
    </row>
    <row r="1430" ht="22.5" customHeight="1">
      <c r="P1430" s="19">
        <f t="shared" si="2"/>
        <v>0</v>
      </c>
    </row>
    <row r="1431" ht="22.5" customHeight="1">
      <c r="P1431" s="19">
        <f t="shared" si="2"/>
        <v>0</v>
      </c>
    </row>
    <row r="1432" ht="22.5" customHeight="1">
      <c r="P1432" s="19">
        <f t="shared" si="2"/>
        <v>0</v>
      </c>
    </row>
    <row r="1433" ht="22.5" customHeight="1">
      <c r="P1433" s="19">
        <f t="shared" si="2"/>
        <v>0</v>
      </c>
    </row>
    <row r="1434" ht="22.5" customHeight="1">
      <c r="P1434" s="19">
        <f t="shared" si="2"/>
        <v>0</v>
      </c>
    </row>
    <row r="1435" ht="22.5" customHeight="1">
      <c r="P1435" s="19">
        <f t="shared" si="2"/>
        <v>0</v>
      </c>
    </row>
    <row r="1436" ht="22.5" customHeight="1">
      <c r="P1436" s="19">
        <f t="shared" si="2"/>
        <v>0</v>
      </c>
    </row>
    <row r="1437" ht="22.5" customHeight="1">
      <c r="P1437" s="19">
        <f t="shared" si="2"/>
        <v>0</v>
      </c>
    </row>
    <row r="1438" ht="22.5" customHeight="1">
      <c r="P1438" s="19">
        <f t="shared" si="2"/>
        <v>0</v>
      </c>
    </row>
    <row r="1439" ht="22.5" customHeight="1">
      <c r="P1439" s="19">
        <f t="shared" si="2"/>
        <v>0</v>
      </c>
    </row>
    <row r="1440" ht="22.5" customHeight="1">
      <c r="P1440" s="19">
        <f t="shared" si="2"/>
        <v>0</v>
      </c>
    </row>
    <row r="1441" ht="22.5" customHeight="1">
      <c r="P1441" s="19">
        <f t="shared" si="2"/>
        <v>0</v>
      </c>
    </row>
    <row r="1442" ht="22.5" customHeight="1">
      <c r="P1442" s="19">
        <f t="shared" si="2"/>
        <v>0</v>
      </c>
    </row>
    <row r="1443" ht="22.5" customHeight="1">
      <c r="P1443" s="19">
        <f t="shared" si="2"/>
        <v>0</v>
      </c>
    </row>
    <row r="1444" ht="22.5" customHeight="1">
      <c r="P1444" s="19">
        <f t="shared" si="2"/>
        <v>0</v>
      </c>
    </row>
    <row r="1445" ht="22.5" customHeight="1">
      <c r="P1445" s="19">
        <f t="shared" si="2"/>
        <v>0</v>
      </c>
    </row>
    <row r="1446" ht="22.5" customHeight="1">
      <c r="P1446" s="19">
        <f t="shared" si="2"/>
        <v>0</v>
      </c>
    </row>
    <row r="1447" ht="22.5" customHeight="1">
      <c r="P1447" s="19">
        <f t="shared" si="2"/>
        <v>0</v>
      </c>
    </row>
    <row r="1448" ht="22.5" customHeight="1">
      <c r="P1448" s="19">
        <f t="shared" si="2"/>
        <v>0</v>
      </c>
    </row>
    <row r="1449" ht="22.5" customHeight="1">
      <c r="P1449" s="19">
        <f t="shared" si="2"/>
        <v>0</v>
      </c>
    </row>
    <row r="1450" ht="22.5" customHeight="1">
      <c r="P1450" s="19">
        <f t="shared" si="2"/>
        <v>0</v>
      </c>
    </row>
    <row r="1451" ht="22.5" customHeight="1">
      <c r="P1451" s="19">
        <f t="shared" si="2"/>
        <v>0</v>
      </c>
    </row>
    <row r="1452" ht="22.5" customHeight="1">
      <c r="P1452" s="19">
        <f t="shared" si="2"/>
        <v>0</v>
      </c>
    </row>
    <row r="1453" ht="22.5" customHeight="1">
      <c r="P1453" s="19">
        <f t="shared" si="2"/>
        <v>0</v>
      </c>
    </row>
    <row r="1454" ht="22.5" customHeight="1">
      <c r="P1454" s="19">
        <f t="shared" si="2"/>
        <v>0</v>
      </c>
    </row>
    <row r="1455" ht="22.5" customHeight="1">
      <c r="P1455" s="19">
        <f t="shared" si="2"/>
        <v>0</v>
      </c>
    </row>
    <row r="1456" ht="22.5" customHeight="1">
      <c r="P1456" s="19">
        <f t="shared" si="2"/>
        <v>0</v>
      </c>
    </row>
    <row r="1457" ht="22.5" customHeight="1">
      <c r="P1457" s="19">
        <f t="shared" si="2"/>
        <v>0</v>
      </c>
    </row>
    <row r="1458" ht="22.5" customHeight="1">
      <c r="P1458" s="19">
        <f t="shared" si="2"/>
        <v>0</v>
      </c>
    </row>
    <row r="1459" ht="22.5" customHeight="1">
      <c r="P1459" s="19">
        <f t="shared" si="2"/>
        <v>0</v>
      </c>
    </row>
    <row r="1460" ht="22.5" customHeight="1">
      <c r="P1460" s="19">
        <f t="shared" si="2"/>
        <v>0</v>
      </c>
    </row>
    <row r="1461" ht="22.5" customHeight="1">
      <c r="P1461" s="19">
        <f t="shared" si="2"/>
        <v>0</v>
      </c>
    </row>
    <row r="1462" ht="22.5" customHeight="1">
      <c r="P1462" s="19">
        <f t="shared" si="2"/>
        <v>0</v>
      </c>
    </row>
    <row r="1463" ht="22.5" customHeight="1">
      <c r="P1463" s="19">
        <f t="shared" si="2"/>
        <v>0</v>
      </c>
    </row>
    <row r="1464" ht="22.5" customHeight="1">
      <c r="P1464" s="19">
        <f t="shared" si="2"/>
        <v>0</v>
      </c>
    </row>
    <row r="1465" ht="22.5" customHeight="1">
      <c r="P1465" s="19">
        <f t="shared" si="2"/>
        <v>0</v>
      </c>
    </row>
    <row r="1466" ht="22.5" customHeight="1">
      <c r="P1466" s="19">
        <f t="shared" si="2"/>
        <v>0</v>
      </c>
    </row>
    <row r="1467" ht="22.5" customHeight="1">
      <c r="P1467" s="19">
        <f t="shared" si="2"/>
        <v>0</v>
      </c>
    </row>
    <row r="1468" ht="22.5" customHeight="1">
      <c r="P1468" s="19">
        <f t="shared" si="2"/>
        <v>0</v>
      </c>
    </row>
    <row r="1469" ht="22.5" customHeight="1">
      <c r="P1469" s="19">
        <f t="shared" si="2"/>
        <v>0</v>
      </c>
    </row>
    <row r="1470" ht="22.5" customHeight="1">
      <c r="P1470" s="19">
        <f t="shared" si="2"/>
        <v>0</v>
      </c>
    </row>
    <row r="1471" ht="22.5" customHeight="1">
      <c r="P1471" s="19">
        <f t="shared" si="2"/>
        <v>0</v>
      </c>
    </row>
    <row r="1472" ht="22.5" customHeight="1">
      <c r="P1472" s="19">
        <f t="shared" si="2"/>
        <v>0</v>
      </c>
    </row>
    <row r="1473" ht="22.5" customHeight="1">
      <c r="P1473" s="19">
        <f t="shared" si="2"/>
        <v>0</v>
      </c>
    </row>
    <row r="1474" ht="22.5" customHeight="1">
      <c r="P1474" s="19">
        <f t="shared" si="2"/>
        <v>0</v>
      </c>
    </row>
    <row r="1475" ht="22.5" customHeight="1">
      <c r="P1475" s="19">
        <f t="shared" si="2"/>
        <v>0</v>
      </c>
    </row>
    <row r="1476" ht="22.5" customHeight="1">
      <c r="P1476" s="19">
        <f t="shared" si="2"/>
        <v>0</v>
      </c>
    </row>
    <row r="1477" ht="22.5" customHeight="1">
      <c r="P1477" s="19">
        <f t="shared" si="2"/>
        <v>0</v>
      </c>
    </row>
    <row r="1478" ht="22.5" customHeight="1">
      <c r="P1478" s="19">
        <f t="shared" si="2"/>
        <v>0</v>
      </c>
    </row>
    <row r="1479" ht="22.5" customHeight="1">
      <c r="P1479" s="19">
        <f t="shared" si="2"/>
        <v>0</v>
      </c>
    </row>
    <row r="1480" ht="22.5" customHeight="1">
      <c r="P1480" s="19">
        <f t="shared" si="2"/>
        <v>0</v>
      </c>
    </row>
    <row r="1481" ht="22.5" customHeight="1">
      <c r="P1481" s="19">
        <f t="shared" si="2"/>
        <v>0</v>
      </c>
    </row>
    <row r="1482" ht="22.5" customHeight="1">
      <c r="P1482" s="19">
        <f t="shared" si="2"/>
        <v>0</v>
      </c>
    </row>
    <row r="1483" ht="22.5" customHeight="1">
      <c r="P1483" s="19">
        <f t="shared" si="2"/>
        <v>0</v>
      </c>
    </row>
    <row r="1484" ht="22.5" customHeight="1">
      <c r="P1484" s="19">
        <f t="shared" si="2"/>
        <v>0</v>
      </c>
    </row>
    <row r="1485" ht="22.5" customHeight="1">
      <c r="P1485" s="19">
        <f t="shared" si="2"/>
        <v>0</v>
      </c>
    </row>
    <row r="1486" ht="22.5" customHeight="1">
      <c r="P1486" s="19">
        <f t="shared" si="2"/>
        <v>0</v>
      </c>
    </row>
    <row r="1487" ht="22.5" customHeight="1">
      <c r="P1487" s="19">
        <f t="shared" si="2"/>
        <v>0</v>
      </c>
    </row>
    <row r="1488" ht="22.5" customHeight="1">
      <c r="P1488" s="19">
        <f t="shared" si="2"/>
        <v>0</v>
      </c>
    </row>
    <row r="1489" ht="22.5" customHeight="1">
      <c r="P1489" s="19">
        <f t="shared" si="2"/>
        <v>0</v>
      </c>
    </row>
    <row r="1490" ht="22.5" customHeight="1">
      <c r="P1490" s="19">
        <f t="shared" si="2"/>
        <v>0</v>
      </c>
    </row>
    <row r="1491" ht="22.5" customHeight="1">
      <c r="P1491" s="19">
        <f t="shared" si="2"/>
        <v>0</v>
      </c>
    </row>
    <row r="1492" ht="22.5" customHeight="1">
      <c r="P1492" s="19">
        <f t="shared" si="2"/>
        <v>0</v>
      </c>
    </row>
    <row r="1493" ht="22.5" customHeight="1">
      <c r="P1493" s="19">
        <f t="shared" si="2"/>
        <v>0</v>
      </c>
    </row>
    <row r="1494" ht="22.5" customHeight="1">
      <c r="P1494" s="19">
        <f t="shared" si="2"/>
        <v>0</v>
      </c>
    </row>
    <row r="1495" ht="22.5" customHeight="1">
      <c r="P1495" s="19">
        <f t="shared" si="2"/>
        <v>0</v>
      </c>
    </row>
    <row r="1496" ht="22.5" customHeight="1">
      <c r="P1496" s="19">
        <f t="shared" si="2"/>
        <v>0</v>
      </c>
    </row>
    <row r="1497" ht="22.5" customHeight="1">
      <c r="P1497" s="19">
        <f t="shared" si="2"/>
        <v>0</v>
      </c>
    </row>
    <row r="1498" ht="22.5" customHeight="1">
      <c r="P1498" s="19">
        <f t="shared" si="2"/>
        <v>0</v>
      </c>
    </row>
    <row r="1499" ht="22.5" customHeight="1">
      <c r="P1499" s="19">
        <f t="shared" si="2"/>
        <v>0</v>
      </c>
    </row>
    <row r="1500" ht="22.5" customHeight="1">
      <c r="P1500" s="19">
        <f t="shared" si="2"/>
        <v>0</v>
      </c>
    </row>
    <row r="1501" ht="22.5" customHeight="1">
      <c r="P1501" s="19">
        <f t="shared" si="2"/>
        <v>0</v>
      </c>
    </row>
    <row r="1502" ht="22.5" customHeight="1">
      <c r="P1502" s="19">
        <f t="shared" si="2"/>
        <v>0</v>
      </c>
    </row>
    <row r="1503" ht="22.5" customHeight="1">
      <c r="P1503" s="19">
        <f t="shared" si="2"/>
        <v>0</v>
      </c>
    </row>
    <row r="1504" ht="22.5" customHeight="1">
      <c r="P1504" s="19">
        <f t="shared" si="2"/>
        <v>0</v>
      </c>
    </row>
    <row r="1505" ht="22.5" customHeight="1">
      <c r="P1505" s="19">
        <f t="shared" si="2"/>
        <v>0</v>
      </c>
    </row>
    <row r="1506" ht="22.5" customHeight="1">
      <c r="P1506" s="19">
        <f t="shared" si="2"/>
        <v>0</v>
      </c>
    </row>
    <row r="1507" ht="22.5" customHeight="1">
      <c r="P1507" s="19">
        <f t="shared" si="2"/>
        <v>0</v>
      </c>
    </row>
    <row r="1508" ht="22.5" customHeight="1">
      <c r="P1508" s="19">
        <f t="shared" si="2"/>
        <v>0</v>
      </c>
    </row>
    <row r="1509" ht="22.5" customHeight="1">
      <c r="P1509" s="19">
        <f t="shared" si="2"/>
        <v>0</v>
      </c>
    </row>
    <row r="1510" ht="22.5" customHeight="1">
      <c r="P1510" s="19">
        <f t="shared" si="2"/>
        <v>0</v>
      </c>
    </row>
    <row r="1511" ht="22.5" customHeight="1">
      <c r="P1511" s="19">
        <f t="shared" si="2"/>
        <v>0</v>
      </c>
    </row>
    <row r="1512" ht="22.5" customHeight="1">
      <c r="P1512" s="19">
        <f t="shared" si="2"/>
        <v>0</v>
      </c>
    </row>
    <row r="1513" ht="22.5" customHeight="1">
      <c r="P1513" s="19">
        <f t="shared" si="2"/>
        <v>0</v>
      </c>
    </row>
    <row r="1514" ht="22.5" customHeight="1">
      <c r="P1514" s="19">
        <f t="shared" si="2"/>
        <v>0</v>
      </c>
    </row>
    <row r="1515" ht="22.5" customHeight="1">
      <c r="P1515" s="19">
        <f t="shared" si="2"/>
        <v>0</v>
      </c>
    </row>
    <row r="1516" ht="22.5" customHeight="1">
      <c r="P1516" s="19">
        <f t="shared" si="2"/>
        <v>0</v>
      </c>
    </row>
    <row r="1517" ht="22.5" customHeight="1">
      <c r="P1517" s="19">
        <f t="shared" si="2"/>
        <v>0</v>
      </c>
    </row>
    <row r="1518" ht="22.5" customHeight="1">
      <c r="P1518" s="19">
        <f t="shared" si="2"/>
        <v>0</v>
      </c>
    </row>
    <row r="1519" ht="22.5" customHeight="1">
      <c r="P1519" s="19">
        <f t="shared" si="2"/>
        <v>0</v>
      </c>
    </row>
    <row r="1520" ht="22.5" customHeight="1">
      <c r="P1520" s="19">
        <f t="shared" si="2"/>
        <v>0</v>
      </c>
    </row>
    <row r="1521" ht="22.5" customHeight="1">
      <c r="P1521" s="19">
        <f t="shared" si="2"/>
        <v>0</v>
      </c>
    </row>
    <row r="1522" ht="22.5" customHeight="1">
      <c r="P1522" s="19">
        <f t="shared" si="2"/>
        <v>0</v>
      </c>
    </row>
    <row r="1523" ht="22.5" customHeight="1">
      <c r="P1523" s="19">
        <f t="shared" si="2"/>
        <v>0</v>
      </c>
    </row>
    <row r="1524" ht="22.5" customHeight="1">
      <c r="P1524" s="19">
        <f t="shared" si="2"/>
        <v>0</v>
      </c>
    </row>
    <row r="1525" ht="22.5" customHeight="1">
      <c r="P1525" s="19">
        <f t="shared" si="2"/>
        <v>0</v>
      </c>
    </row>
    <row r="1526" ht="22.5" customHeight="1">
      <c r="P1526" s="19">
        <f t="shared" si="2"/>
        <v>0</v>
      </c>
    </row>
    <row r="1527" ht="22.5" customHeight="1">
      <c r="P1527" s="19">
        <f t="shared" si="2"/>
        <v>0</v>
      </c>
    </row>
    <row r="1528" ht="22.5" customHeight="1">
      <c r="P1528" s="19">
        <f t="shared" si="2"/>
        <v>0</v>
      </c>
    </row>
    <row r="1529" ht="22.5" customHeight="1">
      <c r="P1529" s="19">
        <f t="shared" si="2"/>
        <v>0</v>
      </c>
    </row>
    <row r="1530" ht="22.5" customHeight="1">
      <c r="P1530" s="19">
        <f t="shared" si="2"/>
        <v>0</v>
      </c>
    </row>
    <row r="1531" ht="22.5" customHeight="1">
      <c r="P1531" s="19">
        <f t="shared" si="2"/>
        <v>0</v>
      </c>
    </row>
    <row r="1532" ht="22.5" customHeight="1">
      <c r="P1532" s="19">
        <f t="shared" si="2"/>
        <v>0</v>
      </c>
    </row>
    <row r="1533" ht="22.5" customHeight="1">
      <c r="P1533" s="19">
        <f t="shared" si="2"/>
        <v>0</v>
      </c>
    </row>
    <row r="1534" ht="22.5" customHeight="1">
      <c r="P1534" s="19">
        <f t="shared" si="2"/>
        <v>0</v>
      </c>
    </row>
    <row r="1535" ht="22.5" customHeight="1">
      <c r="P1535" s="19">
        <f t="shared" si="2"/>
        <v>0</v>
      </c>
    </row>
    <row r="1536" ht="22.5" customHeight="1">
      <c r="P1536" s="19">
        <f t="shared" si="2"/>
        <v>0</v>
      </c>
    </row>
    <row r="1537" ht="22.5" customHeight="1">
      <c r="P1537" s="19">
        <f t="shared" si="2"/>
        <v>0</v>
      </c>
    </row>
    <row r="1538" ht="22.5" customHeight="1">
      <c r="P1538" s="19">
        <f t="shared" si="2"/>
        <v>0</v>
      </c>
    </row>
    <row r="1539" ht="22.5" customHeight="1">
      <c r="P1539" s="19">
        <f t="shared" si="2"/>
        <v>0</v>
      </c>
    </row>
    <row r="1540" ht="22.5" customHeight="1">
      <c r="P1540" s="19">
        <f t="shared" si="2"/>
        <v>0</v>
      </c>
    </row>
    <row r="1541" ht="22.5" customHeight="1">
      <c r="P1541" s="19">
        <f t="shared" si="2"/>
        <v>0</v>
      </c>
    </row>
    <row r="1542" ht="22.5" customHeight="1">
      <c r="P1542" s="19">
        <f t="shared" si="2"/>
        <v>0</v>
      </c>
    </row>
    <row r="1543" ht="22.5" customHeight="1">
      <c r="P1543" s="19">
        <f t="shared" si="2"/>
        <v>0</v>
      </c>
    </row>
    <row r="1544" ht="22.5" customHeight="1">
      <c r="P1544" s="19">
        <f t="shared" si="2"/>
        <v>0</v>
      </c>
    </row>
    <row r="1545" ht="22.5" customHeight="1">
      <c r="P1545" s="19">
        <f t="shared" si="2"/>
        <v>0</v>
      </c>
    </row>
    <row r="1546" ht="22.5" customHeight="1">
      <c r="P1546" s="19">
        <f t="shared" si="2"/>
        <v>0</v>
      </c>
    </row>
    <row r="1547" ht="22.5" customHeight="1">
      <c r="P1547" s="19">
        <f t="shared" si="2"/>
        <v>0</v>
      </c>
    </row>
    <row r="1548" ht="22.5" customHeight="1">
      <c r="P1548" s="19">
        <f t="shared" si="2"/>
        <v>0</v>
      </c>
    </row>
    <row r="1549" ht="22.5" customHeight="1">
      <c r="P1549" s="19">
        <f t="shared" si="2"/>
        <v>0</v>
      </c>
    </row>
    <row r="1550" ht="22.5" customHeight="1">
      <c r="P1550" s="19">
        <f t="shared" si="2"/>
        <v>0</v>
      </c>
    </row>
    <row r="1551" ht="22.5" customHeight="1">
      <c r="P1551" s="19">
        <f t="shared" si="2"/>
        <v>0</v>
      </c>
    </row>
    <row r="1552" ht="22.5" customHeight="1">
      <c r="P1552" s="19">
        <f t="shared" si="2"/>
        <v>0</v>
      </c>
    </row>
    <row r="1553" ht="22.5" customHeight="1">
      <c r="P1553" s="19">
        <f t="shared" si="2"/>
        <v>0</v>
      </c>
    </row>
    <row r="1554" ht="22.5" customHeight="1">
      <c r="P1554" s="19">
        <f t="shared" si="2"/>
        <v>0</v>
      </c>
    </row>
    <row r="1555" ht="22.5" customHeight="1">
      <c r="P1555" s="19">
        <f t="shared" si="2"/>
        <v>0</v>
      </c>
    </row>
    <row r="1556" ht="22.5" customHeight="1">
      <c r="P1556" s="19">
        <f t="shared" si="2"/>
        <v>0</v>
      </c>
    </row>
    <row r="1557" ht="22.5" customHeight="1">
      <c r="P1557" s="19">
        <f t="shared" si="2"/>
        <v>0</v>
      </c>
    </row>
    <row r="1558" ht="22.5" customHeight="1">
      <c r="P1558" s="19">
        <f t="shared" si="2"/>
        <v>0</v>
      </c>
    </row>
    <row r="1559" ht="22.5" customHeight="1">
      <c r="P1559" s="19">
        <f t="shared" si="2"/>
        <v>0</v>
      </c>
    </row>
    <row r="1560" ht="22.5" customHeight="1">
      <c r="P1560" s="19">
        <f t="shared" si="2"/>
        <v>0</v>
      </c>
    </row>
    <row r="1561" ht="22.5" customHeight="1">
      <c r="P1561" s="19">
        <f t="shared" si="2"/>
        <v>0</v>
      </c>
    </row>
    <row r="1562" ht="22.5" customHeight="1">
      <c r="P1562" s="19">
        <f t="shared" si="2"/>
        <v>0</v>
      </c>
    </row>
    <row r="1563" ht="22.5" customHeight="1">
      <c r="P1563" s="19">
        <f t="shared" si="2"/>
        <v>0</v>
      </c>
    </row>
    <row r="1564" ht="22.5" customHeight="1">
      <c r="P1564" s="19">
        <f t="shared" si="2"/>
        <v>0</v>
      </c>
    </row>
    <row r="1565" ht="22.5" customHeight="1">
      <c r="P1565" s="19">
        <f t="shared" si="2"/>
        <v>0</v>
      </c>
    </row>
    <row r="1566" ht="22.5" customHeight="1">
      <c r="P1566" s="19">
        <f t="shared" si="2"/>
        <v>0</v>
      </c>
    </row>
    <row r="1567" ht="22.5" customHeight="1">
      <c r="P1567" s="19">
        <f t="shared" si="2"/>
        <v>0</v>
      </c>
    </row>
    <row r="1568" ht="22.5" customHeight="1">
      <c r="P1568" s="19">
        <f t="shared" si="2"/>
        <v>0</v>
      </c>
    </row>
    <row r="1569" ht="22.5" customHeight="1">
      <c r="P1569" s="19">
        <f t="shared" si="2"/>
        <v>0</v>
      </c>
    </row>
    <row r="1570" ht="22.5" customHeight="1">
      <c r="P1570" s="19">
        <f t="shared" si="2"/>
        <v>0</v>
      </c>
    </row>
    <row r="1571" ht="22.5" customHeight="1">
      <c r="P1571" s="19">
        <f t="shared" si="2"/>
        <v>0</v>
      </c>
    </row>
    <row r="1572" ht="22.5" customHeight="1">
      <c r="P1572" s="19">
        <f t="shared" si="2"/>
        <v>0</v>
      </c>
    </row>
    <row r="1573" ht="22.5" customHeight="1">
      <c r="P1573" s="19">
        <f t="shared" si="2"/>
        <v>0</v>
      </c>
    </row>
    <row r="1574" ht="22.5" customHeight="1">
      <c r="P1574" s="19">
        <f t="shared" si="2"/>
        <v>0</v>
      </c>
    </row>
    <row r="1575" ht="22.5" customHeight="1">
      <c r="P1575" s="19">
        <f t="shared" si="2"/>
        <v>0</v>
      </c>
    </row>
    <row r="1576" ht="22.5" customHeight="1">
      <c r="P1576" s="19">
        <f t="shared" si="2"/>
        <v>0</v>
      </c>
    </row>
    <row r="1577" ht="22.5" customHeight="1">
      <c r="P1577" s="19">
        <f t="shared" si="2"/>
        <v>0</v>
      </c>
    </row>
    <row r="1578" ht="22.5" customHeight="1">
      <c r="P1578" s="19">
        <f t="shared" si="2"/>
        <v>0</v>
      </c>
    </row>
    <row r="1579" ht="22.5" customHeight="1">
      <c r="P1579" s="19">
        <f t="shared" si="2"/>
        <v>0</v>
      </c>
    </row>
    <row r="1580" ht="22.5" customHeight="1">
      <c r="P1580" s="19">
        <f t="shared" si="2"/>
        <v>0</v>
      </c>
    </row>
    <row r="1581" ht="22.5" customHeight="1">
      <c r="P1581" s="19">
        <f t="shared" si="2"/>
        <v>0</v>
      </c>
    </row>
    <row r="1582" ht="22.5" customHeight="1">
      <c r="P1582" s="19">
        <f t="shared" si="2"/>
        <v>0</v>
      </c>
    </row>
    <row r="1583" ht="22.5" customHeight="1">
      <c r="P1583" s="19">
        <f t="shared" si="2"/>
        <v>0</v>
      </c>
    </row>
    <row r="1584" ht="22.5" customHeight="1">
      <c r="P1584" s="19">
        <f t="shared" si="2"/>
        <v>0</v>
      </c>
    </row>
    <row r="1585" ht="22.5" customHeight="1">
      <c r="P1585" s="19">
        <f t="shared" si="2"/>
        <v>0</v>
      </c>
    </row>
    <row r="1586" ht="22.5" customHeight="1">
      <c r="P1586" s="19">
        <f t="shared" si="2"/>
        <v>0</v>
      </c>
    </row>
    <row r="1587" ht="22.5" customHeight="1">
      <c r="P1587" s="19">
        <f t="shared" si="2"/>
        <v>0</v>
      </c>
    </row>
    <row r="1588" ht="22.5" customHeight="1">
      <c r="P1588" s="19">
        <f t="shared" si="2"/>
        <v>0</v>
      </c>
    </row>
    <row r="1589" ht="22.5" customHeight="1">
      <c r="P1589" s="19">
        <f t="shared" si="2"/>
        <v>0</v>
      </c>
    </row>
    <row r="1590" ht="22.5" customHeight="1">
      <c r="P1590" s="19">
        <f t="shared" si="2"/>
        <v>0</v>
      </c>
    </row>
    <row r="1591" ht="22.5" customHeight="1">
      <c r="P1591" s="19">
        <f t="shared" si="2"/>
        <v>0</v>
      </c>
    </row>
    <row r="1592" ht="22.5" customHeight="1">
      <c r="P1592" s="19">
        <f t="shared" si="2"/>
        <v>0</v>
      </c>
    </row>
    <row r="1593" ht="22.5" customHeight="1">
      <c r="P1593" s="19">
        <f t="shared" si="2"/>
        <v>0</v>
      </c>
    </row>
    <row r="1594" ht="22.5" customHeight="1">
      <c r="P1594" s="19">
        <f t="shared" si="2"/>
        <v>0</v>
      </c>
    </row>
    <row r="1595" ht="22.5" customHeight="1">
      <c r="P1595" s="19">
        <f t="shared" si="2"/>
        <v>0</v>
      </c>
    </row>
    <row r="1596" ht="22.5" customHeight="1">
      <c r="P1596" s="19">
        <f t="shared" si="2"/>
        <v>0</v>
      </c>
    </row>
    <row r="1597" ht="22.5" customHeight="1">
      <c r="P1597" s="19">
        <f t="shared" si="2"/>
        <v>0</v>
      </c>
    </row>
    <row r="1598" ht="22.5" customHeight="1">
      <c r="P1598" s="19">
        <f t="shared" si="2"/>
        <v>0</v>
      </c>
    </row>
    <row r="1599" ht="22.5" customHeight="1">
      <c r="P1599" s="19">
        <f t="shared" si="2"/>
        <v>0</v>
      </c>
    </row>
    <row r="1600" ht="22.5" customHeight="1">
      <c r="P1600" s="19">
        <f t="shared" si="2"/>
        <v>0</v>
      </c>
    </row>
    <row r="1601" ht="22.5" customHeight="1">
      <c r="P1601" s="19">
        <f t="shared" si="2"/>
        <v>0</v>
      </c>
    </row>
    <row r="1602" ht="22.5" customHeight="1">
      <c r="P1602" s="19">
        <f t="shared" si="2"/>
        <v>0</v>
      </c>
    </row>
    <row r="1603" ht="22.5" customHeight="1">
      <c r="P1603" s="19">
        <f t="shared" si="2"/>
        <v>0</v>
      </c>
    </row>
    <row r="1604" ht="22.5" customHeight="1">
      <c r="P1604" s="19">
        <f t="shared" si="2"/>
        <v>0</v>
      </c>
    </row>
    <row r="1605" ht="22.5" customHeight="1">
      <c r="P1605" s="19">
        <f t="shared" si="2"/>
        <v>0</v>
      </c>
    </row>
    <row r="1606" ht="22.5" customHeight="1">
      <c r="P1606" s="19">
        <f t="shared" si="2"/>
        <v>0</v>
      </c>
    </row>
    <row r="1607" ht="22.5" customHeight="1">
      <c r="P1607" s="19">
        <f t="shared" si="2"/>
        <v>0</v>
      </c>
    </row>
    <row r="1608" ht="22.5" customHeight="1">
      <c r="P1608" s="19">
        <f t="shared" si="2"/>
        <v>0</v>
      </c>
    </row>
    <row r="1609" ht="22.5" customHeight="1">
      <c r="P1609" s="19">
        <f t="shared" si="2"/>
        <v>0</v>
      </c>
    </row>
    <row r="1610" ht="22.5" customHeight="1">
      <c r="P1610" s="19">
        <f t="shared" si="2"/>
        <v>0</v>
      </c>
    </row>
    <row r="1611" ht="22.5" customHeight="1">
      <c r="P1611" s="19">
        <f t="shared" si="2"/>
        <v>0</v>
      </c>
    </row>
    <row r="1612" ht="22.5" customHeight="1">
      <c r="P1612" s="19">
        <f t="shared" si="2"/>
        <v>0</v>
      </c>
    </row>
    <row r="1613" ht="22.5" customHeight="1">
      <c r="P1613" s="19">
        <f t="shared" si="2"/>
        <v>0</v>
      </c>
    </row>
    <row r="1614" ht="22.5" customHeight="1">
      <c r="P1614" s="19">
        <f t="shared" si="2"/>
        <v>0</v>
      </c>
    </row>
    <row r="1615" ht="22.5" customHeight="1">
      <c r="P1615" s="19">
        <f t="shared" si="2"/>
        <v>0</v>
      </c>
    </row>
    <row r="1616" ht="22.5" customHeight="1">
      <c r="P1616" s="19">
        <f t="shared" si="2"/>
        <v>0</v>
      </c>
    </row>
    <row r="1617" ht="22.5" customHeight="1">
      <c r="P1617" s="19">
        <f t="shared" si="2"/>
        <v>0</v>
      </c>
    </row>
    <row r="1618" ht="22.5" customHeight="1">
      <c r="P1618" s="19">
        <f t="shared" si="2"/>
        <v>0</v>
      </c>
    </row>
    <row r="1619" ht="22.5" customHeight="1">
      <c r="P1619" s="19">
        <f t="shared" si="2"/>
        <v>0</v>
      </c>
    </row>
    <row r="1620" ht="22.5" customHeight="1">
      <c r="P1620" s="19">
        <f t="shared" si="2"/>
        <v>0</v>
      </c>
    </row>
    <row r="1621" ht="22.5" customHeight="1">
      <c r="P1621" s="19">
        <f t="shared" si="2"/>
        <v>0</v>
      </c>
    </row>
    <row r="1622" ht="22.5" customHeight="1">
      <c r="P1622" s="19">
        <f t="shared" si="2"/>
        <v>0</v>
      </c>
    </row>
    <row r="1623" ht="22.5" customHeight="1">
      <c r="P1623" s="19">
        <f t="shared" si="2"/>
        <v>0</v>
      </c>
    </row>
    <row r="1624" ht="22.5" customHeight="1">
      <c r="P1624" s="19">
        <f t="shared" si="2"/>
        <v>0</v>
      </c>
    </row>
    <row r="1625" ht="22.5" customHeight="1">
      <c r="P1625" s="19">
        <f t="shared" si="2"/>
        <v>0</v>
      </c>
    </row>
    <row r="1626" ht="22.5" customHeight="1">
      <c r="P1626" s="19">
        <f t="shared" si="2"/>
        <v>0</v>
      </c>
    </row>
    <row r="1627" ht="22.5" customHeight="1">
      <c r="P1627" s="19">
        <f t="shared" si="2"/>
        <v>0</v>
      </c>
    </row>
    <row r="1628" ht="22.5" customHeight="1">
      <c r="P1628" s="19">
        <f t="shared" si="2"/>
        <v>0</v>
      </c>
    </row>
    <row r="1629" ht="22.5" customHeight="1">
      <c r="P1629" s="19">
        <f t="shared" si="2"/>
        <v>0</v>
      </c>
    </row>
    <row r="1630" ht="22.5" customHeight="1">
      <c r="P1630" s="19">
        <f t="shared" si="2"/>
        <v>0</v>
      </c>
    </row>
    <row r="1631" ht="22.5" customHeight="1">
      <c r="P1631" s="19">
        <f t="shared" si="2"/>
        <v>0</v>
      </c>
    </row>
    <row r="1632" ht="22.5" customHeight="1">
      <c r="P1632" s="19">
        <f t="shared" si="2"/>
        <v>0</v>
      </c>
    </row>
    <row r="1633" ht="22.5" customHeight="1">
      <c r="P1633" s="19">
        <f t="shared" si="2"/>
        <v>0</v>
      </c>
    </row>
    <row r="1634" ht="22.5" customHeight="1">
      <c r="P1634" s="19">
        <f t="shared" si="2"/>
        <v>0</v>
      </c>
    </row>
    <row r="1635" ht="22.5" customHeight="1">
      <c r="P1635" s="19">
        <f t="shared" si="2"/>
        <v>0</v>
      </c>
    </row>
    <row r="1636" ht="22.5" customHeight="1">
      <c r="P1636" s="19">
        <f t="shared" si="2"/>
        <v>0</v>
      </c>
    </row>
    <row r="1637" ht="22.5" customHeight="1">
      <c r="P1637" s="19">
        <f t="shared" si="2"/>
        <v>0</v>
      </c>
    </row>
    <row r="1638" ht="22.5" customHeight="1">
      <c r="P1638" s="19">
        <f t="shared" si="2"/>
        <v>0</v>
      </c>
    </row>
    <row r="1639" ht="22.5" customHeight="1">
      <c r="P1639" s="19">
        <f t="shared" si="2"/>
        <v>0</v>
      </c>
    </row>
    <row r="1640" ht="22.5" customHeight="1">
      <c r="P1640" s="19">
        <f t="shared" si="2"/>
        <v>0</v>
      </c>
    </row>
    <row r="1641" ht="22.5" customHeight="1">
      <c r="P1641" s="19">
        <f t="shared" si="2"/>
        <v>0</v>
      </c>
    </row>
    <row r="1642" ht="22.5" customHeight="1">
      <c r="P1642" s="19">
        <f t="shared" si="2"/>
        <v>0</v>
      </c>
    </row>
    <row r="1643" ht="22.5" customHeight="1">
      <c r="P1643" s="19">
        <f t="shared" si="2"/>
        <v>0</v>
      </c>
    </row>
    <row r="1644" ht="22.5" customHeight="1">
      <c r="P1644" s="19">
        <f t="shared" si="2"/>
        <v>0</v>
      </c>
    </row>
    <row r="1645" ht="22.5" customHeight="1">
      <c r="P1645" s="19">
        <f t="shared" si="2"/>
        <v>0</v>
      </c>
    </row>
    <row r="1646" ht="22.5" customHeight="1">
      <c r="P1646" s="19">
        <f t="shared" si="2"/>
        <v>0</v>
      </c>
    </row>
    <row r="1647" ht="22.5" customHeight="1">
      <c r="P1647" s="19">
        <f t="shared" si="2"/>
        <v>0</v>
      </c>
    </row>
    <row r="1648" ht="22.5" customHeight="1">
      <c r="P1648" s="19">
        <f t="shared" si="2"/>
        <v>0</v>
      </c>
    </row>
    <row r="1649" ht="22.5" customHeight="1">
      <c r="P1649" s="19">
        <f t="shared" si="2"/>
        <v>0</v>
      </c>
    </row>
    <row r="1650" ht="22.5" customHeight="1">
      <c r="P1650" s="19">
        <f t="shared" si="2"/>
        <v>0</v>
      </c>
    </row>
    <row r="1651" ht="22.5" customHeight="1">
      <c r="P1651" s="19">
        <f t="shared" si="2"/>
        <v>0</v>
      </c>
    </row>
    <row r="1652" ht="22.5" customHeight="1">
      <c r="P1652" s="19">
        <f t="shared" si="2"/>
        <v>0</v>
      </c>
    </row>
    <row r="1653" ht="22.5" customHeight="1">
      <c r="P1653" s="19">
        <f t="shared" si="2"/>
        <v>0</v>
      </c>
    </row>
    <row r="1654" ht="22.5" customHeight="1">
      <c r="P1654" s="19">
        <f t="shared" si="2"/>
        <v>0</v>
      </c>
    </row>
    <row r="1655" ht="22.5" customHeight="1">
      <c r="P1655" s="19">
        <f t="shared" si="2"/>
        <v>0</v>
      </c>
    </row>
    <row r="1656" ht="22.5" customHeight="1">
      <c r="P1656" s="19">
        <f t="shared" si="2"/>
        <v>0</v>
      </c>
    </row>
    <row r="1657" ht="22.5" customHeight="1">
      <c r="P1657" s="19">
        <f t="shared" si="2"/>
        <v>0</v>
      </c>
    </row>
    <row r="1658" ht="22.5" customHeight="1">
      <c r="P1658" s="19">
        <f t="shared" si="2"/>
        <v>0</v>
      </c>
    </row>
    <row r="1659" ht="22.5" customHeight="1">
      <c r="P1659" s="19">
        <f t="shared" si="2"/>
        <v>0</v>
      </c>
    </row>
    <row r="1660" ht="22.5" customHeight="1">
      <c r="P1660" s="19">
        <f t="shared" si="2"/>
        <v>0</v>
      </c>
    </row>
    <row r="1661" ht="22.5" customHeight="1">
      <c r="P1661" s="19">
        <f t="shared" si="2"/>
        <v>0</v>
      </c>
    </row>
    <row r="1662" ht="22.5" customHeight="1">
      <c r="P1662" s="19">
        <f t="shared" si="2"/>
        <v>0</v>
      </c>
    </row>
    <row r="1663" ht="22.5" customHeight="1">
      <c r="P1663" s="19">
        <f t="shared" si="2"/>
        <v>0</v>
      </c>
    </row>
    <row r="1664" ht="22.5" customHeight="1">
      <c r="P1664" s="19">
        <f t="shared" si="2"/>
        <v>0</v>
      </c>
    </row>
    <row r="1665" ht="22.5" customHeight="1">
      <c r="P1665" s="19">
        <f t="shared" si="2"/>
        <v>0</v>
      </c>
    </row>
    <row r="1666" ht="22.5" customHeight="1">
      <c r="P1666" s="19">
        <f t="shared" si="2"/>
        <v>0</v>
      </c>
    </row>
    <row r="1667" ht="22.5" customHeight="1">
      <c r="P1667" s="19">
        <f t="shared" si="2"/>
        <v>0</v>
      </c>
    </row>
    <row r="1668" ht="22.5" customHeight="1">
      <c r="P1668" s="19">
        <f t="shared" si="2"/>
        <v>0</v>
      </c>
    </row>
    <row r="1669" ht="22.5" customHeight="1">
      <c r="P1669" s="19">
        <f t="shared" si="2"/>
        <v>0</v>
      </c>
    </row>
    <row r="1670" ht="22.5" customHeight="1">
      <c r="P1670" s="19">
        <f t="shared" si="2"/>
        <v>0</v>
      </c>
    </row>
    <row r="1671" ht="22.5" customHeight="1">
      <c r="P1671" s="19">
        <f t="shared" si="2"/>
        <v>0</v>
      </c>
    </row>
    <row r="1672" ht="22.5" customHeight="1">
      <c r="P1672" s="19">
        <f t="shared" si="2"/>
        <v>0</v>
      </c>
    </row>
    <row r="1673" ht="22.5" customHeight="1">
      <c r="P1673" s="19">
        <f t="shared" si="2"/>
        <v>0</v>
      </c>
    </row>
    <row r="1674" ht="22.5" customHeight="1">
      <c r="P1674" s="19">
        <f t="shared" si="2"/>
        <v>0</v>
      </c>
    </row>
    <row r="1675" ht="22.5" customHeight="1">
      <c r="P1675" s="19">
        <f t="shared" si="2"/>
        <v>0</v>
      </c>
    </row>
    <row r="1676" ht="22.5" customHeight="1">
      <c r="P1676" s="19">
        <f t="shared" si="2"/>
        <v>0</v>
      </c>
    </row>
    <row r="1677" ht="22.5" customHeight="1">
      <c r="P1677" s="19">
        <f t="shared" si="2"/>
        <v>0</v>
      </c>
    </row>
    <row r="1678" ht="22.5" customHeight="1">
      <c r="P1678" s="19">
        <f t="shared" si="2"/>
        <v>0</v>
      </c>
    </row>
    <row r="1679" ht="22.5" customHeight="1">
      <c r="P1679" s="19">
        <f t="shared" si="2"/>
        <v>0</v>
      </c>
    </row>
    <row r="1680" ht="22.5" customHeight="1">
      <c r="P1680" s="19">
        <f t="shared" si="2"/>
        <v>0</v>
      </c>
    </row>
    <row r="1681" ht="22.5" customHeight="1">
      <c r="P1681" s="19">
        <f t="shared" si="2"/>
        <v>0</v>
      </c>
    </row>
    <row r="1682" ht="22.5" customHeight="1">
      <c r="P1682" s="19">
        <f t="shared" si="2"/>
        <v>0</v>
      </c>
    </row>
    <row r="1683" ht="22.5" customHeight="1">
      <c r="P1683" s="19">
        <f t="shared" si="2"/>
        <v>0</v>
      </c>
    </row>
    <row r="1684" ht="22.5" customHeight="1">
      <c r="P1684" s="19">
        <f t="shared" si="2"/>
        <v>0</v>
      </c>
    </row>
    <row r="1685" ht="22.5" customHeight="1">
      <c r="P1685" s="19">
        <f t="shared" si="2"/>
        <v>0</v>
      </c>
    </row>
    <row r="1686" ht="22.5" customHeight="1">
      <c r="P1686" s="19">
        <f t="shared" si="2"/>
        <v>0</v>
      </c>
    </row>
    <row r="1687" ht="22.5" customHeight="1">
      <c r="P1687" s="19">
        <f t="shared" si="2"/>
        <v>0</v>
      </c>
    </row>
    <row r="1688" ht="22.5" customHeight="1">
      <c r="P1688" s="19">
        <f t="shared" si="2"/>
        <v>0</v>
      </c>
    </row>
    <row r="1689" ht="22.5" customHeight="1">
      <c r="P1689" s="19">
        <f t="shared" si="2"/>
        <v>0</v>
      </c>
    </row>
    <row r="1690" ht="22.5" customHeight="1">
      <c r="P1690" s="19">
        <f t="shared" si="2"/>
        <v>0</v>
      </c>
    </row>
    <row r="1691" ht="22.5" customHeight="1">
      <c r="P1691" s="19">
        <f t="shared" si="2"/>
        <v>0</v>
      </c>
    </row>
    <row r="1692" ht="22.5" customHeight="1">
      <c r="P1692" s="19">
        <f t="shared" si="2"/>
        <v>0</v>
      </c>
    </row>
    <row r="1693" ht="22.5" customHeight="1">
      <c r="P1693" s="19">
        <f t="shared" si="2"/>
        <v>0</v>
      </c>
    </row>
    <row r="1694" ht="22.5" customHeight="1">
      <c r="P1694" s="19">
        <f t="shared" si="2"/>
        <v>0</v>
      </c>
    </row>
    <row r="1695" ht="22.5" customHeight="1">
      <c r="P1695" s="19">
        <f t="shared" si="2"/>
        <v>0</v>
      </c>
    </row>
    <row r="1696" ht="22.5" customHeight="1">
      <c r="P1696" s="19">
        <f t="shared" si="2"/>
        <v>0</v>
      </c>
    </row>
    <row r="1697" ht="22.5" customHeight="1">
      <c r="P1697" s="19">
        <f t="shared" si="2"/>
        <v>0</v>
      </c>
    </row>
    <row r="1698" ht="22.5" customHeight="1">
      <c r="P1698" s="19">
        <f t="shared" si="2"/>
        <v>0</v>
      </c>
    </row>
    <row r="1699" ht="22.5" customHeight="1">
      <c r="P1699" s="19">
        <f t="shared" si="2"/>
        <v>0</v>
      </c>
    </row>
    <row r="1700" ht="22.5" customHeight="1">
      <c r="P1700" s="19">
        <f t="shared" si="2"/>
        <v>0</v>
      </c>
    </row>
    <row r="1701" ht="22.5" customHeight="1">
      <c r="P1701" s="19">
        <f t="shared" si="2"/>
        <v>0</v>
      </c>
    </row>
    <row r="1702" ht="22.5" customHeight="1">
      <c r="P1702" s="19">
        <f t="shared" si="2"/>
        <v>0</v>
      </c>
    </row>
    <row r="1703" ht="22.5" customHeight="1">
      <c r="P1703" s="19">
        <f t="shared" si="2"/>
        <v>0</v>
      </c>
    </row>
    <row r="1704" ht="22.5" customHeight="1">
      <c r="P1704" s="19">
        <f t="shared" si="2"/>
        <v>0</v>
      </c>
    </row>
    <row r="1705" ht="22.5" customHeight="1">
      <c r="P1705" s="19">
        <f t="shared" si="2"/>
        <v>0</v>
      </c>
    </row>
    <row r="1706" ht="22.5" customHeight="1">
      <c r="P1706" s="19">
        <f t="shared" si="2"/>
        <v>0</v>
      </c>
    </row>
    <row r="1707" ht="22.5" customHeight="1">
      <c r="P1707" s="19">
        <f t="shared" si="2"/>
        <v>0</v>
      </c>
    </row>
    <row r="1708" ht="22.5" customHeight="1">
      <c r="P1708" s="19">
        <f t="shared" si="2"/>
        <v>0</v>
      </c>
    </row>
    <row r="1709" ht="22.5" customHeight="1">
      <c r="P1709" s="19">
        <f t="shared" si="2"/>
        <v>0</v>
      </c>
    </row>
    <row r="1710" ht="22.5" customHeight="1">
      <c r="P1710" s="19">
        <f t="shared" si="2"/>
        <v>0</v>
      </c>
    </row>
    <row r="1711" ht="22.5" customHeight="1">
      <c r="P1711" s="19">
        <f t="shared" si="2"/>
        <v>0</v>
      </c>
    </row>
    <row r="1712" ht="22.5" customHeight="1">
      <c r="P1712" s="19">
        <f t="shared" si="2"/>
        <v>0</v>
      </c>
    </row>
    <row r="1713" ht="22.5" customHeight="1">
      <c r="P1713" s="19">
        <f t="shared" si="2"/>
        <v>0</v>
      </c>
    </row>
    <row r="1714" ht="22.5" customHeight="1">
      <c r="P1714" s="19">
        <f t="shared" si="2"/>
        <v>0</v>
      </c>
    </row>
    <row r="1715" ht="22.5" customHeight="1">
      <c r="P1715" s="19">
        <f t="shared" si="2"/>
        <v>0</v>
      </c>
    </row>
    <row r="1716" ht="22.5" customHeight="1">
      <c r="P1716" s="19">
        <f t="shared" si="2"/>
        <v>0</v>
      </c>
    </row>
    <row r="1717" ht="22.5" customHeight="1">
      <c r="P1717" s="19">
        <f t="shared" si="2"/>
        <v>0</v>
      </c>
    </row>
    <row r="1718" ht="22.5" customHeight="1">
      <c r="P1718" s="19">
        <f t="shared" si="2"/>
        <v>0</v>
      </c>
    </row>
    <row r="1719" ht="22.5" customHeight="1">
      <c r="P1719" s="19">
        <f t="shared" si="2"/>
        <v>0</v>
      </c>
    </row>
    <row r="1720" ht="22.5" customHeight="1">
      <c r="P1720" s="19">
        <f t="shared" si="2"/>
        <v>0</v>
      </c>
    </row>
    <row r="1721" ht="22.5" customHeight="1">
      <c r="P1721" s="19">
        <f t="shared" si="2"/>
        <v>0</v>
      </c>
    </row>
    <row r="1722" ht="22.5" customHeight="1">
      <c r="P1722" s="19">
        <f t="shared" si="2"/>
        <v>0</v>
      </c>
    </row>
    <row r="1723" ht="22.5" customHeight="1">
      <c r="P1723" s="19">
        <f t="shared" si="2"/>
        <v>0</v>
      </c>
    </row>
    <row r="1724" ht="22.5" customHeight="1">
      <c r="P1724" s="19">
        <f t="shared" si="2"/>
        <v>0</v>
      </c>
    </row>
    <row r="1725" ht="22.5" customHeight="1">
      <c r="P1725" s="19">
        <f t="shared" si="2"/>
        <v>0</v>
      </c>
    </row>
    <row r="1726" ht="22.5" customHeight="1">
      <c r="P1726" s="19">
        <f t="shared" si="2"/>
        <v>0</v>
      </c>
    </row>
    <row r="1727" ht="22.5" customHeight="1">
      <c r="P1727" s="19">
        <f t="shared" si="2"/>
        <v>0</v>
      </c>
    </row>
    <row r="1728" ht="22.5" customHeight="1">
      <c r="P1728" s="19">
        <f t="shared" si="2"/>
        <v>0</v>
      </c>
    </row>
    <row r="1729" ht="22.5" customHeight="1">
      <c r="P1729" s="19">
        <f t="shared" si="2"/>
        <v>0</v>
      </c>
    </row>
    <row r="1730" ht="22.5" customHeight="1">
      <c r="P1730" s="19">
        <f t="shared" si="2"/>
        <v>0</v>
      </c>
    </row>
    <row r="1731" ht="22.5" customHeight="1">
      <c r="P1731" s="19">
        <f t="shared" si="2"/>
        <v>0</v>
      </c>
    </row>
    <row r="1732" ht="22.5" customHeight="1">
      <c r="P1732" s="19">
        <f t="shared" si="2"/>
        <v>0</v>
      </c>
    </row>
    <row r="1733" ht="22.5" customHeight="1">
      <c r="P1733" s="19">
        <f t="shared" si="2"/>
        <v>0</v>
      </c>
    </row>
    <row r="1734" ht="22.5" customHeight="1">
      <c r="P1734" s="19">
        <f t="shared" si="2"/>
        <v>0</v>
      </c>
    </row>
    <row r="1735" ht="22.5" customHeight="1">
      <c r="P1735" s="19">
        <f t="shared" si="2"/>
        <v>0</v>
      </c>
    </row>
    <row r="1736" ht="22.5" customHeight="1">
      <c r="P1736" s="19">
        <f t="shared" si="2"/>
        <v>0</v>
      </c>
    </row>
    <row r="1737" ht="22.5" customHeight="1">
      <c r="P1737" s="19">
        <f t="shared" si="2"/>
        <v>0</v>
      </c>
    </row>
    <row r="1738" ht="22.5" customHeight="1">
      <c r="P1738" s="19">
        <f t="shared" si="2"/>
        <v>0</v>
      </c>
    </row>
    <row r="1739" ht="22.5" customHeight="1">
      <c r="P1739" s="19">
        <f t="shared" si="2"/>
        <v>0</v>
      </c>
    </row>
    <row r="1740" ht="22.5" customHeight="1">
      <c r="P1740" s="19">
        <f t="shared" si="2"/>
        <v>0</v>
      </c>
    </row>
    <row r="1741" ht="22.5" customHeight="1">
      <c r="P1741" s="19">
        <f t="shared" si="2"/>
        <v>0</v>
      </c>
    </row>
    <row r="1742" ht="22.5" customHeight="1">
      <c r="P1742" s="19">
        <f t="shared" si="2"/>
        <v>0</v>
      </c>
    </row>
    <row r="1743" ht="22.5" customHeight="1">
      <c r="P1743" s="19">
        <f t="shared" si="2"/>
        <v>0</v>
      </c>
    </row>
    <row r="1744" ht="22.5" customHeight="1">
      <c r="P1744" s="19">
        <f t="shared" si="2"/>
        <v>0</v>
      </c>
    </row>
    <row r="1745" ht="22.5" customHeight="1">
      <c r="P1745" s="19">
        <f t="shared" si="2"/>
        <v>0</v>
      </c>
    </row>
    <row r="1746" ht="22.5" customHeight="1">
      <c r="P1746" s="19">
        <f t="shared" si="2"/>
        <v>0</v>
      </c>
    </row>
    <row r="1747" ht="22.5" customHeight="1">
      <c r="P1747" s="19">
        <f t="shared" si="2"/>
        <v>0</v>
      </c>
    </row>
    <row r="1748" ht="22.5" customHeight="1">
      <c r="P1748" s="19">
        <f t="shared" si="2"/>
        <v>0</v>
      </c>
    </row>
    <row r="1749" ht="22.5" customHeight="1">
      <c r="P1749" s="19">
        <f t="shared" si="2"/>
        <v>0</v>
      </c>
    </row>
    <row r="1750" ht="22.5" customHeight="1">
      <c r="P1750" s="19">
        <f t="shared" si="2"/>
        <v>0</v>
      </c>
    </row>
    <row r="1751" ht="22.5" customHeight="1">
      <c r="P1751" s="19">
        <f t="shared" si="2"/>
        <v>0</v>
      </c>
    </row>
    <row r="1752" ht="22.5" customHeight="1">
      <c r="P1752" s="19">
        <f t="shared" si="2"/>
        <v>0</v>
      </c>
    </row>
    <row r="1753" ht="22.5" customHeight="1">
      <c r="P1753" s="19">
        <f t="shared" si="2"/>
        <v>0</v>
      </c>
    </row>
    <row r="1754" ht="22.5" customHeight="1">
      <c r="P1754" s="19">
        <f t="shared" si="2"/>
        <v>0</v>
      </c>
    </row>
    <row r="1755" ht="22.5" customHeight="1">
      <c r="P1755" s="19">
        <f t="shared" si="2"/>
        <v>0</v>
      </c>
    </row>
    <row r="1756" ht="22.5" customHeight="1">
      <c r="P1756" s="19">
        <f t="shared" si="2"/>
        <v>0</v>
      </c>
    </row>
    <row r="1757" ht="22.5" customHeight="1">
      <c r="P1757" s="19">
        <f t="shared" si="2"/>
        <v>0</v>
      </c>
    </row>
    <row r="1758" ht="22.5" customHeight="1">
      <c r="P1758" s="19">
        <f t="shared" si="2"/>
        <v>0</v>
      </c>
    </row>
    <row r="1759" ht="22.5" customHeight="1">
      <c r="P1759" s="19">
        <f t="shared" si="2"/>
        <v>0</v>
      </c>
    </row>
    <row r="1760" ht="22.5" customHeight="1">
      <c r="P1760" s="19">
        <f t="shared" si="2"/>
        <v>0</v>
      </c>
    </row>
    <row r="1761" ht="22.5" customHeight="1">
      <c r="P1761" s="19">
        <f t="shared" si="2"/>
        <v>0</v>
      </c>
    </row>
    <row r="1762" ht="22.5" customHeight="1">
      <c r="P1762" s="19">
        <f t="shared" si="2"/>
        <v>0</v>
      </c>
    </row>
    <row r="1763" ht="22.5" customHeight="1">
      <c r="P1763" s="19">
        <f t="shared" si="2"/>
        <v>0</v>
      </c>
    </row>
    <row r="1764" ht="22.5" customHeight="1">
      <c r="P1764" s="19">
        <f t="shared" si="2"/>
        <v>0</v>
      </c>
    </row>
    <row r="1765" ht="22.5" customHeight="1">
      <c r="P1765" s="19">
        <f t="shared" si="2"/>
        <v>0</v>
      </c>
    </row>
    <row r="1766" ht="22.5" customHeight="1">
      <c r="P1766" s="19">
        <f t="shared" si="2"/>
        <v>0</v>
      </c>
    </row>
    <row r="1767" ht="22.5" customHeight="1">
      <c r="P1767" s="19">
        <f t="shared" si="2"/>
        <v>0</v>
      </c>
    </row>
    <row r="1768" ht="22.5" customHeight="1">
      <c r="P1768" s="19">
        <f t="shared" si="2"/>
        <v>0</v>
      </c>
    </row>
    <row r="1769" ht="22.5" customHeight="1">
      <c r="P1769" s="19">
        <f t="shared" si="2"/>
        <v>0</v>
      </c>
    </row>
    <row r="1770" ht="22.5" customHeight="1">
      <c r="P1770" s="19">
        <f t="shared" si="2"/>
        <v>0</v>
      </c>
    </row>
    <row r="1771" ht="22.5" customHeight="1">
      <c r="P1771" s="19">
        <f t="shared" si="2"/>
        <v>0</v>
      </c>
    </row>
    <row r="1772" ht="22.5" customHeight="1">
      <c r="P1772" s="19">
        <f t="shared" si="2"/>
        <v>0</v>
      </c>
    </row>
    <row r="1773" ht="22.5" customHeight="1">
      <c r="P1773" s="19">
        <f t="shared" si="2"/>
        <v>0</v>
      </c>
    </row>
    <row r="1774" ht="22.5" customHeight="1">
      <c r="P1774" s="19">
        <f t="shared" si="2"/>
        <v>0</v>
      </c>
    </row>
    <row r="1775" ht="22.5" customHeight="1">
      <c r="P1775" s="19">
        <f t="shared" si="2"/>
        <v>0</v>
      </c>
    </row>
    <row r="1776" ht="22.5" customHeight="1">
      <c r="P1776" s="19">
        <f t="shared" si="2"/>
        <v>0</v>
      </c>
    </row>
    <row r="1777" ht="22.5" customHeight="1">
      <c r="P1777" s="19">
        <f t="shared" si="2"/>
        <v>0</v>
      </c>
    </row>
    <row r="1778" ht="22.5" customHeight="1">
      <c r="P1778" s="19">
        <f t="shared" si="2"/>
        <v>0</v>
      </c>
    </row>
    <row r="1779" ht="22.5" customHeight="1">
      <c r="P1779" s="19">
        <f t="shared" si="2"/>
        <v>0</v>
      </c>
    </row>
    <row r="1780" ht="22.5" customHeight="1">
      <c r="P1780" s="19">
        <f t="shared" si="2"/>
        <v>0</v>
      </c>
    </row>
    <row r="1781" ht="22.5" customHeight="1">
      <c r="P1781" s="19">
        <f t="shared" si="2"/>
        <v>0</v>
      </c>
    </row>
    <row r="1782" ht="22.5" customHeight="1">
      <c r="P1782" s="19">
        <f t="shared" si="2"/>
        <v>0</v>
      </c>
    </row>
    <row r="1783" ht="22.5" customHeight="1">
      <c r="P1783" s="19">
        <f t="shared" si="2"/>
        <v>0</v>
      </c>
    </row>
    <row r="1784" ht="22.5" customHeight="1">
      <c r="P1784" s="19">
        <f t="shared" si="2"/>
        <v>0</v>
      </c>
    </row>
    <row r="1785" ht="22.5" customHeight="1">
      <c r="P1785" s="19">
        <f t="shared" si="2"/>
        <v>0</v>
      </c>
    </row>
    <row r="1786" ht="22.5" customHeight="1">
      <c r="P1786" s="19">
        <f t="shared" si="2"/>
        <v>0</v>
      </c>
    </row>
    <row r="1787" ht="22.5" customHeight="1">
      <c r="P1787" s="19">
        <f t="shared" si="2"/>
        <v>0</v>
      </c>
    </row>
    <row r="1788" ht="22.5" customHeight="1">
      <c r="P1788" s="19">
        <f t="shared" si="2"/>
        <v>0</v>
      </c>
    </row>
    <row r="1789" ht="22.5" customHeight="1">
      <c r="P1789" s="19">
        <f t="shared" si="2"/>
        <v>0</v>
      </c>
    </row>
    <row r="1790" ht="22.5" customHeight="1">
      <c r="P1790" s="19">
        <f t="shared" si="2"/>
        <v>0</v>
      </c>
    </row>
    <row r="1791" ht="22.5" customHeight="1">
      <c r="P1791" s="19">
        <f t="shared" si="2"/>
        <v>0</v>
      </c>
    </row>
    <row r="1792" ht="22.5" customHeight="1">
      <c r="P1792" s="19">
        <f t="shared" si="2"/>
        <v>0</v>
      </c>
    </row>
    <row r="1793" ht="22.5" customHeight="1">
      <c r="P1793" s="19">
        <f t="shared" si="2"/>
        <v>0</v>
      </c>
    </row>
    <row r="1794" ht="22.5" customHeight="1">
      <c r="P1794" s="19">
        <f t="shared" si="2"/>
        <v>0</v>
      </c>
    </row>
    <row r="1795" ht="22.5" customHeight="1">
      <c r="P1795" s="19">
        <f t="shared" si="2"/>
        <v>0</v>
      </c>
    </row>
    <row r="1796" ht="22.5" customHeight="1">
      <c r="P1796" s="19">
        <f t="shared" si="2"/>
        <v>0</v>
      </c>
    </row>
    <row r="1797" ht="22.5" customHeight="1">
      <c r="P1797" s="19">
        <f t="shared" si="2"/>
        <v>0</v>
      </c>
    </row>
    <row r="1798" ht="22.5" customHeight="1">
      <c r="P1798" s="19">
        <f t="shared" si="2"/>
        <v>0</v>
      </c>
    </row>
    <row r="1799" ht="22.5" customHeight="1">
      <c r="P1799" s="19">
        <f t="shared" si="2"/>
        <v>0</v>
      </c>
    </row>
    <row r="1800" ht="22.5" customHeight="1">
      <c r="P1800" s="19">
        <f t="shared" si="2"/>
        <v>0</v>
      </c>
    </row>
    <row r="1801" ht="22.5" customHeight="1">
      <c r="P1801" s="19">
        <f t="shared" si="2"/>
        <v>0</v>
      </c>
    </row>
    <row r="1802" ht="22.5" customHeight="1">
      <c r="P1802" s="19">
        <f t="shared" si="2"/>
        <v>0</v>
      </c>
    </row>
    <row r="1803" ht="22.5" customHeight="1">
      <c r="P1803" s="19">
        <f t="shared" si="2"/>
        <v>0</v>
      </c>
    </row>
    <row r="1804" ht="22.5" customHeight="1">
      <c r="P1804" s="19">
        <f t="shared" si="2"/>
        <v>0</v>
      </c>
    </row>
    <row r="1805" ht="22.5" customHeight="1">
      <c r="P1805" s="19">
        <f t="shared" si="2"/>
        <v>0</v>
      </c>
    </row>
    <row r="1806" ht="22.5" customHeight="1">
      <c r="P1806" s="19">
        <f t="shared" si="2"/>
        <v>0</v>
      </c>
    </row>
    <row r="1807" ht="22.5" customHeight="1">
      <c r="P1807" s="19">
        <f t="shared" si="2"/>
        <v>0</v>
      </c>
    </row>
    <row r="1808" ht="22.5" customHeight="1">
      <c r="P1808" s="19">
        <f t="shared" si="2"/>
        <v>0</v>
      </c>
    </row>
    <row r="1809" ht="22.5" customHeight="1">
      <c r="P1809" s="19">
        <f t="shared" si="2"/>
        <v>0</v>
      </c>
    </row>
    <row r="1810" ht="22.5" customHeight="1">
      <c r="P1810" s="19">
        <f t="shared" si="2"/>
        <v>0</v>
      </c>
    </row>
    <row r="1811" ht="22.5" customHeight="1">
      <c r="P1811" s="19">
        <f t="shared" si="2"/>
        <v>0</v>
      </c>
    </row>
    <row r="1812" ht="22.5" customHeight="1">
      <c r="P1812" s="19">
        <f t="shared" si="2"/>
        <v>0</v>
      </c>
    </row>
    <row r="1813" ht="22.5" customHeight="1">
      <c r="P1813" s="19">
        <f t="shared" si="2"/>
        <v>0</v>
      </c>
    </row>
    <row r="1814" ht="22.5" customHeight="1">
      <c r="P1814" s="19">
        <f t="shared" si="2"/>
        <v>0</v>
      </c>
    </row>
    <row r="1815" ht="22.5" customHeight="1">
      <c r="P1815" s="19">
        <f t="shared" si="2"/>
        <v>0</v>
      </c>
    </row>
    <row r="1816" ht="22.5" customHeight="1">
      <c r="P1816" s="19">
        <f t="shared" si="2"/>
        <v>0</v>
      </c>
    </row>
    <row r="1817" ht="22.5" customHeight="1">
      <c r="P1817" s="19">
        <f t="shared" si="2"/>
        <v>0</v>
      </c>
    </row>
    <row r="1818" ht="22.5" customHeight="1">
      <c r="P1818" s="19">
        <f t="shared" si="2"/>
        <v>0</v>
      </c>
    </row>
    <row r="1819" ht="22.5" customHeight="1">
      <c r="P1819" s="19">
        <f t="shared" si="2"/>
        <v>0</v>
      </c>
    </row>
    <row r="1820" ht="22.5" customHeight="1">
      <c r="P1820" s="19">
        <f t="shared" si="2"/>
        <v>0</v>
      </c>
    </row>
    <row r="1821" ht="22.5" customHeight="1">
      <c r="P1821" s="19">
        <f t="shared" si="2"/>
        <v>0</v>
      </c>
    </row>
    <row r="1822" ht="22.5" customHeight="1">
      <c r="P1822" s="19">
        <f t="shared" si="2"/>
        <v>0</v>
      </c>
    </row>
    <row r="1823" ht="22.5" customHeight="1">
      <c r="P1823" s="19">
        <f t="shared" si="2"/>
        <v>0</v>
      </c>
    </row>
    <row r="1824" ht="22.5" customHeight="1">
      <c r="P1824" s="19">
        <f t="shared" si="2"/>
        <v>0</v>
      </c>
    </row>
    <row r="1825" ht="22.5" customHeight="1">
      <c r="P1825" s="19">
        <f t="shared" si="2"/>
        <v>0</v>
      </c>
    </row>
    <row r="1826" ht="22.5" customHeight="1">
      <c r="P1826" s="19">
        <f t="shared" si="2"/>
        <v>0</v>
      </c>
    </row>
    <row r="1827" ht="22.5" customHeight="1">
      <c r="P1827" s="19">
        <f t="shared" si="2"/>
        <v>0</v>
      </c>
    </row>
    <row r="1828" ht="22.5" customHeight="1">
      <c r="P1828" s="19">
        <f t="shared" si="2"/>
        <v>0</v>
      </c>
    </row>
    <row r="1829" ht="22.5" customHeight="1">
      <c r="P1829" s="19">
        <f t="shared" si="2"/>
        <v>0</v>
      </c>
    </row>
    <row r="1830" ht="22.5" customHeight="1">
      <c r="P1830" s="19">
        <f t="shared" si="2"/>
        <v>0</v>
      </c>
    </row>
    <row r="1831" ht="22.5" customHeight="1">
      <c r="P1831" s="19">
        <f t="shared" si="2"/>
        <v>0</v>
      </c>
    </row>
    <row r="1832" ht="22.5" customHeight="1">
      <c r="P1832" s="19">
        <f t="shared" si="2"/>
        <v>0</v>
      </c>
    </row>
    <row r="1833" ht="22.5" customHeight="1">
      <c r="P1833" s="19">
        <f t="shared" si="2"/>
        <v>0</v>
      </c>
    </row>
    <row r="1834" ht="22.5" customHeight="1">
      <c r="P1834" s="19">
        <f t="shared" si="2"/>
        <v>0</v>
      </c>
    </row>
    <row r="1835" ht="22.5" customHeight="1">
      <c r="P1835" s="19">
        <f t="shared" si="2"/>
        <v>0</v>
      </c>
    </row>
    <row r="1836" ht="22.5" customHeight="1">
      <c r="P1836" s="19">
        <f t="shared" si="2"/>
        <v>0</v>
      </c>
    </row>
    <row r="1837" ht="22.5" customHeight="1">
      <c r="P1837" s="19">
        <f t="shared" si="2"/>
        <v>0</v>
      </c>
    </row>
    <row r="1838" ht="22.5" customHeight="1">
      <c r="P1838" s="19">
        <f t="shared" si="2"/>
        <v>0</v>
      </c>
    </row>
    <row r="1839" ht="22.5" customHeight="1">
      <c r="P1839" s="19">
        <f t="shared" si="2"/>
        <v>0</v>
      </c>
    </row>
    <row r="1840" ht="22.5" customHeight="1">
      <c r="P1840" s="19">
        <f t="shared" si="2"/>
        <v>0</v>
      </c>
    </row>
    <row r="1841" ht="22.5" customHeight="1">
      <c r="P1841" s="19">
        <f t="shared" si="2"/>
        <v>0</v>
      </c>
    </row>
    <row r="1842" ht="22.5" customHeight="1">
      <c r="P1842" s="19">
        <f t="shared" si="2"/>
        <v>0</v>
      </c>
    </row>
    <row r="1843" ht="22.5" customHeight="1">
      <c r="P1843" s="19">
        <f t="shared" si="2"/>
        <v>0</v>
      </c>
    </row>
    <row r="1844" ht="22.5" customHeight="1">
      <c r="P1844" s="19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>
      <c r="D7" s="66"/>
    </row>
    <row r="8">
      <c r="D8" s="66"/>
    </row>
    <row r="9">
      <c r="D9" s="66"/>
    </row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30</v>
      </c>
      <c r="I1" s="69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68" t="s">
        <v>33</v>
      </c>
      <c r="I2" s="69">
        <f t="array" ref="I2">(COUNTA(UNIQUE(C:C))-1)</f>
        <v>4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  <c r="N2" s="71"/>
    </row>
    <row r="3">
      <c r="H3" s="68" t="s">
        <v>34</v>
      </c>
      <c r="I3" s="69">
        <f>sum(F:F)</f>
        <v>149600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3</v>
      </c>
      <c r="M4" s="69">
        <f t="shared" si="2"/>
        <v>39600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>500ml Fabfresh sweetened Yoghurt (12x)</v>
      </c>
      <c r="L6" s="69">
        <f t="shared" si="1"/>
        <v>5</v>
      </c>
      <c r="M6" s="69">
        <f t="shared" si="2"/>
        <v>110000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30</v>
      </c>
      <c r="I1" s="69">
        <f>countifs(B:B,"&lt;&gt;",F:F,"&lt;&gt;")-1</f>
        <v>0</v>
      </c>
      <c r="K1" s="74" t="s">
        <v>31</v>
      </c>
      <c r="L1" s="74" t="s">
        <v>32</v>
      </c>
      <c r="M1" s="74" t="s">
        <v>13</v>
      </c>
    </row>
    <row r="2">
      <c r="H2" s="68" t="s">
        <v>33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34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30</v>
      </c>
      <c r="I1" s="69">
        <f>countifs(B:B,"&lt;&gt;",F:F,"&lt;&gt;")-1</f>
        <v>0</v>
      </c>
      <c r="K1" s="74" t="s">
        <v>31</v>
      </c>
      <c r="L1" s="74" t="s">
        <v>35</v>
      </c>
      <c r="M1" s="74" t="s">
        <v>13</v>
      </c>
    </row>
    <row r="2">
      <c r="H2" s="68" t="s">
        <v>33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34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68" t="s">
        <v>30</v>
      </c>
      <c r="I1" s="69">
        <f>countifs(B:B,"&lt;&gt;",F:F,"&lt;&gt;")-1</f>
        <v>1</v>
      </c>
      <c r="K1" s="74" t="s">
        <v>31</v>
      </c>
      <c r="L1" s="74" t="s">
        <v>32</v>
      </c>
    </row>
    <row r="2">
      <c r="H2" s="68" t="s">
        <v>33</v>
      </c>
      <c r="I2" s="69">
        <f t="array" ref="I2">(COUNTA(UNIQUE(C:C,,0))-1)</f>
        <v>1</v>
      </c>
      <c r="K2" s="70" t="str">
        <f>'Internal Summary'!B39</f>
        <v>1 Ltr Fabfresh sweetened Yoghurt (6x)</v>
      </c>
      <c r="L2" s="69">
        <f t="shared" ref="L2:L15" si="1">sumif(D:D,K2,E:E)</f>
        <v>3</v>
      </c>
    </row>
    <row r="3">
      <c r="H3" s="68" t="s">
        <v>34</v>
      </c>
      <c r="I3" s="69">
        <f>sum(F:F)</f>
        <v>234500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5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5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  <row r="18">
      <c r="K18" s="70" t="str">
        <f>'Internal Summary'!B55</f>
        <v/>
      </c>
      <c r="L18" s="69">
        <f>sumif(D:D,K18,E:E)</f>
        <v>0</v>
      </c>
    </row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30</v>
      </c>
      <c r="I1" s="69">
        <f>countifs(B:B,"&lt;&gt;",F:F,"&lt;&gt;")-1</f>
        <v>0</v>
      </c>
      <c r="K1" s="74" t="s">
        <v>31</v>
      </c>
      <c r="L1" s="74" t="s">
        <v>32</v>
      </c>
    </row>
    <row r="2">
      <c r="H2" s="68" t="s">
        <v>33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34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36</v>
      </c>
      <c r="C1" s="68" t="s">
        <v>32</v>
      </c>
      <c r="D1" s="68" t="s">
        <v>37</v>
      </c>
      <c r="E1" s="68" t="s">
        <v>38</v>
      </c>
      <c r="F1" s="76"/>
    </row>
    <row r="2">
      <c r="A2" s="77" t="s">
        <v>39</v>
      </c>
      <c r="B2" s="78" t="s">
        <v>30</v>
      </c>
      <c r="C2" s="79"/>
      <c r="D2" s="79"/>
      <c r="E2" s="80">
        <f>'Dala Sales &amp; Deliveries'!I1+'External Delivery Fulfillment'!I1</f>
        <v>4</v>
      </c>
      <c r="F2" s="76"/>
    </row>
    <row r="3">
      <c r="A3" s="81"/>
      <c r="B3" s="78" t="s">
        <v>40</v>
      </c>
      <c r="C3" s="79"/>
      <c r="D3" s="79"/>
      <c r="E3" s="80">
        <f>'Raw Data'!AX2</f>
        <v>3</v>
      </c>
      <c r="F3" s="76"/>
    </row>
    <row r="4">
      <c r="B4" s="82" t="s">
        <v>41</v>
      </c>
      <c r="C4" s="76"/>
      <c r="D4" s="76"/>
      <c r="E4" s="83">
        <f>'Dala Sales &amp; Deliveries'!I3</f>
        <v>149600</v>
      </c>
      <c r="F4" s="76"/>
    </row>
    <row r="5">
      <c r="B5" s="82" t="s">
        <v>42</v>
      </c>
      <c r="C5" s="76"/>
      <c r="D5" s="76"/>
      <c r="E5" s="83"/>
      <c r="F5" s="76"/>
    </row>
    <row r="6">
      <c r="A6" s="84"/>
      <c r="B6" s="85" t="s">
        <v>43</v>
      </c>
      <c r="C6" s="86"/>
      <c r="D6" s="87"/>
      <c r="E6" s="88">
        <f>sum(E4:E5)</f>
        <v>149600</v>
      </c>
      <c r="F6" s="76"/>
    </row>
    <row r="7">
      <c r="A7" s="77" t="s">
        <v>44</v>
      </c>
      <c r="B7" s="78" t="s">
        <v>45</v>
      </c>
      <c r="C7" s="79"/>
      <c r="D7" s="89"/>
      <c r="E7" s="90">
        <v>0.0</v>
      </c>
    </row>
    <row r="8">
      <c r="A8" s="84"/>
      <c r="B8" s="85" t="s">
        <v>46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47</v>
      </c>
      <c r="B9" s="85" t="s">
        <v>48</v>
      </c>
      <c r="C9" s="86"/>
      <c r="D9" s="87"/>
      <c r="E9" s="88">
        <f>E6-E7-E8</f>
        <v>149600</v>
      </c>
    </row>
    <row r="10">
      <c r="A10" s="77" t="s">
        <v>49</v>
      </c>
      <c r="B10" s="78" t="s">
        <v>50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46</v>
      </c>
      <c r="C11" s="96"/>
      <c r="D11" s="89"/>
      <c r="E11" s="95">
        <v>0.0</v>
      </c>
    </row>
    <row r="12">
      <c r="A12" s="81"/>
      <c r="B12" s="97" t="s">
        <v>51</v>
      </c>
      <c r="C12" s="79"/>
      <c r="D12" s="98" t="s">
        <v>52</v>
      </c>
      <c r="E12" s="95">
        <f>C21+C25</f>
        <v>14580</v>
      </c>
    </row>
    <row r="13">
      <c r="A13" s="81"/>
      <c r="B13" s="78" t="s">
        <v>53</v>
      </c>
      <c r="C13" s="89"/>
      <c r="D13" s="89"/>
      <c r="E13" s="90">
        <v>0.0</v>
      </c>
    </row>
    <row r="14">
      <c r="A14" s="81"/>
      <c r="B14" s="78" t="s">
        <v>54</v>
      </c>
      <c r="C14" s="89"/>
      <c r="D14" s="89"/>
      <c r="E14" s="95">
        <f>C29</f>
        <v>0</v>
      </c>
    </row>
    <row r="15">
      <c r="A15" s="84"/>
      <c r="B15" s="85" t="s">
        <v>55</v>
      </c>
      <c r="C15" s="87"/>
      <c r="D15" s="87"/>
      <c r="E15" s="88">
        <f>sum(E10:E14)</f>
        <v>14580</v>
      </c>
      <c r="H15" s="1"/>
      <c r="I15" s="1"/>
    </row>
    <row r="16">
      <c r="A16" s="92" t="s">
        <v>56</v>
      </c>
      <c r="B16" s="85" t="s">
        <v>57</v>
      </c>
      <c r="C16" s="87"/>
      <c r="D16" s="87"/>
      <c r="E16" s="88">
        <f>E9-E15+C35</f>
        <v>135020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58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59</v>
      </c>
      <c r="C20" s="102">
        <f>U68</f>
        <v>13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60</v>
      </c>
      <c r="C21" s="102">
        <f>V68</f>
        <v>7100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61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62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63</v>
      </c>
      <c r="C24" s="102">
        <f>67</f>
        <v>67</v>
      </c>
      <c r="H24" s="1"/>
      <c r="I24" s="1"/>
    </row>
    <row r="25">
      <c r="A25" s="101"/>
      <c r="B25" s="68" t="s">
        <v>64</v>
      </c>
      <c r="C25" s="105">
        <f>P68</f>
        <v>7480</v>
      </c>
      <c r="H25" s="1"/>
      <c r="I25" s="1"/>
    </row>
    <row r="26">
      <c r="A26" s="101"/>
      <c r="B26" s="68" t="s">
        <v>65</v>
      </c>
      <c r="C26" s="69">
        <f>Q68</f>
        <v>0</v>
      </c>
      <c r="H26" s="1"/>
      <c r="I26" s="1"/>
    </row>
    <row r="27">
      <c r="A27" s="101"/>
      <c r="B27" s="68" t="s">
        <v>66</v>
      </c>
      <c r="C27" s="69">
        <f>R68</f>
        <v>0</v>
      </c>
      <c r="H27" s="1"/>
      <c r="I27" s="1"/>
    </row>
    <row r="28">
      <c r="A28" s="101"/>
      <c r="B28" s="68" t="s">
        <v>67</v>
      </c>
      <c r="C28" s="102">
        <f>F68</f>
        <v>0</v>
      </c>
      <c r="D28" s="1"/>
      <c r="H28" s="1"/>
      <c r="I28" s="1"/>
    </row>
    <row r="29">
      <c r="A29" s="101"/>
      <c r="B29" s="68" t="s">
        <v>68</v>
      </c>
      <c r="C29" s="102">
        <v>0.0</v>
      </c>
      <c r="D29" s="1"/>
      <c r="H29" s="1"/>
      <c r="I29" s="1"/>
    </row>
    <row r="30">
      <c r="A30" s="101"/>
      <c r="B30" s="68" t="s">
        <v>69</v>
      </c>
      <c r="C30" s="102">
        <f>I68</f>
        <v>0</v>
      </c>
      <c r="D30" s="101"/>
      <c r="H30" s="1"/>
      <c r="I30" s="1"/>
    </row>
    <row r="31">
      <c r="A31" s="101"/>
      <c r="B31" s="68" t="s">
        <v>70</v>
      </c>
      <c r="C31" s="102">
        <v>0.0</v>
      </c>
      <c r="D31" s="101"/>
      <c r="H31" s="1"/>
      <c r="I31" s="1"/>
    </row>
    <row r="32">
      <c r="B32" s="68" t="s">
        <v>71</v>
      </c>
      <c r="C32" s="102">
        <f>L68</f>
        <v>5</v>
      </c>
    </row>
    <row r="33">
      <c r="B33" s="68" t="s">
        <v>72</v>
      </c>
      <c r="C33" s="69">
        <f>K68</f>
        <v>11.5</v>
      </c>
    </row>
    <row r="34">
      <c r="B34" s="68" t="s">
        <v>73</v>
      </c>
      <c r="C34" s="102">
        <v>0.0</v>
      </c>
    </row>
    <row r="35">
      <c r="B35" s="68" t="s">
        <v>74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75</v>
      </c>
      <c r="C38" s="68" t="s">
        <v>76</v>
      </c>
      <c r="D38" s="68" t="s">
        <v>77</v>
      </c>
      <c r="E38" s="68" t="s">
        <v>78</v>
      </c>
      <c r="F38" s="74" t="s">
        <v>79</v>
      </c>
      <c r="G38" s="74" t="s">
        <v>80</v>
      </c>
      <c r="H38" s="74" t="s">
        <v>81</v>
      </c>
      <c r="I38" s="74" t="s">
        <v>82</v>
      </c>
      <c r="J38" s="74" t="s">
        <v>83</v>
      </c>
      <c r="K38" s="74" t="s">
        <v>84</v>
      </c>
      <c r="L38" s="74" t="s">
        <v>71</v>
      </c>
      <c r="M38" s="74" t="s">
        <v>73</v>
      </c>
      <c r="N38" s="74" t="s">
        <v>85</v>
      </c>
      <c r="O38" s="74" t="s">
        <v>86</v>
      </c>
      <c r="P38" s="74" t="s">
        <v>87</v>
      </c>
      <c r="Q38" s="74" t="s">
        <v>88</v>
      </c>
      <c r="R38" s="74" t="s">
        <v>89</v>
      </c>
      <c r="S38" s="74" t="s">
        <v>90</v>
      </c>
      <c r="T38" s="74" t="s">
        <v>62</v>
      </c>
      <c r="U38" s="74" t="s">
        <v>91</v>
      </c>
      <c r="V38" s="74" t="s">
        <v>92</v>
      </c>
      <c r="W38" s="74" t="s">
        <v>93</v>
      </c>
    </row>
    <row r="39">
      <c r="B39" s="106" t="s">
        <v>15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0.0</v>
      </c>
      <c r="L39" s="105">
        <f t="shared" ref="L39:L67" si="2">H39+U39+W39-O39-Q39-I39-J39</f>
        <v>3</v>
      </c>
      <c r="M39" s="69">
        <f t="shared" ref="M39:M67" si="3">K39-L39</f>
        <v>-3</v>
      </c>
      <c r="N39" s="69">
        <f t="shared" ref="N39:N67" si="4">M39*C39</f>
        <v>-58500</v>
      </c>
      <c r="O39" s="69">
        <f>'Dala Sales &amp; Deliveries'!L2</f>
        <v>0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3</v>
      </c>
      <c r="V39" s="69">
        <f t="shared" ref="V39:V67" si="8">U39*D39</f>
        <v>1800</v>
      </c>
      <c r="W39" s="69">
        <f>'Client Restocking'!L2</f>
        <v>0</v>
      </c>
    </row>
    <row r="40">
      <c r="B40" s="109" t="s">
        <v>94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1.0</v>
      </c>
      <c r="L40" s="105">
        <f t="shared" si="2"/>
        <v>0</v>
      </c>
      <c r="M40" s="69">
        <f t="shared" si="3"/>
        <v>1</v>
      </c>
      <c r="N40" s="69">
        <f t="shared" si="4"/>
        <v>19500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22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0.0</v>
      </c>
      <c r="L41" s="105">
        <f t="shared" si="2"/>
        <v>2</v>
      </c>
      <c r="M41" s="69">
        <f t="shared" si="3"/>
        <v>-2</v>
      </c>
      <c r="N41" s="69">
        <f t="shared" si="4"/>
        <v>-26400</v>
      </c>
      <c r="O41" s="69">
        <f>'Dala Sales &amp; Deliveries'!L4</f>
        <v>3</v>
      </c>
      <c r="P41" s="69">
        <f t="shared" si="5"/>
        <v>1980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5</v>
      </c>
      <c r="V41" s="69">
        <f t="shared" si="8"/>
        <v>2000</v>
      </c>
      <c r="W41" s="69">
        <f>'Client Restocking'!L4</f>
        <v>0</v>
      </c>
    </row>
    <row r="42">
      <c r="B42" s="109" t="s">
        <v>95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1.0</v>
      </c>
      <c r="L42" s="105">
        <f t="shared" si="2"/>
        <v>0</v>
      </c>
      <c r="M42" s="69">
        <f t="shared" si="3"/>
        <v>1</v>
      </c>
      <c r="N42" s="69">
        <f t="shared" si="4"/>
        <v>13200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09" t="s">
        <v>18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3.5</v>
      </c>
      <c r="L43" s="105">
        <f t="shared" si="2"/>
        <v>0</v>
      </c>
      <c r="M43" s="69">
        <f t="shared" si="3"/>
        <v>3.5</v>
      </c>
      <c r="N43" s="69">
        <f t="shared" si="4"/>
        <v>77000</v>
      </c>
      <c r="O43" s="69">
        <f>'Dala Sales &amp; Deliveries'!L6</f>
        <v>5</v>
      </c>
      <c r="P43" s="69">
        <f t="shared" si="5"/>
        <v>5500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5</v>
      </c>
      <c r="V43" s="69">
        <f t="shared" si="8"/>
        <v>3300</v>
      </c>
      <c r="W43" s="69">
        <f>'Client Restocking'!L6</f>
        <v>0</v>
      </c>
    </row>
    <row r="44">
      <c r="B44" s="109" t="s">
        <v>96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2.0</v>
      </c>
      <c r="L44" s="105">
        <f t="shared" si="2"/>
        <v>0</v>
      </c>
      <c r="M44" s="69">
        <f t="shared" si="3"/>
        <v>2</v>
      </c>
      <c r="N44" s="69">
        <f t="shared" si="4"/>
        <v>44000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09" t="s">
        <v>97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98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0.0</v>
      </c>
      <c r="L46" s="105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99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11.5</v>
      </c>
      <c r="L68" s="113">
        <f t="shared" si="9"/>
        <v>5</v>
      </c>
      <c r="M68" s="113">
        <f t="shared" si="9"/>
        <v>6.5</v>
      </c>
      <c r="N68" s="113">
        <f t="shared" si="9"/>
        <v>137200</v>
      </c>
      <c r="O68" s="113">
        <f t="shared" si="9"/>
        <v>8</v>
      </c>
      <c r="P68" s="113">
        <f t="shared" si="9"/>
        <v>7480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13</v>
      </c>
      <c r="V68" s="69">
        <f t="shared" si="9"/>
        <v>7100</v>
      </c>
      <c r="W68" s="69">
        <f t="shared" si="9"/>
        <v>0</v>
      </c>
    </row>
    <row r="69">
      <c r="C69" s="6" t="s">
        <v>100</v>
      </c>
      <c r="D69" s="6" t="s">
        <v>100</v>
      </c>
      <c r="E69" s="6" t="s">
        <v>100</v>
      </c>
      <c r="F69" s="6" t="s">
        <v>100</v>
      </c>
      <c r="G69" s="6" t="s">
        <v>100</v>
      </c>
      <c r="H69" s="6" t="s">
        <v>100</v>
      </c>
      <c r="I69" s="6" t="s">
        <v>100</v>
      </c>
      <c r="J69" s="6" t="s">
        <v>100</v>
      </c>
      <c r="K69" s="6" t="s">
        <v>100</v>
      </c>
      <c r="L69" s="6" t="s">
        <v>100</v>
      </c>
      <c r="M69" s="6" t="s">
        <v>100</v>
      </c>
      <c r="N69" s="6" t="s">
        <v>100</v>
      </c>
      <c r="O69" s="6" t="s">
        <v>100</v>
      </c>
      <c r="P69" s="6" t="s">
        <v>100</v>
      </c>
      <c r="Q69" s="6" t="s">
        <v>100</v>
      </c>
      <c r="R69" s="6" t="s">
        <v>100</v>
      </c>
      <c r="S69" s="6" t="s">
        <v>100</v>
      </c>
      <c r="T69" s="6" t="s">
        <v>100</v>
      </c>
      <c r="U69" s="6" t="s">
        <v>100</v>
      </c>
      <c r="V69" s="6" t="s">
        <v>100</v>
      </c>
      <c r="W69" s="6" t="s">
        <v>100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36</v>
      </c>
      <c r="C1" s="68" t="s">
        <v>32</v>
      </c>
      <c r="D1" s="68" t="s">
        <v>37</v>
      </c>
      <c r="E1" s="102" t="s">
        <v>38</v>
      </c>
      <c r="F1" s="76"/>
    </row>
    <row r="2">
      <c r="A2" s="77" t="s">
        <v>39</v>
      </c>
      <c r="B2" s="78" t="s">
        <v>30</v>
      </c>
      <c r="C2" s="79"/>
      <c r="D2" s="79"/>
      <c r="E2" s="80">
        <f>'Dala Sales &amp; Deliveries'!I1+'External Delivery Fulfillment'!I1+'Forwarding From Client'!I1</f>
        <v>4</v>
      </c>
      <c r="F2" s="76"/>
    </row>
    <row r="3">
      <c r="A3" s="81"/>
      <c r="B3" s="78" t="s">
        <v>40</v>
      </c>
      <c r="C3" s="79"/>
      <c r="D3" s="79"/>
      <c r="E3" s="80">
        <f>'Raw Data'!AX2</f>
        <v>3</v>
      </c>
      <c r="F3" s="76"/>
    </row>
    <row r="4">
      <c r="B4" s="114" t="s">
        <v>41</v>
      </c>
      <c r="C4" s="76"/>
      <c r="D4" s="76"/>
      <c r="E4" s="83">
        <f>'Dala Sales &amp; Deliveries'!I3</f>
        <v>149600</v>
      </c>
      <c r="F4" s="76"/>
    </row>
    <row r="5">
      <c r="B5" s="82" t="s">
        <v>42</v>
      </c>
      <c r="C5" s="76"/>
      <c r="D5" s="76"/>
      <c r="E5" s="83">
        <f>E4*1.075-E4</f>
        <v>11220</v>
      </c>
      <c r="F5" s="76"/>
    </row>
    <row r="6">
      <c r="A6" s="84"/>
      <c r="B6" s="85" t="s">
        <v>43</v>
      </c>
      <c r="C6" s="86"/>
      <c r="D6" s="87"/>
      <c r="E6" s="88">
        <f>sum(E4:E5)</f>
        <v>160820</v>
      </c>
      <c r="F6" s="76"/>
    </row>
    <row r="7">
      <c r="A7" s="77" t="s">
        <v>44</v>
      </c>
      <c r="B7" s="78" t="s">
        <v>45</v>
      </c>
      <c r="C7" s="79"/>
      <c r="D7" s="89"/>
      <c r="E7" s="115"/>
    </row>
    <row r="8">
      <c r="A8" s="81"/>
      <c r="B8" s="78" t="s">
        <v>51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46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49</v>
      </c>
      <c r="B10" s="78" t="s">
        <v>50</v>
      </c>
      <c r="C10" s="118"/>
      <c r="D10" s="95">
        <v>350000.0</v>
      </c>
      <c r="E10" s="95">
        <f>C10*D10</f>
        <v>0</v>
      </c>
    </row>
    <row r="11">
      <c r="A11" s="81"/>
      <c r="B11" s="97" t="s">
        <v>101</v>
      </c>
      <c r="C11" s="79"/>
      <c r="D11" s="98"/>
      <c r="E11" s="95">
        <f>V67</f>
        <v>7100</v>
      </c>
    </row>
    <row r="12">
      <c r="A12" s="81"/>
      <c r="B12" s="97" t="s">
        <v>66</v>
      </c>
      <c r="C12" s="79"/>
      <c r="D12" s="98"/>
      <c r="E12" s="95">
        <f>C24</f>
        <v>7480</v>
      </c>
    </row>
    <row r="13">
      <c r="A13" s="81"/>
      <c r="B13" s="78" t="s">
        <v>53</v>
      </c>
      <c r="C13" s="89"/>
      <c r="D13" s="89"/>
      <c r="E13" s="90">
        <v>0.0</v>
      </c>
    </row>
    <row r="14">
      <c r="A14" s="81"/>
      <c r="B14" s="78" t="s">
        <v>102</v>
      </c>
      <c r="C14" s="89"/>
      <c r="D14" s="89"/>
      <c r="E14" s="95">
        <f>C28</f>
        <v>0</v>
      </c>
    </row>
    <row r="15">
      <c r="A15" s="84"/>
      <c r="B15" s="85" t="s">
        <v>103</v>
      </c>
      <c r="C15" s="87"/>
      <c r="D15" s="87"/>
      <c r="E15" s="88">
        <f>sum(E10:E14)</f>
        <v>14580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58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59</v>
      </c>
      <c r="C19" s="102">
        <f>U67</f>
        <v>13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60</v>
      </c>
      <c r="C20" s="102">
        <f>V67</f>
        <v>7100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61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62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63</v>
      </c>
      <c r="C23" s="102">
        <f>O67</f>
        <v>8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64</v>
      </c>
      <c r="C24" s="102">
        <f>P67</f>
        <v>7480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65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66</v>
      </c>
      <c r="C26" s="102">
        <f>R67</f>
        <v>0</v>
      </c>
      <c r="D26" s="101"/>
    </row>
    <row r="27">
      <c r="A27" s="101"/>
      <c r="B27" s="68" t="s">
        <v>67</v>
      </c>
      <c r="C27" s="102">
        <f>F67</f>
        <v>0</v>
      </c>
      <c r="D27" s="101"/>
    </row>
    <row r="28">
      <c r="A28" s="101"/>
      <c r="B28" s="68" t="s">
        <v>68</v>
      </c>
      <c r="C28" s="102">
        <f>G67</f>
        <v>0</v>
      </c>
      <c r="D28" s="101"/>
    </row>
    <row r="29">
      <c r="A29" s="101"/>
      <c r="B29" s="68" t="s">
        <v>69</v>
      </c>
      <c r="C29" s="102">
        <f>I67</f>
        <v>0</v>
      </c>
      <c r="D29" s="101"/>
    </row>
    <row r="30">
      <c r="A30" s="101"/>
      <c r="B30" s="68" t="s">
        <v>104</v>
      </c>
      <c r="C30" s="102">
        <f>J67</f>
        <v>0</v>
      </c>
      <c r="D30" s="101"/>
    </row>
    <row r="31">
      <c r="A31" s="101"/>
      <c r="B31" s="68" t="s">
        <v>71</v>
      </c>
      <c r="C31" s="102">
        <f>L67</f>
        <v>5</v>
      </c>
      <c r="D31" s="101"/>
    </row>
    <row r="32">
      <c r="A32" s="101"/>
      <c r="B32" s="68" t="s">
        <v>72</v>
      </c>
      <c r="C32" s="102">
        <f>K67</f>
        <v>11.5</v>
      </c>
      <c r="D32" s="101"/>
    </row>
    <row r="33">
      <c r="A33" s="101"/>
      <c r="B33" s="68" t="s">
        <v>73</v>
      </c>
      <c r="C33" s="102">
        <v>0.0</v>
      </c>
      <c r="D33" s="101"/>
    </row>
    <row r="34">
      <c r="A34" s="101"/>
      <c r="B34" s="68" t="s">
        <v>74</v>
      </c>
      <c r="C34" s="102">
        <v>0.0</v>
      </c>
      <c r="D34" s="101"/>
    </row>
    <row r="37">
      <c r="B37" s="68" t="s">
        <v>75</v>
      </c>
      <c r="C37" s="68" t="s">
        <v>76</v>
      </c>
      <c r="D37" s="68" t="s">
        <v>77</v>
      </c>
      <c r="E37" s="68" t="s">
        <v>78</v>
      </c>
      <c r="F37" s="74" t="s">
        <v>79</v>
      </c>
      <c r="G37" s="74" t="s">
        <v>80</v>
      </c>
      <c r="H37" s="74" t="s">
        <v>81</v>
      </c>
      <c r="I37" s="74" t="s">
        <v>82</v>
      </c>
      <c r="J37" s="74" t="s">
        <v>83</v>
      </c>
      <c r="K37" s="74" t="s">
        <v>84</v>
      </c>
      <c r="L37" s="74" t="s">
        <v>71</v>
      </c>
      <c r="M37" s="74" t="s">
        <v>73</v>
      </c>
      <c r="N37" s="74" t="s">
        <v>85</v>
      </c>
      <c r="O37" s="74" t="s">
        <v>63</v>
      </c>
      <c r="P37" s="74" t="s">
        <v>87</v>
      </c>
      <c r="Q37" s="74" t="s">
        <v>88</v>
      </c>
      <c r="R37" s="74" t="s">
        <v>89</v>
      </c>
      <c r="S37" s="74" t="s">
        <v>90</v>
      </c>
      <c r="T37" s="74" t="s">
        <v>62</v>
      </c>
      <c r="U37" s="74" t="s">
        <v>91</v>
      </c>
      <c r="V37" s="74" t="s">
        <v>92</v>
      </c>
      <c r="W37" s="74" t="s">
        <v>93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0</v>
      </c>
      <c r="L38" s="113">
        <f t="shared" ref="L38:L66" si="2">H38+U38+W38-O38-Q38-I38-J38</f>
        <v>3</v>
      </c>
      <c r="M38" s="69">
        <f t="shared" ref="M38:M66" si="3">K38-L38</f>
        <v>-3</v>
      </c>
      <c r="N38" s="69">
        <f>M38*C38</f>
        <v>-58500</v>
      </c>
      <c r="O38" s="69">
        <f>'Dala Sales &amp; Deliveries'!L2</f>
        <v>0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3</v>
      </c>
      <c r="V38" s="69">
        <f t="shared" ref="V38:V66" si="7">U38*D38</f>
        <v>1800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1</v>
      </c>
      <c r="L39" s="113">
        <f t="shared" si="2"/>
        <v>0</v>
      </c>
      <c r="M39" s="69">
        <f t="shared" si="3"/>
        <v>1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0</v>
      </c>
      <c r="L40" s="113">
        <f t="shared" si="2"/>
        <v>2</v>
      </c>
      <c r="M40" s="69">
        <f t="shared" si="3"/>
        <v>-2</v>
      </c>
      <c r="N40" s="69"/>
      <c r="O40" s="69">
        <f>'Dala Sales &amp; Deliveries'!L4</f>
        <v>3</v>
      </c>
      <c r="P40" s="69">
        <f t="shared" si="4"/>
        <v>1980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5</v>
      </c>
      <c r="V40" s="69">
        <f t="shared" si="7"/>
        <v>2000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1</v>
      </c>
      <c r="L41" s="113">
        <f t="shared" si="2"/>
        <v>0</v>
      </c>
      <c r="M41" s="69">
        <f t="shared" si="3"/>
        <v>1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3.5</v>
      </c>
      <c r="L42" s="113">
        <f t="shared" si="2"/>
        <v>0</v>
      </c>
      <c r="M42" s="69">
        <f t="shared" si="3"/>
        <v>3.5</v>
      </c>
      <c r="N42" s="69"/>
      <c r="O42" s="69">
        <f>'Dala Sales &amp; Deliveries'!L6</f>
        <v>5</v>
      </c>
      <c r="P42" s="69">
        <f t="shared" si="4"/>
        <v>5500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5</v>
      </c>
      <c r="V42" s="69">
        <f t="shared" si="7"/>
        <v>3300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2</v>
      </c>
      <c r="L43" s="113">
        <f t="shared" si="2"/>
        <v>0</v>
      </c>
      <c r="M43" s="69">
        <f t="shared" si="3"/>
        <v>2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0</v>
      </c>
      <c r="L45" s="113">
        <f t="shared" si="2"/>
        <v>0</v>
      </c>
      <c r="M45" s="69">
        <f t="shared" si="3"/>
        <v>0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99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11.5</v>
      </c>
      <c r="L67" s="113">
        <f t="shared" si="8"/>
        <v>5</v>
      </c>
      <c r="M67" s="113">
        <f t="shared" si="8"/>
        <v>6.5</v>
      </c>
      <c r="N67" s="69">
        <f t="shared" si="8"/>
        <v>-58500</v>
      </c>
      <c r="O67" s="69">
        <f t="shared" si="8"/>
        <v>8</v>
      </c>
      <c r="P67" s="69">
        <f t="shared" si="8"/>
        <v>7480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13</v>
      </c>
      <c r="V67" s="69">
        <f t="shared" si="8"/>
        <v>7100</v>
      </c>
      <c r="W67" s="69">
        <f t="shared" si="8"/>
        <v>0</v>
      </c>
    </row>
    <row r="68">
      <c r="C68" s="6" t="s">
        <v>100</v>
      </c>
      <c r="D68" s="6" t="s">
        <v>100</v>
      </c>
      <c r="E68" s="6" t="s">
        <v>100</v>
      </c>
      <c r="F68" s="6" t="s">
        <v>100</v>
      </c>
      <c r="G68" s="6"/>
      <c r="H68" s="6" t="s">
        <v>100</v>
      </c>
      <c r="I68" s="6" t="s">
        <v>100</v>
      </c>
      <c r="J68" s="6" t="s">
        <v>100</v>
      </c>
      <c r="K68" s="6" t="s">
        <v>100</v>
      </c>
      <c r="L68" s="6" t="s">
        <v>100</v>
      </c>
      <c r="M68" s="6"/>
      <c r="N68" s="6" t="s">
        <v>100</v>
      </c>
      <c r="O68" s="6" t="s">
        <v>100</v>
      </c>
      <c r="P68" s="6" t="s">
        <v>100</v>
      </c>
      <c r="Q68" s="6" t="s">
        <v>100</v>
      </c>
      <c r="R68" s="6" t="s">
        <v>100</v>
      </c>
      <c r="S68" s="6"/>
      <c r="T68" s="6"/>
      <c r="U68" s="6" t="s">
        <v>100</v>
      </c>
      <c r="V68" s="6" t="s">
        <v>100</v>
      </c>
      <c r="W68" s="6" t="s">
        <v>100</v>
      </c>
    </row>
  </sheetData>
  <drawing r:id="rId1"/>
</worksheet>
</file>