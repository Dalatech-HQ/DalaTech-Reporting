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<sst xmlns="http://schemas.openxmlformats.org/spreadsheetml/2006/main" count="540" uniqueCount="124">
  <si>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</si>
  <si>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</si>
  <si>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</si>
  <si>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</si>
  <si>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</si>
  <si>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</si>
  <si>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</si>
  <si>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</si>
  <si>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</si>
  <si>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</si>
  <si>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</si>
  <si>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</si>
  <si>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</si>
  <si>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</si>
  <si>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</si>
  <si>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</si>
  <si>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Shop 'N' Save Supermarket</t>
  </si>
  <si>
    <t>SALES</t>
  </si>
  <si>
    <t>DT:002105</t>
  </si>
  <si>
    <t>80g Kuli Kuli (12x)</t>
  </si>
  <si>
    <t>Jendol Supermarket, EGBEDA</t>
  </si>
  <si>
    <t>DT:002113</t>
  </si>
  <si>
    <t>Twinsfaja Supermarket, IGBESA</t>
  </si>
  <si>
    <t>DT:002119</t>
  </si>
  <si>
    <t>Renees Supermarket, IKOYI</t>
  </si>
  <si>
    <t>DT:002123</t>
  </si>
  <si>
    <t>Unique J Mart</t>
  </si>
  <si>
    <t>DT:002125</t>
  </si>
  <si>
    <t>Hutoos Supermarket, Ogba</t>
  </si>
  <si>
    <t>DT:002136</t>
  </si>
  <si>
    <t>Katta Supermarket</t>
  </si>
  <si>
    <t>DT:002149</t>
  </si>
  <si>
    <t>Jendol Supermarket, OJODU</t>
  </si>
  <si>
    <t>DT:002151</t>
  </si>
  <si>
    <t>Prince Ebeano, OLOGOLO</t>
  </si>
  <si>
    <t>DT:002156</t>
  </si>
  <si>
    <t>K&amp;P Supermarket</t>
  </si>
  <si>
    <t>DT:002164</t>
  </si>
  <si>
    <t>Life Back Pharmacy &amp; Stores</t>
  </si>
  <si>
    <t>DT:002167</t>
  </si>
  <si>
    <t>AM to PM Supermarket, JAKANDE</t>
  </si>
  <si>
    <t>DT:002170</t>
  </si>
  <si>
    <t>Eleyor Shopping Mall OWODE</t>
  </si>
  <si>
    <t>DT:002180</t>
  </si>
  <si>
    <t>Jendol Supermarket, ISOLO</t>
  </si>
  <si>
    <t>DT:002187</t>
  </si>
  <si>
    <t>Renees Supermarket, LEKKI CENTRAL MOSQUE</t>
  </si>
  <si>
    <t>DT:002189</t>
  </si>
  <si>
    <t>Jendol Supermarket, U-TURN</t>
  </si>
  <si>
    <t>DT:002190</t>
  </si>
  <si>
    <t>Jendol Supermarket, ISHERI (Rg.11)</t>
  </si>
  <si>
    <t>DT:002193</t>
  </si>
  <si>
    <t>Domino Store, IKEJA</t>
  </si>
  <si>
    <t>DT:002198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</si>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</sst>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2" fontId="9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1" fillId="2" fontId="9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1" fillId="2" fontId="9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8T00:00:00Z"/>
        <d v="2025-08-09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Jendol Supermarket, EGBEDA"/>
        <s v="Twinsfaja Supermarket, IGBESA"/>
        <s v="Renees Supermarket, IKOYI"/>
        <s v="Unique J Mart"/>
        <s v="Hutoos Supermarket, Ogba"/>
        <s v="Katta Supermarket"/>
        <s v="Jendol Supermarket, OJODU"/>
        <s v="Prince Ebeano, OLOGOLO"/>
        <s v="K&amp;P Supermarket"/>
        <s v="Life Back Pharmacy &amp; Stores"/>
        <s v="AM to PM Supermarket, JAKANDE"/>
        <s v="Eleyor Shopping Mall OWODE"/>
        <s v="Jendol Supermarket, ISOLO"/>
        <s v="Renees Supermarket, LEKKI CENTRAL MOSQUE"/>
        <s v="Jendol Supermarket, U-TURN"/>
        <s v="Jendol Supermarket, ISHERI (Rg.11)"/>
        <s v="Domino Store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13"/>
        <s v="DT:002119"/>
        <s v="DT:002123"/>
        <s v="DT:002125"/>
        <s v="DT:002136"/>
        <s v="DT:002149"/>
        <s v="DT:002151"/>
        <s v="DT:002156"/>
        <s v="DT:002164"/>
        <s v="DT:002167"/>
        <s v="DT:002170"/>
        <s v="DT:002180"/>
        <s v="DT:002187"/>
        <s v="DT:002189"/>
        <s v="DT:002190"/>
        <s v="DT:002193"/>
        <s v="DT:002198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12000.0"/>
        <n v="14400.0"/>
        <n v="7200.0"/>
        <n v="24000.0"/>
        <m/>
      </sharedItems>
    </cacheField>
    <cacheField name="Total Value" numFmtId="0">
      <sharedItems containsString="0" containsBlank="1" containsNumber="1" containsInteger="1">
        <n v="26400.0"/>
        <n v="12000.0"/>
        <n v="72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8-08T00:00:00Z"/>
        <d v="2025-08-09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Shop 'N' Save Supermarket"/>
        <s v="Jendol Supermarket, EGBEDA"/>
        <s v="Twinsfaja Supermarket, IGBESA"/>
        <s v="Renees Supermarket, IKOYI"/>
        <s v="Unique J Mart"/>
        <s v="Hutoos Supermarket, Ogba"/>
        <s v="Katta Supermarket"/>
        <s v="Jendol Supermarket, OJODU"/>
        <s v="Prince Ebeano, OLOGOLO"/>
        <s v="K&amp;P Supermarket"/>
        <s v="Life Back Pharmacy &amp; Stores"/>
        <s v="AM to PM Supermarket, JAKANDE"/>
        <s v="Eleyor Shopping Mall OWODE"/>
        <s v="Jendol Supermarket, ISOLO"/>
        <s v="Renees Supermarket, LEKKI CENTRAL MOSQUE"/>
        <s v="Jendol Supermarket, U-TURN"/>
        <s v="Jendol Supermarket, ISHERI (Rg.11)"/>
        <s v="Domino Store, IKE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5"/>
        <s v="DT:002113"/>
        <s v="DT:002119"/>
        <s v="DT:002123"/>
        <s v="DT:002125"/>
        <s v="DT:002136"/>
        <s v="DT:002149"/>
        <s v="DT:002151"/>
        <s v="DT:002156"/>
        <s v="DT:002164"/>
        <s v="DT:002167"/>
        <s v="DT:002170"/>
        <s v="DT:002180"/>
        <s v="DT:002187"/>
        <s v="DT:002189"/>
        <s v="DT:002190"/>
        <s v="DT:002193"/>
        <s v="DT:002198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12000.0"/>
        <n v="14400.0"/>
        <n v="72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8"/>
        <item x="11"/>
        <item x="17"/>
        <item x="12"/>
        <item x="5"/>
        <item x="1"/>
        <item x="16"/>
        <item x="13"/>
        <item x="7"/>
        <item x="15"/>
        <item x="9"/>
        <item x="6"/>
        <item x="10"/>
        <item x="8"/>
        <item x="3"/>
        <item x="14"/>
        <item x="0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8"/>
        <item x="11"/>
        <item x="17"/>
        <item x="12"/>
        <item x="5"/>
        <item x="1"/>
        <item x="16"/>
        <item x="13"/>
        <item x="7"/>
        <item x="15"/>
        <item x="9"/>
        <item x="6"/>
        <item x="10"/>
        <item x="8"/>
        <item x="3"/>
        <item x="14"/>
        <item x="0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 t="s">
        <v>7</v>
      </c>
      <c r="B3" s="13" t="s">
        <v>8</v>
      </c>
      <c r="C3" s="14" t="s">
        <v>9</v>
      </c>
      <c r="D3" s="15" t="s">
        <v>10</v>
      </c>
      <c r="E3" s="13" t="s">
        <v>11</v>
      </c>
      <c r="F3" s="16" t="s">
        <v>12</v>
      </c>
      <c r="G3" s="16" t="s">
        <v>13</v>
      </c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7</v>
      </c>
      <c r="S3" s="13" t="s">
        <v>8</v>
      </c>
      <c r="T3" s="14" t="s">
        <v>9</v>
      </c>
      <c r="U3" s="15" t="s">
        <v>10</v>
      </c>
      <c r="V3" s="13" t="s">
        <v>11</v>
      </c>
      <c r="W3" s="16" t="s">
        <v>12</v>
      </c>
      <c r="X3" s="16" t="s">
        <v>13</v>
      </c>
      <c r="Z3" s="1" t="s">
        <v>7</v>
      </c>
      <c r="AA3" s="13" t="s">
        <v>8</v>
      </c>
      <c r="AB3" s="14" t="s">
        <v>9</v>
      </c>
      <c r="AC3" s="15" t="s">
        <v>10</v>
      </c>
      <c r="AD3" s="13" t="s">
        <v>11</v>
      </c>
      <c r="AE3" s="16" t="s">
        <v>12</v>
      </c>
      <c r="AF3" s="16" t="s">
        <v>13</v>
      </c>
      <c r="AG3" s="1"/>
      <c r="AH3" s="1" t="s">
        <v>7</v>
      </c>
      <c r="AI3" s="13" t="s">
        <v>8</v>
      </c>
      <c r="AJ3" s="14" t="s">
        <v>9</v>
      </c>
      <c r="AK3" s="15" t="s">
        <v>10</v>
      </c>
      <c r="AL3" s="13" t="s">
        <v>11</v>
      </c>
      <c r="AM3" s="16" t="s">
        <v>12</v>
      </c>
      <c r="AN3" s="16" t="s">
        <v>13</v>
      </c>
      <c r="AO3" s="5"/>
      <c r="AP3" s="1" t="s">
        <v>7</v>
      </c>
      <c r="AQ3" s="13" t="s">
        <v>8</v>
      </c>
      <c r="AR3" s="14" t="s">
        <v>9</v>
      </c>
      <c r="AS3" s="15" t="s">
        <v>10</v>
      </c>
      <c r="AT3" s="13" t="s">
        <v>11</v>
      </c>
      <c r="AU3" s="16" t="s">
        <v>12</v>
      </c>
      <c r="AV3" s="16" t="s">
        <v>13</v>
      </c>
      <c r="AW3" s="5"/>
      <c r="AX3" s="5">
        <f t="array" ref="AX3">counta(unique(C:C))-2</f>
        <v>17</v>
      </c>
    </row>
    <row r="4" ht="22.5" customHeight="1">
      <c r="A4" s="23" t="s">
        <v>15</v>
      </c>
      <c r="B4" s="24">
        <v>45877.0</v>
      </c>
      <c r="C4" s="25" t="s">
        <v>16</v>
      </c>
      <c r="D4" s="25" t="s">
        <v>17</v>
      </c>
      <c r="E4" s="26" t="s">
        <v>18</v>
      </c>
      <c r="F4" s="27">
        <v>1.0</v>
      </c>
      <c r="G4" s="28">
        <v>12000.0</v>
      </c>
      <c r="I4" s="29" t="s">
        <v>15</v>
      </c>
      <c r="J4" s="30">
        <v>45877.0</v>
      </c>
      <c r="K4" s="31" t="s">
        <v>16</v>
      </c>
      <c r="L4" s="31" t="s">
        <v>17</v>
      </c>
      <c r="M4" s="32" t="s">
        <v>18</v>
      </c>
      <c r="N4" s="33">
        <v>1.0</v>
      </c>
      <c r="O4" s="34">
        <v>12000.0</v>
      </c>
      <c r="P4" s="35">
        <f t="shared" ref="P4:P70" si="1">sumif(M:M,M4,O:O)</f>
        <v>26400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/>
      <c r="AQ4" s="24"/>
      <c r="AR4" s="25"/>
      <c r="AS4" s="25"/>
      <c r="AT4" s="26"/>
      <c r="AU4" s="27"/>
      <c r="AV4" s="28"/>
    </row>
    <row r="5" ht="22.5" customHeight="1">
      <c r="A5" s="23" t="s">
        <v>19</v>
      </c>
      <c r="B5" s="24">
        <v>45877.0</v>
      </c>
      <c r="C5" s="25" t="s">
        <v>16</v>
      </c>
      <c r="D5" s="25" t="s">
        <v>17</v>
      </c>
      <c r="E5" s="26" t="s">
        <v>18</v>
      </c>
      <c r="F5" s="27">
        <v>2.0</v>
      </c>
      <c r="G5" s="28">
        <v>14400.0</v>
      </c>
      <c r="I5" s="29" t="s">
        <v>19</v>
      </c>
      <c r="J5" s="30">
        <v>45877.0</v>
      </c>
      <c r="K5" s="31" t="s">
        <v>16</v>
      </c>
      <c r="L5" s="31" t="s">
        <v>17</v>
      </c>
      <c r="M5" s="32" t="s">
        <v>18</v>
      </c>
      <c r="N5" s="33">
        <v>2.0</v>
      </c>
      <c r="O5" s="34">
        <v>14400.0</v>
      </c>
      <c r="P5" s="35">
        <f t="shared" si="1"/>
        <v>26400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15</v>
      </c>
      <c r="B6" s="24">
        <v>45878.0</v>
      </c>
      <c r="C6" s="25" t="s">
        <v>20</v>
      </c>
      <c r="D6" s="25" t="s">
        <v>17</v>
      </c>
      <c r="E6" s="26" t="s">
        <v>21</v>
      </c>
      <c r="F6" s="27">
        <v>1.0</v>
      </c>
      <c r="G6" s="28">
        <v>12000.0</v>
      </c>
      <c r="I6" s="29" t="s">
        <v>15</v>
      </c>
      <c r="J6" s="30">
        <v>45878.0</v>
      </c>
      <c r="K6" s="31" t="s">
        <v>20</v>
      </c>
      <c r="L6" s="31" t="s">
        <v>17</v>
      </c>
      <c r="M6" s="32" t="s">
        <v>21</v>
      </c>
      <c r="N6" s="33">
        <v>1.0</v>
      </c>
      <c r="O6" s="34">
        <v>12000.0</v>
      </c>
      <c r="P6" s="35">
        <f t="shared" si="1"/>
        <v>12000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23"/>
      <c r="AQ6" s="24"/>
      <c r="AR6" s="25"/>
      <c r="AS6" s="25"/>
      <c r="AT6" s="26"/>
      <c r="AU6" s="27"/>
      <c r="AV6" s="28"/>
    </row>
    <row r="7" ht="22.5" customHeight="1">
      <c r="A7" s="23" t="s">
        <v>15</v>
      </c>
      <c r="B7" s="24">
        <v>45878.0</v>
      </c>
      <c r="C7" s="25" t="s">
        <v>22</v>
      </c>
      <c r="D7" s="25" t="s">
        <v>17</v>
      </c>
      <c r="E7" s="26" t="s">
        <v>23</v>
      </c>
      <c r="F7" s="27">
        <v>1.0</v>
      </c>
      <c r="G7" s="28">
        <v>12000.0</v>
      </c>
      <c r="I7" s="29" t="s">
        <v>15</v>
      </c>
      <c r="J7" s="30">
        <v>45878.0</v>
      </c>
      <c r="K7" s="31" t="s">
        <v>22</v>
      </c>
      <c r="L7" s="31" t="s">
        <v>17</v>
      </c>
      <c r="M7" s="32" t="s">
        <v>23</v>
      </c>
      <c r="N7" s="33">
        <v>1.0</v>
      </c>
      <c r="O7" s="34">
        <v>12000.0</v>
      </c>
      <c r="P7" s="35">
        <f t="shared" si="1"/>
        <v>12000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23"/>
      <c r="AQ7" s="24"/>
      <c r="AR7" s="25"/>
      <c r="AS7" s="25"/>
      <c r="AT7" s="26"/>
      <c r="AU7" s="27"/>
      <c r="AV7" s="28"/>
    </row>
    <row r="8" ht="22.5" customHeight="1">
      <c r="A8" s="23" t="s">
        <v>15</v>
      </c>
      <c r="B8" s="24">
        <v>45880.0</v>
      </c>
      <c r="C8" s="25" t="s">
        <v>24</v>
      </c>
      <c r="D8" s="25" t="s">
        <v>17</v>
      </c>
      <c r="E8" s="26" t="s">
        <v>25</v>
      </c>
      <c r="F8" s="27">
        <v>1.0</v>
      </c>
      <c r="G8" s="28">
        <v>12000.0</v>
      </c>
      <c r="I8" s="29" t="s">
        <v>15</v>
      </c>
      <c r="J8" s="30">
        <v>45880.0</v>
      </c>
      <c r="K8" s="31" t="s">
        <v>24</v>
      </c>
      <c r="L8" s="31" t="s">
        <v>17</v>
      </c>
      <c r="M8" s="32" t="s">
        <v>25</v>
      </c>
      <c r="N8" s="33">
        <v>1.0</v>
      </c>
      <c r="O8" s="34">
        <v>12000.0</v>
      </c>
      <c r="P8" s="35">
        <f t="shared" si="1"/>
        <v>12000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3"/>
      <c r="AQ8" s="37"/>
      <c r="AR8" s="38"/>
      <c r="AS8" s="38"/>
      <c r="AT8" s="2"/>
      <c r="AU8" s="44"/>
      <c r="AV8" s="45"/>
    </row>
    <row r="9" ht="22.5" customHeight="1">
      <c r="A9" s="23" t="s">
        <v>19</v>
      </c>
      <c r="B9" s="24">
        <v>45880.0</v>
      </c>
      <c r="C9" s="25" t="s">
        <v>26</v>
      </c>
      <c r="D9" s="25" t="s">
        <v>17</v>
      </c>
      <c r="E9" s="26" t="s">
        <v>27</v>
      </c>
      <c r="F9" s="27">
        <v>1.0</v>
      </c>
      <c r="G9" s="28">
        <v>7200.0</v>
      </c>
      <c r="I9" s="29" t="s">
        <v>19</v>
      </c>
      <c r="J9" s="30">
        <v>45880.0</v>
      </c>
      <c r="K9" s="31" t="s">
        <v>26</v>
      </c>
      <c r="L9" s="31" t="s">
        <v>17</v>
      </c>
      <c r="M9" s="32" t="s">
        <v>27</v>
      </c>
      <c r="N9" s="33">
        <v>1.0</v>
      </c>
      <c r="O9" s="34">
        <v>7200.0</v>
      </c>
      <c r="P9" s="35">
        <f t="shared" si="1"/>
        <v>7200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46"/>
      <c r="AV9" s="47"/>
    </row>
    <row r="10" ht="22.5" customHeight="1">
      <c r="A10" s="23" t="s">
        <v>15</v>
      </c>
      <c r="B10" s="24">
        <v>45880.0</v>
      </c>
      <c r="C10" s="25" t="s">
        <v>28</v>
      </c>
      <c r="D10" s="25" t="s">
        <v>17</v>
      </c>
      <c r="E10" s="26" t="s">
        <v>29</v>
      </c>
      <c r="F10" s="27">
        <v>1.0</v>
      </c>
      <c r="G10" s="28">
        <v>12000.0</v>
      </c>
      <c r="I10" s="29" t="s">
        <v>15</v>
      </c>
      <c r="J10" s="30">
        <v>45880.0</v>
      </c>
      <c r="K10" s="31" t="s">
        <v>28</v>
      </c>
      <c r="L10" s="31" t="s">
        <v>17</v>
      </c>
      <c r="M10" s="32" t="s">
        <v>29</v>
      </c>
      <c r="N10" s="33">
        <v>1.0</v>
      </c>
      <c r="O10" s="34">
        <v>12000.0</v>
      </c>
      <c r="P10" s="35">
        <f t="shared" si="1"/>
        <v>12000</v>
      </c>
      <c r="R10" s="36"/>
      <c r="S10" s="37"/>
      <c r="T10" s="38"/>
      <c r="U10" s="38"/>
      <c r="V10" s="2"/>
      <c r="W10" s="2"/>
      <c r="X10" s="39"/>
      <c r="AQ10" s="46"/>
      <c r="AV10" s="47"/>
    </row>
    <row r="11" ht="22.5" customHeight="1">
      <c r="A11" s="23" t="s">
        <v>15</v>
      </c>
      <c r="B11" s="24">
        <v>45882.0</v>
      </c>
      <c r="C11" s="25" t="s">
        <v>30</v>
      </c>
      <c r="D11" s="25" t="s">
        <v>17</v>
      </c>
      <c r="E11" s="26" t="s">
        <v>31</v>
      </c>
      <c r="F11" s="27">
        <v>1.0</v>
      </c>
      <c r="G11" s="28">
        <v>12000.0</v>
      </c>
      <c r="I11" s="29" t="s">
        <v>15</v>
      </c>
      <c r="J11" s="30">
        <v>45882.0</v>
      </c>
      <c r="K11" s="31" t="s">
        <v>30</v>
      </c>
      <c r="L11" s="31" t="s">
        <v>17</v>
      </c>
      <c r="M11" s="32" t="s">
        <v>31</v>
      </c>
      <c r="N11" s="33">
        <v>1.0</v>
      </c>
      <c r="O11" s="34">
        <v>12000.0</v>
      </c>
      <c r="P11" s="35">
        <f t="shared" si="1"/>
        <v>12000</v>
      </c>
      <c r="R11" s="36"/>
      <c r="S11" s="37"/>
      <c r="T11" s="38"/>
      <c r="U11" s="38"/>
      <c r="V11" s="2"/>
      <c r="W11" s="42"/>
      <c r="X11" s="39"/>
      <c r="AQ11" s="46"/>
      <c r="AV11" s="47"/>
    </row>
    <row r="12" ht="22.5" customHeight="1">
      <c r="A12" s="23" t="s">
        <v>15</v>
      </c>
      <c r="B12" s="24">
        <v>45882.0</v>
      </c>
      <c r="C12" s="25" t="s">
        <v>32</v>
      </c>
      <c r="D12" s="25" t="s">
        <v>17</v>
      </c>
      <c r="E12" s="26" t="s">
        <v>33</v>
      </c>
      <c r="F12" s="27">
        <v>1.0</v>
      </c>
      <c r="G12" s="28">
        <v>12000.0</v>
      </c>
      <c r="I12" s="29" t="s">
        <v>15</v>
      </c>
      <c r="J12" s="30">
        <v>45882.0</v>
      </c>
      <c r="K12" s="31" t="s">
        <v>32</v>
      </c>
      <c r="L12" s="31" t="s">
        <v>17</v>
      </c>
      <c r="M12" s="32" t="s">
        <v>33</v>
      </c>
      <c r="N12" s="33">
        <v>1.0</v>
      </c>
      <c r="O12" s="34">
        <v>12000.0</v>
      </c>
      <c r="P12" s="35">
        <f t="shared" si="1"/>
        <v>12000</v>
      </c>
      <c r="R12" s="36"/>
      <c r="S12" s="37"/>
      <c r="T12" s="38"/>
      <c r="U12" s="38"/>
      <c r="V12" s="2"/>
      <c r="W12" s="2"/>
      <c r="X12" s="39"/>
      <c r="AQ12" s="46"/>
      <c r="AV12" s="47"/>
    </row>
    <row r="13" ht="22.5" customHeight="1">
      <c r="A13" s="23" t="s">
        <v>15</v>
      </c>
      <c r="B13" s="24">
        <v>45882.0</v>
      </c>
      <c r="C13" s="25" t="s">
        <v>34</v>
      </c>
      <c r="D13" s="25" t="s">
        <v>17</v>
      </c>
      <c r="E13" s="26" t="s">
        <v>35</v>
      </c>
      <c r="F13" s="27">
        <v>1.0</v>
      </c>
      <c r="G13" s="28">
        <v>12000.0</v>
      </c>
      <c r="I13" s="29" t="s">
        <v>15</v>
      </c>
      <c r="J13" s="30">
        <v>45882.0</v>
      </c>
      <c r="K13" s="31" t="s">
        <v>34</v>
      </c>
      <c r="L13" s="31" t="s">
        <v>17</v>
      </c>
      <c r="M13" s="32" t="s">
        <v>35</v>
      </c>
      <c r="N13" s="33">
        <v>1.0</v>
      </c>
      <c r="O13" s="34">
        <v>12000.0</v>
      </c>
      <c r="P13" s="35">
        <f t="shared" si="1"/>
        <v>12000</v>
      </c>
      <c r="R13" s="36"/>
      <c r="S13" s="37"/>
      <c r="T13" s="38"/>
      <c r="U13" s="38"/>
      <c r="V13" s="2"/>
      <c r="W13" s="42"/>
      <c r="X13" s="39"/>
      <c r="AQ13" s="46"/>
      <c r="AV13" s="47"/>
    </row>
    <row r="14" ht="22.5" customHeight="1">
      <c r="A14" s="23" t="s">
        <v>15</v>
      </c>
      <c r="B14" s="24">
        <v>45882.0</v>
      </c>
      <c r="C14" s="25" t="s">
        <v>36</v>
      </c>
      <c r="D14" s="25" t="s">
        <v>17</v>
      </c>
      <c r="E14" s="26" t="s">
        <v>37</v>
      </c>
      <c r="F14" s="27">
        <v>1.0</v>
      </c>
      <c r="G14" s="28">
        <v>12000.0</v>
      </c>
      <c r="I14" s="29" t="s">
        <v>15</v>
      </c>
      <c r="J14" s="30">
        <v>45882.0</v>
      </c>
      <c r="K14" s="31" t="s">
        <v>36</v>
      </c>
      <c r="L14" s="31" t="s">
        <v>17</v>
      </c>
      <c r="M14" s="32" t="s">
        <v>37</v>
      </c>
      <c r="N14" s="33">
        <v>1.0</v>
      </c>
      <c r="O14" s="34">
        <v>12000.0</v>
      </c>
      <c r="P14" s="35">
        <f t="shared" si="1"/>
        <v>12000</v>
      </c>
      <c r="R14" s="36"/>
      <c r="S14" s="37"/>
      <c r="T14" s="41"/>
      <c r="U14" s="38"/>
      <c r="V14" s="2"/>
      <c r="W14" s="2"/>
      <c r="X14" s="39"/>
      <c r="AQ14" s="46"/>
      <c r="AV14" s="47"/>
    </row>
    <row r="15" ht="22.5" customHeight="1">
      <c r="A15" s="23" t="s">
        <v>15</v>
      </c>
      <c r="B15" s="24">
        <v>45882.0</v>
      </c>
      <c r="C15" s="25" t="s">
        <v>38</v>
      </c>
      <c r="D15" s="25" t="s">
        <v>17</v>
      </c>
      <c r="E15" s="26" t="s">
        <v>39</v>
      </c>
      <c r="F15" s="27">
        <v>1.0</v>
      </c>
      <c r="G15" s="28">
        <v>12000.0</v>
      </c>
      <c r="I15" s="29" t="s">
        <v>15</v>
      </c>
      <c r="J15" s="30">
        <v>45882.0</v>
      </c>
      <c r="K15" s="31" t="s">
        <v>38</v>
      </c>
      <c r="L15" s="31" t="s">
        <v>17</v>
      </c>
      <c r="M15" s="32" t="s">
        <v>39</v>
      </c>
      <c r="N15" s="33">
        <v>1.0</v>
      </c>
      <c r="O15" s="34">
        <v>12000.0</v>
      </c>
      <c r="P15" s="35">
        <f t="shared" si="1"/>
        <v>26400</v>
      </c>
      <c r="R15" s="36"/>
      <c r="S15" s="37"/>
      <c r="T15" s="41"/>
      <c r="U15" s="38"/>
      <c r="V15" s="2"/>
      <c r="W15" s="42"/>
      <c r="X15" s="39"/>
      <c r="AQ15" s="46"/>
      <c r="AV15" s="47"/>
    </row>
    <row r="16" ht="22.5" customHeight="1">
      <c r="A16" s="23" t="s">
        <v>19</v>
      </c>
      <c r="B16" s="24">
        <v>45882.0</v>
      </c>
      <c r="C16" s="25" t="s">
        <v>38</v>
      </c>
      <c r="D16" s="25" t="s">
        <v>17</v>
      </c>
      <c r="E16" s="26" t="s">
        <v>39</v>
      </c>
      <c r="F16" s="26">
        <v>2.0</v>
      </c>
      <c r="G16" s="28">
        <v>14400.0</v>
      </c>
      <c r="I16" s="29" t="s">
        <v>19</v>
      </c>
      <c r="J16" s="30">
        <v>45882.0</v>
      </c>
      <c r="K16" s="31" t="s">
        <v>38</v>
      </c>
      <c r="L16" s="31" t="s">
        <v>17</v>
      </c>
      <c r="M16" s="32" t="s">
        <v>39</v>
      </c>
      <c r="N16" s="33">
        <v>2.0</v>
      </c>
      <c r="O16" s="34">
        <v>14400.0</v>
      </c>
      <c r="P16" s="35">
        <f t="shared" si="1"/>
        <v>26400</v>
      </c>
      <c r="R16" s="36"/>
      <c r="S16" s="37"/>
      <c r="T16" s="38"/>
      <c r="U16" s="38"/>
      <c r="V16" s="2"/>
      <c r="W16" s="42"/>
      <c r="X16" s="39"/>
      <c r="AQ16" s="46"/>
      <c r="AV16" s="47"/>
    </row>
    <row r="17" ht="22.5" customHeight="1">
      <c r="A17" s="23" t="s">
        <v>15</v>
      </c>
      <c r="B17" s="24">
        <v>45882.0</v>
      </c>
      <c r="C17" s="25" t="s">
        <v>40</v>
      </c>
      <c r="D17" s="25" t="s">
        <v>17</v>
      </c>
      <c r="E17" s="26" t="s">
        <v>41</v>
      </c>
      <c r="F17" s="26">
        <v>1.0</v>
      </c>
      <c r="G17" s="28">
        <v>12000.0</v>
      </c>
      <c r="I17" s="29" t="s">
        <v>15</v>
      </c>
      <c r="J17" s="30">
        <v>45882.0</v>
      </c>
      <c r="K17" s="31" t="s">
        <v>40</v>
      </c>
      <c r="L17" s="31" t="s">
        <v>17</v>
      </c>
      <c r="M17" s="32" t="s">
        <v>41</v>
      </c>
      <c r="N17" s="33">
        <v>1.0</v>
      </c>
      <c r="O17" s="34">
        <v>12000.0</v>
      </c>
      <c r="P17" s="35">
        <f t="shared" si="1"/>
        <v>12000</v>
      </c>
      <c r="R17" s="36"/>
      <c r="S17" s="37"/>
      <c r="T17" s="38"/>
      <c r="U17" s="38"/>
      <c r="V17" s="2"/>
      <c r="W17" s="42"/>
      <c r="X17" s="39"/>
      <c r="AQ17" s="46"/>
      <c r="AV17" s="47"/>
    </row>
    <row r="18" ht="22.5" customHeight="1">
      <c r="A18" s="23" t="s">
        <v>19</v>
      </c>
      <c r="B18" s="24">
        <v>45883.0</v>
      </c>
      <c r="C18" s="25" t="s">
        <v>42</v>
      </c>
      <c r="D18" s="25" t="s">
        <v>17</v>
      </c>
      <c r="E18" s="26" t="s">
        <v>43</v>
      </c>
      <c r="F18" s="26">
        <v>1.0</v>
      </c>
      <c r="G18" s="28">
        <v>7200.0</v>
      </c>
      <c r="I18" s="29" t="s">
        <v>19</v>
      </c>
      <c r="J18" s="30">
        <v>45883.0</v>
      </c>
      <c r="K18" s="31" t="s">
        <v>42</v>
      </c>
      <c r="L18" s="31" t="s">
        <v>17</v>
      </c>
      <c r="M18" s="32" t="s">
        <v>43</v>
      </c>
      <c r="N18" s="33">
        <v>1.0</v>
      </c>
      <c r="O18" s="34">
        <v>7200.0</v>
      </c>
      <c r="P18" s="35">
        <f t="shared" si="1"/>
        <v>7200</v>
      </c>
      <c r="R18" s="36"/>
      <c r="S18" s="37"/>
      <c r="T18" s="38"/>
      <c r="U18" s="38"/>
      <c r="V18" s="2"/>
      <c r="W18" s="42"/>
      <c r="X18" s="39"/>
      <c r="AQ18" s="46"/>
      <c r="AV18" s="47"/>
    </row>
    <row r="19" ht="22.5" customHeight="1">
      <c r="A19" s="23" t="s">
        <v>15</v>
      </c>
      <c r="B19" s="24">
        <v>45883.0</v>
      </c>
      <c r="C19" s="25" t="s">
        <v>44</v>
      </c>
      <c r="D19" s="25" t="s">
        <v>17</v>
      </c>
      <c r="E19" s="26" t="s">
        <v>45</v>
      </c>
      <c r="F19" s="26">
        <v>1.0</v>
      </c>
      <c r="G19" s="28">
        <v>12000.0</v>
      </c>
      <c r="I19" s="29" t="s">
        <v>15</v>
      </c>
      <c r="J19" s="30">
        <v>45883.0</v>
      </c>
      <c r="K19" s="31" t="s">
        <v>44</v>
      </c>
      <c r="L19" s="31" t="s">
        <v>17</v>
      </c>
      <c r="M19" s="32" t="s">
        <v>45</v>
      </c>
      <c r="N19" s="33">
        <v>1.0</v>
      </c>
      <c r="O19" s="34">
        <v>12000.0</v>
      </c>
      <c r="P19" s="35">
        <f t="shared" si="1"/>
        <v>12000</v>
      </c>
      <c r="R19" s="36"/>
      <c r="S19" s="37"/>
      <c r="T19" s="38"/>
      <c r="U19" s="38"/>
      <c r="V19" s="2"/>
      <c r="W19" s="42"/>
      <c r="X19" s="39"/>
      <c r="AQ19" s="46"/>
      <c r="AV19" s="47"/>
    </row>
    <row r="20" ht="22.5" customHeight="1">
      <c r="A20" s="23" t="s">
        <v>15</v>
      </c>
      <c r="B20" s="24">
        <v>45883.0</v>
      </c>
      <c r="C20" s="25" t="s">
        <v>46</v>
      </c>
      <c r="D20" s="25" t="s">
        <v>17</v>
      </c>
      <c r="E20" s="26" t="s">
        <v>47</v>
      </c>
      <c r="F20" s="26">
        <v>1.0</v>
      </c>
      <c r="G20" s="28">
        <v>12000.0</v>
      </c>
      <c r="I20" s="29" t="s">
        <v>15</v>
      </c>
      <c r="J20" s="30">
        <v>45883.0</v>
      </c>
      <c r="K20" s="31" t="s">
        <v>46</v>
      </c>
      <c r="L20" s="31" t="s">
        <v>17</v>
      </c>
      <c r="M20" s="32" t="s">
        <v>47</v>
      </c>
      <c r="N20" s="33">
        <v>1.0</v>
      </c>
      <c r="O20" s="34">
        <v>12000.0</v>
      </c>
      <c r="P20" s="35">
        <f t="shared" si="1"/>
        <v>12000</v>
      </c>
      <c r="R20" s="36"/>
      <c r="S20" s="37"/>
      <c r="T20" s="38"/>
      <c r="U20" s="38"/>
      <c r="V20" s="2"/>
      <c r="W20" s="42"/>
      <c r="X20" s="39"/>
      <c r="AQ20" s="46"/>
      <c r="AV20" s="47"/>
    </row>
    <row r="21" ht="22.5" customHeight="1">
      <c r="A21" s="23" t="s">
        <v>15</v>
      </c>
      <c r="B21" s="24">
        <v>45883.0</v>
      </c>
      <c r="C21" s="25" t="s">
        <v>48</v>
      </c>
      <c r="D21" s="25" t="s">
        <v>17</v>
      </c>
      <c r="E21" s="26" t="s">
        <v>49</v>
      </c>
      <c r="F21" s="26">
        <v>2.0</v>
      </c>
      <c r="G21" s="28">
        <v>24000.0</v>
      </c>
      <c r="I21" s="29" t="s">
        <v>15</v>
      </c>
      <c r="J21" s="30">
        <v>45883.0</v>
      </c>
      <c r="K21" s="31" t="s">
        <v>48</v>
      </c>
      <c r="L21" s="31" t="s">
        <v>17</v>
      </c>
      <c r="M21" s="32" t="s">
        <v>49</v>
      </c>
      <c r="N21" s="33">
        <v>2.0</v>
      </c>
      <c r="O21" s="34">
        <v>24000.0</v>
      </c>
      <c r="P21" s="35">
        <f t="shared" si="1"/>
        <v>24000</v>
      </c>
      <c r="R21" s="36"/>
      <c r="S21" s="37"/>
      <c r="T21" s="38"/>
      <c r="U21" s="38"/>
      <c r="V21" s="2"/>
      <c r="W21" s="42"/>
      <c r="X21" s="39"/>
      <c r="AQ21" s="46"/>
      <c r="AV21" s="47"/>
    </row>
    <row r="22" ht="22.5" customHeight="1">
      <c r="A22" s="23" t="s">
        <v>15</v>
      </c>
      <c r="B22" s="24">
        <v>45883.0</v>
      </c>
      <c r="C22" s="25" t="s">
        <v>50</v>
      </c>
      <c r="D22" s="25" t="s">
        <v>17</v>
      </c>
      <c r="E22" s="26" t="s">
        <v>51</v>
      </c>
      <c r="F22" s="26">
        <v>1.0</v>
      </c>
      <c r="G22" s="28">
        <v>12000.0</v>
      </c>
      <c r="I22" s="29" t="s">
        <v>15</v>
      </c>
      <c r="J22" s="30">
        <v>45883.0</v>
      </c>
      <c r="K22" s="31" t="s">
        <v>50</v>
      </c>
      <c r="L22" s="31" t="s">
        <v>17</v>
      </c>
      <c r="M22" s="32" t="s">
        <v>51</v>
      </c>
      <c r="N22" s="33">
        <v>1.0</v>
      </c>
      <c r="O22" s="34">
        <v>12000.0</v>
      </c>
      <c r="P22" s="35">
        <f t="shared" si="1"/>
        <v>12000</v>
      </c>
      <c r="R22" s="36"/>
      <c r="S22" s="37"/>
      <c r="T22" s="38"/>
      <c r="U22" s="38"/>
      <c r="V22" s="2"/>
      <c r="W22" s="42"/>
      <c r="X22" s="39"/>
      <c r="AQ22" s="46"/>
      <c r="AV22" s="47"/>
    </row>
    <row r="23" ht="22.5" customHeight="1">
      <c r="A23" s="23" t="s">
        <v>15</v>
      </c>
      <c r="B23" s="24">
        <v>45883.0</v>
      </c>
      <c r="C23" s="25" t="s">
        <v>52</v>
      </c>
      <c r="D23" s="25" t="s">
        <v>17</v>
      </c>
      <c r="E23" s="26" t="s">
        <v>53</v>
      </c>
      <c r="F23" s="26">
        <v>1.0</v>
      </c>
      <c r="G23" s="28">
        <v>12000.0</v>
      </c>
      <c r="I23" s="29" t="s">
        <v>15</v>
      </c>
      <c r="J23" s="30">
        <v>45883.0</v>
      </c>
      <c r="K23" s="31" t="s">
        <v>52</v>
      </c>
      <c r="L23" s="31" t="s">
        <v>17</v>
      </c>
      <c r="M23" s="32" t="s">
        <v>53</v>
      </c>
      <c r="N23" s="33">
        <v>1.0</v>
      </c>
      <c r="O23" s="34">
        <v>12000.0</v>
      </c>
      <c r="P23" s="35">
        <f t="shared" si="1"/>
        <v>12000</v>
      </c>
      <c r="R23" s="36"/>
      <c r="S23" s="37"/>
      <c r="T23" s="41"/>
      <c r="U23" s="38"/>
      <c r="V23" s="2"/>
      <c r="W23" s="42"/>
      <c r="X23" s="39"/>
      <c r="AQ23" s="46"/>
      <c r="AV23" s="47"/>
    </row>
    <row r="24" ht="22.5" customHeight="1">
      <c r="A24" s="48"/>
      <c r="B24" s="24"/>
      <c r="C24" s="49"/>
      <c r="D24" s="25"/>
      <c r="E24" s="26"/>
      <c r="F24" s="26"/>
      <c r="G24" s="28"/>
      <c r="I24" s="50"/>
      <c r="J24" s="30"/>
      <c r="K24" s="51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46"/>
      <c r="AV24" s="47"/>
    </row>
    <row r="25" ht="22.5" customHeight="1">
      <c r="A25" s="52"/>
      <c r="B25" s="24"/>
      <c r="C25" s="49"/>
      <c r="D25" s="25"/>
      <c r="E25" s="26"/>
      <c r="F25" s="26"/>
      <c r="G25" s="28"/>
      <c r="I25" s="29"/>
      <c r="J25" s="30"/>
      <c r="K25" s="51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46"/>
      <c r="AV25" s="47"/>
    </row>
    <row r="26" ht="22.5" customHeight="1">
      <c r="A26" s="52"/>
      <c r="B26" s="24"/>
      <c r="C26" s="49"/>
      <c r="D26" s="25"/>
      <c r="E26" s="26"/>
      <c r="F26" s="26"/>
      <c r="G26" s="28"/>
      <c r="I26" s="29"/>
      <c r="J26" s="30"/>
      <c r="K26" s="51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46"/>
      <c r="AV26" s="47"/>
    </row>
    <row r="27" ht="22.5" customHeight="1">
      <c r="A27" s="52"/>
      <c r="B27" s="24"/>
      <c r="C27" s="49"/>
      <c r="D27" s="25"/>
      <c r="E27" s="26"/>
      <c r="F27" s="26"/>
      <c r="G27" s="28"/>
      <c r="I27" s="29"/>
      <c r="J27" s="30"/>
      <c r="K27" s="51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46"/>
      <c r="AV27" s="47"/>
    </row>
    <row r="28" ht="22.5" customHeight="1">
      <c r="A28" s="52"/>
      <c r="B28" s="24"/>
      <c r="C28" s="49"/>
      <c r="D28" s="25"/>
      <c r="E28" s="26"/>
      <c r="F28" s="26"/>
      <c r="G28" s="28"/>
      <c r="I28" s="29"/>
      <c r="J28" s="30"/>
      <c r="K28" s="51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46"/>
      <c r="AV28" s="47"/>
    </row>
    <row r="29" ht="22.5" customHeight="1">
      <c r="A29" s="23"/>
      <c r="B29" s="24"/>
      <c r="C29" s="49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46"/>
      <c r="AV29" s="47"/>
    </row>
    <row r="30" ht="22.5" customHeight="1">
      <c r="A30" s="23"/>
      <c r="B30" s="24"/>
      <c r="C30" s="49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46"/>
      <c r="AV30" s="47"/>
    </row>
    <row r="31" ht="22.5" customHeight="1">
      <c r="A31" s="23"/>
      <c r="B31" s="24"/>
      <c r="C31" s="49"/>
      <c r="D31" s="25"/>
      <c r="E31" s="26"/>
      <c r="F31" s="26"/>
      <c r="G31" s="28"/>
      <c r="I31" s="29"/>
      <c r="J31" s="30"/>
      <c r="K31" s="51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46"/>
      <c r="AV31" s="47"/>
    </row>
    <row r="32" ht="22.5" customHeight="1">
      <c r="A32" s="23"/>
      <c r="B32" s="24"/>
      <c r="C32" s="49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46"/>
      <c r="AV32" s="47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46"/>
      <c r="AV33" s="47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46"/>
      <c r="AV34" s="47"/>
    </row>
    <row r="35" ht="22.5" customHeight="1">
      <c r="A35" s="23"/>
      <c r="B35" s="24"/>
      <c r="C35" s="49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46"/>
      <c r="AV35" s="47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46"/>
      <c r="AV36" s="47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51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46"/>
      <c r="AV37" s="47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46"/>
      <c r="AV38" s="47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46"/>
      <c r="AV39" s="47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46"/>
      <c r="AV40" s="47"/>
    </row>
    <row r="41" ht="22.5" customHeight="1">
      <c r="A41" s="23"/>
      <c r="B41" s="24"/>
      <c r="C41" s="49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46"/>
      <c r="AV41" s="47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46"/>
      <c r="AV42" s="47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46"/>
      <c r="AV43" s="47"/>
    </row>
    <row r="44" ht="22.5" customHeight="1">
      <c r="A44" s="23"/>
      <c r="B44" s="24"/>
      <c r="C44" s="25"/>
      <c r="D44" s="25"/>
      <c r="E44" s="26"/>
      <c r="F44" s="26"/>
      <c r="G44" s="28"/>
      <c r="I44" s="29"/>
      <c r="J44" s="30"/>
      <c r="K44" s="31"/>
      <c r="L44" s="31"/>
      <c r="M44" s="32"/>
      <c r="N44" s="33"/>
      <c r="O44" s="34"/>
      <c r="P44" s="35">
        <f t="shared" si="1"/>
        <v>0</v>
      </c>
      <c r="R44" s="40"/>
      <c r="S44" s="53"/>
      <c r="T44" s="54"/>
      <c r="U44" s="54"/>
      <c r="V44" s="55"/>
      <c r="W44" s="56"/>
      <c r="X44" s="57"/>
      <c r="AQ44" s="46"/>
      <c r="AV44" s="47"/>
    </row>
    <row r="45" ht="22.5" customHeight="1">
      <c r="A45" s="23"/>
      <c r="B45" s="24"/>
      <c r="C45" s="25"/>
      <c r="D45" s="25"/>
      <c r="E45" s="26"/>
      <c r="F45" s="26"/>
      <c r="G45" s="28"/>
      <c r="I45" s="29"/>
      <c r="J45" s="30"/>
      <c r="K45" s="31"/>
      <c r="L45" s="31"/>
      <c r="M45" s="32"/>
      <c r="N45" s="33"/>
      <c r="O45" s="34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46"/>
      <c r="AV45" s="47"/>
    </row>
    <row r="46" ht="22.5" customHeight="1">
      <c r="A46" s="23"/>
      <c r="B46" s="24"/>
      <c r="C46" s="25"/>
      <c r="D46" s="25"/>
      <c r="E46" s="26"/>
      <c r="F46" s="26"/>
      <c r="G46" s="28"/>
      <c r="I46" s="29"/>
      <c r="J46" s="30"/>
      <c r="K46" s="31"/>
      <c r="L46" s="31"/>
      <c r="M46" s="32"/>
      <c r="N46" s="33"/>
      <c r="O46" s="34"/>
      <c r="P46" s="35">
        <f t="shared" si="1"/>
        <v>0</v>
      </c>
      <c r="AQ46" s="46"/>
      <c r="AV46" s="47"/>
    </row>
    <row r="47" ht="22.5" customHeight="1">
      <c r="A47" s="23"/>
      <c r="B47" s="24"/>
      <c r="C47" s="25"/>
      <c r="D47" s="25"/>
      <c r="E47" s="26"/>
      <c r="F47" s="26"/>
      <c r="G47" s="28"/>
      <c r="I47" s="29"/>
      <c r="J47" s="30"/>
      <c r="K47" s="31"/>
      <c r="L47" s="31"/>
      <c r="M47" s="32"/>
      <c r="N47" s="33"/>
      <c r="O47" s="34"/>
      <c r="P47" s="35">
        <f t="shared" si="1"/>
        <v>0</v>
      </c>
      <c r="AQ47" s="46"/>
      <c r="AV47" s="47"/>
    </row>
    <row r="48" ht="22.5" customHeight="1">
      <c r="A48" s="23"/>
      <c r="B48" s="24"/>
      <c r="C48" s="25"/>
      <c r="D48" s="25"/>
      <c r="E48" s="26"/>
      <c r="F48" s="26"/>
      <c r="G48" s="28"/>
      <c r="I48" s="29"/>
      <c r="J48" s="30"/>
      <c r="K48" s="31"/>
      <c r="L48" s="31"/>
      <c r="M48" s="32"/>
      <c r="N48" s="33"/>
      <c r="O48" s="34"/>
      <c r="P48" s="35">
        <f t="shared" si="1"/>
        <v>0</v>
      </c>
      <c r="AQ48" s="46"/>
      <c r="AV48" s="47"/>
    </row>
    <row r="49" ht="22.5" customHeight="1">
      <c r="A49" s="23"/>
      <c r="B49" s="24"/>
      <c r="C49" s="25"/>
      <c r="D49" s="25"/>
      <c r="E49" s="26"/>
      <c r="F49" s="26"/>
      <c r="G49" s="28"/>
      <c r="I49" s="29"/>
      <c r="J49" s="30"/>
      <c r="K49" s="31"/>
      <c r="L49" s="31"/>
      <c r="M49" s="32"/>
      <c r="N49" s="33"/>
      <c r="O49" s="34"/>
      <c r="P49" s="35">
        <f t="shared" si="1"/>
        <v>0</v>
      </c>
      <c r="AQ49" s="46"/>
      <c r="AV49" s="47"/>
    </row>
    <row r="50" ht="22.5" customHeight="1">
      <c r="A50" s="23"/>
      <c r="B50" s="24"/>
      <c r="C50" s="25"/>
      <c r="D50" s="25"/>
      <c r="E50" s="26"/>
      <c r="F50" s="26"/>
      <c r="G50" s="28"/>
      <c r="I50" s="29"/>
      <c r="J50" s="30"/>
      <c r="K50" s="31"/>
      <c r="L50" s="31"/>
      <c r="M50" s="32"/>
      <c r="N50" s="33"/>
      <c r="O50" s="34"/>
      <c r="P50" s="35">
        <f t="shared" si="1"/>
        <v>0</v>
      </c>
      <c r="AQ50" s="46"/>
      <c r="AV50" s="47"/>
    </row>
    <row r="51" ht="22.5" customHeight="1">
      <c r="A51" s="23"/>
      <c r="B51" s="24"/>
      <c r="C51" s="25"/>
      <c r="D51" s="25"/>
      <c r="E51" s="26"/>
      <c r="F51" s="26"/>
      <c r="G51" s="28"/>
      <c r="I51" s="29"/>
      <c r="J51" s="30"/>
      <c r="K51" s="31"/>
      <c r="L51" s="31"/>
      <c r="M51" s="32"/>
      <c r="N51" s="33"/>
      <c r="O51" s="34"/>
      <c r="P51" s="35">
        <f t="shared" si="1"/>
        <v>0</v>
      </c>
      <c r="AQ51" s="46"/>
      <c r="AV51" s="47"/>
    </row>
    <row r="52" ht="22.5" customHeight="1">
      <c r="A52" s="23"/>
      <c r="B52" s="24"/>
      <c r="C52" s="25"/>
      <c r="D52" s="25"/>
      <c r="E52" s="26"/>
      <c r="F52" s="26"/>
      <c r="G52" s="28"/>
      <c r="I52" s="29"/>
      <c r="J52" s="30"/>
      <c r="K52" s="31"/>
      <c r="L52" s="31"/>
      <c r="M52" s="32"/>
      <c r="N52" s="33"/>
      <c r="O52" s="34"/>
      <c r="P52" s="35">
        <f t="shared" si="1"/>
        <v>0</v>
      </c>
      <c r="AQ52" s="46"/>
      <c r="AV52" s="47"/>
    </row>
    <row r="53" ht="22.5" customHeight="1">
      <c r="A53" s="23"/>
      <c r="B53" s="24"/>
      <c r="C53" s="25"/>
      <c r="D53" s="25"/>
      <c r="E53" s="26"/>
      <c r="F53" s="26"/>
      <c r="G53" s="28"/>
      <c r="I53" s="29"/>
      <c r="J53" s="30"/>
      <c r="K53" s="31"/>
      <c r="L53" s="31"/>
      <c r="M53" s="32"/>
      <c r="N53" s="33"/>
      <c r="O53" s="34"/>
      <c r="P53" s="35">
        <f t="shared" si="1"/>
        <v>0</v>
      </c>
      <c r="AQ53" s="46"/>
      <c r="AV53" s="47"/>
    </row>
    <row r="54" ht="22.5" customHeight="1">
      <c r="A54" s="23"/>
      <c r="B54" s="24"/>
      <c r="C54" s="25"/>
      <c r="D54" s="25"/>
      <c r="E54" s="26"/>
      <c r="F54" s="26"/>
      <c r="G54" s="28"/>
      <c r="I54" s="29"/>
      <c r="J54" s="30"/>
      <c r="K54" s="31"/>
      <c r="L54" s="31"/>
      <c r="M54" s="32"/>
      <c r="N54" s="33"/>
      <c r="O54" s="34"/>
      <c r="P54" s="35">
        <f t="shared" si="1"/>
        <v>0</v>
      </c>
      <c r="AQ54" s="46"/>
      <c r="AV54" s="47"/>
    </row>
    <row r="55" ht="22.5" customHeight="1">
      <c r="A55" s="23"/>
      <c r="B55" s="24"/>
      <c r="C55" s="25"/>
      <c r="D55" s="25"/>
      <c r="E55" s="26"/>
      <c r="F55" s="26"/>
      <c r="G55" s="28"/>
      <c r="I55" s="29"/>
      <c r="J55" s="30"/>
      <c r="K55" s="31"/>
      <c r="L55" s="31"/>
      <c r="M55" s="32"/>
      <c r="N55" s="33"/>
      <c r="O55" s="34"/>
      <c r="P55" s="35">
        <f t="shared" si="1"/>
        <v>0</v>
      </c>
      <c r="AQ55" s="46"/>
    </row>
    <row r="56" ht="22.5" customHeight="1">
      <c r="A56" s="23"/>
      <c r="B56" s="24"/>
      <c r="C56" s="25"/>
      <c r="D56" s="25"/>
      <c r="E56" s="26"/>
      <c r="F56" s="26"/>
      <c r="G56" s="28"/>
      <c r="I56" s="29"/>
      <c r="J56" s="30"/>
      <c r="K56" s="31"/>
      <c r="L56" s="31"/>
      <c r="M56" s="32"/>
      <c r="N56" s="33"/>
      <c r="O56" s="34"/>
      <c r="P56" s="35">
        <f t="shared" si="1"/>
        <v>0</v>
      </c>
      <c r="AQ56" s="46"/>
    </row>
    <row r="57" ht="22.5" customHeight="1">
      <c r="A57" s="23"/>
      <c r="B57" s="24"/>
      <c r="C57" s="25"/>
      <c r="D57" s="25"/>
      <c r="E57" s="26"/>
      <c r="F57" s="26"/>
      <c r="G57" s="28"/>
      <c r="I57" s="29"/>
      <c r="J57" s="30"/>
      <c r="K57" s="31"/>
      <c r="L57" s="31"/>
      <c r="M57" s="32"/>
      <c r="N57" s="33"/>
      <c r="O57" s="34"/>
      <c r="P57" s="35">
        <f t="shared" si="1"/>
        <v>0</v>
      </c>
      <c r="AQ57" s="46"/>
    </row>
    <row r="58" ht="22.5" customHeight="1">
      <c r="A58" s="23"/>
      <c r="B58" s="24"/>
      <c r="C58" s="25"/>
      <c r="D58" s="25"/>
      <c r="E58" s="26"/>
      <c r="F58" s="26"/>
      <c r="G58" s="28"/>
      <c r="I58" s="29"/>
      <c r="J58" s="30"/>
      <c r="K58" s="31"/>
      <c r="L58" s="31"/>
      <c r="M58" s="32"/>
      <c r="N58" s="33"/>
      <c r="O58" s="34"/>
      <c r="P58" s="35">
        <f t="shared" si="1"/>
        <v>0</v>
      </c>
      <c r="AQ58" s="46"/>
    </row>
    <row r="59" ht="22.5" customHeight="1">
      <c r="A59" s="23"/>
      <c r="B59" s="24"/>
      <c r="C59" s="25"/>
      <c r="D59" s="25"/>
      <c r="E59" s="26"/>
      <c r="F59" s="26"/>
      <c r="G59" s="28"/>
      <c r="I59" s="58"/>
      <c r="J59" s="59"/>
      <c r="K59" s="60"/>
      <c r="L59" s="60"/>
      <c r="M59" s="61"/>
      <c r="N59" s="62"/>
      <c r="O59" s="63"/>
      <c r="P59" s="35">
        <f t="shared" si="1"/>
        <v>0</v>
      </c>
      <c r="AQ59" s="46"/>
    </row>
    <row r="60" ht="22.5" customHeight="1">
      <c r="A60" s="23"/>
      <c r="B60" s="24"/>
      <c r="C60" s="25"/>
      <c r="D60" s="25"/>
      <c r="E60" s="26"/>
      <c r="F60" s="26"/>
      <c r="G60" s="28"/>
      <c r="I60" s="58"/>
      <c r="J60" s="59"/>
      <c r="K60" s="60"/>
      <c r="L60" s="60"/>
      <c r="M60" s="61"/>
      <c r="N60" s="62"/>
      <c r="O60" s="63"/>
      <c r="P60" s="35">
        <f t="shared" si="1"/>
        <v>0</v>
      </c>
      <c r="AQ60" s="46"/>
    </row>
    <row r="61" ht="22.5" customHeight="1">
      <c r="A61" s="23"/>
      <c r="B61" s="24"/>
      <c r="C61" s="25"/>
      <c r="D61" s="25"/>
      <c r="E61" s="26"/>
      <c r="F61" s="26"/>
      <c r="G61" s="28"/>
      <c r="I61" s="58"/>
      <c r="J61" s="59"/>
      <c r="K61" s="60"/>
      <c r="L61" s="60"/>
      <c r="M61" s="61"/>
      <c r="N61" s="62"/>
      <c r="O61" s="63"/>
      <c r="P61" s="35">
        <f t="shared" si="1"/>
        <v>0</v>
      </c>
      <c r="AQ61" s="46"/>
    </row>
    <row r="62" ht="22.5" customHeight="1">
      <c r="A62" s="23"/>
      <c r="B62" s="24"/>
      <c r="C62" s="25"/>
      <c r="D62" s="25"/>
      <c r="E62" s="26"/>
      <c r="F62" s="26"/>
      <c r="G62" s="28"/>
      <c r="I62" s="58"/>
      <c r="J62" s="59"/>
      <c r="K62" s="60"/>
      <c r="L62" s="60"/>
      <c r="M62" s="61"/>
      <c r="N62" s="62"/>
      <c r="O62" s="63"/>
      <c r="P62" s="35">
        <f t="shared" si="1"/>
        <v>0</v>
      </c>
      <c r="AQ62" s="46"/>
    </row>
    <row r="63" ht="22.5" customHeight="1">
      <c r="B63" s="46"/>
      <c r="G63" s="47"/>
      <c r="I63" s="58"/>
      <c r="J63" s="59"/>
      <c r="K63" s="60"/>
      <c r="L63" s="60"/>
      <c r="M63" s="61"/>
      <c r="N63" s="62"/>
      <c r="O63" s="63"/>
      <c r="P63" s="35">
        <f t="shared" si="1"/>
        <v>0</v>
      </c>
      <c r="AQ63" s="46"/>
    </row>
    <row r="64" ht="22.5" customHeight="1">
      <c r="B64" s="46"/>
      <c r="G64" s="47"/>
      <c r="I64" s="58"/>
      <c r="J64" s="59"/>
      <c r="K64" s="60"/>
      <c r="L64" s="60"/>
      <c r="M64" s="61"/>
      <c r="N64" s="62"/>
      <c r="O64" s="63"/>
      <c r="P64" s="35">
        <f t="shared" si="1"/>
        <v>0</v>
      </c>
      <c r="AQ64" s="46"/>
    </row>
    <row r="65" ht="22.5" customHeight="1">
      <c r="B65" s="46"/>
      <c r="G65" s="47"/>
      <c r="I65" s="58"/>
      <c r="J65" s="59"/>
      <c r="K65" s="60"/>
      <c r="L65" s="60"/>
      <c r="M65" s="61"/>
      <c r="N65" s="62"/>
      <c r="O65" s="63"/>
      <c r="P65" s="35">
        <f t="shared" si="1"/>
        <v>0</v>
      </c>
      <c r="AQ65" s="46"/>
    </row>
    <row r="66" ht="22.5" customHeight="1">
      <c r="B66" s="46"/>
      <c r="G66" s="47"/>
      <c r="I66" s="58"/>
      <c r="J66" s="59"/>
      <c r="K66" s="60"/>
      <c r="L66" s="60"/>
      <c r="M66" s="61"/>
      <c r="N66" s="62"/>
      <c r="O66" s="63"/>
      <c r="P66" s="35">
        <f t="shared" si="1"/>
        <v>0</v>
      </c>
      <c r="AQ66" s="46"/>
    </row>
    <row r="67" ht="22.5" customHeight="1">
      <c r="B67" s="46"/>
      <c r="G67" s="47"/>
      <c r="I67" s="58"/>
      <c r="J67" s="59"/>
      <c r="K67" s="60"/>
      <c r="L67" s="60"/>
      <c r="M67" s="61"/>
      <c r="N67" s="62"/>
      <c r="O67" s="63"/>
      <c r="P67" s="35">
        <f t="shared" si="1"/>
        <v>0</v>
      </c>
      <c r="AQ67" s="46"/>
    </row>
    <row r="68" ht="22.5" customHeight="1">
      <c r="B68" s="46"/>
      <c r="G68" s="47"/>
      <c r="I68" s="58"/>
      <c r="J68" s="59"/>
      <c r="K68" s="60"/>
      <c r="L68" s="60"/>
      <c r="M68" s="61"/>
      <c r="N68" s="62"/>
      <c r="O68" s="63"/>
      <c r="P68" s="35">
        <f t="shared" si="1"/>
        <v>0</v>
      </c>
      <c r="AQ68" s="46"/>
    </row>
    <row r="69" ht="22.5" customHeight="1">
      <c r="B69" s="46"/>
      <c r="G69" s="47"/>
      <c r="I69" s="58"/>
      <c r="J69" s="59"/>
      <c r="K69" s="60"/>
      <c r="L69" s="60"/>
      <c r="M69" s="61"/>
      <c r="N69" s="62"/>
      <c r="O69" s="63"/>
      <c r="P69" s="35">
        <f t="shared" si="1"/>
        <v>0</v>
      </c>
      <c r="AQ69" s="46"/>
    </row>
    <row r="70" ht="22.5" customHeight="1">
      <c r="B70" s="46"/>
      <c r="G70" s="47"/>
      <c r="I70" s="58"/>
      <c r="J70" s="59"/>
      <c r="K70" s="60"/>
      <c r="L70" s="60"/>
      <c r="M70" s="61"/>
      <c r="N70" s="62"/>
      <c r="O70" s="63"/>
      <c r="P70" s="35">
        <f t="shared" si="1"/>
        <v>0</v>
      </c>
      <c r="AQ70" s="46"/>
    </row>
    <row r="71" ht="22.5" customHeight="1">
      <c r="B71" s="46"/>
      <c r="G71" s="47"/>
      <c r="I71" s="58"/>
      <c r="J71" s="59"/>
      <c r="K71" s="60"/>
      <c r="L71" s="60"/>
      <c r="M71" s="61"/>
      <c r="N71" s="62"/>
      <c r="O71" s="63"/>
      <c r="AQ71" s="46"/>
    </row>
    <row r="72" ht="22.5" customHeight="1">
      <c r="B72" s="46"/>
      <c r="G72" s="47"/>
      <c r="I72" s="58"/>
      <c r="J72" s="59"/>
      <c r="K72" s="60"/>
      <c r="L72" s="60"/>
      <c r="M72" s="61"/>
      <c r="N72" s="62"/>
      <c r="O72" s="63"/>
      <c r="AQ72" s="46"/>
    </row>
    <row r="73" ht="22.5" customHeight="1">
      <c r="B73" s="46"/>
      <c r="G73" s="47"/>
      <c r="I73" s="58"/>
      <c r="J73" s="59"/>
      <c r="K73" s="60"/>
      <c r="L73" s="60"/>
      <c r="M73" s="61"/>
      <c r="N73" s="62"/>
      <c r="O73" s="63"/>
      <c r="AQ73" s="46"/>
    </row>
    <row r="74" ht="22.5" customHeight="1">
      <c r="B74" s="46"/>
      <c r="G74" s="47"/>
      <c r="I74" s="58"/>
      <c r="J74" s="59"/>
      <c r="K74" s="60"/>
      <c r="L74" s="60"/>
      <c r="M74" s="61"/>
      <c r="N74" s="62"/>
      <c r="O74" s="63"/>
      <c r="AQ74" s="46"/>
    </row>
    <row r="75" ht="22.5" customHeight="1">
      <c r="B75" s="46"/>
      <c r="G75" s="47"/>
      <c r="I75" s="58"/>
      <c r="J75" s="59"/>
      <c r="K75" s="60"/>
      <c r="L75" s="60"/>
      <c r="M75" s="61"/>
      <c r="N75" s="62"/>
      <c r="O75" s="63"/>
      <c r="AQ75" s="46"/>
    </row>
    <row r="76" ht="22.5" customHeight="1">
      <c r="B76" s="46"/>
      <c r="G76" s="47"/>
      <c r="I76" s="58"/>
      <c r="J76" s="59"/>
      <c r="K76" s="60"/>
      <c r="L76" s="60"/>
      <c r="M76" s="61"/>
      <c r="N76" s="62"/>
      <c r="O76" s="63"/>
      <c r="AQ76" s="46"/>
    </row>
    <row r="77" ht="22.5" customHeight="1">
      <c r="B77" s="46"/>
      <c r="G77" s="47"/>
      <c r="I77" s="58"/>
      <c r="J77" s="59"/>
      <c r="K77" s="60"/>
      <c r="L77" s="60"/>
      <c r="M77" s="61"/>
      <c r="N77" s="62"/>
      <c r="O77" s="63"/>
      <c r="AQ77" s="46"/>
    </row>
    <row r="78" ht="22.5" customHeight="1">
      <c r="B78" s="46"/>
      <c r="G78" s="47"/>
      <c r="I78" s="58"/>
      <c r="J78" s="59"/>
      <c r="K78" s="60"/>
      <c r="L78" s="60"/>
      <c r="M78" s="61"/>
      <c r="N78" s="62"/>
      <c r="O78" s="63"/>
      <c r="AQ78" s="46"/>
    </row>
    <row r="79" ht="22.5" customHeight="1">
      <c r="B79" s="46"/>
      <c r="G79" s="47"/>
      <c r="I79" s="58"/>
      <c r="J79" s="59"/>
      <c r="K79" s="60"/>
      <c r="L79" s="60"/>
      <c r="M79" s="61"/>
      <c r="N79" s="62"/>
      <c r="O79" s="63"/>
      <c r="AQ79" s="46"/>
    </row>
    <row r="80" ht="22.5" customHeight="1">
      <c r="B80" s="46"/>
      <c r="G80" s="47"/>
      <c r="I80" s="58"/>
      <c r="J80" s="59"/>
      <c r="K80" s="60"/>
      <c r="L80" s="60"/>
      <c r="M80" s="61"/>
      <c r="N80" s="62"/>
      <c r="O80" s="63"/>
      <c r="AQ80" s="46"/>
    </row>
    <row r="81" ht="22.5" customHeight="1">
      <c r="B81" s="46"/>
      <c r="G81" s="47"/>
      <c r="I81" s="58"/>
      <c r="J81" s="59"/>
      <c r="K81" s="60"/>
      <c r="L81" s="60"/>
      <c r="M81" s="61"/>
      <c r="N81" s="62"/>
      <c r="O81" s="63"/>
      <c r="AQ81" s="46"/>
    </row>
    <row r="82" ht="22.5" customHeight="1">
      <c r="B82" s="46"/>
      <c r="G82" s="47"/>
      <c r="I82" s="58"/>
      <c r="J82" s="59"/>
      <c r="K82" s="60"/>
      <c r="L82" s="60"/>
      <c r="M82" s="61"/>
      <c r="N82" s="62"/>
      <c r="O82" s="63"/>
      <c r="AQ82" s="46"/>
    </row>
    <row r="83" ht="22.5" customHeight="1">
      <c r="B83" s="46"/>
      <c r="G83" s="47"/>
      <c r="I83" s="58"/>
      <c r="J83" s="59"/>
      <c r="K83" s="60"/>
      <c r="L83" s="60"/>
      <c r="M83" s="61"/>
      <c r="N83" s="62"/>
      <c r="O83" s="63"/>
      <c r="AQ83" s="46"/>
    </row>
    <row r="84" ht="22.5" customHeight="1">
      <c r="B84" s="46"/>
      <c r="G84" s="47"/>
      <c r="I84" s="58"/>
      <c r="J84" s="59"/>
      <c r="K84" s="60"/>
      <c r="L84" s="60"/>
      <c r="M84" s="61"/>
      <c r="N84" s="62"/>
      <c r="O84" s="63"/>
      <c r="AQ84" s="46"/>
    </row>
    <row r="85" ht="22.5" customHeight="1">
      <c r="B85" s="46"/>
      <c r="G85" s="47"/>
      <c r="I85" s="58"/>
      <c r="J85" s="59"/>
      <c r="K85" s="60"/>
      <c r="L85" s="60"/>
      <c r="M85" s="61"/>
      <c r="N85" s="62"/>
      <c r="O85" s="63"/>
      <c r="AQ85" s="46"/>
    </row>
    <row r="86" ht="22.5" customHeight="1">
      <c r="B86" s="46"/>
      <c r="G86" s="47"/>
      <c r="I86" s="58"/>
      <c r="J86" s="59"/>
      <c r="K86" s="60"/>
      <c r="L86" s="60"/>
      <c r="M86" s="61"/>
      <c r="N86" s="62"/>
      <c r="O86" s="63"/>
      <c r="AQ86" s="46"/>
    </row>
    <row r="87" ht="22.5" customHeight="1">
      <c r="B87" s="46"/>
      <c r="G87" s="47"/>
      <c r="I87" s="58"/>
      <c r="J87" s="59"/>
      <c r="K87" s="60"/>
      <c r="L87" s="60"/>
      <c r="M87" s="61"/>
      <c r="N87" s="62"/>
      <c r="O87" s="63"/>
      <c r="AQ87" s="46"/>
    </row>
    <row r="88" ht="22.5" customHeight="1">
      <c r="B88" s="46"/>
      <c r="G88" s="47"/>
      <c r="I88" s="58"/>
      <c r="J88" s="59"/>
      <c r="K88" s="60"/>
      <c r="L88" s="60"/>
      <c r="M88" s="61"/>
      <c r="N88" s="62"/>
      <c r="O88" s="63"/>
      <c r="AQ88" s="46"/>
    </row>
    <row r="89" ht="22.5" customHeight="1">
      <c r="B89" s="46"/>
      <c r="G89" s="47"/>
      <c r="I89" s="58"/>
      <c r="J89" s="59"/>
      <c r="K89" s="60"/>
      <c r="L89" s="60"/>
      <c r="M89" s="61"/>
      <c r="N89" s="62"/>
      <c r="O89" s="63"/>
      <c r="AQ89" s="46"/>
    </row>
    <row r="90" ht="22.5" customHeight="1">
      <c r="B90" s="46"/>
      <c r="G90" s="47"/>
      <c r="I90" s="58"/>
      <c r="J90" s="59"/>
      <c r="K90" s="60"/>
      <c r="L90" s="60"/>
      <c r="M90" s="61"/>
      <c r="N90" s="62"/>
      <c r="O90" s="63"/>
      <c r="AQ90" s="46"/>
    </row>
    <row r="91" ht="22.5" customHeight="1">
      <c r="B91" s="46"/>
      <c r="G91" s="47"/>
      <c r="I91" s="58"/>
      <c r="J91" s="59"/>
      <c r="K91" s="60"/>
      <c r="L91" s="60"/>
      <c r="M91" s="61"/>
      <c r="N91" s="62"/>
      <c r="O91" s="63"/>
      <c r="AQ91" s="46"/>
    </row>
    <row r="92" ht="22.5" customHeight="1">
      <c r="B92" s="46"/>
      <c r="G92" s="47"/>
      <c r="I92" s="58"/>
      <c r="J92" s="59"/>
      <c r="K92" s="60"/>
      <c r="L92" s="60"/>
      <c r="M92" s="61"/>
      <c r="N92" s="62"/>
      <c r="O92" s="63"/>
      <c r="AQ92" s="46"/>
    </row>
    <row r="93" ht="22.5" customHeight="1">
      <c r="B93" s="46"/>
      <c r="G93" s="47"/>
      <c r="I93" s="58"/>
      <c r="J93" s="59"/>
      <c r="K93" s="60"/>
      <c r="L93" s="60"/>
      <c r="M93" s="61"/>
      <c r="N93" s="62"/>
      <c r="O93" s="63"/>
      <c r="AQ93" s="46"/>
    </row>
    <row r="94" ht="22.5" customHeight="1">
      <c r="B94" s="46"/>
      <c r="G94" s="47"/>
      <c r="I94" s="58"/>
      <c r="J94" s="59"/>
      <c r="K94" s="60"/>
      <c r="L94" s="60"/>
      <c r="M94" s="61"/>
      <c r="N94" s="62"/>
      <c r="O94" s="63"/>
      <c r="AQ94" s="46"/>
    </row>
    <row r="95" ht="22.5" customHeight="1">
      <c r="B95" s="46"/>
      <c r="G95" s="47"/>
      <c r="I95" s="58"/>
      <c r="J95" s="59"/>
      <c r="K95" s="60"/>
      <c r="L95" s="60"/>
      <c r="M95" s="61"/>
      <c r="N95" s="62"/>
      <c r="O95" s="63"/>
      <c r="AQ95" s="46"/>
    </row>
    <row r="96" ht="22.5" customHeight="1">
      <c r="B96" s="46"/>
      <c r="G96" s="47"/>
      <c r="I96" s="58"/>
      <c r="J96" s="59"/>
      <c r="K96" s="60"/>
      <c r="L96" s="60"/>
      <c r="M96" s="61"/>
      <c r="N96" s="62"/>
      <c r="O96" s="63"/>
      <c r="AQ96" s="46"/>
    </row>
    <row r="97" ht="22.5" customHeight="1">
      <c r="B97" s="46"/>
      <c r="G97" s="47"/>
      <c r="I97" s="58"/>
      <c r="J97" s="59"/>
      <c r="K97" s="60"/>
      <c r="L97" s="60"/>
      <c r="M97" s="61"/>
      <c r="N97" s="62"/>
      <c r="O97" s="63"/>
      <c r="AQ97" s="46"/>
    </row>
    <row r="98" ht="22.5" customHeight="1">
      <c r="B98" s="46"/>
      <c r="G98" s="47"/>
      <c r="I98" s="58"/>
      <c r="J98" s="59"/>
      <c r="K98" s="60"/>
      <c r="L98" s="60"/>
      <c r="M98" s="61"/>
      <c r="N98" s="62"/>
      <c r="O98" s="63"/>
      <c r="AQ98" s="46"/>
    </row>
    <row r="99" ht="22.5" customHeight="1">
      <c r="B99" s="46"/>
      <c r="G99" s="47"/>
      <c r="I99" s="58"/>
      <c r="J99" s="59"/>
      <c r="K99" s="60"/>
      <c r="L99" s="60"/>
      <c r="M99" s="61"/>
      <c r="N99" s="62"/>
      <c r="O99" s="63"/>
      <c r="AQ99" s="46"/>
    </row>
    <row r="100" ht="22.5" customHeight="1">
      <c r="B100" s="46"/>
      <c r="G100" s="47"/>
      <c r="I100" s="58"/>
      <c r="J100" s="59"/>
      <c r="K100" s="60"/>
      <c r="L100" s="60"/>
      <c r="M100" s="61"/>
      <c r="N100" s="62"/>
      <c r="O100" s="63"/>
      <c r="AQ100" s="46"/>
    </row>
    <row r="101" ht="22.5" customHeight="1">
      <c r="B101" s="46"/>
      <c r="G101" s="47"/>
      <c r="I101" s="58"/>
      <c r="J101" s="59"/>
      <c r="K101" s="60"/>
      <c r="L101" s="60"/>
      <c r="M101" s="61"/>
      <c r="N101" s="62"/>
      <c r="O101" s="63"/>
      <c r="AQ101" s="46"/>
    </row>
    <row r="102" ht="22.5" customHeight="1">
      <c r="B102" s="46"/>
      <c r="G102" s="47"/>
      <c r="I102" s="58"/>
      <c r="J102" s="59"/>
      <c r="K102" s="60"/>
      <c r="L102" s="60"/>
      <c r="M102" s="61"/>
      <c r="N102" s="62"/>
      <c r="O102" s="63"/>
      <c r="AQ102" s="46"/>
    </row>
    <row r="103" ht="22.5" customHeight="1">
      <c r="B103" s="46"/>
      <c r="G103" s="47"/>
      <c r="I103" s="58"/>
      <c r="J103" s="59"/>
      <c r="K103" s="60"/>
      <c r="L103" s="60"/>
      <c r="M103" s="61"/>
      <c r="N103" s="62"/>
      <c r="O103" s="63"/>
      <c r="AQ103" s="46"/>
    </row>
    <row r="104" ht="22.5" customHeight="1">
      <c r="B104" s="46"/>
      <c r="G104" s="47"/>
      <c r="I104" s="58"/>
      <c r="J104" s="59"/>
      <c r="K104" s="60"/>
      <c r="L104" s="60"/>
      <c r="M104" s="61"/>
      <c r="N104" s="62"/>
      <c r="O104" s="63"/>
      <c r="AQ104" s="46"/>
    </row>
    <row r="105" ht="22.5" customHeight="1">
      <c r="B105" s="46"/>
      <c r="G105" s="47"/>
      <c r="I105" s="58"/>
      <c r="J105" s="59"/>
      <c r="K105" s="60"/>
      <c r="L105" s="60"/>
      <c r="M105" s="61"/>
      <c r="N105" s="62"/>
      <c r="O105" s="63"/>
      <c r="AQ105" s="46"/>
    </row>
    <row r="106" ht="22.5" customHeight="1">
      <c r="B106" s="46"/>
      <c r="G106" s="47"/>
      <c r="I106" s="58"/>
      <c r="J106" s="59"/>
      <c r="K106" s="60"/>
      <c r="L106" s="60"/>
      <c r="M106" s="61"/>
      <c r="N106" s="62"/>
      <c r="O106" s="63"/>
      <c r="AQ106" s="46"/>
    </row>
    <row r="107" ht="22.5" customHeight="1">
      <c r="B107" s="46"/>
      <c r="G107" s="47"/>
      <c r="I107" s="58"/>
      <c r="J107" s="59"/>
      <c r="K107" s="60"/>
      <c r="L107" s="60"/>
      <c r="M107" s="61"/>
      <c r="N107" s="62"/>
      <c r="O107" s="63"/>
      <c r="AQ107" s="46"/>
    </row>
    <row r="108" ht="22.5" customHeight="1">
      <c r="B108" s="46"/>
      <c r="G108" s="47"/>
      <c r="I108" s="58"/>
      <c r="J108" s="59"/>
      <c r="K108" s="60"/>
      <c r="L108" s="60"/>
      <c r="M108" s="61"/>
      <c r="N108" s="62"/>
      <c r="O108" s="63"/>
      <c r="AQ108" s="46"/>
    </row>
    <row r="109" ht="22.5" customHeight="1">
      <c r="B109" s="46"/>
      <c r="G109" s="47"/>
      <c r="I109" s="58"/>
      <c r="J109" s="59"/>
      <c r="K109" s="60"/>
      <c r="L109" s="60"/>
      <c r="M109" s="61"/>
      <c r="N109" s="62"/>
      <c r="O109" s="63"/>
      <c r="AQ109" s="46"/>
    </row>
    <row r="110" ht="22.5" customHeight="1">
      <c r="B110" s="46"/>
      <c r="G110" s="47"/>
      <c r="I110" s="58"/>
      <c r="J110" s="59"/>
      <c r="K110" s="60"/>
      <c r="L110" s="60"/>
      <c r="M110" s="61"/>
      <c r="N110" s="62"/>
      <c r="O110" s="63"/>
      <c r="AQ110" s="46"/>
    </row>
    <row r="111" ht="22.5" customHeight="1">
      <c r="B111" s="46"/>
      <c r="G111" s="47"/>
      <c r="I111" s="58"/>
      <c r="J111" s="59"/>
      <c r="K111" s="60"/>
      <c r="L111" s="60"/>
      <c r="M111" s="61"/>
      <c r="N111" s="62"/>
      <c r="O111" s="63"/>
      <c r="AQ111" s="46"/>
    </row>
    <row r="112" ht="22.5" customHeight="1">
      <c r="B112" s="46"/>
      <c r="G112" s="47"/>
      <c r="I112" s="58"/>
      <c r="J112" s="59"/>
      <c r="K112" s="60"/>
      <c r="L112" s="60"/>
      <c r="M112" s="61"/>
      <c r="N112" s="62"/>
      <c r="O112" s="63"/>
      <c r="AQ112" s="46"/>
    </row>
    <row r="113" ht="22.5" customHeight="1">
      <c r="B113" s="46"/>
      <c r="G113" s="47"/>
      <c r="I113" s="58"/>
      <c r="J113" s="59"/>
      <c r="K113" s="60"/>
      <c r="L113" s="60"/>
      <c r="M113" s="61"/>
      <c r="N113" s="62"/>
      <c r="O113" s="63"/>
      <c r="AQ113" s="46"/>
    </row>
    <row r="114" ht="22.5" customHeight="1">
      <c r="B114" s="46"/>
      <c r="G114" s="47"/>
      <c r="I114" s="58"/>
      <c r="J114" s="59"/>
      <c r="K114" s="60"/>
      <c r="L114" s="60"/>
      <c r="M114" s="61"/>
      <c r="N114" s="62"/>
      <c r="O114" s="63"/>
      <c r="AQ114" s="46"/>
    </row>
    <row r="115" ht="22.5" customHeight="1">
      <c r="B115" s="46"/>
      <c r="G115" s="47"/>
      <c r="I115" s="58"/>
      <c r="J115" s="59"/>
      <c r="K115" s="60"/>
      <c r="L115" s="60"/>
      <c r="M115" s="61"/>
      <c r="N115" s="62"/>
      <c r="O115" s="63"/>
      <c r="AQ115" s="46"/>
    </row>
    <row r="116" ht="22.5" customHeight="1">
      <c r="B116" s="46"/>
      <c r="G116" s="47"/>
      <c r="I116" s="58"/>
      <c r="J116" s="59"/>
      <c r="K116" s="60"/>
      <c r="L116" s="60"/>
      <c r="M116" s="61"/>
      <c r="N116" s="62"/>
      <c r="O116" s="63"/>
      <c r="AQ116" s="46"/>
    </row>
    <row r="117" ht="22.5" customHeight="1">
      <c r="B117" s="46"/>
      <c r="G117" s="47"/>
      <c r="I117" s="58"/>
      <c r="J117" s="59"/>
      <c r="K117" s="60"/>
      <c r="L117" s="60"/>
      <c r="M117" s="61"/>
      <c r="N117" s="62"/>
      <c r="O117" s="63"/>
      <c r="AQ117" s="46"/>
    </row>
    <row r="118" ht="22.5" customHeight="1">
      <c r="B118" s="46"/>
      <c r="G118" s="47"/>
      <c r="I118" s="58"/>
      <c r="J118" s="59"/>
      <c r="K118" s="60"/>
      <c r="L118" s="60"/>
      <c r="M118" s="61"/>
      <c r="N118" s="62"/>
      <c r="O118" s="63"/>
      <c r="AQ118" s="46"/>
    </row>
    <row r="119" ht="22.5" customHeight="1">
      <c r="B119" s="46"/>
      <c r="G119" s="47"/>
      <c r="I119" s="58"/>
      <c r="J119" s="59"/>
      <c r="K119" s="60"/>
      <c r="L119" s="60"/>
      <c r="M119" s="61"/>
      <c r="N119" s="62"/>
      <c r="O119" s="63"/>
      <c r="AQ119" s="46"/>
    </row>
    <row r="120" ht="22.5" customHeight="1">
      <c r="B120" s="46"/>
      <c r="G120" s="47"/>
      <c r="I120" s="58"/>
      <c r="J120" s="59"/>
      <c r="K120" s="60"/>
      <c r="L120" s="60"/>
      <c r="M120" s="61"/>
      <c r="N120" s="62"/>
      <c r="O120" s="63"/>
      <c r="AQ120" s="46"/>
    </row>
    <row r="121" ht="22.5" customHeight="1">
      <c r="B121" s="46"/>
      <c r="G121" s="47"/>
      <c r="I121" s="58"/>
      <c r="J121" s="59"/>
      <c r="K121" s="60"/>
      <c r="L121" s="60"/>
      <c r="M121" s="61"/>
      <c r="N121" s="62"/>
      <c r="O121" s="63"/>
      <c r="AQ121" s="46"/>
    </row>
    <row r="122" ht="22.5" customHeight="1">
      <c r="B122" s="46"/>
      <c r="G122" s="47"/>
      <c r="I122" s="58"/>
      <c r="J122" s="59"/>
      <c r="K122" s="60"/>
      <c r="L122" s="60"/>
      <c r="M122" s="61"/>
      <c r="N122" s="62"/>
      <c r="O122" s="63"/>
      <c r="AQ122" s="46"/>
    </row>
    <row r="123" ht="22.5" customHeight="1">
      <c r="B123" s="46"/>
      <c r="G123" s="47"/>
      <c r="I123" s="58"/>
      <c r="J123" s="59"/>
      <c r="K123" s="60"/>
      <c r="L123" s="60"/>
      <c r="M123" s="61"/>
      <c r="N123" s="62"/>
      <c r="O123" s="63"/>
      <c r="AQ123" s="46"/>
    </row>
    <row r="124" ht="22.5" customHeight="1">
      <c r="B124" s="46"/>
      <c r="G124" s="47"/>
      <c r="I124" s="58"/>
      <c r="J124" s="59"/>
      <c r="K124" s="60"/>
      <c r="L124" s="60"/>
      <c r="M124" s="61"/>
      <c r="N124" s="62"/>
      <c r="O124" s="63"/>
      <c r="AQ124" s="46"/>
    </row>
    <row r="125" ht="22.5" customHeight="1">
      <c r="B125" s="46"/>
      <c r="G125" s="47"/>
      <c r="I125" s="58"/>
      <c r="J125" s="59"/>
      <c r="K125" s="60"/>
      <c r="L125" s="60"/>
      <c r="M125" s="61"/>
      <c r="N125" s="62"/>
      <c r="O125" s="63"/>
      <c r="AQ125" s="46"/>
    </row>
    <row r="126" ht="22.5" customHeight="1">
      <c r="B126" s="46"/>
      <c r="G126" s="47"/>
      <c r="I126" s="58"/>
      <c r="J126" s="59"/>
      <c r="K126" s="60"/>
      <c r="L126" s="60"/>
      <c r="M126" s="61"/>
      <c r="N126" s="62"/>
      <c r="O126" s="63"/>
      <c r="AQ126" s="46"/>
    </row>
    <row r="127" ht="22.5" customHeight="1">
      <c r="B127" s="46"/>
      <c r="G127" s="47"/>
      <c r="I127" s="58"/>
      <c r="J127" s="59"/>
      <c r="K127" s="60"/>
      <c r="L127" s="60"/>
      <c r="M127" s="61"/>
      <c r="N127" s="62"/>
      <c r="O127" s="63"/>
      <c r="AQ127" s="46"/>
    </row>
    <row r="128" ht="22.5" customHeight="1">
      <c r="B128" s="46"/>
      <c r="G128" s="47"/>
      <c r="I128" s="58"/>
      <c r="J128" s="59"/>
      <c r="K128" s="60"/>
      <c r="L128" s="60"/>
      <c r="M128" s="61"/>
      <c r="N128" s="62"/>
      <c r="O128" s="63"/>
      <c r="AQ128" s="46"/>
    </row>
    <row r="129" ht="22.5" customHeight="1">
      <c r="B129" s="46"/>
      <c r="G129" s="47"/>
      <c r="I129" s="58"/>
      <c r="J129" s="59"/>
      <c r="K129" s="60"/>
      <c r="L129" s="60"/>
      <c r="M129" s="61"/>
      <c r="N129" s="62"/>
      <c r="O129" s="63"/>
      <c r="AQ129" s="46"/>
    </row>
    <row r="130" ht="22.5" customHeight="1">
      <c r="B130" s="46"/>
      <c r="G130" s="47"/>
      <c r="I130" s="58"/>
      <c r="J130" s="59"/>
      <c r="K130" s="60"/>
      <c r="L130" s="60"/>
      <c r="M130" s="61"/>
      <c r="N130" s="62"/>
      <c r="O130" s="63"/>
      <c r="AQ130" s="46"/>
    </row>
    <row r="131" ht="22.5" customHeight="1">
      <c r="B131" s="46"/>
      <c r="G131" s="47"/>
      <c r="I131" s="58"/>
      <c r="J131" s="59"/>
      <c r="K131" s="60"/>
      <c r="L131" s="60"/>
      <c r="M131" s="61"/>
      <c r="N131" s="62"/>
      <c r="O131" s="63"/>
      <c r="AQ131" s="46"/>
    </row>
    <row r="132" ht="22.5" customHeight="1">
      <c r="B132" s="46"/>
      <c r="G132" s="47"/>
      <c r="I132" s="58"/>
      <c r="J132" s="59"/>
      <c r="K132" s="60"/>
      <c r="L132" s="60"/>
      <c r="M132" s="61"/>
      <c r="N132" s="62"/>
      <c r="O132" s="63"/>
      <c r="AQ132" s="46"/>
    </row>
    <row r="133" ht="22.5" customHeight="1">
      <c r="B133" s="46"/>
      <c r="G133" s="47"/>
      <c r="I133" s="58"/>
      <c r="J133" s="59"/>
      <c r="K133" s="60"/>
      <c r="L133" s="60"/>
      <c r="M133" s="61"/>
      <c r="N133" s="62"/>
      <c r="O133" s="63"/>
      <c r="AQ133" s="46"/>
    </row>
    <row r="134" ht="22.5" customHeight="1">
      <c r="B134" s="46"/>
      <c r="G134" s="47"/>
      <c r="I134" s="58"/>
      <c r="J134" s="59"/>
      <c r="K134" s="60"/>
      <c r="L134" s="60"/>
      <c r="M134" s="61"/>
      <c r="N134" s="62"/>
      <c r="O134" s="63"/>
      <c r="AQ134" s="46"/>
    </row>
    <row r="135" ht="22.5" customHeight="1">
      <c r="B135" s="46"/>
      <c r="G135" s="47"/>
      <c r="I135" s="58"/>
      <c r="J135" s="59"/>
      <c r="K135" s="60"/>
      <c r="L135" s="60"/>
      <c r="M135" s="61"/>
      <c r="N135" s="62"/>
      <c r="O135" s="63"/>
      <c r="AQ135" s="46"/>
    </row>
    <row r="136" ht="22.5" customHeight="1">
      <c r="B136" s="46"/>
      <c r="G136" s="47"/>
      <c r="I136" s="58"/>
      <c r="J136" s="59"/>
      <c r="K136" s="60"/>
      <c r="L136" s="60"/>
      <c r="M136" s="61"/>
      <c r="N136" s="62"/>
      <c r="O136" s="63"/>
      <c r="AQ136" s="46"/>
    </row>
    <row r="137" ht="22.5" customHeight="1">
      <c r="B137" s="46"/>
      <c r="G137" s="47"/>
      <c r="I137" s="58"/>
      <c r="J137" s="59"/>
      <c r="K137" s="60"/>
      <c r="L137" s="60"/>
      <c r="M137" s="61"/>
      <c r="N137" s="62"/>
      <c r="O137" s="63"/>
      <c r="AQ137" s="46"/>
    </row>
    <row r="138" ht="22.5" customHeight="1">
      <c r="B138" s="46"/>
      <c r="G138" s="47"/>
      <c r="I138" s="58"/>
      <c r="J138" s="59"/>
      <c r="K138" s="60"/>
      <c r="L138" s="60"/>
      <c r="M138" s="61"/>
      <c r="N138" s="62"/>
      <c r="O138" s="63"/>
      <c r="AQ138" s="46"/>
    </row>
    <row r="139" ht="22.5" customHeight="1">
      <c r="B139" s="46"/>
      <c r="G139" s="47"/>
      <c r="I139" s="58"/>
      <c r="J139" s="59"/>
      <c r="K139" s="60"/>
      <c r="L139" s="60"/>
      <c r="M139" s="61"/>
      <c r="N139" s="62"/>
      <c r="O139" s="63"/>
      <c r="AQ139" s="46"/>
    </row>
    <row r="140" ht="22.5" customHeight="1">
      <c r="B140" s="46"/>
      <c r="G140" s="47"/>
      <c r="I140" s="58"/>
      <c r="J140" s="59"/>
      <c r="K140" s="60"/>
      <c r="L140" s="60"/>
      <c r="M140" s="61"/>
      <c r="N140" s="62"/>
      <c r="O140" s="63"/>
      <c r="AQ140" s="46"/>
    </row>
    <row r="141" ht="22.5" customHeight="1">
      <c r="B141" s="46"/>
      <c r="G141" s="47"/>
      <c r="I141" s="58"/>
      <c r="J141" s="59"/>
      <c r="K141" s="60"/>
      <c r="L141" s="60"/>
      <c r="M141" s="61"/>
      <c r="N141" s="62"/>
      <c r="O141" s="63"/>
      <c r="AQ141" s="46"/>
    </row>
    <row r="142" ht="22.5" customHeight="1">
      <c r="B142" s="46"/>
      <c r="G142" s="47"/>
      <c r="I142" s="58"/>
      <c r="J142" s="59"/>
      <c r="K142" s="60"/>
      <c r="L142" s="60"/>
      <c r="M142" s="61"/>
      <c r="N142" s="62"/>
      <c r="O142" s="63"/>
      <c r="AQ142" s="46"/>
    </row>
    <row r="143" ht="22.5" customHeight="1">
      <c r="B143" s="46"/>
      <c r="G143" s="47"/>
      <c r="I143" s="58"/>
      <c r="J143" s="59"/>
      <c r="K143" s="60"/>
      <c r="L143" s="60"/>
      <c r="M143" s="61"/>
      <c r="N143" s="62"/>
      <c r="O143" s="63"/>
      <c r="AQ143" s="46"/>
    </row>
    <row r="144" ht="22.5" customHeight="1">
      <c r="B144" s="46"/>
      <c r="G144" s="47"/>
      <c r="I144" s="58"/>
      <c r="J144" s="59"/>
      <c r="K144" s="60"/>
      <c r="L144" s="60"/>
      <c r="M144" s="61"/>
      <c r="N144" s="62"/>
      <c r="O144" s="63"/>
      <c r="AQ144" s="46"/>
    </row>
    <row r="145" ht="22.5" customHeight="1">
      <c r="B145" s="46"/>
      <c r="G145" s="47"/>
      <c r="I145" s="58"/>
      <c r="J145" s="59"/>
      <c r="K145" s="60"/>
      <c r="L145" s="60"/>
      <c r="M145" s="61"/>
      <c r="N145" s="62"/>
      <c r="O145" s="63"/>
      <c r="AQ145" s="46"/>
    </row>
    <row r="146" ht="22.5" customHeight="1">
      <c r="B146" s="46"/>
      <c r="G146" s="47"/>
      <c r="I146" s="58"/>
      <c r="J146" s="59"/>
      <c r="K146" s="60"/>
      <c r="L146" s="60"/>
      <c r="M146" s="61"/>
      <c r="N146" s="62"/>
      <c r="O146" s="63"/>
      <c r="AQ146" s="46"/>
    </row>
    <row r="147" ht="22.5" customHeight="1">
      <c r="B147" s="46"/>
      <c r="G147" s="47"/>
      <c r="I147" s="58"/>
      <c r="J147" s="59"/>
      <c r="K147" s="60"/>
      <c r="L147" s="60"/>
      <c r="M147" s="61"/>
      <c r="N147" s="62"/>
      <c r="O147" s="63"/>
      <c r="AQ147" s="46"/>
    </row>
    <row r="148" ht="22.5" customHeight="1">
      <c r="B148" s="46"/>
      <c r="G148" s="47"/>
      <c r="I148" s="58"/>
      <c r="J148" s="59"/>
      <c r="K148" s="60"/>
      <c r="L148" s="60"/>
      <c r="M148" s="61"/>
      <c r="N148" s="62"/>
      <c r="O148" s="63"/>
      <c r="AQ148" s="46"/>
    </row>
    <row r="149" ht="22.5" customHeight="1">
      <c r="B149" s="46"/>
      <c r="G149" s="47"/>
      <c r="I149" s="58"/>
      <c r="J149" s="59"/>
      <c r="K149" s="60"/>
      <c r="L149" s="60"/>
      <c r="M149" s="61"/>
      <c r="N149" s="62"/>
      <c r="O149" s="63"/>
      <c r="AQ149" s="46"/>
    </row>
    <row r="150" ht="22.5" customHeight="1">
      <c r="B150" s="46"/>
      <c r="G150" s="47"/>
      <c r="I150" s="58"/>
      <c r="J150" s="59"/>
      <c r="K150" s="60"/>
      <c r="L150" s="60"/>
      <c r="M150" s="61"/>
      <c r="N150" s="62"/>
      <c r="O150" s="63"/>
      <c r="AQ150" s="46"/>
    </row>
    <row r="151" ht="22.5" customHeight="1">
      <c r="B151" s="46"/>
      <c r="G151" s="47"/>
      <c r="I151" s="58"/>
      <c r="J151" s="59"/>
      <c r="K151" s="60"/>
      <c r="L151" s="60"/>
      <c r="M151" s="61"/>
      <c r="N151" s="62"/>
      <c r="O151" s="63"/>
      <c r="AQ151" s="46"/>
    </row>
    <row r="152" ht="22.5" customHeight="1">
      <c r="B152" s="46"/>
      <c r="G152" s="47"/>
      <c r="I152" s="58"/>
      <c r="J152" s="59"/>
      <c r="K152" s="60"/>
      <c r="L152" s="60"/>
      <c r="M152" s="61"/>
      <c r="N152" s="62"/>
      <c r="O152" s="63"/>
      <c r="AQ152" s="46"/>
    </row>
    <row r="153" ht="22.5" customHeight="1">
      <c r="B153" s="46"/>
      <c r="G153" s="47"/>
      <c r="I153" s="58"/>
      <c r="J153" s="59"/>
      <c r="K153" s="60"/>
      <c r="L153" s="60"/>
      <c r="M153" s="61"/>
      <c r="N153" s="62"/>
      <c r="O153" s="63"/>
      <c r="AQ153" s="46"/>
    </row>
    <row r="154" ht="22.5" customHeight="1">
      <c r="B154" s="46"/>
      <c r="G154" s="47"/>
      <c r="I154" s="58"/>
      <c r="J154" s="59"/>
      <c r="K154" s="60"/>
      <c r="L154" s="60"/>
      <c r="M154" s="61"/>
      <c r="N154" s="62"/>
      <c r="O154" s="63"/>
      <c r="AQ154" s="46"/>
    </row>
    <row r="155" ht="22.5" customHeight="1">
      <c r="B155" s="46"/>
      <c r="G155" s="47"/>
      <c r="I155" s="58"/>
      <c r="J155" s="59"/>
      <c r="K155" s="60"/>
      <c r="L155" s="60"/>
      <c r="M155" s="61"/>
      <c r="N155" s="62"/>
      <c r="O155" s="63"/>
      <c r="AQ155" s="46"/>
    </row>
    <row r="156" ht="22.5" customHeight="1">
      <c r="B156" s="46"/>
      <c r="G156" s="47"/>
      <c r="I156" s="58"/>
      <c r="J156" s="59"/>
      <c r="K156" s="60"/>
      <c r="L156" s="60"/>
      <c r="M156" s="61"/>
      <c r="N156" s="62"/>
      <c r="O156" s="63"/>
      <c r="AQ156" s="46"/>
    </row>
    <row r="157" ht="22.5" customHeight="1">
      <c r="B157" s="46"/>
      <c r="G157" s="47"/>
      <c r="I157" s="58"/>
      <c r="J157" s="59"/>
      <c r="K157" s="60"/>
      <c r="L157" s="60"/>
      <c r="M157" s="61"/>
      <c r="N157" s="62"/>
      <c r="O157" s="63"/>
      <c r="AQ157" s="46"/>
    </row>
    <row r="158" ht="22.5" customHeight="1">
      <c r="B158" s="46"/>
      <c r="G158" s="47"/>
      <c r="I158" s="58"/>
      <c r="J158" s="59"/>
      <c r="K158" s="60"/>
      <c r="L158" s="60"/>
      <c r="M158" s="61"/>
      <c r="N158" s="62"/>
      <c r="O158" s="63"/>
      <c r="AQ158" s="46"/>
    </row>
    <row r="159" ht="22.5" customHeight="1">
      <c r="B159" s="46"/>
      <c r="G159" s="47"/>
      <c r="I159" s="58"/>
      <c r="J159" s="59"/>
      <c r="K159" s="60"/>
      <c r="L159" s="60"/>
      <c r="M159" s="61"/>
      <c r="N159" s="62"/>
      <c r="O159" s="63"/>
      <c r="AQ159" s="46"/>
    </row>
    <row r="160" ht="22.5" customHeight="1">
      <c r="B160" s="46"/>
      <c r="G160" s="47"/>
      <c r="I160" s="58"/>
      <c r="J160" s="59"/>
      <c r="K160" s="60"/>
      <c r="L160" s="60"/>
      <c r="M160" s="61"/>
      <c r="N160" s="62"/>
      <c r="O160" s="63"/>
      <c r="AQ160" s="46"/>
    </row>
    <row r="161" ht="22.5" customHeight="1">
      <c r="B161" s="46"/>
      <c r="G161" s="47"/>
      <c r="I161" s="58"/>
      <c r="J161" s="59"/>
      <c r="K161" s="60"/>
      <c r="L161" s="60"/>
      <c r="M161" s="61"/>
      <c r="N161" s="62"/>
      <c r="O161" s="63"/>
      <c r="AQ161" s="46"/>
    </row>
    <row r="162" ht="22.5" customHeight="1">
      <c r="B162" s="46"/>
      <c r="G162" s="47"/>
      <c r="I162" s="58"/>
      <c r="J162" s="59"/>
      <c r="K162" s="60"/>
      <c r="L162" s="60"/>
      <c r="M162" s="61"/>
      <c r="N162" s="62"/>
      <c r="O162" s="63"/>
      <c r="AQ162" s="46"/>
    </row>
    <row r="163" ht="22.5" customHeight="1">
      <c r="B163" s="46"/>
      <c r="G163" s="47"/>
      <c r="I163" s="58"/>
      <c r="J163" s="59"/>
      <c r="K163" s="60"/>
      <c r="L163" s="60"/>
      <c r="M163" s="61"/>
      <c r="N163" s="62"/>
      <c r="O163" s="63"/>
      <c r="AQ163" s="46"/>
    </row>
    <row r="164" ht="22.5" customHeight="1">
      <c r="B164" s="46"/>
      <c r="G164" s="47"/>
      <c r="I164" s="58"/>
      <c r="J164" s="59"/>
      <c r="K164" s="60"/>
      <c r="L164" s="60"/>
      <c r="M164" s="61"/>
      <c r="N164" s="62"/>
      <c r="O164" s="63"/>
      <c r="AQ164" s="46"/>
    </row>
    <row r="165" ht="22.5" customHeight="1">
      <c r="B165" s="46"/>
      <c r="G165" s="47"/>
      <c r="I165" s="58"/>
      <c r="J165" s="59"/>
      <c r="K165" s="60"/>
      <c r="L165" s="60"/>
      <c r="M165" s="61"/>
      <c r="N165" s="62"/>
      <c r="O165" s="63"/>
      <c r="AQ165" s="46"/>
    </row>
    <row r="166" ht="22.5" customHeight="1">
      <c r="B166" s="46"/>
      <c r="G166" s="47"/>
      <c r="I166" s="58"/>
      <c r="J166" s="59"/>
      <c r="K166" s="60"/>
      <c r="L166" s="60"/>
      <c r="M166" s="61"/>
      <c r="N166" s="62"/>
      <c r="O166" s="63"/>
      <c r="AQ166" s="46"/>
    </row>
    <row r="167" ht="22.5" customHeight="1">
      <c r="B167" s="46"/>
      <c r="G167" s="47"/>
      <c r="I167" s="58"/>
      <c r="J167" s="59"/>
      <c r="K167" s="60"/>
      <c r="L167" s="60"/>
      <c r="M167" s="61"/>
      <c r="N167" s="62"/>
      <c r="O167" s="63"/>
      <c r="AQ167" s="46"/>
    </row>
    <row r="168" ht="22.5" customHeight="1">
      <c r="B168" s="46"/>
      <c r="G168" s="47"/>
      <c r="I168" s="58"/>
      <c r="J168" s="59"/>
      <c r="K168" s="60"/>
      <c r="L168" s="60"/>
      <c r="M168" s="61"/>
      <c r="N168" s="62"/>
      <c r="O168" s="63"/>
      <c r="AQ168" s="46"/>
    </row>
    <row r="169" ht="22.5" customHeight="1">
      <c r="B169" s="46"/>
      <c r="G169" s="47"/>
      <c r="I169" s="58"/>
      <c r="J169" s="59"/>
      <c r="K169" s="60"/>
      <c r="L169" s="60"/>
      <c r="M169" s="61"/>
      <c r="N169" s="62"/>
      <c r="O169" s="63"/>
      <c r="AQ169" s="46"/>
    </row>
    <row r="170" ht="22.5" customHeight="1">
      <c r="B170" s="46"/>
      <c r="G170" s="47"/>
      <c r="I170" s="58"/>
      <c r="J170" s="59"/>
      <c r="K170" s="60"/>
      <c r="L170" s="60"/>
      <c r="M170" s="61"/>
      <c r="N170" s="62"/>
      <c r="O170" s="63"/>
      <c r="AQ170" s="46"/>
    </row>
    <row r="171" ht="22.5" customHeight="1">
      <c r="B171" s="46"/>
      <c r="G171" s="47"/>
      <c r="I171" s="58"/>
      <c r="J171" s="59"/>
      <c r="K171" s="60"/>
      <c r="L171" s="60"/>
      <c r="M171" s="61"/>
      <c r="N171" s="62"/>
      <c r="O171" s="63"/>
      <c r="AQ171" s="46"/>
    </row>
    <row r="172" ht="22.5" customHeight="1">
      <c r="B172" s="46"/>
      <c r="G172" s="47"/>
      <c r="I172" s="58"/>
      <c r="J172" s="59"/>
      <c r="K172" s="60"/>
      <c r="L172" s="60"/>
      <c r="M172" s="61"/>
      <c r="N172" s="62"/>
      <c r="O172" s="63"/>
      <c r="AQ172" s="46"/>
    </row>
    <row r="173" ht="22.5" customHeight="1">
      <c r="B173" s="46"/>
      <c r="G173" s="47"/>
      <c r="I173" s="58"/>
      <c r="J173" s="59"/>
      <c r="K173" s="60"/>
      <c r="L173" s="60"/>
      <c r="M173" s="61"/>
      <c r="N173" s="62"/>
      <c r="O173" s="63"/>
      <c r="AQ173" s="46"/>
    </row>
    <row r="174" ht="22.5" customHeight="1">
      <c r="B174" s="46"/>
      <c r="G174" s="47"/>
      <c r="I174" s="58"/>
      <c r="J174" s="59"/>
      <c r="K174" s="60"/>
      <c r="L174" s="60"/>
      <c r="M174" s="61"/>
      <c r="N174" s="62"/>
      <c r="O174" s="63"/>
      <c r="AQ174" s="46"/>
    </row>
    <row r="175" ht="22.5" customHeight="1">
      <c r="B175" s="46"/>
      <c r="G175" s="47"/>
      <c r="I175" s="58"/>
      <c r="J175" s="59"/>
      <c r="K175" s="60"/>
      <c r="L175" s="60"/>
      <c r="M175" s="61"/>
      <c r="N175" s="62"/>
      <c r="O175" s="63"/>
      <c r="AQ175" s="46"/>
    </row>
    <row r="176" ht="22.5" customHeight="1">
      <c r="B176" s="46"/>
      <c r="G176" s="47"/>
      <c r="I176" s="58"/>
      <c r="J176" s="59"/>
      <c r="K176" s="60"/>
      <c r="L176" s="60"/>
      <c r="M176" s="61"/>
      <c r="N176" s="62"/>
      <c r="O176" s="63"/>
      <c r="AQ176" s="46"/>
    </row>
    <row r="177" ht="22.5" customHeight="1">
      <c r="B177" s="46"/>
      <c r="G177" s="47"/>
      <c r="I177" s="58"/>
      <c r="J177" s="59"/>
      <c r="K177" s="60"/>
      <c r="L177" s="60"/>
      <c r="M177" s="61"/>
      <c r="N177" s="62"/>
      <c r="O177" s="63"/>
      <c r="AQ177" s="46"/>
    </row>
    <row r="178" ht="22.5" customHeight="1">
      <c r="B178" s="46"/>
      <c r="G178" s="47"/>
      <c r="I178" s="58"/>
      <c r="J178" s="59"/>
      <c r="K178" s="60"/>
      <c r="L178" s="60"/>
      <c r="M178" s="61"/>
      <c r="N178" s="62"/>
      <c r="O178" s="63"/>
      <c r="AQ178" s="46"/>
    </row>
    <row r="179" ht="22.5" customHeight="1">
      <c r="B179" s="46"/>
      <c r="G179" s="47"/>
      <c r="I179" s="58"/>
      <c r="J179" s="59"/>
      <c r="K179" s="60"/>
      <c r="L179" s="60"/>
      <c r="M179" s="61"/>
      <c r="N179" s="62"/>
      <c r="O179" s="63"/>
      <c r="AQ179" s="46"/>
    </row>
    <row r="180" ht="22.5" customHeight="1">
      <c r="B180" s="46"/>
      <c r="G180" s="47"/>
      <c r="I180" s="58"/>
      <c r="J180" s="59"/>
      <c r="K180" s="60"/>
      <c r="L180" s="60"/>
      <c r="M180" s="61"/>
      <c r="N180" s="62"/>
      <c r="O180" s="63"/>
      <c r="AQ180" s="46"/>
    </row>
    <row r="181" ht="22.5" customHeight="1">
      <c r="B181" s="46"/>
      <c r="G181" s="47"/>
      <c r="I181" s="58"/>
      <c r="J181" s="59"/>
      <c r="K181" s="60"/>
      <c r="L181" s="60"/>
      <c r="M181" s="61"/>
      <c r="N181" s="62"/>
      <c r="O181" s="63"/>
      <c r="AQ181" s="46"/>
    </row>
    <row r="182" ht="22.5" customHeight="1">
      <c r="B182" s="46"/>
      <c r="G182" s="47"/>
      <c r="I182" s="58"/>
      <c r="J182" s="59"/>
      <c r="K182" s="60"/>
      <c r="L182" s="60"/>
      <c r="M182" s="61"/>
      <c r="N182" s="62"/>
      <c r="O182" s="63"/>
      <c r="AQ182" s="46"/>
    </row>
    <row r="183" ht="22.5" customHeight="1">
      <c r="B183" s="46"/>
      <c r="G183" s="47"/>
      <c r="I183" s="58"/>
      <c r="J183" s="59"/>
      <c r="K183" s="60"/>
      <c r="L183" s="60"/>
      <c r="M183" s="61"/>
      <c r="N183" s="62"/>
      <c r="O183" s="63"/>
      <c r="AQ183" s="46"/>
    </row>
    <row r="184" ht="22.5" customHeight="1">
      <c r="B184" s="46"/>
      <c r="G184" s="47"/>
      <c r="I184" s="58"/>
      <c r="J184" s="59"/>
      <c r="K184" s="60"/>
      <c r="L184" s="60"/>
      <c r="M184" s="61"/>
      <c r="N184" s="62"/>
      <c r="O184" s="63"/>
      <c r="AQ184" s="46"/>
    </row>
    <row r="185" ht="22.5" customHeight="1">
      <c r="B185" s="46"/>
      <c r="G185" s="47"/>
      <c r="I185" s="58"/>
      <c r="J185" s="59"/>
      <c r="K185" s="60"/>
      <c r="L185" s="60"/>
      <c r="M185" s="61"/>
      <c r="N185" s="62"/>
      <c r="O185" s="63"/>
      <c r="AQ185" s="46"/>
    </row>
    <row r="186" ht="22.5" customHeight="1">
      <c r="B186" s="46"/>
      <c r="G186" s="47"/>
      <c r="I186" s="58"/>
      <c r="J186" s="59"/>
      <c r="K186" s="60"/>
      <c r="L186" s="60"/>
      <c r="M186" s="61"/>
      <c r="N186" s="62"/>
      <c r="O186" s="63"/>
      <c r="AQ186" s="46"/>
    </row>
    <row r="187" ht="22.5" customHeight="1">
      <c r="B187" s="46"/>
      <c r="G187" s="47"/>
      <c r="I187" s="58"/>
      <c r="J187" s="59"/>
      <c r="K187" s="60"/>
      <c r="L187" s="60"/>
      <c r="M187" s="61"/>
      <c r="N187" s="62"/>
      <c r="O187" s="63"/>
      <c r="AQ187" s="46"/>
    </row>
    <row r="188" ht="22.5" customHeight="1">
      <c r="B188" s="46"/>
      <c r="G188" s="47"/>
      <c r="I188" s="58"/>
      <c r="J188" s="59"/>
      <c r="K188" s="60"/>
      <c r="L188" s="60"/>
      <c r="M188" s="61"/>
      <c r="N188" s="62"/>
      <c r="O188" s="63"/>
      <c r="AQ188" s="46"/>
    </row>
    <row r="189" ht="22.5" customHeight="1">
      <c r="B189" s="46"/>
      <c r="G189" s="47"/>
      <c r="I189" s="58"/>
      <c r="J189" s="59"/>
      <c r="K189" s="60"/>
      <c r="L189" s="60"/>
      <c r="M189" s="61"/>
      <c r="N189" s="62"/>
      <c r="O189" s="63"/>
      <c r="AQ189" s="46"/>
    </row>
    <row r="190" ht="22.5" customHeight="1">
      <c r="B190" s="46"/>
      <c r="G190" s="47"/>
      <c r="I190" s="58"/>
      <c r="J190" s="59"/>
      <c r="K190" s="60"/>
      <c r="L190" s="60"/>
      <c r="M190" s="61"/>
      <c r="N190" s="62"/>
      <c r="O190" s="63"/>
      <c r="AQ190" s="46"/>
    </row>
    <row r="191" ht="22.5" customHeight="1">
      <c r="B191" s="46"/>
      <c r="G191" s="47"/>
      <c r="I191" s="58"/>
      <c r="J191" s="59"/>
      <c r="K191" s="60"/>
      <c r="L191" s="60"/>
      <c r="M191" s="61"/>
      <c r="N191" s="62"/>
      <c r="O191" s="63"/>
      <c r="AQ191" s="46"/>
    </row>
    <row r="192" ht="22.5" customHeight="1">
      <c r="B192" s="46"/>
      <c r="G192" s="47"/>
      <c r="I192" s="58"/>
      <c r="J192" s="59"/>
      <c r="K192" s="60"/>
      <c r="L192" s="60"/>
      <c r="M192" s="61"/>
      <c r="N192" s="62"/>
      <c r="O192" s="63"/>
      <c r="AQ192" s="46"/>
    </row>
    <row r="193" ht="22.5" customHeight="1">
      <c r="B193" s="46"/>
      <c r="G193" s="47"/>
      <c r="I193" s="58"/>
      <c r="J193" s="59"/>
      <c r="K193" s="60"/>
      <c r="L193" s="60"/>
      <c r="M193" s="61"/>
      <c r="N193" s="62"/>
      <c r="O193" s="63"/>
      <c r="AQ193" s="46"/>
    </row>
    <row r="194" ht="22.5" customHeight="1">
      <c r="B194" s="46"/>
      <c r="G194" s="47"/>
      <c r="I194" s="58"/>
      <c r="J194" s="59"/>
      <c r="K194" s="60"/>
      <c r="L194" s="60"/>
      <c r="M194" s="61"/>
      <c r="N194" s="62"/>
      <c r="O194" s="63"/>
      <c r="AQ194" s="46"/>
    </row>
    <row r="195" ht="22.5" customHeight="1">
      <c r="B195" s="46"/>
      <c r="G195" s="47"/>
      <c r="I195" s="58"/>
      <c r="J195" s="59"/>
      <c r="K195" s="60"/>
      <c r="L195" s="60"/>
      <c r="M195" s="61"/>
      <c r="N195" s="62"/>
      <c r="O195" s="63"/>
      <c r="AQ195" s="46"/>
    </row>
    <row r="196" ht="22.5" customHeight="1">
      <c r="B196" s="46"/>
      <c r="G196" s="47"/>
      <c r="I196" s="58"/>
      <c r="J196" s="59"/>
      <c r="K196" s="60"/>
      <c r="L196" s="60"/>
      <c r="M196" s="61"/>
      <c r="N196" s="62"/>
      <c r="O196" s="63"/>
      <c r="AQ196" s="46"/>
    </row>
    <row r="197" ht="22.5" customHeight="1">
      <c r="B197" s="46"/>
      <c r="G197" s="47"/>
      <c r="I197" s="58"/>
      <c r="J197" s="59"/>
      <c r="K197" s="60"/>
      <c r="L197" s="60"/>
      <c r="M197" s="61"/>
      <c r="N197" s="62"/>
      <c r="O197" s="63"/>
      <c r="AQ197" s="46"/>
    </row>
    <row r="198" ht="22.5" customHeight="1">
      <c r="B198" s="46"/>
      <c r="G198" s="47"/>
      <c r="I198" s="58"/>
      <c r="J198" s="59"/>
      <c r="K198" s="60"/>
      <c r="L198" s="60"/>
      <c r="M198" s="61"/>
      <c r="N198" s="62"/>
      <c r="O198" s="63"/>
      <c r="AQ198" s="46"/>
    </row>
    <row r="199" ht="22.5" customHeight="1">
      <c r="B199" s="46"/>
      <c r="G199" s="47"/>
      <c r="I199" s="58"/>
      <c r="J199" s="59"/>
      <c r="K199" s="60"/>
      <c r="L199" s="60"/>
      <c r="M199" s="61"/>
      <c r="N199" s="62"/>
      <c r="O199" s="63"/>
      <c r="AQ199" s="46"/>
    </row>
    <row r="200" ht="22.5" customHeight="1">
      <c r="B200" s="46"/>
      <c r="G200" s="47"/>
      <c r="I200" s="58"/>
      <c r="J200" s="59"/>
      <c r="K200" s="60"/>
      <c r="L200" s="60"/>
      <c r="M200" s="61"/>
      <c r="N200" s="62"/>
      <c r="O200" s="63"/>
      <c r="AQ200" s="46"/>
    </row>
    <row r="201" ht="22.5" customHeight="1">
      <c r="B201" s="46"/>
      <c r="G201" s="47"/>
      <c r="I201" s="58"/>
      <c r="J201" s="59"/>
      <c r="K201" s="60"/>
      <c r="L201" s="60"/>
      <c r="M201" s="61"/>
      <c r="N201" s="62"/>
      <c r="O201" s="63"/>
      <c r="AQ201" s="46"/>
    </row>
    <row r="202" ht="22.5" customHeight="1">
      <c r="B202" s="46"/>
      <c r="G202" s="47"/>
      <c r="I202" s="58"/>
      <c r="J202" s="59"/>
      <c r="K202" s="60"/>
      <c r="L202" s="60"/>
      <c r="M202" s="61"/>
      <c r="N202" s="62"/>
      <c r="O202" s="63"/>
      <c r="AQ202" s="46"/>
    </row>
    <row r="203" ht="22.5" customHeight="1">
      <c r="B203" s="46"/>
      <c r="G203" s="47"/>
      <c r="I203" s="58"/>
      <c r="J203" s="59"/>
      <c r="K203" s="60"/>
      <c r="L203" s="60"/>
      <c r="M203" s="61"/>
      <c r="N203" s="62"/>
      <c r="O203" s="63"/>
      <c r="AQ203" s="46"/>
    </row>
    <row r="204" ht="22.5" customHeight="1">
      <c r="B204" s="46"/>
      <c r="G204" s="47"/>
      <c r="I204" s="58"/>
      <c r="J204" s="59"/>
      <c r="K204" s="60"/>
      <c r="L204" s="60"/>
      <c r="M204" s="61"/>
      <c r="N204" s="62"/>
      <c r="O204" s="63"/>
      <c r="AQ204" s="46"/>
    </row>
    <row r="205" ht="22.5" customHeight="1">
      <c r="B205" s="46"/>
      <c r="G205" s="47"/>
      <c r="I205" s="58"/>
      <c r="J205" s="59"/>
      <c r="K205" s="60"/>
      <c r="L205" s="60"/>
      <c r="M205" s="61"/>
      <c r="N205" s="62"/>
      <c r="O205" s="63"/>
      <c r="AQ205" s="46"/>
    </row>
    <row r="206" ht="22.5" customHeight="1">
      <c r="B206" s="46"/>
      <c r="G206" s="47"/>
      <c r="I206" s="58"/>
      <c r="J206" s="59"/>
      <c r="K206" s="60"/>
      <c r="L206" s="60"/>
      <c r="M206" s="61"/>
      <c r="N206" s="62"/>
      <c r="O206" s="63"/>
      <c r="AQ206" s="46"/>
    </row>
    <row r="207" ht="22.5" customHeight="1">
      <c r="B207" s="46"/>
      <c r="G207" s="47"/>
      <c r="I207" s="58"/>
      <c r="J207" s="59"/>
      <c r="K207" s="60"/>
      <c r="L207" s="60"/>
      <c r="M207" s="61"/>
      <c r="N207" s="62"/>
      <c r="O207" s="63"/>
      <c r="AQ207" s="46"/>
    </row>
    <row r="208" ht="22.5" customHeight="1">
      <c r="B208" s="46"/>
      <c r="G208" s="47"/>
      <c r="I208" s="58"/>
      <c r="J208" s="59"/>
      <c r="K208" s="60"/>
      <c r="L208" s="60"/>
      <c r="M208" s="61"/>
      <c r="N208" s="62"/>
      <c r="O208" s="63"/>
      <c r="AQ208" s="46"/>
    </row>
    <row r="209" ht="22.5" customHeight="1">
      <c r="B209" s="46"/>
      <c r="G209" s="47"/>
      <c r="I209" s="58"/>
      <c r="J209" s="59"/>
      <c r="K209" s="60"/>
      <c r="L209" s="60"/>
      <c r="M209" s="61"/>
      <c r="N209" s="62"/>
      <c r="O209" s="63"/>
      <c r="AQ209" s="46"/>
    </row>
    <row r="210" ht="22.5" customHeight="1">
      <c r="B210" s="46"/>
      <c r="G210" s="47"/>
      <c r="I210" s="58"/>
      <c r="J210" s="59"/>
      <c r="K210" s="60"/>
      <c r="L210" s="60"/>
      <c r="M210" s="61"/>
      <c r="N210" s="62"/>
      <c r="O210" s="63"/>
      <c r="AQ210" s="46"/>
    </row>
    <row r="211" ht="22.5" customHeight="1">
      <c r="B211" s="46"/>
      <c r="G211" s="47"/>
      <c r="I211" s="58"/>
      <c r="J211" s="59"/>
      <c r="K211" s="60"/>
      <c r="L211" s="60"/>
      <c r="M211" s="61"/>
      <c r="N211" s="62"/>
      <c r="O211" s="63"/>
      <c r="AQ211" s="46"/>
    </row>
    <row r="212" ht="22.5" customHeight="1">
      <c r="B212" s="46"/>
      <c r="G212" s="47"/>
      <c r="I212" s="58"/>
      <c r="J212" s="59"/>
      <c r="K212" s="60"/>
      <c r="L212" s="60"/>
      <c r="M212" s="61"/>
      <c r="N212" s="62"/>
      <c r="O212" s="63"/>
      <c r="AQ212" s="46"/>
    </row>
    <row r="213" ht="22.5" customHeight="1">
      <c r="B213" s="46"/>
      <c r="G213" s="47"/>
      <c r="I213" s="58"/>
      <c r="J213" s="59"/>
      <c r="K213" s="60"/>
      <c r="L213" s="60"/>
      <c r="M213" s="61"/>
      <c r="N213" s="62"/>
      <c r="O213" s="63"/>
      <c r="AQ213" s="46"/>
    </row>
    <row r="214" ht="22.5" customHeight="1">
      <c r="B214" s="46"/>
      <c r="G214" s="47"/>
      <c r="I214" s="58"/>
      <c r="J214" s="59"/>
      <c r="K214" s="60"/>
      <c r="L214" s="60"/>
      <c r="M214" s="61"/>
      <c r="N214" s="62"/>
      <c r="O214" s="63"/>
      <c r="AQ214" s="46"/>
    </row>
    <row r="215" ht="22.5" customHeight="1">
      <c r="B215" s="46"/>
      <c r="G215" s="47"/>
      <c r="I215" s="58"/>
      <c r="J215" s="59"/>
      <c r="K215" s="60"/>
      <c r="L215" s="60"/>
      <c r="M215" s="61"/>
      <c r="N215" s="62"/>
      <c r="O215" s="63"/>
      <c r="AQ215" s="46"/>
    </row>
    <row r="216" ht="22.5" customHeight="1">
      <c r="B216" s="46"/>
      <c r="G216" s="47"/>
      <c r="I216" s="58"/>
      <c r="J216" s="59"/>
      <c r="K216" s="60"/>
      <c r="L216" s="60"/>
      <c r="M216" s="61"/>
      <c r="N216" s="62"/>
      <c r="O216" s="63"/>
      <c r="AQ216" s="46"/>
    </row>
    <row r="217" ht="22.5" customHeight="1">
      <c r="B217" s="46"/>
      <c r="G217" s="47"/>
      <c r="I217" s="58"/>
      <c r="J217" s="59"/>
      <c r="K217" s="60"/>
      <c r="L217" s="60"/>
      <c r="M217" s="61"/>
      <c r="N217" s="62"/>
      <c r="O217" s="63"/>
      <c r="AQ217" s="46"/>
    </row>
    <row r="218" ht="22.5" customHeight="1">
      <c r="B218" s="46"/>
      <c r="G218" s="47"/>
      <c r="I218" s="58"/>
      <c r="J218" s="59"/>
      <c r="K218" s="60"/>
      <c r="L218" s="60"/>
      <c r="M218" s="61"/>
      <c r="N218" s="62"/>
      <c r="O218" s="63"/>
      <c r="AQ218" s="46"/>
    </row>
    <row r="219" ht="22.5" customHeight="1">
      <c r="B219" s="46"/>
      <c r="G219" s="47"/>
      <c r="I219" s="58"/>
      <c r="J219" s="59"/>
      <c r="K219" s="60"/>
      <c r="L219" s="60"/>
      <c r="M219" s="61"/>
      <c r="N219" s="62"/>
      <c r="O219" s="63"/>
      <c r="AQ219" s="46"/>
    </row>
    <row r="220" ht="22.5" customHeight="1">
      <c r="B220" s="46"/>
      <c r="G220" s="47"/>
      <c r="I220" s="58"/>
      <c r="J220" s="59"/>
      <c r="K220" s="60"/>
      <c r="L220" s="60"/>
      <c r="M220" s="61"/>
      <c r="N220" s="62"/>
      <c r="O220" s="63"/>
      <c r="AQ220" s="46"/>
    </row>
    <row r="221" ht="22.5" customHeight="1">
      <c r="B221" s="46"/>
      <c r="G221" s="47"/>
      <c r="I221" s="58"/>
      <c r="J221" s="59"/>
      <c r="K221" s="60"/>
      <c r="L221" s="60"/>
      <c r="M221" s="61"/>
      <c r="N221" s="62"/>
      <c r="O221" s="63"/>
      <c r="AQ221" s="46"/>
    </row>
    <row r="222" ht="22.5" customHeight="1">
      <c r="B222" s="46"/>
      <c r="G222" s="47"/>
      <c r="I222" s="58"/>
      <c r="J222" s="59"/>
      <c r="K222" s="60"/>
      <c r="L222" s="60"/>
      <c r="M222" s="61"/>
      <c r="N222" s="62"/>
      <c r="O222" s="63"/>
      <c r="AQ222" s="46"/>
    </row>
    <row r="223" ht="22.5" customHeight="1">
      <c r="B223" s="46"/>
      <c r="G223" s="47"/>
      <c r="I223" s="58"/>
      <c r="J223" s="59"/>
      <c r="K223" s="60"/>
      <c r="L223" s="60"/>
      <c r="M223" s="61"/>
      <c r="N223" s="62"/>
      <c r="O223" s="63"/>
      <c r="AQ223" s="46"/>
    </row>
    <row r="224" ht="22.5" customHeight="1">
      <c r="B224" s="46"/>
      <c r="G224" s="47"/>
      <c r="I224" s="58"/>
      <c r="J224" s="59"/>
      <c r="K224" s="60"/>
      <c r="L224" s="60"/>
      <c r="M224" s="61"/>
      <c r="N224" s="62"/>
      <c r="O224" s="63"/>
      <c r="AQ224" s="46"/>
    </row>
    <row r="225" ht="22.5" customHeight="1">
      <c r="B225" s="46"/>
      <c r="G225" s="47"/>
      <c r="I225" s="58"/>
      <c r="J225" s="59"/>
      <c r="K225" s="60"/>
      <c r="L225" s="60"/>
      <c r="M225" s="61"/>
      <c r="N225" s="62"/>
      <c r="O225" s="63"/>
      <c r="AQ225" s="46"/>
    </row>
    <row r="226" ht="22.5" customHeight="1">
      <c r="B226" s="46"/>
      <c r="G226" s="47"/>
      <c r="I226" s="58"/>
      <c r="J226" s="59"/>
      <c r="K226" s="60"/>
      <c r="L226" s="60"/>
      <c r="M226" s="61"/>
      <c r="N226" s="62"/>
      <c r="O226" s="63"/>
      <c r="AQ226" s="46"/>
    </row>
    <row r="227" ht="22.5" customHeight="1">
      <c r="B227" s="46"/>
      <c r="G227" s="47"/>
      <c r="I227" s="58"/>
      <c r="J227" s="59"/>
      <c r="K227" s="60"/>
      <c r="L227" s="60"/>
      <c r="M227" s="61"/>
      <c r="N227" s="62"/>
      <c r="O227" s="63"/>
      <c r="AQ227" s="46"/>
    </row>
    <row r="228" ht="22.5" customHeight="1">
      <c r="B228" s="46"/>
      <c r="G228" s="47"/>
      <c r="I228" s="58"/>
      <c r="J228" s="59"/>
      <c r="K228" s="60"/>
      <c r="L228" s="60"/>
      <c r="M228" s="61"/>
      <c r="N228" s="62"/>
      <c r="O228" s="63"/>
      <c r="AQ228" s="46"/>
    </row>
    <row r="229" ht="22.5" customHeight="1">
      <c r="B229" s="46"/>
      <c r="G229" s="47"/>
      <c r="I229" s="58"/>
      <c r="J229" s="59"/>
      <c r="K229" s="60"/>
      <c r="L229" s="60"/>
      <c r="M229" s="61"/>
      <c r="N229" s="62"/>
      <c r="O229" s="63"/>
      <c r="AQ229" s="46"/>
    </row>
    <row r="230" ht="22.5" customHeight="1">
      <c r="B230" s="46"/>
      <c r="G230" s="47"/>
      <c r="I230" s="58"/>
      <c r="J230" s="59"/>
      <c r="K230" s="60"/>
      <c r="L230" s="60"/>
      <c r="M230" s="61"/>
      <c r="N230" s="62"/>
      <c r="O230" s="63"/>
      <c r="AQ230" s="46"/>
    </row>
    <row r="231" ht="22.5" customHeight="1">
      <c r="B231" s="46"/>
      <c r="G231" s="47"/>
      <c r="I231" s="58"/>
      <c r="J231" s="59"/>
      <c r="K231" s="60"/>
      <c r="L231" s="60"/>
      <c r="M231" s="61"/>
      <c r="N231" s="62"/>
      <c r="O231" s="63"/>
      <c r="AQ231" s="46"/>
    </row>
    <row r="232" ht="22.5" customHeight="1">
      <c r="B232" s="46"/>
      <c r="G232" s="47"/>
      <c r="I232" s="58"/>
      <c r="J232" s="59"/>
      <c r="K232" s="60"/>
      <c r="L232" s="60"/>
      <c r="M232" s="61"/>
      <c r="N232" s="62"/>
      <c r="O232" s="63"/>
      <c r="AQ232" s="46"/>
    </row>
    <row r="233" ht="22.5" customHeight="1">
      <c r="B233" s="46"/>
      <c r="G233" s="47"/>
      <c r="I233" s="58"/>
      <c r="J233" s="59"/>
      <c r="K233" s="60"/>
      <c r="L233" s="60"/>
      <c r="M233" s="61"/>
      <c r="N233" s="62"/>
      <c r="O233" s="63"/>
      <c r="AQ233" s="46"/>
    </row>
    <row r="234" ht="22.5" customHeight="1">
      <c r="B234" s="46"/>
      <c r="G234" s="47"/>
      <c r="I234" s="58"/>
      <c r="J234" s="59"/>
      <c r="K234" s="60"/>
      <c r="L234" s="60"/>
      <c r="M234" s="61"/>
      <c r="N234" s="62"/>
      <c r="O234" s="63"/>
      <c r="AQ234" s="46"/>
    </row>
    <row r="235" ht="22.5" customHeight="1">
      <c r="B235" s="46"/>
      <c r="G235" s="47"/>
      <c r="I235" s="58"/>
      <c r="J235" s="59"/>
      <c r="K235" s="60"/>
      <c r="L235" s="60"/>
      <c r="M235" s="61"/>
      <c r="N235" s="62"/>
      <c r="O235" s="63"/>
      <c r="AQ235" s="46"/>
    </row>
    <row r="236" ht="22.5" customHeight="1">
      <c r="B236" s="46"/>
      <c r="G236" s="47"/>
      <c r="I236" s="58"/>
      <c r="J236" s="59"/>
      <c r="K236" s="60"/>
      <c r="L236" s="60"/>
      <c r="M236" s="61"/>
      <c r="N236" s="62"/>
      <c r="O236" s="63"/>
      <c r="AQ236" s="46"/>
    </row>
    <row r="237" ht="22.5" customHeight="1">
      <c r="B237" s="46"/>
      <c r="G237" s="47"/>
      <c r="I237" s="58"/>
      <c r="J237" s="59"/>
      <c r="K237" s="60"/>
      <c r="L237" s="60"/>
      <c r="M237" s="61"/>
      <c r="N237" s="62"/>
      <c r="O237" s="63"/>
      <c r="AQ237" s="46"/>
    </row>
    <row r="238" ht="22.5" customHeight="1">
      <c r="B238" s="46"/>
      <c r="G238" s="47"/>
      <c r="I238" s="58"/>
      <c r="J238" s="59"/>
      <c r="K238" s="60"/>
      <c r="L238" s="60"/>
      <c r="M238" s="61"/>
      <c r="N238" s="62"/>
      <c r="O238" s="63"/>
      <c r="AQ238" s="46"/>
    </row>
    <row r="239" ht="22.5" customHeight="1">
      <c r="B239" s="46"/>
      <c r="G239" s="47"/>
      <c r="I239" s="58"/>
      <c r="J239" s="59"/>
      <c r="K239" s="60"/>
      <c r="L239" s="60"/>
      <c r="M239" s="61"/>
      <c r="N239" s="62"/>
      <c r="O239" s="63"/>
      <c r="AQ239" s="46"/>
    </row>
    <row r="240" ht="22.5" customHeight="1">
      <c r="B240" s="46"/>
      <c r="G240" s="47"/>
      <c r="I240" s="58"/>
      <c r="J240" s="59"/>
      <c r="K240" s="60"/>
      <c r="L240" s="60"/>
      <c r="M240" s="61"/>
      <c r="N240" s="62"/>
      <c r="O240" s="63"/>
      <c r="AQ240" s="46"/>
    </row>
    <row r="241" ht="22.5" customHeight="1">
      <c r="B241" s="46"/>
      <c r="G241" s="47"/>
      <c r="I241" s="58"/>
      <c r="J241" s="59"/>
      <c r="K241" s="60"/>
      <c r="L241" s="60"/>
      <c r="M241" s="61"/>
      <c r="N241" s="62"/>
      <c r="O241" s="63"/>
      <c r="AQ241" s="46"/>
    </row>
    <row r="242" ht="22.5" customHeight="1">
      <c r="B242" s="46"/>
      <c r="G242" s="47"/>
      <c r="I242" s="58"/>
      <c r="J242" s="59"/>
      <c r="K242" s="60"/>
      <c r="L242" s="60"/>
      <c r="M242" s="61"/>
      <c r="N242" s="62"/>
      <c r="O242" s="63"/>
      <c r="AQ242" s="46"/>
    </row>
    <row r="243" ht="22.5" customHeight="1">
      <c r="B243" s="46"/>
      <c r="G243" s="47"/>
      <c r="I243" s="58"/>
      <c r="J243" s="59"/>
      <c r="K243" s="60"/>
      <c r="L243" s="60"/>
      <c r="M243" s="61"/>
      <c r="N243" s="62"/>
      <c r="O243" s="63"/>
      <c r="AQ243" s="46"/>
    </row>
    <row r="244" ht="22.5" customHeight="1">
      <c r="B244" s="46"/>
      <c r="G244" s="47"/>
      <c r="I244" s="58"/>
      <c r="J244" s="59"/>
      <c r="K244" s="60"/>
      <c r="L244" s="60"/>
      <c r="M244" s="61"/>
      <c r="N244" s="62"/>
      <c r="O244" s="63"/>
      <c r="AQ244" s="46"/>
    </row>
    <row r="245" ht="22.5" customHeight="1">
      <c r="B245" s="46"/>
      <c r="G245" s="47"/>
      <c r="I245" s="58"/>
      <c r="J245" s="59"/>
      <c r="K245" s="60"/>
      <c r="L245" s="60"/>
      <c r="M245" s="61"/>
      <c r="N245" s="62"/>
      <c r="O245" s="63"/>
      <c r="AQ245" s="46"/>
    </row>
    <row r="246" ht="22.5" customHeight="1">
      <c r="B246" s="46"/>
      <c r="G246" s="47"/>
      <c r="I246" s="58"/>
      <c r="J246" s="59"/>
      <c r="K246" s="60"/>
      <c r="L246" s="60"/>
      <c r="M246" s="61"/>
      <c r="N246" s="62"/>
      <c r="O246" s="63"/>
      <c r="AQ246" s="46"/>
    </row>
    <row r="247" ht="22.5" customHeight="1">
      <c r="B247" s="46"/>
      <c r="G247" s="47"/>
      <c r="I247" s="58"/>
      <c r="J247" s="59"/>
      <c r="K247" s="60"/>
      <c r="L247" s="60"/>
      <c r="M247" s="61"/>
      <c r="N247" s="62"/>
      <c r="O247" s="63"/>
      <c r="AQ247" s="46"/>
    </row>
    <row r="248" ht="22.5" customHeight="1">
      <c r="B248" s="46"/>
      <c r="G248" s="47"/>
      <c r="I248" s="58"/>
      <c r="J248" s="59"/>
      <c r="K248" s="60"/>
      <c r="L248" s="60"/>
      <c r="M248" s="61"/>
      <c r="N248" s="62"/>
      <c r="O248" s="63"/>
      <c r="AQ248" s="46"/>
    </row>
    <row r="249" ht="22.5" customHeight="1">
      <c r="B249" s="46"/>
      <c r="G249" s="47"/>
      <c r="I249" s="58"/>
      <c r="J249" s="59"/>
      <c r="K249" s="60"/>
      <c r="L249" s="60"/>
      <c r="M249" s="61"/>
      <c r="N249" s="62"/>
      <c r="O249" s="63"/>
      <c r="AQ249" s="46"/>
    </row>
    <row r="250" ht="22.5" customHeight="1">
      <c r="B250" s="46"/>
      <c r="G250" s="47"/>
      <c r="I250" s="58"/>
      <c r="J250" s="59"/>
      <c r="K250" s="60"/>
      <c r="L250" s="60"/>
      <c r="M250" s="61"/>
      <c r="N250" s="62"/>
      <c r="O250" s="63"/>
      <c r="AQ250" s="46"/>
    </row>
    <row r="251" ht="22.5" customHeight="1">
      <c r="B251" s="46"/>
      <c r="G251" s="47"/>
      <c r="I251" s="58"/>
      <c r="J251" s="59"/>
      <c r="K251" s="60"/>
      <c r="L251" s="60"/>
      <c r="M251" s="61"/>
      <c r="N251" s="62"/>
      <c r="O251" s="63"/>
      <c r="AQ251" s="46"/>
    </row>
    <row r="252" ht="22.5" customHeight="1">
      <c r="B252" s="46"/>
      <c r="G252" s="47"/>
      <c r="I252" s="58"/>
      <c r="J252" s="59"/>
      <c r="K252" s="60"/>
      <c r="L252" s="60"/>
      <c r="M252" s="61"/>
      <c r="N252" s="62"/>
      <c r="O252" s="63"/>
      <c r="AQ252" s="46"/>
    </row>
    <row r="253" ht="22.5" customHeight="1">
      <c r="B253" s="46"/>
      <c r="G253" s="47"/>
      <c r="I253" s="58"/>
      <c r="J253" s="59"/>
      <c r="K253" s="60"/>
      <c r="L253" s="60"/>
      <c r="M253" s="61"/>
      <c r="N253" s="62"/>
      <c r="O253" s="63"/>
      <c r="AQ253" s="46"/>
    </row>
    <row r="254" ht="22.5" customHeight="1">
      <c r="B254" s="46"/>
      <c r="G254" s="47"/>
      <c r="I254" s="58"/>
      <c r="J254" s="59"/>
      <c r="K254" s="60"/>
      <c r="L254" s="60"/>
      <c r="M254" s="61"/>
      <c r="N254" s="62"/>
      <c r="O254" s="63"/>
      <c r="AQ254" s="46"/>
    </row>
    <row r="255" ht="22.5" customHeight="1">
      <c r="B255" s="46"/>
      <c r="G255" s="47"/>
      <c r="I255" s="58"/>
      <c r="J255" s="59"/>
      <c r="K255" s="60"/>
      <c r="L255" s="60"/>
      <c r="M255" s="61"/>
      <c r="N255" s="62"/>
      <c r="O255" s="63"/>
      <c r="AQ255" s="46"/>
    </row>
    <row r="256" ht="22.5" customHeight="1">
      <c r="B256" s="46"/>
      <c r="G256" s="47"/>
      <c r="I256" s="58"/>
      <c r="J256" s="59"/>
      <c r="K256" s="60"/>
      <c r="L256" s="60"/>
      <c r="M256" s="61"/>
      <c r="N256" s="62"/>
      <c r="O256" s="63"/>
      <c r="AQ256" s="46"/>
    </row>
    <row r="257" ht="22.5" customHeight="1">
      <c r="B257" s="46"/>
      <c r="G257" s="47"/>
      <c r="I257" s="58"/>
      <c r="J257" s="59"/>
      <c r="K257" s="60"/>
      <c r="L257" s="60"/>
      <c r="M257" s="61"/>
      <c r="N257" s="62"/>
      <c r="O257" s="63"/>
      <c r="AQ257" s="46"/>
    </row>
    <row r="258" ht="22.5" customHeight="1">
      <c r="B258" s="46"/>
      <c r="G258" s="47"/>
      <c r="I258" s="58"/>
      <c r="J258" s="59"/>
      <c r="K258" s="60"/>
      <c r="L258" s="60"/>
      <c r="M258" s="61"/>
      <c r="N258" s="62"/>
      <c r="O258" s="63"/>
      <c r="AQ258" s="46"/>
    </row>
    <row r="259" ht="22.5" customHeight="1">
      <c r="B259" s="46"/>
      <c r="G259" s="47"/>
      <c r="I259" s="58"/>
      <c r="J259" s="59"/>
      <c r="K259" s="60"/>
      <c r="L259" s="60"/>
      <c r="M259" s="61"/>
      <c r="N259" s="62"/>
      <c r="O259" s="63"/>
      <c r="AQ259" s="46"/>
    </row>
    <row r="260" ht="22.5" customHeight="1">
      <c r="B260" s="46"/>
      <c r="G260" s="47"/>
      <c r="I260" s="58"/>
      <c r="J260" s="59"/>
      <c r="K260" s="60"/>
      <c r="L260" s="60"/>
      <c r="M260" s="61"/>
      <c r="N260" s="62"/>
      <c r="O260" s="63"/>
      <c r="AQ260" s="46"/>
    </row>
    <row r="261" ht="22.5" customHeight="1">
      <c r="B261" s="46"/>
      <c r="G261" s="47"/>
      <c r="I261" s="58"/>
      <c r="J261" s="59"/>
      <c r="K261" s="60"/>
      <c r="L261" s="60"/>
      <c r="M261" s="61"/>
      <c r="N261" s="62"/>
      <c r="O261" s="63"/>
      <c r="AQ261" s="46"/>
    </row>
    <row r="262" ht="22.5" customHeight="1">
      <c r="B262" s="46"/>
      <c r="G262" s="47"/>
      <c r="I262" s="58"/>
      <c r="J262" s="59"/>
      <c r="K262" s="60"/>
      <c r="L262" s="60"/>
      <c r="M262" s="61"/>
      <c r="N262" s="62"/>
      <c r="O262" s="63"/>
      <c r="AQ262" s="46"/>
    </row>
    <row r="263" ht="22.5" customHeight="1">
      <c r="B263" s="46"/>
      <c r="G263" s="47"/>
      <c r="I263" s="58"/>
      <c r="J263" s="59"/>
      <c r="K263" s="60"/>
      <c r="L263" s="60"/>
      <c r="M263" s="61"/>
      <c r="N263" s="62"/>
      <c r="O263" s="63"/>
      <c r="AQ263" s="46"/>
    </row>
    <row r="264" ht="22.5" customHeight="1">
      <c r="B264" s="46"/>
      <c r="G264" s="47"/>
      <c r="I264" s="58"/>
      <c r="J264" s="59"/>
      <c r="K264" s="60"/>
      <c r="L264" s="60"/>
      <c r="M264" s="61"/>
      <c r="N264" s="62"/>
      <c r="O264" s="63"/>
      <c r="AQ264" s="46"/>
    </row>
    <row r="265" ht="22.5" customHeight="1">
      <c r="B265" s="46"/>
      <c r="G265" s="47"/>
      <c r="I265" s="58"/>
      <c r="J265" s="59"/>
      <c r="K265" s="60"/>
      <c r="L265" s="60"/>
      <c r="M265" s="61"/>
      <c r="N265" s="62"/>
      <c r="O265" s="63"/>
      <c r="AQ265" s="46"/>
    </row>
    <row r="266" ht="22.5" customHeight="1">
      <c r="B266" s="46"/>
      <c r="G266" s="47"/>
      <c r="I266" s="58"/>
      <c r="J266" s="59"/>
      <c r="K266" s="60"/>
      <c r="L266" s="60"/>
      <c r="M266" s="61"/>
      <c r="N266" s="62"/>
      <c r="O266" s="63"/>
      <c r="AQ266" s="46"/>
    </row>
    <row r="267" ht="22.5" customHeight="1">
      <c r="B267" s="46"/>
      <c r="G267" s="47"/>
      <c r="I267" s="58"/>
      <c r="J267" s="59"/>
      <c r="K267" s="60"/>
      <c r="L267" s="60"/>
      <c r="M267" s="61"/>
      <c r="N267" s="62"/>
      <c r="O267" s="63"/>
      <c r="AQ267" s="46"/>
    </row>
    <row r="268" ht="22.5" customHeight="1">
      <c r="B268" s="46"/>
      <c r="G268" s="47"/>
      <c r="I268" s="58"/>
      <c r="J268" s="59"/>
      <c r="K268" s="60"/>
      <c r="L268" s="60"/>
      <c r="M268" s="61"/>
      <c r="N268" s="62"/>
      <c r="O268" s="63"/>
      <c r="AQ268" s="46"/>
    </row>
    <row r="269" ht="22.5" customHeight="1">
      <c r="B269" s="46"/>
      <c r="G269" s="47"/>
      <c r="I269" s="58"/>
      <c r="J269" s="59"/>
      <c r="K269" s="60"/>
      <c r="L269" s="60"/>
      <c r="M269" s="61"/>
      <c r="N269" s="62"/>
      <c r="O269" s="63"/>
      <c r="AQ269" s="46"/>
    </row>
    <row r="270" ht="22.5" customHeight="1">
      <c r="B270" s="46"/>
      <c r="G270" s="47"/>
      <c r="I270" s="58"/>
      <c r="J270" s="59"/>
      <c r="K270" s="60"/>
      <c r="L270" s="60"/>
      <c r="M270" s="61"/>
      <c r="N270" s="62"/>
      <c r="O270" s="63"/>
      <c r="AQ270" s="46"/>
    </row>
    <row r="271" ht="22.5" customHeight="1">
      <c r="B271" s="46"/>
      <c r="G271" s="47"/>
      <c r="I271" s="58"/>
      <c r="J271" s="59"/>
      <c r="K271" s="60"/>
      <c r="L271" s="60"/>
      <c r="M271" s="61"/>
      <c r="N271" s="62"/>
      <c r="O271" s="63"/>
      <c r="AQ271" s="46"/>
    </row>
    <row r="272" ht="22.5" customHeight="1">
      <c r="B272" s="46"/>
      <c r="G272" s="47"/>
      <c r="I272" s="58"/>
      <c r="J272" s="59"/>
      <c r="K272" s="60"/>
      <c r="L272" s="60"/>
      <c r="M272" s="61"/>
      <c r="N272" s="62"/>
      <c r="O272" s="63"/>
      <c r="AQ272" s="46"/>
    </row>
    <row r="273" ht="22.5" customHeight="1">
      <c r="B273" s="46"/>
      <c r="G273" s="47"/>
      <c r="I273" s="58"/>
      <c r="J273" s="59"/>
      <c r="K273" s="60"/>
      <c r="L273" s="60"/>
      <c r="M273" s="61"/>
      <c r="N273" s="62"/>
      <c r="O273" s="63"/>
      <c r="AQ273" s="46"/>
    </row>
    <row r="274" ht="22.5" customHeight="1">
      <c r="B274" s="46"/>
      <c r="G274" s="47"/>
      <c r="I274" s="58"/>
      <c r="J274" s="59"/>
      <c r="K274" s="60"/>
      <c r="L274" s="60"/>
      <c r="M274" s="61"/>
      <c r="N274" s="62"/>
      <c r="O274" s="63"/>
      <c r="AQ274" s="46"/>
    </row>
    <row r="275" ht="22.5" customHeight="1">
      <c r="B275" s="46"/>
      <c r="G275" s="47"/>
      <c r="I275" s="58"/>
      <c r="J275" s="59"/>
      <c r="K275" s="60"/>
      <c r="L275" s="60"/>
      <c r="M275" s="61"/>
      <c r="N275" s="62"/>
      <c r="O275" s="63"/>
      <c r="AQ275" s="46"/>
    </row>
    <row r="276" ht="22.5" customHeight="1">
      <c r="B276" s="46"/>
      <c r="G276" s="47"/>
      <c r="I276" s="58"/>
      <c r="J276" s="59"/>
      <c r="K276" s="60"/>
      <c r="L276" s="60"/>
      <c r="M276" s="61"/>
      <c r="N276" s="62"/>
      <c r="O276" s="63"/>
      <c r="AQ276" s="46"/>
    </row>
    <row r="277" ht="22.5" customHeight="1">
      <c r="B277" s="46"/>
      <c r="G277" s="47"/>
      <c r="I277" s="58"/>
      <c r="J277" s="59"/>
      <c r="K277" s="60"/>
      <c r="L277" s="60"/>
      <c r="M277" s="61"/>
      <c r="N277" s="62"/>
      <c r="O277" s="63"/>
      <c r="AQ277" s="46"/>
    </row>
    <row r="278" ht="22.5" customHeight="1">
      <c r="B278" s="46"/>
      <c r="G278" s="47"/>
      <c r="I278" s="58"/>
      <c r="J278" s="59"/>
      <c r="K278" s="60"/>
      <c r="L278" s="60"/>
      <c r="M278" s="61"/>
      <c r="N278" s="62"/>
      <c r="O278" s="63"/>
      <c r="AQ278" s="46"/>
    </row>
    <row r="279" ht="22.5" customHeight="1">
      <c r="B279" s="46"/>
      <c r="G279" s="47"/>
      <c r="I279" s="58"/>
      <c r="J279" s="59"/>
      <c r="K279" s="60"/>
      <c r="L279" s="60"/>
      <c r="M279" s="61"/>
      <c r="N279" s="62"/>
      <c r="O279" s="63"/>
      <c r="AQ279" s="46"/>
    </row>
    <row r="280" ht="22.5" customHeight="1">
      <c r="B280" s="46"/>
      <c r="G280" s="47"/>
      <c r="I280" s="58"/>
      <c r="J280" s="59"/>
      <c r="K280" s="60"/>
      <c r="L280" s="60"/>
      <c r="M280" s="61"/>
      <c r="N280" s="62"/>
      <c r="O280" s="63"/>
      <c r="AQ280" s="46"/>
    </row>
    <row r="281" ht="22.5" customHeight="1">
      <c r="B281" s="46"/>
      <c r="G281" s="47"/>
      <c r="I281" s="58"/>
      <c r="J281" s="59"/>
      <c r="K281" s="60"/>
      <c r="L281" s="60"/>
      <c r="M281" s="61"/>
      <c r="N281" s="62"/>
      <c r="O281" s="63"/>
      <c r="AQ281" s="46"/>
    </row>
    <row r="282" ht="22.5" customHeight="1">
      <c r="B282" s="46"/>
      <c r="G282" s="47"/>
      <c r="I282" s="58"/>
      <c r="J282" s="59"/>
      <c r="K282" s="60"/>
      <c r="L282" s="60"/>
      <c r="M282" s="61"/>
      <c r="N282" s="62"/>
      <c r="O282" s="63"/>
      <c r="AQ282" s="46"/>
    </row>
    <row r="283" ht="22.5" customHeight="1">
      <c r="B283" s="46"/>
      <c r="G283" s="47"/>
      <c r="I283" s="58"/>
      <c r="J283" s="59"/>
      <c r="K283" s="60"/>
      <c r="L283" s="60"/>
      <c r="M283" s="61"/>
      <c r="N283" s="62"/>
      <c r="O283" s="63"/>
      <c r="AQ283" s="46"/>
    </row>
    <row r="284" ht="22.5" customHeight="1">
      <c r="B284" s="46"/>
      <c r="G284" s="47"/>
      <c r="I284" s="58"/>
      <c r="J284" s="59"/>
      <c r="K284" s="60"/>
      <c r="L284" s="60"/>
      <c r="M284" s="61"/>
      <c r="N284" s="62"/>
      <c r="O284" s="63"/>
      <c r="AQ284" s="46"/>
    </row>
    <row r="285" ht="22.5" customHeight="1">
      <c r="B285" s="46"/>
      <c r="G285" s="47"/>
      <c r="I285" s="58"/>
      <c r="J285" s="59"/>
      <c r="K285" s="60"/>
      <c r="L285" s="60"/>
      <c r="M285" s="61"/>
      <c r="N285" s="62"/>
      <c r="O285" s="63"/>
      <c r="AQ285" s="46"/>
    </row>
    <row r="286" ht="22.5" customHeight="1">
      <c r="B286" s="46"/>
      <c r="G286" s="47"/>
      <c r="I286" s="58"/>
      <c r="J286" s="59"/>
      <c r="K286" s="60"/>
      <c r="L286" s="60"/>
      <c r="M286" s="61"/>
      <c r="N286" s="62"/>
      <c r="O286" s="63"/>
      <c r="AQ286" s="46"/>
    </row>
    <row r="287" ht="22.5" customHeight="1">
      <c r="B287" s="46"/>
      <c r="G287" s="47"/>
      <c r="I287" s="58"/>
      <c r="J287" s="59"/>
      <c r="K287" s="60"/>
      <c r="L287" s="60"/>
      <c r="M287" s="61"/>
      <c r="N287" s="62"/>
      <c r="O287" s="63"/>
      <c r="AQ287" s="46"/>
    </row>
    <row r="288" ht="22.5" customHeight="1">
      <c r="B288" s="46"/>
      <c r="G288" s="47"/>
      <c r="I288" s="58"/>
      <c r="J288" s="59"/>
      <c r="K288" s="60"/>
      <c r="L288" s="60"/>
      <c r="M288" s="61"/>
      <c r="N288" s="62"/>
      <c r="O288" s="63"/>
      <c r="AQ288" s="46"/>
    </row>
    <row r="289" ht="22.5" customHeight="1">
      <c r="B289" s="46"/>
      <c r="G289" s="47"/>
      <c r="I289" s="58"/>
      <c r="J289" s="59"/>
      <c r="K289" s="60"/>
      <c r="L289" s="60"/>
      <c r="M289" s="61"/>
      <c r="N289" s="62"/>
      <c r="O289" s="63"/>
      <c r="AQ289" s="46"/>
    </row>
    <row r="290" ht="22.5" customHeight="1">
      <c r="B290" s="46"/>
      <c r="G290" s="47"/>
      <c r="I290" s="58"/>
      <c r="J290" s="59"/>
      <c r="K290" s="60"/>
      <c r="L290" s="60"/>
      <c r="M290" s="61"/>
      <c r="N290" s="62"/>
      <c r="O290" s="63"/>
      <c r="AQ290" s="46"/>
    </row>
    <row r="291" ht="22.5" customHeight="1">
      <c r="B291" s="46"/>
      <c r="G291" s="47"/>
      <c r="I291" s="58"/>
      <c r="J291" s="59"/>
      <c r="K291" s="60"/>
      <c r="L291" s="60"/>
      <c r="M291" s="61"/>
      <c r="N291" s="62"/>
      <c r="O291" s="63"/>
      <c r="AQ291" s="46"/>
    </row>
    <row r="292" ht="22.5" customHeight="1">
      <c r="B292" s="46"/>
      <c r="G292" s="47"/>
      <c r="I292" s="58"/>
      <c r="J292" s="59"/>
      <c r="K292" s="60"/>
      <c r="L292" s="60"/>
      <c r="M292" s="61"/>
      <c r="N292" s="62"/>
      <c r="O292" s="63"/>
      <c r="AQ292" s="46"/>
    </row>
    <row r="293" ht="22.5" customHeight="1">
      <c r="B293" s="46"/>
      <c r="G293" s="47"/>
      <c r="I293" s="58"/>
      <c r="J293" s="59"/>
      <c r="K293" s="60"/>
      <c r="L293" s="60"/>
      <c r="M293" s="61"/>
      <c r="N293" s="62"/>
      <c r="O293" s="63"/>
      <c r="AQ293" s="46"/>
    </row>
    <row r="294" ht="22.5" customHeight="1">
      <c r="B294" s="46"/>
      <c r="G294" s="47"/>
      <c r="I294" s="58"/>
      <c r="J294" s="59"/>
      <c r="K294" s="60"/>
      <c r="L294" s="60"/>
      <c r="M294" s="61"/>
      <c r="N294" s="62"/>
      <c r="O294" s="63"/>
      <c r="AQ294" s="46"/>
    </row>
    <row r="295" ht="22.5" customHeight="1">
      <c r="B295" s="46"/>
      <c r="G295" s="47"/>
      <c r="I295" s="58"/>
      <c r="J295" s="59"/>
      <c r="K295" s="60"/>
      <c r="L295" s="60"/>
      <c r="M295" s="61"/>
      <c r="N295" s="62"/>
      <c r="O295" s="63"/>
      <c r="AQ295" s="46"/>
    </row>
    <row r="296" ht="22.5" customHeight="1">
      <c r="B296" s="46"/>
      <c r="G296" s="47"/>
      <c r="I296" s="58"/>
      <c r="J296" s="59"/>
      <c r="K296" s="60"/>
      <c r="L296" s="60"/>
      <c r="M296" s="61"/>
      <c r="N296" s="62"/>
      <c r="O296" s="63"/>
      <c r="AQ296" s="46"/>
    </row>
    <row r="297" ht="22.5" customHeight="1">
      <c r="B297" s="46"/>
      <c r="G297" s="47"/>
      <c r="I297" s="58"/>
      <c r="J297" s="59"/>
      <c r="K297" s="60"/>
      <c r="L297" s="60"/>
      <c r="M297" s="61"/>
      <c r="N297" s="62"/>
      <c r="O297" s="63"/>
      <c r="AQ297" s="46"/>
    </row>
    <row r="298" ht="22.5" customHeight="1">
      <c r="B298" s="46"/>
      <c r="G298" s="47"/>
      <c r="I298" s="58"/>
      <c r="J298" s="59"/>
      <c r="K298" s="60"/>
      <c r="L298" s="60"/>
      <c r="M298" s="61"/>
      <c r="N298" s="62"/>
      <c r="O298" s="63"/>
      <c r="AQ298" s="46"/>
    </row>
    <row r="299" ht="22.5" customHeight="1">
      <c r="B299" s="46"/>
      <c r="G299" s="47"/>
      <c r="I299" s="58"/>
      <c r="J299" s="59"/>
      <c r="K299" s="60"/>
      <c r="L299" s="60"/>
      <c r="M299" s="61"/>
      <c r="N299" s="62"/>
      <c r="O299" s="63"/>
      <c r="AQ299" s="46"/>
    </row>
    <row r="300" ht="22.5" customHeight="1">
      <c r="B300" s="46"/>
      <c r="G300" s="47"/>
      <c r="I300" s="58"/>
      <c r="J300" s="59"/>
      <c r="K300" s="60"/>
      <c r="L300" s="60"/>
      <c r="M300" s="61"/>
      <c r="N300" s="62"/>
      <c r="O300" s="63"/>
      <c r="AQ300" s="46"/>
    </row>
    <row r="301" ht="22.5" customHeight="1">
      <c r="B301" s="46"/>
      <c r="G301" s="47"/>
      <c r="I301" s="58"/>
      <c r="J301" s="59"/>
      <c r="K301" s="60"/>
      <c r="L301" s="60"/>
      <c r="M301" s="61"/>
      <c r="N301" s="62"/>
      <c r="O301" s="63"/>
      <c r="AQ301" s="46"/>
    </row>
    <row r="302" ht="22.5" customHeight="1">
      <c r="B302" s="46"/>
      <c r="G302" s="47"/>
      <c r="I302" s="58"/>
      <c r="J302" s="59"/>
      <c r="K302" s="60"/>
      <c r="L302" s="60"/>
      <c r="M302" s="61"/>
      <c r="N302" s="62"/>
      <c r="O302" s="63"/>
      <c r="AQ302" s="46"/>
    </row>
    <row r="303" ht="22.5" customHeight="1">
      <c r="B303" s="46"/>
      <c r="G303" s="47"/>
      <c r="I303" s="58"/>
      <c r="J303" s="59"/>
      <c r="K303" s="60"/>
      <c r="L303" s="60"/>
      <c r="M303" s="61"/>
      <c r="N303" s="62"/>
      <c r="O303" s="63"/>
      <c r="AQ303" s="46"/>
    </row>
    <row r="304" ht="22.5" customHeight="1">
      <c r="B304" s="46"/>
      <c r="G304" s="47"/>
      <c r="I304" s="58"/>
      <c r="J304" s="59"/>
      <c r="K304" s="60"/>
      <c r="L304" s="60"/>
      <c r="M304" s="61"/>
      <c r="N304" s="62"/>
      <c r="O304" s="63"/>
      <c r="AQ304" s="46"/>
    </row>
    <row r="305" ht="22.5" customHeight="1">
      <c r="B305" s="46"/>
      <c r="G305" s="47"/>
      <c r="I305" s="58"/>
      <c r="J305" s="59"/>
      <c r="K305" s="60"/>
      <c r="L305" s="60"/>
      <c r="M305" s="61"/>
      <c r="N305" s="62"/>
      <c r="O305" s="63"/>
      <c r="AQ305" s="46"/>
    </row>
    <row r="306" ht="22.5" customHeight="1">
      <c r="B306" s="46"/>
      <c r="G306" s="47"/>
      <c r="I306" s="58"/>
      <c r="J306" s="59"/>
      <c r="K306" s="60"/>
      <c r="L306" s="60"/>
      <c r="M306" s="61"/>
      <c r="N306" s="62"/>
      <c r="O306" s="63"/>
      <c r="AQ306" s="46"/>
    </row>
    <row r="307" ht="22.5" customHeight="1">
      <c r="B307" s="46"/>
      <c r="G307" s="47"/>
      <c r="I307" s="58"/>
      <c r="J307" s="59"/>
      <c r="K307" s="60"/>
      <c r="L307" s="60"/>
      <c r="M307" s="61"/>
      <c r="N307" s="62"/>
      <c r="O307" s="63"/>
      <c r="AQ307" s="46"/>
    </row>
    <row r="308" ht="22.5" customHeight="1">
      <c r="B308" s="46"/>
      <c r="G308" s="47"/>
      <c r="I308" s="58"/>
      <c r="J308" s="59"/>
      <c r="K308" s="60"/>
      <c r="L308" s="60"/>
      <c r="M308" s="61"/>
      <c r="N308" s="62"/>
      <c r="O308" s="63"/>
      <c r="AQ308" s="46"/>
    </row>
    <row r="309" ht="22.5" customHeight="1">
      <c r="B309" s="46"/>
      <c r="G309" s="47"/>
      <c r="I309" s="58"/>
      <c r="J309" s="59"/>
      <c r="K309" s="60"/>
      <c r="L309" s="60"/>
      <c r="M309" s="61"/>
      <c r="N309" s="62"/>
      <c r="O309" s="63"/>
      <c r="AQ309" s="46"/>
    </row>
    <row r="310" ht="22.5" customHeight="1">
      <c r="B310" s="46"/>
      <c r="G310" s="47"/>
      <c r="I310" s="58"/>
      <c r="J310" s="59"/>
      <c r="K310" s="60"/>
      <c r="L310" s="60"/>
      <c r="M310" s="61"/>
      <c r="N310" s="62"/>
      <c r="O310" s="63"/>
      <c r="AQ310" s="46"/>
    </row>
    <row r="311" ht="22.5" customHeight="1">
      <c r="B311" s="46"/>
      <c r="G311" s="47"/>
      <c r="I311" s="58"/>
      <c r="J311" s="59"/>
      <c r="K311" s="60"/>
      <c r="L311" s="60"/>
      <c r="M311" s="61"/>
      <c r="N311" s="62"/>
      <c r="O311" s="63"/>
      <c r="AQ311" s="46"/>
    </row>
    <row r="312" ht="22.5" customHeight="1">
      <c r="B312" s="46"/>
      <c r="G312" s="47"/>
      <c r="I312" s="58"/>
      <c r="J312" s="59"/>
      <c r="K312" s="60"/>
      <c r="L312" s="60"/>
      <c r="M312" s="61"/>
      <c r="N312" s="62"/>
      <c r="O312" s="63"/>
      <c r="AQ312" s="46"/>
    </row>
    <row r="313" ht="22.5" customHeight="1">
      <c r="B313" s="46"/>
      <c r="G313" s="47"/>
      <c r="I313" s="58"/>
      <c r="J313" s="59"/>
      <c r="K313" s="60"/>
      <c r="L313" s="60"/>
      <c r="M313" s="61"/>
      <c r="N313" s="62"/>
      <c r="O313" s="63"/>
      <c r="AQ313" s="46"/>
    </row>
    <row r="314" ht="22.5" customHeight="1">
      <c r="B314" s="46"/>
      <c r="G314" s="47"/>
      <c r="I314" s="58"/>
      <c r="J314" s="59"/>
      <c r="K314" s="60"/>
      <c r="L314" s="60"/>
      <c r="M314" s="61"/>
      <c r="N314" s="62"/>
      <c r="O314" s="63"/>
      <c r="AQ314" s="46"/>
    </row>
    <row r="315" ht="22.5" customHeight="1">
      <c r="B315" s="46"/>
      <c r="G315" s="47"/>
      <c r="I315" s="58"/>
      <c r="J315" s="59"/>
      <c r="K315" s="60"/>
      <c r="L315" s="60"/>
      <c r="M315" s="61"/>
      <c r="N315" s="62"/>
      <c r="O315" s="63"/>
      <c r="AQ315" s="46"/>
    </row>
    <row r="316" ht="22.5" customHeight="1">
      <c r="B316" s="46"/>
      <c r="G316" s="47"/>
      <c r="I316" s="58"/>
      <c r="J316" s="59"/>
      <c r="K316" s="60"/>
      <c r="L316" s="60"/>
      <c r="M316" s="61"/>
      <c r="N316" s="62"/>
      <c r="O316" s="63"/>
      <c r="AQ316" s="46"/>
    </row>
    <row r="317" ht="22.5" customHeight="1">
      <c r="B317" s="46"/>
      <c r="G317" s="47"/>
      <c r="I317" s="58"/>
      <c r="J317" s="59"/>
      <c r="K317" s="60"/>
      <c r="L317" s="60"/>
      <c r="M317" s="61"/>
      <c r="N317" s="62"/>
      <c r="O317" s="63"/>
      <c r="AQ317" s="46"/>
    </row>
    <row r="318" ht="22.5" customHeight="1">
      <c r="B318" s="46"/>
      <c r="G318" s="47"/>
      <c r="I318" s="58"/>
      <c r="J318" s="59"/>
      <c r="K318" s="60"/>
      <c r="L318" s="60"/>
      <c r="M318" s="61"/>
      <c r="N318" s="62"/>
      <c r="O318" s="63"/>
      <c r="AQ318" s="46"/>
    </row>
    <row r="319" ht="22.5" customHeight="1">
      <c r="B319" s="46"/>
      <c r="G319" s="47"/>
      <c r="I319" s="58"/>
      <c r="J319" s="59"/>
      <c r="K319" s="60"/>
      <c r="L319" s="60"/>
      <c r="M319" s="61"/>
      <c r="N319" s="62"/>
      <c r="O319" s="63"/>
      <c r="AQ319" s="46"/>
    </row>
    <row r="320" ht="22.5" customHeight="1">
      <c r="B320" s="46"/>
      <c r="G320" s="47"/>
      <c r="I320" s="58"/>
      <c r="J320" s="59"/>
      <c r="K320" s="60"/>
      <c r="L320" s="60"/>
      <c r="M320" s="61"/>
      <c r="N320" s="62"/>
      <c r="O320" s="63"/>
      <c r="AQ320" s="46"/>
    </row>
    <row r="321" ht="22.5" customHeight="1">
      <c r="B321" s="46"/>
      <c r="G321" s="47"/>
      <c r="I321" s="58"/>
      <c r="J321" s="59"/>
      <c r="K321" s="60"/>
      <c r="L321" s="60"/>
      <c r="M321" s="61"/>
      <c r="N321" s="62"/>
      <c r="O321" s="63"/>
      <c r="AQ321" s="46"/>
    </row>
    <row r="322" ht="22.5" customHeight="1">
      <c r="B322" s="46"/>
      <c r="G322" s="47"/>
      <c r="I322" s="58"/>
      <c r="J322" s="59"/>
      <c r="K322" s="60"/>
      <c r="L322" s="60"/>
      <c r="M322" s="61"/>
      <c r="N322" s="62"/>
      <c r="O322" s="63"/>
      <c r="AQ322" s="46"/>
    </row>
    <row r="323" ht="22.5" customHeight="1">
      <c r="B323" s="46"/>
      <c r="G323" s="47"/>
      <c r="I323" s="58"/>
      <c r="J323" s="59"/>
      <c r="K323" s="60"/>
      <c r="L323" s="60"/>
      <c r="M323" s="61"/>
      <c r="N323" s="62"/>
      <c r="O323" s="63"/>
      <c r="AQ323" s="46"/>
    </row>
    <row r="324" ht="22.5" customHeight="1">
      <c r="B324" s="46"/>
      <c r="G324" s="47"/>
      <c r="I324" s="58"/>
      <c r="J324" s="59"/>
      <c r="K324" s="60"/>
      <c r="L324" s="60"/>
      <c r="M324" s="61"/>
      <c r="N324" s="62"/>
      <c r="O324" s="63"/>
      <c r="AQ324" s="46"/>
    </row>
    <row r="325" ht="22.5" customHeight="1">
      <c r="B325" s="46"/>
      <c r="G325" s="47"/>
      <c r="I325" s="58"/>
      <c r="J325" s="59"/>
      <c r="K325" s="60"/>
      <c r="L325" s="60"/>
      <c r="M325" s="61"/>
      <c r="N325" s="62"/>
      <c r="O325" s="63"/>
      <c r="AQ325" s="46"/>
    </row>
    <row r="326" ht="22.5" customHeight="1">
      <c r="B326" s="46"/>
      <c r="G326" s="47"/>
      <c r="I326" s="58"/>
      <c r="J326" s="59"/>
      <c r="K326" s="60"/>
      <c r="L326" s="60"/>
      <c r="M326" s="61"/>
      <c r="N326" s="62"/>
      <c r="O326" s="63"/>
      <c r="AQ326" s="46"/>
    </row>
    <row r="327" ht="22.5" customHeight="1">
      <c r="B327" s="46"/>
      <c r="G327" s="47"/>
      <c r="I327" s="58"/>
      <c r="J327" s="59"/>
      <c r="K327" s="60"/>
      <c r="L327" s="60"/>
      <c r="M327" s="61"/>
      <c r="N327" s="62"/>
      <c r="O327" s="63"/>
      <c r="AQ327" s="46"/>
    </row>
    <row r="328" ht="22.5" customHeight="1">
      <c r="B328" s="46"/>
      <c r="G328" s="47"/>
      <c r="I328" s="58"/>
      <c r="J328" s="59"/>
      <c r="K328" s="60"/>
      <c r="L328" s="60"/>
      <c r="M328" s="61"/>
      <c r="N328" s="62"/>
      <c r="O328" s="63"/>
      <c r="AQ328" s="46"/>
    </row>
    <row r="329" ht="22.5" customHeight="1">
      <c r="B329" s="46"/>
      <c r="G329" s="47"/>
      <c r="I329" s="58"/>
      <c r="J329" s="59"/>
      <c r="K329" s="60"/>
      <c r="L329" s="60"/>
      <c r="M329" s="61"/>
      <c r="N329" s="62"/>
      <c r="O329" s="63"/>
      <c r="AQ329" s="46"/>
    </row>
    <row r="330" ht="22.5" customHeight="1">
      <c r="B330" s="46"/>
      <c r="G330" s="47"/>
      <c r="I330" s="58"/>
      <c r="J330" s="59"/>
      <c r="K330" s="60"/>
      <c r="L330" s="60"/>
      <c r="M330" s="61"/>
      <c r="N330" s="62"/>
      <c r="O330" s="63"/>
      <c r="AQ330" s="46"/>
    </row>
    <row r="331" ht="22.5" customHeight="1">
      <c r="B331" s="46"/>
      <c r="G331" s="47"/>
      <c r="I331" s="58"/>
      <c r="J331" s="59"/>
      <c r="K331" s="60"/>
      <c r="L331" s="60"/>
      <c r="M331" s="61"/>
      <c r="N331" s="62"/>
      <c r="O331" s="63"/>
      <c r="AQ331" s="46"/>
    </row>
    <row r="332" ht="22.5" customHeight="1">
      <c r="B332" s="46"/>
      <c r="G332" s="47"/>
      <c r="I332" s="58"/>
      <c r="J332" s="59"/>
      <c r="K332" s="60"/>
      <c r="L332" s="60"/>
      <c r="M332" s="61"/>
      <c r="N332" s="62"/>
      <c r="O332" s="63"/>
      <c r="AQ332" s="46"/>
    </row>
    <row r="333" ht="22.5" customHeight="1">
      <c r="B333" s="46"/>
      <c r="G333" s="47"/>
      <c r="I333" s="58"/>
      <c r="J333" s="59"/>
      <c r="K333" s="60"/>
      <c r="L333" s="60"/>
      <c r="M333" s="61"/>
      <c r="N333" s="62"/>
      <c r="O333" s="63"/>
      <c r="AQ333" s="46"/>
    </row>
    <row r="334" ht="22.5" customHeight="1">
      <c r="B334" s="46"/>
      <c r="G334" s="47"/>
      <c r="I334" s="58"/>
      <c r="J334" s="59"/>
      <c r="K334" s="60"/>
      <c r="L334" s="60"/>
      <c r="M334" s="61"/>
      <c r="N334" s="62"/>
      <c r="O334" s="63"/>
      <c r="AQ334" s="46"/>
    </row>
    <row r="335" ht="22.5" customHeight="1">
      <c r="B335" s="46"/>
      <c r="G335" s="47"/>
      <c r="I335" s="58"/>
      <c r="J335" s="59"/>
      <c r="K335" s="60"/>
      <c r="L335" s="60"/>
      <c r="M335" s="61"/>
      <c r="N335" s="62"/>
      <c r="O335" s="63"/>
      <c r="AQ335" s="46"/>
    </row>
    <row r="336" ht="22.5" customHeight="1">
      <c r="B336" s="46"/>
      <c r="G336" s="47"/>
      <c r="I336" s="58"/>
      <c r="J336" s="59"/>
      <c r="K336" s="60"/>
      <c r="L336" s="60"/>
      <c r="M336" s="61"/>
      <c r="N336" s="62"/>
      <c r="O336" s="63"/>
      <c r="AQ336" s="46"/>
    </row>
    <row r="337" ht="22.5" customHeight="1">
      <c r="B337" s="46"/>
      <c r="G337" s="47"/>
      <c r="I337" s="58"/>
      <c r="J337" s="59"/>
      <c r="K337" s="60"/>
      <c r="L337" s="60"/>
      <c r="M337" s="61"/>
      <c r="N337" s="62"/>
      <c r="O337" s="63"/>
      <c r="AQ337" s="46"/>
    </row>
    <row r="338" ht="22.5" customHeight="1">
      <c r="B338" s="46"/>
      <c r="G338" s="47"/>
      <c r="I338" s="58"/>
      <c r="J338" s="59"/>
      <c r="K338" s="60"/>
      <c r="L338" s="60"/>
      <c r="M338" s="61"/>
      <c r="N338" s="62"/>
      <c r="O338" s="63"/>
      <c r="AQ338" s="46"/>
    </row>
    <row r="339" ht="22.5" customHeight="1">
      <c r="B339" s="46"/>
      <c r="G339" s="47"/>
      <c r="I339" s="58"/>
      <c r="J339" s="59"/>
      <c r="K339" s="60"/>
      <c r="L339" s="60"/>
      <c r="M339" s="61"/>
      <c r="N339" s="62"/>
      <c r="O339" s="63"/>
      <c r="AQ339" s="46"/>
    </row>
    <row r="340" ht="22.5" customHeight="1">
      <c r="B340" s="46"/>
      <c r="G340" s="47"/>
      <c r="I340" s="58"/>
      <c r="J340" s="59"/>
      <c r="K340" s="60"/>
      <c r="L340" s="60"/>
      <c r="M340" s="61"/>
      <c r="N340" s="62"/>
      <c r="O340" s="63"/>
      <c r="AQ340" s="46"/>
    </row>
    <row r="341" ht="22.5" customHeight="1">
      <c r="B341" s="46"/>
      <c r="G341" s="47"/>
      <c r="I341" s="58"/>
      <c r="J341" s="59"/>
      <c r="K341" s="60"/>
      <c r="L341" s="60"/>
      <c r="M341" s="61"/>
      <c r="N341" s="62"/>
      <c r="O341" s="63"/>
      <c r="AQ341" s="46"/>
    </row>
    <row r="342" ht="22.5" customHeight="1">
      <c r="B342" s="46"/>
      <c r="G342" s="47"/>
      <c r="I342" s="58"/>
      <c r="J342" s="59"/>
      <c r="K342" s="60"/>
      <c r="L342" s="60"/>
      <c r="M342" s="61"/>
      <c r="N342" s="62"/>
      <c r="O342" s="63"/>
      <c r="AQ342" s="46"/>
    </row>
    <row r="343" ht="22.5" customHeight="1">
      <c r="B343" s="46"/>
      <c r="G343" s="47"/>
      <c r="I343" s="58"/>
      <c r="J343" s="59"/>
      <c r="K343" s="60"/>
      <c r="L343" s="60"/>
      <c r="M343" s="61"/>
      <c r="N343" s="62"/>
      <c r="O343" s="63"/>
      <c r="AQ343" s="46"/>
    </row>
    <row r="344" ht="22.5" customHeight="1">
      <c r="B344" s="46"/>
      <c r="G344" s="47"/>
      <c r="I344" s="58"/>
      <c r="J344" s="59"/>
      <c r="K344" s="60"/>
      <c r="L344" s="60"/>
      <c r="M344" s="61"/>
      <c r="N344" s="62"/>
      <c r="O344" s="63"/>
      <c r="AQ344" s="46"/>
    </row>
    <row r="345" ht="22.5" customHeight="1">
      <c r="B345" s="46"/>
      <c r="G345" s="47"/>
      <c r="I345" s="58"/>
      <c r="J345" s="59"/>
      <c r="K345" s="60"/>
      <c r="L345" s="60"/>
      <c r="M345" s="61"/>
      <c r="N345" s="62"/>
      <c r="O345" s="63"/>
      <c r="AQ345" s="46"/>
    </row>
    <row r="346" ht="22.5" customHeight="1">
      <c r="B346" s="46"/>
      <c r="G346" s="47"/>
      <c r="I346" s="58"/>
      <c r="J346" s="59"/>
      <c r="K346" s="60"/>
      <c r="L346" s="60"/>
      <c r="M346" s="61"/>
      <c r="N346" s="62"/>
      <c r="O346" s="63"/>
      <c r="AQ346" s="46"/>
    </row>
    <row r="347" ht="22.5" customHeight="1">
      <c r="B347" s="46"/>
      <c r="G347" s="47"/>
      <c r="I347" s="58"/>
      <c r="J347" s="59"/>
      <c r="K347" s="60"/>
      <c r="L347" s="60"/>
      <c r="M347" s="61"/>
      <c r="N347" s="62"/>
      <c r="O347" s="63"/>
      <c r="AQ347" s="46"/>
    </row>
    <row r="348" ht="22.5" customHeight="1">
      <c r="B348" s="46"/>
      <c r="G348" s="47"/>
      <c r="I348" s="58"/>
      <c r="J348" s="59"/>
      <c r="K348" s="60"/>
      <c r="L348" s="60"/>
      <c r="M348" s="61"/>
      <c r="N348" s="62"/>
      <c r="O348" s="63"/>
      <c r="AQ348" s="46"/>
    </row>
    <row r="349" ht="22.5" customHeight="1">
      <c r="B349" s="46"/>
      <c r="G349" s="47"/>
      <c r="I349" s="58"/>
      <c r="J349" s="59"/>
      <c r="K349" s="60"/>
      <c r="L349" s="60"/>
      <c r="M349" s="61"/>
      <c r="N349" s="62"/>
      <c r="O349" s="63"/>
      <c r="AQ349" s="46"/>
    </row>
    <row r="350" ht="22.5" customHeight="1">
      <c r="B350" s="46"/>
      <c r="G350" s="47"/>
      <c r="I350" s="58"/>
      <c r="J350" s="59"/>
      <c r="K350" s="60"/>
      <c r="L350" s="60"/>
      <c r="M350" s="61"/>
      <c r="N350" s="62"/>
      <c r="O350" s="63"/>
      <c r="AQ350" s="46"/>
    </row>
    <row r="351" ht="22.5" customHeight="1">
      <c r="B351" s="46"/>
      <c r="G351" s="47"/>
      <c r="I351" s="58"/>
      <c r="J351" s="59"/>
      <c r="K351" s="60"/>
      <c r="L351" s="60"/>
      <c r="M351" s="61"/>
      <c r="N351" s="62"/>
      <c r="O351" s="63"/>
      <c r="AQ351" s="46"/>
    </row>
    <row r="352" ht="22.5" customHeight="1">
      <c r="B352" s="46"/>
      <c r="G352" s="47"/>
      <c r="I352" s="58"/>
      <c r="J352" s="59"/>
      <c r="K352" s="60"/>
      <c r="L352" s="60"/>
      <c r="M352" s="61"/>
      <c r="N352" s="62"/>
      <c r="O352" s="63"/>
      <c r="AQ352" s="46"/>
    </row>
    <row r="353" ht="22.5" customHeight="1">
      <c r="B353" s="46"/>
      <c r="G353" s="47"/>
      <c r="I353" s="58"/>
      <c r="J353" s="59"/>
      <c r="K353" s="60"/>
      <c r="L353" s="60"/>
      <c r="M353" s="61"/>
      <c r="N353" s="62"/>
      <c r="O353" s="63"/>
      <c r="AQ353" s="46"/>
    </row>
    <row r="354" ht="22.5" customHeight="1">
      <c r="B354" s="46"/>
      <c r="G354" s="47"/>
      <c r="I354" s="58"/>
      <c r="J354" s="59"/>
      <c r="K354" s="60"/>
      <c r="L354" s="60"/>
      <c r="M354" s="61"/>
      <c r="N354" s="62"/>
      <c r="O354" s="63"/>
      <c r="AQ354" s="46"/>
    </row>
    <row r="355" ht="22.5" customHeight="1">
      <c r="B355" s="46"/>
      <c r="G355" s="47"/>
      <c r="I355" s="58"/>
      <c r="J355" s="59"/>
      <c r="K355" s="60"/>
      <c r="L355" s="60"/>
      <c r="M355" s="61"/>
      <c r="N355" s="62"/>
      <c r="O355" s="63"/>
      <c r="AQ355" s="46"/>
    </row>
    <row r="356" ht="22.5" customHeight="1">
      <c r="B356" s="46"/>
      <c r="G356" s="47"/>
      <c r="I356" s="58"/>
      <c r="J356" s="59"/>
      <c r="K356" s="60"/>
      <c r="L356" s="60"/>
      <c r="M356" s="61"/>
      <c r="N356" s="62"/>
      <c r="O356" s="63"/>
      <c r="AQ356" s="46"/>
    </row>
    <row r="357" ht="22.5" customHeight="1">
      <c r="B357" s="46"/>
      <c r="G357" s="47"/>
      <c r="I357" s="58"/>
      <c r="J357" s="59"/>
      <c r="K357" s="60"/>
      <c r="L357" s="60"/>
      <c r="M357" s="61"/>
      <c r="N357" s="62"/>
      <c r="O357" s="63"/>
      <c r="AQ357" s="46"/>
    </row>
    <row r="358" ht="22.5" customHeight="1">
      <c r="B358" s="46"/>
      <c r="G358" s="47"/>
      <c r="I358" s="58"/>
      <c r="J358" s="59"/>
      <c r="K358" s="60"/>
      <c r="L358" s="60"/>
      <c r="M358" s="61"/>
      <c r="N358" s="62"/>
      <c r="O358" s="63"/>
      <c r="AQ358" s="46"/>
    </row>
    <row r="359" ht="22.5" customHeight="1">
      <c r="B359" s="46"/>
      <c r="G359" s="47"/>
      <c r="I359" s="58"/>
      <c r="J359" s="59"/>
      <c r="K359" s="60"/>
      <c r="L359" s="60"/>
      <c r="M359" s="61"/>
      <c r="N359" s="62"/>
      <c r="O359" s="63"/>
      <c r="AQ359" s="46"/>
    </row>
    <row r="360" ht="22.5" customHeight="1">
      <c r="B360" s="46"/>
      <c r="G360" s="47"/>
      <c r="I360" s="58"/>
      <c r="J360" s="59"/>
      <c r="K360" s="60"/>
      <c r="L360" s="60"/>
      <c r="M360" s="61"/>
      <c r="N360" s="62"/>
      <c r="O360" s="63"/>
      <c r="AQ360" s="46"/>
    </row>
    <row r="361" ht="22.5" customHeight="1">
      <c r="B361" s="46"/>
      <c r="G361" s="47"/>
      <c r="I361" s="58"/>
      <c r="J361" s="59"/>
      <c r="K361" s="60"/>
      <c r="L361" s="60"/>
      <c r="M361" s="61"/>
      <c r="N361" s="62"/>
      <c r="O361" s="63"/>
      <c r="AQ361" s="46"/>
    </row>
    <row r="362" ht="22.5" customHeight="1">
      <c r="B362" s="46"/>
      <c r="G362" s="47"/>
      <c r="I362" s="58"/>
      <c r="J362" s="59"/>
      <c r="K362" s="60"/>
      <c r="L362" s="60"/>
      <c r="M362" s="61"/>
      <c r="N362" s="62"/>
      <c r="O362" s="63"/>
      <c r="AQ362" s="46"/>
    </row>
    <row r="363" ht="22.5" customHeight="1">
      <c r="B363" s="46"/>
      <c r="G363" s="47"/>
      <c r="I363" s="58"/>
      <c r="J363" s="59"/>
      <c r="K363" s="60"/>
      <c r="L363" s="60"/>
      <c r="M363" s="61"/>
      <c r="N363" s="62"/>
      <c r="O363" s="63"/>
      <c r="AQ363" s="46"/>
    </row>
    <row r="364" ht="22.5" customHeight="1">
      <c r="B364" s="46"/>
      <c r="G364" s="47"/>
      <c r="I364" s="58"/>
      <c r="J364" s="59"/>
      <c r="K364" s="60"/>
      <c r="L364" s="60"/>
      <c r="M364" s="61"/>
      <c r="N364" s="62"/>
      <c r="O364" s="63"/>
      <c r="AQ364" s="46"/>
    </row>
    <row r="365" ht="22.5" customHeight="1">
      <c r="B365" s="46"/>
      <c r="G365" s="47"/>
      <c r="I365" s="58"/>
      <c r="J365" s="59"/>
      <c r="K365" s="60"/>
      <c r="L365" s="60"/>
      <c r="M365" s="61"/>
      <c r="N365" s="62"/>
      <c r="O365" s="63"/>
      <c r="AQ365" s="46"/>
    </row>
    <row r="366" ht="22.5" customHeight="1">
      <c r="B366" s="46"/>
      <c r="G366" s="47"/>
      <c r="I366" s="58"/>
      <c r="J366" s="59"/>
      <c r="K366" s="60"/>
      <c r="L366" s="60"/>
      <c r="M366" s="61"/>
      <c r="N366" s="62"/>
      <c r="O366" s="63"/>
      <c r="AQ366" s="46"/>
    </row>
    <row r="367" ht="22.5" customHeight="1">
      <c r="B367" s="46"/>
      <c r="G367" s="47"/>
      <c r="I367" s="58"/>
      <c r="J367" s="59"/>
      <c r="K367" s="60"/>
      <c r="L367" s="60"/>
      <c r="M367" s="61"/>
      <c r="N367" s="62"/>
      <c r="O367" s="63"/>
      <c r="AQ367" s="46"/>
    </row>
    <row r="368" ht="22.5" customHeight="1">
      <c r="B368" s="46"/>
      <c r="G368" s="47"/>
      <c r="I368" s="58"/>
      <c r="J368" s="59"/>
      <c r="K368" s="60"/>
      <c r="L368" s="60"/>
      <c r="M368" s="61"/>
      <c r="N368" s="62"/>
      <c r="O368" s="63"/>
      <c r="AQ368" s="46"/>
    </row>
    <row r="369" ht="22.5" customHeight="1">
      <c r="B369" s="46"/>
      <c r="G369" s="47"/>
      <c r="I369" s="58"/>
      <c r="J369" s="59"/>
      <c r="K369" s="60"/>
      <c r="L369" s="60"/>
      <c r="M369" s="61"/>
      <c r="N369" s="62"/>
      <c r="O369" s="63"/>
      <c r="AQ369" s="46"/>
    </row>
    <row r="370" ht="22.5" customHeight="1">
      <c r="B370" s="46"/>
      <c r="G370" s="47"/>
      <c r="I370" s="58"/>
      <c r="J370" s="59"/>
      <c r="K370" s="60"/>
      <c r="L370" s="60"/>
      <c r="M370" s="61"/>
      <c r="N370" s="62"/>
      <c r="O370" s="63"/>
      <c r="AQ370" s="46"/>
    </row>
    <row r="371" ht="22.5" customHeight="1">
      <c r="B371" s="46"/>
      <c r="G371" s="47"/>
      <c r="I371" s="58"/>
      <c r="J371" s="59"/>
      <c r="K371" s="60"/>
      <c r="L371" s="60"/>
      <c r="M371" s="61"/>
      <c r="N371" s="62"/>
      <c r="O371" s="63"/>
      <c r="AQ371" s="46"/>
    </row>
    <row r="372" ht="22.5" customHeight="1">
      <c r="B372" s="46"/>
      <c r="G372" s="47"/>
      <c r="I372" s="58"/>
      <c r="J372" s="59"/>
      <c r="K372" s="60"/>
      <c r="L372" s="60"/>
      <c r="M372" s="61"/>
      <c r="N372" s="62"/>
      <c r="O372" s="63"/>
      <c r="AQ372" s="46"/>
    </row>
    <row r="373" ht="22.5" customHeight="1">
      <c r="B373" s="46"/>
      <c r="G373" s="47"/>
      <c r="I373" s="58"/>
      <c r="J373" s="59"/>
      <c r="K373" s="60"/>
      <c r="L373" s="60"/>
      <c r="M373" s="61"/>
      <c r="N373" s="62"/>
      <c r="O373" s="63"/>
      <c r="AQ373" s="46"/>
    </row>
    <row r="374" ht="22.5" customHeight="1">
      <c r="B374" s="46"/>
      <c r="G374" s="47"/>
      <c r="I374" s="58"/>
      <c r="J374" s="59"/>
      <c r="K374" s="60"/>
      <c r="L374" s="60"/>
      <c r="M374" s="61"/>
      <c r="N374" s="62"/>
      <c r="O374" s="63"/>
      <c r="AQ374" s="46"/>
    </row>
    <row r="375" ht="22.5" customHeight="1">
      <c r="B375" s="46"/>
      <c r="G375" s="47"/>
      <c r="I375" s="58"/>
      <c r="J375" s="59"/>
      <c r="K375" s="60"/>
      <c r="L375" s="60"/>
      <c r="M375" s="61"/>
      <c r="N375" s="62"/>
      <c r="O375" s="63"/>
      <c r="AQ375" s="46"/>
    </row>
    <row r="376" ht="22.5" customHeight="1">
      <c r="B376" s="46"/>
      <c r="G376" s="47"/>
      <c r="I376" s="58"/>
      <c r="J376" s="59"/>
      <c r="K376" s="60"/>
      <c r="L376" s="60"/>
      <c r="M376" s="61"/>
      <c r="N376" s="62"/>
      <c r="O376" s="63"/>
      <c r="AQ376" s="46"/>
    </row>
    <row r="377">
      <c r="B377" s="46"/>
      <c r="G377" s="47"/>
      <c r="J377" s="46"/>
      <c r="O377" s="47"/>
      <c r="AQ377" s="46"/>
    </row>
    <row r="378">
      <c r="B378" s="46"/>
      <c r="G378" s="47"/>
      <c r="J378" s="46"/>
      <c r="O378" s="47"/>
      <c r="AQ378" s="46"/>
    </row>
    <row r="379">
      <c r="B379" s="46"/>
      <c r="G379" s="47"/>
      <c r="J379" s="46"/>
      <c r="O379" s="47"/>
      <c r="AQ379" s="46"/>
    </row>
    <row r="380">
      <c r="B380" s="46"/>
      <c r="G380" s="47"/>
      <c r="J380" s="46"/>
      <c r="O380" s="47"/>
      <c r="AQ380" s="46"/>
    </row>
    <row r="381">
      <c r="B381" s="46"/>
      <c r="G381" s="47"/>
      <c r="J381" s="46"/>
      <c r="O381" s="47"/>
      <c r="AQ381" s="46"/>
    </row>
    <row r="382">
      <c r="B382" s="46"/>
      <c r="G382" s="47"/>
      <c r="J382" s="46"/>
      <c r="O382" s="47"/>
      <c r="AQ382" s="46"/>
    </row>
    <row r="383">
      <c r="B383" s="46"/>
      <c r="G383" s="47"/>
      <c r="J383" s="46"/>
      <c r="O383" s="47"/>
      <c r="AQ383" s="46"/>
    </row>
    <row r="384">
      <c r="B384" s="46"/>
      <c r="G384" s="47"/>
      <c r="J384" s="46"/>
      <c r="O384" s="47"/>
      <c r="AQ384" s="46"/>
    </row>
    <row r="385">
      <c r="B385" s="46"/>
      <c r="G385" s="47"/>
      <c r="J385" s="46"/>
      <c r="O385" s="47"/>
      <c r="AQ385" s="46"/>
    </row>
    <row r="386">
      <c r="B386" s="46"/>
      <c r="G386" s="47"/>
      <c r="J386" s="46"/>
      <c r="O386" s="47"/>
      <c r="AQ386" s="46"/>
    </row>
    <row r="387">
      <c r="B387" s="46"/>
      <c r="G387" s="47"/>
      <c r="J387" s="46"/>
      <c r="O387" s="47"/>
      <c r="AQ387" s="46"/>
    </row>
    <row r="388">
      <c r="B388" s="46"/>
      <c r="G388" s="47"/>
      <c r="J388" s="46"/>
      <c r="O388" s="47"/>
      <c r="AQ388" s="46"/>
    </row>
    <row r="389">
      <c r="B389" s="46"/>
      <c r="G389" s="47"/>
      <c r="J389" s="46"/>
      <c r="O389" s="47"/>
      <c r="AQ389" s="46"/>
    </row>
    <row r="390">
      <c r="B390" s="46"/>
      <c r="G390" s="47"/>
      <c r="J390" s="46"/>
      <c r="O390" s="47"/>
      <c r="AQ390" s="46"/>
    </row>
    <row r="391">
      <c r="B391" s="46"/>
      <c r="G391" s="47"/>
      <c r="J391" s="46"/>
      <c r="O391" s="47"/>
      <c r="AQ391" s="46"/>
    </row>
    <row r="392">
      <c r="B392" s="46"/>
      <c r="G392" s="47"/>
      <c r="J392" s="46"/>
      <c r="O392" s="47"/>
      <c r="AQ392" s="46"/>
    </row>
    <row r="393">
      <c r="B393" s="46"/>
      <c r="G393" s="47"/>
      <c r="J393" s="46"/>
      <c r="O393" s="47"/>
      <c r="AQ393" s="46"/>
    </row>
    <row r="394">
      <c r="B394" s="46"/>
      <c r="G394" s="47"/>
      <c r="J394" s="46"/>
      <c r="O394" s="47"/>
      <c r="AQ394" s="46"/>
    </row>
    <row r="395">
      <c r="B395" s="46"/>
      <c r="G395" s="47"/>
      <c r="J395" s="46"/>
      <c r="O395" s="47"/>
      <c r="AQ395" s="46"/>
    </row>
    <row r="396">
      <c r="B396" s="46"/>
      <c r="G396" s="47"/>
      <c r="J396" s="46"/>
      <c r="O396" s="47"/>
      <c r="AQ396" s="46"/>
    </row>
    <row r="397">
      <c r="B397" s="46"/>
      <c r="G397" s="47"/>
      <c r="J397" s="46"/>
      <c r="O397" s="47"/>
      <c r="AQ397" s="46"/>
    </row>
    <row r="398">
      <c r="B398" s="46"/>
      <c r="G398" s="47"/>
      <c r="J398" s="46"/>
      <c r="O398" s="47"/>
      <c r="AQ398" s="46"/>
    </row>
    <row r="399">
      <c r="B399" s="46"/>
      <c r="G399" s="47"/>
      <c r="J399" s="46"/>
      <c r="O399" s="47"/>
      <c r="AQ399" s="46"/>
    </row>
    <row r="400">
      <c r="B400" s="46"/>
      <c r="G400" s="47"/>
      <c r="J400" s="46"/>
      <c r="O400" s="47"/>
      <c r="AQ400" s="46"/>
    </row>
    <row r="401">
      <c r="B401" s="46"/>
      <c r="G401" s="47"/>
      <c r="J401" s="46"/>
      <c r="O401" s="47"/>
      <c r="AQ401" s="46"/>
    </row>
    <row r="402">
      <c r="B402" s="46"/>
      <c r="G402" s="47"/>
      <c r="J402" s="46"/>
      <c r="O402" s="47"/>
      <c r="AQ402" s="46"/>
    </row>
    <row r="403">
      <c r="B403" s="46"/>
      <c r="G403" s="47"/>
      <c r="J403" s="46"/>
      <c r="O403" s="47"/>
      <c r="AQ403" s="46"/>
    </row>
    <row r="404">
      <c r="B404" s="46"/>
      <c r="G404" s="47"/>
      <c r="J404" s="46"/>
      <c r="O404" s="47"/>
      <c r="AQ404" s="46"/>
    </row>
    <row r="405">
      <c r="B405" s="46"/>
      <c r="G405" s="47"/>
      <c r="J405" s="46"/>
      <c r="O405" s="47"/>
      <c r="AQ405" s="46"/>
    </row>
    <row r="406">
      <c r="B406" s="46"/>
      <c r="G406" s="47"/>
      <c r="J406" s="46"/>
      <c r="O406" s="47"/>
      <c r="AQ406" s="46"/>
    </row>
    <row r="407">
      <c r="B407" s="46"/>
      <c r="G407" s="47"/>
      <c r="J407" s="46"/>
      <c r="O407" s="47"/>
      <c r="AQ407" s="46"/>
    </row>
    <row r="408">
      <c r="B408" s="46"/>
      <c r="G408" s="47"/>
      <c r="J408" s="46"/>
      <c r="O408" s="47"/>
      <c r="AQ408" s="46"/>
    </row>
    <row r="409">
      <c r="B409" s="46"/>
      <c r="G409" s="47"/>
      <c r="J409" s="46"/>
      <c r="O409" s="47"/>
      <c r="AQ409" s="46"/>
    </row>
    <row r="410">
      <c r="B410" s="46"/>
      <c r="G410" s="47"/>
      <c r="J410" s="46"/>
      <c r="O410" s="47"/>
      <c r="AQ410" s="46"/>
    </row>
    <row r="411">
      <c r="B411" s="46"/>
      <c r="G411" s="47"/>
      <c r="J411" s="46"/>
      <c r="O411" s="47"/>
      <c r="AQ411" s="46"/>
    </row>
    <row r="412">
      <c r="B412" s="46"/>
      <c r="G412" s="47"/>
      <c r="J412" s="46"/>
      <c r="O412" s="47"/>
      <c r="AQ412" s="46"/>
    </row>
    <row r="413">
      <c r="B413" s="46"/>
      <c r="G413" s="47"/>
      <c r="J413" s="46"/>
      <c r="O413" s="47"/>
      <c r="AQ413" s="46"/>
    </row>
    <row r="414">
      <c r="B414" s="46"/>
      <c r="G414" s="47"/>
      <c r="J414" s="46"/>
      <c r="O414" s="47"/>
      <c r="AQ414" s="46"/>
    </row>
    <row r="415">
      <c r="B415" s="46"/>
      <c r="G415" s="47"/>
      <c r="J415" s="46"/>
      <c r="O415" s="47"/>
      <c r="AQ415" s="46"/>
    </row>
    <row r="416">
      <c r="B416" s="46"/>
      <c r="G416" s="47"/>
      <c r="J416" s="46"/>
      <c r="O416" s="47"/>
      <c r="AQ416" s="46"/>
    </row>
    <row r="417">
      <c r="B417" s="46"/>
      <c r="G417" s="47"/>
      <c r="J417" s="46"/>
      <c r="O417" s="47"/>
      <c r="AQ417" s="46"/>
    </row>
    <row r="418">
      <c r="B418" s="46"/>
      <c r="G418" s="47"/>
      <c r="J418" s="46"/>
      <c r="O418" s="47"/>
      <c r="AQ418" s="46"/>
    </row>
    <row r="419">
      <c r="B419" s="46"/>
      <c r="G419" s="47"/>
      <c r="J419" s="46"/>
      <c r="O419" s="47"/>
      <c r="AQ419" s="46"/>
    </row>
    <row r="420">
      <c r="B420" s="46"/>
      <c r="G420" s="47"/>
      <c r="J420" s="46"/>
      <c r="O420" s="47"/>
      <c r="AQ420" s="46"/>
    </row>
    <row r="421">
      <c r="B421" s="46"/>
      <c r="G421" s="47"/>
      <c r="J421" s="46"/>
      <c r="O421" s="47"/>
      <c r="AQ421" s="46"/>
    </row>
    <row r="422">
      <c r="B422" s="46"/>
      <c r="G422" s="47"/>
      <c r="J422" s="46"/>
      <c r="O422" s="47"/>
      <c r="AQ422" s="46"/>
    </row>
    <row r="423">
      <c r="B423" s="46"/>
      <c r="G423" s="47"/>
      <c r="J423" s="46"/>
      <c r="O423" s="47"/>
      <c r="AQ423" s="46"/>
    </row>
    <row r="424">
      <c r="B424" s="46"/>
      <c r="G424" s="47"/>
      <c r="J424" s="46"/>
      <c r="O424" s="47"/>
      <c r="AQ424" s="46"/>
    </row>
    <row r="425">
      <c r="B425" s="46"/>
      <c r="G425" s="47"/>
      <c r="J425" s="46"/>
      <c r="O425" s="47"/>
      <c r="AQ425" s="46"/>
    </row>
    <row r="426">
      <c r="B426" s="46"/>
      <c r="G426" s="47"/>
      <c r="J426" s="46"/>
      <c r="O426" s="47"/>
      <c r="AQ426" s="46"/>
    </row>
    <row r="427">
      <c r="B427" s="46"/>
      <c r="G427" s="47"/>
      <c r="J427" s="46"/>
      <c r="O427" s="47"/>
      <c r="AQ427" s="46"/>
    </row>
    <row r="428">
      <c r="B428" s="46"/>
      <c r="G428" s="47"/>
      <c r="J428" s="46"/>
      <c r="O428" s="47"/>
      <c r="AQ428" s="46"/>
    </row>
    <row r="429">
      <c r="B429" s="46"/>
      <c r="G429" s="47"/>
      <c r="J429" s="46"/>
      <c r="O429" s="47"/>
      <c r="AQ429" s="46"/>
    </row>
    <row r="430">
      <c r="B430" s="46"/>
      <c r="G430" s="47"/>
      <c r="J430" s="46"/>
      <c r="O430" s="47"/>
      <c r="AQ430" s="46"/>
    </row>
    <row r="431">
      <c r="B431" s="46"/>
      <c r="G431" s="47"/>
      <c r="J431" s="46"/>
      <c r="O431" s="47"/>
      <c r="AQ431" s="46"/>
    </row>
    <row r="432">
      <c r="B432" s="46"/>
      <c r="G432" s="47"/>
      <c r="J432" s="46"/>
      <c r="O432" s="47"/>
      <c r="AQ432" s="46"/>
    </row>
    <row r="433">
      <c r="B433" s="46"/>
      <c r="G433" s="47"/>
      <c r="J433" s="46"/>
      <c r="O433" s="47"/>
      <c r="AQ433" s="46"/>
    </row>
    <row r="434">
      <c r="B434" s="46"/>
      <c r="G434" s="47"/>
      <c r="J434" s="46"/>
      <c r="O434" s="47"/>
      <c r="AQ434" s="46"/>
    </row>
    <row r="435">
      <c r="B435" s="46"/>
      <c r="G435" s="47"/>
      <c r="J435" s="46"/>
      <c r="O435" s="47"/>
      <c r="AQ435" s="46"/>
    </row>
    <row r="436">
      <c r="B436" s="46"/>
      <c r="G436" s="47"/>
      <c r="J436" s="46"/>
      <c r="O436" s="47"/>
      <c r="AQ436" s="46"/>
    </row>
    <row r="437">
      <c r="B437" s="46"/>
      <c r="G437" s="47"/>
      <c r="J437" s="46"/>
      <c r="O437" s="47"/>
      <c r="AQ437" s="46"/>
    </row>
    <row r="438">
      <c r="B438" s="46"/>
      <c r="G438" s="47"/>
      <c r="J438" s="46"/>
      <c r="O438" s="47"/>
      <c r="AQ438" s="46"/>
    </row>
    <row r="439">
      <c r="B439" s="46"/>
      <c r="G439" s="47"/>
      <c r="J439" s="46"/>
      <c r="O439" s="47"/>
      <c r="AQ439" s="46"/>
    </row>
    <row r="440">
      <c r="B440" s="46"/>
      <c r="G440" s="47"/>
      <c r="J440" s="46"/>
      <c r="O440" s="47"/>
      <c r="AQ440" s="46"/>
    </row>
    <row r="441">
      <c r="B441" s="46"/>
      <c r="G441" s="47"/>
      <c r="J441" s="46"/>
      <c r="O441" s="47"/>
      <c r="AQ441" s="46"/>
    </row>
    <row r="442">
      <c r="B442" s="46"/>
      <c r="G442" s="47"/>
      <c r="J442" s="46"/>
      <c r="O442" s="47"/>
      <c r="AQ442" s="46"/>
    </row>
    <row r="443">
      <c r="B443" s="46"/>
      <c r="G443" s="47"/>
      <c r="J443" s="46"/>
      <c r="O443" s="47"/>
      <c r="AQ443" s="46"/>
    </row>
    <row r="444">
      <c r="B444" s="46"/>
      <c r="G444" s="47"/>
      <c r="J444" s="46"/>
      <c r="O444" s="47"/>
      <c r="AQ444" s="46"/>
    </row>
    <row r="445">
      <c r="B445" s="46"/>
      <c r="G445" s="47"/>
      <c r="J445" s="46"/>
      <c r="O445" s="47"/>
      <c r="AQ445" s="46"/>
    </row>
    <row r="446">
      <c r="B446" s="46"/>
      <c r="G446" s="47"/>
      <c r="J446" s="46"/>
      <c r="O446" s="47"/>
      <c r="AQ446" s="46"/>
    </row>
    <row r="447">
      <c r="B447" s="46"/>
      <c r="G447" s="47"/>
      <c r="J447" s="46"/>
      <c r="O447" s="47"/>
      <c r="AQ447" s="46"/>
    </row>
    <row r="448">
      <c r="B448" s="46"/>
      <c r="G448" s="47"/>
      <c r="J448" s="46"/>
      <c r="O448" s="47"/>
      <c r="AQ448" s="46"/>
    </row>
    <row r="449">
      <c r="B449" s="46"/>
      <c r="G449" s="47"/>
      <c r="J449" s="46"/>
      <c r="O449" s="47"/>
      <c r="AQ449" s="46"/>
    </row>
    <row r="450">
      <c r="B450" s="46"/>
      <c r="G450" s="47"/>
      <c r="J450" s="46"/>
      <c r="O450" s="47"/>
      <c r="AQ450" s="46"/>
    </row>
    <row r="451">
      <c r="B451" s="46"/>
      <c r="G451" s="47"/>
      <c r="J451" s="46"/>
      <c r="O451" s="47"/>
      <c r="AQ451" s="46"/>
    </row>
    <row r="452">
      <c r="B452" s="46"/>
      <c r="G452" s="47"/>
      <c r="J452" s="46"/>
      <c r="O452" s="47"/>
      <c r="AQ452" s="46"/>
    </row>
    <row r="453">
      <c r="B453" s="46"/>
      <c r="G453" s="47"/>
      <c r="J453" s="46"/>
      <c r="O453" s="47"/>
      <c r="AQ453" s="46"/>
    </row>
    <row r="454">
      <c r="B454" s="46"/>
      <c r="G454" s="47"/>
      <c r="J454" s="46"/>
      <c r="O454" s="47"/>
      <c r="AQ454" s="46"/>
    </row>
    <row r="455">
      <c r="B455" s="46"/>
      <c r="G455" s="47"/>
      <c r="J455" s="46"/>
      <c r="O455" s="47"/>
      <c r="AQ455" s="46"/>
    </row>
    <row r="456">
      <c r="B456" s="46"/>
      <c r="G456" s="47"/>
      <c r="J456" s="46"/>
      <c r="O456" s="47"/>
      <c r="AQ456" s="46"/>
    </row>
    <row r="457">
      <c r="B457" s="46"/>
      <c r="G457" s="47"/>
      <c r="J457" s="46"/>
      <c r="O457" s="47"/>
      <c r="AQ457" s="46"/>
    </row>
    <row r="458">
      <c r="B458" s="46"/>
      <c r="G458" s="47"/>
      <c r="J458" s="46"/>
      <c r="O458" s="47"/>
      <c r="AQ458" s="46"/>
    </row>
    <row r="459">
      <c r="B459" s="46"/>
      <c r="G459" s="47"/>
      <c r="J459" s="46"/>
      <c r="O459" s="47"/>
      <c r="AQ459" s="46"/>
    </row>
    <row r="460">
      <c r="B460" s="46"/>
      <c r="G460" s="47"/>
      <c r="J460" s="46"/>
      <c r="O460" s="47"/>
      <c r="AQ460" s="46"/>
    </row>
    <row r="461">
      <c r="B461" s="46"/>
      <c r="G461" s="47"/>
      <c r="J461" s="46"/>
      <c r="O461" s="47"/>
      <c r="AQ461" s="46"/>
    </row>
    <row r="462">
      <c r="B462" s="46"/>
      <c r="G462" s="47"/>
      <c r="J462" s="46"/>
      <c r="O462" s="47"/>
      <c r="AQ462" s="46"/>
    </row>
    <row r="463">
      <c r="B463" s="46"/>
      <c r="G463" s="47"/>
      <c r="J463" s="46"/>
      <c r="O463" s="47"/>
      <c r="AQ463" s="46"/>
    </row>
    <row r="464">
      <c r="B464" s="46"/>
      <c r="G464" s="47"/>
      <c r="J464" s="46"/>
      <c r="O464" s="47"/>
      <c r="AQ464" s="46"/>
    </row>
    <row r="465">
      <c r="B465" s="46"/>
      <c r="G465" s="47"/>
      <c r="J465" s="46"/>
      <c r="O465" s="47"/>
      <c r="AQ465" s="46"/>
    </row>
    <row r="466">
      <c r="B466" s="46"/>
      <c r="G466" s="47"/>
      <c r="J466" s="46"/>
      <c r="O466" s="47"/>
      <c r="AQ466" s="46"/>
    </row>
    <row r="467">
      <c r="B467" s="46"/>
      <c r="G467" s="47"/>
      <c r="J467" s="46"/>
      <c r="O467" s="47"/>
      <c r="AQ467" s="46"/>
    </row>
    <row r="468">
      <c r="B468" s="46"/>
      <c r="G468" s="47"/>
      <c r="J468" s="46"/>
      <c r="O468" s="47"/>
      <c r="AQ468" s="46"/>
    </row>
    <row r="469">
      <c r="B469" s="46"/>
      <c r="G469" s="47"/>
      <c r="J469" s="46"/>
      <c r="O469" s="47"/>
      <c r="AQ469" s="46"/>
    </row>
    <row r="470">
      <c r="B470" s="46"/>
      <c r="G470" s="47"/>
      <c r="J470" s="46"/>
      <c r="O470" s="47"/>
      <c r="AQ470" s="46"/>
    </row>
    <row r="471">
      <c r="B471" s="46"/>
      <c r="G471" s="47"/>
      <c r="J471" s="46"/>
      <c r="O471" s="47"/>
      <c r="AQ471" s="46"/>
    </row>
    <row r="472">
      <c r="B472" s="46"/>
      <c r="G472" s="47"/>
      <c r="J472" s="46"/>
      <c r="O472" s="47"/>
      <c r="AQ472" s="46"/>
    </row>
    <row r="473">
      <c r="B473" s="46"/>
      <c r="G473" s="47"/>
      <c r="J473" s="46"/>
      <c r="O473" s="47"/>
      <c r="AQ473" s="46"/>
    </row>
    <row r="474">
      <c r="B474" s="46"/>
      <c r="G474" s="47"/>
      <c r="J474" s="46"/>
      <c r="O474" s="47"/>
      <c r="AQ474" s="46"/>
    </row>
    <row r="475">
      <c r="B475" s="46"/>
      <c r="G475" s="47"/>
      <c r="J475" s="46"/>
      <c r="O475" s="47"/>
      <c r="AQ475" s="46"/>
    </row>
    <row r="476">
      <c r="B476" s="46"/>
      <c r="G476" s="47"/>
      <c r="J476" s="46"/>
      <c r="O476" s="47"/>
      <c r="AQ476" s="46"/>
    </row>
    <row r="477">
      <c r="B477" s="46"/>
      <c r="G477" s="47"/>
      <c r="J477" s="46"/>
      <c r="O477" s="47"/>
      <c r="AQ477" s="46"/>
    </row>
    <row r="478">
      <c r="B478" s="46"/>
      <c r="G478" s="47"/>
      <c r="J478" s="46"/>
      <c r="O478" s="47"/>
      <c r="AQ478" s="46"/>
    </row>
    <row r="479">
      <c r="B479" s="46"/>
      <c r="G479" s="47"/>
      <c r="J479" s="46"/>
      <c r="O479" s="47"/>
      <c r="AQ479" s="46"/>
    </row>
    <row r="480">
      <c r="B480" s="46"/>
      <c r="G480" s="47"/>
      <c r="J480" s="46"/>
      <c r="O480" s="47"/>
      <c r="AQ480" s="46"/>
    </row>
    <row r="481">
      <c r="B481" s="46"/>
      <c r="G481" s="47"/>
      <c r="J481" s="46"/>
      <c r="O481" s="47"/>
      <c r="AQ481" s="46"/>
    </row>
    <row r="482">
      <c r="B482" s="46"/>
      <c r="G482" s="47"/>
      <c r="J482" s="46"/>
      <c r="O482" s="47"/>
      <c r="AQ482" s="46"/>
    </row>
    <row r="483">
      <c r="B483" s="46"/>
      <c r="G483" s="47"/>
      <c r="J483" s="46"/>
      <c r="O483" s="47"/>
      <c r="AQ483" s="46"/>
    </row>
    <row r="484">
      <c r="B484" s="46"/>
      <c r="G484" s="47"/>
      <c r="J484" s="46"/>
      <c r="O484" s="47"/>
      <c r="AQ484" s="46"/>
    </row>
    <row r="485">
      <c r="B485" s="46"/>
      <c r="G485" s="47"/>
      <c r="J485" s="46"/>
      <c r="O485" s="47"/>
      <c r="AQ485" s="46"/>
    </row>
    <row r="486">
      <c r="B486" s="46"/>
      <c r="G486" s="47"/>
      <c r="J486" s="46"/>
      <c r="O486" s="47"/>
      <c r="AQ486" s="46"/>
    </row>
    <row r="487">
      <c r="B487" s="46"/>
      <c r="G487" s="47"/>
      <c r="J487" s="46"/>
      <c r="O487" s="47"/>
      <c r="AQ487" s="46"/>
    </row>
    <row r="488">
      <c r="B488" s="46"/>
      <c r="G488" s="47"/>
      <c r="J488" s="46"/>
      <c r="O488" s="47"/>
      <c r="AQ488" s="46"/>
    </row>
    <row r="489">
      <c r="B489" s="46"/>
      <c r="G489" s="47"/>
      <c r="J489" s="46"/>
      <c r="O489" s="47"/>
      <c r="AQ489" s="46"/>
    </row>
    <row r="490">
      <c r="B490" s="46"/>
      <c r="G490" s="47"/>
      <c r="J490" s="46"/>
      <c r="O490" s="47"/>
      <c r="AQ490" s="46"/>
    </row>
    <row r="491">
      <c r="B491" s="46"/>
      <c r="G491" s="47"/>
      <c r="J491" s="46"/>
      <c r="O491" s="47"/>
      <c r="AQ491" s="46"/>
    </row>
    <row r="492">
      <c r="B492" s="46"/>
      <c r="G492" s="47"/>
      <c r="J492" s="46"/>
      <c r="O492" s="47"/>
      <c r="AQ492" s="46"/>
    </row>
    <row r="493">
      <c r="B493" s="46"/>
      <c r="G493" s="47"/>
      <c r="J493" s="46"/>
      <c r="O493" s="47"/>
      <c r="AQ493" s="46"/>
    </row>
    <row r="494">
      <c r="B494" s="46"/>
      <c r="G494" s="47"/>
      <c r="J494" s="46"/>
      <c r="O494" s="47"/>
      <c r="AQ494" s="46"/>
    </row>
    <row r="495">
      <c r="B495" s="46"/>
      <c r="G495" s="47"/>
      <c r="J495" s="46"/>
      <c r="O495" s="47"/>
      <c r="AQ495" s="46"/>
    </row>
    <row r="496">
      <c r="B496" s="46"/>
      <c r="G496" s="47"/>
      <c r="J496" s="46"/>
      <c r="O496" s="47"/>
      <c r="AQ496" s="46"/>
    </row>
    <row r="497">
      <c r="B497" s="46"/>
      <c r="G497" s="47"/>
      <c r="J497" s="46"/>
      <c r="O497" s="47"/>
      <c r="AQ497" s="46"/>
    </row>
    <row r="498">
      <c r="B498" s="46"/>
      <c r="G498" s="47"/>
      <c r="J498" s="46"/>
      <c r="O498" s="47"/>
      <c r="AQ498" s="46"/>
    </row>
    <row r="499">
      <c r="B499" s="46"/>
      <c r="G499" s="47"/>
      <c r="J499" s="46"/>
      <c r="O499" s="47"/>
      <c r="AQ499" s="46"/>
    </row>
    <row r="500">
      <c r="B500" s="46"/>
      <c r="G500" s="47"/>
      <c r="J500" s="46"/>
      <c r="O500" s="47"/>
      <c r="AQ500" s="46"/>
    </row>
    <row r="501">
      <c r="B501" s="46"/>
      <c r="G501" s="47"/>
      <c r="J501" s="46"/>
      <c r="O501" s="47"/>
      <c r="AQ501" s="46"/>
    </row>
    <row r="502">
      <c r="B502" s="46"/>
      <c r="G502" s="47"/>
      <c r="J502" s="46"/>
      <c r="O502" s="47"/>
      <c r="AQ502" s="46"/>
    </row>
    <row r="503">
      <c r="B503" s="46"/>
      <c r="G503" s="47"/>
      <c r="J503" s="46"/>
      <c r="O503" s="47"/>
      <c r="AQ503" s="46"/>
    </row>
    <row r="504">
      <c r="B504" s="46"/>
      <c r="G504" s="47"/>
      <c r="J504" s="46"/>
      <c r="O504" s="47"/>
      <c r="AQ504" s="46"/>
    </row>
    <row r="505">
      <c r="B505" s="46"/>
      <c r="G505" s="47"/>
      <c r="J505" s="46"/>
      <c r="O505" s="47"/>
      <c r="AQ505" s="46"/>
    </row>
    <row r="506">
      <c r="B506" s="46"/>
      <c r="G506" s="47"/>
      <c r="J506" s="46"/>
      <c r="O506" s="47"/>
      <c r="AQ506" s="46"/>
    </row>
    <row r="507">
      <c r="B507" s="46"/>
      <c r="G507" s="47"/>
      <c r="J507" s="46"/>
      <c r="O507" s="47"/>
      <c r="AQ507" s="46"/>
    </row>
    <row r="508">
      <c r="B508" s="46"/>
      <c r="G508" s="47"/>
      <c r="J508" s="46"/>
      <c r="O508" s="47"/>
      <c r="AQ508" s="46"/>
    </row>
    <row r="509">
      <c r="B509" s="46"/>
      <c r="G509" s="47"/>
      <c r="J509" s="46"/>
      <c r="O509" s="47"/>
      <c r="AQ509" s="46"/>
    </row>
    <row r="510">
      <c r="B510" s="46"/>
      <c r="G510" s="47"/>
      <c r="J510" s="46"/>
      <c r="O510" s="47"/>
      <c r="AQ510" s="46"/>
    </row>
    <row r="511">
      <c r="B511" s="46"/>
      <c r="G511" s="47"/>
      <c r="J511" s="46"/>
      <c r="O511" s="47"/>
      <c r="AQ511" s="46"/>
    </row>
    <row r="512">
      <c r="B512" s="46"/>
      <c r="G512" s="47"/>
      <c r="J512" s="46"/>
      <c r="O512" s="47"/>
      <c r="AQ512" s="46"/>
    </row>
    <row r="513">
      <c r="B513" s="46"/>
      <c r="G513" s="47"/>
      <c r="J513" s="46"/>
      <c r="O513" s="47"/>
      <c r="AQ513" s="46"/>
    </row>
    <row r="514">
      <c r="B514" s="46"/>
      <c r="G514" s="47"/>
      <c r="J514" s="46"/>
      <c r="O514" s="47"/>
      <c r="AQ514" s="46"/>
    </row>
    <row r="515">
      <c r="B515" s="46"/>
      <c r="G515" s="47"/>
      <c r="J515" s="46"/>
      <c r="O515" s="47"/>
      <c r="AQ515" s="46"/>
    </row>
    <row r="516">
      <c r="B516" s="46"/>
      <c r="G516" s="47"/>
      <c r="J516" s="46"/>
      <c r="O516" s="47"/>
      <c r="AQ516" s="46"/>
    </row>
    <row r="517">
      <c r="B517" s="46"/>
      <c r="G517" s="47"/>
      <c r="J517" s="46"/>
      <c r="O517" s="47"/>
      <c r="AQ517" s="46"/>
    </row>
    <row r="518">
      <c r="B518" s="46"/>
      <c r="G518" s="47"/>
      <c r="J518" s="46"/>
      <c r="O518" s="47"/>
      <c r="AQ518" s="46"/>
    </row>
    <row r="519">
      <c r="B519" s="46"/>
      <c r="G519" s="47"/>
      <c r="J519" s="46"/>
      <c r="O519" s="47"/>
    </row>
    <row r="520">
      <c r="B520" s="46"/>
      <c r="G520" s="47"/>
      <c r="J520" s="46"/>
      <c r="O520" s="47"/>
    </row>
    <row r="521">
      <c r="B521" s="46"/>
      <c r="G521" s="47"/>
      <c r="J521" s="46"/>
      <c r="O521" s="47"/>
    </row>
    <row r="522">
      <c r="B522" s="46"/>
      <c r="G522" s="47"/>
      <c r="J522" s="46"/>
      <c r="O522" s="47"/>
    </row>
    <row r="523">
      <c r="B523" s="46"/>
      <c r="G523" s="47"/>
      <c r="J523" s="46"/>
      <c r="O523" s="47"/>
    </row>
    <row r="524">
      <c r="B524" s="46"/>
      <c r="G524" s="47"/>
      <c r="J524" s="46"/>
      <c r="O524" s="47"/>
    </row>
    <row r="525">
      <c r="B525" s="46"/>
      <c r="G525" s="47"/>
      <c r="J525" s="46"/>
      <c r="O525" s="47"/>
    </row>
    <row r="526">
      <c r="B526" s="46"/>
      <c r="G526" s="47"/>
      <c r="J526" s="46"/>
      <c r="O526" s="47"/>
    </row>
    <row r="527">
      <c r="B527" s="46"/>
      <c r="G527" s="47"/>
      <c r="J527" s="46"/>
      <c r="O527" s="47"/>
    </row>
    <row r="528">
      <c r="B528" s="46"/>
      <c r="G528" s="47"/>
      <c r="J528" s="46"/>
      <c r="O528" s="47"/>
    </row>
    <row r="529">
      <c r="B529" s="46"/>
      <c r="G529" s="47"/>
      <c r="J529" s="46"/>
      <c r="O529" s="47"/>
    </row>
    <row r="530">
      <c r="B530" s="46"/>
      <c r="G530" s="47"/>
      <c r="J530" s="46"/>
      <c r="O530" s="47"/>
    </row>
    <row r="531">
      <c r="B531" s="46"/>
      <c r="G531" s="47"/>
      <c r="J531" s="46"/>
      <c r="O531" s="47"/>
    </row>
    <row r="532">
      <c r="B532" s="46"/>
      <c r="G532" s="47"/>
      <c r="J532" s="46"/>
      <c r="O532" s="47"/>
    </row>
    <row r="533">
      <c r="B533" s="46"/>
      <c r="G533" s="47"/>
      <c r="J533" s="46"/>
      <c r="O533" s="47"/>
    </row>
    <row r="534">
      <c r="B534" s="46"/>
      <c r="G534" s="47"/>
      <c r="J534" s="46"/>
      <c r="O534" s="47"/>
    </row>
    <row r="535">
      <c r="B535" s="46"/>
      <c r="G535" s="47"/>
      <c r="J535" s="46"/>
      <c r="O535" s="47"/>
    </row>
    <row r="536">
      <c r="B536" s="46"/>
      <c r="G536" s="47"/>
      <c r="J536" s="46"/>
      <c r="O536" s="47"/>
    </row>
    <row r="537">
      <c r="B537" s="46"/>
      <c r="G537" s="47"/>
      <c r="J537" s="46"/>
      <c r="O537" s="47"/>
    </row>
    <row r="538">
      <c r="B538" s="46"/>
      <c r="G538" s="47"/>
      <c r="J538" s="46"/>
      <c r="O538" s="47"/>
    </row>
    <row r="539">
      <c r="B539" s="46"/>
      <c r="G539" s="47"/>
      <c r="J539" s="46"/>
      <c r="O539" s="47"/>
    </row>
    <row r="540">
      <c r="B540" s="46"/>
      <c r="G540" s="47"/>
      <c r="J540" s="46"/>
      <c r="O540" s="47"/>
    </row>
    <row r="541">
      <c r="B541" s="46"/>
      <c r="G541" s="47"/>
      <c r="J541" s="46"/>
      <c r="O541" s="47"/>
    </row>
    <row r="542">
      <c r="B542" s="46"/>
      <c r="G542" s="47"/>
      <c r="J542" s="46"/>
      <c r="O542" s="47"/>
    </row>
    <row r="543">
      <c r="B543" s="46"/>
      <c r="G543" s="47"/>
      <c r="J543" s="46"/>
      <c r="O543" s="47"/>
    </row>
    <row r="544">
      <c r="B544" s="46"/>
      <c r="G544" s="47"/>
      <c r="J544" s="46"/>
      <c r="O544" s="47"/>
    </row>
    <row r="545">
      <c r="B545" s="46"/>
      <c r="G545" s="47"/>
      <c r="J545" s="46"/>
      <c r="O545" s="47"/>
    </row>
    <row r="546">
      <c r="B546" s="46"/>
      <c r="G546" s="47"/>
      <c r="J546" s="46"/>
      <c r="O546" s="47"/>
    </row>
    <row r="547">
      <c r="B547" s="46"/>
      <c r="G547" s="47"/>
      <c r="J547" s="46"/>
      <c r="O547" s="47"/>
    </row>
    <row r="548">
      <c r="B548" s="46"/>
      <c r="G548" s="47"/>
      <c r="J548" s="46"/>
      <c r="O548" s="47"/>
    </row>
    <row r="549">
      <c r="B549" s="46"/>
      <c r="G549" s="47"/>
      <c r="J549" s="46"/>
      <c r="O549" s="47"/>
    </row>
    <row r="550">
      <c r="B550" s="46"/>
      <c r="G550" s="47"/>
      <c r="J550" s="46"/>
      <c r="O550" s="47"/>
    </row>
    <row r="551">
      <c r="B551" s="46"/>
      <c r="G551" s="47"/>
      <c r="J551" s="46"/>
      <c r="O551" s="47"/>
    </row>
    <row r="552">
      <c r="B552" s="46"/>
      <c r="G552" s="47"/>
      <c r="J552" s="46"/>
      <c r="O552" s="47"/>
    </row>
    <row r="553">
      <c r="B553" s="46"/>
      <c r="G553" s="47"/>
      <c r="J553" s="46"/>
      <c r="O553" s="47"/>
    </row>
    <row r="554">
      <c r="B554" s="46"/>
      <c r="G554" s="47"/>
      <c r="J554" s="46"/>
      <c r="O554" s="47"/>
    </row>
    <row r="555">
      <c r="B555" s="46"/>
      <c r="G555" s="47"/>
      <c r="J555" s="46"/>
      <c r="O555" s="47"/>
    </row>
    <row r="556">
      <c r="B556" s="46"/>
      <c r="G556" s="47"/>
      <c r="J556" s="46"/>
      <c r="O556" s="47"/>
    </row>
    <row r="557">
      <c r="B557" s="46"/>
      <c r="G557" s="47"/>
      <c r="J557" s="46"/>
      <c r="O557" s="47"/>
    </row>
    <row r="558">
      <c r="B558" s="46"/>
      <c r="G558" s="47"/>
      <c r="J558" s="46"/>
      <c r="O558" s="47"/>
    </row>
    <row r="559">
      <c r="B559" s="46"/>
      <c r="G559" s="47"/>
      <c r="J559" s="46"/>
      <c r="O559" s="47"/>
    </row>
    <row r="560">
      <c r="B560" s="46"/>
      <c r="G560" s="47"/>
      <c r="J560" s="46"/>
      <c r="O560" s="47"/>
    </row>
    <row r="561">
      <c r="B561" s="46"/>
      <c r="G561" s="47"/>
      <c r="J561" s="46"/>
      <c r="O561" s="47"/>
    </row>
    <row r="562">
      <c r="B562" s="46"/>
      <c r="G562" s="47"/>
      <c r="J562" s="46"/>
      <c r="O562" s="47"/>
    </row>
    <row r="563">
      <c r="B563" s="46"/>
      <c r="G563" s="47"/>
      <c r="J563" s="46"/>
      <c r="O563" s="47"/>
    </row>
    <row r="564">
      <c r="B564" s="46"/>
      <c r="G564" s="47"/>
      <c r="J564" s="46"/>
      <c r="O564" s="47"/>
    </row>
    <row r="565">
      <c r="B565" s="46"/>
      <c r="G565" s="47"/>
      <c r="J565" s="46"/>
      <c r="O565" s="47"/>
    </row>
    <row r="566">
      <c r="B566" s="46"/>
      <c r="G566" s="47"/>
      <c r="J566" s="46"/>
      <c r="O566" s="47"/>
    </row>
    <row r="567">
      <c r="B567" s="46"/>
      <c r="G567" s="47"/>
      <c r="J567" s="46"/>
      <c r="O567" s="47"/>
    </row>
    <row r="568">
      <c r="B568" s="46"/>
      <c r="G568" s="47"/>
      <c r="J568" s="46"/>
      <c r="O568" s="47"/>
    </row>
    <row r="569">
      <c r="B569" s="46"/>
      <c r="G569" s="47"/>
      <c r="J569" s="46"/>
      <c r="O569" s="47"/>
    </row>
    <row r="570">
      <c r="B570" s="46"/>
      <c r="G570" s="47"/>
      <c r="J570" s="46"/>
      <c r="O570" s="47"/>
    </row>
    <row r="571">
      <c r="B571" s="46"/>
      <c r="G571" s="47"/>
      <c r="J571" s="46"/>
      <c r="O571" s="47"/>
    </row>
    <row r="572">
      <c r="B572" s="46"/>
      <c r="G572" s="47"/>
      <c r="J572" s="46"/>
      <c r="O572" s="47"/>
    </row>
    <row r="573">
      <c r="B573" s="46"/>
      <c r="G573" s="47"/>
      <c r="J573" s="46"/>
      <c r="O573" s="47"/>
    </row>
    <row r="574">
      <c r="B574" s="46"/>
      <c r="G574" s="47"/>
      <c r="J574" s="46"/>
      <c r="O574" s="47"/>
    </row>
    <row r="575">
      <c r="B575" s="46"/>
      <c r="G575" s="47"/>
      <c r="J575" s="46"/>
      <c r="O575" s="47"/>
    </row>
    <row r="576">
      <c r="B576" s="46"/>
      <c r="G576" s="47"/>
      <c r="J576" s="46"/>
      <c r="O576" s="47"/>
    </row>
    <row r="577">
      <c r="B577" s="46"/>
      <c r="G577" s="47"/>
      <c r="J577" s="46"/>
      <c r="O577" s="47"/>
    </row>
    <row r="578">
      <c r="B578" s="46"/>
      <c r="G578" s="47"/>
      <c r="J578" s="46"/>
      <c r="O578" s="47"/>
    </row>
    <row r="579">
      <c r="B579" s="46"/>
      <c r="G579" s="47"/>
      <c r="J579" s="46"/>
      <c r="O579" s="47"/>
    </row>
    <row r="580">
      <c r="B580" s="46"/>
      <c r="G580" s="47"/>
      <c r="J580" s="46"/>
      <c r="O580" s="47"/>
    </row>
    <row r="581">
      <c r="B581" s="46"/>
      <c r="G581" s="47"/>
      <c r="J581" s="46"/>
      <c r="O581" s="47"/>
    </row>
    <row r="582">
      <c r="B582" s="46"/>
      <c r="G582" s="47"/>
      <c r="J582" s="46"/>
      <c r="O582" s="47"/>
    </row>
    <row r="583">
      <c r="B583" s="46"/>
      <c r="G583" s="47"/>
      <c r="J583" s="46"/>
      <c r="O583" s="47"/>
    </row>
    <row r="584">
      <c r="B584" s="46"/>
      <c r="G584" s="47"/>
      <c r="J584" s="46"/>
      <c r="O584" s="47"/>
    </row>
    <row r="585">
      <c r="B585" s="46"/>
      <c r="G585" s="47"/>
      <c r="J585" s="46"/>
      <c r="O585" s="47"/>
    </row>
    <row r="586">
      <c r="B586" s="46"/>
      <c r="G586" s="47"/>
      <c r="J586" s="46"/>
      <c r="O586" s="47"/>
    </row>
    <row r="587">
      <c r="B587" s="46"/>
      <c r="G587" s="47"/>
      <c r="J587" s="46"/>
      <c r="O587" s="47"/>
    </row>
    <row r="588">
      <c r="B588" s="46"/>
      <c r="G588" s="47"/>
      <c r="J588" s="46"/>
      <c r="O588" s="47"/>
    </row>
    <row r="589">
      <c r="B589" s="46"/>
      <c r="G589" s="47"/>
      <c r="J589" s="46"/>
      <c r="O589" s="47"/>
    </row>
    <row r="590">
      <c r="B590" s="46"/>
      <c r="G590" s="47"/>
      <c r="J590" s="46"/>
      <c r="O590" s="47"/>
    </row>
    <row r="591">
      <c r="B591" s="46"/>
      <c r="G591" s="47"/>
      <c r="J591" s="46"/>
      <c r="O591" s="47"/>
    </row>
    <row r="592">
      <c r="B592" s="46"/>
      <c r="G592" s="47"/>
      <c r="J592" s="46"/>
      <c r="O592" s="47"/>
    </row>
    <row r="593">
      <c r="B593" s="46"/>
      <c r="G593" s="47"/>
      <c r="J593" s="46"/>
      <c r="O593" s="47"/>
    </row>
    <row r="594">
      <c r="B594" s="46"/>
      <c r="G594" s="47"/>
      <c r="J594" s="46"/>
      <c r="O594" s="47"/>
    </row>
    <row r="595">
      <c r="B595" s="46"/>
      <c r="G595" s="47"/>
      <c r="J595" s="46"/>
      <c r="O595" s="47"/>
    </row>
    <row r="596">
      <c r="B596" s="46"/>
      <c r="G596" s="47"/>
      <c r="J596" s="46"/>
      <c r="O596" s="47"/>
    </row>
    <row r="597">
      <c r="B597" s="46"/>
      <c r="G597" s="47"/>
      <c r="J597" s="46"/>
      <c r="O597" s="47"/>
    </row>
    <row r="598">
      <c r="B598" s="46"/>
      <c r="G598" s="47"/>
      <c r="J598" s="46"/>
      <c r="O598" s="47"/>
    </row>
    <row r="599">
      <c r="B599" s="46"/>
      <c r="G599" s="47"/>
      <c r="J599" s="46"/>
      <c r="O599" s="47"/>
    </row>
    <row r="600">
      <c r="B600" s="46"/>
      <c r="G600" s="47"/>
      <c r="J600" s="46"/>
      <c r="O600" s="47"/>
    </row>
    <row r="601">
      <c r="B601" s="46"/>
      <c r="G601" s="47"/>
      <c r="J601" s="46"/>
      <c r="O601" s="47"/>
    </row>
    <row r="602">
      <c r="B602" s="46"/>
      <c r="G602" s="47"/>
      <c r="J602" s="46"/>
      <c r="O602" s="47"/>
    </row>
    <row r="603">
      <c r="B603" s="46"/>
      <c r="G603" s="47"/>
      <c r="J603" s="46"/>
      <c r="O603" s="47"/>
    </row>
    <row r="604">
      <c r="B604" s="46"/>
      <c r="G604" s="47"/>
      <c r="J604" s="46"/>
      <c r="O604" s="47"/>
    </row>
    <row r="605">
      <c r="B605" s="46"/>
      <c r="G605" s="47"/>
      <c r="J605" s="46"/>
      <c r="O605" s="47"/>
    </row>
    <row r="606">
      <c r="B606" s="46"/>
      <c r="G606" s="47"/>
      <c r="J606" s="46"/>
      <c r="O606" s="47"/>
    </row>
    <row r="607">
      <c r="B607" s="46"/>
      <c r="G607" s="47"/>
      <c r="J607" s="46"/>
      <c r="O607" s="47"/>
    </row>
    <row r="608">
      <c r="B608" s="46"/>
      <c r="G608" s="47"/>
      <c r="J608" s="46"/>
      <c r="O608" s="47"/>
    </row>
    <row r="609">
      <c r="B609" s="46"/>
      <c r="G609" s="47"/>
      <c r="J609" s="46"/>
      <c r="O609" s="47"/>
    </row>
    <row r="610">
      <c r="B610" s="46"/>
      <c r="G610" s="47"/>
      <c r="J610" s="46"/>
      <c r="O610" s="47"/>
    </row>
    <row r="611">
      <c r="B611" s="46"/>
      <c r="G611" s="47"/>
      <c r="J611" s="46"/>
      <c r="O611" s="47"/>
    </row>
    <row r="612">
      <c r="B612" s="46"/>
      <c r="G612" s="47"/>
      <c r="J612" s="46"/>
      <c r="O612" s="47"/>
    </row>
    <row r="613">
      <c r="B613" s="46"/>
      <c r="G613" s="47"/>
      <c r="J613" s="46"/>
      <c r="O613" s="47"/>
    </row>
    <row r="614">
      <c r="B614" s="46"/>
      <c r="G614" s="47"/>
      <c r="J614" s="46"/>
      <c r="O614" s="47"/>
    </row>
    <row r="615">
      <c r="B615" s="46"/>
      <c r="G615" s="47"/>
      <c r="J615" s="46"/>
      <c r="O615" s="47"/>
    </row>
    <row r="616">
      <c r="B616" s="46"/>
      <c r="G616" s="47"/>
      <c r="J616" s="46"/>
      <c r="O616" s="47"/>
    </row>
    <row r="617">
      <c r="B617" s="46"/>
      <c r="G617" s="47"/>
      <c r="J617" s="46"/>
      <c r="O617" s="47"/>
    </row>
    <row r="618">
      <c r="B618" s="46"/>
      <c r="G618" s="47"/>
      <c r="J618" s="46"/>
      <c r="O618" s="47"/>
    </row>
    <row r="619">
      <c r="B619" s="46"/>
      <c r="G619" s="47"/>
      <c r="J619" s="46"/>
      <c r="O619" s="47"/>
    </row>
    <row r="620">
      <c r="B620" s="46"/>
      <c r="G620" s="47"/>
      <c r="J620" s="46"/>
      <c r="O620" s="47"/>
    </row>
    <row r="621">
      <c r="B621" s="46"/>
      <c r="G621" s="47"/>
      <c r="J621" s="46"/>
      <c r="O621" s="47"/>
    </row>
    <row r="622">
      <c r="B622" s="46"/>
      <c r="G622" s="47"/>
      <c r="J622" s="46"/>
      <c r="O622" s="47"/>
    </row>
    <row r="623">
      <c r="B623" s="46"/>
      <c r="G623" s="47"/>
      <c r="J623" s="46"/>
      <c r="O623" s="47"/>
    </row>
    <row r="624">
      <c r="B624" s="46"/>
      <c r="G624" s="47"/>
      <c r="J624" s="46"/>
      <c r="O624" s="47"/>
    </row>
    <row r="625">
      <c r="B625" s="46"/>
      <c r="G625" s="47"/>
      <c r="J625" s="46"/>
      <c r="O625" s="47"/>
    </row>
    <row r="626">
      <c r="B626" s="46"/>
      <c r="G626" s="47"/>
      <c r="J626" s="46"/>
      <c r="O626" s="47"/>
    </row>
    <row r="627">
      <c r="B627" s="46"/>
      <c r="G627" s="47"/>
      <c r="J627" s="46"/>
      <c r="O627" s="47"/>
    </row>
    <row r="628">
      <c r="B628" s="46"/>
      <c r="G628" s="47"/>
      <c r="J628" s="46"/>
      <c r="O628" s="47"/>
    </row>
    <row r="629">
      <c r="B629" s="46"/>
      <c r="G629" s="47"/>
      <c r="J629" s="46"/>
      <c r="O629" s="47"/>
    </row>
    <row r="630">
      <c r="B630" s="46"/>
      <c r="G630" s="47"/>
      <c r="J630" s="46"/>
      <c r="O630" s="47"/>
    </row>
    <row r="631">
      <c r="B631" s="46"/>
      <c r="G631" s="47"/>
      <c r="J631" s="46"/>
      <c r="O631" s="47"/>
    </row>
    <row r="632">
      <c r="B632" s="46"/>
      <c r="G632" s="47"/>
      <c r="J632" s="46"/>
      <c r="O632" s="47"/>
    </row>
    <row r="633">
      <c r="B633" s="46"/>
      <c r="G633" s="47"/>
      <c r="J633" s="46"/>
      <c r="O633" s="47"/>
    </row>
    <row r="634">
      <c r="B634" s="46"/>
      <c r="G634" s="47"/>
      <c r="J634" s="46"/>
      <c r="O634" s="47"/>
    </row>
    <row r="635">
      <c r="B635" s="46"/>
      <c r="G635" s="47"/>
      <c r="J635" s="46"/>
      <c r="O635" s="47"/>
    </row>
    <row r="636">
      <c r="B636" s="46"/>
      <c r="G636" s="47"/>
      <c r="J636" s="46"/>
      <c r="O636" s="47"/>
    </row>
    <row r="637">
      <c r="B637" s="46"/>
      <c r="G637" s="47"/>
      <c r="J637" s="46"/>
      <c r="O637" s="47"/>
    </row>
    <row r="638">
      <c r="B638" s="46"/>
      <c r="G638" s="47"/>
      <c r="J638" s="46"/>
      <c r="O638" s="47"/>
    </row>
    <row r="639">
      <c r="B639" s="46"/>
      <c r="G639" s="47"/>
      <c r="J639" s="46"/>
      <c r="O639" s="47"/>
    </row>
    <row r="640">
      <c r="B640" s="46"/>
      <c r="G640" s="47"/>
      <c r="J640" s="46"/>
      <c r="O640" s="47"/>
    </row>
    <row r="641">
      <c r="B641" s="46"/>
      <c r="G641" s="47"/>
      <c r="J641" s="46"/>
      <c r="O641" s="47"/>
    </row>
    <row r="642">
      <c r="B642" s="46"/>
      <c r="G642" s="47"/>
      <c r="J642" s="46"/>
      <c r="O642" s="47"/>
    </row>
    <row r="643">
      <c r="B643" s="46"/>
      <c r="G643" s="47"/>
      <c r="J643" s="46"/>
      <c r="O643" s="47"/>
    </row>
    <row r="644">
      <c r="B644" s="46"/>
      <c r="G644" s="47"/>
      <c r="J644" s="46"/>
      <c r="O644" s="47"/>
    </row>
    <row r="645">
      <c r="B645" s="46"/>
      <c r="G645" s="47"/>
      <c r="J645" s="46"/>
      <c r="O645" s="47"/>
    </row>
    <row r="646">
      <c r="B646" s="46"/>
      <c r="G646" s="47"/>
      <c r="J646" s="46"/>
      <c r="O646" s="47"/>
    </row>
    <row r="647">
      <c r="B647" s="46"/>
      <c r="G647" s="47"/>
      <c r="J647" s="46"/>
      <c r="O647" s="47"/>
    </row>
    <row r="648">
      <c r="B648" s="46"/>
      <c r="G648" s="47"/>
      <c r="J648" s="46"/>
      <c r="O648" s="47"/>
    </row>
    <row r="649">
      <c r="B649" s="46"/>
      <c r="G649" s="47"/>
      <c r="J649" s="46"/>
      <c r="O649" s="47"/>
    </row>
    <row r="650">
      <c r="B650" s="46"/>
      <c r="G650" s="47"/>
      <c r="J650" s="46"/>
      <c r="O650" s="47"/>
    </row>
    <row r="651">
      <c r="B651" s="46"/>
      <c r="G651" s="47"/>
      <c r="J651" s="46"/>
      <c r="O651" s="47"/>
    </row>
    <row r="652">
      <c r="B652" s="46"/>
      <c r="G652" s="47"/>
      <c r="J652" s="46"/>
      <c r="O652" s="47"/>
    </row>
    <row r="653">
      <c r="B653" s="46"/>
      <c r="G653" s="47"/>
      <c r="J653" s="46"/>
      <c r="O653" s="47"/>
    </row>
    <row r="654">
      <c r="B654" s="46"/>
      <c r="G654" s="47"/>
      <c r="J654" s="46"/>
      <c r="O654" s="47"/>
    </row>
    <row r="655">
      <c r="B655" s="46"/>
      <c r="G655" s="47"/>
      <c r="J655" s="46"/>
      <c r="O655" s="47"/>
    </row>
    <row r="656">
      <c r="B656" s="46"/>
      <c r="G656" s="47"/>
      <c r="J656" s="46"/>
      <c r="O656" s="47"/>
    </row>
    <row r="657">
      <c r="B657" s="46"/>
      <c r="G657" s="47"/>
      <c r="J657" s="46"/>
      <c r="O657" s="47"/>
    </row>
    <row r="658">
      <c r="B658" s="46"/>
      <c r="G658" s="47"/>
      <c r="J658" s="46"/>
      <c r="O658" s="47"/>
    </row>
    <row r="659">
      <c r="B659" s="46"/>
      <c r="G659" s="47"/>
      <c r="J659" s="46"/>
      <c r="O659" s="47"/>
    </row>
    <row r="660">
      <c r="B660" s="46"/>
      <c r="G660" s="47"/>
      <c r="J660" s="46"/>
      <c r="O660" s="47"/>
    </row>
    <row r="661">
      <c r="B661" s="46"/>
      <c r="G661" s="47"/>
      <c r="J661" s="46"/>
    </row>
    <row r="662">
      <c r="B662" s="46"/>
      <c r="G662" s="47"/>
    </row>
    <row r="663">
      <c r="B663" s="46"/>
      <c r="G663" s="47"/>
    </row>
    <row r="664">
      <c r="B664" s="46"/>
      <c r="G664" s="47"/>
    </row>
    <row r="665">
      <c r="B665" s="46"/>
      <c r="G665" s="47"/>
    </row>
    <row r="666">
      <c r="B666" s="46"/>
      <c r="G666" s="47"/>
    </row>
    <row r="667">
      <c r="B667" s="46"/>
      <c r="G667" s="47"/>
    </row>
    <row r="668">
      <c r="B668" s="46"/>
      <c r="G668" s="47"/>
    </row>
    <row r="669">
      <c r="B669" s="46"/>
      <c r="G669" s="47"/>
    </row>
    <row r="670">
      <c r="B670" s="46"/>
      <c r="G670" s="47"/>
    </row>
    <row r="671">
      <c r="B671" s="46"/>
      <c r="G671" s="47"/>
    </row>
    <row r="672">
      <c r="B672" s="46"/>
      <c r="G672" s="47"/>
    </row>
    <row r="673">
      <c r="B673" s="46"/>
      <c r="G673" s="47"/>
    </row>
    <row r="674">
      <c r="B674" s="46"/>
      <c r="G674" s="47"/>
    </row>
    <row r="675">
      <c r="B675" s="46"/>
      <c r="G675" s="47"/>
    </row>
    <row r="676">
      <c r="B676" s="46"/>
      <c r="G676" s="47"/>
    </row>
    <row r="677">
      <c r="B677" s="46"/>
      <c r="G677" s="47"/>
    </row>
    <row r="678">
      <c r="B678" s="46"/>
      <c r="G678" s="47"/>
    </row>
    <row r="679">
      <c r="B679" s="46"/>
      <c r="G679" s="47"/>
    </row>
    <row r="680">
      <c r="B680" s="46"/>
      <c r="G680" s="47"/>
    </row>
    <row r="681">
      <c r="B681" s="46"/>
      <c r="G681" s="47"/>
    </row>
    <row r="682">
      <c r="B682" s="46"/>
      <c r="G682" s="47"/>
    </row>
    <row r="683">
      <c r="B683" s="46"/>
      <c r="G683" s="47"/>
    </row>
    <row r="684">
      <c r="B684" s="46"/>
      <c r="G684" s="47"/>
    </row>
    <row r="685">
      <c r="B685" s="46"/>
      <c r="G685" s="47"/>
    </row>
    <row r="686">
      <c r="B686" s="46"/>
      <c r="G686" s="47"/>
    </row>
    <row r="687">
      <c r="B687" s="46"/>
      <c r="G687" s="47"/>
    </row>
    <row r="688">
      <c r="B688" s="46"/>
      <c r="G688" s="47"/>
    </row>
    <row r="689">
      <c r="B689" s="46"/>
      <c r="G689" s="47"/>
    </row>
    <row r="690">
      <c r="B690" s="46"/>
      <c r="G690" s="47"/>
    </row>
    <row r="691">
      <c r="B691" s="46"/>
      <c r="G691" s="47"/>
    </row>
    <row r="692">
      <c r="B692" s="46"/>
      <c r="G692" s="47"/>
    </row>
    <row r="693">
      <c r="B693" s="46"/>
      <c r="G693" s="47"/>
    </row>
    <row r="694">
      <c r="B694" s="46"/>
      <c r="G694" s="47"/>
    </row>
    <row r="695">
      <c r="B695" s="46"/>
      <c r="G695" s="47"/>
    </row>
    <row r="696">
      <c r="B696" s="46"/>
      <c r="G696" s="47"/>
    </row>
    <row r="697">
      <c r="B697" s="46"/>
      <c r="G697" s="47"/>
    </row>
    <row r="698">
      <c r="B698" s="46"/>
      <c r="G698" s="47"/>
    </row>
    <row r="699">
      <c r="B699" s="46"/>
      <c r="G699" s="47"/>
    </row>
    <row r="700">
      <c r="B700" s="46"/>
      <c r="G700" s="47"/>
    </row>
    <row r="701">
      <c r="B701" s="46"/>
      <c r="G701" s="47"/>
    </row>
    <row r="702">
      <c r="B702" s="46"/>
      <c r="G702" s="47"/>
    </row>
    <row r="703">
      <c r="B703" s="46"/>
      <c r="G703" s="47"/>
    </row>
    <row r="704">
      <c r="B704" s="46"/>
      <c r="G704" s="47"/>
    </row>
    <row r="705">
      <c r="B705" s="46"/>
      <c r="G705" s="47"/>
    </row>
    <row r="706">
      <c r="B706" s="46"/>
      <c r="G706" s="47"/>
    </row>
    <row r="707">
      <c r="B707" s="46"/>
      <c r="G707" s="47"/>
    </row>
    <row r="708">
      <c r="B708" s="46"/>
      <c r="G708" s="47"/>
    </row>
    <row r="709">
      <c r="B709" s="46"/>
      <c r="G709" s="47"/>
    </row>
    <row r="710">
      <c r="B710" s="46"/>
      <c r="G710" s="47"/>
    </row>
    <row r="711">
      <c r="B711" s="46"/>
      <c r="G711" s="47"/>
    </row>
    <row r="712">
      <c r="B712" s="46"/>
      <c r="G712" s="47"/>
    </row>
    <row r="713">
      <c r="B713" s="46"/>
      <c r="G713" s="47"/>
    </row>
    <row r="714">
      <c r="B714" s="46"/>
      <c r="G714" s="47"/>
    </row>
    <row r="715">
      <c r="B715" s="46"/>
      <c r="G715" s="47"/>
    </row>
    <row r="716">
      <c r="B716" s="46"/>
    </row>
    <row r="717">
      <c r="B717" s="46"/>
    </row>
    <row r="718">
      <c r="B718" s="46"/>
    </row>
    <row r="719">
      <c r="B719" s="46"/>
    </row>
    <row r="720">
      <c r="B720" s="46"/>
    </row>
    <row r="721">
      <c r="B721" s="46"/>
    </row>
    <row r="722">
      <c r="B722" s="46"/>
    </row>
    <row r="723">
      <c r="B723" s="46"/>
    </row>
    <row r="724">
      <c r="B724" s="46"/>
    </row>
    <row r="725">
      <c r="B725" s="46"/>
    </row>
    <row r="726">
      <c r="B726" s="46"/>
    </row>
    <row r="727">
      <c r="B727" s="46"/>
    </row>
    <row r="728">
      <c r="B728" s="4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D21" s="65"/>
    </row>
    <row r="22">
      <c r="D22" s="65"/>
    </row>
    <row r="23">
      <c r="D23" s="65"/>
    </row>
    <row r="24">
      <c r="D24" s="65"/>
    </row>
    <row r="25">
      <c r="D25" s="65"/>
    </row>
    <row r="26">
      <c r="D26" s="65"/>
    </row>
    <row r="27">
      <c r="D27" s="65"/>
    </row>
    <row r="28">
      <c r="D28" s="65"/>
    </row>
    <row r="29">
      <c r="D29" s="65"/>
    </row>
    <row r="30">
      <c r="D30" s="65"/>
    </row>
    <row r="31">
      <c r="D31" s="65"/>
    </row>
    <row r="32">
      <c r="D32" s="65"/>
    </row>
    <row r="33">
      <c r="D33" s="65"/>
    </row>
    <row r="34">
      <c r="D34" s="65"/>
    </row>
    <row r="35">
      <c r="D35" s="65"/>
    </row>
    <row r="36">
      <c r="D36" s="65"/>
    </row>
    <row r="37">
      <c r="D37" s="65"/>
    </row>
    <row r="38">
      <c r="D38" s="65"/>
    </row>
    <row r="39">
      <c r="D39" s="65"/>
    </row>
    <row r="40">
      <c r="D40" s="65"/>
    </row>
    <row r="41">
      <c r="D41" s="65"/>
    </row>
    <row r="42">
      <c r="D42" s="65"/>
    </row>
    <row r="43">
      <c r="D43" s="65"/>
    </row>
    <row r="44">
      <c r="D44" s="65"/>
    </row>
    <row r="45">
      <c r="D45" s="65"/>
    </row>
    <row r="46">
      <c r="D46" s="65"/>
    </row>
    <row r="47">
      <c r="D47" s="65"/>
    </row>
    <row r="48">
      <c r="D48" s="65"/>
    </row>
    <row r="49">
      <c r="D49" s="65"/>
    </row>
    <row r="50">
      <c r="D50" s="65"/>
    </row>
    <row r="51">
      <c r="D51" s="65"/>
    </row>
    <row r="52">
      <c r="D52" s="65"/>
    </row>
    <row r="53">
      <c r="D53" s="65"/>
    </row>
    <row r="54">
      <c r="D54" s="65"/>
    </row>
    <row r="55">
      <c r="D55" s="65"/>
    </row>
    <row r="56">
      <c r="D56" s="65"/>
    </row>
    <row r="57">
      <c r="D57" s="65"/>
    </row>
    <row r="58">
      <c r="D58" s="65"/>
    </row>
    <row r="59">
      <c r="D59" s="65"/>
    </row>
    <row r="60">
      <c r="D60" s="65"/>
    </row>
    <row r="61">
      <c r="D61" s="65"/>
    </row>
    <row r="62">
      <c r="D62" s="65"/>
    </row>
    <row r="63">
      <c r="D63" s="65"/>
    </row>
    <row r="64">
      <c r="D64" s="65"/>
    </row>
    <row r="65">
      <c r="D65" s="65"/>
    </row>
    <row r="66">
      <c r="D66" s="65"/>
    </row>
    <row r="67">
      <c r="D67" s="65"/>
    </row>
    <row r="68">
      <c r="D68" s="65"/>
    </row>
    <row r="69">
      <c r="D69" s="65"/>
    </row>
    <row r="70">
      <c r="D70" s="65"/>
    </row>
    <row r="71">
      <c r="D71" s="65"/>
    </row>
    <row r="72">
      <c r="D72" s="65"/>
    </row>
    <row r="73">
      <c r="D73" s="65"/>
    </row>
    <row r="74">
      <c r="D74" s="65"/>
    </row>
    <row r="75">
      <c r="D75" s="65"/>
    </row>
    <row r="76">
      <c r="D76" s="65"/>
    </row>
    <row r="77">
      <c r="D77" s="65"/>
    </row>
    <row r="78">
      <c r="D78" s="65"/>
    </row>
    <row r="79">
      <c r="D79" s="65"/>
    </row>
    <row r="80">
      <c r="D80" s="65"/>
    </row>
    <row r="81">
      <c r="D81" s="65"/>
    </row>
    <row r="82">
      <c r="D82" s="65"/>
    </row>
    <row r="83">
      <c r="D83" s="65"/>
    </row>
    <row r="84">
      <c r="D84" s="65"/>
    </row>
    <row r="85">
      <c r="D85" s="65"/>
    </row>
    <row r="86">
      <c r="D86" s="65"/>
    </row>
    <row r="87">
      <c r="D87" s="65"/>
    </row>
    <row r="88">
      <c r="D88" s="65"/>
    </row>
    <row r="89">
      <c r="D89" s="65"/>
    </row>
    <row r="90">
      <c r="D90" s="65"/>
    </row>
    <row r="91">
      <c r="D91" s="65"/>
    </row>
    <row r="92">
      <c r="D92" s="65"/>
    </row>
    <row r="93">
      <c r="D93" s="65"/>
    </row>
    <row r="94">
      <c r="D94" s="65"/>
    </row>
    <row r="95">
      <c r="D95" s="65"/>
    </row>
    <row r="96">
      <c r="D96" s="65"/>
    </row>
    <row r="97">
      <c r="D97" s="65"/>
    </row>
    <row r="98">
      <c r="D98" s="65"/>
    </row>
    <row r="99">
      <c r="D99" s="65"/>
    </row>
    <row r="100">
      <c r="D100" s="65"/>
    </row>
    <row r="101">
      <c r="D101" s="65"/>
    </row>
    <row r="102">
      <c r="D102" s="65"/>
    </row>
    <row r="103">
      <c r="D103" s="65"/>
    </row>
    <row r="104">
      <c r="D104" s="65"/>
    </row>
    <row r="105">
      <c r="D105" s="65"/>
    </row>
    <row r="106">
      <c r="D106" s="65"/>
    </row>
    <row r="107">
      <c r="D107" s="65"/>
    </row>
    <row r="108">
      <c r="D108" s="65"/>
    </row>
    <row r="109">
      <c r="D109" s="65"/>
    </row>
    <row r="110">
      <c r="D110" s="65"/>
    </row>
    <row r="111">
      <c r="D111" s="65"/>
    </row>
    <row r="112">
      <c r="D112" s="65"/>
    </row>
    <row r="113">
      <c r="D113" s="65"/>
    </row>
    <row r="114">
      <c r="D114" s="65"/>
    </row>
    <row r="115">
      <c r="D115" s="65"/>
    </row>
    <row r="116">
      <c r="D116" s="65"/>
    </row>
    <row r="117">
      <c r="D117" s="65"/>
    </row>
    <row r="118">
      <c r="D118" s="65"/>
    </row>
    <row r="119">
      <c r="D119" s="65"/>
    </row>
    <row r="120">
      <c r="D120" s="65"/>
    </row>
    <row r="121">
      <c r="D121" s="65"/>
    </row>
    <row r="122">
      <c r="D122" s="65"/>
    </row>
    <row r="123">
      <c r="D123" s="65"/>
    </row>
    <row r="124">
      <c r="D124" s="65"/>
    </row>
    <row r="125">
      <c r="D125" s="65"/>
    </row>
    <row r="126">
      <c r="D126" s="65"/>
    </row>
    <row r="127">
      <c r="D127" s="65"/>
    </row>
    <row r="128">
      <c r="D128" s="65"/>
    </row>
    <row r="129">
      <c r="D129" s="65"/>
    </row>
    <row r="130">
      <c r="D130" s="65"/>
    </row>
    <row r="131">
      <c r="D131" s="65"/>
    </row>
    <row r="132">
      <c r="D132" s="65"/>
    </row>
    <row r="133">
      <c r="D133" s="65"/>
    </row>
    <row r="134">
      <c r="D134" s="65"/>
    </row>
    <row r="135">
      <c r="D135" s="65"/>
    </row>
    <row r="136">
      <c r="D136" s="65"/>
    </row>
    <row r="137">
      <c r="D137" s="65"/>
    </row>
    <row r="138">
      <c r="D138" s="65"/>
    </row>
    <row r="139">
      <c r="D139" s="65"/>
    </row>
    <row r="140">
      <c r="D140" s="65"/>
    </row>
    <row r="141">
      <c r="D141" s="65"/>
    </row>
    <row r="142">
      <c r="D142" s="65"/>
    </row>
    <row r="143">
      <c r="D143" s="65"/>
    </row>
    <row r="144">
      <c r="D144" s="65"/>
    </row>
    <row r="145">
      <c r="D145" s="65"/>
    </row>
    <row r="146">
      <c r="D146" s="65"/>
    </row>
    <row r="147">
      <c r="D147" s="65"/>
    </row>
    <row r="148">
      <c r="D148" s="65"/>
    </row>
    <row r="149">
      <c r="D149" s="65"/>
    </row>
    <row r="150">
      <c r="D150" s="65"/>
    </row>
    <row r="151">
      <c r="D151" s="65"/>
    </row>
    <row r="152">
      <c r="D152" s="65"/>
    </row>
    <row r="153">
      <c r="D153" s="65"/>
    </row>
    <row r="154">
      <c r="D154" s="65"/>
    </row>
    <row r="155">
      <c r="D155" s="65"/>
    </row>
    <row r="156">
      <c r="D156" s="65"/>
    </row>
    <row r="157">
      <c r="D157" s="65"/>
    </row>
    <row r="158">
      <c r="D158" s="65"/>
    </row>
    <row r="159">
      <c r="D159" s="65"/>
    </row>
    <row r="160">
      <c r="D160" s="65"/>
    </row>
    <row r="161">
      <c r="D161" s="65"/>
    </row>
    <row r="162">
      <c r="D162" s="65"/>
    </row>
    <row r="163">
      <c r="D163" s="65"/>
    </row>
    <row r="164">
      <c r="D164" s="65"/>
    </row>
    <row r="165">
      <c r="D165" s="65"/>
    </row>
    <row r="166">
      <c r="D166" s="65"/>
    </row>
    <row r="167">
      <c r="D167" s="65"/>
    </row>
    <row r="168">
      <c r="D168" s="65"/>
    </row>
    <row r="169">
      <c r="D169" s="65"/>
    </row>
    <row r="170">
      <c r="D170" s="65"/>
    </row>
    <row r="171">
      <c r="D171" s="65"/>
    </row>
    <row r="172">
      <c r="D172" s="65"/>
    </row>
    <row r="173">
      <c r="D173" s="65"/>
    </row>
    <row r="174">
      <c r="D174" s="65"/>
    </row>
    <row r="175">
      <c r="D175" s="65"/>
    </row>
    <row r="176">
      <c r="D176" s="65"/>
    </row>
    <row r="177">
      <c r="D177" s="65"/>
    </row>
    <row r="178">
      <c r="D178" s="65"/>
    </row>
    <row r="179">
      <c r="D179" s="65"/>
    </row>
    <row r="180">
      <c r="D180" s="65"/>
    </row>
    <row r="181">
      <c r="D181" s="65"/>
    </row>
    <row r="182">
      <c r="D182" s="65"/>
    </row>
    <row r="183">
      <c r="D183" s="65"/>
    </row>
    <row r="184">
      <c r="D184" s="65"/>
    </row>
    <row r="185">
      <c r="D185" s="65"/>
    </row>
    <row r="186">
      <c r="D186" s="65"/>
    </row>
    <row r="187">
      <c r="D187" s="65"/>
    </row>
    <row r="188">
      <c r="D188" s="65"/>
    </row>
    <row r="189">
      <c r="D189" s="65"/>
    </row>
    <row r="190">
      <c r="D190" s="65"/>
    </row>
    <row r="191">
      <c r="D191" s="65"/>
    </row>
    <row r="192">
      <c r="D192" s="65"/>
    </row>
    <row r="193">
      <c r="D193" s="65"/>
    </row>
    <row r="194">
      <c r="D194" s="65"/>
    </row>
    <row r="195">
      <c r="D195" s="65"/>
    </row>
    <row r="196">
      <c r="D196" s="65"/>
    </row>
    <row r="197">
      <c r="D197" s="65"/>
    </row>
    <row r="198">
      <c r="D198" s="65"/>
    </row>
    <row r="199">
      <c r="D199" s="65"/>
    </row>
    <row r="200">
      <c r="D200" s="65"/>
    </row>
    <row r="201">
      <c r="D201" s="65"/>
    </row>
    <row r="202">
      <c r="D202" s="65"/>
    </row>
    <row r="203">
      <c r="D203" s="65"/>
    </row>
    <row r="204">
      <c r="D204" s="65"/>
    </row>
    <row r="205">
      <c r="D205" s="65"/>
    </row>
    <row r="206">
      <c r="D206" s="65"/>
    </row>
    <row r="207">
      <c r="D207" s="65"/>
    </row>
    <row r="208">
      <c r="D208" s="65"/>
    </row>
    <row r="209">
      <c r="D209" s="65"/>
    </row>
    <row r="210">
      <c r="D210" s="65"/>
    </row>
    <row r="211">
      <c r="D211" s="65"/>
    </row>
    <row r="212">
      <c r="D212" s="65"/>
    </row>
    <row r="213">
      <c r="D213" s="65"/>
    </row>
    <row r="214">
      <c r="D214" s="65"/>
    </row>
    <row r="215">
      <c r="D215" s="65"/>
    </row>
    <row r="216">
      <c r="D216" s="65"/>
    </row>
    <row r="217">
      <c r="D217" s="65"/>
    </row>
    <row r="218">
      <c r="D218" s="65"/>
    </row>
    <row r="219">
      <c r="D219" s="65"/>
    </row>
    <row r="220">
      <c r="D220" s="65"/>
    </row>
    <row r="221">
      <c r="D221" s="65"/>
    </row>
    <row r="222">
      <c r="D222" s="65"/>
    </row>
    <row r="223">
      <c r="D223" s="65"/>
    </row>
    <row r="224">
      <c r="D224" s="65"/>
    </row>
    <row r="225">
      <c r="D225" s="65"/>
    </row>
    <row r="226">
      <c r="D226" s="65"/>
    </row>
    <row r="227">
      <c r="D227" s="65"/>
    </row>
    <row r="228">
      <c r="D228" s="65"/>
    </row>
    <row r="229">
      <c r="D229" s="65"/>
    </row>
    <row r="230">
      <c r="D230" s="65"/>
    </row>
    <row r="231">
      <c r="D231" s="65"/>
    </row>
    <row r="232">
      <c r="D232" s="65"/>
    </row>
    <row r="233">
      <c r="D233" s="65"/>
    </row>
    <row r="234">
      <c r="D234" s="65"/>
    </row>
    <row r="235">
      <c r="D235" s="65"/>
    </row>
    <row r="236">
      <c r="D236" s="65"/>
    </row>
    <row r="237">
      <c r="D237" s="65"/>
    </row>
    <row r="238">
      <c r="D238" s="65"/>
    </row>
    <row r="239">
      <c r="D239" s="65"/>
    </row>
    <row r="240">
      <c r="D240" s="65"/>
    </row>
    <row r="241">
      <c r="D241" s="65"/>
    </row>
    <row r="242">
      <c r="D242" s="65"/>
    </row>
    <row r="243">
      <c r="D243" s="65"/>
    </row>
    <row r="244">
      <c r="D244" s="65"/>
    </row>
    <row r="245">
      <c r="D245" s="65"/>
    </row>
    <row r="246">
      <c r="D246" s="65"/>
    </row>
    <row r="247">
      <c r="D247" s="65"/>
    </row>
    <row r="248">
      <c r="D248" s="65"/>
    </row>
    <row r="249">
      <c r="D249" s="65"/>
    </row>
    <row r="250">
      <c r="D250" s="65"/>
    </row>
    <row r="251">
      <c r="D251" s="65"/>
    </row>
    <row r="252">
      <c r="D252" s="65"/>
    </row>
    <row r="253">
      <c r="D253" s="65"/>
    </row>
    <row r="254">
      <c r="D254" s="65"/>
    </row>
    <row r="255">
      <c r="D255" s="65"/>
    </row>
    <row r="256">
      <c r="D256" s="65"/>
    </row>
    <row r="257">
      <c r="D257" s="65"/>
    </row>
    <row r="258">
      <c r="D258" s="65"/>
    </row>
    <row r="259">
      <c r="D259" s="65"/>
    </row>
    <row r="260">
      <c r="D260" s="65"/>
    </row>
    <row r="261">
      <c r="D261" s="65"/>
    </row>
    <row r="262">
      <c r="D262" s="65"/>
    </row>
    <row r="263">
      <c r="D263" s="65"/>
    </row>
    <row r="264">
      <c r="D264" s="65"/>
    </row>
    <row r="265">
      <c r="D265" s="65"/>
    </row>
    <row r="266">
      <c r="D266" s="65"/>
    </row>
    <row r="267">
      <c r="D267" s="65"/>
    </row>
    <row r="268">
      <c r="D268" s="65"/>
    </row>
    <row r="269">
      <c r="D269" s="65"/>
    </row>
    <row r="270">
      <c r="D270" s="65"/>
    </row>
    <row r="271">
      <c r="D271" s="65"/>
    </row>
    <row r="272">
      <c r="D272" s="65"/>
    </row>
    <row r="273">
      <c r="D273" s="65"/>
    </row>
    <row r="274">
      <c r="D274" s="65"/>
    </row>
    <row r="275">
      <c r="D275" s="65"/>
    </row>
    <row r="276">
      <c r="D276" s="65"/>
    </row>
    <row r="277">
      <c r="D277" s="65"/>
    </row>
    <row r="278">
      <c r="D278" s="65"/>
    </row>
    <row r="279">
      <c r="D279" s="65"/>
    </row>
    <row r="280">
      <c r="D280" s="65"/>
    </row>
    <row r="281">
      <c r="D281" s="65"/>
    </row>
    <row r="282">
      <c r="D282" s="65"/>
    </row>
    <row r="283">
      <c r="D283" s="65"/>
    </row>
    <row r="284">
      <c r="D284" s="65"/>
    </row>
    <row r="285">
      <c r="D285" s="65"/>
    </row>
    <row r="286">
      <c r="D286" s="65"/>
    </row>
    <row r="287">
      <c r="D287" s="65"/>
    </row>
    <row r="288">
      <c r="D288" s="65"/>
    </row>
    <row r="289">
      <c r="D289" s="65"/>
    </row>
    <row r="290">
      <c r="D290" s="65"/>
    </row>
    <row r="291">
      <c r="D291" s="65"/>
    </row>
    <row r="292">
      <c r="D292" s="65"/>
    </row>
    <row r="293">
      <c r="D293" s="65"/>
    </row>
    <row r="294">
      <c r="D294" s="65"/>
    </row>
    <row r="295">
      <c r="D295" s="65"/>
    </row>
    <row r="296">
      <c r="D296" s="65"/>
    </row>
    <row r="297">
      <c r="D297" s="65"/>
    </row>
    <row r="298">
      <c r="D298" s="65"/>
    </row>
    <row r="299">
      <c r="D299" s="65"/>
    </row>
    <row r="300">
      <c r="D300" s="65"/>
    </row>
    <row r="301">
      <c r="D301" s="65"/>
    </row>
    <row r="302">
      <c r="D302" s="65"/>
    </row>
    <row r="303">
      <c r="D303" s="65"/>
    </row>
    <row r="304">
      <c r="D304" s="65"/>
    </row>
    <row r="305">
      <c r="D305" s="65"/>
    </row>
    <row r="306">
      <c r="D306" s="65"/>
    </row>
    <row r="307">
      <c r="D307" s="65"/>
    </row>
    <row r="308">
      <c r="D308" s="65"/>
    </row>
    <row r="309">
      <c r="D309" s="65"/>
    </row>
    <row r="310">
      <c r="D310" s="65"/>
    </row>
    <row r="311">
      <c r="D311" s="65"/>
    </row>
    <row r="312">
      <c r="D312" s="65"/>
    </row>
    <row r="313">
      <c r="D313" s="65"/>
    </row>
    <row r="314">
      <c r="D314" s="65"/>
    </row>
    <row r="315">
      <c r="D315" s="65"/>
    </row>
    <row r="316">
      <c r="D316" s="65"/>
    </row>
    <row r="317">
      <c r="D317" s="65"/>
    </row>
    <row r="318">
      <c r="D318" s="65"/>
    </row>
    <row r="319">
      <c r="D319" s="65"/>
    </row>
    <row r="320">
      <c r="D320" s="65"/>
    </row>
    <row r="321">
      <c r="D321" s="65"/>
    </row>
    <row r="322">
      <c r="D322" s="65"/>
    </row>
    <row r="323">
      <c r="D323" s="65"/>
    </row>
    <row r="324">
      <c r="D324" s="65"/>
    </row>
    <row r="325">
      <c r="D325" s="65"/>
    </row>
    <row r="326">
      <c r="D326" s="65"/>
    </row>
    <row r="327">
      <c r="D327" s="65"/>
    </row>
    <row r="328">
      <c r="D328" s="65"/>
    </row>
    <row r="329">
      <c r="D329" s="65"/>
    </row>
    <row r="330">
      <c r="D330" s="65"/>
    </row>
    <row r="331">
      <c r="D331" s="65"/>
    </row>
    <row r="332">
      <c r="D332" s="65"/>
    </row>
    <row r="333">
      <c r="D333" s="65"/>
    </row>
    <row r="334">
      <c r="D334" s="65"/>
    </row>
    <row r="335">
      <c r="D335" s="65"/>
    </row>
    <row r="336">
      <c r="D336" s="65"/>
    </row>
    <row r="337">
      <c r="D337" s="65"/>
    </row>
    <row r="338">
      <c r="D338" s="65"/>
    </row>
    <row r="339">
      <c r="D339" s="65"/>
    </row>
    <row r="340">
      <c r="D340" s="65"/>
    </row>
    <row r="341">
      <c r="D341" s="65"/>
    </row>
    <row r="342">
      <c r="D342" s="65"/>
    </row>
    <row r="343">
      <c r="D343" s="65"/>
    </row>
    <row r="344">
      <c r="D344" s="65"/>
    </row>
    <row r="345">
      <c r="D345" s="65"/>
    </row>
    <row r="346">
      <c r="D346" s="65"/>
    </row>
    <row r="347">
      <c r="D347" s="65"/>
    </row>
    <row r="348">
      <c r="D348" s="65"/>
    </row>
    <row r="349">
      <c r="D349" s="65"/>
    </row>
    <row r="350">
      <c r="D350" s="65"/>
    </row>
    <row r="351">
      <c r="D351" s="65"/>
    </row>
    <row r="352">
      <c r="D352" s="65"/>
    </row>
    <row r="353">
      <c r="D353" s="65"/>
    </row>
    <row r="354">
      <c r="D354" s="65"/>
    </row>
    <row r="355">
      <c r="D355" s="65"/>
    </row>
    <row r="356">
      <c r="D356" s="65"/>
    </row>
    <row r="357">
      <c r="D357" s="65"/>
    </row>
    <row r="358">
      <c r="D358" s="65"/>
    </row>
    <row r="359">
      <c r="D359" s="65"/>
    </row>
    <row r="360">
      <c r="D360" s="65"/>
    </row>
    <row r="361">
      <c r="D361" s="65"/>
    </row>
    <row r="362">
      <c r="D362" s="65"/>
    </row>
    <row r="363">
      <c r="D363" s="65"/>
    </row>
    <row r="364">
      <c r="D364" s="65"/>
    </row>
    <row r="365">
      <c r="D365" s="65"/>
    </row>
    <row r="366">
      <c r="D366" s="65"/>
    </row>
    <row r="367">
      <c r="D367" s="65"/>
    </row>
    <row r="368">
      <c r="D368" s="65"/>
    </row>
    <row r="369">
      <c r="D369" s="65"/>
    </row>
    <row r="370">
      <c r="D370" s="65"/>
    </row>
    <row r="371">
      <c r="D371" s="65"/>
    </row>
    <row r="372">
      <c r="D372" s="65"/>
    </row>
    <row r="373">
      <c r="D373" s="65"/>
    </row>
    <row r="374">
      <c r="D374" s="65"/>
    </row>
    <row r="375">
      <c r="D375" s="65"/>
    </row>
    <row r="376">
      <c r="D376" s="65"/>
    </row>
    <row r="377">
      <c r="D377" s="65"/>
    </row>
    <row r="378">
      <c r="D378" s="65"/>
    </row>
    <row r="379">
      <c r="D379" s="65"/>
    </row>
    <row r="380">
      <c r="D380" s="65"/>
    </row>
    <row r="381">
      <c r="D381" s="65"/>
    </row>
    <row r="382">
      <c r="D382" s="65"/>
    </row>
    <row r="383">
      <c r="D383" s="65"/>
    </row>
    <row r="384">
      <c r="D384" s="65"/>
    </row>
    <row r="385">
      <c r="D385" s="65"/>
    </row>
    <row r="386">
      <c r="D386" s="65"/>
    </row>
    <row r="387">
      <c r="D387" s="65"/>
    </row>
    <row r="388">
      <c r="D388" s="65"/>
    </row>
    <row r="389">
      <c r="D389" s="65"/>
    </row>
    <row r="390">
      <c r="D390" s="65"/>
    </row>
    <row r="391">
      <c r="D391" s="65"/>
    </row>
    <row r="392">
      <c r="D392" s="65"/>
    </row>
    <row r="393">
      <c r="D393" s="65"/>
    </row>
    <row r="394">
      <c r="D394" s="65"/>
    </row>
    <row r="395">
      <c r="D395" s="65"/>
    </row>
    <row r="396">
      <c r="D396" s="65"/>
    </row>
    <row r="397">
      <c r="D397" s="65"/>
    </row>
    <row r="398">
      <c r="D398" s="65"/>
    </row>
    <row r="399">
      <c r="D399" s="65"/>
    </row>
    <row r="400">
      <c r="D400" s="65"/>
    </row>
    <row r="401">
      <c r="D401" s="65"/>
    </row>
    <row r="402">
      <c r="D402" s="65"/>
    </row>
    <row r="403">
      <c r="D403" s="65"/>
    </row>
    <row r="404">
      <c r="D404" s="65"/>
    </row>
    <row r="405">
      <c r="D405" s="65"/>
    </row>
    <row r="406">
      <c r="D406" s="65"/>
    </row>
    <row r="407">
      <c r="D407" s="65"/>
    </row>
    <row r="408">
      <c r="D408" s="65"/>
    </row>
    <row r="409">
      <c r="D409" s="65"/>
    </row>
    <row r="410">
      <c r="D410" s="65"/>
    </row>
    <row r="411">
      <c r="D411" s="65"/>
    </row>
    <row r="412">
      <c r="D412" s="65"/>
    </row>
    <row r="413">
      <c r="D413" s="65"/>
    </row>
    <row r="414">
      <c r="D414" s="65"/>
    </row>
    <row r="415">
      <c r="D415" s="65"/>
    </row>
    <row r="416">
      <c r="D416" s="65"/>
    </row>
    <row r="417">
      <c r="D417" s="65"/>
    </row>
    <row r="418">
      <c r="D418" s="65"/>
    </row>
    <row r="419">
      <c r="D419" s="65"/>
    </row>
    <row r="420">
      <c r="D420" s="65"/>
    </row>
    <row r="421">
      <c r="D421" s="65"/>
    </row>
    <row r="422">
      <c r="D422" s="65"/>
    </row>
    <row r="423">
      <c r="D423" s="65"/>
    </row>
    <row r="424">
      <c r="D424" s="65"/>
    </row>
    <row r="425">
      <c r="D425" s="65"/>
    </row>
    <row r="426">
      <c r="D426" s="65"/>
    </row>
    <row r="427">
      <c r="D427" s="65"/>
    </row>
    <row r="428">
      <c r="D428" s="65"/>
    </row>
    <row r="429">
      <c r="D429" s="65"/>
    </row>
    <row r="430">
      <c r="D430" s="65"/>
    </row>
    <row r="431">
      <c r="D431" s="65"/>
    </row>
    <row r="432">
      <c r="D432" s="65"/>
    </row>
    <row r="433">
      <c r="D433" s="65"/>
    </row>
    <row r="434">
      <c r="D434" s="65"/>
    </row>
    <row r="435">
      <c r="D435" s="65"/>
    </row>
    <row r="436">
      <c r="D436" s="65"/>
    </row>
    <row r="437">
      <c r="D437" s="65"/>
    </row>
    <row r="438">
      <c r="D438" s="65"/>
    </row>
    <row r="439">
      <c r="D439" s="65"/>
    </row>
    <row r="440">
      <c r="D440" s="65"/>
    </row>
    <row r="441">
      <c r="D441" s="65"/>
    </row>
    <row r="442">
      <c r="D442" s="65"/>
    </row>
    <row r="443">
      <c r="D443" s="65"/>
    </row>
    <row r="444">
      <c r="D444" s="65"/>
    </row>
    <row r="445">
      <c r="D445" s="65"/>
    </row>
    <row r="446">
      <c r="D446" s="65"/>
    </row>
    <row r="447">
      <c r="D447" s="65"/>
    </row>
    <row r="448">
      <c r="D448" s="65"/>
    </row>
    <row r="449">
      <c r="D449" s="65"/>
    </row>
    <row r="450">
      <c r="D450" s="65"/>
    </row>
    <row r="451">
      <c r="D451" s="65"/>
    </row>
    <row r="452">
      <c r="D452" s="65"/>
    </row>
    <row r="453">
      <c r="D453" s="65"/>
    </row>
    <row r="454">
      <c r="D454" s="65"/>
    </row>
    <row r="455">
      <c r="D455" s="65"/>
    </row>
    <row r="456">
      <c r="D456" s="65"/>
    </row>
    <row r="457">
      <c r="D457" s="65"/>
    </row>
    <row r="458">
      <c r="D458" s="65"/>
    </row>
    <row r="459">
      <c r="D459" s="65"/>
    </row>
    <row r="460">
      <c r="D460" s="65"/>
    </row>
    <row r="461">
      <c r="D461" s="65"/>
    </row>
    <row r="462">
      <c r="D462" s="65"/>
    </row>
    <row r="463">
      <c r="D463" s="65"/>
    </row>
    <row r="464">
      <c r="D464" s="65"/>
    </row>
    <row r="465">
      <c r="D465" s="65"/>
    </row>
    <row r="466">
      <c r="D466" s="65"/>
    </row>
    <row r="467">
      <c r="D467" s="65"/>
    </row>
    <row r="468">
      <c r="D468" s="65"/>
    </row>
    <row r="469">
      <c r="D469" s="65"/>
    </row>
    <row r="470">
      <c r="D470" s="65"/>
    </row>
    <row r="471">
      <c r="D471" s="65"/>
    </row>
    <row r="472">
      <c r="D472" s="65"/>
    </row>
    <row r="473">
      <c r="D473" s="65"/>
    </row>
    <row r="474">
      <c r="D474" s="65"/>
    </row>
    <row r="475">
      <c r="D475" s="65"/>
    </row>
    <row r="476">
      <c r="D476" s="65"/>
    </row>
    <row r="477">
      <c r="D477" s="65"/>
    </row>
    <row r="478">
      <c r="D478" s="65"/>
    </row>
    <row r="479">
      <c r="D479" s="65"/>
    </row>
    <row r="480">
      <c r="D480" s="65"/>
    </row>
    <row r="481">
      <c r="D481" s="65"/>
    </row>
    <row r="482">
      <c r="D482" s="65"/>
    </row>
    <row r="483">
      <c r="D483" s="65"/>
    </row>
    <row r="484">
      <c r="D484" s="65"/>
    </row>
    <row r="485">
      <c r="D485" s="65"/>
    </row>
    <row r="486">
      <c r="D486" s="65"/>
    </row>
    <row r="487">
      <c r="D487" s="65"/>
    </row>
    <row r="488">
      <c r="D488" s="65"/>
    </row>
    <row r="489">
      <c r="D489" s="65"/>
    </row>
    <row r="490">
      <c r="D490" s="65"/>
    </row>
    <row r="491">
      <c r="D491" s="65"/>
    </row>
    <row r="492">
      <c r="D492" s="65"/>
    </row>
    <row r="493">
      <c r="D493" s="65"/>
    </row>
    <row r="494">
      <c r="D494" s="65"/>
    </row>
    <row r="495">
      <c r="D495" s="65"/>
    </row>
    <row r="496">
      <c r="D496" s="65"/>
    </row>
    <row r="497">
      <c r="D497" s="65"/>
    </row>
    <row r="498">
      <c r="D498" s="65"/>
    </row>
    <row r="499">
      <c r="D499" s="65"/>
    </row>
    <row r="500">
      <c r="D500" s="65"/>
    </row>
    <row r="501">
      <c r="D501" s="65"/>
    </row>
    <row r="502">
      <c r="D502" s="65"/>
    </row>
    <row r="503">
      <c r="D503" s="65"/>
    </row>
    <row r="504">
      <c r="D504" s="65"/>
    </row>
    <row r="505">
      <c r="D505" s="65"/>
    </row>
    <row r="506">
      <c r="D506" s="65"/>
    </row>
    <row r="507">
      <c r="D507" s="65"/>
    </row>
    <row r="508">
      <c r="D508" s="65"/>
    </row>
    <row r="509">
      <c r="D509" s="65"/>
    </row>
    <row r="510">
      <c r="D510" s="65"/>
    </row>
    <row r="511">
      <c r="D511" s="65"/>
    </row>
    <row r="512">
      <c r="D512" s="65"/>
    </row>
    <row r="513">
      <c r="D513" s="65"/>
    </row>
    <row r="514">
      <c r="D514" s="65"/>
    </row>
    <row r="515">
      <c r="D515" s="65"/>
    </row>
    <row r="516">
      <c r="D516" s="65"/>
    </row>
    <row r="517">
      <c r="D517" s="65"/>
    </row>
    <row r="518">
      <c r="D518" s="65"/>
    </row>
    <row r="519">
      <c r="D519" s="65"/>
    </row>
    <row r="520">
      <c r="D520" s="65"/>
    </row>
    <row r="521">
      <c r="D521" s="65"/>
    </row>
    <row r="522">
      <c r="D522" s="65"/>
    </row>
    <row r="523">
      <c r="D523" s="65"/>
    </row>
    <row r="524">
      <c r="D524" s="65"/>
    </row>
    <row r="525">
      <c r="D525" s="65"/>
    </row>
    <row r="526">
      <c r="D526" s="65"/>
    </row>
    <row r="527">
      <c r="D527" s="65"/>
    </row>
    <row r="528">
      <c r="D528" s="65"/>
    </row>
    <row r="529">
      <c r="D529" s="65"/>
    </row>
    <row r="530">
      <c r="D530" s="65"/>
    </row>
    <row r="531">
      <c r="D531" s="65"/>
    </row>
    <row r="532">
      <c r="D532" s="65"/>
    </row>
    <row r="533">
      <c r="D533" s="65"/>
    </row>
    <row r="534">
      <c r="D534" s="65"/>
    </row>
    <row r="535">
      <c r="D535" s="65"/>
    </row>
    <row r="536">
      <c r="D536" s="65"/>
    </row>
    <row r="537">
      <c r="D537" s="65"/>
    </row>
    <row r="538">
      <c r="D538" s="65"/>
    </row>
    <row r="539">
      <c r="D539" s="65"/>
    </row>
    <row r="540">
      <c r="D540" s="65"/>
    </row>
    <row r="541">
      <c r="D541" s="65"/>
    </row>
    <row r="542">
      <c r="D542" s="65"/>
    </row>
    <row r="543">
      <c r="D543" s="65"/>
    </row>
    <row r="544">
      <c r="D544" s="65"/>
    </row>
    <row r="545">
      <c r="D545" s="65"/>
    </row>
    <row r="546">
      <c r="D546" s="65"/>
    </row>
    <row r="547">
      <c r="D547" s="65"/>
    </row>
    <row r="548">
      <c r="D548" s="65"/>
    </row>
    <row r="549">
      <c r="D549" s="65"/>
    </row>
    <row r="550">
      <c r="D550" s="65"/>
    </row>
    <row r="551">
      <c r="D551" s="65"/>
    </row>
    <row r="552">
      <c r="D552" s="65"/>
    </row>
    <row r="553">
      <c r="D553" s="65"/>
    </row>
    <row r="554">
      <c r="D554" s="65"/>
    </row>
    <row r="555">
      <c r="D555" s="65"/>
    </row>
    <row r="556">
      <c r="D556" s="65"/>
    </row>
    <row r="557">
      <c r="D557" s="65"/>
    </row>
    <row r="558">
      <c r="D558" s="65"/>
    </row>
    <row r="559">
      <c r="D559" s="65"/>
    </row>
    <row r="560">
      <c r="D560" s="65"/>
    </row>
    <row r="561">
      <c r="D561" s="65"/>
    </row>
    <row r="562">
      <c r="D562" s="65"/>
    </row>
    <row r="563">
      <c r="D563" s="65"/>
    </row>
    <row r="564">
      <c r="D564" s="65"/>
    </row>
    <row r="565">
      <c r="D565" s="65"/>
    </row>
    <row r="566">
      <c r="D566" s="65"/>
    </row>
    <row r="567">
      <c r="D567" s="65"/>
    </row>
    <row r="568">
      <c r="D568" s="65"/>
    </row>
    <row r="569">
      <c r="D569" s="65"/>
    </row>
    <row r="570">
      <c r="D570" s="65"/>
    </row>
    <row r="571">
      <c r="D571" s="65"/>
    </row>
    <row r="572">
      <c r="D572" s="65"/>
    </row>
    <row r="573">
      <c r="D573" s="65"/>
    </row>
    <row r="574">
      <c r="D574" s="65"/>
    </row>
    <row r="575">
      <c r="D575" s="65"/>
    </row>
    <row r="576">
      <c r="D576" s="65"/>
    </row>
    <row r="577">
      <c r="D577" s="65"/>
    </row>
    <row r="578">
      <c r="D578" s="65"/>
    </row>
    <row r="579">
      <c r="D579" s="65"/>
    </row>
    <row r="580">
      <c r="D580" s="65"/>
    </row>
    <row r="581">
      <c r="D581" s="65"/>
    </row>
    <row r="582">
      <c r="D582" s="65"/>
    </row>
    <row r="583">
      <c r="D583" s="65"/>
    </row>
    <row r="584">
      <c r="D584" s="65"/>
    </row>
    <row r="585">
      <c r="D585" s="65"/>
    </row>
    <row r="586">
      <c r="D586" s="65"/>
    </row>
    <row r="587">
      <c r="D587" s="65"/>
    </row>
    <row r="588">
      <c r="D588" s="65"/>
    </row>
    <row r="589">
      <c r="D589" s="65"/>
    </row>
    <row r="590">
      <c r="D590" s="65"/>
    </row>
    <row r="591">
      <c r="D591" s="65"/>
    </row>
    <row r="592">
      <c r="D592" s="65"/>
    </row>
    <row r="593">
      <c r="D593" s="65"/>
    </row>
    <row r="594">
      <c r="D594" s="65"/>
    </row>
    <row r="595">
      <c r="D595" s="65"/>
    </row>
    <row r="596">
      <c r="D596" s="65"/>
    </row>
    <row r="597">
      <c r="D597" s="65"/>
    </row>
    <row r="598">
      <c r="D598" s="65"/>
    </row>
    <row r="599">
      <c r="D599" s="65"/>
    </row>
    <row r="600">
      <c r="D600" s="65"/>
    </row>
    <row r="601">
      <c r="D601" s="65"/>
    </row>
    <row r="602">
      <c r="D602" s="65"/>
    </row>
    <row r="603">
      <c r="D603" s="65"/>
    </row>
    <row r="604">
      <c r="D604" s="65"/>
    </row>
    <row r="605">
      <c r="D605" s="65"/>
    </row>
    <row r="606">
      <c r="D606" s="65"/>
    </row>
    <row r="607">
      <c r="D607" s="65"/>
    </row>
    <row r="608">
      <c r="D608" s="65"/>
    </row>
    <row r="609">
      <c r="D609" s="65"/>
    </row>
    <row r="610">
      <c r="D610" s="65"/>
    </row>
    <row r="611">
      <c r="D611" s="65"/>
    </row>
    <row r="612">
      <c r="D612" s="65"/>
    </row>
    <row r="613">
      <c r="D613" s="65"/>
    </row>
    <row r="614">
      <c r="D614" s="65"/>
    </row>
    <row r="615">
      <c r="D615" s="65"/>
    </row>
    <row r="616">
      <c r="D616" s="65"/>
    </row>
    <row r="617">
      <c r="D617" s="65"/>
    </row>
    <row r="618">
      <c r="D618" s="65"/>
    </row>
    <row r="619">
      <c r="D619" s="65"/>
    </row>
    <row r="620">
      <c r="D620" s="65"/>
    </row>
    <row r="621">
      <c r="D621" s="65"/>
    </row>
    <row r="622">
      <c r="D622" s="65"/>
    </row>
    <row r="623">
      <c r="D623" s="65"/>
    </row>
    <row r="624">
      <c r="D624" s="65"/>
    </row>
    <row r="625">
      <c r="D625" s="65"/>
    </row>
    <row r="626">
      <c r="D626" s="65"/>
    </row>
    <row r="627">
      <c r="D627" s="65"/>
    </row>
    <row r="628">
      <c r="D628" s="65"/>
    </row>
    <row r="629">
      <c r="D629" s="65"/>
    </row>
    <row r="630">
      <c r="D630" s="65"/>
    </row>
    <row r="631">
      <c r="D631" s="65"/>
    </row>
    <row r="632">
      <c r="D632" s="65"/>
    </row>
    <row r="633">
      <c r="D633" s="65"/>
    </row>
    <row r="634">
      <c r="D634" s="65"/>
    </row>
    <row r="635">
      <c r="D635" s="65"/>
    </row>
    <row r="636">
      <c r="D636" s="65"/>
    </row>
    <row r="637">
      <c r="D637" s="65"/>
    </row>
    <row r="638">
      <c r="D638" s="65"/>
    </row>
    <row r="639">
      <c r="D639" s="65"/>
    </row>
    <row r="640">
      <c r="D640" s="65"/>
    </row>
    <row r="641">
      <c r="D641" s="65"/>
    </row>
    <row r="642">
      <c r="D642" s="65"/>
    </row>
    <row r="643">
      <c r="D643" s="65"/>
    </row>
    <row r="644">
      <c r="D644" s="65"/>
    </row>
    <row r="645">
      <c r="D645" s="65"/>
    </row>
    <row r="646">
      <c r="D646" s="65"/>
    </row>
    <row r="647">
      <c r="D647" s="65"/>
    </row>
    <row r="648">
      <c r="D648" s="65"/>
    </row>
    <row r="649">
      <c r="D649" s="65"/>
    </row>
    <row r="650">
      <c r="D650" s="65"/>
    </row>
    <row r="651">
      <c r="D651" s="65"/>
    </row>
    <row r="652">
      <c r="D652" s="65"/>
    </row>
    <row r="653">
      <c r="D653" s="65"/>
    </row>
    <row r="654">
      <c r="D654" s="65"/>
    </row>
    <row r="655">
      <c r="D655" s="65"/>
    </row>
    <row r="656">
      <c r="D656" s="65"/>
    </row>
    <row r="657">
      <c r="D657" s="65"/>
    </row>
    <row r="658">
      <c r="D658" s="65"/>
    </row>
    <row r="659">
      <c r="D659" s="65"/>
    </row>
    <row r="660">
      <c r="D660" s="65"/>
    </row>
    <row r="661">
      <c r="D661" s="65"/>
    </row>
    <row r="662">
      <c r="D662" s="65"/>
    </row>
    <row r="663">
      <c r="D663" s="65"/>
    </row>
    <row r="664">
      <c r="D664" s="65"/>
    </row>
    <row r="665">
      <c r="D665" s="65"/>
    </row>
    <row r="666">
      <c r="D666" s="65"/>
    </row>
    <row r="667">
      <c r="D667" s="65"/>
    </row>
    <row r="668">
      <c r="D668" s="65"/>
    </row>
    <row r="669">
      <c r="D669" s="65"/>
    </row>
    <row r="670">
      <c r="D670" s="65"/>
    </row>
    <row r="671">
      <c r="D671" s="65"/>
    </row>
    <row r="672">
      <c r="D672" s="65"/>
    </row>
    <row r="673">
      <c r="D673" s="65"/>
    </row>
    <row r="674">
      <c r="D674" s="65"/>
    </row>
    <row r="675">
      <c r="D675" s="65"/>
    </row>
    <row r="676">
      <c r="D676" s="65"/>
    </row>
    <row r="677">
      <c r="D677" s="65"/>
    </row>
    <row r="678">
      <c r="D678" s="65"/>
    </row>
    <row r="679">
      <c r="D679" s="65"/>
    </row>
    <row r="680">
      <c r="D680" s="65"/>
    </row>
    <row r="681">
      <c r="D681" s="65"/>
    </row>
    <row r="682">
      <c r="D682" s="65"/>
    </row>
    <row r="683">
      <c r="D683" s="65"/>
    </row>
    <row r="684">
      <c r="D684" s="65"/>
    </row>
    <row r="685">
      <c r="D685" s="65"/>
    </row>
    <row r="686">
      <c r="D686" s="65"/>
    </row>
    <row r="687">
      <c r="D687" s="65"/>
    </row>
    <row r="688">
      <c r="D688" s="65"/>
    </row>
    <row r="689">
      <c r="D689" s="65"/>
    </row>
    <row r="690">
      <c r="D690" s="65"/>
    </row>
    <row r="691">
      <c r="D691" s="65"/>
    </row>
    <row r="692">
      <c r="D692" s="65"/>
    </row>
    <row r="693">
      <c r="D693" s="65"/>
    </row>
    <row r="694">
      <c r="D694" s="65"/>
    </row>
    <row r="695">
      <c r="D695" s="65"/>
    </row>
    <row r="696">
      <c r="D696" s="65"/>
    </row>
    <row r="697">
      <c r="D697" s="65"/>
    </row>
    <row r="698">
      <c r="D698" s="65"/>
    </row>
    <row r="699">
      <c r="D699" s="65"/>
    </row>
    <row r="700">
      <c r="D700" s="65"/>
    </row>
    <row r="701">
      <c r="D701" s="65"/>
    </row>
    <row r="702">
      <c r="D702" s="65"/>
    </row>
    <row r="703">
      <c r="D703" s="65"/>
    </row>
    <row r="704">
      <c r="D704" s="65"/>
    </row>
    <row r="705">
      <c r="D705" s="65"/>
    </row>
    <row r="706">
      <c r="D706" s="65"/>
    </row>
    <row r="707">
      <c r="D707" s="65"/>
    </row>
    <row r="708">
      <c r="D708" s="65"/>
    </row>
    <row r="709">
      <c r="D709" s="65"/>
    </row>
    <row r="710">
      <c r="D710" s="65"/>
    </row>
    <row r="711">
      <c r="D711" s="65"/>
    </row>
    <row r="712">
      <c r="D712" s="65"/>
    </row>
    <row r="713">
      <c r="D713" s="65"/>
    </row>
    <row r="714">
      <c r="D714" s="65"/>
    </row>
    <row r="715">
      <c r="D715" s="65"/>
    </row>
    <row r="716">
      <c r="D716" s="65"/>
    </row>
    <row r="717">
      <c r="D717" s="65"/>
    </row>
    <row r="718">
      <c r="D718" s="65"/>
    </row>
    <row r="719">
      <c r="D719" s="65"/>
    </row>
    <row r="720">
      <c r="D720" s="65"/>
    </row>
    <row r="721">
      <c r="D721" s="65"/>
    </row>
    <row r="722">
      <c r="D722" s="65"/>
    </row>
    <row r="723">
      <c r="D723" s="65"/>
    </row>
    <row r="724">
      <c r="D724" s="65"/>
    </row>
    <row r="725">
      <c r="D725" s="65"/>
    </row>
    <row r="726">
      <c r="D726" s="65"/>
    </row>
    <row r="727">
      <c r="D727" s="65"/>
    </row>
    <row r="728">
      <c r="D728" s="65"/>
    </row>
    <row r="729">
      <c r="D729" s="65"/>
    </row>
    <row r="730">
      <c r="D730" s="65"/>
    </row>
    <row r="731">
      <c r="D731" s="65"/>
    </row>
    <row r="732">
      <c r="D732" s="65"/>
    </row>
    <row r="733">
      <c r="D733" s="65"/>
    </row>
    <row r="734">
      <c r="D734" s="65"/>
    </row>
    <row r="735">
      <c r="D735" s="65"/>
    </row>
    <row r="736">
      <c r="D736" s="65"/>
    </row>
    <row r="737">
      <c r="D737" s="65"/>
    </row>
    <row r="738">
      <c r="D738" s="65"/>
    </row>
    <row r="739">
      <c r="D739" s="65"/>
    </row>
    <row r="740">
      <c r="D740" s="65"/>
    </row>
    <row r="741">
      <c r="D741" s="65"/>
    </row>
    <row r="742">
      <c r="D742" s="65"/>
    </row>
    <row r="743">
      <c r="D743" s="65"/>
    </row>
    <row r="744">
      <c r="D744" s="65"/>
    </row>
    <row r="745">
      <c r="D745" s="65"/>
    </row>
    <row r="746">
      <c r="D746" s="65"/>
    </row>
    <row r="747">
      <c r="D747" s="65"/>
    </row>
    <row r="748">
      <c r="D748" s="65"/>
    </row>
    <row r="749">
      <c r="D749" s="65"/>
    </row>
    <row r="750">
      <c r="D750" s="65"/>
    </row>
    <row r="751">
      <c r="D751" s="65"/>
    </row>
    <row r="752">
      <c r="D752" s="65"/>
    </row>
    <row r="753">
      <c r="D753" s="65"/>
    </row>
    <row r="754">
      <c r="D754" s="65"/>
    </row>
    <row r="755">
      <c r="D755" s="65"/>
    </row>
    <row r="756">
      <c r="D756" s="65"/>
    </row>
    <row r="757">
      <c r="D757" s="65"/>
    </row>
    <row r="758">
      <c r="D758" s="65"/>
    </row>
    <row r="759">
      <c r="D759" s="65"/>
    </row>
    <row r="760">
      <c r="D760" s="65"/>
    </row>
    <row r="761">
      <c r="D761" s="65"/>
    </row>
    <row r="762">
      <c r="D762" s="65"/>
    </row>
    <row r="763">
      <c r="D763" s="65"/>
    </row>
    <row r="764">
      <c r="D764" s="65"/>
    </row>
    <row r="765">
      <c r="D765" s="65"/>
    </row>
    <row r="766">
      <c r="D766" s="65"/>
    </row>
    <row r="767">
      <c r="D767" s="65"/>
    </row>
    <row r="768">
      <c r="D768" s="65"/>
    </row>
    <row r="769">
      <c r="D769" s="65"/>
    </row>
    <row r="770">
      <c r="D770" s="65"/>
    </row>
    <row r="771">
      <c r="D771" s="65"/>
    </row>
    <row r="772">
      <c r="D772" s="65"/>
    </row>
    <row r="773">
      <c r="D773" s="65"/>
    </row>
    <row r="774">
      <c r="D774" s="65"/>
    </row>
    <row r="775">
      <c r="D775" s="65"/>
    </row>
    <row r="776">
      <c r="D776" s="65"/>
    </row>
    <row r="777">
      <c r="D777" s="65"/>
    </row>
    <row r="778">
      <c r="D778" s="65"/>
    </row>
    <row r="779">
      <c r="D779" s="65"/>
    </row>
    <row r="780">
      <c r="D780" s="65"/>
    </row>
    <row r="781">
      <c r="D781" s="65"/>
    </row>
    <row r="782">
      <c r="D782" s="65"/>
    </row>
    <row r="783">
      <c r="D783" s="65"/>
    </row>
    <row r="784">
      <c r="D784" s="65"/>
    </row>
    <row r="785">
      <c r="D785" s="65"/>
    </row>
    <row r="786">
      <c r="D786" s="65"/>
    </row>
    <row r="787">
      <c r="D787" s="65"/>
    </row>
    <row r="788">
      <c r="D788" s="65"/>
    </row>
    <row r="789">
      <c r="D789" s="65"/>
    </row>
    <row r="790">
      <c r="D790" s="65"/>
    </row>
    <row r="791">
      <c r="D791" s="65"/>
    </row>
    <row r="792">
      <c r="D792" s="65"/>
    </row>
    <row r="793">
      <c r="D793" s="65"/>
    </row>
    <row r="794">
      <c r="D794" s="65"/>
    </row>
    <row r="795">
      <c r="D795" s="65"/>
    </row>
    <row r="796">
      <c r="D796" s="65"/>
    </row>
    <row r="797">
      <c r="D797" s="65"/>
    </row>
    <row r="798">
      <c r="D798" s="65"/>
    </row>
    <row r="799">
      <c r="D799" s="65"/>
    </row>
    <row r="800">
      <c r="D800" s="65"/>
    </row>
    <row r="801">
      <c r="D801" s="65"/>
    </row>
    <row r="802">
      <c r="D802" s="65"/>
    </row>
    <row r="803">
      <c r="D803" s="65"/>
    </row>
    <row r="804">
      <c r="D804" s="65"/>
    </row>
    <row r="805">
      <c r="D805" s="65"/>
    </row>
    <row r="806">
      <c r="D806" s="65"/>
    </row>
    <row r="807">
      <c r="D807" s="65"/>
    </row>
    <row r="808">
      <c r="D808" s="65"/>
    </row>
    <row r="809">
      <c r="D809" s="65"/>
    </row>
    <row r="810">
      <c r="D810" s="65"/>
    </row>
    <row r="811">
      <c r="D811" s="65"/>
    </row>
    <row r="812">
      <c r="D812" s="65"/>
    </row>
    <row r="813">
      <c r="D813" s="65"/>
    </row>
    <row r="814">
      <c r="D814" s="65"/>
    </row>
    <row r="815">
      <c r="D815" s="65"/>
    </row>
    <row r="816">
      <c r="D816" s="65"/>
    </row>
    <row r="817">
      <c r="D817" s="65"/>
    </row>
    <row r="818">
      <c r="D818" s="65"/>
    </row>
    <row r="819">
      <c r="D819" s="65"/>
    </row>
    <row r="820">
      <c r="D820" s="65"/>
    </row>
    <row r="821">
      <c r="D821" s="65"/>
    </row>
    <row r="822">
      <c r="D822" s="65"/>
    </row>
    <row r="823">
      <c r="D823" s="65"/>
    </row>
    <row r="824">
      <c r="D824" s="65"/>
    </row>
    <row r="825">
      <c r="D825" s="65"/>
    </row>
    <row r="826">
      <c r="D826" s="65"/>
    </row>
    <row r="827">
      <c r="D827" s="65"/>
    </row>
    <row r="828">
      <c r="D828" s="65"/>
    </row>
    <row r="829">
      <c r="D829" s="65"/>
    </row>
    <row r="830">
      <c r="D830" s="65"/>
    </row>
    <row r="831">
      <c r="D831" s="65"/>
    </row>
    <row r="832">
      <c r="D832" s="65"/>
    </row>
    <row r="833">
      <c r="D833" s="65"/>
    </row>
    <row r="834">
      <c r="D834" s="65"/>
    </row>
    <row r="835">
      <c r="D835" s="65"/>
    </row>
    <row r="836">
      <c r="D836" s="65"/>
    </row>
    <row r="837">
      <c r="D837" s="65"/>
    </row>
    <row r="838">
      <c r="D838" s="65"/>
    </row>
    <row r="839">
      <c r="D839" s="65"/>
    </row>
    <row r="840">
      <c r="D840" s="65"/>
    </row>
    <row r="841">
      <c r="D841" s="65"/>
    </row>
    <row r="842">
      <c r="D842" s="65"/>
    </row>
    <row r="843">
      <c r="D843" s="65"/>
    </row>
    <row r="844">
      <c r="D844" s="65"/>
    </row>
    <row r="845">
      <c r="D845" s="65"/>
    </row>
    <row r="846">
      <c r="D846" s="65"/>
    </row>
    <row r="847">
      <c r="D847" s="65"/>
    </row>
    <row r="848">
      <c r="D848" s="65"/>
    </row>
    <row r="849">
      <c r="D849" s="65"/>
    </row>
    <row r="850">
      <c r="D850" s="65"/>
    </row>
    <row r="851">
      <c r="D851" s="65"/>
    </row>
    <row r="852">
      <c r="D852" s="65"/>
    </row>
    <row r="853">
      <c r="D853" s="65"/>
    </row>
    <row r="854">
      <c r="D854" s="65"/>
    </row>
    <row r="855">
      <c r="D855" s="65"/>
    </row>
    <row r="856">
      <c r="D856" s="65"/>
    </row>
    <row r="857">
      <c r="D857" s="65"/>
    </row>
    <row r="858">
      <c r="D858" s="65"/>
    </row>
    <row r="859">
      <c r="D859" s="65"/>
    </row>
    <row r="860">
      <c r="D860" s="65"/>
    </row>
    <row r="861">
      <c r="D861" s="65"/>
    </row>
    <row r="862">
      <c r="D862" s="65"/>
    </row>
    <row r="863">
      <c r="D863" s="65"/>
    </row>
    <row r="864">
      <c r="D864" s="65"/>
    </row>
    <row r="865">
      <c r="D865" s="65"/>
    </row>
    <row r="866">
      <c r="D866" s="65"/>
    </row>
    <row r="867">
      <c r="D867" s="65"/>
    </row>
    <row r="868">
      <c r="D868" s="65"/>
    </row>
    <row r="869">
      <c r="D869" s="65"/>
    </row>
    <row r="870">
      <c r="D870" s="65"/>
    </row>
    <row r="871">
      <c r="D871" s="65"/>
    </row>
    <row r="872">
      <c r="D872" s="65"/>
    </row>
    <row r="873">
      <c r="D873" s="65"/>
    </row>
    <row r="874">
      <c r="D874" s="65"/>
    </row>
    <row r="875">
      <c r="D875" s="65"/>
    </row>
    <row r="876">
      <c r="D876" s="65"/>
    </row>
    <row r="877">
      <c r="D877" s="65"/>
    </row>
    <row r="878">
      <c r="D878" s="65"/>
    </row>
    <row r="879">
      <c r="D879" s="65"/>
    </row>
    <row r="880">
      <c r="D880" s="65"/>
    </row>
    <row r="881">
      <c r="D881" s="65"/>
    </row>
    <row r="882">
      <c r="D882" s="65"/>
    </row>
    <row r="883">
      <c r="D883" s="65"/>
    </row>
    <row r="884">
      <c r="D884" s="65"/>
    </row>
    <row r="885">
      <c r="D885" s="65"/>
    </row>
    <row r="886">
      <c r="D886" s="65"/>
    </row>
    <row r="887">
      <c r="D887" s="65"/>
    </row>
    <row r="888">
      <c r="D888" s="65"/>
    </row>
    <row r="889">
      <c r="D889" s="65"/>
    </row>
    <row r="890">
      <c r="D890" s="65"/>
    </row>
    <row r="891">
      <c r="D891" s="65"/>
    </row>
    <row r="892">
      <c r="D892" s="65"/>
    </row>
    <row r="893">
      <c r="D893" s="65"/>
    </row>
    <row r="894">
      <c r="D894" s="65"/>
    </row>
    <row r="895">
      <c r="D895" s="65"/>
    </row>
    <row r="896">
      <c r="D896" s="65"/>
    </row>
    <row r="897">
      <c r="D897" s="65"/>
    </row>
    <row r="898">
      <c r="D898" s="65"/>
    </row>
    <row r="899">
      <c r="D899" s="65"/>
    </row>
    <row r="900">
      <c r="D900" s="65"/>
    </row>
    <row r="901">
      <c r="D901" s="65"/>
    </row>
    <row r="902">
      <c r="D902" s="65"/>
    </row>
    <row r="903">
      <c r="D903" s="65"/>
    </row>
    <row r="904">
      <c r="D904" s="65"/>
    </row>
    <row r="905">
      <c r="D905" s="65"/>
    </row>
    <row r="906">
      <c r="D906" s="65"/>
    </row>
    <row r="907">
      <c r="D907" s="65"/>
    </row>
    <row r="908">
      <c r="D908" s="65"/>
    </row>
    <row r="909">
      <c r="D909" s="65"/>
    </row>
    <row r="910">
      <c r="D910" s="65"/>
    </row>
    <row r="911">
      <c r="D911" s="65"/>
    </row>
    <row r="912">
      <c r="D912" s="65"/>
    </row>
    <row r="913">
      <c r="D913" s="65"/>
    </row>
    <row r="914">
      <c r="D914" s="65"/>
    </row>
    <row r="915">
      <c r="D915" s="65"/>
    </row>
    <row r="916">
      <c r="D916" s="65"/>
    </row>
    <row r="917">
      <c r="D917" s="65"/>
    </row>
    <row r="918">
      <c r="D918" s="65"/>
    </row>
    <row r="919">
      <c r="D919" s="65"/>
    </row>
    <row r="920">
      <c r="D920" s="65"/>
    </row>
    <row r="921">
      <c r="D921" s="65"/>
    </row>
    <row r="922">
      <c r="D922" s="65"/>
    </row>
    <row r="923">
      <c r="D923" s="65"/>
    </row>
    <row r="924">
      <c r="D924" s="65"/>
    </row>
    <row r="925">
      <c r="D925" s="65"/>
    </row>
    <row r="926">
      <c r="D926" s="65"/>
    </row>
    <row r="927">
      <c r="D927" s="65"/>
    </row>
    <row r="928">
      <c r="D928" s="65"/>
    </row>
    <row r="929">
      <c r="D929" s="65"/>
    </row>
    <row r="930">
      <c r="D930" s="65"/>
    </row>
    <row r="931">
      <c r="D931" s="65"/>
    </row>
    <row r="932">
      <c r="D932" s="65"/>
    </row>
    <row r="933">
      <c r="D933" s="65"/>
    </row>
    <row r="934">
      <c r="D934" s="65"/>
    </row>
    <row r="935">
      <c r="D935" s="65"/>
    </row>
    <row r="936">
      <c r="D936" s="65"/>
    </row>
    <row r="937">
      <c r="D937" s="65"/>
    </row>
    <row r="938">
      <c r="D938" s="65"/>
    </row>
    <row r="939">
      <c r="D939" s="65"/>
    </row>
    <row r="940">
      <c r="D940" s="65"/>
    </row>
    <row r="941">
      <c r="D941" s="65"/>
    </row>
    <row r="942">
      <c r="D942" s="65"/>
    </row>
    <row r="943">
      <c r="D943" s="65"/>
    </row>
    <row r="944">
      <c r="D944" s="65"/>
    </row>
    <row r="945">
      <c r="D945" s="65"/>
    </row>
    <row r="946">
      <c r="D946" s="65"/>
    </row>
    <row r="947">
      <c r="D947" s="65"/>
    </row>
    <row r="948">
      <c r="D948" s="65"/>
    </row>
    <row r="949">
      <c r="D949" s="65"/>
    </row>
    <row r="950">
      <c r="D950" s="65"/>
    </row>
    <row r="951">
      <c r="D951" s="65"/>
    </row>
    <row r="952">
      <c r="D952" s="65"/>
    </row>
    <row r="953">
      <c r="D953" s="65"/>
    </row>
    <row r="954">
      <c r="D954" s="65"/>
    </row>
    <row r="955">
      <c r="D955" s="65"/>
    </row>
    <row r="956">
      <c r="D956" s="65"/>
    </row>
    <row r="957">
      <c r="D957" s="65"/>
    </row>
    <row r="958">
      <c r="D958" s="65"/>
    </row>
    <row r="959">
      <c r="D959" s="65"/>
    </row>
    <row r="960">
      <c r="D960" s="65"/>
    </row>
    <row r="961">
      <c r="D961" s="65"/>
    </row>
    <row r="962">
      <c r="D962" s="65"/>
    </row>
    <row r="963">
      <c r="D963" s="65"/>
    </row>
    <row r="964">
      <c r="D964" s="65"/>
    </row>
    <row r="965">
      <c r="D965" s="65"/>
    </row>
    <row r="966">
      <c r="D966" s="65"/>
    </row>
    <row r="967">
      <c r="D967" s="65"/>
    </row>
    <row r="968">
      <c r="D968" s="65"/>
    </row>
    <row r="969">
      <c r="D969" s="65"/>
    </row>
    <row r="970">
      <c r="D970" s="65"/>
    </row>
    <row r="971">
      <c r="D971" s="65"/>
    </row>
    <row r="972">
      <c r="D972" s="65"/>
    </row>
    <row r="973">
      <c r="D973" s="65"/>
    </row>
    <row r="974">
      <c r="D974" s="65"/>
    </row>
    <row r="975">
      <c r="D975" s="65"/>
    </row>
    <row r="976">
      <c r="D976" s="65"/>
    </row>
    <row r="977">
      <c r="D977" s="65"/>
    </row>
    <row r="978">
      <c r="D978" s="65"/>
    </row>
    <row r="979">
      <c r="D979" s="65"/>
    </row>
    <row r="980">
      <c r="D980" s="65"/>
    </row>
    <row r="981">
      <c r="D981" s="65"/>
    </row>
    <row r="982">
      <c r="D982" s="65"/>
    </row>
    <row r="983">
      <c r="D983" s="65"/>
    </row>
    <row r="984">
      <c r="D984" s="65"/>
    </row>
    <row r="985">
      <c r="D985" s="65"/>
    </row>
    <row r="986">
      <c r="D986" s="65"/>
    </row>
    <row r="987">
      <c r="D987" s="65"/>
    </row>
    <row r="988">
      <c r="D988" s="65"/>
    </row>
    <row r="989">
      <c r="D989" s="65"/>
    </row>
    <row r="990">
      <c r="D990" s="65"/>
    </row>
    <row r="991">
      <c r="D991" s="65"/>
    </row>
    <row r="992">
      <c r="D992" s="65"/>
    </row>
    <row r="993">
      <c r="D993" s="65"/>
    </row>
    <row r="994">
      <c r="D994" s="65"/>
    </row>
    <row r="995">
      <c r="D995" s="65"/>
    </row>
    <row r="996">
      <c r="D996" s="65"/>
    </row>
    <row r="997">
      <c r="D997" s="65"/>
    </row>
    <row r="998">
      <c r="D998" s="65"/>
    </row>
    <row r="999">
      <c r="D999" s="65"/>
    </row>
    <row r="1000">
      <c r="D1000" s="6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7" t="s">
        <v>55</v>
      </c>
      <c r="I1" s="68">
        <f>countifs(B:B,"&lt;&gt;",F:F,"&lt;&gt;")-1</f>
        <v>18</v>
      </c>
      <c r="K1" s="6" t="s">
        <v>56</v>
      </c>
      <c r="L1" s="6" t="s">
        <v>57</v>
      </c>
      <c r="M1" s="6" t="s">
        <v>13</v>
      </c>
    </row>
    <row r="2">
      <c r="H2" s="67" t="s">
        <v>58</v>
      </c>
      <c r="I2" s="68">
        <f t="array" ref="I2">(COUNTA(UNIQUE(C:C))-1)</f>
        <v>18</v>
      </c>
      <c r="K2" s="69" t="str">
        <f>'Internal Summary'!B40</f>
        <v>250g Dates powder (6x)</v>
      </c>
      <c r="L2" s="68">
        <f t="shared" ref="L2:L13" si="1">sumif(D:D,K2,E:E)</f>
        <v>17</v>
      </c>
      <c r="M2" s="68">
        <f t="shared" ref="M2:M13" si="2">sumif(D:D,K2,F:F)</f>
        <v>204000</v>
      </c>
      <c r="N2" s="70"/>
    </row>
    <row r="3">
      <c r="H3" s="67" t="s">
        <v>59</v>
      </c>
      <c r="I3" s="68">
        <f>sum(F:F)</f>
        <v>247200</v>
      </c>
      <c r="K3" s="69" t="str">
        <f>'Internal Summary'!B41</f>
        <v>80g Kuli Kuli (12x)</v>
      </c>
      <c r="L3" s="68">
        <f t="shared" si="1"/>
        <v>6</v>
      </c>
      <c r="M3" s="68">
        <f t="shared" si="2"/>
        <v>43200</v>
      </c>
      <c r="N3" s="70"/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  <c r="N4" s="70"/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  <c r="N5" s="70"/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A12" s="46">
        <v>45822.0</v>
      </c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>
      <c r="I15" s="65"/>
      <c r="K15" s="64">
        <f>A$12-A18</f>
        <v>-56</v>
      </c>
    </row>
    <row r="16"/>
    <row r="17"/>
    <row r="18">
      <c r="I18" s="65"/>
    </row>
    <row r="19"/>
    <row r="20"/>
    <row r="21">
      <c r="I21" s="65"/>
    </row>
    <row r="22"/>
    <row r="23"/>
    <row r="24">
      <c r="I24" s="65"/>
    </row>
    <row r="25"/>
    <row r="26"/>
    <row r="27">
      <c r="I27" s="65"/>
    </row>
    <row r="28"/>
    <row r="29"/>
    <row r="30">
      <c r="I30" s="65"/>
    </row>
    <row r="31"/>
    <row r="32"/>
    <row r="33">
      <c r="I33" s="65"/>
    </row>
    <row r="34"/>
    <row r="35"/>
    <row r="36">
      <c r="I36" s="65"/>
    </row>
    <row r="39">
      <c r="I39" s="65"/>
    </row>
    <row r="42">
      <c r="I42" s="65"/>
    </row>
    <row r="45">
      <c r="I45" s="65"/>
    </row>
    <row r="48">
      <c r="I48" s="65"/>
    </row>
    <row r="51">
      <c r="I51" s="65"/>
    </row>
    <row r="54">
      <c r="I54" s="65"/>
    </row>
    <row r="57">
      <c r="I57" s="65"/>
    </row>
    <row r="60">
      <c r="I60" s="65"/>
    </row>
    <row r="63">
      <c r="I63" s="65"/>
    </row>
    <row r="66">
      <c r="I66" s="65"/>
    </row>
    <row r="69">
      <c r="I69" s="65"/>
    </row>
    <row r="72">
      <c r="I72" s="65"/>
    </row>
    <row r="75">
      <c r="I75" s="65"/>
    </row>
    <row r="78">
      <c r="I78" s="65"/>
    </row>
    <row r="81">
      <c r="I81" s="65"/>
    </row>
    <row r="84">
      <c r="I84" s="65"/>
    </row>
    <row r="87">
      <c r="I87" s="65"/>
    </row>
    <row r="90">
      <c r="I90" s="65"/>
    </row>
    <row r="93">
      <c r="I93" s="65"/>
    </row>
    <row r="96">
      <c r="I96" s="65"/>
    </row>
    <row r="99">
      <c r="I99" s="65"/>
    </row>
    <row r="102">
      <c r="I102" s="65"/>
    </row>
    <row r="105">
      <c r="I105" s="65"/>
    </row>
    <row r="108">
      <c r="I108" s="65"/>
    </row>
    <row r="111">
      <c r="I111" s="65"/>
    </row>
    <row r="114">
      <c r="I114" s="65"/>
    </row>
    <row r="117">
      <c r="I117" s="65"/>
    </row>
    <row r="120">
      <c r="I120" s="65"/>
    </row>
    <row r="123">
      <c r="I123" s="65"/>
    </row>
    <row r="126">
      <c r="I126" s="65"/>
    </row>
    <row r="129">
      <c r="I129" s="65"/>
    </row>
    <row r="132">
      <c r="I132" s="65"/>
    </row>
    <row r="135">
      <c r="I135" s="65"/>
    </row>
    <row r="138">
      <c r="I138" s="65"/>
    </row>
    <row r="141">
      <c r="I141" s="65"/>
    </row>
    <row r="144">
      <c r="I144" s="65"/>
    </row>
    <row r="147">
      <c r="I147" s="65"/>
    </row>
    <row r="150">
      <c r="I150" s="65"/>
    </row>
    <row r="153">
      <c r="I153" s="65"/>
    </row>
    <row r="156">
      <c r="I156" s="65"/>
    </row>
    <row r="159">
      <c r="I159" s="65"/>
    </row>
    <row r="162">
      <c r="I162" s="65"/>
    </row>
    <row r="165">
      <c r="I165" s="65"/>
    </row>
    <row r="168">
      <c r="I168" s="65"/>
    </row>
    <row r="171">
      <c r="I171" s="65"/>
    </row>
    <row r="174">
      <c r="I174" s="65"/>
    </row>
    <row r="177">
      <c r="I177" s="65"/>
    </row>
    <row r="180">
      <c r="I180" s="65"/>
    </row>
    <row r="183">
      <c r="I183" s="65"/>
    </row>
    <row r="186">
      <c r="I186" s="65"/>
    </row>
    <row r="189">
      <c r="I189" s="65"/>
    </row>
    <row r="192">
      <c r="I192" s="65"/>
    </row>
    <row r="195">
      <c r="I195" s="65"/>
    </row>
    <row r="198">
      <c r="I198" s="65"/>
    </row>
    <row r="201">
      <c r="I201" s="65"/>
    </row>
    <row r="204">
      <c r="I204" s="65"/>
    </row>
    <row r="207">
      <c r="I207" s="65"/>
    </row>
    <row r="210">
      <c r="I210" s="65"/>
    </row>
    <row r="213">
      <c r="I213" s="65"/>
    </row>
    <row r="216">
      <c r="I216" s="65"/>
    </row>
    <row r="219">
      <c r="I219" s="65"/>
    </row>
    <row r="222">
      <c r="I222" s="65"/>
    </row>
    <row r="225">
      <c r="I225" s="65"/>
    </row>
    <row r="228">
      <c r="I228" s="65"/>
    </row>
    <row r="231">
      <c r="I231" s="65"/>
    </row>
    <row r="234">
      <c r="I234" s="65"/>
    </row>
    <row r="237">
      <c r="I237" s="65"/>
    </row>
    <row r="240">
      <c r="I240" s="65"/>
    </row>
    <row r="243">
      <c r="I243" s="65"/>
    </row>
    <row r="318">
      <c r="I318" s="65"/>
    </row>
    <row r="321">
      <c r="I321" s="65"/>
    </row>
    <row r="324">
      <c r="I324" s="65"/>
    </row>
    <row r="327">
      <c r="I327" s="65"/>
    </row>
    <row r="330">
      <c r="I330" s="65"/>
    </row>
    <row r="333">
      <c r="I333" s="65"/>
    </row>
    <row r="336">
      <c r="I336" s="65"/>
    </row>
    <row r="339">
      <c r="I339" s="65"/>
    </row>
    <row r="342">
      <c r="I342" s="65"/>
    </row>
    <row r="345">
      <c r="I345" s="65"/>
    </row>
    <row r="348">
      <c r="I348" s="65"/>
    </row>
    <row r="351">
      <c r="I351" s="65"/>
    </row>
    <row r="354">
      <c r="I354" s="65"/>
    </row>
    <row r="357">
      <c r="I357" s="65"/>
    </row>
    <row r="360">
      <c r="I360" s="65"/>
    </row>
    <row r="363">
      <c r="I363" s="65"/>
    </row>
    <row r="366">
      <c r="I366" s="65"/>
    </row>
    <row r="369">
      <c r="I369" s="65"/>
    </row>
    <row r="372">
      <c r="I372" s="65"/>
    </row>
    <row r="375">
      <c r="I375" s="65"/>
    </row>
    <row r="378">
      <c r="I378" s="65"/>
    </row>
    <row r="381">
      <c r="I381" s="65"/>
    </row>
    <row r="384">
      <c r="I384" s="65"/>
    </row>
    <row r="387">
      <c r="I387" s="65"/>
    </row>
    <row r="390">
      <c r="I390" s="65"/>
    </row>
    <row r="393">
      <c r="I393" s="65"/>
    </row>
    <row r="396">
      <c r="I396" s="65"/>
    </row>
    <row r="399">
      <c r="I399" s="65"/>
    </row>
    <row r="402">
      <c r="I402" s="65"/>
    </row>
    <row r="405">
      <c r="I405" s="65"/>
    </row>
    <row r="408">
      <c r="I408" s="65"/>
    </row>
    <row r="411">
      <c r="I411" s="65"/>
    </row>
    <row r="414">
      <c r="I414" s="65"/>
    </row>
    <row r="417">
      <c r="I417" s="65"/>
    </row>
    <row r="420">
      <c r="I420" s="65"/>
    </row>
    <row r="423">
      <c r="I423" s="65"/>
    </row>
    <row r="426">
      <c r="I426" s="65"/>
    </row>
    <row r="429">
      <c r="I429" s="65"/>
    </row>
    <row r="432">
      <c r="I432" s="65"/>
    </row>
    <row r="435">
      <c r="I435" s="65"/>
    </row>
    <row r="438">
      <c r="I438" s="65"/>
    </row>
    <row r="441">
      <c r="I441" s="65"/>
    </row>
    <row r="444">
      <c r="I444" s="65"/>
    </row>
    <row r="447">
      <c r="I447" s="65"/>
    </row>
    <row r="450">
      <c r="I450" s="65"/>
    </row>
    <row r="453">
      <c r="I453" s="65"/>
    </row>
    <row r="456">
      <c r="I456" s="65"/>
    </row>
    <row r="459">
      <c r="I459" s="65"/>
    </row>
    <row r="462">
      <c r="I462" s="65"/>
    </row>
    <row r="465">
      <c r="I465" s="65"/>
    </row>
    <row r="468">
      <c r="I468" s="65"/>
    </row>
    <row r="471">
      <c r="I471" s="65"/>
    </row>
    <row r="474">
      <c r="I474" s="65"/>
    </row>
    <row r="477">
      <c r="I477" s="65"/>
    </row>
    <row r="480">
      <c r="I480" s="65"/>
    </row>
    <row r="483">
      <c r="I483" s="65"/>
    </row>
    <row r="486">
      <c r="I486" s="65"/>
    </row>
    <row r="489">
      <c r="I489" s="65"/>
    </row>
    <row r="492">
      <c r="I492" s="65"/>
    </row>
    <row r="495">
      <c r="I495" s="65"/>
    </row>
    <row r="498">
      <c r="I498" s="65"/>
    </row>
    <row r="501">
      <c r="I501" s="65"/>
    </row>
    <row r="504">
      <c r="I504" s="65"/>
    </row>
    <row r="507">
      <c r="I507" s="65"/>
    </row>
    <row r="510">
      <c r="I510" s="65"/>
    </row>
    <row r="513">
      <c r="I513" s="65"/>
    </row>
    <row r="516">
      <c r="I516" s="65"/>
    </row>
    <row r="519">
      <c r="I519" s="65"/>
    </row>
    <row r="522">
      <c r="I522" s="65"/>
    </row>
    <row r="525">
      <c r="I525" s="65"/>
    </row>
    <row r="528">
      <c r="I528" s="65"/>
    </row>
    <row r="531">
      <c r="I531" s="65"/>
    </row>
    <row r="534">
      <c r="I534" s="65"/>
    </row>
    <row r="537">
      <c r="I537" s="65"/>
    </row>
    <row r="540">
      <c r="I540" s="65"/>
    </row>
    <row r="543">
      <c r="I543" s="65"/>
    </row>
    <row r="546">
      <c r="I546" s="65"/>
    </row>
    <row r="549">
      <c r="I549" s="65"/>
    </row>
    <row r="552">
      <c r="I552" s="65"/>
    </row>
    <row r="555">
      <c r="I555" s="65"/>
    </row>
    <row r="558">
      <c r="I558" s="65"/>
    </row>
    <row r="561">
      <c r="I561" s="65"/>
    </row>
    <row r="564">
      <c r="I564" s="65"/>
    </row>
    <row r="567">
      <c r="I567" s="65"/>
    </row>
    <row r="570">
      <c r="I570" s="65"/>
    </row>
    <row r="573">
      <c r="I573" s="65"/>
    </row>
    <row r="576">
      <c r="I576" s="65"/>
    </row>
    <row r="579">
      <c r="I579" s="65"/>
    </row>
    <row r="582">
      <c r="I582" s="65"/>
    </row>
    <row r="585">
      <c r="I585" s="65"/>
    </row>
    <row r="588">
      <c r="I588" s="65"/>
    </row>
    <row r="591">
      <c r="I591" s="65"/>
    </row>
    <row r="594">
      <c r="I594" s="65"/>
    </row>
    <row r="597">
      <c r="I597" s="65"/>
    </row>
    <row r="600">
      <c r="I600" s="65"/>
    </row>
    <row r="603">
      <c r="I603" s="65"/>
    </row>
    <row r="606">
      <c r="I606" s="6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7" t="s">
        <v>55</v>
      </c>
      <c r="I1" s="68">
        <f>countifs(B:B,"&lt;&gt;",F:F,"&lt;&gt;")-1</f>
        <v>0</v>
      </c>
      <c r="K1" s="69" t="s">
        <v>56</v>
      </c>
      <c r="L1" s="69" t="s">
        <v>57</v>
      </c>
      <c r="M1" s="69" t="s">
        <v>13</v>
      </c>
    </row>
    <row r="2">
      <c r="H2" s="67" t="s">
        <v>58</v>
      </c>
      <c r="I2" s="68">
        <f t="array" ref="I2">(COUNTA(UNIQUE(C:C))-1)</f>
        <v>0</v>
      </c>
      <c r="K2" s="69" t="str">
        <f>'Internal Summary'!B40</f>
        <v>250g Dates powder (6x)</v>
      </c>
      <c r="L2" s="68">
        <f t="shared" ref="L2:L13" si="1">sumif(D:D,K2,E:E)</f>
        <v>0</v>
      </c>
      <c r="M2" s="68">
        <f t="shared" ref="M2:M13" si="2">sumif(D:D,K2,F:F)</f>
        <v>0</v>
      </c>
    </row>
    <row r="3">
      <c r="H3" s="67" t="s">
        <v>59</v>
      </c>
      <c r="I3" s="68">
        <f>sum(F:F)</f>
        <v>0</v>
      </c>
      <c r="K3" s="69" t="str">
        <f>'Internal Summary'!B41</f>
        <v>80g Kuli Kuli (12x)</v>
      </c>
      <c r="L3" s="68">
        <f t="shared" si="1"/>
        <v>0</v>
      </c>
      <c r="M3" s="68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68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68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68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7" t="s">
        <v>55</v>
      </c>
      <c r="I1" s="68">
        <f>countifs(B:B,"&lt;&gt;",F:F,"&lt;&gt;")-1</f>
        <v>0</v>
      </c>
      <c r="K1" s="69" t="s">
        <v>56</v>
      </c>
      <c r="L1" s="69" t="s">
        <v>60</v>
      </c>
      <c r="M1" s="69" t="s">
        <v>13</v>
      </c>
    </row>
    <row r="2">
      <c r="H2" s="67" t="s">
        <v>58</v>
      </c>
      <c r="I2" s="68">
        <f t="array" ref="I2">(COUNTA(UNIQUE(C:C))-1)</f>
        <v>0</v>
      </c>
      <c r="K2" s="69" t="str">
        <f>'Internal Summary'!B40</f>
        <v>250g Dates powder (6x)</v>
      </c>
      <c r="L2" s="68">
        <f t="shared" ref="L2:L13" si="1">sumif(D:D,K2,E:E)</f>
        <v>0</v>
      </c>
      <c r="M2" s="71">
        <f t="shared" ref="M2:M13" si="2">sumif(D:D,K2,F:F)</f>
        <v>0</v>
      </c>
    </row>
    <row r="3">
      <c r="H3" s="67" t="s">
        <v>59</v>
      </c>
      <c r="I3" s="68">
        <f>sum(F:F)</f>
        <v>0</v>
      </c>
      <c r="K3" s="69" t="str">
        <f>'Internal Summary'!B41</f>
        <v>80g Kuli Kuli (12x)</v>
      </c>
      <c r="L3" s="68">
        <f t="shared" si="1"/>
        <v>0</v>
      </c>
      <c r="M3" s="71">
        <f t="shared" si="2"/>
        <v>0</v>
      </c>
    </row>
    <row r="4">
      <c r="H4" s="1"/>
      <c r="K4" s="69" t="str">
        <f>'Internal Summary'!B42</f>
        <v/>
      </c>
      <c r="L4" s="68">
        <f t="shared" si="1"/>
        <v>0</v>
      </c>
      <c r="M4" s="71">
        <f t="shared" si="2"/>
        <v>0</v>
      </c>
    </row>
    <row r="5">
      <c r="H5" s="1"/>
      <c r="K5" s="69" t="str">
        <f>'Internal Summary'!B43</f>
        <v/>
      </c>
      <c r="L5" s="68">
        <f t="shared" si="1"/>
        <v>0</v>
      </c>
      <c r="M5" s="71">
        <f t="shared" si="2"/>
        <v>0</v>
      </c>
    </row>
    <row r="6">
      <c r="K6" s="69" t="str">
        <f>'Internal Summary'!B44</f>
        <v/>
      </c>
      <c r="L6" s="68">
        <f t="shared" si="1"/>
        <v>0</v>
      </c>
      <c r="M6" s="71">
        <f t="shared" si="2"/>
        <v>0</v>
      </c>
    </row>
    <row r="7">
      <c r="K7" s="69" t="str">
        <f>'Internal Summary'!B45</f>
        <v/>
      </c>
      <c r="L7" s="68">
        <f t="shared" si="1"/>
        <v>0</v>
      </c>
      <c r="M7" s="71">
        <f t="shared" si="2"/>
        <v>0</v>
      </c>
    </row>
    <row r="8">
      <c r="K8" s="69" t="str">
        <f>'Internal Summary'!B46</f>
        <v/>
      </c>
      <c r="L8" s="68">
        <f t="shared" si="1"/>
        <v>0</v>
      </c>
      <c r="M8" s="71">
        <f t="shared" si="2"/>
        <v>0</v>
      </c>
    </row>
    <row r="9">
      <c r="K9" s="69" t="str">
        <f>'Internal Summary'!B47</f>
        <v/>
      </c>
      <c r="L9" s="68">
        <f t="shared" si="1"/>
        <v>0</v>
      </c>
      <c r="M9" s="71">
        <f t="shared" si="2"/>
        <v>0</v>
      </c>
    </row>
    <row r="10">
      <c r="K10" s="69" t="str">
        <f>'Internal Summary'!B48</f>
        <v/>
      </c>
      <c r="L10" s="68">
        <f t="shared" si="1"/>
        <v>0</v>
      </c>
      <c r="M10" s="71">
        <f t="shared" si="2"/>
        <v>0</v>
      </c>
    </row>
    <row r="11">
      <c r="K11" s="69" t="str">
        <f>'Internal Summary'!B49</f>
        <v/>
      </c>
      <c r="L11" s="68">
        <f t="shared" si="1"/>
        <v>0</v>
      </c>
      <c r="M11" s="71">
        <f t="shared" si="2"/>
        <v>0</v>
      </c>
    </row>
    <row r="12">
      <c r="K12" s="69" t="str">
        <f>'Internal Summary'!B50</f>
        <v/>
      </c>
      <c r="L12" s="68">
        <f t="shared" si="1"/>
        <v>0</v>
      </c>
      <c r="M12" s="71">
        <f t="shared" si="2"/>
        <v>0</v>
      </c>
    </row>
    <row r="13">
      <c r="K13" s="69" t="str">
        <f>'Internal Summary'!B51</f>
        <v/>
      </c>
      <c r="L13" s="68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7" t="s">
        <v>55</v>
      </c>
      <c r="I1" s="68">
        <f>countifs(B:B,"&lt;&gt;",F:F,"&lt;&gt;")-1</f>
        <v>0</v>
      </c>
      <c r="K1" s="69" t="s">
        <v>56</v>
      </c>
      <c r="L1" s="69" t="s">
        <v>57</v>
      </c>
    </row>
    <row r="2">
      <c r="H2" s="67" t="s">
        <v>58</v>
      </c>
      <c r="I2" s="68">
        <f t="array" ref="I2">(COUNTA(UNIQUE(C:C,,0))-1)</f>
        <v>0</v>
      </c>
      <c r="K2" s="69" t="str">
        <f>'Internal Summary'!B40</f>
        <v>250g Dates powder (6x)</v>
      </c>
      <c r="L2" s="68">
        <f t="shared" ref="L2:L13" si="1">sumif(D:D,K2,E:E)</f>
        <v>0</v>
      </c>
    </row>
    <row r="3">
      <c r="H3" s="67" t="s">
        <v>59</v>
      </c>
      <c r="I3" s="68">
        <f>sum(F:F)</f>
        <v>0</v>
      </c>
      <c r="K3" s="69" t="str">
        <f>'Internal Summary'!B41</f>
        <v>80g Kuli Kuli (12x)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6"/>
    <row r="17"/>
    <row r="132" ht="14.25" customHeight="1"/>
    <row r="138">
      <c r="A138" s="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7" t="s">
        <v>55</v>
      </c>
      <c r="I1" s="68">
        <f>countifs(B:B,"&lt;&gt;",F:F,"&lt;&gt;")-1</f>
        <v>0</v>
      </c>
      <c r="K1" s="69" t="s">
        <v>56</v>
      </c>
      <c r="L1" s="69" t="s">
        <v>57</v>
      </c>
    </row>
    <row r="2">
      <c r="H2" s="67" t="s">
        <v>58</v>
      </c>
      <c r="I2" s="68">
        <f t="array" ref="I2">(COUNTA(UNIQUE(C:C,,0))-1)</f>
        <v>0</v>
      </c>
      <c r="K2" s="69" t="str">
        <f>'Internal Summary'!B40</f>
        <v>250g Dates powder (6x)</v>
      </c>
      <c r="L2" s="68">
        <f t="shared" ref="L2:L13" si="1">sumif(D:D,K2,E:E)</f>
        <v>0</v>
      </c>
    </row>
    <row r="3">
      <c r="H3" s="67" t="s">
        <v>59</v>
      </c>
      <c r="I3" s="68">
        <f>sum(F:F)</f>
        <v>0</v>
      </c>
      <c r="K3" s="69" t="str">
        <f>'Internal Summary'!B41</f>
        <v>80g Kuli Kuli (12x)</v>
      </c>
      <c r="L3" s="68">
        <f t="shared" si="1"/>
        <v>0</v>
      </c>
    </row>
    <row r="4">
      <c r="H4" s="1"/>
      <c r="K4" s="69" t="str">
        <f>'Internal Summary'!B42</f>
        <v/>
      </c>
      <c r="L4" s="68">
        <f t="shared" si="1"/>
        <v>0</v>
      </c>
    </row>
    <row r="5">
      <c r="H5" s="1"/>
      <c r="K5" s="69" t="str">
        <f>'Internal Summary'!B43</f>
        <v/>
      </c>
      <c r="L5" s="68">
        <f t="shared" si="1"/>
        <v>0</v>
      </c>
    </row>
    <row r="6">
      <c r="K6" s="69" t="str">
        <f>'Internal Summary'!B44</f>
        <v/>
      </c>
      <c r="L6" s="68">
        <f t="shared" si="1"/>
        <v>0</v>
      </c>
    </row>
    <row r="7">
      <c r="K7" s="69" t="str">
        <f>'Internal Summary'!B45</f>
        <v/>
      </c>
      <c r="L7" s="68">
        <f t="shared" si="1"/>
        <v>0</v>
      </c>
    </row>
    <row r="8">
      <c r="K8" s="69" t="str">
        <f>'Internal Summary'!B46</f>
        <v/>
      </c>
      <c r="L8" s="68">
        <f t="shared" si="1"/>
        <v>0</v>
      </c>
    </row>
    <row r="9">
      <c r="K9" s="69" t="str">
        <f>'Internal Summary'!B47</f>
        <v/>
      </c>
      <c r="L9" s="68">
        <f t="shared" si="1"/>
        <v>0</v>
      </c>
    </row>
    <row r="10">
      <c r="K10" s="69" t="str">
        <f>'Internal Summary'!B48</f>
        <v/>
      </c>
      <c r="L10" s="68">
        <f t="shared" si="1"/>
        <v>0</v>
      </c>
    </row>
    <row r="11">
      <c r="K11" s="69" t="str">
        <f>'Internal Summary'!B49</f>
        <v/>
      </c>
      <c r="L11" s="68">
        <f t="shared" si="1"/>
        <v>0</v>
      </c>
    </row>
    <row r="12">
      <c r="K12" s="69" t="str">
        <f>'Internal Summary'!B50</f>
        <v/>
      </c>
      <c r="L12" s="68">
        <f t="shared" si="1"/>
        <v>0</v>
      </c>
    </row>
    <row r="13">
      <c r="K13" s="69" t="str">
        <f>'Internal Summary'!B51</f>
        <v/>
      </c>
      <c r="L13" s="6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7" t="s">
        <v>61</v>
      </c>
      <c r="C1" s="67" t="s">
        <v>57</v>
      </c>
      <c r="D1" s="67" t="s">
        <v>62</v>
      </c>
      <c r="E1" s="67" t="s">
        <v>63</v>
      </c>
      <c r="F1" s="74"/>
    </row>
    <row r="2">
      <c r="A2" s="75" t="s">
        <v>17</v>
      </c>
      <c r="B2" s="76" t="s">
        <v>55</v>
      </c>
      <c r="C2" s="77"/>
      <c r="D2" s="78"/>
      <c r="E2" s="79">
        <f>'Dala Sales &amp; Deliveries'!I1+'External Delivery Fulfillment'!I1</f>
        <v>18</v>
      </c>
      <c r="F2" s="74"/>
    </row>
    <row r="3">
      <c r="A3" s="80"/>
      <c r="B3" s="76" t="s">
        <v>64</v>
      </c>
      <c r="C3" s="77"/>
      <c r="D3" s="77"/>
      <c r="E3" s="76">
        <f>'Raw Data'!AX3</f>
        <v>17</v>
      </c>
      <c r="F3" s="74"/>
    </row>
    <row r="4">
      <c r="B4" s="81" t="s">
        <v>65</v>
      </c>
      <c r="C4" s="74"/>
      <c r="D4" s="82"/>
      <c r="E4" s="83">
        <f>'Dala Sales &amp; Deliveries'!I3</f>
        <v>247200</v>
      </c>
      <c r="F4" s="74"/>
    </row>
    <row r="5">
      <c r="B5" s="81" t="s">
        <v>66</v>
      </c>
      <c r="C5" s="74"/>
      <c r="D5" s="82"/>
      <c r="E5" s="83">
        <f>'External Delivery Fulfillment'!I3</f>
        <v>0</v>
      </c>
      <c r="F5" s="74"/>
    </row>
    <row r="6">
      <c r="A6" s="84"/>
      <c r="B6" s="85" t="s">
        <v>67</v>
      </c>
      <c r="C6" s="86"/>
      <c r="D6" s="77"/>
      <c r="E6" s="87">
        <f>E4*1.075-E4</f>
        <v>18540</v>
      </c>
      <c r="F6" s="74"/>
    </row>
    <row r="7">
      <c r="A7" s="88"/>
      <c r="B7" s="89" t="s">
        <v>68</v>
      </c>
      <c r="C7" s="90"/>
      <c r="D7" s="90"/>
      <c r="E7" s="91">
        <f>sum(E4:E6)</f>
        <v>265740</v>
      </c>
      <c r="F7" s="74"/>
    </row>
    <row r="8">
      <c r="A8" s="75" t="s">
        <v>69</v>
      </c>
      <c r="B8" s="76" t="s">
        <v>70</v>
      </c>
      <c r="C8" s="77"/>
      <c r="D8" s="92"/>
      <c r="E8" s="93"/>
    </row>
    <row r="9">
      <c r="A9" s="88"/>
      <c r="B9" s="89" t="s">
        <v>71</v>
      </c>
      <c r="C9" s="94">
        <v>0.1</v>
      </c>
      <c r="D9" s="95"/>
      <c r="E9" s="91">
        <f>E8*(C9+100%)-E8</f>
        <v>0</v>
      </c>
      <c r="K9" s="65"/>
      <c r="L9" s="65"/>
      <c r="M9" s="65"/>
    </row>
    <row r="10">
      <c r="A10" s="96" t="s">
        <v>72</v>
      </c>
      <c r="B10" s="89" t="s">
        <v>73</v>
      </c>
      <c r="C10" s="90"/>
      <c r="D10" s="95"/>
      <c r="E10" s="91">
        <f>E7-E8-E9</f>
        <v>265740</v>
      </c>
    </row>
    <row r="11">
      <c r="A11" s="75" t="s">
        <v>74</v>
      </c>
      <c r="B11" s="76" t="s">
        <v>75</v>
      </c>
      <c r="C11" s="97"/>
      <c r="D11" s="98">
        <v>150000.0</v>
      </c>
      <c r="E11" s="98">
        <f>C11*D11</f>
        <v>0</v>
      </c>
    </row>
    <row r="12">
      <c r="A12" s="80"/>
      <c r="B12" s="76" t="s">
        <v>71</v>
      </c>
      <c r="C12" s="99"/>
      <c r="D12" s="92"/>
      <c r="E12" s="98">
        <f>E10*C9</f>
        <v>26574</v>
      </c>
    </row>
    <row r="13">
      <c r="A13" s="80"/>
      <c r="B13" s="85" t="s">
        <v>76</v>
      </c>
      <c r="C13" s="77"/>
      <c r="D13" s="100" t="s">
        <v>77</v>
      </c>
      <c r="E13" s="98">
        <f>C22+C26</f>
        <v>22550</v>
      </c>
    </row>
    <row r="14">
      <c r="A14" s="80"/>
      <c r="B14" s="76" t="s">
        <v>78</v>
      </c>
      <c r="C14" s="92"/>
      <c r="D14" s="92"/>
      <c r="E14" s="101">
        <v>0.0</v>
      </c>
    </row>
    <row r="15">
      <c r="A15" s="80"/>
      <c r="B15" s="76" t="s">
        <v>79</v>
      </c>
      <c r="C15" s="92"/>
      <c r="D15" s="92"/>
      <c r="E15" s="98">
        <f>C30</f>
        <v>0</v>
      </c>
    </row>
    <row r="16">
      <c r="A16" s="88"/>
      <c r="B16" s="89" t="s">
        <v>80</v>
      </c>
      <c r="C16" s="95"/>
      <c r="D16" s="95"/>
      <c r="E16" s="91">
        <f>sum(E11:E15)</f>
        <v>49124</v>
      </c>
      <c r="H16" s="1"/>
      <c r="I16" s="1"/>
    </row>
    <row r="17">
      <c r="A17" s="96" t="s">
        <v>81</v>
      </c>
      <c r="B17" s="89" t="s">
        <v>82</v>
      </c>
      <c r="C17" s="95"/>
      <c r="D17" s="95"/>
      <c r="E17" s="91">
        <f>E10-E16+C36</f>
        <v>216616</v>
      </c>
      <c r="H17" s="1"/>
      <c r="I17" s="87"/>
      <c r="J17" s="102"/>
      <c r="K17" s="102"/>
      <c r="L17" s="102"/>
      <c r="M17" s="102"/>
      <c r="N17" s="102"/>
    </row>
    <row r="18">
      <c r="A18" s="103"/>
      <c r="B18" s="103"/>
      <c r="C18" s="103"/>
      <c r="D18" s="103"/>
      <c r="E18" s="103"/>
      <c r="H18" s="1"/>
      <c r="I18" s="1"/>
      <c r="J18" s="102"/>
      <c r="K18" s="102"/>
      <c r="L18" s="102"/>
      <c r="M18" s="102"/>
      <c r="N18" s="102"/>
    </row>
    <row r="19">
      <c r="A19" s="1"/>
      <c r="B19" s="103"/>
      <c r="C19" s="103"/>
      <c r="D19" s="103"/>
      <c r="E19" s="103"/>
      <c r="H19" s="1"/>
      <c r="I19" s="1"/>
      <c r="J19" s="102"/>
      <c r="K19" s="102"/>
      <c r="L19" s="102"/>
      <c r="M19" s="102"/>
      <c r="N19" s="102"/>
    </row>
    <row r="20">
      <c r="A20" s="1" t="s">
        <v>83</v>
      </c>
      <c r="B20" s="103"/>
      <c r="C20" s="103"/>
      <c r="D20" s="103"/>
      <c r="E20" s="103"/>
      <c r="H20" s="1"/>
      <c r="I20" s="1"/>
      <c r="J20" s="102"/>
      <c r="K20" s="102"/>
      <c r="L20" s="102"/>
      <c r="M20" s="102"/>
      <c r="N20" s="102"/>
    </row>
    <row r="21">
      <c r="A21" s="103"/>
      <c r="B21" s="67" t="s">
        <v>84</v>
      </c>
      <c r="C21" s="104">
        <f>U69</f>
        <v>0</v>
      </c>
      <c r="H21" s="1"/>
      <c r="I21" s="1"/>
      <c r="J21" s="105"/>
      <c r="K21" s="105"/>
      <c r="L21" s="106"/>
      <c r="M21" s="102"/>
      <c r="N21" s="102"/>
    </row>
    <row r="22">
      <c r="A22" s="103"/>
      <c r="B22" s="67" t="s">
        <v>85</v>
      </c>
      <c r="C22" s="104">
        <f>V69</f>
        <v>0</v>
      </c>
      <c r="H22" s="1"/>
      <c r="I22" s="1"/>
      <c r="J22" s="105"/>
      <c r="K22" s="105"/>
      <c r="L22" s="106"/>
      <c r="M22" s="102"/>
      <c r="N22" s="102"/>
    </row>
    <row r="23">
      <c r="A23" s="103"/>
      <c r="B23" s="67" t="s">
        <v>86</v>
      </c>
      <c r="C23" s="104">
        <f>S69</f>
        <v>0</v>
      </c>
      <c r="H23" s="1"/>
      <c r="I23" s="1"/>
      <c r="J23" s="105"/>
      <c r="K23" s="105"/>
      <c r="L23" s="106"/>
      <c r="M23" s="102"/>
      <c r="N23" s="102"/>
    </row>
    <row r="24">
      <c r="A24" s="103"/>
      <c r="B24" s="67" t="s">
        <v>87</v>
      </c>
      <c r="C24" s="104">
        <f>T69</f>
        <v>0</v>
      </c>
      <c r="H24" s="1"/>
      <c r="I24" s="87"/>
      <c r="J24" s="105"/>
      <c r="K24" s="105"/>
      <c r="L24" s="106"/>
      <c r="M24" s="102"/>
      <c r="N24" s="102"/>
    </row>
    <row r="25">
      <c r="A25" s="103"/>
      <c r="B25" s="67" t="s">
        <v>88</v>
      </c>
      <c r="C25" s="104">
        <f>67</f>
        <v>67</v>
      </c>
      <c r="H25" s="1"/>
      <c r="I25" s="1"/>
    </row>
    <row r="26">
      <c r="A26" s="103"/>
      <c r="B26" s="67" t="s">
        <v>89</v>
      </c>
      <c r="C26" s="107">
        <f>P69</f>
        <v>22550</v>
      </c>
      <c r="H26" s="1"/>
      <c r="I26" s="1"/>
    </row>
    <row r="27">
      <c r="A27" s="103"/>
      <c r="B27" s="67" t="s">
        <v>90</v>
      </c>
      <c r="C27" s="68">
        <f>Q69</f>
        <v>0</v>
      </c>
      <c r="H27" s="1"/>
      <c r="I27" s="1"/>
    </row>
    <row r="28">
      <c r="A28" s="103"/>
      <c r="B28" s="67" t="s">
        <v>91</v>
      </c>
      <c r="C28" s="68">
        <f>R69</f>
        <v>0</v>
      </c>
      <c r="H28" s="1"/>
      <c r="I28" s="1"/>
    </row>
    <row r="29">
      <c r="A29" s="103"/>
      <c r="B29" s="67" t="s">
        <v>92</v>
      </c>
      <c r="C29" s="104">
        <f>F69</f>
        <v>0</v>
      </c>
      <c r="D29" s="103"/>
      <c r="H29" s="1"/>
      <c r="I29" s="1"/>
    </row>
    <row r="30">
      <c r="A30" s="103"/>
      <c r="B30" s="67" t="s">
        <v>93</v>
      </c>
      <c r="C30" s="104">
        <f>G69</f>
        <v>0</v>
      </c>
      <c r="D30" s="103"/>
      <c r="H30" s="1"/>
      <c r="I30" s="1"/>
    </row>
    <row r="31">
      <c r="A31" s="103"/>
      <c r="B31" s="67" t="s">
        <v>94</v>
      </c>
      <c r="C31" s="104">
        <f>I69</f>
        <v>1</v>
      </c>
      <c r="D31" s="103"/>
      <c r="H31" s="1"/>
      <c r="I31" s="1"/>
    </row>
    <row r="32">
      <c r="A32" s="103"/>
      <c r="B32" s="67" t="s">
        <v>95</v>
      </c>
      <c r="C32" s="104">
        <f>J69</f>
        <v>0</v>
      </c>
      <c r="D32" s="103"/>
      <c r="H32" s="1"/>
      <c r="I32" s="1"/>
    </row>
    <row r="33">
      <c r="B33" s="67" t="s">
        <v>96</v>
      </c>
      <c r="C33" s="104">
        <v>0.0</v>
      </c>
    </row>
    <row r="34">
      <c r="B34" s="67" t="s">
        <v>97</v>
      </c>
      <c r="C34" s="68">
        <f>K69</f>
        <v>49</v>
      </c>
    </row>
    <row r="35">
      <c r="B35" s="67" t="s">
        <v>98</v>
      </c>
      <c r="C35" s="104">
        <v>0.0</v>
      </c>
    </row>
    <row r="36">
      <c r="B36" s="67" t="s">
        <v>99</v>
      </c>
      <c r="C36" s="10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7" t="s">
        <v>100</v>
      </c>
      <c r="C39" s="67" t="s">
        <v>101</v>
      </c>
      <c r="D39" s="67" t="s">
        <v>102</v>
      </c>
      <c r="E39" s="67" t="s">
        <v>103</v>
      </c>
      <c r="F39" s="69" t="s">
        <v>104</v>
      </c>
      <c r="G39" s="69" t="s">
        <v>105</v>
      </c>
      <c r="H39" s="69" t="s">
        <v>106</v>
      </c>
      <c r="I39" s="69" t="s">
        <v>107</v>
      </c>
      <c r="J39" s="69" t="s">
        <v>108</v>
      </c>
      <c r="K39" s="69" t="s">
        <v>109</v>
      </c>
      <c r="L39" s="69" t="s">
        <v>96</v>
      </c>
      <c r="M39" s="69" t="s">
        <v>98</v>
      </c>
      <c r="N39" s="69" t="s">
        <v>110</v>
      </c>
      <c r="O39" s="69" t="s">
        <v>111</v>
      </c>
      <c r="P39" s="69" t="s">
        <v>112</v>
      </c>
      <c r="Q39" s="69" t="s">
        <v>113</v>
      </c>
      <c r="R39" s="69" t="s">
        <v>114</v>
      </c>
      <c r="S39" s="69" t="s">
        <v>115</v>
      </c>
      <c r="T39" s="69" t="s">
        <v>87</v>
      </c>
      <c r="U39" s="69" t="s">
        <v>116</v>
      </c>
      <c r="V39" s="69" t="s">
        <v>117</v>
      </c>
      <c r="W39" s="69" t="s">
        <v>118</v>
      </c>
    </row>
    <row r="40">
      <c r="B40" s="108" t="s">
        <v>15</v>
      </c>
      <c r="C40" s="109">
        <v>24000.0</v>
      </c>
      <c r="D40" s="108">
        <v>600.0</v>
      </c>
      <c r="E40" s="109">
        <v>1150.0</v>
      </c>
      <c r="F40" s="108"/>
      <c r="G40" s="71">
        <f t="shared" ref="G40:G68" si="1">F40*C40</f>
        <v>0</v>
      </c>
      <c r="H40" s="108">
        <v>8.0</v>
      </c>
      <c r="I40" s="108">
        <v>0.2</v>
      </c>
      <c r="J40" s="108"/>
      <c r="K40" s="108">
        <v>31.0</v>
      </c>
      <c r="L40" s="107">
        <f t="shared" ref="L40:L68" si="2">H40+U40+W40-O40-Q40-I40-J40</f>
        <v>-9.2</v>
      </c>
      <c r="M40" s="68">
        <f t="shared" ref="M40:M68" si="3">K40-L40</f>
        <v>40.2</v>
      </c>
      <c r="N40" s="71">
        <f t="shared" ref="N40:N68" si="4">M40*C40</f>
        <v>964800</v>
      </c>
      <c r="O40" s="68">
        <f>'Dala Sales &amp; Deliveries'!L2</f>
        <v>17</v>
      </c>
      <c r="P40" s="71">
        <f t="shared" ref="P40:P68" si="5">O40*E40</f>
        <v>19550</v>
      </c>
      <c r="Q40" s="68">
        <f>'External Delivery Fulfillment'!L2</f>
        <v>0</v>
      </c>
      <c r="R40" s="71">
        <f t="shared" ref="R40:R68" si="6">Q40*E40</f>
        <v>0</v>
      </c>
      <c r="S40" s="68">
        <f>'Forwarding From Client'!L2</f>
        <v>0</v>
      </c>
      <c r="T40" s="71">
        <f t="shared" ref="T40:T68" si="7">S40*E40</f>
        <v>0</v>
      </c>
      <c r="U40" s="68">
        <f>'Dala Restocking'!L2</f>
        <v>0</v>
      </c>
      <c r="V40" s="71">
        <f t="shared" ref="V40:V68" si="8">U40*D40</f>
        <v>0</v>
      </c>
      <c r="W40" s="68">
        <f>'Client Restocking'!L2</f>
        <v>0</v>
      </c>
    </row>
    <row r="41">
      <c r="B41" s="108" t="s">
        <v>19</v>
      </c>
      <c r="C41" s="109">
        <v>7200.0</v>
      </c>
      <c r="D41" s="108">
        <v>250.0</v>
      </c>
      <c r="E41" s="109">
        <v>500.0</v>
      </c>
      <c r="F41" s="110"/>
      <c r="G41" s="71">
        <f t="shared" si="1"/>
        <v>0</v>
      </c>
      <c r="H41" s="108">
        <v>8.0</v>
      </c>
      <c r="I41" s="108">
        <v>0.2</v>
      </c>
      <c r="J41" s="110"/>
      <c r="K41" s="108">
        <v>18.0</v>
      </c>
      <c r="L41" s="107">
        <f t="shared" si="2"/>
        <v>1.8</v>
      </c>
      <c r="M41" s="68">
        <f t="shared" si="3"/>
        <v>16.2</v>
      </c>
      <c r="N41" s="71">
        <f t="shared" si="4"/>
        <v>116640</v>
      </c>
      <c r="O41" s="68">
        <f>'Dala Sales &amp; Deliveries'!L3</f>
        <v>6</v>
      </c>
      <c r="P41" s="71">
        <f t="shared" si="5"/>
        <v>3000</v>
      </c>
      <c r="Q41" s="68">
        <f>'External Delivery Fulfillment'!L3</f>
        <v>0</v>
      </c>
      <c r="R41" s="71">
        <f t="shared" si="6"/>
        <v>0</v>
      </c>
      <c r="S41" s="68">
        <f>'Forwarding From Client'!L3</f>
        <v>0</v>
      </c>
      <c r="T41" s="71">
        <f t="shared" si="7"/>
        <v>0</v>
      </c>
      <c r="U41" s="68">
        <f>'Dala Restocking'!L3</f>
        <v>0</v>
      </c>
      <c r="V41" s="71">
        <f t="shared" si="8"/>
        <v>0</v>
      </c>
      <c r="W41" s="68">
        <f>'Client Restocking'!L3</f>
        <v>0</v>
      </c>
    </row>
    <row r="42">
      <c r="B42" s="108"/>
      <c r="C42" s="109"/>
      <c r="D42" s="108"/>
      <c r="E42" s="109"/>
      <c r="F42" s="110"/>
      <c r="G42" s="71">
        <f t="shared" si="1"/>
        <v>0</v>
      </c>
      <c r="H42" s="108">
        <v>8.0</v>
      </c>
      <c r="I42" s="108">
        <v>0.2</v>
      </c>
      <c r="J42" s="110"/>
      <c r="K42" s="108"/>
      <c r="L42" s="107">
        <f t="shared" si="2"/>
        <v>7.8</v>
      </c>
      <c r="M42" s="68">
        <f t="shared" si="3"/>
        <v>-7.8</v>
      </c>
      <c r="N42" s="71">
        <f t="shared" si="4"/>
        <v>0</v>
      </c>
      <c r="O42" s="68">
        <f>'Dala Sales &amp; Deliveries'!L4</f>
        <v>0</v>
      </c>
      <c r="P42" s="71">
        <f t="shared" si="5"/>
        <v>0</v>
      </c>
      <c r="Q42" s="68">
        <f>'External Delivery Fulfillment'!L4</f>
        <v>0</v>
      </c>
      <c r="R42" s="71">
        <f t="shared" si="6"/>
        <v>0</v>
      </c>
      <c r="S42" s="68">
        <f>'Forwarding From Client'!L4</f>
        <v>0</v>
      </c>
      <c r="T42" s="71">
        <f t="shared" si="7"/>
        <v>0</v>
      </c>
      <c r="U42" s="68">
        <f>'Dala Restocking'!L4</f>
        <v>0</v>
      </c>
      <c r="V42" s="71">
        <f t="shared" si="8"/>
        <v>0</v>
      </c>
      <c r="W42" s="68">
        <f>'Client Restocking'!L4</f>
        <v>0</v>
      </c>
    </row>
    <row r="43">
      <c r="B43" s="108"/>
      <c r="C43" s="109"/>
      <c r="D43" s="108"/>
      <c r="E43" s="109"/>
      <c r="F43" s="110"/>
      <c r="G43" s="71">
        <f t="shared" si="1"/>
        <v>0</v>
      </c>
      <c r="H43" s="108">
        <v>8.0</v>
      </c>
      <c r="I43" s="108">
        <v>0.2</v>
      </c>
      <c r="J43" s="110"/>
      <c r="K43" s="110"/>
      <c r="L43" s="107">
        <f t="shared" si="2"/>
        <v>7.8</v>
      </c>
      <c r="M43" s="68">
        <f t="shared" si="3"/>
        <v>-7.8</v>
      </c>
      <c r="N43" s="71">
        <f t="shared" si="4"/>
        <v>0</v>
      </c>
      <c r="O43" s="68">
        <f>'Dala Sales &amp; Deliveries'!L5</f>
        <v>0</v>
      </c>
      <c r="P43" s="71">
        <f t="shared" si="5"/>
        <v>0</v>
      </c>
      <c r="Q43" s="68">
        <f>'External Delivery Fulfillment'!L5</f>
        <v>0</v>
      </c>
      <c r="R43" s="71">
        <f t="shared" si="6"/>
        <v>0</v>
      </c>
      <c r="S43" s="68">
        <f>'Forwarding From Client'!L5</f>
        <v>0</v>
      </c>
      <c r="T43" s="71">
        <f t="shared" si="7"/>
        <v>0</v>
      </c>
      <c r="U43" s="68">
        <f>'Dala Restocking'!L5</f>
        <v>0</v>
      </c>
      <c r="V43" s="71">
        <f t="shared" si="8"/>
        <v>0</v>
      </c>
      <c r="W43" s="68">
        <f>'Client Restocking'!L5</f>
        <v>0</v>
      </c>
    </row>
    <row r="44">
      <c r="B44" s="108"/>
      <c r="C44" s="109"/>
      <c r="D44" s="108"/>
      <c r="E44" s="109"/>
      <c r="F44" s="110"/>
      <c r="G44" s="71">
        <f t="shared" si="1"/>
        <v>0</v>
      </c>
      <c r="H44" s="108">
        <v>8.0</v>
      </c>
      <c r="I44" s="108">
        <v>0.2</v>
      </c>
      <c r="J44" s="110"/>
      <c r="K44" s="110"/>
      <c r="L44" s="107">
        <f t="shared" si="2"/>
        <v>7.8</v>
      </c>
      <c r="M44" s="68">
        <f t="shared" si="3"/>
        <v>-7.8</v>
      </c>
      <c r="N44" s="71">
        <f t="shared" si="4"/>
        <v>0</v>
      </c>
      <c r="O44" s="68">
        <f>'Dala Sales &amp; Deliveries'!L6</f>
        <v>0</v>
      </c>
      <c r="P44" s="71">
        <f t="shared" si="5"/>
        <v>0</v>
      </c>
      <c r="Q44" s="68">
        <f>'External Delivery Fulfillment'!L6</f>
        <v>0</v>
      </c>
      <c r="R44" s="71">
        <f t="shared" si="6"/>
        <v>0</v>
      </c>
      <c r="S44" s="68">
        <f>'Forwarding From Client'!L6</f>
        <v>0</v>
      </c>
      <c r="T44" s="71">
        <f t="shared" si="7"/>
        <v>0</v>
      </c>
      <c r="U44" s="68">
        <f>'Dala Restocking'!L6</f>
        <v>0</v>
      </c>
      <c r="V44" s="71">
        <f t="shared" si="8"/>
        <v>0</v>
      </c>
      <c r="W44" s="68">
        <f>'Client Restocking'!L6</f>
        <v>0</v>
      </c>
    </row>
    <row r="45">
      <c r="B45" s="108"/>
      <c r="C45" s="109"/>
      <c r="D45" s="108"/>
      <c r="E45" s="109"/>
      <c r="F45" s="110"/>
      <c r="G45" s="71">
        <f t="shared" si="1"/>
        <v>0</v>
      </c>
      <c r="H45" s="110"/>
      <c r="I45" s="110"/>
      <c r="J45" s="110"/>
      <c r="K45" s="110"/>
      <c r="L45" s="107">
        <f t="shared" si="2"/>
        <v>0</v>
      </c>
      <c r="M45" s="68">
        <f t="shared" si="3"/>
        <v>0</v>
      </c>
      <c r="N45" s="71">
        <f t="shared" si="4"/>
        <v>0</v>
      </c>
      <c r="O45" s="68">
        <f>'Dala Sales &amp; Deliveries'!L7</f>
        <v>0</v>
      </c>
      <c r="P45" s="71">
        <f t="shared" si="5"/>
        <v>0</v>
      </c>
      <c r="Q45" s="68">
        <f>'External Delivery Fulfillment'!L7</f>
        <v>0</v>
      </c>
      <c r="R45" s="71">
        <f t="shared" si="6"/>
        <v>0</v>
      </c>
      <c r="S45" s="68">
        <f>'Forwarding From Client'!L7</f>
        <v>0</v>
      </c>
      <c r="T45" s="71">
        <f t="shared" si="7"/>
        <v>0</v>
      </c>
      <c r="U45" s="68">
        <f>'Dala Restocking'!L7</f>
        <v>0</v>
      </c>
      <c r="V45" s="71">
        <f t="shared" si="8"/>
        <v>0</v>
      </c>
      <c r="W45" s="68">
        <f>'Client Restocking'!L7</f>
        <v>0</v>
      </c>
    </row>
    <row r="46">
      <c r="B46" s="108"/>
      <c r="C46" s="109"/>
      <c r="D46" s="108"/>
      <c r="E46" s="109"/>
      <c r="F46" s="110"/>
      <c r="G46" s="71">
        <f t="shared" si="1"/>
        <v>0</v>
      </c>
      <c r="H46" s="110"/>
      <c r="I46" s="110"/>
      <c r="J46" s="110"/>
      <c r="K46" s="110"/>
      <c r="L46" s="107">
        <f t="shared" si="2"/>
        <v>0</v>
      </c>
      <c r="M46" s="68">
        <f t="shared" si="3"/>
        <v>0</v>
      </c>
      <c r="N46" s="71">
        <f t="shared" si="4"/>
        <v>0</v>
      </c>
      <c r="O46" s="68">
        <f>'Dala Sales &amp; Deliveries'!L8</f>
        <v>0</v>
      </c>
      <c r="P46" s="71">
        <f t="shared" si="5"/>
        <v>0</v>
      </c>
      <c r="Q46" s="68">
        <f>'External Delivery Fulfillment'!L8</f>
        <v>0</v>
      </c>
      <c r="R46" s="71">
        <f t="shared" si="6"/>
        <v>0</v>
      </c>
      <c r="S46" s="68">
        <f>'Forwarding From Client'!L8</f>
        <v>0</v>
      </c>
      <c r="T46" s="71">
        <f t="shared" si="7"/>
        <v>0</v>
      </c>
      <c r="U46" s="68">
        <f>'Dala Restocking'!L8</f>
        <v>0</v>
      </c>
      <c r="V46" s="71">
        <f t="shared" si="8"/>
        <v>0</v>
      </c>
      <c r="W46" s="68">
        <f>'Client Restocking'!L8</f>
        <v>0</v>
      </c>
    </row>
    <row r="47">
      <c r="B47" s="108"/>
      <c r="C47" s="109"/>
      <c r="D47" s="108"/>
      <c r="E47" s="109"/>
      <c r="F47" s="110"/>
      <c r="G47" s="71">
        <f t="shared" si="1"/>
        <v>0</v>
      </c>
      <c r="H47" s="110"/>
      <c r="I47" s="110"/>
      <c r="J47" s="110"/>
      <c r="K47" s="110"/>
      <c r="L47" s="107">
        <f t="shared" si="2"/>
        <v>0</v>
      </c>
      <c r="M47" s="68">
        <f t="shared" si="3"/>
        <v>0</v>
      </c>
      <c r="N47" s="71">
        <f t="shared" si="4"/>
        <v>0</v>
      </c>
      <c r="O47" s="68">
        <f>'Dala Sales &amp; Deliveries'!L9</f>
        <v>0</v>
      </c>
      <c r="P47" s="71">
        <f t="shared" si="5"/>
        <v>0</v>
      </c>
      <c r="Q47" s="68">
        <f>'External Delivery Fulfillment'!L9</f>
        <v>0</v>
      </c>
      <c r="R47" s="71">
        <f t="shared" si="6"/>
        <v>0</v>
      </c>
      <c r="S47" s="68">
        <f>'Forwarding From Client'!L9</f>
        <v>0</v>
      </c>
      <c r="T47" s="71">
        <f t="shared" si="7"/>
        <v>0</v>
      </c>
      <c r="U47" s="68">
        <f>'Dala Restocking'!L9</f>
        <v>0</v>
      </c>
      <c r="V47" s="71">
        <f t="shared" si="8"/>
        <v>0</v>
      </c>
      <c r="W47" s="68">
        <f>'Client Restocking'!L9</f>
        <v>0</v>
      </c>
    </row>
    <row r="48">
      <c r="B48" s="108"/>
      <c r="C48" s="109"/>
      <c r="D48" s="108"/>
      <c r="E48" s="109"/>
      <c r="F48" s="110"/>
      <c r="G48" s="71">
        <f t="shared" si="1"/>
        <v>0</v>
      </c>
      <c r="H48" s="110"/>
      <c r="I48" s="110"/>
      <c r="J48" s="110"/>
      <c r="K48" s="110"/>
      <c r="L48" s="107">
        <f t="shared" si="2"/>
        <v>0</v>
      </c>
      <c r="M48" s="68">
        <f t="shared" si="3"/>
        <v>0</v>
      </c>
      <c r="N48" s="71">
        <f t="shared" si="4"/>
        <v>0</v>
      </c>
      <c r="O48" s="68">
        <f>'Dala Sales &amp; Deliveries'!L10</f>
        <v>0</v>
      </c>
      <c r="P48" s="71">
        <f t="shared" si="5"/>
        <v>0</v>
      </c>
      <c r="Q48" s="68">
        <f>'External Delivery Fulfillment'!L10</f>
        <v>0</v>
      </c>
      <c r="R48" s="71">
        <f t="shared" si="6"/>
        <v>0</v>
      </c>
      <c r="S48" s="68">
        <f>'Forwarding From Client'!L10</f>
        <v>0</v>
      </c>
      <c r="T48" s="71">
        <f t="shared" si="7"/>
        <v>0</v>
      </c>
      <c r="U48" s="68">
        <f>'Dala Restocking'!L10</f>
        <v>0</v>
      </c>
      <c r="V48" s="71">
        <f t="shared" si="8"/>
        <v>0</v>
      </c>
      <c r="W48" s="68">
        <f>'Client Restocking'!L10</f>
        <v>0</v>
      </c>
    </row>
    <row r="49">
      <c r="B49" s="108"/>
      <c r="C49" s="109"/>
      <c r="D49" s="108"/>
      <c r="E49" s="109"/>
      <c r="F49" s="110"/>
      <c r="G49" s="71">
        <f t="shared" si="1"/>
        <v>0</v>
      </c>
      <c r="H49" s="110"/>
      <c r="I49" s="110"/>
      <c r="J49" s="110"/>
      <c r="K49" s="110"/>
      <c r="L49" s="107">
        <f t="shared" si="2"/>
        <v>0</v>
      </c>
      <c r="M49" s="68">
        <f t="shared" si="3"/>
        <v>0</v>
      </c>
      <c r="N49" s="71">
        <f t="shared" si="4"/>
        <v>0</v>
      </c>
      <c r="O49" s="68">
        <f>'Dala Sales &amp; Deliveries'!L11</f>
        <v>0</v>
      </c>
      <c r="P49" s="71">
        <f t="shared" si="5"/>
        <v>0</v>
      </c>
      <c r="Q49" s="68">
        <f>'External Delivery Fulfillment'!L11</f>
        <v>0</v>
      </c>
      <c r="R49" s="71">
        <f t="shared" si="6"/>
        <v>0</v>
      </c>
      <c r="S49" s="68">
        <f>'Forwarding From Client'!L11</f>
        <v>0</v>
      </c>
      <c r="T49" s="71">
        <f t="shared" si="7"/>
        <v>0</v>
      </c>
      <c r="U49" s="68">
        <f>'Dala Restocking'!L11</f>
        <v>0</v>
      </c>
      <c r="V49" s="71">
        <f t="shared" si="8"/>
        <v>0</v>
      </c>
      <c r="W49" s="68">
        <f>'Client Restocking'!L11</f>
        <v>0</v>
      </c>
    </row>
    <row r="50">
      <c r="B50" s="108"/>
      <c r="C50" s="109"/>
      <c r="D50" s="108"/>
      <c r="E50" s="109"/>
      <c r="F50" s="110"/>
      <c r="G50" s="71">
        <f t="shared" si="1"/>
        <v>0</v>
      </c>
      <c r="H50" s="110"/>
      <c r="I50" s="110"/>
      <c r="J50" s="110"/>
      <c r="K50" s="110"/>
      <c r="L50" s="107">
        <f t="shared" si="2"/>
        <v>0</v>
      </c>
      <c r="M50" s="68">
        <f t="shared" si="3"/>
        <v>0</v>
      </c>
      <c r="N50" s="71">
        <f t="shared" si="4"/>
        <v>0</v>
      </c>
      <c r="O50" s="68">
        <f>'Dala Sales &amp; Deliveries'!L12</f>
        <v>0</v>
      </c>
      <c r="P50" s="71">
        <f t="shared" si="5"/>
        <v>0</v>
      </c>
      <c r="Q50" s="68">
        <f>'External Delivery Fulfillment'!L12</f>
        <v>0</v>
      </c>
      <c r="R50" s="71">
        <f t="shared" si="6"/>
        <v>0</v>
      </c>
      <c r="S50" s="68">
        <f>'Forwarding From Client'!L12</f>
        <v>0</v>
      </c>
      <c r="T50" s="71">
        <f t="shared" si="7"/>
        <v>0</v>
      </c>
      <c r="U50" s="68">
        <f>'Dala Restocking'!L12</f>
        <v>0</v>
      </c>
      <c r="V50" s="71">
        <f t="shared" si="8"/>
        <v>0</v>
      </c>
      <c r="W50" s="68">
        <f>'Client Restocking'!L12</f>
        <v>0</v>
      </c>
    </row>
    <row r="51">
      <c r="B51" s="108"/>
      <c r="C51" s="109"/>
      <c r="D51" s="108"/>
      <c r="E51" s="109"/>
      <c r="F51" s="110"/>
      <c r="G51" s="71">
        <f t="shared" si="1"/>
        <v>0</v>
      </c>
      <c r="H51" s="110"/>
      <c r="I51" s="110"/>
      <c r="J51" s="110"/>
      <c r="K51" s="110"/>
      <c r="L51" s="107">
        <f t="shared" si="2"/>
        <v>0</v>
      </c>
      <c r="M51" s="68">
        <f t="shared" si="3"/>
        <v>0</v>
      </c>
      <c r="N51" s="71">
        <f t="shared" si="4"/>
        <v>0</v>
      </c>
      <c r="O51" s="68">
        <f>'Dala Sales &amp; Deliveries'!L13</f>
        <v>0</v>
      </c>
      <c r="P51" s="71">
        <f t="shared" si="5"/>
        <v>0</v>
      </c>
      <c r="Q51" s="68">
        <f>'External Delivery Fulfillment'!L13</f>
        <v>0</v>
      </c>
      <c r="R51" s="71">
        <f t="shared" si="6"/>
        <v>0</v>
      </c>
      <c r="S51" s="68">
        <f>'Forwarding From Client'!L13</f>
        <v>0</v>
      </c>
      <c r="T51" s="71">
        <f t="shared" si="7"/>
        <v>0</v>
      </c>
      <c r="U51" s="68">
        <f>'Dala Restocking'!L13</f>
        <v>0</v>
      </c>
      <c r="V51" s="71">
        <f t="shared" si="8"/>
        <v>0</v>
      </c>
      <c r="W51" s="68">
        <f>'Client Restocking'!L13</f>
        <v>0</v>
      </c>
    </row>
    <row r="52">
      <c r="B52" s="110"/>
      <c r="C52" s="110"/>
      <c r="D52" s="110"/>
      <c r="E52" s="110"/>
      <c r="F52" s="110"/>
      <c r="G52" s="71">
        <f t="shared" si="1"/>
        <v>0</v>
      </c>
      <c r="H52" s="110"/>
      <c r="I52" s="110"/>
      <c r="J52" s="110"/>
      <c r="K52" s="110"/>
      <c r="L52" s="69">
        <f t="shared" si="2"/>
        <v>0</v>
      </c>
      <c r="M52" s="71">
        <f t="shared" si="3"/>
        <v>0</v>
      </c>
      <c r="N52" s="71">
        <f t="shared" si="4"/>
        <v>0</v>
      </c>
      <c r="O52" s="71" t="str">
        <f>'Dala Sales &amp; Deliveries'!L14</f>
        <v/>
      </c>
      <c r="P52" s="71">
        <f t="shared" si="5"/>
        <v>0</v>
      </c>
      <c r="Q52" s="71" t="str">
        <f>'External Delivery Fulfillment'!L14</f>
        <v/>
      </c>
      <c r="R52" s="71">
        <f t="shared" si="6"/>
        <v>0</v>
      </c>
      <c r="S52" s="71" t="str">
        <f>'Forwarding From Client'!L14</f>
        <v/>
      </c>
      <c r="T52" s="71">
        <f t="shared" si="7"/>
        <v>0</v>
      </c>
      <c r="U52" s="71" t="str">
        <f>'Dala Restocking'!L14</f>
        <v/>
      </c>
      <c r="V52" s="71">
        <f t="shared" si="8"/>
        <v>0</v>
      </c>
      <c r="W52" s="71" t="str">
        <f>'Client Restocking'!L14</f>
        <v/>
      </c>
    </row>
    <row r="53">
      <c r="B53" s="110"/>
      <c r="C53" s="110"/>
      <c r="D53" s="110"/>
      <c r="E53" s="110"/>
      <c r="F53" s="110"/>
      <c r="G53" s="71">
        <f t="shared" si="1"/>
        <v>0</v>
      </c>
      <c r="H53" s="110"/>
      <c r="I53" s="110"/>
      <c r="J53" s="110"/>
      <c r="K53" s="110"/>
      <c r="L53" s="69">
        <f t="shared" si="2"/>
        <v>0</v>
      </c>
      <c r="M53" s="71">
        <f t="shared" si="3"/>
        <v>0</v>
      </c>
      <c r="N53" s="71">
        <f t="shared" si="4"/>
        <v>0</v>
      </c>
      <c r="O53" s="71" t="str">
        <f>'Dala Sales &amp; Deliveries'!L15</f>
        <v/>
      </c>
      <c r="P53" s="71">
        <f t="shared" si="5"/>
        <v>0</v>
      </c>
      <c r="Q53" s="71" t="str">
        <f>'External Delivery Fulfillment'!L15</f>
        <v/>
      </c>
      <c r="R53" s="71">
        <f t="shared" si="6"/>
        <v>0</v>
      </c>
      <c r="S53" s="71" t="str">
        <f>'Forwarding From Client'!L15</f>
        <v/>
      </c>
      <c r="T53" s="71">
        <f t="shared" si="7"/>
        <v>0</v>
      </c>
      <c r="U53" s="71" t="str">
        <f>'Dala Restocking'!L15</f>
        <v/>
      </c>
      <c r="V53" s="71">
        <f t="shared" si="8"/>
        <v>0</v>
      </c>
      <c r="W53" s="71" t="str">
        <f>'Client Restocking'!L15</f>
        <v/>
      </c>
    </row>
    <row r="54">
      <c r="B54" s="110"/>
      <c r="C54" s="110"/>
      <c r="D54" s="110"/>
      <c r="E54" s="110"/>
      <c r="F54" s="110"/>
      <c r="G54" s="71">
        <f t="shared" si="1"/>
        <v>0</v>
      </c>
      <c r="H54" s="110"/>
      <c r="I54" s="110"/>
      <c r="J54" s="110"/>
      <c r="K54" s="110"/>
      <c r="L54" s="69">
        <f t="shared" si="2"/>
        <v>0</v>
      </c>
      <c r="M54" s="71">
        <f t="shared" si="3"/>
        <v>0</v>
      </c>
      <c r="N54" s="71">
        <f t="shared" si="4"/>
        <v>0</v>
      </c>
      <c r="O54" s="71" t="str">
        <f>'Dala Sales &amp; Deliveries'!L16</f>
        <v/>
      </c>
      <c r="P54" s="71">
        <f t="shared" si="5"/>
        <v>0</v>
      </c>
      <c r="Q54" s="71" t="str">
        <f>'External Delivery Fulfillment'!L16</f>
        <v/>
      </c>
      <c r="R54" s="71">
        <f t="shared" si="6"/>
        <v>0</v>
      </c>
      <c r="S54" s="71" t="str">
        <f>'Forwarding From Client'!L16</f>
        <v/>
      </c>
      <c r="T54" s="71">
        <f t="shared" si="7"/>
        <v>0</v>
      </c>
      <c r="U54" s="71" t="str">
        <f>'Dala Restocking'!L16</f>
        <v/>
      </c>
      <c r="V54" s="71">
        <f t="shared" si="8"/>
        <v>0</v>
      </c>
      <c r="W54" s="71" t="str">
        <f>'Client Restocking'!L16</f>
        <v/>
      </c>
    </row>
    <row r="55">
      <c r="B55" s="110"/>
      <c r="C55" s="110"/>
      <c r="D55" s="110"/>
      <c r="E55" s="110"/>
      <c r="F55" s="110"/>
      <c r="G55" s="71">
        <f t="shared" si="1"/>
        <v>0</v>
      </c>
      <c r="H55" s="110"/>
      <c r="I55" s="110"/>
      <c r="J55" s="110"/>
      <c r="K55" s="110"/>
      <c r="L55" s="69">
        <f t="shared" si="2"/>
        <v>0</v>
      </c>
      <c r="M55" s="71">
        <f t="shared" si="3"/>
        <v>0</v>
      </c>
      <c r="N55" s="71">
        <f t="shared" si="4"/>
        <v>0</v>
      </c>
      <c r="O55" s="71" t="str">
        <f>'Dala Sales &amp; Deliveries'!L17</f>
        <v/>
      </c>
      <c r="P55" s="71">
        <f t="shared" si="5"/>
        <v>0</v>
      </c>
      <c r="Q55" s="71" t="str">
        <f>'External Delivery Fulfillment'!L17</f>
        <v/>
      </c>
      <c r="R55" s="71">
        <f t="shared" si="6"/>
        <v>0</v>
      </c>
      <c r="S55" s="71" t="str">
        <f>'Forwarding From Client'!L17</f>
        <v/>
      </c>
      <c r="T55" s="71">
        <f t="shared" si="7"/>
        <v>0</v>
      </c>
      <c r="U55" s="71" t="str">
        <f>'Dala Restocking'!L17</f>
        <v/>
      </c>
      <c r="V55" s="71">
        <f t="shared" si="8"/>
        <v>0</v>
      </c>
      <c r="W55" s="71" t="str">
        <f>'Client Restocking'!L17</f>
        <v/>
      </c>
    </row>
    <row r="56">
      <c r="B56" s="110"/>
      <c r="C56" s="110"/>
      <c r="D56" s="110"/>
      <c r="E56" s="110"/>
      <c r="F56" s="110"/>
      <c r="G56" s="71">
        <f t="shared" si="1"/>
        <v>0</v>
      </c>
      <c r="H56" s="110"/>
      <c r="I56" s="110"/>
      <c r="J56" s="110"/>
      <c r="K56" s="110"/>
      <c r="L56" s="69">
        <f t="shared" si="2"/>
        <v>0</v>
      </c>
      <c r="M56" s="71">
        <f t="shared" si="3"/>
        <v>0</v>
      </c>
      <c r="N56" s="71">
        <f t="shared" si="4"/>
        <v>0</v>
      </c>
      <c r="O56" s="71" t="str">
        <f>'Dala Sales &amp; Deliveries'!L18</f>
        <v/>
      </c>
      <c r="P56" s="71">
        <f t="shared" si="5"/>
        <v>0</v>
      </c>
      <c r="Q56" s="71" t="str">
        <f>'External Delivery Fulfillment'!L18</f>
        <v/>
      </c>
      <c r="R56" s="71">
        <f t="shared" si="6"/>
        <v>0</v>
      </c>
      <c r="S56" s="71" t="str">
        <f>'Forwarding From Client'!L18</f>
        <v/>
      </c>
      <c r="T56" s="71">
        <f t="shared" si="7"/>
        <v>0</v>
      </c>
      <c r="U56" s="71" t="str">
        <f>'Dala Restocking'!L18</f>
        <v/>
      </c>
      <c r="V56" s="71">
        <f t="shared" si="8"/>
        <v>0</v>
      </c>
      <c r="W56" s="71" t="str">
        <f>'Client Restocking'!L18</f>
        <v/>
      </c>
    </row>
    <row r="57">
      <c r="B57" s="110"/>
      <c r="C57" s="110"/>
      <c r="D57" s="110"/>
      <c r="E57" s="110"/>
      <c r="F57" s="110"/>
      <c r="G57" s="71">
        <f t="shared" si="1"/>
        <v>0</v>
      </c>
      <c r="H57" s="110"/>
      <c r="I57" s="110"/>
      <c r="J57" s="110"/>
      <c r="K57" s="110"/>
      <c r="L57" s="69">
        <f t="shared" si="2"/>
        <v>0</v>
      </c>
      <c r="M57" s="71">
        <f t="shared" si="3"/>
        <v>0</v>
      </c>
      <c r="N57" s="71">
        <f t="shared" si="4"/>
        <v>0</v>
      </c>
      <c r="O57" s="71" t="str">
        <f>'Dala Sales &amp; Deliveries'!L19</f>
        <v/>
      </c>
      <c r="P57" s="71">
        <f t="shared" si="5"/>
        <v>0</v>
      </c>
      <c r="Q57" s="71" t="str">
        <f>'External Delivery Fulfillment'!L19</f>
        <v/>
      </c>
      <c r="R57" s="71">
        <f t="shared" si="6"/>
        <v>0</v>
      </c>
      <c r="S57" s="71" t="str">
        <f>'Forwarding From Client'!L19</f>
        <v/>
      </c>
      <c r="T57" s="71">
        <f t="shared" si="7"/>
        <v>0</v>
      </c>
      <c r="U57" s="71" t="str">
        <f>'Dala Restocking'!L19</f>
        <v/>
      </c>
      <c r="V57" s="71">
        <f t="shared" si="8"/>
        <v>0</v>
      </c>
      <c r="W57" s="71" t="str">
        <f>'Client Restocking'!L19</f>
        <v/>
      </c>
    </row>
    <row r="58">
      <c r="B58" s="110"/>
      <c r="C58" s="110"/>
      <c r="D58" s="110"/>
      <c r="E58" s="110"/>
      <c r="F58" s="110"/>
      <c r="G58" s="71">
        <f t="shared" si="1"/>
        <v>0</v>
      </c>
      <c r="H58" s="110"/>
      <c r="I58" s="110"/>
      <c r="J58" s="110"/>
      <c r="K58" s="110"/>
      <c r="L58" s="69">
        <f t="shared" si="2"/>
        <v>0</v>
      </c>
      <c r="M58" s="71">
        <f t="shared" si="3"/>
        <v>0</v>
      </c>
      <c r="N58" s="71">
        <f t="shared" si="4"/>
        <v>0</v>
      </c>
      <c r="O58" s="71" t="str">
        <f>'Dala Sales &amp; Deliveries'!L20</f>
        <v/>
      </c>
      <c r="P58" s="71">
        <f t="shared" si="5"/>
        <v>0</v>
      </c>
      <c r="Q58" s="71" t="str">
        <f>'External Delivery Fulfillment'!L20</f>
        <v/>
      </c>
      <c r="R58" s="71">
        <f t="shared" si="6"/>
        <v>0</v>
      </c>
      <c r="S58" s="71" t="str">
        <f>'Forwarding From Client'!L20</f>
        <v/>
      </c>
      <c r="T58" s="71">
        <f t="shared" si="7"/>
        <v>0</v>
      </c>
      <c r="U58" s="71" t="str">
        <f>'Dala Restocking'!L20</f>
        <v/>
      </c>
      <c r="V58" s="71">
        <f t="shared" si="8"/>
        <v>0</v>
      </c>
      <c r="W58" s="71" t="str">
        <f>'Client Restocking'!L20</f>
        <v/>
      </c>
    </row>
    <row r="59">
      <c r="B59" s="110"/>
      <c r="C59" s="110"/>
      <c r="D59" s="110"/>
      <c r="E59" s="110"/>
      <c r="F59" s="110"/>
      <c r="G59" s="71">
        <f t="shared" si="1"/>
        <v>0</v>
      </c>
      <c r="H59" s="110"/>
      <c r="I59" s="110"/>
      <c r="J59" s="110"/>
      <c r="K59" s="110"/>
      <c r="L59" s="69">
        <f t="shared" si="2"/>
        <v>0</v>
      </c>
      <c r="M59" s="71">
        <f t="shared" si="3"/>
        <v>0</v>
      </c>
      <c r="N59" s="71">
        <f t="shared" si="4"/>
        <v>0</v>
      </c>
      <c r="O59" s="71" t="str">
        <f>'Dala Sales &amp; Deliveries'!L21</f>
        <v/>
      </c>
      <c r="P59" s="71">
        <f t="shared" si="5"/>
        <v>0</v>
      </c>
      <c r="Q59" s="71" t="str">
        <f>'External Delivery Fulfillment'!L21</f>
        <v/>
      </c>
      <c r="R59" s="71">
        <f t="shared" si="6"/>
        <v>0</v>
      </c>
      <c r="S59" s="71" t="str">
        <f>'Forwarding From Client'!L21</f>
        <v/>
      </c>
      <c r="T59" s="71">
        <f t="shared" si="7"/>
        <v>0</v>
      </c>
      <c r="U59" s="71" t="str">
        <f>'Dala Restocking'!L21</f>
        <v/>
      </c>
      <c r="V59" s="71">
        <f t="shared" si="8"/>
        <v>0</v>
      </c>
      <c r="W59" s="71" t="str">
        <f>'Client Restocking'!L21</f>
        <v/>
      </c>
    </row>
    <row r="60">
      <c r="B60" s="110"/>
      <c r="C60" s="110"/>
      <c r="D60" s="110"/>
      <c r="E60" s="110"/>
      <c r="F60" s="110"/>
      <c r="G60" s="71">
        <f t="shared" si="1"/>
        <v>0</v>
      </c>
      <c r="H60" s="110"/>
      <c r="I60" s="110"/>
      <c r="J60" s="110"/>
      <c r="K60" s="110"/>
      <c r="L60" s="69">
        <f t="shared" si="2"/>
        <v>0</v>
      </c>
      <c r="M60" s="71">
        <f t="shared" si="3"/>
        <v>0</v>
      </c>
      <c r="N60" s="71">
        <f t="shared" si="4"/>
        <v>0</v>
      </c>
      <c r="O60" s="71" t="str">
        <f>'Dala Sales &amp; Deliveries'!L22</f>
        <v/>
      </c>
      <c r="P60" s="71">
        <f t="shared" si="5"/>
        <v>0</v>
      </c>
      <c r="Q60" s="71" t="str">
        <f>'External Delivery Fulfillment'!L22</f>
        <v/>
      </c>
      <c r="R60" s="71">
        <f t="shared" si="6"/>
        <v>0</v>
      </c>
      <c r="S60" s="71" t="str">
        <f>'Forwarding From Client'!L22</f>
        <v/>
      </c>
      <c r="T60" s="71">
        <f t="shared" si="7"/>
        <v>0</v>
      </c>
      <c r="U60" s="71" t="str">
        <f>'Dala Restocking'!L22</f>
        <v/>
      </c>
      <c r="V60" s="71">
        <f t="shared" si="8"/>
        <v>0</v>
      </c>
      <c r="W60" s="71" t="str">
        <f>'Client Restocking'!L22</f>
        <v/>
      </c>
    </row>
    <row r="61">
      <c r="B61" s="110"/>
      <c r="C61" s="110"/>
      <c r="D61" s="110"/>
      <c r="E61" s="110"/>
      <c r="F61" s="110"/>
      <c r="G61" s="71">
        <f t="shared" si="1"/>
        <v>0</v>
      </c>
      <c r="H61" s="110"/>
      <c r="I61" s="110"/>
      <c r="J61" s="110"/>
      <c r="K61" s="110"/>
      <c r="L61" s="69">
        <f t="shared" si="2"/>
        <v>0</v>
      </c>
      <c r="M61" s="71">
        <f t="shared" si="3"/>
        <v>0</v>
      </c>
      <c r="N61" s="71">
        <f t="shared" si="4"/>
        <v>0</v>
      </c>
      <c r="O61" s="71" t="str">
        <f>'Dala Sales &amp; Deliveries'!L23</f>
        <v/>
      </c>
      <c r="P61" s="71">
        <f t="shared" si="5"/>
        <v>0</v>
      </c>
      <c r="Q61" s="71" t="str">
        <f>'External Delivery Fulfillment'!L23</f>
        <v/>
      </c>
      <c r="R61" s="71">
        <f t="shared" si="6"/>
        <v>0</v>
      </c>
      <c r="S61" s="71" t="str">
        <f>'Forwarding From Client'!L23</f>
        <v/>
      </c>
      <c r="T61" s="71">
        <f t="shared" si="7"/>
        <v>0</v>
      </c>
      <c r="U61" s="71" t="str">
        <f>'Dala Restocking'!L23</f>
        <v/>
      </c>
      <c r="V61" s="71">
        <f t="shared" si="8"/>
        <v>0</v>
      </c>
      <c r="W61" s="71" t="str">
        <f>'Client Restocking'!L23</f>
        <v/>
      </c>
    </row>
    <row r="62">
      <c r="B62" s="110"/>
      <c r="C62" s="110"/>
      <c r="D62" s="110"/>
      <c r="E62" s="110"/>
      <c r="F62" s="110"/>
      <c r="G62" s="71">
        <f t="shared" si="1"/>
        <v>0</v>
      </c>
      <c r="H62" s="110"/>
      <c r="I62" s="110"/>
      <c r="J62" s="110"/>
      <c r="K62" s="110"/>
      <c r="L62" s="69">
        <f t="shared" si="2"/>
        <v>0</v>
      </c>
      <c r="M62" s="71">
        <f t="shared" si="3"/>
        <v>0</v>
      </c>
      <c r="N62" s="71">
        <f t="shared" si="4"/>
        <v>0</v>
      </c>
      <c r="O62" s="71" t="str">
        <f>'Dala Sales &amp; Deliveries'!L24</f>
        <v/>
      </c>
      <c r="P62" s="71">
        <f t="shared" si="5"/>
        <v>0</v>
      </c>
      <c r="Q62" s="71" t="str">
        <f>'External Delivery Fulfillment'!L24</f>
        <v/>
      </c>
      <c r="R62" s="71">
        <f t="shared" si="6"/>
        <v>0</v>
      </c>
      <c r="S62" s="71" t="str">
        <f>'Forwarding From Client'!L24</f>
        <v/>
      </c>
      <c r="T62" s="71">
        <f t="shared" si="7"/>
        <v>0</v>
      </c>
      <c r="U62" s="71" t="str">
        <f>'Dala Restocking'!L24</f>
        <v/>
      </c>
      <c r="V62" s="71">
        <f t="shared" si="8"/>
        <v>0</v>
      </c>
      <c r="W62" s="71" t="str">
        <f>'Client Restocking'!L24</f>
        <v/>
      </c>
    </row>
    <row r="63">
      <c r="B63" s="110"/>
      <c r="C63" s="110"/>
      <c r="D63" s="110"/>
      <c r="E63" s="110"/>
      <c r="F63" s="110"/>
      <c r="G63" s="71">
        <f t="shared" si="1"/>
        <v>0</v>
      </c>
      <c r="H63" s="110"/>
      <c r="I63" s="110"/>
      <c r="J63" s="110"/>
      <c r="K63" s="110"/>
      <c r="L63" s="69">
        <f t="shared" si="2"/>
        <v>0</v>
      </c>
      <c r="M63" s="71">
        <f t="shared" si="3"/>
        <v>0</v>
      </c>
      <c r="N63" s="71">
        <f t="shared" si="4"/>
        <v>0</v>
      </c>
      <c r="O63" s="71" t="str">
        <f>'Dala Sales &amp; Deliveries'!L25</f>
        <v/>
      </c>
      <c r="P63" s="71">
        <f t="shared" si="5"/>
        <v>0</v>
      </c>
      <c r="Q63" s="71" t="str">
        <f>'External Delivery Fulfillment'!L25</f>
        <v/>
      </c>
      <c r="R63" s="71">
        <f t="shared" si="6"/>
        <v>0</v>
      </c>
      <c r="S63" s="71" t="str">
        <f>'Forwarding From Client'!L25</f>
        <v/>
      </c>
      <c r="T63" s="71">
        <f t="shared" si="7"/>
        <v>0</v>
      </c>
      <c r="U63" s="71" t="str">
        <f>'Dala Restocking'!L25</f>
        <v/>
      </c>
      <c r="V63" s="71">
        <f t="shared" si="8"/>
        <v>0</v>
      </c>
      <c r="W63" s="71" t="str">
        <f>'Client Restocking'!L25</f>
        <v/>
      </c>
    </row>
    <row r="64">
      <c r="B64" s="110"/>
      <c r="C64" s="110"/>
      <c r="D64" s="110"/>
      <c r="E64" s="110"/>
      <c r="F64" s="110"/>
      <c r="G64" s="71">
        <f t="shared" si="1"/>
        <v>0</v>
      </c>
      <c r="H64" s="110"/>
      <c r="I64" s="110"/>
      <c r="J64" s="110"/>
      <c r="K64" s="110"/>
      <c r="L64" s="69">
        <f t="shared" si="2"/>
        <v>0</v>
      </c>
      <c r="M64" s="71">
        <f t="shared" si="3"/>
        <v>0</v>
      </c>
      <c r="N64" s="71">
        <f t="shared" si="4"/>
        <v>0</v>
      </c>
      <c r="O64" s="71" t="str">
        <f>'Dala Sales &amp; Deliveries'!L26</f>
        <v/>
      </c>
      <c r="P64" s="71">
        <f t="shared" si="5"/>
        <v>0</v>
      </c>
      <c r="Q64" s="71" t="str">
        <f>'External Delivery Fulfillment'!L26</f>
        <v/>
      </c>
      <c r="R64" s="71">
        <f t="shared" si="6"/>
        <v>0</v>
      </c>
      <c r="S64" s="71" t="str">
        <f>'Forwarding From Client'!L26</f>
        <v/>
      </c>
      <c r="T64" s="71">
        <f t="shared" si="7"/>
        <v>0</v>
      </c>
      <c r="U64" s="71" t="str">
        <f>'Dala Restocking'!L26</f>
        <v/>
      </c>
      <c r="V64" s="71">
        <f t="shared" si="8"/>
        <v>0</v>
      </c>
      <c r="W64" s="71" t="str">
        <f>'Client Restocking'!L26</f>
        <v/>
      </c>
    </row>
    <row r="65">
      <c r="B65" s="110"/>
      <c r="C65" s="110"/>
      <c r="D65" s="110"/>
      <c r="E65" s="110"/>
      <c r="F65" s="110"/>
      <c r="G65" s="71">
        <f t="shared" si="1"/>
        <v>0</v>
      </c>
      <c r="H65" s="110"/>
      <c r="I65" s="110"/>
      <c r="J65" s="110"/>
      <c r="K65" s="110"/>
      <c r="L65" s="69">
        <f t="shared" si="2"/>
        <v>0</v>
      </c>
      <c r="M65" s="71">
        <f t="shared" si="3"/>
        <v>0</v>
      </c>
      <c r="N65" s="71">
        <f t="shared" si="4"/>
        <v>0</v>
      </c>
      <c r="O65" s="71" t="str">
        <f>'Dala Sales &amp; Deliveries'!L27</f>
        <v/>
      </c>
      <c r="P65" s="71">
        <f t="shared" si="5"/>
        <v>0</v>
      </c>
      <c r="Q65" s="71" t="str">
        <f>'External Delivery Fulfillment'!L27</f>
        <v/>
      </c>
      <c r="R65" s="71">
        <f t="shared" si="6"/>
        <v>0</v>
      </c>
      <c r="S65" s="71" t="str">
        <f>'Forwarding From Client'!L27</f>
        <v/>
      </c>
      <c r="T65" s="71">
        <f t="shared" si="7"/>
        <v>0</v>
      </c>
      <c r="U65" s="71" t="str">
        <f>'Dala Restocking'!L27</f>
        <v/>
      </c>
      <c r="V65" s="71">
        <f t="shared" si="8"/>
        <v>0</v>
      </c>
      <c r="W65" s="71" t="str">
        <f>'Client Restocking'!L27</f>
        <v/>
      </c>
    </row>
    <row r="66">
      <c r="B66" s="110"/>
      <c r="C66" s="110"/>
      <c r="D66" s="110"/>
      <c r="E66" s="110"/>
      <c r="F66" s="110"/>
      <c r="G66" s="71">
        <f t="shared" si="1"/>
        <v>0</v>
      </c>
      <c r="H66" s="110"/>
      <c r="I66" s="110"/>
      <c r="J66" s="110"/>
      <c r="K66" s="110"/>
      <c r="L66" s="69">
        <f t="shared" si="2"/>
        <v>0</v>
      </c>
      <c r="M66" s="71">
        <f t="shared" si="3"/>
        <v>0</v>
      </c>
      <c r="N66" s="71">
        <f t="shared" si="4"/>
        <v>0</v>
      </c>
      <c r="O66" s="71" t="str">
        <f>'Dala Sales &amp; Deliveries'!L28</f>
        <v/>
      </c>
      <c r="P66" s="71">
        <f t="shared" si="5"/>
        <v>0</v>
      </c>
      <c r="Q66" s="71" t="str">
        <f>'External Delivery Fulfillment'!L28</f>
        <v/>
      </c>
      <c r="R66" s="71">
        <f t="shared" si="6"/>
        <v>0</v>
      </c>
      <c r="S66" s="71" t="str">
        <f>'Forwarding From Client'!L28</f>
        <v/>
      </c>
      <c r="T66" s="71">
        <f t="shared" si="7"/>
        <v>0</v>
      </c>
      <c r="U66" s="71" t="str">
        <f>'Dala Restocking'!L28</f>
        <v/>
      </c>
      <c r="V66" s="71">
        <f t="shared" si="8"/>
        <v>0</v>
      </c>
      <c r="W66" s="71" t="str">
        <f>'Client Restocking'!L28</f>
        <v/>
      </c>
    </row>
    <row r="67">
      <c r="B67" s="110"/>
      <c r="C67" s="110"/>
      <c r="D67" s="110"/>
      <c r="E67" s="110"/>
      <c r="F67" s="110"/>
      <c r="G67" s="71">
        <f t="shared" si="1"/>
        <v>0</v>
      </c>
      <c r="H67" s="110"/>
      <c r="I67" s="110"/>
      <c r="J67" s="110"/>
      <c r="K67" s="110"/>
      <c r="L67" s="69">
        <f t="shared" si="2"/>
        <v>0</v>
      </c>
      <c r="M67" s="71">
        <f t="shared" si="3"/>
        <v>0</v>
      </c>
      <c r="N67" s="71">
        <f t="shared" si="4"/>
        <v>0</v>
      </c>
      <c r="O67" s="71" t="str">
        <f>'Dala Sales &amp; Deliveries'!L29</f>
        <v/>
      </c>
      <c r="P67" s="71">
        <f t="shared" si="5"/>
        <v>0</v>
      </c>
      <c r="Q67" s="71" t="str">
        <f>'External Delivery Fulfillment'!L29</f>
        <v/>
      </c>
      <c r="R67" s="71">
        <f t="shared" si="6"/>
        <v>0</v>
      </c>
      <c r="S67" s="71" t="str">
        <f>'Forwarding From Client'!L29</f>
        <v/>
      </c>
      <c r="T67" s="71">
        <f t="shared" si="7"/>
        <v>0</v>
      </c>
      <c r="U67" s="71" t="str">
        <f>'Dala Restocking'!L29</f>
        <v/>
      </c>
      <c r="V67" s="71">
        <f t="shared" si="8"/>
        <v>0</v>
      </c>
      <c r="W67" s="71" t="str">
        <f>'Client Restocking'!L29</f>
        <v/>
      </c>
    </row>
    <row r="68">
      <c r="B68" s="110"/>
      <c r="C68" s="110"/>
      <c r="D68" s="110"/>
      <c r="E68" s="110"/>
      <c r="F68" s="110"/>
      <c r="G68" s="71">
        <f t="shared" si="1"/>
        <v>0</v>
      </c>
      <c r="H68" s="110"/>
      <c r="I68" s="110"/>
      <c r="J68" s="110"/>
      <c r="K68" s="110"/>
      <c r="L68" s="69">
        <f t="shared" si="2"/>
        <v>0</v>
      </c>
      <c r="M68" s="71">
        <f t="shared" si="3"/>
        <v>0</v>
      </c>
      <c r="N68" s="71">
        <f t="shared" si="4"/>
        <v>0</v>
      </c>
      <c r="O68" s="71" t="str">
        <f>'Dala Sales &amp; Deliveries'!L30</f>
        <v/>
      </c>
      <c r="P68" s="71">
        <f t="shared" si="5"/>
        <v>0</v>
      </c>
      <c r="Q68" s="71" t="str">
        <f>'External Delivery Fulfillment'!L30</f>
        <v/>
      </c>
      <c r="R68" s="71">
        <f t="shared" si="6"/>
        <v>0</v>
      </c>
      <c r="S68" s="71" t="str">
        <f>'Forwarding From Client'!L30</f>
        <v/>
      </c>
      <c r="T68" s="71">
        <f t="shared" si="7"/>
        <v>0</v>
      </c>
      <c r="U68" s="71" t="str">
        <f>'Dala Restocking'!L30</f>
        <v/>
      </c>
      <c r="V68" s="71">
        <f t="shared" si="8"/>
        <v>0</v>
      </c>
      <c r="W68" s="71" t="str">
        <f>'Client Restocking'!L30</f>
        <v/>
      </c>
    </row>
    <row r="69">
      <c r="B69" s="69" t="s">
        <v>119</v>
      </c>
      <c r="C69" s="69"/>
      <c r="D69" s="69"/>
      <c r="E69" s="71"/>
      <c r="F69" s="111">
        <f t="shared" ref="F69:W69" si="9">sum(F40:F68)</f>
        <v>0</v>
      </c>
      <c r="G69" s="111">
        <f t="shared" si="9"/>
        <v>0</v>
      </c>
      <c r="H69" s="111">
        <f t="shared" si="9"/>
        <v>40</v>
      </c>
      <c r="I69" s="111">
        <f t="shared" si="9"/>
        <v>1</v>
      </c>
      <c r="J69" s="111">
        <f t="shared" si="9"/>
        <v>0</v>
      </c>
      <c r="K69" s="111">
        <f t="shared" si="9"/>
        <v>49</v>
      </c>
      <c r="L69" s="68">
        <f t="shared" si="9"/>
        <v>16</v>
      </c>
      <c r="M69" s="68">
        <f t="shared" si="9"/>
        <v>33</v>
      </c>
      <c r="N69" s="71">
        <f t="shared" si="9"/>
        <v>1081440</v>
      </c>
      <c r="O69" s="68">
        <f t="shared" si="9"/>
        <v>23</v>
      </c>
      <c r="P69" s="71">
        <f t="shared" si="9"/>
        <v>22550</v>
      </c>
      <c r="Q69" s="68">
        <f t="shared" si="9"/>
        <v>0</v>
      </c>
      <c r="R69" s="71">
        <f t="shared" si="9"/>
        <v>0</v>
      </c>
      <c r="S69" s="68">
        <f t="shared" si="9"/>
        <v>0</v>
      </c>
      <c r="T69" s="71">
        <f t="shared" si="9"/>
        <v>0</v>
      </c>
      <c r="U69" s="68">
        <f t="shared" si="9"/>
        <v>0</v>
      </c>
      <c r="V69" s="71">
        <f t="shared" si="9"/>
        <v>0</v>
      </c>
      <c r="W69" s="68">
        <f t="shared" si="9"/>
        <v>0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7" t="s">
        <v>61</v>
      </c>
      <c r="C1" s="67" t="s">
        <v>57</v>
      </c>
      <c r="D1" s="67" t="s">
        <v>62</v>
      </c>
      <c r="E1" s="67" t="s">
        <v>63</v>
      </c>
      <c r="F1" s="74"/>
    </row>
    <row r="2">
      <c r="A2" s="75" t="s">
        <v>17</v>
      </c>
      <c r="B2" s="76" t="s">
        <v>55</v>
      </c>
      <c r="C2" s="77"/>
      <c r="D2" s="77"/>
      <c r="E2" s="79">
        <f>'Dala Sales &amp; Deliveries'!I1+'External Delivery Fulfillment'!I1+'Forwarding From Client'!I1</f>
        <v>18</v>
      </c>
      <c r="F2" s="74"/>
    </row>
    <row r="3">
      <c r="A3" s="80"/>
      <c r="B3" s="76" t="s">
        <v>64</v>
      </c>
      <c r="C3" s="77"/>
      <c r="D3" s="77"/>
      <c r="E3" s="79">
        <f>'Raw Data'!AX3</f>
        <v>17</v>
      </c>
      <c r="F3" s="74"/>
    </row>
    <row r="4">
      <c r="B4" s="81" t="s">
        <v>65</v>
      </c>
      <c r="C4" s="74"/>
      <c r="D4" s="74"/>
      <c r="E4" s="83">
        <f>'Dala Sales &amp; Deliveries'!I3</f>
        <v>247200</v>
      </c>
      <c r="F4" s="74"/>
    </row>
    <row r="5">
      <c r="B5" s="81" t="s">
        <v>66</v>
      </c>
      <c r="C5" s="74"/>
      <c r="D5" s="74"/>
      <c r="E5" s="83">
        <f>'External Delivery Fulfillment'!I3</f>
        <v>0</v>
      </c>
      <c r="F5" s="74"/>
    </row>
    <row r="6">
      <c r="A6" s="88"/>
      <c r="B6" s="89" t="s">
        <v>68</v>
      </c>
      <c r="C6" s="90"/>
      <c r="D6" s="95"/>
      <c r="E6" s="91">
        <f>sum(E4:E5)</f>
        <v>247200</v>
      </c>
      <c r="F6" s="74"/>
    </row>
    <row r="7">
      <c r="A7" s="75" t="s">
        <v>69</v>
      </c>
      <c r="B7" s="76" t="s">
        <v>70</v>
      </c>
      <c r="C7" s="77"/>
      <c r="D7" s="92"/>
      <c r="E7" s="93"/>
    </row>
    <row r="8">
      <c r="A8" s="80"/>
      <c r="B8" s="76" t="s">
        <v>76</v>
      </c>
      <c r="C8" s="112">
        <v>0.07</v>
      </c>
      <c r="D8" s="92"/>
      <c r="E8" s="98">
        <f>E7*(C8+100%)-E7</f>
        <v>0</v>
      </c>
      <c r="K8" s="65"/>
      <c r="L8" s="65"/>
      <c r="M8" s="65"/>
      <c r="N8" s="65"/>
    </row>
    <row r="9">
      <c r="A9" s="88"/>
      <c r="B9" s="89" t="s">
        <v>71</v>
      </c>
      <c r="C9" s="94">
        <v>0.13</v>
      </c>
      <c r="D9" s="95"/>
      <c r="E9" s="91">
        <f>E7*(C9+100%)-E7</f>
        <v>0</v>
      </c>
      <c r="K9" s="65"/>
      <c r="L9" s="65"/>
      <c r="M9" s="65"/>
      <c r="N9" s="65"/>
    </row>
    <row r="10">
      <c r="A10" s="75" t="s">
        <v>74</v>
      </c>
      <c r="B10" s="76" t="s">
        <v>75</v>
      </c>
      <c r="C10" s="97">
        <v>2.0</v>
      </c>
      <c r="D10" s="98">
        <v>100000.0</v>
      </c>
      <c r="E10" s="98">
        <f>C10*D10</f>
        <v>200000</v>
      </c>
    </row>
    <row r="11">
      <c r="A11" s="80"/>
      <c r="B11" s="85" t="s">
        <v>121</v>
      </c>
      <c r="C11" s="77"/>
      <c r="D11" s="100"/>
      <c r="E11" s="98">
        <f>V67</f>
        <v>0</v>
      </c>
    </row>
    <row r="12">
      <c r="A12" s="80"/>
      <c r="B12" s="85" t="s">
        <v>91</v>
      </c>
      <c r="C12" s="77"/>
      <c r="D12" s="100"/>
      <c r="E12" s="98">
        <f>R67</f>
        <v>0</v>
      </c>
    </row>
    <row r="13">
      <c r="A13" s="80"/>
      <c r="B13" s="76" t="s">
        <v>78</v>
      </c>
      <c r="C13" s="92"/>
      <c r="D13" s="92"/>
      <c r="E13" s="113">
        <v>0.0</v>
      </c>
    </row>
    <row r="14">
      <c r="A14" s="80"/>
      <c r="B14" s="76" t="s">
        <v>79</v>
      </c>
      <c r="C14" s="92"/>
      <c r="D14" s="92"/>
      <c r="E14" s="98">
        <f>C28</f>
        <v>0</v>
      </c>
    </row>
    <row r="15">
      <c r="A15" s="88"/>
      <c r="B15" s="89" t="s">
        <v>122</v>
      </c>
      <c r="C15" s="95"/>
      <c r="D15" s="95"/>
      <c r="E15" s="91">
        <f>sum(E10:E14)</f>
        <v>200000</v>
      </c>
    </row>
    <row r="16">
      <c r="A16" s="103"/>
      <c r="B16" s="103"/>
      <c r="C16" s="103"/>
      <c r="D16" s="103"/>
      <c r="E16" s="103"/>
      <c r="H16" s="102"/>
      <c r="I16" s="102"/>
      <c r="J16" s="102"/>
      <c r="K16" s="102"/>
      <c r="L16" s="102"/>
      <c r="M16" s="102"/>
      <c r="N16" s="102"/>
      <c r="O16" s="102"/>
    </row>
    <row r="17">
      <c r="A17" s="1"/>
      <c r="B17" s="103"/>
      <c r="C17" s="103"/>
      <c r="D17" s="103"/>
      <c r="E17" s="103"/>
      <c r="H17" s="102"/>
      <c r="I17" s="102"/>
      <c r="J17" s="102"/>
      <c r="K17" s="102"/>
      <c r="L17" s="102"/>
      <c r="M17" s="102"/>
      <c r="N17" s="102"/>
      <c r="O17" s="102"/>
    </row>
    <row r="18">
      <c r="A18" s="1" t="s">
        <v>83</v>
      </c>
      <c r="B18" s="103"/>
      <c r="C18" s="103"/>
      <c r="D18" s="103"/>
      <c r="E18" s="103"/>
      <c r="H18" s="102"/>
      <c r="I18" s="102"/>
      <c r="J18" s="102"/>
      <c r="K18" s="102"/>
      <c r="L18" s="102"/>
      <c r="M18" s="102"/>
      <c r="N18" s="102"/>
      <c r="O18" s="102"/>
    </row>
    <row r="19">
      <c r="A19" s="103"/>
      <c r="B19" s="67" t="s">
        <v>84</v>
      </c>
      <c r="C19" s="104">
        <f>U67</f>
        <v>0</v>
      </c>
      <c r="D19" s="103"/>
      <c r="H19" s="114"/>
      <c r="I19" s="105"/>
      <c r="J19" s="105"/>
      <c r="K19" s="105"/>
      <c r="L19" s="105"/>
      <c r="M19" s="106"/>
      <c r="N19" s="102"/>
      <c r="O19" s="102"/>
    </row>
    <row r="20">
      <c r="A20" s="103"/>
      <c r="B20" s="67" t="s">
        <v>85</v>
      </c>
      <c r="C20" s="104">
        <f>V67</f>
        <v>0</v>
      </c>
      <c r="D20" s="103"/>
      <c r="H20" s="114"/>
      <c r="I20" s="105"/>
      <c r="J20" s="105"/>
      <c r="K20" s="105"/>
      <c r="L20" s="105"/>
      <c r="M20" s="106"/>
      <c r="N20" s="102"/>
      <c r="O20" s="102"/>
    </row>
    <row r="21">
      <c r="A21" s="103"/>
      <c r="B21" s="67" t="s">
        <v>86</v>
      </c>
      <c r="C21" s="104">
        <f>S67</f>
        <v>0</v>
      </c>
      <c r="D21" s="103"/>
      <c r="H21" s="114"/>
      <c r="I21" s="105"/>
      <c r="J21" s="105"/>
      <c r="K21" s="105"/>
      <c r="L21" s="105"/>
      <c r="M21" s="106"/>
      <c r="N21" s="102"/>
      <c r="O21" s="102"/>
    </row>
    <row r="22">
      <c r="A22" s="103"/>
      <c r="B22" s="67" t="s">
        <v>87</v>
      </c>
      <c r="C22" s="104">
        <f>T67</f>
        <v>0</v>
      </c>
      <c r="D22" s="103"/>
      <c r="H22" s="114"/>
      <c r="I22" s="105"/>
      <c r="J22" s="105"/>
      <c r="K22" s="105"/>
      <c r="L22" s="105"/>
      <c r="M22" s="106"/>
      <c r="N22" s="102"/>
      <c r="O22" s="102"/>
    </row>
    <row r="23">
      <c r="A23" s="103"/>
      <c r="B23" s="67" t="s">
        <v>88</v>
      </c>
      <c r="C23" s="104">
        <f>O67</f>
        <v>23</v>
      </c>
      <c r="D23" s="103"/>
      <c r="H23" s="114"/>
      <c r="I23" s="105"/>
      <c r="J23" s="105"/>
      <c r="K23" s="105"/>
      <c r="L23" s="105"/>
      <c r="M23" s="106"/>
      <c r="N23" s="102"/>
      <c r="O23" s="102"/>
    </row>
    <row r="24">
      <c r="A24" s="103"/>
      <c r="B24" s="67" t="s">
        <v>89</v>
      </c>
      <c r="C24" s="104">
        <f>P67</f>
        <v>22550</v>
      </c>
      <c r="D24" s="103"/>
      <c r="H24" s="114"/>
      <c r="I24" s="105"/>
      <c r="J24" s="105"/>
      <c r="K24" s="105"/>
      <c r="L24" s="105"/>
      <c r="M24" s="106"/>
      <c r="N24" s="102"/>
      <c r="O24" s="102"/>
    </row>
    <row r="25">
      <c r="A25" s="103"/>
      <c r="B25" s="67" t="s">
        <v>90</v>
      </c>
      <c r="C25" s="104">
        <f>Q67</f>
        <v>0</v>
      </c>
      <c r="D25" s="103"/>
      <c r="H25" s="114"/>
      <c r="I25" s="105"/>
      <c r="J25" s="105"/>
      <c r="K25" s="105"/>
      <c r="L25" s="105"/>
      <c r="M25" s="106"/>
      <c r="N25" s="102"/>
      <c r="O25" s="102"/>
    </row>
    <row r="26">
      <c r="A26" s="103"/>
      <c r="B26" s="67" t="s">
        <v>91</v>
      </c>
      <c r="C26" s="104">
        <f>R67</f>
        <v>0</v>
      </c>
      <c r="D26" s="103"/>
    </row>
    <row r="27">
      <c r="A27" s="103"/>
      <c r="B27" s="67" t="s">
        <v>92</v>
      </c>
      <c r="C27" s="104">
        <f>F67</f>
        <v>0</v>
      </c>
      <c r="D27" s="103"/>
    </row>
    <row r="28">
      <c r="A28" s="103"/>
      <c r="B28" s="67" t="s">
        <v>93</v>
      </c>
      <c r="C28" s="104">
        <f>G67</f>
        <v>0</v>
      </c>
      <c r="D28" s="103"/>
    </row>
    <row r="29">
      <c r="A29" s="103"/>
      <c r="B29" s="67" t="s">
        <v>94</v>
      </c>
      <c r="C29" s="104">
        <f>I67</f>
        <v>0</v>
      </c>
      <c r="D29" s="103"/>
    </row>
    <row r="30">
      <c r="A30" s="103"/>
      <c r="B30" s="67" t="s">
        <v>123</v>
      </c>
      <c r="C30" s="104">
        <f>J67</f>
        <v>0</v>
      </c>
      <c r="D30" s="103"/>
    </row>
    <row r="31">
      <c r="A31" s="103"/>
      <c r="B31" s="67" t="s">
        <v>96</v>
      </c>
      <c r="C31" s="104">
        <f>L67</f>
        <v>-23</v>
      </c>
      <c r="D31" s="103"/>
    </row>
    <row r="32">
      <c r="A32" s="103"/>
      <c r="B32" s="67" t="s">
        <v>97</v>
      </c>
      <c r="C32" s="104">
        <f>K67</f>
        <v>49</v>
      </c>
      <c r="D32" s="103"/>
    </row>
    <row r="33">
      <c r="A33" s="103"/>
      <c r="B33" s="67" t="s">
        <v>98</v>
      </c>
      <c r="C33" s="104">
        <f>M67</f>
        <v>72</v>
      </c>
      <c r="D33" s="103"/>
    </row>
    <row r="34">
      <c r="A34" s="103"/>
      <c r="B34" s="67" t="s">
        <v>99</v>
      </c>
      <c r="C34" s="104">
        <f>-N67</f>
        <v>-1324800</v>
      </c>
      <c r="D34" s="103"/>
    </row>
    <row r="36">
      <c r="A36" s="115"/>
    </row>
    <row r="37">
      <c r="A37" s="100"/>
      <c r="B37" s="116" t="s">
        <v>100</v>
      </c>
      <c r="C37" s="67" t="s">
        <v>101</v>
      </c>
      <c r="D37" s="67" t="s">
        <v>102</v>
      </c>
      <c r="E37" s="67" t="s">
        <v>103</v>
      </c>
      <c r="F37" s="69" t="s">
        <v>104</v>
      </c>
      <c r="G37" s="69" t="s">
        <v>105</v>
      </c>
      <c r="H37" s="69" t="s">
        <v>106</v>
      </c>
      <c r="I37" s="69" t="s">
        <v>107</v>
      </c>
      <c r="J37" s="69" t="s">
        <v>108</v>
      </c>
      <c r="K37" s="69" t="s">
        <v>109</v>
      </c>
      <c r="L37" s="69" t="s">
        <v>96</v>
      </c>
      <c r="M37" s="69" t="s">
        <v>98</v>
      </c>
      <c r="N37" s="69" t="s">
        <v>110</v>
      </c>
      <c r="O37" s="69" t="s">
        <v>88</v>
      </c>
      <c r="P37" s="69" t="s">
        <v>112</v>
      </c>
      <c r="Q37" s="69" t="s">
        <v>113</v>
      </c>
      <c r="R37" s="69" t="s">
        <v>114</v>
      </c>
      <c r="S37" s="69" t="s">
        <v>115</v>
      </c>
      <c r="T37" s="69" t="s">
        <v>87</v>
      </c>
      <c r="U37" s="69" t="s">
        <v>116</v>
      </c>
      <c r="V37" s="69" t="s">
        <v>117</v>
      </c>
      <c r="W37" s="69" t="s">
        <v>118</v>
      </c>
    </row>
    <row r="38">
      <c r="A38" s="117"/>
      <c r="B38" s="118" t="str">
        <f>'Internal Summary'!B40</f>
        <v>250g Dates powder (6x)</v>
      </c>
      <c r="C38" s="68">
        <f>'Internal Summary'!C40</f>
        <v>24000</v>
      </c>
      <c r="D38" s="68">
        <f>'Internal Summary'!D40</f>
        <v>600</v>
      </c>
      <c r="E38" s="68">
        <f>'Internal Summary'!E40</f>
        <v>1150</v>
      </c>
      <c r="F38" s="109"/>
      <c r="G38" s="68">
        <f t="shared" ref="G38:G66" si="1">F38*C38</f>
        <v>0</v>
      </c>
      <c r="H38" s="109"/>
      <c r="I38" s="109"/>
      <c r="J38" s="109"/>
      <c r="K38" s="108">
        <v>31.0</v>
      </c>
      <c r="L38" s="119">
        <f t="shared" ref="L38:L66" si="2">H38+U38+W38-O38-Q38-I38-J38</f>
        <v>-17</v>
      </c>
      <c r="M38" s="68">
        <f t="shared" ref="M38:M66" si="3">K38-L38</f>
        <v>48</v>
      </c>
      <c r="N38" s="68">
        <f t="shared" ref="N38:N66" si="4">M38*C38</f>
        <v>1152000</v>
      </c>
      <c r="O38" s="68">
        <f>'Dala Sales &amp; Deliveries'!L2</f>
        <v>17</v>
      </c>
      <c r="P38" s="68">
        <f t="shared" ref="P38:P66" si="5">O38*E38</f>
        <v>19550</v>
      </c>
      <c r="Q38" s="68">
        <f>'External Delivery Fulfillment'!L2</f>
        <v>0</v>
      </c>
      <c r="R38" s="68">
        <f t="shared" ref="R38:R66" si="6">Q38*E38</f>
        <v>0</v>
      </c>
      <c r="S38" s="68">
        <f>'Forwarding From Client'!L2</f>
        <v>0</v>
      </c>
      <c r="T38" s="68">
        <f t="shared" ref="T38:T66" si="7">S38*E38</f>
        <v>0</v>
      </c>
      <c r="U38" s="68">
        <f>'Dala Restocking'!L2</f>
        <v>0</v>
      </c>
      <c r="V38" s="68">
        <f t="shared" ref="V38:V66" si="8">U38*D38</f>
        <v>0</v>
      </c>
      <c r="W38" s="68">
        <f>'Client Restocking'!L2</f>
        <v>0</v>
      </c>
    </row>
    <row r="39">
      <c r="A39" s="117"/>
      <c r="B39" s="118" t="str">
        <f>'Internal Summary'!B41</f>
        <v>80g Kuli Kuli (12x)</v>
      </c>
      <c r="C39" s="68">
        <f>'Internal Summary'!C41</f>
        <v>7200</v>
      </c>
      <c r="D39" s="68">
        <f>'Internal Summary'!D41</f>
        <v>250</v>
      </c>
      <c r="E39" s="68">
        <f>'Internal Summary'!E41</f>
        <v>500</v>
      </c>
      <c r="F39" s="120"/>
      <c r="G39" s="68">
        <f t="shared" si="1"/>
        <v>0</v>
      </c>
      <c r="H39" s="120"/>
      <c r="I39" s="109"/>
      <c r="J39" s="120"/>
      <c r="K39" s="108">
        <v>18.0</v>
      </c>
      <c r="L39" s="119">
        <f t="shared" si="2"/>
        <v>-6</v>
      </c>
      <c r="M39" s="68">
        <f t="shared" si="3"/>
        <v>24</v>
      </c>
      <c r="N39" s="68">
        <f t="shared" si="4"/>
        <v>172800</v>
      </c>
      <c r="O39" s="68">
        <f>'Dala Sales &amp; Deliveries'!L3</f>
        <v>6</v>
      </c>
      <c r="P39" s="68">
        <f t="shared" si="5"/>
        <v>3000</v>
      </c>
      <c r="Q39" s="68">
        <f>'External Delivery Fulfillment'!L3</f>
        <v>0</v>
      </c>
      <c r="R39" s="68">
        <f t="shared" si="6"/>
        <v>0</v>
      </c>
      <c r="S39" s="68">
        <f>'Forwarding From Client'!L3</f>
        <v>0</v>
      </c>
      <c r="T39" s="68">
        <f t="shared" si="7"/>
        <v>0</v>
      </c>
      <c r="U39" s="68">
        <f>'Dala Restocking'!L3</f>
        <v>0</v>
      </c>
      <c r="V39" s="68">
        <f t="shared" si="8"/>
        <v>0</v>
      </c>
      <c r="W39" s="68">
        <f>'Client Restocking'!L3</f>
        <v>0</v>
      </c>
    </row>
    <row r="40">
      <c r="A40" s="117"/>
      <c r="B40" s="118" t="str">
        <f>'Internal Summary'!B42</f>
        <v/>
      </c>
      <c r="C40" s="68" t="str">
        <f>'Internal Summary'!C42</f>
        <v/>
      </c>
      <c r="D40" s="68" t="str">
        <f>'Internal Summary'!D42</f>
        <v/>
      </c>
      <c r="E40" s="68" t="str">
        <f>'Internal Summary'!E42</f>
        <v/>
      </c>
      <c r="F40" s="120"/>
      <c r="G40" s="68">
        <f t="shared" si="1"/>
        <v>0</v>
      </c>
      <c r="H40" s="120"/>
      <c r="I40" s="109"/>
      <c r="J40" s="120"/>
      <c r="K40" s="109"/>
      <c r="L40" s="119">
        <f t="shared" si="2"/>
        <v>0</v>
      </c>
      <c r="M40" s="68">
        <f t="shared" si="3"/>
        <v>0</v>
      </c>
      <c r="N40" s="68">
        <f t="shared" si="4"/>
        <v>0</v>
      </c>
      <c r="O40" s="68">
        <f>'Dala Sales &amp; Deliveries'!L4</f>
        <v>0</v>
      </c>
      <c r="P40" s="68">
        <f t="shared" si="5"/>
        <v>0</v>
      </c>
      <c r="Q40" s="68">
        <f>'External Delivery Fulfillment'!L4</f>
        <v>0</v>
      </c>
      <c r="R40" s="68">
        <f t="shared" si="6"/>
        <v>0</v>
      </c>
      <c r="S40" s="68">
        <f>'Forwarding From Client'!L4</f>
        <v>0</v>
      </c>
      <c r="T40" s="68">
        <f t="shared" si="7"/>
        <v>0</v>
      </c>
      <c r="U40" s="68">
        <f>'Dala Restocking'!L4</f>
        <v>0</v>
      </c>
      <c r="V40" s="68">
        <f t="shared" si="8"/>
        <v>0</v>
      </c>
      <c r="W40" s="68">
        <f>'Client Restocking'!L4</f>
        <v>0</v>
      </c>
    </row>
    <row r="41">
      <c r="A41" s="117"/>
      <c r="B41" s="118" t="str">
        <f>'Internal Summary'!B43</f>
        <v/>
      </c>
      <c r="C41" s="68" t="str">
        <f>'Internal Summary'!C43</f>
        <v/>
      </c>
      <c r="D41" s="68" t="str">
        <f>'Internal Summary'!D43</f>
        <v/>
      </c>
      <c r="E41" s="68" t="str">
        <f>'Internal Summary'!E43</f>
        <v/>
      </c>
      <c r="F41" s="120"/>
      <c r="G41" s="68">
        <f t="shared" si="1"/>
        <v>0</v>
      </c>
      <c r="H41" s="120"/>
      <c r="I41" s="109"/>
      <c r="J41" s="120"/>
      <c r="K41" s="109"/>
      <c r="L41" s="119">
        <f t="shared" si="2"/>
        <v>0</v>
      </c>
      <c r="M41" s="68">
        <f t="shared" si="3"/>
        <v>0</v>
      </c>
      <c r="N41" s="68">
        <f t="shared" si="4"/>
        <v>0</v>
      </c>
      <c r="O41" s="68">
        <f>'Dala Sales &amp; Deliveries'!L5</f>
        <v>0</v>
      </c>
      <c r="P41" s="68">
        <f t="shared" si="5"/>
        <v>0</v>
      </c>
      <c r="Q41" s="68">
        <f>'External Delivery Fulfillment'!L5</f>
        <v>0</v>
      </c>
      <c r="R41" s="68">
        <f t="shared" si="6"/>
        <v>0</v>
      </c>
      <c r="S41" s="68">
        <f>'Forwarding From Client'!L5</f>
        <v>0</v>
      </c>
      <c r="T41" s="68">
        <f t="shared" si="7"/>
        <v>0</v>
      </c>
      <c r="U41" s="68">
        <f>'Dala Restocking'!L5</f>
        <v>0</v>
      </c>
      <c r="V41" s="68">
        <f t="shared" si="8"/>
        <v>0</v>
      </c>
      <c r="W41" s="68">
        <f>'Client Restocking'!L5</f>
        <v>0</v>
      </c>
    </row>
    <row r="42">
      <c r="A42" s="117"/>
      <c r="B42" s="118" t="str">
        <f>'Internal Summary'!B44</f>
        <v/>
      </c>
      <c r="C42" s="68" t="str">
        <f>'Internal Summary'!C44</f>
        <v/>
      </c>
      <c r="D42" s="68" t="str">
        <f>'Internal Summary'!D44</f>
        <v/>
      </c>
      <c r="E42" s="68" t="str">
        <f>'Internal Summary'!E44</f>
        <v/>
      </c>
      <c r="F42" s="120"/>
      <c r="G42" s="68">
        <f t="shared" si="1"/>
        <v>0</v>
      </c>
      <c r="H42" s="120"/>
      <c r="I42" s="120"/>
      <c r="J42" s="120"/>
      <c r="K42" s="109"/>
      <c r="L42" s="119">
        <f t="shared" si="2"/>
        <v>0</v>
      </c>
      <c r="M42" s="68">
        <f t="shared" si="3"/>
        <v>0</v>
      </c>
      <c r="N42" s="68">
        <f t="shared" si="4"/>
        <v>0</v>
      </c>
      <c r="O42" s="68">
        <f>'Dala Sales &amp; Deliveries'!L6</f>
        <v>0</v>
      </c>
      <c r="P42" s="68">
        <f t="shared" si="5"/>
        <v>0</v>
      </c>
      <c r="Q42" s="68">
        <f>'External Delivery Fulfillment'!L6</f>
        <v>0</v>
      </c>
      <c r="R42" s="68">
        <f t="shared" si="6"/>
        <v>0</v>
      </c>
      <c r="S42" s="68">
        <f>'Forwarding From Client'!L6</f>
        <v>0</v>
      </c>
      <c r="T42" s="68">
        <f t="shared" si="7"/>
        <v>0</v>
      </c>
      <c r="U42" s="68">
        <f>'Dala Restocking'!L6</f>
        <v>0</v>
      </c>
      <c r="V42" s="68">
        <f t="shared" si="8"/>
        <v>0</v>
      </c>
      <c r="W42" s="68">
        <f>'Client Restocking'!L6</f>
        <v>0</v>
      </c>
    </row>
    <row r="43">
      <c r="A43" s="117"/>
      <c r="B43" s="118" t="str">
        <f>'Internal Summary'!B45</f>
        <v/>
      </c>
      <c r="C43" s="68" t="str">
        <f>'Internal Summary'!C45</f>
        <v/>
      </c>
      <c r="D43" s="68" t="str">
        <f>'Internal Summary'!D45</f>
        <v/>
      </c>
      <c r="E43" s="68" t="str">
        <f>'Internal Summary'!E45</f>
        <v/>
      </c>
      <c r="F43" s="120"/>
      <c r="G43" s="68">
        <f t="shared" si="1"/>
        <v>0</v>
      </c>
      <c r="H43" s="120"/>
      <c r="I43" s="120"/>
      <c r="J43" s="120"/>
      <c r="K43" s="109"/>
      <c r="L43" s="119">
        <f t="shared" si="2"/>
        <v>0</v>
      </c>
      <c r="M43" s="68">
        <f t="shared" si="3"/>
        <v>0</v>
      </c>
      <c r="N43" s="68">
        <f t="shared" si="4"/>
        <v>0</v>
      </c>
      <c r="O43" s="68">
        <f>'Dala Sales &amp; Deliveries'!L7</f>
        <v>0</v>
      </c>
      <c r="P43" s="68">
        <f t="shared" si="5"/>
        <v>0</v>
      </c>
      <c r="Q43" s="68">
        <f>'External Delivery Fulfillment'!L7</f>
        <v>0</v>
      </c>
      <c r="R43" s="68">
        <f t="shared" si="6"/>
        <v>0</v>
      </c>
      <c r="S43" s="68">
        <f>'Forwarding From Client'!L7</f>
        <v>0</v>
      </c>
      <c r="T43" s="68">
        <f t="shared" si="7"/>
        <v>0</v>
      </c>
      <c r="U43" s="68">
        <f>'Dala Restocking'!L7</f>
        <v>0</v>
      </c>
      <c r="V43" s="68">
        <f t="shared" si="8"/>
        <v>0</v>
      </c>
      <c r="W43" s="68">
        <f>'Client Restocking'!L7</f>
        <v>0</v>
      </c>
    </row>
    <row r="44">
      <c r="A44" s="117"/>
      <c r="B44" s="118" t="str">
        <f>'Internal Summary'!B46</f>
        <v/>
      </c>
      <c r="C44" s="68" t="str">
        <f>'Internal Summary'!C46</f>
        <v/>
      </c>
      <c r="D44" s="68" t="str">
        <f>'Internal Summary'!D46</f>
        <v/>
      </c>
      <c r="E44" s="68" t="str">
        <f>'Internal Summary'!E46</f>
        <v/>
      </c>
      <c r="F44" s="120"/>
      <c r="G44" s="68">
        <f t="shared" si="1"/>
        <v>0</v>
      </c>
      <c r="H44" s="120"/>
      <c r="I44" s="120"/>
      <c r="J44" s="120"/>
      <c r="K44" s="109"/>
      <c r="L44" s="119">
        <f t="shared" si="2"/>
        <v>0</v>
      </c>
      <c r="M44" s="68">
        <f t="shared" si="3"/>
        <v>0</v>
      </c>
      <c r="N44" s="68">
        <f t="shared" si="4"/>
        <v>0</v>
      </c>
      <c r="O44" s="68">
        <f>'Dala Sales &amp; Deliveries'!L8</f>
        <v>0</v>
      </c>
      <c r="P44" s="68">
        <f t="shared" si="5"/>
        <v>0</v>
      </c>
      <c r="Q44" s="68">
        <f>'External Delivery Fulfillment'!L8</f>
        <v>0</v>
      </c>
      <c r="R44" s="68">
        <f t="shared" si="6"/>
        <v>0</v>
      </c>
      <c r="S44" s="68">
        <f>'Forwarding From Client'!L8</f>
        <v>0</v>
      </c>
      <c r="T44" s="68">
        <f t="shared" si="7"/>
        <v>0</v>
      </c>
      <c r="U44" s="68">
        <f>'Dala Restocking'!L8</f>
        <v>0</v>
      </c>
      <c r="V44" s="68">
        <f t="shared" si="8"/>
        <v>0</v>
      </c>
      <c r="W44" s="68">
        <f>'Client Restocking'!L8</f>
        <v>0</v>
      </c>
    </row>
    <row r="45">
      <c r="A45" s="117"/>
      <c r="B45" s="118" t="str">
        <f>'Internal Summary'!B47</f>
        <v/>
      </c>
      <c r="C45" s="68" t="str">
        <f>'Internal Summary'!C47</f>
        <v/>
      </c>
      <c r="D45" s="68" t="str">
        <f>'Internal Summary'!D47</f>
        <v/>
      </c>
      <c r="E45" s="68" t="str">
        <f>'Internal Summary'!E47</f>
        <v/>
      </c>
      <c r="F45" s="120"/>
      <c r="G45" s="68">
        <f t="shared" si="1"/>
        <v>0</v>
      </c>
      <c r="H45" s="120"/>
      <c r="I45" s="120"/>
      <c r="J45" s="120"/>
      <c r="K45" s="109"/>
      <c r="L45" s="119">
        <f t="shared" si="2"/>
        <v>0</v>
      </c>
      <c r="M45" s="68">
        <f t="shared" si="3"/>
        <v>0</v>
      </c>
      <c r="N45" s="68">
        <f t="shared" si="4"/>
        <v>0</v>
      </c>
      <c r="O45" s="68">
        <f>'Dala Sales &amp; Deliveries'!L9</f>
        <v>0</v>
      </c>
      <c r="P45" s="68">
        <f t="shared" si="5"/>
        <v>0</v>
      </c>
      <c r="Q45" s="68">
        <f>'External Delivery Fulfillment'!L9</f>
        <v>0</v>
      </c>
      <c r="R45" s="68">
        <f t="shared" si="6"/>
        <v>0</v>
      </c>
      <c r="S45" s="68">
        <f>'Forwarding From Client'!L9</f>
        <v>0</v>
      </c>
      <c r="T45" s="68">
        <f t="shared" si="7"/>
        <v>0</v>
      </c>
      <c r="U45" s="68">
        <f>'Dala Restocking'!L9</f>
        <v>0</v>
      </c>
      <c r="V45" s="68">
        <f t="shared" si="8"/>
        <v>0</v>
      </c>
      <c r="W45" s="68">
        <f>'Client Restocking'!L9</f>
        <v>0</v>
      </c>
    </row>
    <row r="46">
      <c r="A46" s="117"/>
      <c r="B46" s="118" t="str">
        <f>'Internal Summary'!B48</f>
        <v/>
      </c>
      <c r="C46" s="68" t="str">
        <f>'Internal Summary'!C48</f>
        <v/>
      </c>
      <c r="D46" s="68" t="str">
        <f>'Internal Summary'!D48</f>
        <v/>
      </c>
      <c r="E46" s="68" t="str">
        <f>'Internal Summary'!E48</f>
        <v/>
      </c>
      <c r="F46" s="120"/>
      <c r="G46" s="68">
        <f t="shared" si="1"/>
        <v>0</v>
      </c>
      <c r="H46" s="120"/>
      <c r="I46" s="120"/>
      <c r="J46" s="120"/>
      <c r="K46" s="109"/>
      <c r="L46" s="119">
        <f t="shared" si="2"/>
        <v>0</v>
      </c>
      <c r="M46" s="68">
        <f t="shared" si="3"/>
        <v>0</v>
      </c>
      <c r="N46" s="68">
        <f t="shared" si="4"/>
        <v>0</v>
      </c>
      <c r="O46" s="68">
        <f>'Dala Sales &amp; Deliveries'!L10</f>
        <v>0</v>
      </c>
      <c r="P46" s="68">
        <f t="shared" si="5"/>
        <v>0</v>
      </c>
      <c r="Q46" s="68">
        <f>'External Delivery Fulfillment'!L10</f>
        <v>0</v>
      </c>
      <c r="R46" s="68">
        <f t="shared" si="6"/>
        <v>0</v>
      </c>
      <c r="S46" s="68">
        <f>'Forwarding From Client'!L10</f>
        <v>0</v>
      </c>
      <c r="T46" s="68">
        <f t="shared" si="7"/>
        <v>0</v>
      </c>
      <c r="U46" s="68">
        <f>'Dala Restocking'!L10</f>
        <v>0</v>
      </c>
      <c r="V46" s="68">
        <f t="shared" si="8"/>
        <v>0</v>
      </c>
      <c r="W46" s="68">
        <f>'Client Restocking'!L10</f>
        <v>0</v>
      </c>
    </row>
    <row r="47">
      <c r="A47" s="117"/>
      <c r="B47" s="118" t="str">
        <f>'Internal Summary'!B49</f>
        <v/>
      </c>
      <c r="C47" s="68" t="str">
        <f>'Internal Summary'!C49</f>
        <v/>
      </c>
      <c r="D47" s="68" t="str">
        <f>'Internal Summary'!D49</f>
        <v/>
      </c>
      <c r="E47" s="68" t="str">
        <f>'Internal Summary'!E49</f>
        <v/>
      </c>
      <c r="F47" s="120"/>
      <c r="G47" s="68">
        <f t="shared" si="1"/>
        <v>0</v>
      </c>
      <c r="H47" s="120"/>
      <c r="I47" s="120"/>
      <c r="J47" s="120"/>
      <c r="K47" s="109"/>
      <c r="L47" s="119">
        <f t="shared" si="2"/>
        <v>0</v>
      </c>
      <c r="M47" s="68">
        <f t="shared" si="3"/>
        <v>0</v>
      </c>
      <c r="N47" s="68">
        <f t="shared" si="4"/>
        <v>0</v>
      </c>
      <c r="O47" s="68">
        <f>'Dala Sales &amp; Deliveries'!L11</f>
        <v>0</v>
      </c>
      <c r="P47" s="68">
        <f t="shared" si="5"/>
        <v>0</v>
      </c>
      <c r="Q47" s="68">
        <f>'External Delivery Fulfillment'!L11</f>
        <v>0</v>
      </c>
      <c r="R47" s="68">
        <f t="shared" si="6"/>
        <v>0</v>
      </c>
      <c r="S47" s="68">
        <f>'Forwarding From Client'!L11</f>
        <v>0</v>
      </c>
      <c r="T47" s="68">
        <f t="shared" si="7"/>
        <v>0</v>
      </c>
      <c r="U47" s="68">
        <f>'Dala Restocking'!L11</f>
        <v>0</v>
      </c>
      <c r="V47" s="68">
        <f t="shared" si="8"/>
        <v>0</v>
      </c>
      <c r="W47" s="68">
        <f>'Client Restocking'!L11</f>
        <v>0</v>
      </c>
    </row>
    <row r="48">
      <c r="A48" s="117"/>
      <c r="B48" s="118" t="str">
        <f>'Internal Summary'!B50</f>
        <v/>
      </c>
      <c r="C48" s="68" t="str">
        <f>'Internal Summary'!C50</f>
        <v/>
      </c>
      <c r="D48" s="68" t="str">
        <f>'Internal Summary'!D50</f>
        <v/>
      </c>
      <c r="E48" s="68" t="str">
        <f>'Internal Summary'!E50</f>
        <v/>
      </c>
      <c r="F48" s="120"/>
      <c r="G48" s="68">
        <f t="shared" si="1"/>
        <v>0</v>
      </c>
      <c r="H48" s="120"/>
      <c r="I48" s="120"/>
      <c r="J48" s="120"/>
      <c r="K48" s="109"/>
      <c r="L48" s="119">
        <f t="shared" si="2"/>
        <v>0</v>
      </c>
      <c r="M48" s="68">
        <f t="shared" si="3"/>
        <v>0</v>
      </c>
      <c r="N48" s="68">
        <f t="shared" si="4"/>
        <v>0</v>
      </c>
      <c r="O48" s="68">
        <f>'Dala Sales &amp; Deliveries'!L12</f>
        <v>0</v>
      </c>
      <c r="P48" s="68">
        <f t="shared" si="5"/>
        <v>0</v>
      </c>
      <c r="Q48" s="68">
        <f>'External Delivery Fulfillment'!L12</f>
        <v>0</v>
      </c>
      <c r="R48" s="68">
        <f t="shared" si="6"/>
        <v>0</v>
      </c>
      <c r="S48" s="68">
        <f>'Forwarding From Client'!L12</f>
        <v>0</v>
      </c>
      <c r="T48" s="68">
        <f t="shared" si="7"/>
        <v>0</v>
      </c>
      <c r="U48" s="68">
        <f>'Dala Restocking'!L12</f>
        <v>0</v>
      </c>
      <c r="V48" s="68">
        <f t="shared" si="8"/>
        <v>0</v>
      </c>
      <c r="W48" s="68">
        <f>'Client Restocking'!L12</f>
        <v>0</v>
      </c>
    </row>
    <row r="49">
      <c r="A49" s="117"/>
      <c r="B49" s="118" t="str">
        <f>'Internal Summary'!B51</f>
        <v/>
      </c>
      <c r="C49" s="68" t="str">
        <f>'Internal Summary'!C51</f>
        <v/>
      </c>
      <c r="D49" s="68" t="str">
        <f>'Internal Summary'!D51</f>
        <v/>
      </c>
      <c r="E49" s="68" t="str">
        <f>'Internal Summary'!E51</f>
        <v/>
      </c>
      <c r="F49" s="120"/>
      <c r="G49" s="68">
        <f t="shared" si="1"/>
        <v>0</v>
      </c>
      <c r="H49" s="120"/>
      <c r="I49" s="120"/>
      <c r="J49" s="120"/>
      <c r="K49" s="109"/>
      <c r="L49" s="119">
        <f t="shared" si="2"/>
        <v>0</v>
      </c>
      <c r="M49" s="68">
        <f t="shared" si="3"/>
        <v>0</v>
      </c>
      <c r="N49" s="68">
        <f t="shared" si="4"/>
        <v>0</v>
      </c>
      <c r="O49" s="68">
        <f>'Dala Sales &amp; Deliveries'!L13</f>
        <v>0</v>
      </c>
      <c r="P49" s="68">
        <f t="shared" si="5"/>
        <v>0</v>
      </c>
      <c r="Q49" s="68">
        <f>'External Delivery Fulfillment'!L13</f>
        <v>0</v>
      </c>
      <c r="R49" s="68">
        <f t="shared" si="6"/>
        <v>0</v>
      </c>
      <c r="S49" s="68">
        <f>'Forwarding From Client'!L13</f>
        <v>0</v>
      </c>
      <c r="T49" s="68">
        <f t="shared" si="7"/>
        <v>0</v>
      </c>
      <c r="U49" s="68">
        <f>'Dala Restocking'!L13</f>
        <v>0</v>
      </c>
      <c r="V49" s="68">
        <f t="shared" si="8"/>
        <v>0</v>
      </c>
      <c r="W49" s="68">
        <f>'Client Restocking'!L13</f>
        <v>0</v>
      </c>
    </row>
    <row r="50">
      <c r="B50" s="71" t="str">
        <f>'Internal Summary'!B52</f>
        <v/>
      </c>
      <c r="C50" s="68" t="str">
        <f>'Internal Summary'!C52</f>
        <v/>
      </c>
      <c r="D50" s="68" t="str">
        <f>'Internal Summary'!D52</f>
        <v/>
      </c>
      <c r="E50" s="68" t="str">
        <f>'Internal Summary'!E52</f>
        <v/>
      </c>
      <c r="F50" s="120"/>
      <c r="G50" s="68">
        <f t="shared" si="1"/>
        <v>0</v>
      </c>
      <c r="H50" s="120"/>
      <c r="I50" s="120"/>
      <c r="J50" s="120"/>
      <c r="K50" s="120"/>
      <c r="L50" s="119">
        <f t="shared" si="2"/>
        <v>0</v>
      </c>
      <c r="M50" s="68">
        <f t="shared" si="3"/>
        <v>0</v>
      </c>
      <c r="N50" s="68">
        <f t="shared" si="4"/>
        <v>0</v>
      </c>
      <c r="O50" s="68" t="str">
        <f>'Dala Sales &amp; Deliveries'!L14</f>
        <v/>
      </c>
      <c r="P50" s="68">
        <f t="shared" si="5"/>
        <v>0</v>
      </c>
      <c r="Q50" s="68" t="str">
        <f>'External Delivery Fulfillment'!L14</f>
        <v/>
      </c>
      <c r="R50" s="68">
        <f t="shared" si="6"/>
        <v>0</v>
      </c>
      <c r="S50" s="68" t="str">
        <f>'Forwarding From Client'!L14</f>
        <v/>
      </c>
      <c r="T50" s="68">
        <f t="shared" si="7"/>
        <v>0</v>
      </c>
      <c r="U50" s="68" t="str">
        <f>'Dala Restocking'!L14</f>
        <v/>
      </c>
      <c r="V50" s="68">
        <f t="shared" si="8"/>
        <v>0</v>
      </c>
      <c r="W50" s="68" t="str">
        <f>'Client Restocking'!L14</f>
        <v/>
      </c>
    </row>
    <row r="51">
      <c r="B51" s="71" t="str">
        <f>'Internal Summary'!B53</f>
        <v/>
      </c>
      <c r="C51" s="68" t="str">
        <f>'Internal Summary'!C53</f>
        <v/>
      </c>
      <c r="D51" s="68" t="str">
        <f>'Internal Summary'!D53</f>
        <v/>
      </c>
      <c r="E51" s="68" t="str">
        <f>'Internal Summary'!E53</f>
        <v/>
      </c>
      <c r="F51" s="120"/>
      <c r="G51" s="68">
        <f t="shared" si="1"/>
        <v>0</v>
      </c>
      <c r="H51" s="120"/>
      <c r="I51" s="120"/>
      <c r="J51" s="120"/>
      <c r="K51" s="120"/>
      <c r="L51" s="119">
        <f t="shared" si="2"/>
        <v>0</v>
      </c>
      <c r="M51" s="68">
        <f t="shared" si="3"/>
        <v>0</v>
      </c>
      <c r="N51" s="68">
        <f t="shared" si="4"/>
        <v>0</v>
      </c>
      <c r="O51" s="68" t="str">
        <f>'Dala Sales &amp; Deliveries'!L15</f>
        <v/>
      </c>
      <c r="P51" s="68">
        <f t="shared" si="5"/>
        <v>0</v>
      </c>
      <c r="Q51" s="68" t="str">
        <f>'External Delivery Fulfillment'!L15</f>
        <v/>
      </c>
      <c r="R51" s="68">
        <f t="shared" si="6"/>
        <v>0</v>
      </c>
      <c r="S51" s="68" t="str">
        <f>'Forwarding From Client'!L15</f>
        <v/>
      </c>
      <c r="T51" s="68">
        <f t="shared" si="7"/>
        <v>0</v>
      </c>
      <c r="U51" s="68" t="str">
        <f>'Dala Restocking'!L15</f>
        <v/>
      </c>
      <c r="V51" s="68">
        <f t="shared" si="8"/>
        <v>0</v>
      </c>
      <c r="W51" s="68" t="str">
        <f>'Client Restocking'!L15</f>
        <v/>
      </c>
    </row>
    <row r="52">
      <c r="B52" s="71" t="str">
        <f>'Internal Summary'!B54</f>
        <v/>
      </c>
      <c r="C52" s="68" t="str">
        <f>'Internal Summary'!C54</f>
        <v/>
      </c>
      <c r="D52" s="68" t="str">
        <f>'Internal Summary'!D54</f>
        <v/>
      </c>
      <c r="E52" s="68" t="str">
        <f>'Internal Summary'!E54</f>
        <v/>
      </c>
      <c r="F52" s="120"/>
      <c r="G52" s="68">
        <f t="shared" si="1"/>
        <v>0</v>
      </c>
      <c r="H52" s="120"/>
      <c r="I52" s="120"/>
      <c r="J52" s="120"/>
      <c r="K52" s="120"/>
      <c r="L52" s="119">
        <f t="shared" si="2"/>
        <v>0</v>
      </c>
      <c r="M52" s="68">
        <f t="shared" si="3"/>
        <v>0</v>
      </c>
      <c r="N52" s="68">
        <f t="shared" si="4"/>
        <v>0</v>
      </c>
      <c r="O52" s="68" t="str">
        <f>'Dala Sales &amp; Deliveries'!L16</f>
        <v/>
      </c>
      <c r="P52" s="68">
        <f t="shared" si="5"/>
        <v>0</v>
      </c>
      <c r="Q52" s="68" t="str">
        <f>'External Delivery Fulfillment'!L16</f>
        <v/>
      </c>
      <c r="R52" s="68">
        <f t="shared" si="6"/>
        <v>0</v>
      </c>
      <c r="S52" s="68" t="str">
        <f>'Forwarding From Client'!L16</f>
        <v/>
      </c>
      <c r="T52" s="68">
        <f t="shared" si="7"/>
        <v>0</v>
      </c>
      <c r="U52" s="68" t="str">
        <f>'Dala Restocking'!L16</f>
        <v/>
      </c>
      <c r="V52" s="68">
        <f t="shared" si="8"/>
        <v>0</v>
      </c>
      <c r="W52" s="68" t="str">
        <f>'Client Restocking'!L16</f>
        <v/>
      </c>
    </row>
    <row r="53">
      <c r="B53" s="71" t="str">
        <f>'Internal Summary'!B55</f>
        <v/>
      </c>
      <c r="C53" s="68" t="str">
        <f>'Internal Summary'!C55</f>
        <v/>
      </c>
      <c r="D53" s="68" t="str">
        <f>'Internal Summary'!D55</f>
        <v/>
      </c>
      <c r="E53" s="68" t="str">
        <f>'Internal Summary'!E55</f>
        <v/>
      </c>
      <c r="F53" s="120"/>
      <c r="G53" s="68">
        <f t="shared" si="1"/>
        <v>0</v>
      </c>
      <c r="H53" s="120"/>
      <c r="I53" s="120"/>
      <c r="J53" s="120"/>
      <c r="K53" s="120"/>
      <c r="L53" s="119">
        <f t="shared" si="2"/>
        <v>0</v>
      </c>
      <c r="M53" s="68">
        <f t="shared" si="3"/>
        <v>0</v>
      </c>
      <c r="N53" s="68">
        <f t="shared" si="4"/>
        <v>0</v>
      </c>
      <c r="O53" s="68" t="str">
        <f>'Dala Sales &amp; Deliveries'!L17</f>
        <v/>
      </c>
      <c r="P53" s="68">
        <f t="shared" si="5"/>
        <v>0</v>
      </c>
      <c r="Q53" s="68" t="str">
        <f>'External Delivery Fulfillment'!L17</f>
        <v/>
      </c>
      <c r="R53" s="68">
        <f t="shared" si="6"/>
        <v>0</v>
      </c>
      <c r="S53" s="68" t="str">
        <f>'Forwarding From Client'!L17</f>
        <v/>
      </c>
      <c r="T53" s="68">
        <f t="shared" si="7"/>
        <v>0</v>
      </c>
      <c r="U53" s="68" t="str">
        <f>'Dala Restocking'!L17</f>
        <v/>
      </c>
      <c r="V53" s="68">
        <f t="shared" si="8"/>
        <v>0</v>
      </c>
      <c r="W53" s="68" t="str">
        <f>'Client Restocking'!L17</f>
        <v/>
      </c>
    </row>
    <row r="54">
      <c r="B54" s="71" t="str">
        <f>'Internal Summary'!B56</f>
        <v/>
      </c>
      <c r="C54" s="68" t="str">
        <f>'Internal Summary'!C56</f>
        <v/>
      </c>
      <c r="D54" s="68" t="str">
        <f>'Internal Summary'!D56</f>
        <v/>
      </c>
      <c r="E54" s="68" t="str">
        <f>'Internal Summary'!E56</f>
        <v/>
      </c>
      <c r="F54" s="120"/>
      <c r="G54" s="68">
        <f t="shared" si="1"/>
        <v>0</v>
      </c>
      <c r="H54" s="120"/>
      <c r="I54" s="120"/>
      <c r="J54" s="120"/>
      <c r="K54" s="120"/>
      <c r="L54" s="119">
        <f t="shared" si="2"/>
        <v>0</v>
      </c>
      <c r="M54" s="68">
        <f t="shared" si="3"/>
        <v>0</v>
      </c>
      <c r="N54" s="68">
        <f t="shared" si="4"/>
        <v>0</v>
      </c>
      <c r="O54" s="68" t="str">
        <f>'Dala Sales &amp; Deliveries'!L18</f>
        <v/>
      </c>
      <c r="P54" s="68">
        <f t="shared" si="5"/>
        <v>0</v>
      </c>
      <c r="Q54" s="68" t="str">
        <f>'External Delivery Fulfillment'!L18</f>
        <v/>
      </c>
      <c r="R54" s="68">
        <f t="shared" si="6"/>
        <v>0</v>
      </c>
      <c r="S54" s="68" t="str">
        <f>'Forwarding From Client'!L18</f>
        <v/>
      </c>
      <c r="T54" s="68">
        <f t="shared" si="7"/>
        <v>0</v>
      </c>
      <c r="U54" s="68" t="str">
        <f>'Dala Restocking'!L18</f>
        <v/>
      </c>
      <c r="V54" s="68">
        <f t="shared" si="8"/>
        <v>0</v>
      </c>
      <c r="W54" s="68" t="str">
        <f>'Client Restocking'!L18</f>
        <v/>
      </c>
    </row>
    <row r="55">
      <c r="B55" s="71" t="str">
        <f>'Internal Summary'!B57</f>
        <v/>
      </c>
      <c r="C55" s="68" t="str">
        <f>'Internal Summary'!C57</f>
        <v/>
      </c>
      <c r="D55" s="68" t="str">
        <f>'Internal Summary'!D57</f>
        <v/>
      </c>
      <c r="E55" s="68" t="str">
        <f>'Internal Summary'!E57</f>
        <v/>
      </c>
      <c r="F55" s="120"/>
      <c r="G55" s="68">
        <f t="shared" si="1"/>
        <v>0</v>
      </c>
      <c r="H55" s="120"/>
      <c r="I55" s="120"/>
      <c r="J55" s="120"/>
      <c r="K55" s="120"/>
      <c r="L55" s="119">
        <f t="shared" si="2"/>
        <v>0</v>
      </c>
      <c r="M55" s="68">
        <f t="shared" si="3"/>
        <v>0</v>
      </c>
      <c r="N55" s="68">
        <f t="shared" si="4"/>
        <v>0</v>
      </c>
      <c r="O55" s="68" t="str">
        <f>'Dala Sales &amp; Deliveries'!L19</f>
        <v/>
      </c>
      <c r="P55" s="68">
        <f t="shared" si="5"/>
        <v>0</v>
      </c>
      <c r="Q55" s="68" t="str">
        <f>'External Delivery Fulfillment'!L19</f>
        <v/>
      </c>
      <c r="R55" s="68">
        <f t="shared" si="6"/>
        <v>0</v>
      </c>
      <c r="S55" s="68" t="str">
        <f>'Forwarding From Client'!L19</f>
        <v/>
      </c>
      <c r="T55" s="68">
        <f t="shared" si="7"/>
        <v>0</v>
      </c>
      <c r="U55" s="68" t="str">
        <f>'Dala Restocking'!L19</f>
        <v/>
      </c>
      <c r="V55" s="68">
        <f t="shared" si="8"/>
        <v>0</v>
      </c>
      <c r="W55" s="68" t="str">
        <f>'Client Restocking'!L19</f>
        <v/>
      </c>
    </row>
    <row r="56">
      <c r="B56" s="71" t="str">
        <f>'Internal Summary'!B58</f>
        <v/>
      </c>
      <c r="C56" s="68" t="str">
        <f>'Internal Summary'!C58</f>
        <v/>
      </c>
      <c r="D56" s="68" t="str">
        <f>'Internal Summary'!D58</f>
        <v/>
      </c>
      <c r="E56" s="68" t="str">
        <f>'Internal Summary'!E58</f>
        <v/>
      </c>
      <c r="F56" s="120"/>
      <c r="G56" s="68">
        <f t="shared" si="1"/>
        <v>0</v>
      </c>
      <c r="H56" s="120"/>
      <c r="I56" s="120"/>
      <c r="J56" s="120"/>
      <c r="K56" s="120"/>
      <c r="L56" s="119">
        <f t="shared" si="2"/>
        <v>0</v>
      </c>
      <c r="M56" s="68">
        <f t="shared" si="3"/>
        <v>0</v>
      </c>
      <c r="N56" s="68">
        <f t="shared" si="4"/>
        <v>0</v>
      </c>
      <c r="O56" s="68" t="str">
        <f>'Dala Sales &amp; Deliveries'!L20</f>
        <v/>
      </c>
      <c r="P56" s="68">
        <f t="shared" si="5"/>
        <v>0</v>
      </c>
      <c r="Q56" s="68" t="str">
        <f>'External Delivery Fulfillment'!L20</f>
        <v/>
      </c>
      <c r="R56" s="68">
        <f t="shared" si="6"/>
        <v>0</v>
      </c>
      <c r="S56" s="68" t="str">
        <f>'Forwarding From Client'!L20</f>
        <v/>
      </c>
      <c r="T56" s="68">
        <f t="shared" si="7"/>
        <v>0</v>
      </c>
      <c r="U56" s="68" t="str">
        <f>'Dala Restocking'!L20</f>
        <v/>
      </c>
      <c r="V56" s="68">
        <f t="shared" si="8"/>
        <v>0</v>
      </c>
      <c r="W56" s="68" t="str">
        <f>'Client Restocking'!L20</f>
        <v/>
      </c>
    </row>
    <row r="57">
      <c r="B57" s="71" t="str">
        <f>'Internal Summary'!B59</f>
        <v/>
      </c>
      <c r="C57" s="68" t="str">
        <f>'Internal Summary'!C59</f>
        <v/>
      </c>
      <c r="D57" s="68" t="str">
        <f>'Internal Summary'!D59</f>
        <v/>
      </c>
      <c r="E57" s="68" t="str">
        <f>'Internal Summary'!E59</f>
        <v/>
      </c>
      <c r="F57" s="120"/>
      <c r="G57" s="68">
        <f t="shared" si="1"/>
        <v>0</v>
      </c>
      <c r="H57" s="120"/>
      <c r="I57" s="120"/>
      <c r="J57" s="120"/>
      <c r="K57" s="120"/>
      <c r="L57" s="119">
        <f t="shared" si="2"/>
        <v>0</v>
      </c>
      <c r="M57" s="68">
        <f t="shared" si="3"/>
        <v>0</v>
      </c>
      <c r="N57" s="68">
        <f t="shared" si="4"/>
        <v>0</v>
      </c>
      <c r="O57" s="68" t="str">
        <f>'Dala Sales &amp; Deliveries'!L21</f>
        <v/>
      </c>
      <c r="P57" s="68">
        <f t="shared" si="5"/>
        <v>0</v>
      </c>
      <c r="Q57" s="68" t="str">
        <f>'External Delivery Fulfillment'!L21</f>
        <v/>
      </c>
      <c r="R57" s="68">
        <f t="shared" si="6"/>
        <v>0</v>
      </c>
      <c r="S57" s="68" t="str">
        <f>'Forwarding From Client'!L21</f>
        <v/>
      </c>
      <c r="T57" s="68">
        <f t="shared" si="7"/>
        <v>0</v>
      </c>
      <c r="U57" s="68" t="str">
        <f>'Dala Restocking'!L21</f>
        <v/>
      </c>
      <c r="V57" s="68">
        <f t="shared" si="8"/>
        <v>0</v>
      </c>
      <c r="W57" s="68" t="str">
        <f>'Client Restocking'!L21</f>
        <v/>
      </c>
    </row>
    <row r="58">
      <c r="B58" s="71" t="str">
        <f>'Internal Summary'!B60</f>
        <v/>
      </c>
      <c r="C58" s="68" t="str">
        <f>'Internal Summary'!C60</f>
        <v/>
      </c>
      <c r="D58" s="68" t="str">
        <f>'Internal Summary'!D60</f>
        <v/>
      </c>
      <c r="E58" s="68" t="str">
        <f>'Internal Summary'!E60</f>
        <v/>
      </c>
      <c r="F58" s="120"/>
      <c r="G58" s="68">
        <f t="shared" si="1"/>
        <v>0</v>
      </c>
      <c r="H58" s="120"/>
      <c r="I58" s="120"/>
      <c r="J58" s="120"/>
      <c r="K58" s="120"/>
      <c r="L58" s="119">
        <f t="shared" si="2"/>
        <v>0</v>
      </c>
      <c r="M58" s="68">
        <f t="shared" si="3"/>
        <v>0</v>
      </c>
      <c r="N58" s="68">
        <f t="shared" si="4"/>
        <v>0</v>
      </c>
      <c r="O58" s="68" t="str">
        <f>'Dala Sales &amp; Deliveries'!L22</f>
        <v/>
      </c>
      <c r="P58" s="68">
        <f t="shared" si="5"/>
        <v>0</v>
      </c>
      <c r="Q58" s="68" t="str">
        <f>'External Delivery Fulfillment'!L22</f>
        <v/>
      </c>
      <c r="R58" s="68">
        <f t="shared" si="6"/>
        <v>0</v>
      </c>
      <c r="S58" s="68" t="str">
        <f>'Forwarding From Client'!L22</f>
        <v/>
      </c>
      <c r="T58" s="68">
        <f t="shared" si="7"/>
        <v>0</v>
      </c>
      <c r="U58" s="68" t="str">
        <f>'Dala Restocking'!L22</f>
        <v/>
      </c>
      <c r="V58" s="68">
        <f t="shared" si="8"/>
        <v>0</v>
      </c>
      <c r="W58" s="68" t="str">
        <f>'Client Restocking'!L22</f>
        <v/>
      </c>
    </row>
    <row r="59">
      <c r="B59" s="71" t="str">
        <f>'Internal Summary'!B61</f>
        <v/>
      </c>
      <c r="C59" s="68" t="str">
        <f>'Internal Summary'!C61</f>
        <v/>
      </c>
      <c r="D59" s="68" t="str">
        <f>'Internal Summary'!D61</f>
        <v/>
      </c>
      <c r="E59" s="68" t="str">
        <f>'Internal Summary'!E61</f>
        <v/>
      </c>
      <c r="F59" s="120"/>
      <c r="G59" s="68">
        <f t="shared" si="1"/>
        <v>0</v>
      </c>
      <c r="H59" s="120"/>
      <c r="I59" s="120"/>
      <c r="J59" s="120"/>
      <c r="K59" s="120"/>
      <c r="L59" s="119">
        <f t="shared" si="2"/>
        <v>0</v>
      </c>
      <c r="M59" s="68">
        <f t="shared" si="3"/>
        <v>0</v>
      </c>
      <c r="N59" s="68">
        <f t="shared" si="4"/>
        <v>0</v>
      </c>
      <c r="O59" s="68" t="str">
        <f>'Dala Sales &amp; Deliveries'!L23</f>
        <v/>
      </c>
      <c r="P59" s="68">
        <f t="shared" si="5"/>
        <v>0</v>
      </c>
      <c r="Q59" s="68" t="str">
        <f>'External Delivery Fulfillment'!L23</f>
        <v/>
      </c>
      <c r="R59" s="68">
        <f t="shared" si="6"/>
        <v>0</v>
      </c>
      <c r="S59" s="68" t="str">
        <f>'Forwarding From Client'!L23</f>
        <v/>
      </c>
      <c r="T59" s="68">
        <f t="shared" si="7"/>
        <v>0</v>
      </c>
      <c r="U59" s="68" t="str">
        <f>'Dala Restocking'!L23</f>
        <v/>
      </c>
      <c r="V59" s="68">
        <f t="shared" si="8"/>
        <v>0</v>
      </c>
      <c r="W59" s="68" t="str">
        <f>'Client Restocking'!L23</f>
        <v/>
      </c>
    </row>
    <row r="60">
      <c r="B60" s="71" t="str">
        <f>'Internal Summary'!B62</f>
        <v/>
      </c>
      <c r="C60" s="68" t="str">
        <f>'Internal Summary'!C62</f>
        <v/>
      </c>
      <c r="D60" s="68" t="str">
        <f>'Internal Summary'!D62</f>
        <v/>
      </c>
      <c r="E60" s="68" t="str">
        <f>'Internal Summary'!E62</f>
        <v/>
      </c>
      <c r="F60" s="120"/>
      <c r="G60" s="68">
        <f t="shared" si="1"/>
        <v>0</v>
      </c>
      <c r="H60" s="120"/>
      <c r="I60" s="120"/>
      <c r="J60" s="120"/>
      <c r="K60" s="120"/>
      <c r="L60" s="119">
        <f t="shared" si="2"/>
        <v>0</v>
      </c>
      <c r="M60" s="68">
        <f t="shared" si="3"/>
        <v>0</v>
      </c>
      <c r="N60" s="68">
        <f t="shared" si="4"/>
        <v>0</v>
      </c>
      <c r="O60" s="68" t="str">
        <f>'Dala Sales &amp; Deliveries'!L24</f>
        <v/>
      </c>
      <c r="P60" s="68">
        <f t="shared" si="5"/>
        <v>0</v>
      </c>
      <c r="Q60" s="68" t="str">
        <f>'External Delivery Fulfillment'!L24</f>
        <v/>
      </c>
      <c r="R60" s="68">
        <f t="shared" si="6"/>
        <v>0</v>
      </c>
      <c r="S60" s="68" t="str">
        <f>'Forwarding From Client'!L24</f>
        <v/>
      </c>
      <c r="T60" s="68">
        <f t="shared" si="7"/>
        <v>0</v>
      </c>
      <c r="U60" s="68" t="str">
        <f>'Dala Restocking'!L24</f>
        <v/>
      </c>
      <c r="V60" s="68">
        <f t="shared" si="8"/>
        <v>0</v>
      </c>
      <c r="W60" s="68" t="str">
        <f>'Client Restocking'!L24</f>
        <v/>
      </c>
    </row>
    <row r="61">
      <c r="B61" s="71" t="str">
        <f>'Internal Summary'!B63</f>
        <v/>
      </c>
      <c r="C61" s="68" t="str">
        <f>'Internal Summary'!C63</f>
        <v/>
      </c>
      <c r="D61" s="68" t="str">
        <f>'Internal Summary'!D63</f>
        <v/>
      </c>
      <c r="E61" s="68" t="str">
        <f>'Internal Summary'!E63</f>
        <v/>
      </c>
      <c r="F61" s="120"/>
      <c r="G61" s="68">
        <f t="shared" si="1"/>
        <v>0</v>
      </c>
      <c r="H61" s="120"/>
      <c r="I61" s="120"/>
      <c r="J61" s="120"/>
      <c r="K61" s="120"/>
      <c r="L61" s="119">
        <f t="shared" si="2"/>
        <v>0</v>
      </c>
      <c r="M61" s="68">
        <f t="shared" si="3"/>
        <v>0</v>
      </c>
      <c r="N61" s="68">
        <f t="shared" si="4"/>
        <v>0</v>
      </c>
      <c r="O61" s="68" t="str">
        <f>'Dala Sales &amp; Deliveries'!L25</f>
        <v/>
      </c>
      <c r="P61" s="68">
        <f t="shared" si="5"/>
        <v>0</v>
      </c>
      <c r="Q61" s="68" t="str">
        <f>'External Delivery Fulfillment'!L25</f>
        <v/>
      </c>
      <c r="R61" s="68">
        <f t="shared" si="6"/>
        <v>0</v>
      </c>
      <c r="S61" s="68" t="str">
        <f>'Forwarding From Client'!L25</f>
        <v/>
      </c>
      <c r="T61" s="68">
        <f t="shared" si="7"/>
        <v>0</v>
      </c>
      <c r="U61" s="68" t="str">
        <f>'Dala Restocking'!L25</f>
        <v/>
      </c>
      <c r="V61" s="68">
        <f t="shared" si="8"/>
        <v>0</v>
      </c>
      <c r="W61" s="68" t="str">
        <f>'Client Restocking'!L25</f>
        <v/>
      </c>
    </row>
    <row r="62">
      <c r="B62" s="71" t="str">
        <f>'Internal Summary'!B64</f>
        <v/>
      </c>
      <c r="C62" s="68" t="str">
        <f>'Internal Summary'!C64</f>
        <v/>
      </c>
      <c r="D62" s="68" t="str">
        <f>'Internal Summary'!D64</f>
        <v/>
      </c>
      <c r="E62" s="68" t="str">
        <f>'Internal Summary'!E64</f>
        <v/>
      </c>
      <c r="F62" s="120"/>
      <c r="G62" s="68">
        <f t="shared" si="1"/>
        <v>0</v>
      </c>
      <c r="H62" s="120"/>
      <c r="I62" s="120"/>
      <c r="J62" s="120"/>
      <c r="K62" s="120"/>
      <c r="L62" s="119">
        <f t="shared" si="2"/>
        <v>0</v>
      </c>
      <c r="M62" s="68">
        <f t="shared" si="3"/>
        <v>0</v>
      </c>
      <c r="N62" s="68">
        <f t="shared" si="4"/>
        <v>0</v>
      </c>
      <c r="O62" s="68" t="str">
        <f>'Dala Sales &amp; Deliveries'!L26</f>
        <v/>
      </c>
      <c r="P62" s="68">
        <f t="shared" si="5"/>
        <v>0</v>
      </c>
      <c r="Q62" s="68" t="str">
        <f>'External Delivery Fulfillment'!L26</f>
        <v/>
      </c>
      <c r="R62" s="68">
        <f t="shared" si="6"/>
        <v>0</v>
      </c>
      <c r="S62" s="68" t="str">
        <f>'Forwarding From Client'!L26</f>
        <v/>
      </c>
      <c r="T62" s="68">
        <f t="shared" si="7"/>
        <v>0</v>
      </c>
      <c r="U62" s="68" t="str">
        <f>'Dala Restocking'!L26</f>
        <v/>
      </c>
      <c r="V62" s="68">
        <f t="shared" si="8"/>
        <v>0</v>
      </c>
      <c r="W62" s="68" t="str">
        <f>'Client Restocking'!L26</f>
        <v/>
      </c>
    </row>
    <row r="63">
      <c r="B63" s="71" t="str">
        <f>'Internal Summary'!B65</f>
        <v/>
      </c>
      <c r="C63" s="68" t="str">
        <f>'Internal Summary'!C65</f>
        <v/>
      </c>
      <c r="D63" s="68" t="str">
        <f>'Internal Summary'!D65</f>
        <v/>
      </c>
      <c r="E63" s="68" t="str">
        <f>'Internal Summary'!E65</f>
        <v/>
      </c>
      <c r="F63" s="120"/>
      <c r="G63" s="68">
        <f t="shared" si="1"/>
        <v>0</v>
      </c>
      <c r="H63" s="120"/>
      <c r="I63" s="120"/>
      <c r="J63" s="120"/>
      <c r="K63" s="120"/>
      <c r="L63" s="119">
        <f t="shared" si="2"/>
        <v>0</v>
      </c>
      <c r="M63" s="68">
        <f t="shared" si="3"/>
        <v>0</v>
      </c>
      <c r="N63" s="68">
        <f t="shared" si="4"/>
        <v>0</v>
      </c>
      <c r="O63" s="68" t="str">
        <f>'Dala Sales &amp; Deliveries'!L27</f>
        <v/>
      </c>
      <c r="P63" s="68">
        <f t="shared" si="5"/>
        <v>0</v>
      </c>
      <c r="Q63" s="68" t="str">
        <f>'External Delivery Fulfillment'!L27</f>
        <v/>
      </c>
      <c r="R63" s="68">
        <f t="shared" si="6"/>
        <v>0</v>
      </c>
      <c r="S63" s="68" t="str">
        <f>'Forwarding From Client'!L27</f>
        <v/>
      </c>
      <c r="T63" s="68">
        <f t="shared" si="7"/>
        <v>0</v>
      </c>
      <c r="U63" s="68" t="str">
        <f>'Dala Restocking'!L27</f>
        <v/>
      </c>
      <c r="V63" s="68">
        <f t="shared" si="8"/>
        <v>0</v>
      </c>
      <c r="W63" s="68" t="str">
        <f>'Client Restocking'!L27</f>
        <v/>
      </c>
    </row>
    <row r="64">
      <c r="B64" s="71" t="str">
        <f>'Internal Summary'!B66</f>
        <v/>
      </c>
      <c r="C64" s="68" t="str">
        <f>'Internal Summary'!C66</f>
        <v/>
      </c>
      <c r="D64" s="68" t="str">
        <f>'Internal Summary'!D66</f>
        <v/>
      </c>
      <c r="E64" s="68" t="str">
        <f>'Internal Summary'!E66</f>
        <v/>
      </c>
      <c r="F64" s="120"/>
      <c r="G64" s="68">
        <f t="shared" si="1"/>
        <v>0</v>
      </c>
      <c r="H64" s="120"/>
      <c r="I64" s="120"/>
      <c r="J64" s="120"/>
      <c r="K64" s="120"/>
      <c r="L64" s="119">
        <f t="shared" si="2"/>
        <v>0</v>
      </c>
      <c r="M64" s="68">
        <f t="shared" si="3"/>
        <v>0</v>
      </c>
      <c r="N64" s="68">
        <f t="shared" si="4"/>
        <v>0</v>
      </c>
      <c r="O64" s="68" t="str">
        <f>'Dala Sales &amp; Deliveries'!L28</f>
        <v/>
      </c>
      <c r="P64" s="68">
        <f t="shared" si="5"/>
        <v>0</v>
      </c>
      <c r="Q64" s="68" t="str">
        <f>'External Delivery Fulfillment'!L28</f>
        <v/>
      </c>
      <c r="R64" s="68">
        <f t="shared" si="6"/>
        <v>0</v>
      </c>
      <c r="S64" s="68" t="str">
        <f>'Forwarding From Client'!L28</f>
        <v/>
      </c>
      <c r="T64" s="68">
        <f t="shared" si="7"/>
        <v>0</v>
      </c>
      <c r="U64" s="68" t="str">
        <f>'Dala Restocking'!L28</f>
        <v/>
      </c>
      <c r="V64" s="68">
        <f t="shared" si="8"/>
        <v>0</v>
      </c>
      <c r="W64" s="68" t="str">
        <f>'Client Restocking'!L28</f>
        <v/>
      </c>
    </row>
    <row r="65">
      <c r="B65" s="71" t="str">
        <f>'Internal Summary'!B67</f>
        <v/>
      </c>
      <c r="C65" s="68" t="str">
        <f>'Internal Summary'!C67</f>
        <v/>
      </c>
      <c r="D65" s="68" t="str">
        <f>'Internal Summary'!D67</f>
        <v/>
      </c>
      <c r="E65" s="68" t="str">
        <f>'Internal Summary'!E67</f>
        <v/>
      </c>
      <c r="F65" s="120"/>
      <c r="G65" s="68">
        <f t="shared" si="1"/>
        <v>0</v>
      </c>
      <c r="H65" s="120"/>
      <c r="I65" s="120"/>
      <c r="J65" s="120"/>
      <c r="K65" s="120"/>
      <c r="L65" s="119">
        <f t="shared" si="2"/>
        <v>0</v>
      </c>
      <c r="M65" s="68">
        <f t="shared" si="3"/>
        <v>0</v>
      </c>
      <c r="N65" s="68">
        <f t="shared" si="4"/>
        <v>0</v>
      </c>
      <c r="O65" s="68" t="str">
        <f>'Dala Sales &amp; Deliveries'!L29</f>
        <v/>
      </c>
      <c r="P65" s="68">
        <f t="shared" si="5"/>
        <v>0</v>
      </c>
      <c r="Q65" s="68" t="str">
        <f>'External Delivery Fulfillment'!L29</f>
        <v/>
      </c>
      <c r="R65" s="68">
        <f t="shared" si="6"/>
        <v>0</v>
      </c>
      <c r="S65" s="68" t="str">
        <f>'Forwarding From Client'!L29</f>
        <v/>
      </c>
      <c r="T65" s="68">
        <f t="shared" si="7"/>
        <v>0</v>
      </c>
      <c r="U65" s="68" t="str">
        <f>'Dala Restocking'!L29</f>
        <v/>
      </c>
      <c r="V65" s="68">
        <f t="shared" si="8"/>
        <v>0</v>
      </c>
      <c r="W65" s="68" t="str">
        <f>'Client Restocking'!L29</f>
        <v/>
      </c>
    </row>
    <row r="66">
      <c r="B66" s="71" t="str">
        <f>'Internal Summary'!B68</f>
        <v/>
      </c>
      <c r="C66" s="68" t="str">
        <f>'Internal Summary'!C68</f>
        <v/>
      </c>
      <c r="D66" s="68" t="str">
        <f>'Internal Summary'!D68</f>
        <v/>
      </c>
      <c r="E66" s="68" t="str">
        <f>'Internal Summary'!E68</f>
        <v/>
      </c>
      <c r="F66" s="120"/>
      <c r="G66" s="68">
        <f t="shared" si="1"/>
        <v>0</v>
      </c>
      <c r="H66" s="120"/>
      <c r="I66" s="120"/>
      <c r="J66" s="120"/>
      <c r="K66" s="120"/>
      <c r="L66" s="119">
        <f t="shared" si="2"/>
        <v>0</v>
      </c>
      <c r="M66" s="68">
        <f t="shared" si="3"/>
        <v>0</v>
      </c>
      <c r="N66" s="68">
        <f t="shared" si="4"/>
        <v>0</v>
      </c>
      <c r="O66" s="68" t="str">
        <f>'Dala Sales &amp; Deliveries'!L30</f>
        <v/>
      </c>
      <c r="P66" s="68">
        <f t="shared" si="5"/>
        <v>0</v>
      </c>
      <c r="Q66" s="68" t="str">
        <f>'External Delivery Fulfillment'!L30</f>
        <v/>
      </c>
      <c r="R66" s="68">
        <f t="shared" si="6"/>
        <v>0</v>
      </c>
      <c r="S66" s="68" t="str">
        <f>'Forwarding From Client'!L30</f>
        <v/>
      </c>
      <c r="T66" s="68">
        <f t="shared" si="7"/>
        <v>0</v>
      </c>
      <c r="U66" s="68" t="str">
        <f>'Dala Restocking'!L30</f>
        <v/>
      </c>
      <c r="V66" s="68">
        <f t="shared" si="8"/>
        <v>0</v>
      </c>
      <c r="W66" s="68" t="str">
        <f>'Client Restocking'!L30</f>
        <v/>
      </c>
    </row>
    <row r="67">
      <c r="B67" s="69" t="s">
        <v>119</v>
      </c>
      <c r="C67" s="107"/>
      <c r="D67" s="107"/>
      <c r="E67" s="119"/>
      <c r="F67" s="119">
        <f t="shared" ref="F67:W67" si="9">sum(F38:F66)</f>
        <v>0</v>
      </c>
      <c r="G67" s="119">
        <f t="shared" si="9"/>
        <v>0</v>
      </c>
      <c r="H67" s="119">
        <f t="shared" si="9"/>
        <v>0</v>
      </c>
      <c r="I67" s="119">
        <f t="shared" si="9"/>
        <v>0</v>
      </c>
      <c r="J67" s="119">
        <f t="shared" si="9"/>
        <v>0</v>
      </c>
      <c r="K67" s="119">
        <f t="shared" si="9"/>
        <v>49</v>
      </c>
      <c r="L67" s="119">
        <f t="shared" si="9"/>
        <v>-23</v>
      </c>
      <c r="M67" s="68">
        <f t="shared" si="9"/>
        <v>72</v>
      </c>
      <c r="N67" s="68">
        <f t="shared" si="9"/>
        <v>1324800</v>
      </c>
      <c r="O67" s="68">
        <f t="shared" si="9"/>
        <v>23</v>
      </c>
      <c r="P67" s="68">
        <f t="shared" si="9"/>
        <v>22550</v>
      </c>
      <c r="Q67" s="68">
        <f t="shared" si="9"/>
        <v>0</v>
      </c>
      <c r="R67" s="68">
        <f t="shared" si="9"/>
        <v>0</v>
      </c>
      <c r="S67" s="68">
        <f t="shared" si="9"/>
        <v>0</v>
      </c>
      <c r="T67" s="68">
        <f t="shared" si="9"/>
        <v>0</v>
      </c>
      <c r="U67" s="68">
        <f t="shared" si="9"/>
        <v>0</v>
      </c>
      <c r="V67" s="68">
        <f t="shared" si="9"/>
        <v>0</v>
      </c>
      <c r="W67" s="68">
        <f t="shared" si="9"/>
        <v>0</v>
      </c>
    </row>
    <row r="68">
      <c r="C68" s="6" t="s">
        <v>120</v>
      </c>
      <c r="D68" s="6" t="s">
        <v>120</v>
      </c>
      <c r="E68" s="6" t="s">
        <v>120</v>
      </c>
      <c r="F68" s="6" t="s">
        <v>120</v>
      </c>
      <c r="G68" s="6"/>
      <c r="H68" s="6" t="s">
        <v>120</v>
      </c>
      <c r="I68" s="6" t="s">
        <v>120</v>
      </c>
      <c r="J68" s="6" t="s">
        <v>120</v>
      </c>
      <c r="K68" s="6" t="s">
        <v>120</v>
      </c>
      <c r="L68" s="6" t="s">
        <v>120</v>
      </c>
      <c r="M68" s="6"/>
      <c r="N68" s="6" t="s">
        <v>120</v>
      </c>
      <c r="O68" s="6" t="s">
        <v>120</v>
      </c>
      <c r="P68" s="6" t="s">
        <v>120</v>
      </c>
      <c r="Q68" s="6" t="s">
        <v>120</v>
      </c>
      <c r="R68" s="6" t="s">
        <v>120</v>
      </c>
      <c r="S68" s="6"/>
      <c r="T68" s="6"/>
      <c r="U68" s="6" t="s">
        <v>120</v>
      </c>
      <c r="V68" s="6" t="s">
        <v>120</v>
      </c>
      <c r="W68" s="6" t="s">
        <v>120</v>
      </c>
    </row>
  </sheetData>
  <drawing r:id="rId1"/>
</worksheet>
</file>